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420E2210-71DD-124A-8DFF-A856C76F2DE0}" xr6:coauthVersionLast="47" xr6:coauthVersionMax="47" xr10:uidLastSave="{00000000-0000-0000-0000-000000000000}"/>
  <bookViews>
    <workbookView xWindow="320" yWindow="500" windowWidth="26080" windowHeight="14040" tabRatio="500" xr2:uid="{00000000-000D-0000-FFFF-FFFF00000000}"/>
  </bookViews>
  <sheets>
    <sheet name="leaf gas-exchange_FOM" sheetId="1" r:id="rId1"/>
    <sheet name="Specifications and References"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F7" i="1" l="1"/>
  <c r="G7" i="1" s="1"/>
  <c r="AL7" i="1"/>
  <c r="AK7" i="1"/>
  <c r="F7" i="1"/>
  <c r="J7" i="1"/>
  <c r="K7" i="1"/>
  <c r="L7" i="1"/>
  <c r="I7" i="1" l="1"/>
  <c r="H7" i="1"/>
  <c r="AF5" i="1"/>
  <c r="AF6" i="1"/>
  <c r="AF4" i="1"/>
  <c r="F4" i="1" l="1"/>
  <c r="G4" i="1"/>
  <c r="H4" i="1"/>
  <c r="I4" i="1"/>
  <c r="J4" i="1"/>
  <c r="K4" i="1"/>
  <c r="L4" i="1"/>
  <c r="F5" i="1"/>
  <c r="G5" i="1"/>
  <c r="H5" i="1"/>
  <c r="I5" i="1"/>
  <c r="J5" i="1"/>
  <c r="K5" i="1"/>
  <c r="L5" i="1"/>
  <c r="F6" i="1"/>
  <c r="G6" i="1"/>
  <c r="H6" i="1"/>
  <c r="I6" i="1"/>
  <c r="J6" i="1"/>
  <c r="K6" i="1"/>
  <c r="L6" i="1"/>
  <c r="BY6" i="1" l="1"/>
  <c r="BA6" i="1"/>
  <c r="AK6" i="1"/>
  <c r="AL6" i="1"/>
  <c r="BY5" i="1"/>
  <c r="BA5" i="1"/>
  <c r="AK5" i="1"/>
  <c r="AL5" i="1"/>
  <c r="BY4" i="1"/>
  <c r="BA4" i="1"/>
  <c r="AK4" i="1"/>
  <c r="AL4" i="1"/>
</calcChain>
</file>

<file path=xl/sharedStrings.xml><?xml version="1.0" encoding="utf-8"?>
<sst xmlns="http://schemas.openxmlformats.org/spreadsheetml/2006/main" count="305" uniqueCount="149">
  <si>
    <t>Specifications:</t>
  </si>
  <si>
    <t>this spreadsheet is devised for the full optimality approach for stomatal conductance (FOM), see references below</t>
  </si>
  <si>
    <r>
      <rPr>
        <vertAlign val="superscript"/>
        <sz val="12"/>
        <color theme="1"/>
        <rFont val="Calibri"/>
        <family val="2"/>
        <scheme val="minor"/>
      </rPr>
      <t>a</t>
    </r>
    <r>
      <rPr>
        <sz val="12"/>
        <color theme="1"/>
        <rFont val="Calibri"/>
        <family val="2"/>
        <scheme val="minor"/>
      </rPr>
      <t xml:space="preserve"> Sample unit is a single leaf</t>
    </r>
  </si>
  <si>
    <r>
      <rPr>
        <vertAlign val="superscript"/>
        <sz val="12"/>
        <color theme="1"/>
        <rFont val="Calibri"/>
        <family val="2"/>
        <scheme val="minor"/>
      </rPr>
      <t>b</t>
    </r>
    <r>
      <rPr>
        <sz val="12"/>
        <color theme="1"/>
        <rFont val="Calibri"/>
        <family val="2"/>
        <scheme val="minor"/>
      </rPr>
      <t xml:space="preserve"> data to be obtained from extant relative species</t>
    </r>
  </si>
  <si>
    <t>References</t>
  </si>
  <si>
    <t>Konrad, W; Roth-Nebelsick, A; Grein, M; 2008, Modelling of stomatal density response to atmospheric CO2,Journal of Theoretical Biology,253,4,638-658</t>
  </si>
  <si>
    <t>Grein, M; Konrad, W; Wilde, V; Utescher, T; Roth-Nebelsick, A; 2011,  Reconstruction of atmospheric CO 2 during the early middle Eocene by application of a gas exchange model to fossil plants from the Messel Formation, Germany, Palaeogeography, Palaeoclimatology, Palaeoecology,309,3,383-391</t>
  </si>
  <si>
    <t>SAMPLE IDENTIFICATION</t>
  </si>
  <si>
    <t>AGE CONSTRAINTS</t>
  </si>
  <si>
    <t>TAXONOMIC INFORMATION</t>
  </si>
  <si>
    <t>COUNTING</t>
  </si>
  <si>
    <t>STOMATAL AND OTHER ANATOMICAL DATA</t>
  </si>
  <si>
    <t>d13C DATA</t>
  </si>
  <si>
    <t>BIOCHEMICAL DATA FROM EXTANT RELATIVE SPECIES</t>
  </si>
  <si>
    <t>PALEOCLIMATE INPUT DATA</t>
  </si>
  <si>
    <t>RESULTS</t>
  </si>
  <si>
    <t>Reference of the data product</t>
  </si>
  <si>
    <t>DOI link to reference</t>
  </si>
  <si>
    <r>
      <t>Sample name</t>
    </r>
    <r>
      <rPr>
        <vertAlign val="superscript"/>
        <sz val="12"/>
        <color theme="1"/>
        <rFont val="Calibri"/>
        <family val="2"/>
        <scheme val="minor"/>
      </rPr>
      <t>a</t>
    </r>
  </si>
  <si>
    <t>Sample
Repository</t>
  </si>
  <si>
    <t>Location</t>
  </si>
  <si>
    <t>Geologic
Formation</t>
  </si>
  <si>
    <t>Stratigraphic level</t>
  </si>
  <si>
    <t>Age (Ma)</t>
  </si>
  <si>
    <t>Age uncertainty, old (Ma)</t>
  </si>
  <si>
    <t>Age uncertainty, young (Ma)</t>
  </si>
  <si>
    <t>Age scale (GTS20XX)</t>
  </si>
  <si>
    <t>How was age determined?</t>
  </si>
  <si>
    <t>Family</t>
  </si>
  <si>
    <t>Genus</t>
  </si>
  <si>
    <t>Species</t>
  </si>
  <si>
    <t>Counting Method
(Image, microscope)</t>
  </si>
  <si>
    <t>Counting box dimensions
(µm × µm)</t>
  </si>
  <si>
    <r>
      <t>Number of counts</t>
    </r>
    <r>
      <rPr>
        <vertAlign val="superscript"/>
        <sz val="11"/>
        <rFont val="Calibri"/>
        <family val="2"/>
        <scheme val="minor"/>
      </rPr>
      <t>a</t>
    </r>
  </si>
  <si>
    <r>
      <rPr>
        <sz val="12"/>
        <color theme="1"/>
        <rFont val="Calibri"/>
        <family val="2"/>
        <scheme val="minor"/>
      </rPr>
      <t>Stomatal density SD [1/mm</t>
    </r>
    <r>
      <rPr>
        <vertAlign val="superscript"/>
        <sz val="11"/>
        <color rgb="FF000000"/>
        <rFont val="Calibri"/>
        <family val="2"/>
        <scheme val="minor"/>
      </rPr>
      <t>2</t>
    </r>
    <r>
      <rPr>
        <sz val="12"/>
        <color theme="1"/>
        <rFont val="Calibri"/>
        <family val="2"/>
        <scheme val="minor"/>
      </rPr>
      <t xml:space="preserve">] </t>
    </r>
  </si>
  <si>
    <r>
      <t>2</t>
    </r>
    <r>
      <rPr>
        <sz val="11"/>
        <color rgb="FF000000"/>
        <rFont val="Symbol"/>
        <family val="1"/>
        <charset val="2"/>
      </rPr>
      <t xml:space="preserve">s </t>
    </r>
    <r>
      <rPr>
        <sz val="11"/>
        <color rgb="FF000000"/>
        <rFont val="Calibri"/>
        <family val="2"/>
        <scheme val="minor"/>
      </rPr>
      <t>uncertainty</t>
    </r>
  </si>
  <si>
    <t>Stomatal pore length SL [µm]</t>
  </si>
  <si>
    <t>Stomatal pore depth  [µm] (derived from guard cell width)</t>
  </si>
  <si>
    <t>Maximum aperture width [µm] derived from pore length/2</t>
  </si>
  <si>
    <r>
      <t>Thickness of assimilating tissue  [µm] own measurements or estimation from literature</t>
    </r>
    <r>
      <rPr>
        <vertAlign val="superscript"/>
        <sz val="11"/>
        <color rgb="FF000000"/>
        <rFont val="Calibri"/>
        <family val="2"/>
        <scheme val="minor"/>
      </rPr>
      <t>b</t>
    </r>
  </si>
  <si>
    <r>
      <t>if own measurements: 2</t>
    </r>
    <r>
      <rPr>
        <sz val="11"/>
        <color rgb="FF000000"/>
        <rFont val="Symbol"/>
        <family val="1"/>
        <charset val="2"/>
      </rPr>
      <t xml:space="preserve">s </t>
    </r>
    <r>
      <rPr>
        <sz val="11"/>
        <color rgb="FF000000"/>
        <rFont val="Calibri"/>
        <family val="2"/>
        <scheme val="minor"/>
      </rPr>
      <t>uncertainty</t>
    </r>
  </si>
  <si>
    <t>Reference for thickness of assimilating tissue</t>
  </si>
  <si>
    <r>
      <t>Porosity of leaf tissue</t>
    </r>
    <r>
      <rPr>
        <vertAlign val="superscript"/>
        <sz val="11"/>
        <color rgb="FF000000"/>
        <rFont val="Calibri"/>
        <family val="2"/>
        <scheme val="minor"/>
      </rPr>
      <t xml:space="preserve">b </t>
    </r>
    <r>
      <rPr>
        <sz val="11"/>
        <color rgb="FF000000"/>
        <rFont val="Calibri"/>
        <family val="2"/>
        <scheme val="minor"/>
      </rPr>
      <t>[-]</t>
    </r>
  </si>
  <si>
    <t>Reference for porosity of leaf tissue</t>
  </si>
  <si>
    <r>
      <t>Tortuosity of leaf tissue</t>
    </r>
    <r>
      <rPr>
        <vertAlign val="superscript"/>
        <sz val="11"/>
        <color rgb="FF000000"/>
        <rFont val="Calibri"/>
        <family val="2"/>
        <scheme val="minor"/>
      </rPr>
      <t xml:space="preserve">b </t>
    </r>
    <r>
      <rPr>
        <sz val="11"/>
        <color rgb="FF000000"/>
        <rFont val="Calibri"/>
        <family val="2"/>
        <scheme val="minor"/>
      </rPr>
      <t>[-]</t>
    </r>
  </si>
  <si>
    <t>Reference for tortuosity of leaf tissue</t>
  </si>
  <si>
    <t>Leaf length estimated [mm]</t>
  </si>
  <si>
    <r>
      <rPr>
        <sz val="12"/>
        <color theme="1"/>
        <rFont val="Calibri"/>
        <family val="2"/>
        <scheme val="minor"/>
      </rPr>
      <t xml:space="preserve"> </t>
    </r>
    <r>
      <rPr>
        <sz val="11"/>
        <color rgb="FF000000"/>
        <rFont val="Calibri"/>
        <family val="2"/>
        <scheme val="minor"/>
      </rPr>
      <t>d</t>
    </r>
    <r>
      <rPr>
        <vertAlign val="superscript"/>
        <sz val="11"/>
        <color rgb="FF000000"/>
        <rFont val="Calibri"/>
        <family val="2"/>
        <scheme val="minor"/>
      </rPr>
      <t>13</t>
    </r>
    <r>
      <rPr>
        <sz val="12"/>
        <color theme="1"/>
        <rFont val="Calibri"/>
        <family val="2"/>
        <scheme val="minor"/>
      </rPr>
      <t>C atmosphere calculated from marine carbonates [‰]</t>
    </r>
  </si>
  <si>
    <r>
      <rPr>
        <sz val="12"/>
        <color theme="1"/>
        <rFont val="Calibri"/>
        <family val="2"/>
        <scheme val="minor"/>
      </rPr>
      <t xml:space="preserve"> Reference for </t>
    </r>
    <r>
      <rPr>
        <sz val="11"/>
        <color rgb="FF000000"/>
        <rFont val="Calibri"/>
        <family val="2"/>
        <scheme val="minor"/>
      </rPr>
      <t>d</t>
    </r>
    <r>
      <rPr>
        <vertAlign val="superscript"/>
        <sz val="11"/>
        <color rgb="FF000000"/>
        <rFont val="Calibri"/>
        <family val="2"/>
        <scheme val="minor"/>
      </rPr>
      <t>13</t>
    </r>
    <r>
      <rPr>
        <sz val="12"/>
        <color theme="1"/>
        <rFont val="Calibri"/>
        <family val="2"/>
        <scheme val="minor"/>
      </rPr>
      <t>C atmosphere calculated from marine carbonates</t>
    </r>
  </si>
  <si>
    <r>
      <t>d</t>
    </r>
    <r>
      <rPr>
        <vertAlign val="superscript"/>
        <sz val="11"/>
        <color rgb="FF000000"/>
        <rFont val="Calibri"/>
        <family val="2"/>
        <scheme val="minor"/>
      </rPr>
      <t>13</t>
    </r>
    <r>
      <rPr>
        <sz val="12"/>
        <color theme="1"/>
        <rFont val="Calibri"/>
        <family val="2"/>
        <scheme val="minor"/>
      </rPr>
      <t>C plant material [‰]</t>
    </r>
  </si>
  <si>
    <r>
      <rPr>
        <sz val="12"/>
        <color theme="1"/>
        <rFont val="Calibri"/>
        <family val="2"/>
        <scheme val="minor"/>
      </rPr>
      <t xml:space="preserve">Ci/Ca from </t>
    </r>
    <r>
      <rPr>
        <sz val="11"/>
        <color rgb="FF000000"/>
        <rFont val="Calibri"/>
        <family val="2"/>
        <scheme val="minor"/>
      </rPr>
      <t>d</t>
    </r>
    <r>
      <rPr>
        <vertAlign val="superscript"/>
        <sz val="11"/>
        <color rgb="FF000000"/>
        <rFont val="Calibri"/>
        <family val="2"/>
        <scheme val="minor"/>
      </rPr>
      <t>13</t>
    </r>
    <r>
      <rPr>
        <sz val="12"/>
        <color theme="1"/>
        <rFont val="Calibri"/>
        <family val="2"/>
        <scheme val="minor"/>
      </rPr>
      <t>C [-]</t>
    </r>
  </si>
  <si>
    <r>
      <t>Mean q (=Vcmax) [µmol*m-2*s-1] range of values as derived from literature</t>
    </r>
    <r>
      <rPr>
        <vertAlign val="superscript"/>
        <sz val="11"/>
        <color rgb="FF000000"/>
        <rFont val="Calibri"/>
        <family val="2"/>
        <scheme val="minor"/>
      </rPr>
      <t>b</t>
    </r>
  </si>
  <si>
    <t>Min q (=Vcmax) [µmol*m-2*s-1]</t>
  </si>
  <si>
    <t>Max q (=Vcmax) [µmol*m-2*s-1]</t>
  </si>
  <si>
    <t>References for q</t>
  </si>
  <si>
    <r>
      <rPr>
        <sz val="12"/>
        <color theme="1"/>
        <rFont val="Calibri"/>
        <family val="2"/>
        <scheme val="minor"/>
      </rPr>
      <t>Rd25 [µmol*m</t>
    </r>
    <r>
      <rPr>
        <vertAlign val="superscript"/>
        <sz val="11"/>
        <color rgb="FF000000"/>
        <rFont val="Calibri"/>
        <family val="2"/>
        <scheme val="minor"/>
      </rPr>
      <t>-2</t>
    </r>
    <r>
      <rPr>
        <sz val="12"/>
        <color theme="1"/>
        <rFont val="Calibri"/>
        <family val="2"/>
        <scheme val="minor"/>
      </rPr>
      <t>*s</t>
    </r>
    <r>
      <rPr>
        <vertAlign val="superscript"/>
        <sz val="11"/>
        <color rgb="FF000000"/>
        <rFont val="Calibri"/>
        <family val="2"/>
        <scheme val="minor"/>
      </rPr>
      <t>-1</t>
    </r>
    <r>
      <rPr>
        <sz val="12"/>
        <color theme="1"/>
        <rFont val="Calibri"/>
        <family val="2"/>
        <scheme val="minor"/>
      </rPr>
      <t>] as derived from literature</t>
    </r>
    <r>
      <rPr>
        <vertAlign val="superscript"/>
        <sz val="12"/>
        <color theme="1"/>
        <rFont val="Calibri"/>
        <family val="2"/>
        <scheme val="minor"/>
      </rPr>
      <t>b</t>
    </r>
  </si>
  <si>
    <t>Reference for Rd25</t>
  </si>
  <si>
    <t>Paleoclimate reconstruction used for estimating air temperature range during vegetation period</t>
  </si>
  <si>
    <t>Reference for method for estimating air temperature range during vegetation period</t>
  </si>
  <si>
    <t>Mean T of vegetation period [°C] range of values as derived from paleoclimate reconstruction</t>
  </si>
  <si>
    <t>Min T of vegetation period [°C]</t>
  </si>
  <si>
    <t>Max T of vegetation period [°C]</t>
  </si>
  <si>
    <t>Paleoclimate reconstruction used for estimating  relative humidity during vegetation period</t>
  </si>
  <si>
    <t>Reference for relative humidity</t>
  </si>
  <si>
    <t>Mean relative humidity of vegetation period [%]</t>
  </si>
  <si>
    <t>Min relative humidity of vegetation period  [%]</t>
  </si>
  <si>
    <t>Max relative humidity of vegetation period [%]</t>
  </si>
  <si>
    <t>Wind speed [m/s] Estimation</t>
  </si>
  <si>
    <t>O2 of air [ppm]</t>
  </si>
  <si>
    <t>Reference for O2</t>
  </si>
  <si>
    <t>CO2 mean from resulting CO2 range [ppm]</t>
  </si>
  <si>
    <t>Min CO2 [ppm]</t>
  </si>
  <si>
    <t>Max CO2 [ppm]</t>
  </si>
  <si>
    <t>microscope</t>
  </si>
  <si>
    <t>Evaluation of error margin:</t>
  </si>
  <si>
    <t xml:space="preserve">With the introduction of the model approach (Konrad et al. 2008, Journal of Theoretical Biology 253, 638-658), the most “critical“ input parameters were identified. </t>
  </si>
  <si>
    <t>These are</t>
  </si>
  <si>
    <t xml:space="preserve">relative humidity </t>
  </si>
  <si>
    <t>temperature T (of growing season))</t>
  </si>
  <si>
    <t>q</t>
  </si>
  <si>
    <t xml:space="preserve">Ci/Ca </t>
  </si>
  <si>
    <t>Environmental parameters are obtained by paleoclimate reconstruction, via coexistence approach and/or leaf margin analysis. The results are ranges.</t>
  </si>
  <si>
    <t>q is obtained by measurement and literature values of extant relatives of the fossil taxon. Here, also ranges are the result.</t>
  </si>
  <si>
    <t>Ci/Ca is calculated from carbon isotopes of the fossil material. The result is a mean with standard deviation.</t>
  </si>
  <si>
    <t xml:space="preserve">To approximate the error margin, the critical parameters were varied systematically: for each, the lowest and the highest value was inserted. </t>
  </si>
  <si>
    <t xml:space="preserve">While for q and environment this corresponds to the lower and upper end of the ranges, it is for Ci/Ca the mean plus and minus standard deviation. </t>
  </si>
  <si>
    <t xml:space="preserve">Critical parameters have the widest uncertainty ranges and the strongest influence on the results. </t>
  </si>
  <si>
    <t>proxy</t>
  </si>
  <si>
    <t>first_author_last_name</t>
  </si>
  <si>
    <t>publication_year</t>
  </si>
  <si>
    <t>doi</t>
  </si>
  <si>
    <t>age_ka</t>
  </si>
  <si>
    <t>Age_uncertainty_pos_ka</t>
  </si>
  <si>
    <t>Age_uncertainty_neg_ka</t>
  </si>
  <si>
    <t>name of person entering product data</t>
  </si>
  <si>
    <t>email of person entering product data</t>
  </si>
  <si>
    <t>specify reason for age revision</t>
  </si>
  <si>
    <t>droyer@wesleyan.edu</t>
  </si>
  <si>
    <t>Dana L Royer</t>
  </si>
  <si>
    <t>specify reason for quarantine</t>
  </si>
  <si>
    <t xml:space="preserve">10.3906/yer-1005-29 </t>
  </si>
  <si>
    <t>Erdei, B., Utescher, T., Hably, L., Tamás, J., Roth-Nebelsick, A., and Grein, M., 2012, Early Oligocene continental climate of the Palaeogene Basin (Hungary and Slovenia) and the surrounding area: Turkish Journal of Earth Sciences, v. 21, p. 153-186.</t>
  </si>
  <si>
    <t>Budapest, H-boreholes (Hungary)</t>
  </si>
  <si>
    <t>Budapest, Nagybátony-Újlak (Hungary)</t>
  </si>
  <si>
    <t xml:space="preserve">Rovte (Slovenia) </t>
  </si>
  <si>
    <t>biostratigraphy, nannoplankton, NP23 zone</t>
  </si>
  <si>
    <t>Elaeocarpaceae</t>
  </si>
  <si>
    <t xml:space="preserve">Sloanea </t>
  </si>
  <si>
    <t xml:space="preserve">olmediaefolia </t>
  </si>
  <si>
    <t>5 leaves</t>
  </si>
  <si>
    <t>Grein et al., 2011 (10.1016/j.palaeo.2011.07.008)</t>
  </si>
  <si>
    <t>Dungan et al. (2003), Dungan &amp; Whitehead (2006), Gamage &amp; Jesson (2007) and Gamage (2010)</t>
  </si>
  <si>
    <t>Coexistence Approach</t>
  </si>
  <si>
    <t>3 leaves</t>
  </si>
  <si>
    <t>Erdei</t>
  </si>
  <si>
    <t>stomata-konrad-FOM</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</si>
  <si>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</si>
  <si>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</si>
  <si>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</si>
  <si>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</si>
  <si>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</si>
  <si>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</si>
  <si>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</si>
  <si>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</si>
  <si>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</si>
  <si>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</si>
  <si>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</si>
  <si>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Modern Latitude (decimal degree, south negative)</t>
  </si>
  <si>
    <t>Modern Longitude (decimal degree, west negative)</t>
  </si>
  <si>
    <t>Paleo Latitude (decimal degree, south negative)</t>
  </si>
  <si>
    <t>Paleo Longitude (decimal degree, west negative)</t>
  </si>
  <si>
    <t>CO2_uncertainty_neg_ppm</t>
  </si>
  <si>
    <t>Tard clay Formation</t>
  </si>
  <si>
    <t>NP23</t>
  </si>
  <si>
    <t>300 x 300</t>
  </si>
  <si>
    <t>Grein M., Oehm C., Konrad W., Utescher T., Kunzmann L. &amp; Roth-Nebelsick A. (2013) Atmospheric CO2 from the late Oligocene to early Miocene based on photosynthesis data and fossil leaf characteristics. Palaeogeography, Palaeoclimatology, Palaeoecology, 374, 41-51</t>
  </si>
  <si>
    <t>Tipple et al., 2010 (10.1029/2009PA001851)</t>
  </si>
  <si>
    <t>Grein, M., Oehm, C., Konrad, W., Utescher, T., Kunzmann, L., and Roth-Nebelsick, A., 2013, Atmospheric CO2 from the late Oligocene to early Miocene based on photosynthesis data and</t>
  </si>
  <si>
    <t>Roth-Nebelsick A., Oehm C., Grein M., Utescher T., Kunzmann L., Friedrich J.-P. &amp; Konrad W. (2014) Stomatal density and index data of Platanus neptuni leaf fossils and their evaluation as a CO2 proxy for the Oligocene. Review of Palaeobotany and Palynology, 206, 1-9</t>
  </si>
  <si>
    <t>Socka beds</t>
  </si>
  <si>
    <t>GTS2020</t>
  </si>
  <si>
    <t>CO2 was estimated independently with three species; to avoid pseudo-replication, only the combined estimate is retained (final row)</t>
  </si>
  <si>
    <t>Biostratigraphy updated to GTS2020</t>
  </si>
  <si>
    <t>This is a new CO2 estimate based on combining the published estimates for the three species; the uncertainties span the 2.5 to 97.5 percentiles of the simulations, where the mean of each set of three resamples was first computed</t>
  </si>
  <si>
    <t>10.3906/yer-1005-30</t>
  </si>
  <si>
    <t>Monte Carlo error propagation of Kowalczyk et al. (2018 Paleoceanography &amp; Paleoclimatology 33: 1427-1438; doi:10.1029/2018PA003356) used; 2.5 and 97.5 percentiles reported here.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</si>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</sst>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2"/>
      <color theme="1"/>
      <name val="Verdana"/>
      <family val="2"/>
    </font>
    <font>
      <vertAlign val="superscript"/>
      <sz val="12"/>
      <color theme="1"/>
      <name val="Calibri"/>
      <family val="2"/>
      <scheme val="minor"/>
    </font>
    <font>
      <sz val="14"/>
      <name val="Calibri"/>
      <family val="2"/>
      <scheme val="minor"/>
    </font>
    <font>
      <sz val="12"/>
      <color theme="1"/>
      <name val="Verdana"/>
      <family val="2"/>
    </font>
    <font>
      <sz val="11"/>
      <name val="Calibri"/>
      <family val="2"/>
      <scheme val="minor"/>
    </font>
    <font>
      <vertAlign val="superscript"/>
      <sz val="11"/>
      <name val="Calibri"/>
      <family val="2"/>
      <scheme val="minor"/>
    </font>
    <font>
      <sz val="11"/>
      <color rgb="FF000000"/>
      <name val="Calibri"/>
      <family val="2"/>
      <charset val="1"/>
    </font>
    <font>
      <sz val="11"/>
      <color rgb="FF000000"/>
      <name val="Calibri"/>
      <family val="2"/>
      <scheme val="minor"/>
    </font>
    <font>
      <vertAlign val="superscript"/>
      <sz val="11"/>
      <color rgb="FF000000"/>
      <name val="Calibri"/>
      <family val="2"/>
      <scheme val="minor"/>
    </font>
    <font>
      <sz val="11"/>
      <color rgb="FF000000"/>
      <name val="Symbol"/>
      <family val="1"/>
      <charset val="2"/>
    </font>
    <font>
      <sz val="12"/>
      <color rgb="FF000000"/>
      <name val="Calibri"/>
      <family val="2"/>
      <scheme val="minor"/>
    </font>
    <font>
      <sz val="11"/>
      <name val="Calibri"/>
      <family val="2"/>
    </font>
    <font>
      <sz val="11"/>
      <color rgb="FF000000"/>
      <name val="Calibri"/>
      <family val="2"/>
    </font>
    <font>
      <b/>
      <sz val="12"/>
      <name val="Calibri"/>
      <family val="2"/>
      <scheme val="minor"/>
    </font>
    <font>
      <sz val="13"/>
      <color rgb="FF000000"/>
      <name val="Helvetica"/>
      <family val="2"/>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rgb="FF996633"/>
        <bgColor indexed="64"/>
      </patternFill>
    </fill>
    <fill>
      <patternFill patternType="solid">
        <fgColor rgb="FF00B050"/>
        <bgColor indexed="64"/>
      </patternFill>
    </fill>
    <fill>
      <patternFill patternType="solid">
        <fgColor theme="7" tint="0.39997558519241921"/>
        <bgColor indexed="64"/>
      </patternFill>
    </fill>
    <fill>
      <patternFill patternType="solid">
        <fgColor rgb="FFFF66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3" fillId="0" borderId="0"/>
    <xf numFmtId="0" fontId="5" fillId="0" borderId="0"/>
  </cellStyleXfs>
  <cellXfs count="63">
    <xf numFmtId="0" fontId="0" fillId="0" borderId="0" xfId="0"/>
    <xf numFmtId="0" fontId="7" fillId="0" borderId="0" xfId="0" applyFont="1"/>
    <xf numFmtId="0" fontId="9" fillId="0" borderId="0" xfId="0" applyFont="1"/>
    <xf numFmtId="0" fontId="6" fillId="0" borderId="1" xfId="0" applyFont="1" applyBorder="1" applyAlignment="1">
      <alignment vertical="top"/>
    </xf>
    <xf numFmtId="0" fontId="6" fillId="0" borderId="1" xfId="0" applyFont="1" applyBorder="1" applyAlignment="1">
      <alignment vertical="top" wrapText="1"/>
    </xf>
    <xf numFmtId="0" fontId="6" fillId="0" borderId="0" xfId="0" applyFont="1" applyAlignment="1">
      <alignment vertical="top"/>
    </xf>
    <xf numFmtId="0" fontId="10" fillId="2" borderId="1" xfId="0" applyFont="1" applyFill="1" applyBorder="1" applyAlignment="1">
      <alignment horizontal="center" vertical="top" wrapText="1"/>
    </xf>
    <xf numFmtId="0" fontId="0" fillId="3" borderId="1" xfId="0" applyFont="1" applyFill="1" applyBorder="1" applyAlignment="1">
      <alignment vertical="top" wrapText="1"/>
    </xf>
    <xf numFmtId="0" fontId="0" fillId="3" borderId="1" xfId="0" applyFill="1" applyBorder="1" applyAlignment="1">
      <alignment vertical="top"/>
    </xf>
    <xf numFmtId="0" fontId="11" fillId="3" borderId="1" xfId="0" applyFont="1" applyFill="1" applyBorder="1" applyAlignment="1">
      <alignment horizontal="center" vertical="top" wrapText="1"/>
    </xf>
    <xf numFmtId="0" fontId="0" fillId="4" borderId="1" xfId="0" applyFont="1" applyFill="1" applyBorder="1" applyAlignment="1">
      <alignment vertical="top" wrapText="1"/>
    </xf>
    <xf numFmtId="0" fontId="0" fillId="5" borderId="1" xfId="0" applyFont="1" applyFill="1" applyBorder="1" applyAlignment="1">
      <alignment vertical="top" wrapText="1"/>
    </xf>
    <xf numFmtId="0" fontId="11" fillId="6" borderId="1" xfId="0" applyFont="1" applyFill="1" applyBorder="1" applyAlignment="1">
      <alignment horizontal="center" vertical="top" wrapText="1"/>
    </xf>
    <xf numFmtId="0" fontId="11" fillId="6" borderId="1" xfId="0" applyFont="1" applyFill="1" applyBorder="1" applyAlignment="1">
      <alignment horizontal="left" vertical="top" wrapText="1"/>
    </xf>
    <xf numFmtId="0" fontId="14" fillId="7" borderId="1" xfId="1" applyFont="1" applyFill="1" applyBorder="1" applyAlignment="1">
      <alignment vertical="top" wrapText="1"/>
    </xf>
    <xf numFmtId="0" fontId="14" fillId="8" borderId="1" xfId="1" applyFont="1" applyFill="1" applyBorder="1" applyAlignment="1">
      <alignment vertical="top" wrapText="1"/>
    </xf>
    <xf numFmtId="0" fontId="14" fillId="9" borderId="1" xfId="1" applyFont="1" applyFill="1" applyBorder="1" applyAlignment="1">
      <alignment vertical="top" wrapText="1"/>
    </xf>
    <xf numFmtId="0" fontId="14" fillId="10" borderId="1" xfId="1" applyFont="1" applyFill="1" applyBorder="1" applyAlignment="1">
      <alignment vertical="top" wrapText="1"/>
    </xf>
    <xf numFmtId="0" fontId="14" fillId="11" borderId="1" xfId="1" applyFont="1" applyFill="1" applyBorder="1" applyAlignment="1">
      <alignment vertical="top" wrapText="1"/>
    </xf>
    <xf numFmtId="0" fontId="0" fillId="0" borderId="0" xfId="0" applyAlignment="1"/>
    <xf numFmtId="0" fontId="14" fillId="0" borderId="0" xfId="1" applyFont="1" applyBorder="1" applyAlignment="1"/>
    <xf numFmtId="0" fontId="14" fillId="0" borderId="0" xfId="1" applyFont="1" applyBorder="1" applyAlignment="1">
      <alignment wrapText="1"/>
    </xf>
    <xf numFmtId="0" fontId="14" fillId="0" borderId="0" xfId="1" applyNumberFormat="1" applyFont="1" applyBorder="1" applyAlignment="1"/>
    <xf numFmtId="0" fontId="0" fillId="0" borderId="0" xfId="0" applyNumberFormat="1"/>
    <xf numFmtId="0" fontId="6" fillId="0" borderId="1" xfId="0" applyNumberFormat="1" applyFont="1" applyBorder="1" applyAlignment="1">
      <alignment vertical="top"/>
    </xf>
    <xf numFmtId="0" fontId="14" fillId="0" borderId="0" xfId="1" applyNumberFormat="1" applyFont="1" applyBorder="1" applyAlignment="1">
      <alignment wrapText="1"/>
    </xf>
    <xf numFmtId="0" fontId="4" fillId="0" borderId="0" xfId="0" applyFont="1" applyAlignment="1">
      <alignment vertical="center"/>
    </xf>
    <xf numFmtId="0" fontId="17" fillId="0" borderId="2" xfId="0" applyFont="1" applyBorder="1" applyAlignment="1">
      <alignment wrapText="1"/>
    </xf>
    <xf numFmtId="0" fontId="17" fillId="0" borderId="3" xfId="0" applyFont="1" applyBorder="1" applyAlignment="1">
      <alignment wrapText="1"/>
    </xf>
    <xf numFmtId="0" fontId="17" fillId="0" borderId="3" xfId="0" applyFont="1" applyBorder="1"/>
    <xf numFmtId="0" fontId="0" fillId="0" borderId="3" xfId="0" applyFont="1" applyBorder="1" applyAlignment="1">
      <alignment wrapText="1"/>
    </xf>
    <xf numFmtId="0" fontId="0" fillId="0" borderId="3" xfId="0" applyFont="1" applyBorder="1"/>
    <xf numFmtId="0" fontId="0" fillId="0" borderId="3" xfId="0" quotePrefix="1" applyFont="1" applyBorder="1" applyAlignment="1">
      <alignment wrapText="1"/>
    </xf>
    <xf numFmtId="0" fontId="0" fillId="0" borderId="4" xfId="0" quotePrefix="1" applyFont="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0" fillId="0" borderId="2" xfId="0" applyFont="1" applyFill="1" applyBorder="1" applyAlignment="1">
      <alignment wrapText="1"/>
    </xf>
    <xf numFmtId="0" fontId="17" fillId="0" borderId="4" xfId="0" applyFont="1" applyBorder="1" applyAlignment="1">
      <alignment wrapText="1"/>
    </xf>
    <xf numFmtId="0" fontId="17" fillId="0" borderId="1" xfId="0" applyFont="1" applyBorder="1" applyAlignment="1">
      <alignment wrapText="1"/>
    </xf>
    <xf numFmtId="0" fontId="3" fillId="0" borderId="0" xfId="0" applyFont="1"/>
    <xf numFmtId="0" fontId="3" fillId="0" borderId="0" xfId="0" applyFont="1" applyAlignment="1"/>
    <xf numFmtId="164" fontId="18" fillId="0" borderId="0" xfId="0" applyNumberFormat="1" applyFont="1" applyAlignment="1"/>
    <xf numFmtId="164" fontId="19" fillId="0" borderId="0" xfId="0" applyNumberFormat="1" applyFont="1" applyAlignment="1"/>
    <xf numFmtId="0" fontId="19" fillId="0" borderId="0" xfId="0" applyNumberFormat="1" applyFont="1" applyAlignment="1"/>
    <xf numFmtId="1" fontId="19" fillId="0" borderId="0" xfId="0" applyNumberFormat="1" applyFont="1" applyAlignment="1"/>
    <xf numFmtId="0" fontId="2" fillId="0" borderId="0" xfId="0" applyFont="1"/>
    <xf numFmtId="0" fontId="20" fillId="4" borderId="1" xfId="0" applyFont="1" applyFill="1" applyBorder="1" applyAlignment="1">
      <alignment horizontal="center" vertical="top" wrapText="1"/>
    </xf>
    <xf numFmtId="164" fontId="1" fillId="0" borderId="0" xfId="0" applyNumberFormat="1" applyFont="1" applyAlignment="1"/>
    <xf numFmtId="2" fontId="1" fillId="0" borderId="0" xfId="0" applyNumberFormat="1" applyFont="1" applyAlignment="1"/>
    <xf numFmtId="0" fontId="17" fillId="0" borderId="0" xfId="0" applyFont="1" applyBorder="1" applyAlignment="1"/>
    <xf numFmtId="0" fontId="1" fillId="0" borderId="0" xfId="0" applyNumberFormat="1" applyFont="1" applyAlignment="1"/>
    <xf numFmtId="0" fontId="1" fillId="0" borderId="0" xfId="0" applyFont="1" applyAlignment="1"/>
    <xf numFmtId="1" fontId="1" fillId="0" borderId="0" xfId="0" applyNumberFormat="1" applyFont="1" applyAlignment="1"/>
    <xf numFmtId="0" fontId="1" fillId="0" borderId="0" xfId="0" applyNumberFormat="1" applyFont="1" applyFill="1" applyBorder="1" applyAlignment="1"/>
    <xf numFmtId="0" fontId="5" fillId="0" borderId="0" xfId="0" applyFont="1"/>
    <xf numFmtId="1" fontId="0" fillId="0" borderId="0" xfId="0" applyNumberFormat="1" applyFont="1"/>
    <xf numFmtId="1" fontId="5" fillId="0" borderId="0" xfId="0" applyNumberFormat="1" applyFont="1"/>
    <xf numFmtId="0" fontId="1" fillId="0" borderId="0" xfId="0" applyFont="1"/>
    <xf numFmtId="0" fontId="1" fillId="0" borderId="0" xfId="0" applyFont="1" applyFill="1" applyBorder="1" applyAlignment="1"/>
    <xf numFmtId="0" fontId="0" fillId="0" borderId="0" xfId="0" applyFont="1"/>
    <xf numFmtId="0" fontId="0" fillId="0" borderId="3" xfId="0" applyBorder="1" applyAlignment="1">
      <alignment wrapText="1"/>
    </xf>
    <xf numFmtId="0" fontId="21" fillId="0" borderId="0" xfId="0" applyFont="1"/>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L15"/>
  <sheetViews>
    <sheetView tabSelected="1" topLeftCell="F3" workbookViewId="0">
      <selection activeCell="O7" sqref="O7"/>
    </sheetView>
  </sheetViews>
  <sheetFormatPr baseColWidth="10" defaultColWidth="11" defaultRowHeight="16" x14ac:dyDescent="0.2"/>
  <cols>
    <col min="37" max="40" width="11" style="23"/>
  </cols>
  <sheetData>
    <row r="2" spans="1:90" s="5" customFormat="1" x14ac:dyDescent="0.2">
      <c r="Y2" s="3"/>
      <c r="Z2" s="3"/>
      <c r="AA2" s="3" t="s">
        <v>7</v>
      </c>
      <c r="AB2" s="3"/>
      <c r="AC2" s="3"/>
      <c r="AD2" s="3"/>
      <c r="AE2" s="3"/>
      <c r="AF2" s="3" t="s">
        <v>8</v>
      </c>
      <c r="AG2" s="3"/>
      <c r="AH2" s="3"/>
      <c r="AI2" s="3"/>
      <c r="AJ2" s="3"/>
      <c r="AK2" s="24"/>
      <c r="AL2" s="24"/>
      <c r="AM2" s="24"/>
      <c r="AN2" s="24"/>
      <c r="AO2" s="3" t="s">
        <v>9</v>
      </c>
      <c r="AP2" s="3"/>
      <c r="AQ2" s="3"/>
      <c r="AR2" s="3" t="s">
        <v>10</v>
      </c>
      <c r="AS2" s="3"/>
      <c r="AT2" s="4"/>
      <c r="AU2" s="3" t="s">
        <v>11</v>
      </c>
      <c r="AV2" s="3"/>
      <c r="AW2" s="3"/>
      <c r="AX2" s="3"/>
      <c r="AY2" s="3"/>
      <c r="AZ2" s="3"/>
      <c r="BA2" s="3"/>
      <c r="BB2" s="3"/>
      <c r="BC2" s="3"/>
      <c r="BD2" s="3"/>
      <c r="BE2" s="3"/>
      <c r="BF2" s="3"/>
      <c r="BG2" s="3"/>
      <c r="BH2" s="3"/>
      <c r="BI2" s="3"/>
      <c r="BJ2" s="3"/>
      <c r="BK2" s="3" t="s">
        <v>12</v>
      </c>
      <c r="BL2" s="3"/>
      <c r="BM2" s="3"/>
      <c r="BN2" s="3"/>
      <c r="BO2" s="3"/>
      <c r="BP2" s="3"/>
      <c r="BQ2" s="3" t="s">
        <v>13</v>
      </c>
      <c r="BR2" s="3"/>
      <c r="BS2" s="3"/>
      <c r="BT2" s="3"/>
      <c r="BU2" s="3"/>
      <c r="BV2" s="3"/>
      <c r="BW2" s="3" t="s">
        <v>14</v>
      </c>
      <c r="BX2" s="3"/>
      <c r="BY2" s="3"/>
      <c r="BZ2" s="3"/>
      <c r="CA2" s="3"/>
      <c r="CB2" s="3"/>
      <c r="CC2" s="3"/>
      <c r="CD2" s="3"/>
      <c r="CE2" s="3"/>
      <c r="CF2" s="3"/>
      <c r="CG2" s="3"/>
      <c r="CH2" s="3"/>
      <c r="CI2" s="3"/>
      <c r="CJ2" s="3" t="s">
        <v>15</v>
      </c>
      <c r="CK2" s="3"/>
      <c r="CL2" s="3"/>
    </row>
    <row r="3" spans="1:90" ht="409.6" x14ac:dyDescent="0.2">
      <c r="A3" s="27" t="s">
        <v>94</v>
      </c>
      <c r="B3" s="28" t="s">
        <v>95</v>
      </c>
      <c r="C3" s="29" t="s">
        <v>87</v>
      </c>
      <c r="D3" s="30" t="s">
        <v>88</v>
      </c>
      <c r="E3" s="30" t="s">
        <v>89</v>
      </c>
      <c r="F3" s="31" t="s">
        <v>90</v>
      </c>
      <c r="G3" s="31" t="s">
        <v>91</v>
      </c>
      <c r="H3" s="32" t="s">
        <v>92</v>
      </c>
      <c r="I3" s="32" t="s">
        <v>93</v>
      </c>
      <c r="J3" s="30" t="s">
        <v>116</v>
      </c>
      <c r="K3" s="32" t="s">
        <v>117</v>
      </c>
      <c r="L3" s="33" t="s">
        <v>131</v>
      </c>
      <c r="M3" s="34" t="s">
        <v>118</v>
      </c>
      <c r="N3" s="61" t="s">
        <v>146</v>
      </c>
      <c r="O3" s="61" t="s">
        <v>147</v>
      </c>
      <c r="P3" s="34" t="s">
        <v>119</v>
      </c>
      <c r="Q3" s="35" t="s">
        <v>120</v>
      </c>
      <c r="R3" s="36" t="s">
        <v>121</v>
      </c>
      <c r="S3" s="37" t="s">
        <v>122</v>
      </c>
      <c r="T3" s="34" t="s">
        <v>123</v>
      </c>
      <c r="U3" s="34" t="s">
        <v>99</v>
      </c>
      <c r="V3" s="34" t="s">
        <v>124</v>
      </c>
      <c r="W3" s="38" t="s">
        <v>125</v>
      </c>
      <c r="X3" s="39" t="s">
        <v>96</v>
      </c>
      <c r="Y3" s="6" t="s">
        <v>16</v>
      </c>
      <c r="Z3" s="6" t="s">
        <v>17</v>
      </c>
      <c r="AA3" s="7" t="s">
        <v>18</v>
      </c>
      <c r="AB3" s="7" t="s">
        <v>19</v>
      </c>
      <c r="AC3" s="8" t="s">
        <v>20</v>
      </c>
      <c r="AD3" s="7" t="s">
        <v>21</v>
      </c>
      <c r="AE3" s="9" t="s">
        <v>22</v>
      </c>
      <c r="AF3" s="10" t="s">
        <v>23</v>
      </c>
      <c r="AG3" s="10" t="s">
        <v>24</v>
      </c>
      <c r="AH3" s="10" t="s">
        <v>25</v>
      </c>
      <c r="AI3" s="10" t="s">
        <v>26</v>
      </c>
      <c r="AJ3" s="10" t="s">
        <v>27</v>
      </c>
      <c r="AK3" s="10" t="s">
        <v>127</v>
      </c>
      <c r="AL3" s="10" t="s">
        <v>128</v>
      </c>
      <c r="AM3" s="47" t="s">
        <v>129</v>
      </c>
      <c r="AN3" s="47" t="s">
        <v>130</v>
      </c>
      <c r="AO3" s="11" t="s">
        <v>28</v>
      </c>
      <c r="AP3" s="11" t="s">
        <v>29</v>
      </c>
      <c r="AQ3" s="11" t="s">
        <v>30</v>
      </c>
      <c r="AR3" s="12" t="s">
        <v>31</v>
      </c>
      <c r="AS3" s="12" t="s">
        <v>32</v>
      </c>
      <c r="AT3" s="13" t="s">
        <v>33</v>
      </c>
      <c r="AU3" s="14" t="s">
        <v>34</v>
      </c>
      <c r="AV3" s="14" t="s">
        <v>35</v>
      </c>
      <c r="AW3" s="14" t="s">
        <v>36</v>
      </c>
      <c r="AX3" s="14" t="s">
        <v>35</v>
      </c>
      <c r="AY3" s="14" t="s">
        <v>37</v>
      </c>
      <c r="AZ3" s="14" t="s">
        <v>35</v>
      </c>
      <c r="BA3" s="14" t="s">
        <v>38</v>
      </c>
      <c r="BB3" s="14" t="s">
        <v>35</v>
      </c>
      <c r="BC3" s="14" t="s">
        <v>39</v>
      </c>
      <c r="BD3" s="14" t="s">
        <v>40</v>
      </c>
      <c r="BE3" s="14" t="s">
        <v>41</v>
      </c>
      <c r="BF3" s="14" t="s">
        <v>42</v>
      </c>
      <c r="BG3" s="14" t="s">
        <v>43</v>
      </c>
      <c r="BH3" s="14" t="s">
        <v>44</v>
      </c>
      <c r="BI3" s="14" t="s">
        <v>45</v>
      </c>
      <c r="BJ3" s="14" t="s">
        <v>46</v>
      </c>
      <c r="BK3" s="15" t="s">
        <v>47</v>
      </c>
      <c r="BL3" s="15" t="s">
        <v>48</v>
      </c>
      <c r="BM3" s="15" t="s">
        <v>49</v>
      </c>
      <c r="BN3" s="15" t="s">
        <v>35</v>
      </c>
      <c r="BO3" s="15" t="s">
        <v>50</v>
      </c>
      <c r="BP3" s="15" t="s">
        <v>35</v>
      </c>
      <c r="BQ3" s="16" t="s">
        <v>51</v>
      </c>
      <c r="BR3" s="16" t="s">
        <v>52</v>
      </c>
      <c r="BS3" s="16" t="s">
        <v>53</v>
      </c>
      <c r="BT3" s="16" t="s">
        <v>54</v>
      </c>
      <c r="BU3" s="16" t="s">
        <v>55</v>
      </c>
      <c r="BV3" s="16" t="s">
        <v>56</v>
      </c>
      <c r="BW3" s="17" t="s">
        <v>57</v>
      </c>
      <c r="BX3" s="17" t="s">
        <v>58</v>
      </c>
      <c r="BY3" s="17" t="s">
        <v>59</v>
      </c>
      <c r="BZ3" s="17" t="s">
        <v>60</v>
      </c>
      <c r="CA3" s="17" t="s">
        <v>61</v>
      </c>
      <c r="CB3" s="17" t="s">
        <v>62</v>
      </c>
      <c r="CC3" s="17" t="s">
        <v>63</v>
      </c>
      <c r="CD3" s="17" t="s">
        <v>64</v>
      </c>
      <c r="CE3" s="17" t="s">
        <v>65</v>
      </c>
      <c r="CF3" s="17" t="s">
        <v>66</v>
      </c>
      <c r="CG3" s="17" t="s">
        <v>67</v>
      </c>
      <c r="CH3" s="17" t="s">
        <v>68</v>
      </c>
      <c r="CI3" s="17" t="s">
        <v>69</v>
      </c>
      <c r="CJ3" s="18" t="s">
        <v>70</v>
      </c>
      <c r="CK3" s="18" t="s">
        <v>71</v>
      </c>
      <c r="CL3" s="18" t="s">
        <v>72</v>
      </c>
    </row>
    <row r="4" spans="1:90" s="41" customFormat="1" x14ac:dyDescent="0.2">
      <c r="A4" s="40" t="s">
        <v>98</v>
      </c>
      <c r="B4" s="40" t="s">
        <v>97</v>
      </c>
      <c r="C4" s="40" t="s">
        <v>115</v>
      </c>
      <c r="D4" s="40" t="s">
        <v>114</v>
      </c>
      <c r="E4" s="40">
        <v>2012</v>
      </c>
      <c r="F4" t="str">
        <f>Z4</f>
        <v xml:space="preserve">10.3906/yer-1005-29 </v>
      </c>
      <c r="G4" s="55">
        <f>AF4*1000</f>
        <v>29500</v>
      </c>
      <c r="H4" s="55">
        <f>(AG4-AF4)*1000</f>
        <v>2500</v>
      </c>
      <c r="I4" s="55">
        <f>(AF4-AH4)*1000</f>
        <v>2500</v>
      </c>
      <c r="J4" s="56">
        <f>CJ4</f>
        <v>790</v>
      </c>
      <c r="K4" s="57">
        <f>CL4-CJ4</f>
        <v>647</v>
      </c>
      <c r="L4" s="57">
        <f>CJ4-CK4</f>
        <v>371</v>
      </c>
      <c r="M4" s="40" t="b">
        <v>0</v>
      </c>
      <c r="N4" s="40">
        <v>3</v>
      </c>
      <c r="O4" t="s">
        <v>141</v>
      </c>
      <c r="P4" s="46" t="s">
        <v>126</v>
      </c>
      <c r="Q4" s="40" t="b">
        <v>1</v>
      </c>
      <c r="R4" s="60" t="s">
        <v>145</v>
      </c>
      <c r="S4" s="40" t="b">
        <v>0</v>
      </c>
      <c r="T4" s="40" t="b">
        <v>0</v>
      </c>
      <c r="U4" s="46" t="s">
        <v>126</v>
      </c>
      <c r="V4" s="46" t="s">
        <v>126</v>
      </c>
      <c r="W4" s="40" t="b">
        <v>1</v>
      </c>
      <c r="X4" s="58" t="s">
        <v>142</v>
      </c>
      <c r="Y4" s="40" t="s">
        <v>101</v>
      </c>
      <c r="Z4" s="42" t="s">
        <v>100</v>
      </c>
      <c r="AA4" s="20" t="s">
        <v>126</v>
      </c>
      <c r="AB4" s="20" t="s">
        <v>126</v>
      </c>
      <c r="AC4" s="48" t="s">
        <v>102</v>
      </c>
      <c r="AD4" s="20" t="s">
        <v>132</v>
      </c>
      <c r="AE4" s="20" t="s">
        <v>133</v>
      </c>
      <c r="AF4" s="48">
        <f>AVERAGE(AG4:AH4)</f>
        <v>29.5</v>
      </c>
      <c r="AG4" s="48">
        <v>32</v>
      </c>
      <c r="AH4" s="48">
        <v>27</v>
      </c>
      <c r="AI4" s="20" t="s">
        <v>140</v>
      </c>
      <c r="AJ4" s="43" t="s">
        <v>105</v>
      </c>
      <c r="AK4" s="49">
        <f>47+32/60</f>
        <v>47.533333333333331</v>
      </c>
      <c r="AL4" s="49">
        <f>19+2/60</f>
        <v>19.033333333333335</v>
      </c>
      <c r="AM4" s="50" t="s">
        <v>126</v>
      </c>
      <c r="AN4" s="50" t="s">
        <v>126</v>
      </c>
      <c r="AO4" s="48" t="s">
        <v>106</v>
      </c>
      <c r="AP4" s="48" t="s">
        <v>107</v>
      </c>
      <c r="AQ4" s="48" t="s">
        <v>108</v>
      </c>
      <c r="AR4" s="48" t="s">
        <v>73</v>
      </c>
      <c r="AS4" s="20" t="s">
        <v>134</v>
      </c>
      <c r="AT4" s="43" t="s">
        <v>109</v>
      </c>
      <c r="AU4" s="51">
        <v>646</v>
      </c>
      <c r="AV4" s="20">
        <v>78.75</v>
      </c>
      <c r="AW4" s="51">
        <v>2.95</v>
      </c>
      <c r="AX4" s="20">
        <v>0.36</v>
      </c>
      <c r="AY4" s="51">
        <v>10</v>
      </c>
      <c r="AZ4" s="20" t="s">
        <v>126</v>
      </c>
      <c r="BA4" s="51">
        <f>AW4/2</f>
        <v>1.4750000000000001</v>
      </c>
      <c r="BB4" s="20">
        <v>0.18</v>
      </c>
      <c r="BC4" s="51">
        <v>56.9</v>
      </c>
      <c r="BD4" s="20">
        <v>4.4000000000000004</v>
      </c>
      <c r="BE4" s="20" t="s">
        <v>135</v>
      </c>
      <c r="BF4" s="52">
        <v>0.33</v>
      </c>
      <c r="BG4" s="48" t="s">
        <v>110</v>
      </c>
      <c r="BH4" s="52">
        <v>1.571</v>
      </c>
      <c r="BI4" s="48" t="s">
        <v>110</v>
      </c>
      <c r="BJ4" s="20">
        <v>110</v>
      </c>
      <c r="BK4" s="20">
        <v>-6.2</v>
      </c>
      <c r="BL4" s="20" t="s">
        <v>136</v>
      </c>
      <c r="BM4" s="20">
        <v>-28.54</v>
      </c>
      <c r="BN4" s="20">
        <v>1.08</v>
      </c>
      <c r="BO4" s="51">
        <v>0.81</v>
      </c>
      <c r="BP4" s="20">
        <v>1.4999999999999999E-2</v>
      </c>
      <c r="BQ4" s="45">
        <v>35</v>
      </c>
      <c r="BR4" s="20">
        <v>30</v>
      </c>
      <c r="BS4" s="53">
        <v>40</v>
      </c>
      <c r="BT4" s="43" t="s">
        <v>111</v>
      </c>
      <c r="BU4" s="51">
        <v>1</v>
      </c>
      <c r="BV4" s="20" t="s">
        <v>135</v>
      </c>
      <c r="BW4" s="44" t="s">
        <v>112</v>
      </c>
      <c r="BX4" s="20" t="s">
        <v>137</v>
      </c>
      <c r="BY4" s="51">
        <f>(BZ4+CA4)/2</f>
        <v>18.350000000000001</v>
      </c>
      <c r="BZ4" s="51">
        <v>15.6</v>
      </c>
      <c r="CA4" s="51">
        <v>21.1</v>
      </c>
      <c r="CB4" s="51" t="s">
        <v>112</v>
      </c>
      <c r="CC4" s="20" t="s">
        <v>138</v>
      </c>
      <c r="CD4" s="51">
        <v>76.5</v>
      </c>
      <c r="CE4" s="51">
        <v>75</v>
      </c>
      <c r="CF4" s="51">
        <v>78</v>
      </c>
      <c r="CG4" s="51">
        <v>3</v>
      </c>
      <c r="CH4" s="20">
        <v>210000</v>
      </c>
      <c r="CI4" s="20" t="s">
        <v>126</v>
      </c>
      <c r="CJ4" s="51">
        <v>790</v>
      </c>
      <c r="CK4" s="51">
        <v>419</v>
      </c>
      <c r="CL4" s="51">
        <v>1437</v>
      </c>
    </row>
    <row r="5" spans="1:90" s="41" customFormat="1" x14ac:dyDescent="0.2">
      <c r="A5" s="40" t="s">
        <v>98</v>
      </c>
      <c r="B5" s="40" t="s">
        <v>97</v>
      </c>
      <c r="C5" s="40" t="s">
        <v>115</v>
      </c>
      <c r="D5" s="40" t="s">
        <v>114</v>
      </c>
      <c r="E5" s="40">
        <v>2012</v>
      </c>
      <c r="F5" t="str">
        <f>Z5</f>
        <v xml:space="preserve">10.3906/yer-1005-29 </v>
      </c>
      <c r="G5" s="55">
        <f>AF5*1000</f>
        <v>29500</v>
      </c>
      <c r="H5" s="55">
        <f>(AG5-AF5)*1000</f>
        <v>2500</v>
      </c>
      <c r="I5" s="55">
        <f>(AF5-AH5)*1000</f>
        <v>2500</v>
      </c>
      <c r="J5" s="56">
        <f>CJ5</f>
        <v>664</v>
      </c>
      <c r="K5" s="57">
        <f>CL5-CJ5</f>
        <v>834</v>
      </c>
      <c r="L5" s="57">
        <f>CJ5-CK5</f>
        <v>376</v>
      </c>
      <c r="M5" s="40" t="b">
        <v>0</v>
      </c>
      <c r="N5" s="40">
        <v>3</v>
      </c>
      <c r="O5" t="s">
        <v>141</v>
      </c>
      <c r="P5" s="46" t="s">
        <v>126</v>
      </c>
      <c r="Q5" s="40" t="b">
        <v>1</v>
      </c>
      <c r="R5" s="60" t="s">
        <v>145</v>
      </c>
      <c r="S5" s="40" t="b">
        <v>0</v>
      </c>
      <c r="T5" s="40" t="b">
        <v>0</v>
      </c>
      <c r="U5" s="46" t="s">
        <v>126</v>
      </c>
      <c r="V5" s="46" t="s">
        <v>126</v>
      </c>
      <c r="W5" s="40" t="b">
        <v>1</v>
      </c>
      <c r="X5" s="58" t="s">
        <v>142</v>
      </c>
      <c r="Y5" s="40" t="s">
        <v>101</v>
      </c>
      <c r="Z5" s="42" t="s">
        <v>100</v>
      </c>
      <c r="AA5" s="20" t="s">
        <v>126</v>
      </c>
      <c r="AB5" s="20" t="s">
        <v>126</v>
      </c>
      <c r="AC5" s="48" t="s">
        <v>103</v>
      </c>
      <c r="AD5" s="20" t="s">
        <v>132</v>
      </c>
      <c r="AE5" s="20" t="s">
        <v>133</v>
      </c>
      <c r="AF5" s="48">
        <f t="shared" ref="AF5:AF6" si="0">AVERAGE(AG5:AH5)</f>
        <v>29.5</v>
      </c>
      <c r="AG5" s="48">
        <v>32</v>
      </c>
      <c r="AH5" s="48">
        <v>27</v>
      </c>
      <c r="AI5" s="20" t="s">
        <v>140</v>
      </c>
      <c r="AJ5" s="48" t="s">
        <v>105</v>
      </c>
      <c r="AK5" s="49">
        <f>47+32/60</f>
        <v>47.533333333333331</v>
      </c>
      <c r="AL5" s="49">
        <f>19+2/60</f>
        <v>19.033333333333335</v>
      </c>
      <c r="AM5" s="50" t="s">
        <v>126</v>
      </c>
      <c r="AN5" s="50" t="s">
        <v>126</v>
      </c>
      <c r="AO5" s="48" t="s">
        <v>106</v>
      </c>
      <c r="AP5" s="48" t="s">
        <v>107</v>
      </c>
      <c r="AQ5" s="48" t="s">
        <v>108</v>
      </c>
      <c r="AR5" s="48" t="s">
        <v>73</v>
      </c>
      <c r="AS5" s="20" t="s">
        <v>134</v>
      </c>
      <c r="AT5" s="43" t="s">
        <v>109</v>
      </c>
      <c r="AU5" s="54">
        <v>646</v>
      </c>
      <c r="AV5" s="20">
        <v>106</v>
      </c>
      <c r="AW5" s="51">
        <v>3.31</v>
      </c>
      <c r="AX5" s="20">
        <v>0.84</v>
      </c>
      <c r="AY5" s="51">
        <v>10</v>
      </c>
      <c r="AZ5" s="20" t="s">
        <v>126</v>
      </c>
      <c r="BA5" s="51">
        <f>AW6/2</f>
        <v>1.625</v>
      </c>
      <c r="BB5" s="20">
        <v>0.42</v>
      </c>
      <c r="BC5" s="51">
        <v>56.9</v>
      </c>
      <c r="BD5" s="20">
        <v>4.4000000000000004</v>
      </c>
      <c r="BE5" s="20" t="s">
        <v>135</v>
      </c>
      <c r="BF5" s="52">
        <v>0.33</v>
      </c>
      <c r="BG5" s="43" t="s">
        <v>110</v>
      </c>
      <c r="BH5" s="52">
        <v>1.571</v>
      </c>
      <c r="BI5" s="48" t="s">
        <v>110</v>
      </c>
      <c r="BJ5" s="20">
        <v>110</v>
      </c>
      <c r="BK5" s="20">
        <v>-6.2</v>
      </c>
      <c r="BL5" s="20" t="s">
        <v>136</v>
      </c>
      <c r="BM5" s="20">
        <v>-28.54</v>
      </c>
      <c r="BN5" s="20">
        <v>1.08</v>
      </c>
      <c r="BO5" s="51">
        <v>0.81</v>
      </c>
      <c r="BP5" s="20">
        <v>1.4999999999999999E-2</v>
      </c>
      <c r="BQ5" s="53">
        <v>35</v>
      </c>
      <c r="BR5" s="20">
        <v>30</v>
      </c>
      <c r="BS5" s="53">
        <v>40</v>
      </c>
      <c r="BT5" s="48" t="s">
        <v>111</v>
      </c>
      <c r="BU5" s="51">
        <v>1</v>
      </c>
      <c r="BV5" s="20" t="s">
        <v>135</v>
      </c>
      <c r="BW5" s="51" t="s">
        <v>112</v>
      </c>
      <c r="BX5" s="20" t="s">
        <v>137</v>
      </c>
      <c r="BY5" s="51">
        <f>(BZ5+CA5)/2</f>
        <v>18.899999999999999</v>
      </c>
      <c r="BZ5" s="51">
        <v>15.6</v>
      </c>
      <c r="CA5" s="51">
        <v>22.2</v>
      </c>
      <c r="CB5" s="51" t="s">
        <v>112</v>
      </c>
      <c r="CC5" s="20" t="s">
        <v>138</v>
      </c>
      <c r="CD5" s="51">
        <v>78</v>
      </c>
      <c r="CE5" s="51">
        <v>77</v>
      </c>
      <c r="CF5" s="51">
        <v>79</v>
      </c>
      <c r="CG5" s="51">
        <v>3</v>
      </c>
      <c r="CH5" s="20">
        <v>210000</v>
      </c>
      <c r="CI5" s="20" t="s">
        <v>126</v>
      </c>
      <c r="CJ5" s="51">
        <v>664</v>
      </c>
      <c r="CK5" s="51">
        <v>288</v>
      </c>
      <c r="CL5" s="51">
        <v>1498</v>
      </c>
    </row>
    <row r="6" spans="1:90" s="41" customFormat="1" x14ac:dyDescent="0.2">
      <c r="A6" s="40" t="s">
        <v>98</v>
      </c>
      <c r="B6" s="40" t="s">
        <v>97</v>
      </c>
      <c r="C6" s="40" t="s">
        <v>115</v>
      </c>
      <c r="D6" s="40" t="s">
        <v>114</v>
      </c>
      <c r="E6" s="40">
        <v>2012</v>
      </c>
      <c r="F6" t="str">
        <f>Z6</f>
        <v xml:space="preserve">10.3906/yer-1005-29 </v>
      </c>
      <c r="G6" s="55">
        <f>AF6*1000</f>
        <v>29500</v>
      </c>
      <c r="H6" s="55">
        <f>(AG6-AF6)*1000</f>
        <v>2500</v>
      </c>
      <c r="I6" s="55">
        <f>(AF6-AH6)*1000</f>
        <v>2500</v>
      </c>
      <c r="J6" s="56">
        <f>CJ6</f>
        <v>584</v>
      </c>
      <c r="K6" s="57">
        <f>CL6-CJ6</f>
        <v>1415</v>
      </c>
      <c r="L6" s="57">
        <f>CJ6-CK6</f>
        <v>387</v>
      </c>
      <c r="M6" s="40" t="b">
        <v>0</v>
      </c>
      <c r="N6" s="40">
        <v>3</v>
      </c>
      <c r="O6" t="s">
        <v>141</v>
      </c>
      <c r="P6" s="46" t="s">
        <v>126</v>
      </c>
      <c r="Q6" s="40" t="b">
        <v>1</v>
      </c>
      <c r="R6" s="60" t="s">
        <v>145</v>
      </c>
      <c r="S6" s="40" t="b">
        <v>0</v>
      </c>
      <c r="T6" s="40" t="b">
        <v>0</v>
      </c>
      <c r="U6" s="46" t="s">
        <v>126</v>
      </c>
      <c r="V6" s="46" t="s">
        <v>126</v>
      </c>
      <c r="W6" s="40" t="b">
        <v>1</v>
      </c>
      <c r="X6" s="58" t="s">
        <v>142</v>
      </c>
      <c r="Y6" s="40" t="s">
        <v>101</v>
      </c>
      <c r="Z6" s="42" t="s">
        <v>100</v>
      </c>
      <c r="AA6" s="20" t="s">
        <v>126</v>
      </c>
      <c r="AB6" s="20" t="s">
        <v>126</v>
      </c>
      <c r="AC6" s="48" t="s">
        <v>104</v>
      </c>
      <c r="AD6" s="20" t="s">
        <v>139</v>
      </c>
      <c r="AE6" s="20" t="s">
        <v>133</v>
      </c>
      <c r="AF6" s="48">
        <f t="shared" si="0"/>
        <v>29.5</v>
      </c>
      <c r="AG6" s="48">
        <v>32</v>
      </c>
      <c r="AH6" s="48">
        <v>27</v>
      </c>
      <c r="AI6" s="20" t="s">
        <v>140</v>
      </c>
      <c r="AJ6" s="20" t="s">
        <v>105</v>
      </c>
      <c r="AK6" s="49">
        <f>45+59/60</f>
        <v>45.983333333333334</v>
      </c>
      <c r="AL6" s="49">
        <f>14+10/60</f>
        <v>14.166666666666666</v>
      </c>
      <c r="AM6" s="50" t="s">
        <v>126</v>
      </c>
      <c r="AN6" s="50" t="s">
        <v>126</v>
      </c>
      <c r="AO6" s="48" t="s">
        <v>106</v>
      </c>
      <c r="AP6" s="48" t="s">
        <v>107</v>
      </c>
      <c r="AQ6" s="48" t="s">
        <v>108</v>
      </c>
      <c r="AR6" s="48" t="s">
        <v>73</v>
      </c>
      <c r="AS6" s="20" t="s">
        <v>134</v>
      </c>
      <c r="AT6" s="43" t="s">
        <v>113</v>
      </c>
      <c r="AU6" s="54">
        <v>700</v>
      </c>
      <c r="AV6" s="20">
        <v>158</v>
      </c>
      <c r="AW6" s="51">
        <v>3.25</v>
      </c>
      <c r="AX6" s="20">
        <v>1.45</v>
      </c>
      <c r="AY6" s="51">
        <v>10</v>
      </c>
      <c r="AZ6" s="20" t="s">
        <v>126</v>
      </c>
      <c r="BA6" s="51">
        <f>AW6/2</f>
        <v>1.625</v>
      </c>
      <c r="BB6" s="20">
        <v>0.72</v>
      </c>
      <c r="BC6" s="51">
        <v>56.9</v>
      </c>
      <c r="BD6" s="20">
        <v>4.4000000000000004</v>
      </c>
      <c r="BE6" s="20" t="s">
        <v>135</v>
      </c>
      <c r="BF6" s="52">
        <v>0.33</v>
      </c>
      <c r="BG6" s="48" t="s">
        <v>110</v>
      </c>
      <c r="BH6" s="52">
        <v>1.571</v>
      </c>
      <c r="BI6" s="48" t="s">
        <v>110</v>
      </c>
      <c r="BJ6" s="20">
        <v>110</v>
      </c>
      <c r="BK6" s="20">
        <v>-6.2</v>
      </c>
      <c r="BL6" s="20" t="s">
        <v>136</v>
      </c>
      <c r="BM6" s="20">
        <v>-28.25</v>
      </c>
      <c r="BN6" s="20">
        <v>0.14000000000000001</v>
      </c>
      <c r="BO6" s="51">
        <v>0.81</v>
      </c>
      <c r="BP6" s="20">
        <v>1.4999999999999999E-2</v>
      </c>
      <c r="BQ6" s="53">
        <v>35</v>
      </c>
      <c r="BR6" s="20">
        <v>30</v>
      </c>
      <c r="BS6" s="53">
        <v>40</v>
      </c>
      <c r="BT6" s="48" t="s">
        <v>111</v>
      </c>
      <c r="BU6" s="51">
        <v>1</v>
      </c>
      <c r="BV6" s="20" t="s">
        <v>135</v>
      </c>
      <c r="BW6" s="51" t="s">
        <v>112</v>
      </c>
      <c r="BX6" s="20" t="s">
        <v>137</v>
      </c>
      <c r="BY6" s="51">
        <f>(BZ6+CA6)/2</f>
        <v>18.899999999999999</v>
      </c>
      <c r="BZ6" s="51">
        <v>16.5</v>
      </c>
      <c r="CA6" s="51">
        <v>21.3</v>
      </c>
      <c r="CB6" s="51" t="s">
        <v>112</v>
      </c>
      <c r="CC6" s="20" t="s">
        <v>138</v>
      </c>
      <c r="CD6" s="51">
        <v>80</v>
      </c>
      <c r="CE6" s="51">
        <v>79</v>
      </c>
      <c r="CF6" s="51">
        <v>81</v>
      </c>
      <c r="CG6" s="51">
        <v>3</v>
      </c>
      <c r="CH6" s="20">
        <v>210000</v>
      </c>
      <c r="CI6" s="20" t="s">
        <v>126</v>
      </c>
      <c r="CJ6" s="51">
        <v>584</v>
      </c>
      <c r="CK6" s="51">
        <v>197</v>
      </c>
      <c r="CL6" s="51">
        <v>1999</v>
      </c>
    </row>
    <row r="7" spans="1:90" s="19" customFormat="1" ht="17" x14ac:dyDescent="0.2">
      <c r="A7" s="40" t="s">
        <v>98</v>
      </c>
      <c r="B7" s="40" t="s">
        <v>97</v>
      </c>
      <c r="C7" s="40" t="s">
        <v>115</v>
      </c>
      <c r="D7" s="40" t="s">
        <v>114</v>
      </c>
      <c r="E7" s="40">
        <v>2012</v>
      </c>
      <c r="F7" t="str">
        <f>Z7</f>
        <v>10.3906/yer-1005-30</v>
      </c>
      <c r="G7" s="55">
        <f>AF7*1000</f>
        <v>29500</v>
      </c>
      <c r="H7" s="55">
        <f>(AG7-AF7)*1000</f>
        <v>2500</v>
      </c>
      <c r="I7" s="55">
        <f>(AF7-AH7)*1000</f>
        <v>2500</v>
      </c>
      <c r="J7" s="56">
        <f>CJ7</f>
        <v>719</v>
      </c>
      <c r="K7" s="57">
        <f>CL7-CJ7</f>
        <v>551</v>
      </c>
      <c r="L7" s="57">
        <f>CJ7-CK7</f>
        <v>272</v>
      </c>
      <c r="M7" s="19" t="s">
        <v>126</v>
      </c>
      <c r="N7" s="52">
        <v>1</v>
      </c>
      <c r="O7" s="62" t="s">
        <v>148</v>
      </c>
      <c r="P7" s="52" t="s">
        <v>126</v>
      </c>
      <c r="Q7" s="59" t="b">
        <v>1</v>
      </c>
      <c r="R7" s="19" t="s">
        <v>143</v>
      </c>
      <c r="S7" s="40" t="b">
        <v>0</v>
      </c>
      <c r="T7" s="40" t="b">
        <v>0</v>
      </c>
      <c r="U7" s="46" t="s">
        <v>126</v>
      </c>
      <c r="V7" s="46" t="s">
        <v>126</v>
      </c>
      <c r="W7" s="40" t="b">
        <v>1</v>
      </c>
      <c r="X7" s="58" t="s">
        <v>142</v>
      </c>
      <c r="Y7" s="40" t="s">
        <v>101</v>
      </c>
      <c r="Z7" s="42" t="s">
        <v>144</v>
      </c>
      <c r="AA7" s="20" t="s">
        <v>126</v>
      </c>
      <c r="AB7" s="20" t="s">
        <v>126</v>
      </c>
      <c r="AC7" s="20" t="s">
        <v>126</v>
      </c>
      <c r="AD7" s="20" t="s">
        <v>126</v>
      </c>
      <c r="AE7" s="20" t="s">
        <v>133</v>
      </c>
      <c r="AF7" s="48">
        <f t="shared" ref="AF7" si="1">AVERAGE(AG7:AH7)</f>
        <v>29.5</v>
      </c>
      <c r="AG7" s="48">
        <v>32</v>
      </c>
      <c r="AH7" s="48">
        <v>27</v>
      </c>
      <c r="AI7" s="20" t="s">
        <v>140</v>
      </c>
      <c r="AJ7" s="20" t="s">
        <v>105</v>
      </c>
      <c r="AK7" s="49">
        <f>45+59/60</f>
        <v>45.983333333333334</v>
      </c>
      <c r="AL7" s="49">
        <f>14+10/60</f>
        <v>14.166666666666666</v>
      </c>
      <c r="AM7" s="50" t="s">
        <v>126</v>
      </c>
      <c r="AN7" s="50" t="s">
        <v>126</v>
      </c>
      <c r="AO7" s="50" t="s">
        <v>126</v>
      </c>
      <c r="AP7" s="50" t="s">
        <v>126</v>
      </c>
      <c r="AQ7" s="50" t="s">
        <v>126</v>
      </c>
      <c r="AR7" s="50" t="s">
        <v>126</v>
      </c>
      <c r="AS7" s="50" t="s">
        <v>126</v>
      </c>
      <c r="AT7" s="50" t="s">
        <v>126</v>
      </c>
      <c r="AU7" s="50" t="s">
        <v>126</v>
      </c>
      <c r="AV7" s="50" t="s">
        <v>126</v>
      </c>
      <c r="AW7" s="50" t="s">
        <v>126</v>
      </c>
      <c r="AX7" s="50" t="s">
        <v>126</v>
      </c>
      <c r="AY7" s="50" t="s">
        <v>126</v>
      </c>
      <c r="AZ7" s="50" t="s">
        <v>126</v>
      </c>
      <c r="BA7" s="50" t="s">
        <v>126</v>
      </c>
      <c r="BB7" s="50" t="s">
        <v>126</v>
      </c>
      <c r="BC7" s="50" t="s">
        <v>126</v>
      </c>
      <c r="BD7" s="50" t="s">
        <v>126</v>
      </c>
      <c r="BE7" s="50" t="s">
        <v>126</v>
      </c>
      <c r="BF7" s="50" t="s">
        <v>126</v>
      </c>
      <c r="BG7" s="50" t="s">
        <v>126</v>
      </c>
      <c r="BH7" s="50" t="s">
        <v>126</v>
      </c>
      <c r="BI7" s="50" t="s">
        <v>126</v>
      </c>
      <c r="BJ7" s="50" t="s">
        <v>126</v>
      </c>
      <c r="BK7" s="50" t="s">
        <v>126</v>
      </c>
      <c r="BL7" s="50" t="s">
        <v>126</v>
      </c>
      <c r="BM7" s="50" t="s">
        <v>126</v>
      </c>
      <c r="BN7" s="50" t="s">
        <v>126</v>
      </c>
      <c r="BO7" s="50" t="s">
        <v>126</v>
      </c>
      <c r="BP7" s="50" t="s">
        <v>126</v>
      </c>
      <c r="BQ7" s="50" t="s">
        <v>126</v>
      </c>
      <c r="BR7" s="50" t="s">
        <v>126</v>
      </c>
      <c r="BS7" s="50" t="s">
        <v>126</v>
      </c>
      <c r="BT7" s="50" t="s">
        <v>126</v>
      </c>
      <c r="BU7" s="50" t="s">
        <v>126</v>
      </c>
      <c r="BV7" s="50" t="s">
        <v>126</v>
      </c>
      <c r="BW7" s="50" t="s">
        <v>126</v>
      </c>
      <c r="BX7" s="50" t="s">
        <v>126</v>
      </c>
      <c r="BY7" s="50" t="s">
        <v>126</v>
      </c>
      <c r="BZ7" s="50" t="s">
        <v>126</v>
      </c>
      <c r="CA7" s="50" t="s">
        <v>126</v>
      </c>
      <c r="CB7" s="50" t="s">
        <v>126</v>
      </c>
      <c r="CC7" s="50" t="s">
        <v>126</v>
      </c>
      <c r="CD7" s="50" t="s">
        <v>126</v>
      </c>
      <c r="CE7" s="50" t="s">
        <v>126</v>
      </c>
      <c r="CF7" s="50" t="s">
        <v>126</v>
      </c>
      <c r="CG7" s="50" t="s">
        <v>126</v>
      </c>
      <c r="CH7" s="50" t="s">
        <v>126</v>
      </c>
      <c r="CI7" s="50" t="s">
        <v>126</v>
      </c>
      <c r="CJ7" s="20">
        <v>719</v>
      </c>
      <c r="CK7" s="20">
        <v>447</v>
      </c>
      <c r="CL7" s="20">
        <v>1270</v>
      </c>
    </row>
    <row r="8" spans="1:90" s="19" customFormat="1" x14ac:dyDescent="0.2">
      <c r="AA8" s="20"/>
      <c r="AB8" s="20"/>
      <c r="AC8" s="20"/>
      <c r="AD8" s="20"/>
      <c r="AE8" s="20"/>
      <c r="AF8" s="20"/>
      <c r="AG8" s="20"/>
      <c r="AH8" s="20"/>
      <c r="AI8" s="20"/>
      <c r="AJ8" s="20"/>
      <c r="AK8" s="22"/>
      <c r="AL8" s="22"/>
      <c r="AM8" s="22"/>
      <c r="AN8" s="22"/>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row>
    <row r="9" spans="1:90" s="19" customFormat="1" x14ac:dyDescent="0.2">
      <c r="AA9" s="20"/>
      <c r="AB9" s="20"/>
      <c r="AC9" s="20"/>
      <c r="AD9" s="20"/>
      <c r="AE9" s="20"/>
      <c r="AF9" s="20"/>
      <c r="AG9" s="20"/>
      <c r="AH9" s="20"/>
      <c r="AI9" s="20"/>
      <c r="AJ9" s="20"/>
      <c r="AK9" s="22"/>
      <c r="AM9" s="22"/>
      <c r="AN9" s="22"/>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row>
    <row r="10" spans="1:90" x14ac:dyDescent="0.2">
      <c r="AA10" s="21"/>
      <c r="AB10" s="21"/>
      <c r="AC10" s="21"/>
      <c r="AD10" s="21"/>
      <c r="AE10" s="21"/>
      <c r="AF10" s="21"/>
      <c r="AG10" s="21"/>
      <c r="AH10" s="21"/>
      <c r="AI10" s="21"/>
      <c r="AJ10" s="21"/>
      <c r="AK10" s="25"/>
      <c r="AM10" s="25"/>
      <c r="AN10" s="25"/>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row>
    <row r="11" spans="1:90" x14ac:dyDescent="0.2">
      <c r="AA11" s="21"/>
      <c r="AB11" s="21"/>
      <c r="AC11" s="21"/>
      <c r="AD11" s="21"/>
      <c r="AE11" s="21"/>
      <c r="AF11" s="21"/>
      <c r="AG11" s="21"/>
      <c r="AH11" s="21"/>
      <c r="AI11" s="21"/>
      <c r="AJ11" s="21"/>
      <c r="AK11" s="25"/>
      <c r="AM11" s="25"/>
      <c r="AN11" s="25"/>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row>
    <row r="12" spans="1:90" x14ac:dyDescent="0.2">
      <c r="AA12" s="21"/>
      <c r="AB12" s="21"/>
      <c r="AC12" s="21"/>
      <c r="AD12" s="21"/>
      <c r="AE12" s="21"/>
      <c r="AF12" s="21"/>
      <c r="AG12" s="21"/>
      <c r="AH12" s="21"/>
      <c r="AI12" s="21"/>
      <c r="AJ12" s="21"/>
      <c r="AK12" s="25"/>
      <c r="AM12" s="25"/>
      <c r="AN12" s="25"/>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row>
    <row r="13" spans="1:90" x14ac:dyDescent="0.2">
      <c r="AA13" s="21"/>
      <c r="AB13" s="21"/>
      <c r="AC13" s="21"/>
      <c r="AD13" s="21"/>
      <c r="AE13" s="21"/>
      <c r="AF13" s="21"/>
      <c r="AG13" s="21"/>
      <c r="AH13" s="21"/>
      <c r="AI13" s="21"/>
      <c r="AJ13" s="21"/>
      <c r="AK13" s="25"/>
      <c r="AL13" s="25"/>
      <c r="AM13" s="25"/>
      <c r="AN13" s="25"/>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row>
    <row r="14" spans="1:90" x14ac:dyDescent="0.2">
      <c r="AA14" s="21"/>
      <c r="AB14" s="21"/>
      <c r="AC14" s="21"/>
      <c r="AD14" s="21"/>
      <c r="AE14" s="21"/>
      <c r="AF14" s="21"/>
      <c r="AG14" s="21"/>
      <c r="AH14" s="21"/>
      <c r="AI14" s="21"/>
      <c r="AJ14" s="21"/>
      <c r="AK14" s="25"/>
      <c r="AL14" s="25"/>
      <c r="AM14" s="25"/>
      <c r="AN14" s="25"/>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row>
    <row r="15" spans="1:90" x14ac:dyDescent="0.2">
      <c r="AA15" s="21"/>
      <c r="AB15" s="21"/>
      <c r="AC15" s="21"/>
      <c r="AD15" s="21"/>
      <c r="AE15" s="21"/>
      <c r="AF15" s="21"/>
      <c r="AG15" s="21"/>
      <c r="AH15" s="21"/>
      <c r="AI15" s="21"/>
      <c r="AJ15" s="21"/>
      <c r="AK15" s="25"/>
      <c r="AL15" s="25"/>
      <c r="AM15" s="25"/>
      <c r="AN15" s="25"/>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row>
  </sheetData>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workbookViewId="0">
      <selection activeCell="A10" sqref="A10:A22"/>
    </sheetView>
  </sheetViews>
  <sheetFormatPr baseColWidth="10" defaultColWidth="11" defaultRowHeight="16" x14ac:dyDescent="0.2"/>
  <sheetData>
    <row r="1" spans="1:1" x14ac:dyDescent="0.2">
      <c r="A1" s="1" t="s">
        <v>0</v>
      </c>
    </row>
    <row r="2" spans="1:1" x14ac:dyDescent="0.2">
      <c r="A2" t="s">
        <v>1</v>
      </c>
    </row>
    <row r="3" spans="1:1" ht="19" x14ac:dyDescent="0.2">
      <c r="A3" t="s">
        <v>2</v>
      </c>
    </row>
    <row r="4" spans="1:1" ht="19" x14ac:dyDescent="0.2">
      <c r="A4" t="s">
        <v>3</v>
      </c>
    </row>
    <row r="6" spans="1:1" ht="19" x14ac:dyDescent="0.25">
      <c r="A6" s="2" t="s">
        <v>4</v>
      </c>
    </row>
    <row r="7" spans="1:1" ht="19" x14ac:dyDescent="0.25">
      <c r="A7" s="2" t="s">
        <v>5</v>
      </c>
    </row>
    <row r="8" spans="1:1" ht="19" x14ac:dyDescent="0.25">
      <c r="A8" s="2" t="s">
        <v>6</v>
      </c>
    </row>
    <row r="10" spans="1:1" x14ac:dyDescent="0.2">
      <c r="A10" s="26" t="s">
        <v>74</v>
      </c>
    </row>
    <row r="11" spans="1:1" x14ac:dyDescent="0.2">
      <c r="A11" s="26" t="s">
        <v>75</v>
      </c>
    </row>
    <row r="12" spans="1:1" x14ac:dyDescent="0.2">
      <c r="A12" s="26" t="s">
        <v>86</v>
      </c>
    </row>
    <row r="13" spans="1:1" x14ac:dyDescent="0.2">
      <c r="A13" s="26" t="s">
        <v>76</v>
      </c>
    </row>
    <row r="14" spans="1:1" x14ac:dyDescent="0.2">
      <c r="A14" s="26" t="s">
        <v>77</v>
      </c>
    </row>
    <row r="15" spans="1:1" x14ac:dyDescent="0.2">
      <c r="A15" s="26" t="s">
        <v>78</v>
      </c>
    </row>
    <row r="16" spans="1:1" x14ac:dyDescent="0.2">
      <c r="A16" s="26" t="s">
        <v>79</v>
      </c>
    </row>
    <row r="17" spans="1:1" x14ac:dyDescent="0.2">
      <c r="A17" s="26" t="s">
        <v>80</v>
      </c>
    </row>
    <row r="18" spans="1:1" x14ac:dyDescent="0.2">
      <c r="A18" s="26" t="s">
        <v>81</v>
      </c>
    </row>
    <row r="19" spans="1:1" x14ac:dyDescent="0.2">
      <c r="A19" s="26" t="s">
        <v>82</v>
      </c>
    </row>
    <row r="20" spans="1:1" x14ac:dyDescent="0.2">
      <c r="A20" s="26" t="s">
        <v>83</v>
      </c>
    </row>
    <row r="21" spans="1:1" x14ac:dyDescent="0.2">
      <c r="A21" s="26" t="s">
        <v>84</v>
      </c>
    </row>
    <row r="22" spans="1:1" x14ac:dyDescent="0.2">
      <c r="A22"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gas-exchange_FOM</vt:lpstr>
      <vt:lpstr>Specifications and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2017-12-08T17:20:22Z</dcterms:created>
  <dcterms:modified xsi:type="dcterms:W3CDTF">2022-03-17T19:16:31Z</dcterms:modified>
</cp:coreProperties>
</file>