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98EFE699-B9EB-2A48-A459-23809BF9A915}" xr6:coauthVersionLast="47" xr6:coauthVersionMax="47" xr10:uidLastSave="{00000000-0000-0000-0000-000000000000}"/>
  <bookViews>
    <workbookView xWindow="-780" yWindow="2940" windowWidth="28800" windowHeight="1702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T9" i="1" l="1"/>
  <c r="AS9" i="1"/>
  <c r="J9" i="1"/>
  <c r="L9" i="1"/>
  <c r="K9" i="1"/>
  <c r="G9" i="1" l="1"/>
  <c r="H9" i="1"/>
  <c r="I9" i="1"/>
  <c r="G5" i="1"/>
  <c r="H5" i="1"/>
  <c r="I5" i="1"/>
  <c r="J5" i="1"/>
  <c r="K5" i="1"/>
  <c r="L5" i="1"/>
  <c r="G6" i="1"/>
  <c r="H6" i="1"/>
  <c r="I6" i="1"/>
  <c r="J6" i="1"/>
  <c r="K6" i="1"/>
  <c r="L6" i="1"/>
  <c r="G7" i="1"/>
  <c r="H7" i="1"/>
  <c r="I7" i="1"/>
  <c r="J7" i="1"/>
  <c r="K7" i="1"/>
  <c r="L7" i="1"/>
  <c r="G8" i="1"/>
  <c r="H8" i="1"/>
  <c r="I8" i="1"/>
  <c r="J8" i="1"/>
  <c r="K8" i="1"/>
  <c r="L8" i="1"/>
  <c r="L4" i="1"/>
  <c r="K4" i="1"/>
  <c r="J4" i="1"/>
  <c r="I4" i="1"/>
  <c r="H4" i="1"/>
  <c r="G4" i="1"/>
</calcChain>
</file>

<file path=xl/sharedStrings.xml><?xml version="1.0" encoding="utf-8"?>
<sst xmlns="http://schemas.openxmlformats.org/spreadsheetml/2006/main" count="476" uniqueCount="199">
  <si>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</si>
  <si>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</si>
  <si>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</si>
  <si>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</si>
  <si>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</si>
  <si>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</si>
  <si>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</si>
  <si>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</si>
  <si>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</si>
  <si>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</si>
  <si>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</si>
  <si>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</si>
  <si>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</si>
  <si>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</si>
  <si>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</si>
  <si>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</si>
  <si>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</si>
  <si>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</si>
  <si>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</si>
  <si>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</si>
  <si>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</si>
  <si>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</si>
  <si>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</si>
  <si>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</si>
  <si>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</si>
  <si>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</si>
  <si>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</si>
  <si>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</si>
  <si>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</si>
  <si>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</si>
  <si>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</si>
  <si>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</si>
  <si>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</si>
  <si>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</si>
  <si>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</si>
  <si>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</si>
  <si>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</si>
  <si>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</si>
  <si>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</si>
  <si>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</si>
  <si>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</si>
  <si>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</si>
  <si>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</si>
  <si>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</si>
  <si>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</si>
  <si>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</si>
  <si>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</si>
  <si>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</si>
  <si>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</si>
  <si>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</si>
  <si>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</si>
  <si>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</si>
  <si>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</si>
  <si>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</si>
  <si>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</si>
  <si>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</si>
  <si>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</si>
  <si>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</si>
  <si>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</si>
  <si>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</si>
  <si>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</si>
  <si>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</si>
  <si>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</si>
  <si>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</si>
  <si>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</si>
  <si>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</si>
  <si>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</si>
  <si>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</si>
  <si>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</si>
  <si>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</si>
  <si>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</si>
  <si>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</si>
  <si>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</si>
  <si>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</si>
  <si>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</si>
  <si>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</si>
  <si>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</si>
  <si>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</si>
  <si>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</si>
  <si>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</si>
  <si>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</si>
  <si>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</si>
  <si>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</si>
  <si>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</si>
  <si>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</si>
  <si>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</si>
  <si>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</si>
  <si>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</si>
  <si>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</si>
  <si>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</si>
  <si>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</si>
  <si>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</si>
  <si>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</si>
  <si>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</si>
  <si>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</si>
  <si>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</si>
  <si>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</si>
  <si>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</si>
  <si>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</si>
  <si>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</si>
  <si>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</si>
  <si>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</si>
  <si>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</si>
  <si>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</si>
  <si>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</si>
  <si>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</si>
  <si>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</si>
  <si>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</si>
  <si>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</si>
  <si>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</si>
  <si>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</si>
  <si>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</si>
  <si>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</si>
  <si>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</si>
  <si>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</si>
  <si>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</si>
  <si>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</si>
  <si>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</si>
  <si>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</si>
  <si>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</si>
  <si>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</si>
  <si>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</si>
  <si>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</si>
  <si>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</si>
  <si>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</si>
  <si>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</si>
  <si>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</si>
  <si>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</si>
  <si>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</si>
  <si>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</si>
  <si>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</si>
  <si>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</si>
  <si>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</si>
  <si>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</si>
  <si>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U/Pb geochronology of detrital zircon grains</t>
  </si>
  <si>
    <t>2.5 and 97.5 percentiles</t>
  </si>
  <si>
    <t>right skewed</t>
  </si>
  <si>
    <t>microscope</t>
  </si>
  <si>
    <t>4 leaves</t>
  </si>
  <si>
    <t>age model of Tipple et al. (2010; 10.1029/2009PA001851)</t>
  </si>
  <si>
    <t>generic value from Franks et al. (2014); 1 sigma error is 5% of mean</t>
  </si>
  <si>
    <t>pore length was measured directly, so this scalar has no error</t>
  </si>
  <si>
    <t>no</t>
  </si>
  <si>
    <t>10.1002/ajb2.1187</t>
  </si>
  <si>
    <t>PM-M2</t>
  </si>
  <si>
    <t>Myrtaceae??</t>
  </si>
  <si>
    <t>Smithsonian Tropical Research Institute</t>
  </si>
  <si>
    <t>Pedro Miguel</t>
  </si>
  <si>
    <t>median (note: a single estimate that combines all five species can be done, but the cross-species estimates have a bimodal character)</t>
  </si>
  <si>
    <t>400x magnification</t>
  </si>
  <si>
    <t>7 leaves</t>
  </si>
  <si>
    <t>generic value of 0.7 based on typical values for present-day angiosperms; 1 sigma error is 5% of mean</t>
  </si>
  <si>
    <t>PM-M3</t>
  </si>
  <si>
    <t>5 leaves</t>
  </si>
  <si>
    <t>PM-M4</t>
  </si>
  <si>
    <t>Lauracaeae??</t>
  </si>
  <si>
    <t>PM-M5</t>
  </si>
  <si>
    <t>PM-M6</t>
  </si>
  <si>
    <t>1 leaf</t>
  </si>
  <si>
    <t>proxy</t>
  </si>
  <si>
    <t>first_author_last_name</t>
  </si>
  <si>
    <t>publication_year</t>
  </si>
  <si>
    <t>age_ka</t>
  </si>
  <si>
    <t>Age_uncertainty_pos_ka</t>
  </si>
  <si>
    <t>Age_uncertainty_neg_ka</t>
  </si>
  <si>
    <t>stomata-franks</t>
  </si>
  <si>
    <t>name of person entering product data</t>
  </si>
  <si>
    <t>email of person entering product data</t>
  </si>
  <si>
    <t>specify reason for age revision</t>
  </si>
  <si>
    <t>droyer@wesleyan.edu</t>
  </si>
  <si>
    <t>10.1002/ajb2.1188</t>
  </si>
  <si>
    <t>combination of the five taxa above</t>
  </si>
  <si>
    <t>specify reason for quarantine</t>
  </si>
  <si>
    <t>CO2 was estimated independently from five species; to avoid pseudo-replication, only the combined CO2 estimate is retained</t>
  </si>
  <si>
    <t>This is a new CO2 estimate based on combining the published estimates for the five species; the uncertainties span the 2.5 to 97.5 percentiles of the simulations, where the mean of each set of five resamples was first computed</t>
  </si>
  <si>
    <t>Londoño</t>
  </si>
  <si>
    <t>Londoño, L., Royer, D. L., Jaramillo, C., Escobar, J., Foster, D. A., Cárdenas-Rozo, A. L., and Wood, A., 2018, Early Miocene CO2 estimates from a Neotropical fossil assemblage exceed 400 ppm: American Journal of Botany, v. 105, p. 1929-1937.</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</si>
  <si>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</si>
  <si>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</si>
  <si>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</si>
  <si>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</si>
  <si>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</si>
  <si>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</si>
  <si>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</si>
  <si>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</si>
  <si>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</si>
  <si>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</si>
  <si>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</si>
  <si>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</si>
  <si>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</si>
  <si>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</si>
  <si>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</si>
  <si>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</si>
  <si>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</si>
  <si>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</si>
  <si>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median</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</si>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</sst>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13"/>
      <color rgb="FF000000"/>
      <name val="Helvetica"/>
      <family val="2"/>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0" fillId="0" borderId="0" xfId="0" applyBorder="1"/>
    <xf numFmtId="0" fontId="0" fillId="2" borderId="0" xfId="0" applyFill="1" applyBorder="1" applyAlignment="1">
      <alignment vertical="top"/>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Border="1" applyAlignment="1"/>
    <xf numFmtId="0" fontId="1" fillId="0" borderId="0" xfId="0" applyFont="1" applyBorder="1" applyAlignment="1">
      <alignment horizontal="right"/>
    </xf>
    <xf numFmtId="11" fontId="1" fillId="0" borderId="0" xfId="0" applyNumberFormat="1" applyFont="1" applyBorder="1" applyAlignment="1">
      <alignment horizontal="right"/>
    </xf>
    <xf numFmtId="0" fontId="1" fillId="0" borderId="0" xfId="0" applyFont="1" applyBorder="1" applyAlignment="1">
      <alignment vertical="top"/>
    </xf>
    <xf numFmtId="0" fontId="0" fillId="0" borderId="0" xfId="0" applyBorder="1" applyAlignment="1">
      <alignment vertical="top"/>
    </xf>
    <xf numFmtId="0" fontId="1" fillId="0" borderId="0" xfId="0" applyFont="1" applyBorder="1" applyAlignment="1">
      <alignment horizontal="right" vertical="top"/>
    </xf>
    <xf numFmtId="0" fontId="0" fillId="0" borderId="0" xfId="0" applyBorder="1" applyAlignment="1">
      <alignment horizontal="right"/>
    </xf>
    <xf numFmtId="11" fontId="0" fillId="0" borderId="0" xfId="0" applyNumberFormat="1" applyBorder="1" applyAlignment="1"/>
    <xf numFmtId="1" fontId="0" fillId="0" borderId="0" xfId="0" applyNumberFormat="1" applyBorder="1" applyAlignment="1"/>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Fill="1" applyBorder="1" applyAlignment="1">
      <alignment vertical="top"/>
    </xf>
    <xf numFmtId="0" fontId="1" fillId="0" borderId="0" xfId="0" applyFont="1" applyFill="1" applyBorder="1" applyAlignment="1"/>
    <xf numFmtId="0" fontId="0" fillId="0" borderId="0" xfId="0" applyAlignment="1"/>
    <xf numFmtId="1" fontId="0" fillId="0" borderId="0" xfId="0" applyNumberFormat="1"/>
    <xf numFmtId="0" fontId="1" fillId="0" borderId="0" xfId="0" applyFont="1" applyFill="1" applyBorder="1" applyAlignment="1">
      <alignment vertical="center"/>
    </xf>
    <xf numFmtId="0" fontId="1" fillId="0" borderId="0" xfId="0" applyFont="1" applyFill="1" applyBorder="1" applyAlignment="1">
      <alignment wrapText="1"/>
    </xf>
    <xf numFmtId="0" fontId="4" fillId="4" borderId="0" xfId="0" applyFont="1" applyFill="1" applyBorder="1" applyAlignment="1">
      <alignment horizontal="center" vertical="center" wrapText="1"/>
    </xf>
    <xf numFmtId="0" fontId="0" fillId="0" borderId="0" xfId="0" applyFill="1" applyBorder="1" applyAlignment="1">
      <alignment horizontal="right"/>
    </xf>
    <xf numFmtId="0" fontId="5" fillId="0" borderId="0" xfId="0" applyFont="1"/>
    <xf numFmtId="1" fontId="5" fillId="0" borderId="0" xfId="0" applyNumberFormat="1" applyFont="1"/>
    <xf numFmtId="1" fontId="0" fillId="0" borderId="0" xfId="0" applyNumberFormat="1" applyFont="1"/>
    <xf numFmtId="0" fontId="0" fillId="0" borderId="0" xfId="0" applyAlignment="1">
      <alignment horizontal="center"/>
    </xf>
    <xf numFmtId="0" fontId="6" fillId="0" borderId="0" xfId="0" applyFont="1"/>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Z44"/>
  <sheetViews>
    <sheetView tabSelected="1" topLeftCell="H1" workbookViewId="0">
      <pane ySplit="3" topLeftCell="A4" activePane="bottomLeft" state="frozen"/>
      <selection pane="bottomLeft" activeCell="N3" sqref="N3:O3"/>
    </sheetView>
  </sheetViews>
  <sheetFormatPr baseColWidth="10" defaultColWidth="11" defaultRowHeight="16" x14ac:dyDescent="0.2"/>
  <cols>
    <col min="1" max="32" width="11" style="1"/>
    <col min="33" max="33" width="11.6640625" style="1" customWidth="1"/>
    <col min="34" max="34" width="11" style="1"/>
    <col min="35" max="35" width="11.83203125" style="1" customWidth="1"/>
    <col min="36" max="36" width="12.33203125" style="1" customWidth="1"/>
    <col min="37" max="37" width="11" style="1"/>
    <col min="38" max="38" width="11.83203125" style="1" customWidth="1"/>
    <col min="39" max="42" width="11" style="1"/>
    <col min="43" max="43" width="15.33203125" style="1" customWidth="1"/>
    <col min="44" max="47" width="11" style="1"/>
    <col min="48" max="48" width="13.1640625" style="1" customWidth="1"/>
    <col min="49" max="16384" width="11" style="1"/>
  </cols>
  <sheetData>
    <row r="2" spans="1:104" s="7" customFormat="1" x14ac:dyDescent="0.2">
      <c r="A2" s="23"/>
      <c r="B2" s="24"/>
      <c r="C2" s="24"/>
      <c r="D2" s="24"/>
      <c r="E2" s="24"/>
      <c r="F2" s="24"/>
      <c r="G2" s="24"/>
      <c r="H2" s="24"/>
      <c r="I2" s="24"/>
      <c r="J2" s="24"/>
      <c r="K2" s="24"/>
      <c r="L2" s="25"/>
      <c r="M2" s="26"/>
      <c r="N2" s="26"/>
      <c r="O2" s="26"/>
      <c r="P2" s="26"/>
      <c r="Q2"/>
      <c r="R2" s="27"/>
      <c r="S2" s="52"/>
      <c r="T2" s="52"/>
      <c r="U2" s="52"/>
      <c r="V2" s="52"/>
      <c r="W2" s="52"/>
      <c r="X2" s="27"/>
      <c r="Y2" s="2"/>
      <c r="Z2" s="2"/>
      <c r="AA2" s="2"/>
      <c r="AB2" s="2"/>
      <c r="AC2" s="2"/>
      <c r="AD2" s="2"/>
      <c r="AE2" s="2"/>
      <c r="AF2" s="2"/>
      <c r="AG2" s="2"/>
      <c r="AH2" s="2"/>
      <c r="AI2" s="2"/>
      <c r="AJ2" s="2"/>
      <c r="AK2" s="2"/>
      <c r="AL2" s="2"/>
      <c r="AM2" s="2"/>
      <c r="AN2" s="2"/>
      <c r="AO2" s="2"/>
      <c r="AP2" s="2"/>
      <c r="AQ2" s="2"/>
      <c r="AR2" s="2"/>
      <c r="AS2" s="2"/>
      <c r="AT2" s="2"/>
      <c r="AU2" s="2"/>
      <c r="AV2" s="2"/>
      <c r="AW2" s="2"/>
      <c r="AX2" s="2"/>
      <c r="AY2" s="3" t="s">
        <v>4</v>
      </c>
      <c r="AZ2" s="3" t="s">
        <v>5</v>
      </c>
      <c r="BA2" s="3" t="s">
        <v>6</v>
      </c>
      <c r="BB2" s="3" t="s">
        <v>7</v>
      </c>
      <c r="BC2" s="3" t="s">
        <v>8</v>
      </c>
      <c r="BD2" s="3" t="s">
        <v>9</v>
      </c>
      <c r="BE2" s="3" t="s">
        <v>10</v>
      </c>
      <c r="BF2" s="3" t="s">
        <v>11</v>
      </c>
      <c r="BG2" s="3" t="s">
        <v>12</v>
      </c>
      <c r="BH2" s="3" t="s">
        <v>13</v>
      </c>
      <c r="BI2" s="3" t="s">
        <v>14</v>
      </c>
      <c r="BJ2" s="3" t="s">
        <v>15</v>
      </c>
      <c r="BK2" s="3" t="s">
        <v>16</v>
      </c>
      <c r="BL2" s="3" t="s">
        <v>17</v>
      </c>
      <c r="BM2" s="3" t="s">
        <v>18</v>
      </c>
      <c r="BN2" s="3" t="s">
        <v>19</v>
      </c>
      <c r="BO2" s="3" t="s">
        <v>20</v>
      </c>
      <c r="BP2" s="3" t="s">
        <v>21</v>
      </c>
      <c r="BQ2" s="3" t="s">
        <v>22</v>
      </c>
      <c r="BR2" s="3" t="s">
        <v>23</v>
      </c>
      <c r="BS2" s="3" t="s">
        <v>24</v>
      </c>
      <c r="BT2" s="4" t="s">
        <v>25</v>
      </c>
      <c r="BU2" s="4" t="s">
        <v>26</v>
      </c>
      <c r="BV2" s="4" t="s">
        <v>27</v>
      </c>
      <c r="BW2" s="4" t="s">
        <v>28</v>
      </c>
      <c r="BX2" s="5" t="s">
        <v>29</v>
      </c>
      <c r="BY2" s="5" t="s">
        <v>30</v>
      </c>
      <c r="BZ2" s="5" t="s">
        <v>31</v>
      </c>
      <c r="CA2" s="5" t="s">
        <v>32</v>
      </c>
      <c r="CB2" s="5" t="s">
        <v>33</v>
      </c>
      <c r="CC2" s="5" t="s">
        <v>34</v>
      </c>
      <c r="CD2" s="5" t="s">
        <v>35</v>
      </c>
      <c r="CE2" s="5" t="s">
        <v>36</v>
      </c>
      <c r="CF2" s="5" t="s">
        <v>37</v>
      </c>
      <c r="CG2" s="5" t="s">
        <v>38</v>
      </c>
      <c r="CH2" s="5" t="s">
        <v>39</v>
      </c>
      <c r="CI2" s="5" t="s">
        <v>40</v>
      </c>
      <c r="CJ2" s="5" t="s">
        <v>41</v>
      </c>
      <c r="CK2" s="5" t="s">
        <v>42</v>
      </c>
      <c r="CL2" s="5" t="s">
        <v>43</v>
      </c>
      <c r="CM2" s="5" t="s">
        <v>44</v>
      </c>
      <c r="CN2" s="5" t="s">
        <v>45</v>
      </c>
      <c r="CO2" s="5" t="s">
        <v>46</v>
      </c>
      <c r="CP2" s="5" t="s">
        <v>47</v>
      </c>
      <c r="CQ2" s="5" t="s">
        <v>48</v>
      </c>
      <c r="CR2" s="5" t="s">
        <v>49</v>
      </c>
      <c r="CS2" s="5" t="s">
        <v>50</v>
      </c>
      <c r="CT2" s="5" t="s">
        <v>51</v>
      </c>
      <c r="CU2" s="5" t="s">
        <v>52</v>
      </c>
      <c r="CV2" s="6" t="s">
        <v>53</v>
      </c>
      <c r="CW2" s="6" t="s">
        <v>54</v>
      </c>
      <c r="CX2" s="6" t="s">
        <v>55</v>
      </c>
      <c r="CY2" s="5" t="s">
        <v>56</v>
      </c>
      <c r="CZ2" s="6" t="s">
        <v>57</v>
      </c>
    </row>
    <row r="3" spans="1:104" s="13" customFormat="1" ht="80.25" customHeight="1" x14ac:dyDescent="0.2">
      <c r="A3" s="28" t="s">
        <v>166</v>
      </c>
      <c r="B3" s="29" t="s">
        <v>167</v>
      </c>
      <c r="C3" s="30" t="s">
        <v>159</v>
      </c>
      <c r="D3" s="31" t="s">
        <v>160</v>
      </c>
      <c r="E3" s="31" t="s">
        <v>161</v>
      </c>
      <c r="F3" s="32" t="s">
        <v>58</v>
      </c>
      <c r="G3" s="32" t="s">
        <v>162</v>
      </c>
      <c r="H3" s="33" t="s">
        <v>163</v>
      </c>
      <c r="I3" s="33" t="s">
        <v>164</v>
      </c>
      <c r="J3" s="31" t="s">
        <v>177</v>
      </c>
      <c r="K3" s="33" t="s">
        <v>178</v>
      </c>
      <c r="L3" s="34" t="s">
        <v>188</v>
      </c>
      <c r="M3" s="35" t="s">
        <v>179</v>
      </c>
      <c r="N3" s="54" t="s">
        <v>197</v>
      </c>
      <c r="O3" s="54" t="s">
        <v>198</v>
      </c>
      <c r="P3" s="35" t="s">
        <v>180</v>
      </c>
      <c r="Q3" s="36" t="s">
        <v>181</v>
      </c>
      <c r="R3" s="37" t="s">
        <v>182</v>
      </c>
      <c r="S3" s="38" t="s">
        <v>183</v>
      </c>
      <c r="T3" s="35" t="s">
        <v>184</v>
      </c>
      <c r="U3" s="35" t="s">
        <v>172</v>
      </c>
      <c r="V3" s="35" t="s">
        <v>185</v>
      </c>
      <c r="W3" s="39" t="s">
        <v>186</v>
      </c>
      <c r="X3" s="40" t="s">
        <v>168</v>
      </c>
      <c r="Y3" s="8" t="s">
        <v>189</v>
      </c>
      <c r="Z3" s="8" t="s">
        <v>190</v>
      </c>
      <c r="AA3" s="8" t="s">
        <v>59</v>
      </c>
      <c r="AB3" s="8" t="s">
        <v>60</v>
      </c>
      <c r="AC3" s="8" t="s">
        <v>61</v>
      </c>
      <c r="AD3" s="8" t="s">
        <v>62</v>
      </c>
      <c r="AE3" s="8" t="s">
        <v>63</v>
      </c>
      <c r="AF3" s="8" t="s">
        <v>64</v>
      </c>
      <c r="AG3" s="8" t="s">
        <v>65</v>
      </c>
      <c r="AH3" s="8" t="s">
        <v>66</v>
      </c>
      <c r="AI3" s="8" t="s">
        <v>67</v>
      </c>
      <c r="AJ3" s="8" t="s">
        <v>68</v>
      </c>
      <c r="AK3" s="8" t="s">
        <v>69</v>
      </c>
      <c r="AL3" s="8" t="s">
        <v>70</v>
      </c>
      <c r="AM3" s="8" t="s">
        <v>191</v>
      </c>
      <c r="AN3" s="8" t="s">
        <v>192</v>
      </c>
      <c r="AO3" s="47" t="s">
        <v>193</v>
      </c>
      <c r="AP3" s="47" t="s">
        <v>194</v>
      </c>
      <c r="AQ3" s="8" t="s">
        <v>71</v>
      </c>
      <c r="AR3" s="8" t="s">
        <v>72</v>
      </c>
      <c r="AS3" s="8" t="s">
        <v>73</v>
      </c>
      <c r="AT3" s="8" t="s">
        <v>74</v>
      </c>
      <c r="AU3" s="8" t="s">
        <v>75</v>
      </c>
      <c r="AV3" s="8" t="s">
        <v>76</v>
      </c>
      <c r="AW3" s="9" t="s">
        <v>77</v>
      </c>
      <c r="AX3" s="9" t="s">
        <v>78</v>
      </c>
      <c r="AY3" s="10" t="s">
        <v>79</v>
      </c>
      <c r="AZ3" s="10" t="s">
        <v>80</v>
      </c>
      <c r="BA3" s="10" t="s">
        <v>81</v>
      </c>
      <c r="BB3" s="10" t="s">
        <v>82</v>
      </c>
      <c r="BC3" s="10" t="s">
        <v>83</v>
      </c>
      <c r="BD3" s="10" t="s">
        <v>84</v>
      </c>
      <c r="BE3" s="10" t="s">
        <v>85</v>
      </c>
      <c r="BF3" s="10" t="s">
        <v>86</v>
      </c>
      <c r="BG3" s="10" t="s">
        <v>87</v>
      </c>
      <c r="BH3" s="10" t="s">
        <v>88</v>
      </c>
      <c r="BI3" s="10" t="s">
        <v>89</v>
      </c>
      <c r="BJ3" s="10" t="s">
        <v>90</v>
      </c>
      <c r="BK3" s="10" t="s">
        <v>91</v>
      </c>
      <c r="BL3" s="10" t="s">
        <v>92</v>
      </c>
      <c r="BM3" s="10" t="s">
        <v>93</v>
      </c>
      <c r="BN3" s="10" t="s">
        <v>94</v>
      </c>
      <c r="BO3" s="10" t="s">
        <v>95</v>
      </c>
      <c r="BP3" s="10" t="s">
        <v>96</v>
      </c>
      <c r="BQ3" s="10" t="s">
        <v>97</v>
      </c>
      <c r="BR3" s="10" t="s">
        <v>98</v>
      </c>
      <c r="BS3" s="10" t="s">
        <v>99</v>
      </c>
      <c r="BT3" s="11" t="s">
        <v>100</v>
      </c>
      <c r="BU3" s="11" t="s">
        <v>101</v>
      </c>
      <c r="BV3" s="11" t="s">
        <v>102</v>
      </c>
      <c r="BW3" s="11" t="s">
        <v>103</v>
      </c>
      <c r="BX3" s="12" t="s">
        <v>104</v>
      </c>
      <c r="BY3" s="12" t="s">
        <v>105</v>
      </c>
      <c r="BZ3" s="12" t="s">
        <v>106</v>
      </c>
      <c r="CA3" s="12" t="s">
        <v>107</v>
      </c>
      <c r="CB3" s="12" t="s">
        <v>108</v>
      </c>
      <c r="CC3" s="12" t="s">
        <v>109</v>
      </c>
      <c r="CD3" s="12" t="s">
        <v>110</v>
      </c>
      <c r="CE3" s="12" t="s">
        <v>111</v>
      </c>
      <c r="CF3" s="12" t="s">
        <v>112</v>
      </c>
      <c r="CG3" s="12" t="s">
        <v>113</v>
      </c>
      <c r="CH3" s="12" t="s">
        <v>114</v>
      </c>
      <c r="CI3" s="12" t="s">
        <v>115</v>
      </c>
      <c r="CJ3" s="12" t="s">
        <v>116</v>
      </c>
      <c r="CK3" s="12" t="s">
        <v>117</v>
      </c>
      <c r="CL3" s="12" t="s">
        <v>118</v>
      </c>
      <c r="CM3" s="12" t="s">
        <v>119</v>
      </c>
      <c r="CN3" s="12" t="s">
        <v>120</v>
      </c>
      <c r="CO3" s="12" t="s">
        <v>121</v>
      </c>
      <c r="CP3" s="12" t="s">
        <v>122</v>
      </c>
      <c r="CQ3" s="12" t="s">
        <v>123</v>
      </c>
      <c r="CR3" s="12" t="s">
        <v>124</v>
      </c>
      <c r="CS3" s="12" t="s">
        <v>125</v>
      </c>
      <c r="CT3" s="12" t="s">
        <v>126</v>
      </c>
      <c r="CU3" s="12" t="s">
        <v>127</v>
      </c>
      <c r="CV3" s="8" t="s">
        <v>128</v>
      </c>
      <c r="CW3" s="8" t="s">
        <v>129</v>
      </c>
      <c r="CX3" s="8" t="s">
        <v>130</v>
      </c>
      <c r="CY3" s="12" t="s">
        <v>131</v>
      </c>
      <c r="CZ3" s="8" t="s">
        <v>132</v>
      </c>
    </row>
    <row r="4" spans="1:104" s="7" customFormat="1" x14ac:dyDescent="0.2">
      <c r="A4" t="s">
        <v>133</v>
      </c>
      <c r="B4" t="s">
        <v>169</v>
      </c>
      <c r="C4" t="s">
        <v>165</v>
      </c>
      <c r="D4" t="s">
        <v>175</v>
      </c>
      <c r="E4">
        <v>2018</v>
      </c>
      <c r="F4" t="s">
        <v>143</v>
      </c>
      <c r="G4" s="49">
        <f t="shared" ref="G4" si="0">AH4*1000</f>
        <v>18100</v>
      </c>
      <c r="H4" s="49">
        <f t="shared" ref="H4" si="1">(AI4-AH4)*1000</f>
        <v>199.99999999999929</v>
      </c>
      <c r="I4" s="49">
        <f t="shared" ref="I4" si="2">(AH4-AJ4)*1000</f>
        <v>200.00000000000284</v>
      </c>
      <c r="J4" s="51">
        <f>AQ4</f>
        <v>572</v>
      </c>
      <c r="K4" s="50">
        <f>AT4-AQ4</f>
        <v>134</v>
      </c>
      <c r="L4" s="50">
        <f>AQ4-AS4</f>
        <v>103</v>
      </c>
      <c r="M4" t="b">
        <v>1</v>
      </c>
      <c r="N4">
        <v>3</v>
      </c>
      <c r="O4" t="s">
        <v>173</v>
      </c>
      <c r="P4" t="s">
        <v>187</v>
      </c>
      <c r="Q4" t="b">
        <v>0</v>
      </c>
      <c r="R4" t="s">
        <v>187</v>
      </c>
      <c r="S4" t="b">
        <v>1</v>
      </c>
      <c r="T4" t="b">
        <v>0</v>
      </c>
      <c r="U4" t="s">
        <v>187</v>
      </c>
      <c r="V4" t="s">
        <v>187</v>
      </c>
      <c r="W4" t="b">
        <v>0</v>
      </c>
      <c r="X4" t="s">
        <v>187</v>
      </c>
      <c r="Y4" s="17" t="s">
        <v>176</v>
      </c>
      <c r="Z4" s="18" t="s">
        <v>143</v>
      </c>
      <c r="AA4" s="17" t="s">
        <v>144</v>
      </c>
      <c r="AB4" s="17" t="s">
        <v>145</v>
      </c>
      <c r="AC4" s="14" t="s">
        <v>187</v>
      </c>
      <c r="AD4" s="14" t="s">
        <v>187</v>
      </c>
      <c r="AE4" s="17" t="s">
        <v>146</v>
      </c>
      <c r="AF4" s="17" t="s">
        <v>147</v>
      </c>
      <c r="AG4" s="14" t="s">
        <v>187</v>
      </c>
      <c r="AH4" s="19">
        <v>18.100000000000001</v>
      </c>
      <c r="AI4" s="19">
        <v>18.3</v>
      </c>
      <c r="AJ4" s="19">
        <v>17.899999999999999</v>
      </c>
      <c r="AK4" s="14" t="s">
        <v>187</v>
      </c>
      <c r="AL4" s="14" t="s">
        <v>134</v>
      </c>
      <c r="AM4" s="15">
        <v>9</v>
      </c>
      <c r="AN4" s="15">
        <v>-79.61</v>
      </c>
      <c r="AO4" s="48" t="s">
        <v>187</v>
      </c>
      <c r="AP4" s="48" t="s">
        <v>187</v>
      </c>
      <c r="AQ4" s="15">
        <v>572</v>
      </c>
      <c r="AR4" s="14" t="s">
        <v>148</v>
      </c>
      <c r="AS4" s="15">
        <v>469</v>
      </c>
      <c r="AT4" s="15">
        <v>706</v>
      </c>
      <c r="AU4" s="14" t="s">
        <v>135</v>
      </c>
      <c r="AV4" s="14" t="s">
        <v>136</v>
      </c>
      <c r="AW4" s="14" t="s">
        <v>137</v>
      </c>
      <c r="AX4" s="14" t="s">
        <v>149</v>
      </c>
      <c r="AY4" s="16">
        <v>380000000</v>
      </c>
      <c r="AZ4" s="16">
        <v>27100000</v>
      </c>
      <c r="BA4" s="14" t="s">
        <v>150</v>
      </c>
      <c r="BB4" s="16">
        <v>0</v>
      </c>
      <c r="BC4" s="16">
        <v>0</v>
      </c>
      <c r="BD4" s="14" t="s">
        <v>150</v>
      </c>
      <c r="BE4" s="16">
        <v>1.04E-5</v>
      </c>
      <c r="BF4" s="16">
        <v>1.97E-7</v>
      </c>
      <c r="BG4" s="14" t="s">
        <v>150</v>
      </c>
      <c r="BH4" s="16">
        <v>0</v>
      </c>
      <c r="BI4" s="16">
        <v>0</v>
      </c>
      <c r="BJ4" s="14" t="s">
        <v>150</v>
      </c>
      <c r="BK4" s="16">
        <v>8.1200000000000002E-6</v>
      </c>
      <c r="BL4" s="16">
        <v>1.5200000000000001E-7</v>
      </c>
      <c r="BM4" s="14" t="s">
        <v>150</v>
      </c>
      <c r="BN4" s="16">
        <v>0</v>
      </c>
      <c r="BO4" s="16">
        <v>0</v>
      </c>
      <c r="BP4" s="14" t="s">
        <v>150</v>
      </c>
      <c r="BQ4" s="15">
        <v>-28.48</v>
      </c>
      <c r="BR4" s="15">
        <v>0.19</v>
      </c>
      <c r="BS4" s="14" t="s">
        <v>150</v>
      </c>
      <c r="BT4" s="15">
        <v>-5.7</v>
      </c>
      <c r="BU4" s="15">
        <v>0.4</v>
      </c>
      <c r="BV4" s="14" t="s">
        <v>139</v>
      </c>
      <c r="BW4" s="15">
        <v>360</v>
      </c>
      <c r="BX4" s="15">
        <v>12</v>
      </c>
      <c r="BY4" s="15">
        <v>0.6</v>
      </c>
      <c r="BZ4" s="14" t="s">
        <v>140</v>
      </c>
      <c r="CA4" s="15">
        <v>0.7</v>
      </c>
      <c r="CB4" s="15">
        <v>3.5000000000000003E-2</v>
      </c>
      <c r="CC4" s="14" t="s">
        <v>151</v>
      </c>
      <c r="CD4" s="15">
        <v>2</v>
      </c>
      <c r="CE4" s="15">
        <v>0.1</v>
      </c>
      <c r="CF4" s="14" t="s">
        <v>140</v>
      </c>
      <c r="CG4" s="15">
        <v>1</v>
      </c>
      <c r="CH4" s="15">
        <v>0</v>
      </c>
      <c r="CI4" s="14" t="s">
        <v>141</v>
      </c>
      <c r="CJ4" s="15">
        <v>1</v>
      </c>
      <c r="CK4" s="15">
        <v>0.05</v>
      </c>
      <c r="CL4" s="14" t="s">
        <v>140</v>
      </c>
      <c r="CM4" s="15">
        <v>1</v>
      </c>
      <c r="CN4" s="15">
        <v>0.05</v>
      </c>
      <c r="CO4" s="14" t="s">
        <v>140</v>
      </c>
      <c r="CP4" s="15">
        <v>0.2</v>
      </c>
      <c r="CQ4" s="15">
        <v>0.01</v>
      </c>
      <c r="CR4" s="14" t="s">
        <v>140</v>
      </c>
      <c r="CS4" s="15">
        <v>1.2999999999999999E-2</v>
      </c>
      <c r="CT4" s="15">
        <v>6.4999999999999997E-4</v>
      </c>
      <c r="CU4" s="14" t="s">
        <v>140</v>
      </c>
      <c r="CV4" s="14" t="s">
        <v>142</v>
      </c>
      <c r="CW4" s="15">
        <v>30</v>
      </c>
      <c r="CX4" s="15">
        <v>9.4009599999999997E-4</v>
      </c>
      <c r="CY4" s="15">
        <v>40</v>
      </c>
      <c r="CZ4" s="15">
        <v>25</v>
      </c>
    </row>
    <row r="5" spans="1:104" s="7" customFormat="1" x14ac:dyDescent="0.2">
      <c r="A5" t="s">
        <v>133</v>
      </c>
      <c r="B5" t="s">
        <v>169</v>
      </c>
      <c r="C5" t="s">
        <v>165</v>
      </c>
      <c r="D5" t="s">
        <v>175</v>
      </c>
      <c r="E5">
        <v>2018</v>
      </c>
      <c r="F5" t="s">
        <v>143</v>
      </c>
      <c r="G5" s="49">
        <f t="shared" ref="G5:G8" si="3">AH5*1000</f>
        <v>18100</v>
      </c>
      <c r="H5" s="49">
        <f t="shared" ref="H5:H8" si="4">(AI5-AH5)*1000</f>
        <v>199.99999999999929</v>
      </c>
      <c r="I5" s="49">
        <f t="shared" ref="I5:I8" si="5">(AH5-AJ5)*1000</f>
        <v>200.00000000000284</v>
      </c>
      <c r="J5" s="51">
        <f t="shared" ref="J5:J8" si="6">AQ5</f>
        <v>1161</v>
      </c>
      <c r="K5" s="50">
        <f t="shared" ref="K5:K8" si="7">AT5-AQ5</f>
        <v>568</v>
      </c>
      <c r="L5" s="50">
        <f t="shared" ref="L5:L8" si="8">AQ5-AS5</f>
        <v>341</v>
      </c>
      <c r="M5" t="b">
        <v>1</v>
      </c>
      <c r="N5">
        <v>3</v>
      </c>
      <c r="O5" t="s">
        <v>173</v>
      </c>
      <c r="P5" t="s">
        <v>187</v>
      </c>
      <c r="Q5" t="b">
        <v>0</v>
      </c>
      <c r="R5" t="s">
        <v>187</v>
      </c>
      <c r="S5" t="b">
        <v>1</v>
      </c>
      <c r="T5" t="b">
        <v>0</v>
      </c>
      <c r="U5" t="s">
        <v>187</v>
      </c>
      <c r="V5" t="s">
        <v>187</v>
      </c>
      <c r="W5" t="b">
        <v>0</v>
      </c>
      <c r="X5" t="s">
        <v>187</v>
      </c>
      <c r="Y5" s="17" t="s">
        <v>176</v>
      </c>
      <c r="Z5" s="18" t="s">
        <v>143</v>
      </c>
      <c r="AA5" s="17" t="s">
        <v>152</v>
      </c>
      <c r="AB5" s="14" t="s">
        <v>187</v>
      </c>
      <c r="AC5" s="14" t="s">
        <v>187</v>
      </c>
      <c r="AD5" s="14" t="s">
        <v>187</v>
      </c>
      <c r="AE5" s="17" t="s">
        <v>146</v>
      </c>
      <c r="AF5" s="17" t="s">
        <v>147</v>
      </c>
      <c r="AG5" s="14" t="s">
        <v>187</v>
      </c>
      <c r="AH5" s="19">
        <v>18.100000000000001</v>
      </c>
      <c r="AI5" s="19">
        <v>18.3</v>
      </c>
      <c r="AJ5" s="19">
        <v>17.899999999999999</v>
      </c>
      <c r="AK5" s="14" t="s">
        <v>187</v>
      </c>
      <c r="AL5" s="14" t="s">
        <v>134</v>
      </c>
      <c r="AM5" s="15">
        <v>9</v>
      </c>
      <c r="AN5" s="15">
        <v>-79.61</v>
      </c>
      <c r="AO5" s="48" t="s">
        <v>187</v>
      </c>
      <c r="AP5" s="48" t="s">
        <v>187</v>
      </c>
      <c r="AQ5" s="15">
        <v>1161</v>
      </c>
      <c r="AR5" s="14" t="s">
        <v>148</v>
      </c>
      <c r="AS5" s="15">
        <v>820</v>
      </c>
      <c r="AT5" s="15">
        <v>1729</v>
      </c>
      <c r="AU5" s="14" t="s">
        <v>135</v>
      </c>
      <c r="AV5" s="14" t="s">
        <v>136</v>
      </c>
      <c r="AW5" s="14" t="s">
        <v>137</v>
      </c>
      <c r="AX5" s="14" t="s">
        <v>149</v>
      </c>
      <c r="AY5" s="16">
        <v>293000000</v>
      </c>
      <c r="AZ5" s="16">
        <v>18200000</v>
      </c>
      <c r="BA5" s="14" t="s">
        <v>153</v>
      </c>
      <c r="BB5" s="16">
        <v>0</v>
      </c>
      <c r="BC5" s="16">
        <v>0</v>
      </c>
      <c r="BD5" s="14" t="s">
        <v>153</v>
      </c>
      <c r="BE5" s="16">
        <v>5.4700000000000001E-6</v>
      </c>
      <c r="BF5" s="16">
        <v>4.08E-7</v>
      </c>
      <c r="BG5" s="14" t="s">
        <v>153</v>
      </c>
      <c r="BH5" s="16">
        <v>0</v>
      </c>
      <c r="BI5" s="16">
        <v>0</v>
      </c>
      <c r="BJ5" s="14" t="s">
        <v>153</v>
      </c>
      <c r="BK5" s="16">
        <v>5.1499999999999998E-6</v>
      </c>
      <c r="BL5" s="16">
        <v>1.8900000000000001E-7</v>
      </c>
      <c r="BM5" s="14" t="s">
        <v>153</v>
      </c>
      <c r="BN5" s="16">
        <v>0</v>
      </c>
      <c r="BO5" s="16">
        <v>0</v>
      </c>
      <c r="BP5" s="14" t="s">
        <v>153</v>
      </c>
      <c r="BQ5" s="15">
        <v>-28.84</v>
      </c>
      <c r="BR5" s="15">
        <v>0.63</v>
      </c>
      <c r="BS5" s="14" t="s">
        <v>153</v>
      </c>
      <c r="BT5" s="15">
        <v>-5.7</v>
      </c>
      <c r="BU5" s="15">
        <v>0.4</v>
      </c>
      <c r="BV5" s="14" t="s">
        <v>139</v>
      </c>
      <c r="BW5" s="15">
        <v>360</v>
      </c>
      <c r="BX5" s="15">
        <v>12</v>
      </c>
      <c r="BY5" s="15">
        <v>0.6</v>
      </c>
      <c r="BZ5" s="14" t="s">
        <v>140</v>
      </c>
      <c r="CA5" s="15">
        <v>0.7</v>
      </c>
      <c r="CB5" s="15">
        <v>3.5000000000000003E-2</v>
      </c>
      <c r="CC5" s="14" t="s">
        <v>151</v>
      </c>
      <c r="CD5" s="15">
        <v>2</v>
      </c>
      <c r="CE5" s="15">
        <v>0.1</v>
      </c>
      <c r="CF5" s="14" t="s">
        <v>140</v>
      </c>
      <c r="CG5" s="15">
        <v>1</v>
      </c>
      <c r="CH5" s="15">
        <v>0</v>
      </c>
      <c r="CI5" s="14" t="s">
        <v>141</v>
      </c>
      <c r="CJ5" s="15">
        <v>1</v>
      </c>
      <c r="CK5" s="15">
        <v>0.05</v>
      </c>
      <c r="CL5" s="14" t="s">
        <v>140</v>
      </c>
      <c r="CM5" s="15">
        <v>1</v>
      </c>
      <c r="CN5" s="15">
        <v>0.05</v>
      </c>
      <c r="CO5" s="14" t="s">
        <v>140</v>
      </c>
      <c r="CP5" s="15">
        <v>0.2</v>
      </c>
      <c r="CQ5" s="15">
        <v>0.01</v>
      </c>
      <c r="CR5" s="14" t="s">
        <v>140</v>
      </c>
      <c r="CS5" s="15">
        <v>1.2999999999999999E-2</v>
      </c>
      <c r="CT5" s="15">
        <v>6.4999999999999997E-4</v>
      </c>
      <c r="CU5" s="14" t="s">
        <v>140</v>
      </c>
      <c r="CV5" s="14" t="s">
        <v>142</v>
      </c>
      <c r="CW5" s="15">
        <v>30</v>
      </c>
      <c r="CX5" s="15">
        <v>9.4009599999999997E-4</v>
      </c>
      <c r="CY5" s="15">
        <v>40</v>
      </c>
      <c r="CZ5" s="15">
        <v>25</v>
      </c>
    </row>
    <row r="6" spans="1:104" s="7" customFormat="1" x14ac:dyDescent="0.2">
      <c r="A6" t="s">
        <v>133</v>
      </c>
      <c r="B6" t="s">
        <v>169</v>
      </c>
      <c r="C6" t="s">
        <v>165</v>
      </c>
      <c r="D6" t="s">
        <v>175</v>
      </c>
      <c r="E6">
        <v>2018</v>
      </c>
      <c r="F6" t="s">
        <v>143</v>
      </c>
      <c r="G6" s="49">
        <f t="shared" si="3"/>
        <v>18100</v>
      </c>
      <c r="H6" s="49">
        <f t="shared" si="4"/>
        <v>199.99999999999929</v>
      </c>
      <c r="I6" s="49">
        <f t="shared" si="5"/>
        <v>200.00000000000284</v>
      </c>
      <c r="J6" s="51">
        <f t="shared" si="6"/>
        <v>896</v>
      </c>
      <c r="K6" s="50">
        <f t="shared" si="7"/>
        <v>418</v>
      </c>
      <c r="L6" s="50">
        <f t="shared" si="8"/>
        <v>237</v>
      </c>
      <c r="M6" t="b">
        <v>1</v>
      </c>
      <c r="N6">
        <v>3</v>
      </c>
      <c r="O6" t="s">
        <v>173</v>
      </c>
      <c r="P6" t="s">
        <v>187</v>
      </c>
      <c r="Q6" t="b">
        <v>0</v>
      </c>
      <c r="R6" t="s">
        <v>187</v>
      </c>
      <c r="S6" t="b">
        <v>1</v>
      </c>
      <c r="T6" t="b">
        <v>0</v>
      </c>
      <c r="U6" t="s">
        <v>187</v>
      </c>
      <c r="V6" t="s">
        <v>187</v>
      </c>
      <c r="W6" t="b">
        <v>0</v>
      </c>
      <c r="X6" t="s">
        <v>187</v>
      </c>
      <c r="Y6" s="17" t="s">
        <v>176</v>
      </c>
      <c r="Z6" s="18" t="s">
        <v>143</v>
      </c>
      <c r="AA6" s="17" t="s">
        <v>154</v>
      </c>
      <c r="AB6" s="14" t="s">
        <v>155</v>
      </c>
      <c r="AC6" s="14" t="s">
        <v>187</v>
      </c>
      <c r="AD6" s="14" t="s">
        <v>187</v>
      </c>
      <c r="AE6" s="17" t="s">
        <v>146</v>
      </c>
      <c r="AF6" s="17" t="s">
        <v>147</v>
      </c>
      <c r="AG6" s="14" t="s">
        <v>187</v>
      </c>
      <c r="AH6" s="19">
        <v>18.100000000000001</v>
      </c>
      <c r="AI6" s="19">
        <v>18.3</v>
      </c>
      <c r="AJ6" s="19">
        <v>17.899999999999999</v>
      </c>
      <c r="AK6" s="14" t="s">
        <v>187</v>
      </c>
      <c r="AL6" s="14" t="s">
        <v>134</v>
      </c>
      <c r="AM6" s="15">
        <v>9</v>
      </c>
      <c r="AN6" s="15">
        <v>-79.61</v>
      </c>
      <c r="AO6" s="48" t="s">
        <v>187</v>
      </c>
      <c r="AP6" s="48" t="s">
        <v>187</v>
      </c>
      <c r="AQ6" s="15">
        <v>896</v>
      </c>
      <c r="AR6" s="14" t="s">
        <v>148</v>
      </c>
      <c r="AS6" s="15">
        <v>659</v>
      </c>
      <c r="AT6" s="15">
        <v>1314</v>
      </c>
      <c r="AU6" s="14" t="s">
        <v>135</v>
      </c>
      <c r="AV6" s="14" t="s">
        <v>136</v>
      </c>
      <c r="AW6" s="14" t="s">
        <v>137</v>
      </c>
      <c r="AX6" s="14" t="s">
        <v>149</v>
      </c>
      <c r="AY6" s="16">
        <v>670000000</v>
      </c>
      <c r="AZ6" s="16">
        <v>113000000</v>
      </c>
      <c r="BA6" s="14" t="s">
        <v>153</v>
      </c>
      <c r="BB6" s="16">
        <v>0</v>
      </c>
      <c r="BC6" s="16">
        <v>0</v>
      </c>
      <c r="BD6" s="14" t="s">
        <v>153</v>
      </c>
      <c r="BE6" s="16">
        <v>3.7699999999999999E-6</v>
      </c>
      <c r="BF6" s="16">
        <v>1.2200000000000001E-7</v>
      </c>
      <c r="BG6" s="14" t="s">
        <v>153</v>
      </c>
      <c r="BH6" s="16">
        <v>0</v>
      </c>
      <c r="BI6" s="16">
        <v>0</v>
      </c>
      <c r="BJ6" s="14" t="s">
        <v>153</v>
      </c>
      <c r="BK6" s="16">
        <v>4.5000000000000001E-6</v>
      </c>
      <c r="BL6" s="16">
        <v>1.03E-7</v>
      </c>
      <c r="BM6" s="14" t="s">
        <v>153</v>
      </c>
      <c r="BN6" s="16">
        <v>0</v>
      </c>
      <c r="BO6" s="16">
        <v>0</v>
      </c>
      <c r="BP6" s="14" t="s">
        <v>153</v>
      </c>
      <c r="BQ6" s="15">
        <v>-28.7</v>
      </c>
      <c r="BR6" s="15">
        <v>0.34</v>
      </c>
      <c r="BS6" s="14" t="s">
        <v>153</v>
      </c>
      <c r="BT6" s="15">
        <v>-5.7</v>
      </c>
      <c r="BU6" s="15">
        <v>0.4</v>
      </c>
      <c r="BV6" s="14" t="s">
        <v>139</v>
      </c>
      <c r="BW6" s="15">
        <v>360</v>
      </c>
      <c r="BX6" s="15">
        <v>12</v>
      </c>
      <c r="BY6" s="15">
        <v>0.6</v>
      </c>
      <c r="BZ6" s="14" t="s">
        <v>140</v>
      </c>
      <c r="CA6" s="15">
        <v>0.7</v>
      </c>
      <c r="CB6" s="15">
        <v>3.5000000000000003E-2</v>
      </c>
      <c r="CC6" s="14" t="s">
        <v>151</v>
      </c>
      <c r="CD6" s="15">
        <v>2</v>
      </c>
      <c r="CE6" s="15">
        <v>0.1</v>
      </c>
      <c r="CF6" s="14" t="s">
        <v>140</v>
      </c>
      <c r="CG6" s="15">
        <v>1</v>
      </c>
      <c r="CH6" s="15">
        <v>0</v>
      </c>
      <c r="CI6" s="14" t="s">
        <v>141</v>
      </c>
      <c r="CJ6" s="15">
        <v>1</v>
      </c>
      <c r="CK6" s="15">
        <v>0.05</v>
      </c>
      <c r="CL6" s="14" t="s">
        <v>140</v>
      </c>
      <c r="CM6" s="15">
        <v>1</v>
      </c>
      <c r="CN6" s="15">
        <v>0.05</v>
      </c>
      <c r="CO6" s="14" t="s">
        <v>140</v>
      </c>
      <c r="CP6" s="15">
        <v>0.2</v>
      </c>
      <c r="CQ6" s="15">
        <v>0.01</v>
      </c>
      <c r="CR6" s="14" t="s">
        <v>140</v>
      </c>
      <c r="CS6" s="15">
        <v>1.2999999999999999E-2</v>
      </c>
      <c r="CT6" s="15">
        <v>6.4999999999999997E-4</v>
      </c>
      <c r="CU6" s="14" t="s">
        <v>140</v>
      </c>
      <c r="CV6" s="14" t="s">
        <v>142</v>
      </c>
      <c r="CW6" s="15">
        <v>30</v>
      </c>
      <c r="CX6" s="15">
        <v>9.4009599999999997E-4</v>
      </c>
      <c r="CY6" s="15">
        <v>40</v>
      </c>
      <c r="CZ6" s="15">
        <v>25</v>
      </c>
    </row>
    <row r="7" spans="1:104" s="7" customFormat="1" x14ac:dyDescent="0.2">
      <c r="A7" t="s">
        <v>133</v>
      </c>
      <c r="B7" t="s">
        <v>169</v>
      </c>
      <c r="C7" t="s">
        <v>165</v>
      </c>
      <c r="D7" t="s">
        <v>175</v>
      </c>
      <c r="E7">
        <v>2018</v>
      </c>
      <c r="F7" t="s">
        <v>143</v>
      </c>
      <c r="G7" s="49">
        <f t="shared" si="3"/>
        <v>18100</v>
      </c>
      <c r="H7" s="49">
        <f t="shared" si="4"/>
        <v>199.99999999999929</v>
      </c>
      <c r="I7" s="49">
        <f t="shared" si="5"/>
        <v>200.00000000000284</v>
      </c>
      <c r="J7" s="51">
        <f t="shared" si="6"/>
        <v>474</v>
      </c>
      <c r="K7" s="50">
        <f t="shared" si="7"/>
        <v>141</v>
      </c>
      <c r="L7" s="50">
        <f t="shared" si="8"/>
        <v>97</v>
      </c>
      <c r="M7" t="b">
        <v>1</v>
      </c>
      <c r="N7">
        <v>3</v>
      </c>
      <c r="O7" t="s">
        <v>173</v>
      </c>
      <c r="P7" t="s">
        <v>187</v>
      </c>
      <c r="Q7" t="b">
        <v>0</v>
      </c>
      <c r="R7" t="s">
        <v>187</v>
      </c>
      <c r="S7" t="b">
        <v>1</v>
      </c>
      <c r="T7" t="b">
        <v>0</v>
      </c>
      <c r="U7" t="s">
        <v>187</v>
      </c>
      <c r="V7" t="s">
        <v>187</v>
      </c>
      <c r="W7" t="b">
        <v>0</v>
      </c>
      <c r="X7" t="s">
        <v>187</v>
      </c>
      <c r="Y7" s="17" t="s">
        <v>176</v>
      </c>
      <c r="Z7" s="18" t="s">
        <v>143</v>
      </c>
      <c r="AA7" s="17" t="s">
        <v>156</v>
      </c>
      <c r="AB7" s="14" t="s">
        <v>187</v>
      </c>
      <c r="AC7" s="14" t="s">
        <v>187</v>
      </c>
      <c r="AD7" s="14" t="s">
        <v>187</v>
      </c>
      <c r="AE7" s="17" t="s">
        <v>146</v>
      </c>
      <c r="AF7" s="17" t="s">
        <v>147</v>
      </c>
      <c r="AG7" s="14" t="s">
        <v>187</v>
      </c>
      <c r="AH7" s="19">
        <v>18.100000000000001</v>
      </c>
      <c r="AI7" s="19">
        <v>18.3</v>
      </c>
      <c r="AJ7" s="19">
        <v>17.899999999999999</v>
      </c>
      <c r="AK7" s="14" t="s">
        <v>187</v>
      </c>
      <c r="AL7" s="14" t="s">
        <v>134</v>
      </c>
      <c r="AM7" s="15">
        <v>9</v>
      </c>
      <c r="AN7" s="15">
        <v>-79.61</v>
      </c>
      <c r="AO7" s="48" t="s">
        <v>187</v>
      </c>
      <c r="AP7" s="48" t="s">
        <v>187</v>
      </c>
      <c r="AQ7" s="15">
        <v>474</v>
      </c>
      <c r="AR7" s="14" t="s">
        <v>148</v>
      </c>
      <c r="AS7" s="15">
        <v>377</v>
      </c>
      <c r="AT7" s="15">
        <v>615</v>
      </c>
      <c r="AU7" s="14" t="s">
        <v>135</v>
      </c>
      <c r="AV7" s="14" t="s">
        <v>136</v>
      </c>
      <c r="AW7" s="14" t="s">
        <v>137</v>
      </c>
      <c r="AX7" s="14" t="s">
        <v>149</v>
      </c>
      <c r="AY7" s="16">
        <v>459000000</v>
      </c>
      <c r="AZ7" s="16">
        <v>35900000</v>
      </c>
      <c r="BA7" s="14" t="s">
        <v>138</v>
      </c>
      <c r="BB7" s="16">
        <v>0</v>
      </c>
      <c r="BC7" s="16">
        <v>0</v>
      </c>
      <c r="BD7" s="14" t="s">
        <v>138</v>
      </c>
      <c r="BE7" s="16">
        <v>6.81E-6</v>
      </c>
      <c r="BF7" s="16">
        <v>6.4000000000000001E-7</v>
      </c>
      <c r="BG7" s="14" t="s">
        <v>138</v>
      </c>
      <c r="BH7" s="16">
        <v>0</v>
      </c>
      <c r="BI7" s="16">
        <v>0</v>
      </c>
      <c r="BJ7" s="14" t="s">
        <v>138</v>
      </c>
      <c r="BK7" s="16">
        <v>4.25E-6</v>
      </c>
      <c r="BL7" s="16">
        <v>1.3199999999999999E-7</v>
      </c>
      <c r="BM7" s="14" t="s">
        <v>138</v>
      </c>
      <c r="BN7" s="16">
        <v>0</v>
      </c>
      <c r="BO7" s="16">
        <v>0</v>
      </c>
      <c r="BP7" s="14" t="s">
        <v>138</v>
      </c>
      <c r="BQ7" s="15">
        <v>-27.04</v>
      </c>
      <c r="BR7" s="15">
        <v>0.22</v>
      </c>
      <c r="BS7" s="14" t="s">
        <v>138</v>
      </c>
      <c r="BT7" s="15">
        <v>-5.7</v>
      </c>
      <c r="BU7" s="15">
        <v>0.4</v>
      </c>
      <c r="BV7" s="14" t="s">
        <v>139</v>
      </c>
      <c r="BW7" s="15">
        <v>360</v>
      </c>
      <c r="BX7" s="15">
        <v>12</v>
      </c>
      <c r="BY7" s="15">
        <v>0.6</v>
      </c>
      <c r="BZ7" s="14" t="s">
        <v>140</v>
      </c>
      <c r="CA7" s="15">
        <v>0.7</v>
      </c>
      <c r="CB7" s="15">
        <v>3.5000000000000003E-2</v>
      </c>
      <c r="CC7" s="14" t="s">
        <v>151</v>
      </c>
      <c r="CD7" s="15">
        <v>2</v>
      </c>
      <c r="CE7" s="15">
        <v>0.1</v>
      </c>
      <c r="CF7" s="14" t="s">
        <v>140</v>
      </c>
      <c r="CG7" s="15">
        <v>1</v>
      </c>
      <c r="CH7" s="15">
        <v>0</v>
      </c>
      <c r="CI7" s="14" t="s">
        <v>141</v>
      </c>
      <c r="CJ7" s="15">
        <v>1</v>
      </c>
      <c r="CK7" s="15">
        <v>0.05</v>
      </c>
      <c r="CL7" s="14" t="s">
        <v>140</v>
      </c>
      <c r="CM7" s="15">
        <v>1</v>
      </c>
      <c r="CN7" s="15">
        <v>0.05</v>
      </c>
      <c r="CO7" s="14" t="s">
        <v>140</v>
      </c>
      <c r="CP7" s="15">
        <v>0.2</v>
      </c>
      <c r="CQ7" s="15">
        <v>0.01</v>
      </c>
      <c r="CR7" s="14" t="s">
        <v>140</v>
      </c>
      <c r="CS7" s="15">
        <v>1.2999999999999999E-2</v>
      </c>
      <c r="CT7" s="20">
        <v>6.4999999999999997E-4</v>
      </c>
      <c r="CU7" s="14" t="s">
        <v>140</v>
      </c>
      <c r="CV7" s="14" t="s">
        <v>142</v>
      </c>
      <c r="CW7" s="15">
        <v>30</v>
      </c>
      <c r="CX7" s="15">
        <v>9.4009599999999997E-4</v>
      </c>
      <c r="CY7" s="15">
        <v>40</v>
      </c>
      <c r="CZ7" s="15">
        <v>25</v>
      </c>
    </row>
    <row r="8" spans="1:104" s="7" customFormat="1" x14ac:dyDescent="0.2">
      <c r="A8" t="s">
        <v>133</v>
      </c>
      <c r="B8" t="s">
        <v>169</v>
      </c>
      <c r="C8" t="s">
        <v>165</v>
      </c>
      <c r="D8" t="s">
        <v>175</v>
      </c>
      <c r="E8">
        <v>2018</v>
      </c>
      <c r="F8" t="s">
        <v>143</v>
      </c>
      <c r="G8" s="49">
        <f t="shared" si="3"/>
        <v>18100</v>
      </c>
      <c r="H8" s="49">
        <f t="shared" si="4"/>
        <v>199.99999999999929</v>
      </c>
      <c r="I8" s="49">
        <f t="shared" si="5"/>
        <v>200.00000000000284</v>
      </c>
      <c r="J8" s="51">
        <f t="shared" si="6"/>
        <v>983</v>
      </c>
      <c r="K8" s="50">
        <f t="shared" si="7"/>
        <v>377</v>
      </c>
      <c r="L8" s="50">
        <f t="shared" si="8"/>
        <v>238</v>
      </c>
      <c r="M8" t="b">
        <v>1</v>
      </c>
      <c r="N8">
        <v>3</v>
      </c>
      <c r="O8" t="s">
        <v>173</v>
      </c>
      <c r="P8" t="s">
        <v>187</v>
      </c>
      <c r="Q8" t="b">
        <v>0</v>
      </c>
      <c r="R8" t="s">
        <v>187</v>
      </c>
      <c r="S8" t="b">
        <v>1</v>
      </c>
      <c r="T8" t="b">
        <v>0</v>
      </c>
      <c r="U8" t="s">
        <v>187</v>
      </c>
      <c r="V8" t="s">
        <v>187</v>
      </c>
      <c r="W8" t="b">
        <v>0</v>
      </c>
      <c r="X8" t="s">
        <v>187</v>
      </c>
      <c r="Y8" s="17" t="s">
        <v>176</v>
      </c>
      <c r="Z8" s="18" t="s">
        <v>143</v>
      </c>
      <c r="AA8" s="17" t="s">
        <v>157</v>
      </c>
      <c r="AB8" s="14" t="s">
        <v>187</v>
      </c>
      <c r="AC8" s="14" t="s">
        <v>187</v>
      </c>
      <c r="AD8" s="14" t="s">
        <v>187</v>
      </c>
      <c r="AE8" s="17" t="s">
        <v>146</v>
      </c>
      <c r="AF8" s="17" t="s">
        <v>147</v>
      </c>
      <c r="AG8" s="14" t="s">
        <v>187</v>
      </c>
      <c r="AH8" s="19">
        <v>18.100000000000001</v>
      </c>
      <c r="AI8" s="19">
        <v>18.3</v>
      </c>
      <c r="AJ8" s="19">
        <v>17.899999999999999</v>
      </c>
      <c r="AK8" s="14" t="s">
        <v>187</v>
      </c>
      <c r="AL8" s="14" t="s">
        <v>134</v>
      </c>
      <c r="AM8" s="15">
        <v>9</v>
      </c>
      <c r="AN8" s="15">
        <v>-79.61</v>
      </c>
      <c r="AO8" s="48" t="s">
        <v>187</v>
      </c>
      <c r="AP8" s="48" t="s">
        <v>187</v>
      </c>
      <c r="AQ8" s="15">
        <v>983</v>
      </c>
      <c r="AR8" s="14" t="s">
        <v>148</v>
      </c>
      <c r="AS8" s="15">
        <v>745</v>
      </c>
      <c r="AT8" s="15">
        <v>1360</v>
      </c>
      <c r="AU8" s="14" t="s">
        <v>135</v>
      </c>
      <c r="AV8" s="14" t="s">
        <v>136</v>
      </c>
      <c r="AW8" s="14" t="s">
        <v>137</v>
      </c>
      <c r="AX8" s="14" t="s">
        <v>149</v>
      </c>
      <c r="AY8" s="16">
        <v>292000000</v>
      </c>
      <c r="AZ8" s="16">
        <v>14600000</v>
      </c>
      <c r="BA8" s="14" t="s">
        <v>158</v>
      </c>
      <c r="BB8" s="16">
        <v>0</v>
      </c>
      <c r="BC8" s="16">
        <v>0</v>
      </c>
      <c r="BD8" s="14" t="s">
        <v>158</v>
      </c>
      <c r="BE8" s="16">
        <v>8.5900000000000008E-6</v>
      </c>
      <c r="BF8" s="16">
        <v>4.3000000000000001E-7</v>
      </c>
      <c r="BG8" s="14" t="s">
        <v>158</v>
      </c>
      <c r="BH8" s="16">
        <v>0</v>
      </c>
      <c r="BI8" s="16">
        <v>0</v>
      </c>
      <c r="BJ8" s="14" t="s">
        <v>158</v>
      </c>
      <c r="BK8" s="16">
        <v>4.9699999999999998E-6</v>
      </c>
      <c r="BL8" s="16">
        <v>2.4900000000000002E-7</v>
      </c>
      <c r="BM8" s="14" t="s">
        <v>158</v>
      </c>
      <c r="BN8" s="16">
        <v>0</v>
      </c>
      <c r="BO8" s="16">
        <v>0</v>
      </c>
      <c r="BP8" s="14" t="s">
        <v>158</v>
      </c>
      <c r="BQ8" s="15">
        <v>-30.21</v>
      </c>
      <c r="BR8" s="15">
        <v>0.35</v>
      </c>
      <c r="BS8" s="14" t="s">
        <v>158</v>
      </c>
      <c r="BT8" s="15">
        <v>-5.7</v>
      </c>
      <c r="BU8" s="15">
        <v>0.4</v>
      </c>
      <c r="BV8" s="14" t="s">
        <v>139</v>
      </c>
      <c r="BW8" s="15">
        <v>360</v>
      </c>
      <c r="BX8" s="15">
        <v>12</v>
      </c>
      <c r="BY8" s="15">
        <v>0.6</v>
      </c>
      <c r="BZ8" s="14" t="s">
        <v>140</v>
      </c>
      <c r="CA8" s="15">
        <v>0.7</v>
      </c>
      <c r="CB8" s="15">
        <v>3.5000000000000003E-2</v>
      </c>
      <c r="CC8" s="14" t="s">
        <v>151</v>
      </c>
      <c r="CD8" s="15">
        <v>2</v>
      </c>
      <c r="CE8" s="15">
        <v>0.1</v>
      </c>
      <c r="CF8" s="14" t="s">
        <v>140</v>
      </c>
      <c r="CG8" s="15">
        <v>1</v>
      </c>
      <c r="CH8" s="15">
        <v>0</v>
      </c>
      <c r="CI8" s="14" t="s">
        <v>141</v>
      </c>
      <c r="CJ8" s="15">
        <v>1</v>
      </c>
      <c r="CK8" s="15">
        <v>0.05</v>
      </c>
      <c r="CL8" s="14" t="s">
        <v>140</v>
      </c>
      <c r="CM8" s="15">
        <v>1</v>
      </c>
      <c r="CN8" s="15">
        <v>0.05</v>
      </c>
      <c r="CO8" s="14" t="s">
        <v>140</v>
      </c>
      <c r="CP8" s="15">
        <v>0.2</v>
      </c>
      <c r="CQ8" s="15">
        <v>0.01</v>
      </c>
      <c r="CR8" s="14" t="s">
        <v>140</v>
      </c>
      <c r="CS8" s="15">
        <v>1.2999999999999999E-2</v>
      </c>
      <c r="CT8" s="20">
        <v>6.4999999999999997E-4</v>
      </c>
      <c r="CU8" s="14" t="s">
        <v>140</v>
      </c>
      <c r="CV8" s="14" t="s">
        <v>142</v>
      </c>
      <c r="CW8" s="15">
        <v>30</v>
      </c>
      <c r="CX8" s="15">
        <v>9.4009599999999997E-4</v>
      </c>
      <c r="CY8" s="15">
        <v>40</v>
      </c>
      <c r="CZ8" s="15">
        <v>25</v>
      </c>
    </row>
    <row r="9" spans="1:104" s="7" customFormat="1" ht="17" x14ac:dyDescent="0.2">
      <c r="A9" t="s">
        <v>133</v>
      </c>
      <c r="B9" t="s">
        <v>169</v>
      </c>
      <c r="C9" t="s">
        <v>165</v>
      </c>
      <c r="D9" t="s">
        <v>175</v>
      </c>
      <c r="E9">
        <v>2018</v>
      </c>
      <c r="F9" t="s">
        <v>170</v>
      </c>
      <c r="G9" s="49">
        <f t="shared" ref="G9" si="9">AH9*1000</f>
        <v>18100</v>
      </c>
      <c r="H9" s="49">
        <f t="shared" ref="H9" si="10">(AI9-AH9)*1000</f>
        <v>199.99999999999929</v>
      </c>
      <c r="I9" s="49">
        <f t="shared" ref="I9" si="11">(AH9-AJ9)*1000</f>
        <v>200.00000000000284</v>
      </c>
      <c r="J9" s="51">
        <f t="shared" ref="J9" si="12">AQ9</f>
        <v>827.97065864586966</v>
      </c>
      <c r="K9" s="50">
        <f t="shared" ref="K9" si="13">AT9-AQ9</f>
        <v>152</v>
      </c>
      <c r="L9" s="50">
        <f t="shared" ref="L9" si="14">AQ9-AS9</f>
        <v>112</v>
      </c>
      <c r="M9" t="s">
        <v>187</v>
      </c>
      <c r="N9">
        <v>1</v>
      </c>
      <c r="O9" s="53" t="s">
        <v>196</v>
      </c>
      <c r="P9" t="s">
        <v>187</v>
      </c>
      <c r="Q9" t="b">
        <v>0</v>
      </c>
      <c r="R9" t="s">
        <v>187</v>
      </c>
      <c r="S9" t="b">
        <v>1</v>
      </c>
      <c r="T9" t="b">
        <v>0</v>
      </c>
      <c r="U9" t="s">
        <v>187</v>
      </c>
      <c r="V9" t="s">
        <v>187</v>
      </c>
      <c r="W9" s="43" t="b">
        <v>1</v>
      </c>
      <c r="X9" s="43" t="s">
        <v>174</v>
      </c>
      <c r="Y9" s="17" t="s">
        <v>176</v>
      </c>
      <c r="Z9" s="18" t="s">
        <v>170</v>
      </c>
      <c r="AA9" s="41" t="s">
        <v>171</v>
      </c>
      <c r="AB9" s="14" t="s">
        <v>187</v>
      </c>
      <c r="AC9" s="14" t="s">
        <v>187</v>
      </c>
      <c r="AD9" s="14" t="s">
        <v>187</v>
      </c>
      <c r="AE9" s="17" t="s">
        <v>146</v>
      </c>
      <c r="AF9" s="17" t="s">
        <v>147</v>
      </c>
      <c r="AG9" s="14" t="s">
        <v>187</v>
      </c>
      <c r="AH9" s="19">
        <v>18.100000000000001</v>
      </c>
      <c r="AI9" s="19">
        <v>18.3</v>
      </c>
      <c r="AJ9" s="19">
        <v>17.899999999999999</v>
      </c>
      <c r="AK9" s="14" t="s">
        <v>187</v>
      </c>
      <c r="AL9" s="14" t="s">
        <v>134</v>
      </c>
      <c r="AM9" s="15">
        <v>9</v>
      </c>
      <c r="AN9" s="15">
        <v>-79.61</v>
      </c>
      <c r="AO9" s="48" t="s">
        <v>187</v>
      </c>
      <c r="AP9" s="48" t="s">
        <v>187</v>
      </c>
      <c r="AQ9" s="44">
        <v>827.97065864586966</v>
      </c>
      <c r="AR9" s="42" t="s">
        <v>195</v>
      </c>
      <c r="AS9" s="22">
        <f>AQ9-112</f>
        <v>715.97065864586966</v>
      </c>
      <c r="AT9" s="22">
        <f>AQ9+152</f>
        <v>979.97065864586966</v>
      </c>
      <c r="AU9" s="14" t="s">
        <v>135</v>
      </c>
      <c r="AV9" s="14" t="s">
        <v>136</v>
      </c>
      <c r="AW9" s="42" t="s">
        <v>187</v>
      </c>
      <c r="AX9" s="42" t="s">
        <v>187</v>
      </c>
      <c r="AY9" s="42" t="s">
        <v>187</v>
      </c>
      <c r="AZ9" s="42" t="s">
        <v>187</v>
      </c>
      <c r="BA9" s="42" t="s">
        <v>187</v>
      </c>
      <c r="BB9" s="42" t="s">
        <v>187</v>
      </c>
      <c r="BC9" s="42" t="s">
        <v>187</v>
      </c>
      <c r="BD9" s="42" t="s">
        <v>187</v>
      </c>
      <c r="BE9" s="42" t="s">
        <v>187</v>
      </c>
      <c r="BF9" s="42" t="s">
        <v>187</v>
      </c>
      <c r="BG9" s="42" t="s">
        <v>187</v>
      </c>
      <c r="BH9" s="42" t="s">
        <v>187</v>
      </c>
      <c r="BI9" s="42" t="s">
        <v>187</v>
      </c>
      <c r="BJ9" s="42" t="s">
        <v>187</v>
      </c>
      <c r="BK9" s="42" t="s">
        <v>187</v>
      </c>
      <c r="BL9" s="42" t="s">
        <v>187</v>
      </c>
      <c r="BM9" s="42" t="s">
        <v>187</v>
      </c>
      <c r="BN9" s="42" t="s">
        <v>187</v>
      </c>
      <c r="BO9" s="42" t="s">
        <v>187</v>
      </c>
      <c r="BP9" s="42" t="s">
        <v>187</v>
      </c>
      <c r="BQ9" s="42" t="s">
        <v>187</v>
      </c>
      <c r="BR9" s="42" t="s">
        <v>187</v>
      </c>
      <c r="BS9" s="42" t="s">
        <v>187</v>
      </c>
      <c r="BT9" s="42" t="s">
        <v>187</v>
      </c>
      <c r="BU9" s="42" t="s">
        <v>187</v>
      </c>
      <c r="BV9" s="42" t="s">
        <v>187</v>
      </c>
      <c r="BW9" s="42" t="s">
        <v>187</v>
      </c>
      <c r="BX9" s="42" t="s">
        <v>187</v>
      </c>
      <c r="BY9" s="42" t="s">
        <v>187</v>
      </c>
      <c r="BZ9" s="42" t="s">
        <v>187</v>
      </c>
      <c r="CA9" s="42" t="s">
        <v>187</v>
      </c>
      <c r="CB9" s="42" t="s">
        <v>187</v>
      </c>
      <c r="CC9" s="42" t="s">
        <v>187</v>
      </c>
      <c r="CD9" s="42" t="s">
        <v>187</v>
      </c>
      <c r="CE9" s="42" t="s">
        <v>187</v>
      </c>
      <c r="CF9" s="42" t="s">
        <v>187</v>
      </c>
      <c r="CG9" s="42" t="s">
        <v>187</v>
      </c>
      <c r="CH9" s="42" t="s">
        <v>187</v>
      </c>
      <c r="CI9" s="42" t="s">
        <v>187</v>
      </c>
      <c r="CJ9" s="42" t="s">
        <v>187</v>
      </c>
      <c r="CK9" s="42" t="s">
        <v>187</v>
      </c>
      <c r="CL9" s="42" t="s">
        <v>187</v>
      </c>
      <c r="CM9" s="42" t="s">
        <v>187</v>
      </c>
      <c r="CN9" s="42" t="s">
        <v>187</v>
      </c>
      <c r="CO9" s="42" t="s">
        <v>187</v>
      </c>
      <c r="CP9" s="42" t="s">
        <v>187</v>
      </c>
      <c r="CQ9" s="42" t="s">
        <v>187</v>
      </c>
      <c r="CR9" s="42" t="s">
        <v>187</v>
      </c>
      <c r="CS9" s="42" t="s">
        <v>187</v>
      </c>
      <c r="CT9" s="42" t="s">
        <v>187</v>
      </c>
      <c r="CU9" s="42" t="s">
        <v>187</v>
      </c>
      <c r="CV9" s="42" t="s">
        <v>187</v>
      </c>
      <c r="CW9" s="42" t="s">
        <v>187</v>
      </c>
      <c r="CX9" s="42" t="s">
        <v>187</v>
      </c>
      <c r="CY9" s="42" t="s">
        <v>187</v>
      </c>
      <c r="CZ9" s="42" t="s">
        <v>187</v>
      </c>
    </row>
    <row r="10" spans="1:104" s="7" customFormat="1" x14ac:dyDescent="0.2">
      <c r="AY10" s="21"/>
      <c r="AZ10" s="21"/>
      <c r="BB10" s="21"/>
      <c r="BC10" s="21"/>
      <c r="BE10" s="21"/>
      <c r="BF10" s="21"/>
      <c r="BH10" s="21"/>
      <c r="BI10" s="21"/>
      <c r="BK10" s="21"/>
      <c r="BL10" s="21"/>
      <c r="BN10" s="21"/>
      <c r="BO10" s="21"/>
    </row>
    <row r="11" spans="1:104" s="7" customFormat="1" x14ac:dyDescent="0.2">
      <c r="AR11" s="44"/>
      <c r="AS11" s="44"/>
      <c r="AY11" s="21"/>
      <c r="AZ11" s="21"/>
      <c r="BE11" s="21"/>
      <c r="BF11" s="21"/>
      <c r="BH11" s="21"/>
      <c r="BI11" s="21"/>
      <c r="BK11" s="21"/>
      <c r="BL11" s="21"/>
      <c r="BN11" s="21"/>
      <c r="BO11" s="21"/>
    </row>
    <row r="12" spans="1:104" s="7" customFormat="1" x14ac:dyDescent="0.2"/>
    <row r="13" spans="1:104" s="7" customFormat="1" x14ac:dyDescent="0.2"/>
    <row r="14" spans="1:104" s="7" customFormat="1" x14ac:dyDescent="0.2"/>
    <row r="15" spans="1:104" s="7" customFormat="1" x14ac:dyDescent="0.2"/>
    <row r="16" spans="1:104" s="7" customFormat="1" x14ac:dyDescent="0.2"/>
    <row r="17" s="7" customFormat="1" x14ac:dyDescent="0.2"/>
    <row r="18" s="7" customFormat="1" x14ac:dyDescent="0.2"/>
    <row r="19" s="7" customFormat="1" x14ac:dyDescent="0.2"/>
    <row r="20" s="7" customFormat="1" x14ac:dyDescent="0.2"/>
    <row r="21" s="7" customFormat="1" x14ac:dyDescent="0.2"/>
    <row r="22" s="7" customFormat="1" x14ac:dyDescent="0.2"/>
    <row r="23" s="7" customFormat="1" x14ac:dyDescent="0.2"/>
    <row r="24" s="7" customFormat="1" x14ac:dyDescent="0.2"/>
    <row r="25" s="7" customFormat="1" x14ac:dyDescent="0.2"/>
    <row r="26" s="7" customFormat="1" x14ac:dyDescent="0.2"/>
    <row r="27" s="7" customFormat="1" x14ac:dyDescent="0.2"/>
    <row r="28" s="7" customFormat="1" x14ac:dyDescent="0.2"/>
    <row r="29" s="7" customFormat="1" x14ac:dyDescent="0.2"/>
    <row r="30" s="7" customFormat="1" x14ac:dyDescent="0.2"/>
    <row r="31" s="7" customFormat="1" x14ac:dyDescent="0.2"/>
    <row r="32" s="7" customFormat="1" x14ac:dyDescent="0.2"/>
    <row r="33" s="7" customFormat="1" x14ac:dyDescent="0.2"/>
    <row r="34" s="7" customFormat="1" x14ac:dyDescent="0.2"/>
    <row r="35" s="7" customFormat="1" x14ac:dyDescent="0.2"/>
    <row r="36" s="7" customFormat="1" x14ac:dyDescent="0.2"/>
    <row r="37" s="7" customFormat="1" x14ac:dyDescent="0.2"/>
    <row r="38" s="7" customFormat="1" x14ac:dyDescent="0.2"/>
    <row r="39" s="7" customFormat="1" x14ac:dyDescent="0.2"/>
    <row r="40" s="7" customFormat="1" x14ac:dyDescent="0.2"/>
    <row r="41" s="7" customFormat="1" x14ac:dyDescent="0.2"/>
    <row r="42" s="7" customFormat="1" x14ac:dyDescent="0.2"/>
    <row r="43" s="7" customFormat="1" x14ac:dyDescent="0.2"/>
    <row r="44" s="7" customFormat="1" x14ac:dyDescent="0.2"/>
  </sheetData>
  <mergeCells count="1">
    <mergeCell ref="S2:W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F22" sqref="F22"/>
    </sheetView>
  </sheetViews>
  <sheetFormatPr baseColWidth="10" defaultColWidth="11" defaultRowHeight="16" x14ac:dyDescent="0.2"/>
  <sheetData>
    <row r="1" spans="1:1" x14ac:dyDescent="0.2">
      <c r="A1" s="45" t="s">
        <v>0</v>
      </c>
    </row>
    <row r="2" spans="1:1" ht="17" x14ac:dyDescent="0.2">
      <c r="A2" s="46" t="s">
        <v>1</v>
      </c>
    </row>
    <row r="3" spans="1:1" x14ac:dyDescent="0.2">
      <c r="A3" s="45" t="s">
        <v>2</v>
      </c>
    </row>
    <row r="4" spans="1:1" x14ac:dyDescent="0.2">
      <c r="A4" s="45"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2019-02-07T19:30:15Z</dcterms:created>
  <dcterms:modified xsi:type="dcterms:W3CDTF">2022-03-17T19:03:05Z</dcterms:modified>
</cp:coreProperties>
</file>