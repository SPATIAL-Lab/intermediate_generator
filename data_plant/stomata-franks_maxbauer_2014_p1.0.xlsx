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980CDE31-8F7B-2D4E-B39E-840DC8503FD4}" xr6:coauthVersionLast="47" xr6:coauthVersionMax="47" xr10:uidLastSave="{00000000-0000-0000-0000-000000000000}"/>
  <bookViews>
    <workbookView xWindow="0" yWindow="500" windowWidth="28800" windowHeight="12460" xr2:uid="{00000000-000D-0000-FFFF-FFFF00000000}"/>
  </bookViews>
  <sheets>
    <sheet name="leaf gas-exchange_Franks" sheetId="1" r:id="rId1"/>
    <sheet name="Input parameters and Referenc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L4" i="1" l="1"/>
  <c r="K4" i="1"/>
  <c r="J4" i="1"/>
  <c r="F4" i="1"/>
  <c r="AH4" i="1"/>
  <c r="I4" i="1" s="1"/>
  <c r="G4" i="1" l="1"/>
  <c r="H4" i="1"/>
</calcChain>
</file>

<file path=xl/sharedStrings.xml><?xml version="1.0" encoding="utf-8"?>
<sst xmlns="http://schemas.openxmlformats.org/spreadsheetml/2006/main" count="207" uniqueCount="194">
  <si>
    <t>INPUT PARAMETERS (see Franks et al., 2014 and Kowalczyk et al., 2018 for details): The "_err" input should be +/-1 standard error of the mean. If this value is unknown, the error can be estimated as some fraction of the mean (e.g., 5%).</t>
  </si>
  <si>
    <t>References:</t>
  </si>
  <si>
    <t>Franks, P. J., Royer, D. L., Beerling, D. J., Van de Water, P. K., Cantrill, D. J., Barbour, M. M., Berry, J. A. 2014. New constraints on atmospheric CO2 concentration for the Phanerozoic. Geophysical Research Letters, 41: 4685-4694.</t>
  </si>
  <si>
    <t>Kowalczyk, J. B., Royer, D. L., Miller, I. M., Anderson, C. W., Beerling, D. J., Franks, P. J., Grein, M., Konrad, W., Roth-Nebelsick, A., Bowring, S. A., Johnson, K. R., and Ramezani, J., 2018, Multiple proxy estimates of atmospheric CO2 from an early Paleocene rainforest: Paleoceanography and Paleoclimatology, v. 33, p. 1427-1438.</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</si>
  <si>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</si>
  <si>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</si>
  <si>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</si>
  <si>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</si>
  <si>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</si>
  <si>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</si>
  <si>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</si>
  <si>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</si>
  <si>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</si>
  <si>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</si>
  <si>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</si>
  <si>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</si>
  <si>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</si>
  <si>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</si>
  <si>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</si>
  <si>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</si>
  <si>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</si>
  <si>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</si>
  <si>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</si>
  <si>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</si>
  <si>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</si>
  <si>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</si>
  <si>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</si>
  <si>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</si>
  <si>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</si>
  <si>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</si>
  <si>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</si>
  <si>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</si>
  <si>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</si>
  <si>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</si>
  <si>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</si>
  <si>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</si>
  <si>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</si>
  <si>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</si>
  <si>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</si>
  <si>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</si>
  <si>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</si>
  <si>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</si>
  <si>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</si>
  <si>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</si>
  <si>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</si>
  <si>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</si>
  <si>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</si>
  <si>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</si>
  <si>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</si>
  <si>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</si>
  <si>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</si>
  <si>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</si>
  <si>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</si>
  <si>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(in prep.).</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</si>
  <si>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</si>
  <si>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</si>
  <si>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</si>
  <si>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</si>
  <si>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</si>
  <si>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</si>
  <si>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</si>
  <si>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</si>
  <si>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</si>
  <si>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</si>
  <si>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</si>
  <si>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</si>
  <si>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</si>
  <si>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</si>
  <si>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</si>
  <si>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</si>
  <si>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</si>
  <si>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Estimated atmospheric CO2 concentration (ppm)</t>
  </si>
  <si>
    <t>CO2 type</t>
  </si>
  <si>
    <t>CO2 low (ppm)</t>
  </si>
  <si>
    <t>CO2 high (ppm)</t>
  </si>
  <si>
    <t>What is the CO2 range ("low" and "high")?</t>
  </si>
  <si>
    <t>What is the distribution of the uncertainties?</t>
  </si>
  <si>
    <t>Counting Method
(Image, microscope)</t>
  </si>
  <si>
    <t>Counting box dimensions
(µm × µm)</t>
  </si>
  <si>
    <t>Dab</t>
  </si>
  <si>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</si>
  <si>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</si>
  <si>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</si>
  <si>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</si>
  <si>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</si>
  <si>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</si>
  <si>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</si>
  <si>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</si>
  <si>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</si>
  <si>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</si>
  <si>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</si>
  <si>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</si>
  <si>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</si>
  <si>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</si>
  <si>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</si>
  <si>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</si>
  <si>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</si>
  <si>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</si>
  <si>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</si>
  <si>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</si>
  <si>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</si>
  <si>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</si>
  <si>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</si>
  <si>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</si>
  <si>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</si>
  <si>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</si>
  <si>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</si>
  <si>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</si>
  <si>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</si>
  <si>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</si>
  <si>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</si>
  <si>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</si>
  <si>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</si>
  <si>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</si>
  <si>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</si>
  <si>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</si>
  <si>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</si>
  <si>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</si>
  <si>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</si>
  <si>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</si>
  <si>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</si>
  <si>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</si>
  <si>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</si>
  <si>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</si>
  <si>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</si>
  <si>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</si>
  <si>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</si>
  <si>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</si>
  <si>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</si>
  <si>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</si>
  <si>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</si>
  <si>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</si>
  <si>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</si>
  <si>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Dana L. Royer</t>
  </si>
  <si>
    <t>median</t>
  </si>
  <si>
    <t>2.5 and 97.5 percentiles</t>
  </si>
  <si>
    <t>right skewed</t>
  </si>
  <si>
    <t>microscope</t>
  </si>
  <si>
    <t>age model of Tipple et al. (2010; 10.1029/2009PA001851)</t>
  </si>
  <si>
    <t>generic value from Franks et al. (2014); 1 sigma error is 5% of mean</t>
  </si>
  <si>
    <t>no</t>
  </si>
  <si>
    <t>10.1130/G36014.1</t>
  </si>
  <si>
    <t>Metasequoia occidentalis</t>
  </si>
  <si>
    <t>Cupressaceae</t>
  </si>
  <si>
    <t>Metasequoia</t>
  </si>
  <si>
    <t>occidentalis</t>
  </si>
  <si>
    <t>Wesleyan University</t>
  </si>
  <si>
    <t>Buchanan Lake Formation</t>
  </si>
  <si>
    <t>Napartulik fossil forest, Axel Heiberg Island, Canada: mean of 6 stratigraphic layers--"F", "E", "D", "C", "A", "B'"</t>
  </si>
  <si>
    <t>Uintan-Duchesnean NALMA</t>
  </si>
  <si>
    <t>449 x 334</t>
  </si>
  <si>
    <t>60 leaves</t>
  </si>
  <si>
    <t>single guard cell width cannot be reliably measured in these fossils; instead, it scaled from the pore length as measured in living Metasequoia; error is 5% of the mean</t>
  </si>
  <si>
    <t>mean of 12 leaves from the living Metasequoia glyptostroboides</t>
  </si>
  <si>
    <t>mean of 10 leaves from the living Metasequoia glyptostroboides</t>
  </si>
  <si>
    <t>pore length was scaled from "inner rectangular length" based on the scaling of leaves from living Metasequoia glyptostroboides</t>
  </si>
  <si>
    <t>based on measurements of 7 leaves from living Metasequoia glyptostroboides</t>
  </si>
  <si>
    <t>proxy</t>
  </si>
  <si>
    <t>first_author_last_name</t>
  </si>
  <si>
    <t>publication_year</t>
  </si>
  <si>
    <t>age_ka</t>
  </si>
  <si>
    <t>Age_uncertainty_pos_ka</t>
  </si>
  <si>
    <t>Age_uncertainty_neg_ka</t>
  </si>
  <si>
    <t>stomata-franks</t>
  </si>
  <si>
    <t>Maxbauer</t>
  </si>
  <si>
    <t>name of person entering product data</t>
  </si>
  <si>
    <t>email of person entering product data</t>
  </si>
  <si>
    <t>specify reason for age revision</t>
  </si>
  <si>
    <t>droyer@wesleyan.edu</t>
  </si>
  <si>
    <t>specify reason for quarantine</t>
  </si>
  <si>
    <t>Maxbauer, D. P., Royer, D. L., and LePage, B. A., 2014, High Arctic forests during the middle Eocene supported by moderate levels of atmospheric CO2: Geology, v. 42, p. 1027-1030.</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</si>
  <si>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</si>
  <si>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</si>
  <si>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</si>
  <si>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</si>
  <si>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</si>
  <si>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</si>
  <si>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</si>
  <si>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</si>
  <si>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</si>
  <si>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</si>
  <si>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</si>
  <si>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CO2_uncertainty_neg_ppm</t>
  </si>
  <si>
    <t>Reference of the data product</t>
  </si>
  <si>
    <t>doi link to reference</t>
  </si>
  <si>
    <t>Modern Latitude (decimal degree, south negative)</t>
  </si>
  <si>
    <t>Modern Longitude (decimal degree, west negative)</t>
  </si>
  <si>
    <t>Paleo Latitude (decimal degree, south negative)</t>
  </si>
  <si>
    <t>Paleo Longitude (decimal degree, west negative)</t>
  </si>
  <si>
    <t>GTS2020</t>
  </si>
  <si>
    <t>Biostratigraphy updated to GTS2020</t>
  </si>
  <si>
    <t>all known sources of error have been quantified and/or sensitivity of the CO2 estimate to those sources is small</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</si>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</sst>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b/>
      <sz val="12"/>
      <name val="Calibri"/>
      <family val="2"/>
      <scheme val="minor"/>
    </font>
    <font>
      <sz val="12"/>
      <color theme="1"/>
      <name val="Calibri"/>
      <family val="2"/>
      <scheme val="minor"/>
    </font>
    <font>
      <sz val="13"/>
      <color rgb="FF000000"/>
      <name val="Helvetica"/>
      <family val="2"/>
    </font>
  </fonts>
  <fills count="6">
    <fill>
      <patternFill patternType="none"/>
    </fill>
    <fill>
      <patternFill patternType="gray125"/>
    </fill>
    <fill>
      <patternFill patternType="solid">
        <fgColor rgb="FFE2EFD9"/>
        <bgColor indexed="64"/>
      </patternFill>
    </fill>
    <fill>
      <patternFill patternType="solid">
        <fgColor rgb="FFCC99FF"/>
        <bgColor indexed="64"/>
      </patternFill>
    </fill>
    <fill>
      <patternFill patternType="solid">
        <fgColor theme="9" tint="0.79998168889431442"/>
        <bgColor indexed="64"/>
      </patternFill>
    </fill>
    <fill>
      <patternFill patternType="solid">
        <fgColor rgb="FFFFCC66"/>
        <bgColor indexed="64"/>
      </patternFill>
    </fill>
  </fills>
  <borders count="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6">
    <xf numFmtId="0" fontId="0" fillId="0" borderId="0" xfId="0"/>
    <xf numFmtId="0" fontId="0" fillId="0" borderId="0" xfId="0" applyBorder="1"/>
    <xf numFmtId="0" fontId="0" fillId="2" borderId="0" xfId="0" applyFill="1" applyBorder="1" applyAlignment="1">
      <alignment vertical="top"/>
    </xf>
    <xf numFmtId="0" fontId="1" fillId="3" borderId="0" xfId="0" applyFont="1" applyFill="1" applyBorder="1" applyAlignment="1"/>
    <xf numFmtId="0" fontId="1" fillId="4" borderId="0" xfId="0" applyFont="1" applyFill="1" applyBorder="1" applyAlignment="1"/>
    <xf numFmtId="0" fontId="1" fillId="5" borderId="0" xfId="0" applyFont="1" applyFill="1" applyBorder="1" applyAlignment="1"/>
    <xf numFmtId="0" fontId="1" fillId="2" borderId="0" xfId="0" applyFont="1" applyFill="1" applyBorder="1" applyAlignment="1"/>
    <xf numFmtId="0" fontId="0" fillId="0" borderId="0" xfId="0" applyBorder="1" applyAlignment="1"/>
    <xf numFmtId="0" fontId="2" fillId="2" borderId="0" xfId="0" applyFont="1" applyFill="1" applyBorder="1" applyAlignment="1">
      <alignment vertical="top" wrapText="1"/>
    </xf>
    <xf numFmtId="0" fontId="3" fillId="2" borderId="0" xfId="0" applyFont="1" applyFill="1" applyBorder="1" applyAlignment="1">
      <alignment horizontal="center" vertical="top" wrapText="1"/>
    </xf>
    <xf numFmtId="0" fontId="2" fillId="3" borderId="0" xfId="0" applyFont="1" applyFill="1" applyBorder="1" applyAlignment="1">
      <alignment vertical="top" wrapText="1"/>
    </xf>
    <xf numFmtId="0" fontId="2" fillId="4" borderId="0" xfId="0" applyFont="1" applyFill="1" applyBorder="1" applyAlignment="1">
      <alignment vertical="top" wrapText="1"/>
    </xf>
    <xf numFmtId="0" fontId="2" fillId="5" borderId="0" xfId="0" applyFont="1" applyFill="1" applyBorder="1" applyAlignment="1">
      <alignment vertical="top" wrapText="1"/>
    </xf>
    <xf numFmtId="0" fontId="3" fillId="0" borderId="0" xfId="0" applyFont="1" applyBorder="1"/>
    <xf numFmtId="0" fontId="1" fillId="0" borderId="0" xfId="0" applyFont="1" applyBorder="1" applyAlignment="1"/>
    <xf numFmtId="0" fontId="1" fillId="0" borderId="0" xfId="0" applyFont="1" applyBorder="1" applyAlignment="1">
      <alignment horizontal="right"/>
    </xf>
    <xf numFmtId="11" fontId="1" fillId="0" borderId="0" xfId="0" applyNumberFormat="1" applyFont="1" applyBorder="1" applyAlignment="1">
      <alignment horizontal="right"/>
    </xf>
    <xf numFmtId="11" fontId="0" fillId="0" borderId="0" xfId="0" applyNumberFormat="1" applyBorder="1" applyAlignment="1"/>
    <xf numFmtId="0" fontId="0" fillId="0" borderId="1" xfId="0" applyBorder="1"/>
    <xf numFmtId="0" fontId="0" fillId="0" borderId="2" xfId="0" applyBorder="1"/>
    <xf numFmtId="0" fontId="0" fillId="0" borderId="3" xfId="0" applyBorder="1"/>
    <xf numFmtId="0" fontId="0" fillId="0" borderId="4" xfId="0" applyBorder="1" applyAlignment="1"/>
    <xf numFmtId="0" fontId="0" fillId="0" borderId="5" xfId="0" applyBorder="1"/>
    <xf numFmtId="0" fontId="1" fillId="0" borderId="1" xfId="0" applyFont="1" applyBorder="1" applyAlignment="1">
      <alignment wrapText="1"/>
    </xf>
    <xf numFmtId="0" fontId="1" fillId="0" borderId="2" xfId="0" applyFont="1" applyBorder="1" applyAlignment="1">
      <alignment wrapText="1"/>
    </xf>
    <xf numFmtId="0" fontId="1"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1" fillId="0" borderId="3" xfId="0" applyFont="1" applyBorder="1" applyAlignment="1">
      <alignment wrapText="1"/>
    </xf>
    <xf numFmtId="0" fontId="1" fillId="0" borderId="5" xfId="0" applyFont="1" applyBorder="1" applyAlignment="1">
      <alignment wrapText="1"/>
    </xf>
    <xf numFmtId="0" fontId="1" fillId="0" borderId="0" xfId="0" applyFont="1" applyFill="1" applyBorder="1" applyAlignment="1">
      <alignment vertical="center"/>
    </xf>
    <xf numFmtId="0" fontId="1" fillId="0" borderId="0" xfId="0" applyFont="1" applyFill="1" applyBorder="1" applyAlignment="1">
      <alignment wrapText="1"/>
    </xf>
    <xf numFmtId="0" fontId="4" fillId="4" borderId="0" xfId="0" applyFont="1" applyFill="1" applyBorder="1" applyAlignment="1">
      <alignment horizontal="center" vertical="center" wrapText="1"/>
    </xf>
    <xf numFmtId="0" fontId="0" fillId="0" borderId="0" xfId="0" applyFill="1" applyBorder="1" applyAlignment="1">
      <alignment horizontal="right"/>
    </xf>
    <xf numFmtId="0" fontId="5" fillId="0" borderId="0" xfId="0" applyFont="1"/>
    <xf numFmtId="1" fontId="0" fillId="0" borderId="0" xfId="0" applyNumberFormat="1" applyFont="1"/>
    <xf numFmtId="1" fontId="5" fillId="0" borderId="0" xfId="0" applyNumberFormat="1" applyFont="1"/>
    <xf numFmtId="0" fontId="0" fillId="0" borderId="0" xfId="0" applyAlignment="1">
      <alignment horizontal="center"/>
    </xf>
    <xf numFmtId="0" fontId="6" fillId="0" borderId="0" xfId="0" applyFont="1"/>
    <xf numFmtId="0" fontId="0" fillId="0" borderId="2"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Z40"/>
  <sheetViews>
    <sheetView tabSelected="1" topLeftCell="E1" workbookViewId="0">
      <pane ySplit="3" topLeftCell="A4" activePane="bottomLeft" state="frozen"/>
      <selection pane="bottomLeft" activeCell="N3" sqref="N3:O3"/>
    </sheetView>
  </sheetViews>
  <sheetFormatPr baseColWidth="10" defaultColWidth="11" defaultRowHeight="16" x14ac:dyDescent="0.2"/>
  <cols>
    <col min="1" max="32" width="11" style="1"/>
    <col min="33" max="33" width="11.6640625" style="1" customWidth="1"/>
    <col min="34" max="34" width="11" style="1"/>
    <col min="35" max="35" width="11.83203125" style="1" customWidth="1"/>
    <col min="36" max="36" width="12.33203125" style="1" customWidth="1"/>
    <col min="37" max="37" width="11" style="1"/>
    <col min="38" max="38" width="11.83203125" style="1" customWidth="1"/>
    <col min="39" max="42" width="11" style="1"/>
    <col min="43" max="43" width="15.33203125" style="1" customWidth="1"/>
    <col min="44" max="47" width="11" style="1"/>
    <col min="48" max="48" width="13.1640625" style="1" customWidth="1"/>
    <col min="49" max="16384" width="11" style="1"/>
  </cols>
  <sheetData>
    <row r="2" spans="1:104" s="7" customFormat="1" x14ac:dyDescent="0.2">
      <c r="A2" s="18"/>
      <c r="B2" s="19"/>
      <c r="C2" s="19"/>
      <c r="D2" s="19"/>
      <c r="E2" s="19"/>
      <c r="F2" s="19"/>
      <c r="G2" s="19"/>
      <c r="H2" s="19"/>
      <c r="I2" s="19"/>
      <c r="J2" s="19"/>
      <c r="K2" s="19"/>
      <c r="L2" s="20"/>
      <c r="M2" s="21"/>
      <c r="N2" s="21"/>
      <c r="O2" s="21"/>
      <c r="P2" s="21"/>
      <c r="Q2"/>
      <c r="R2" s="22"/>
      <c r="S2" s="43"/>
      <c r="T2" s="43"/>
      <c r="U2" s="43"/>
      <c r="V2" s="43"/>
      <c r="W2" s="43"/>
      <c r="X2" s="22"/>
      <c r="Y2" s="2"/>
      <c r="Z2" s="2"/>
      <c r="AA2" s="2"/>
      <c r="AB2" s="2"/>
      <c r="AC2" s="2"/>
      <c r="AD2" s="2"/>
      <c r="AE2" s="2"/>
      <c r="AF2" s="2"/>
      <c r="AG2" s="2"/>
      <c r="AH2" s="2"/>
      <c r="AI2" s="2"/>
      <c r="AJ2" s="2"/>
      <c r="AK2" s="2"/>
      <c r="AL2" s="2"/>
      <c r="AM2" s="2"/>
      <c r="AN2" s="2"/>
      <c r="AO2" s="2"/>
      <c r="AP2" s="2"/>
      <c r="AQ2" s="2"/>
      <c r="AR2" s="2"/>
      <c r="AS2" s="2"/>
      <c r="AT2" s="2"/>
      <c r="AU2" s="2"/>
      <c r="AV2" s="2"/>
      <c r="AW2" s="2"/>
      <c r="AX2" s="2"/>
      <c r="AY2" s="3" t="s">
        <v>4</v>
      </c>
      <c r="AZ2" s="3" t="s">
        <v>5</v>
      </c>
      <c r="BA2" s="3" t="s">
        <v>6</v>
      </c>
      <c r="BB2" s="3" t="s">
        <v>7</v>
      </c>
      <c r="BC2" s="3" t="s">
        <v>8</v>
      </c>
      <c r="BD2" s="3" t="s">
        <v>9</v>
      </c>
      <c r="BE2" s="3" t="s">
        <v>10</v>
      </c>
      <c r="BF2" s="3" t="s">
        <v>11</v>
      </c>
      <c r="BG2" s="3" t="s">
        <v>12</v>
      </c>
      <c r="BH2" s="3" t="s">
        <v>13</v>
      </c>
      <c r="BI2" s="3" t="s">
        <v>14</v>
      </c>
      <c r="BJ2" s="3" t="s">
        <v>15</v>
      </c>
      <c r="BK2" s="3" t="s">
        <v>16</v>
      </c>
      <c r="BL2" s="3" t="s">
        <v>17</v>
      </c>
      <c r="BM2" s="3" t="s">
        <v>18</v>
      </c>
      <c r="BN2" s="3" t="s">
        <v>19</v>
      </c>
      <c r="BO2" s="3" t="s">
        <v>20</v>
      </c>
      <c r="BP2" s="3" t="s">
        <v>21</v>
      </c>
      <c r="BQ2" s="3" t="s">
        <v>22</v>
      </c>
      <c r="BR2" s="3" t="s">
        <v>23</v>
      </c>
      <c r="BS2" s="3" t="s">
        <v>24</v>
      </c>
      <c r="BT2" s="4" t="s">
        <v>25</v>
      </c>
      <c r="BU2" s="4" t="s">
        <v>26</v>
      </c>
      <c r="BV2" s="4" t="s">
        <v>27</v>
      </c>
      <c r="BW2" s="4" t="s">
        <v>28</v>
      </c>
      <c r="BX2" s="5" t="s">
        <v>29</v>
      </c>
      <c r="BY2" s="5" t="s">
        <v>30</v>
      </c>
      <c r="BZ2" s="5" t="s">
        <v>31</v>
      </c>
      <c r="CA2" s="5" t="s">
        <v>32</v>
      </c>
      <c r="CB2" s="5" t="s">
        <v>33</v>
      </c>
      <c r="CC2" s="5" t="s">
        <v>34</v>
      </c>
      <c r="CD2" s="5" t="s">
        <v>35</v>
      </c>
      <c r="CE2" s="5" t="s">
        <v>36</v>
      </c>
      <c r="CF2" s="5" t="s">
        <v>37</v>
      </c>
      <c r="CG2" s="5" t="s">
        <v>38</v>
      </c>
      <c r="CH2" s="5" t="s">
        <v>39</v>
      </c>
      <c r="CI2" s="5" t="s">
        <v>40</v>
      </c>
      <c r="CJ2" s="5" t="s">
        <v>41</v>
      </c>
      <c r="CK2" s="5" t="s">
        <v>42</v>
      </c>
      <c r="CL2" s="5" t="s">
        <v>43</v>
      </c>
      <c r="CM2" s="5" t="s">
        <v>44</v>
      </c>
      <c r="CN2" s="5" t="s">
        <v>45</v>
      </c>
      <c r="CO2" s="5" t="s">
        <v>46</v>
      </c>
      <c r="CP2" s="5" t="s">
        <v>47</v>
      </c>
      <c r="CQ2" s="5" t="s">
        <v>48</v>
      </c>
      <c r="CR2" s="5" t="s">
        <v>49</v>
      </c>
      <c r="CS2" s="5" t="s">
        <v>50</v>
      </c>
      <c r="CT2" s="5" t="s">
        <v>51</v>
      </c>
      <c r="CU2" s="5" t="s">
        <v>52</v>
      </c>
      <c r="CV2" s="6" t="s">
        <v>53</v>
      </c>
      <c r="CW2" s="6" t="s">
        <v>54</v>
      </c>
      <c r="CX2" s="6" t="s">
        <v>55</v>
      </c>
      <c r="CY2" s="5" t="s">
        <v>56</v>
      </c>
      <c r="CZ2" s="6" t="s">
        <v>57</v>
      </c>
    </row>
    <row r="3" spans="1:104" s="13" customFormat="1" ht="76.5" customHeight="1" x14ac:dyDescent="0.2">
      <c r="A3" s="23" t="s">
        <v>165</v>
      </c>
      <c r="B3" s="24" t="s">
        <v>166</v>
      </c>
      <c r="C3" s="25" t="s">
        <v>157</v>
      </c>
      <c r="D3" s="26" t="s">
        <v>158</v>
      </c>
      <c r="E3" s="26" t="s">
        <v>159</v>
      </c>
      <c r="F3" s="27" t="s">
        <v>58</v>
      </c>
      <c r="G3" s="27" t="s">
        <v>160</v>
      </c>
      <c r="H3" s="28" t="s">
        <v>161</v>
      </c>
      <c r="I3" s="28" t="s">
        <v>162</v>
      </c>
      <c r="J3" s="26" t="s">
        <v>171</v>
      </c>
      <c r="K3" s="28" t="s">
        <v>172</v>
      </c>
      <c r="L3" s="29" t="s">
        <v>182</v>
      </c>
      <c r="M3" s="30" t="s">
        <v>173</v>
      </c>
      <c r="N3" s="45" t="s">
        <v>192</v>
      </c>
      <c r="O3" s="45" t="s">
        <v>193</v>
      </c>
      <c r="P3" s="30" t="s">
        <v>174</v>
      </c>
      <c r="Q3" s="31" t="s">
        <v>175</v>
      </c>
      <c r="R3" s="32" t="s">
        <v>176</v>
      </c>
      <c r="S3" s="33" t="s">
        <v>177</v>
      </c>
      <c r="T3" s="30" t="s">
        <v>178</v>
      </c>
      <c r="U3" s="30" t="s">
        <v>169</v>
      </c>
      <c r="V3" s="30" t="s">
        <v>179</v>
      </c>
      <c r="W3" s="34" t="s">
        <v>180</v>
      </c>
      <c r="X3" s="35" t="s">
        <v>167</v>
      </c>
      <c r="Y3" s="8" t="s">
        <v>183</v>
      </c>
      <c r="Z3" s="8" t="s">
        <v>184</v>
      </c>
      <c r="AA3" s="8" t="s">
        <v>59</v>
      </c>
      <c r="AB3" s="8" t="s">
        <v>60</v>
      </c>
      <c r="AC3" s="8" t="s">
        <v>61</v>
      </c>
      <c r="AD3" s="8" t="s">
        <v>62</v>
      </c>
      <c r="AE3" s="8" t="s">
        <v>63</v>
      </c>
      <c r="AF3" s="8" t="s">
        <v>64</v>
      </c>
      <c r="AG3" s="8" t="s">
        <v>65</v>
      </c>
      <c r="AH3" s="8" t="s">
        <v>66</v>
      </c>
      <c r="AI3" s="8" t="s">
        <v>67</v>
      </c>
      <c r="AJ3" s="8" t="s">
        <v>68</v>
      </c>
      <c r="AK3" s="8" t="s">
        <v>69</v>
      </c>
      <c r="AL3" s="8" t="s">
        <v>70</v>
      </c>
      <c r="AM3" s="8" t="s">
        <v>185</v>
      </c>
      <c r="AN3" s="8" t="s">
        <v>186</v>
      </c>
      <c r="AO3" s="38" t="s">
        <v>187</v>
      </c>
      <c r="AP3" s="38" t="s">
        <v>188</v>
      </c>
      <c r="AQ3" s="8" t="s">
        <v>71</v>
      </c>
      <c r="AR3" s="8" t="s">
        <v>72</v>
      </c>
      <c r="AS3" s="8" t="s">
        <v>73</v>
      </c>
      <c r="AT3" s="8" t="s">
        <v>74</v>
      </c>
      <c r="AU3" s="8" t="s">
        <v>75</v>
      </c>
      <c r="AV3" s="8" t="s">
        <v>76</v>
      </c>
      <c r="AW3" s="9" t="s">
        <v>77</v>
      </c>
      <c r="AX3" s="9" t="s">
        <v>78</v>
      </c>
      <c r="AY3" s="10" t="s">
        <v>79</v>
      </c>
      <c r="AZ3" s="10" t="s">
        <v>80</v>
      </c>
      <c r="BA3" s="10" t="s">
        <v>81</v>
      </c>
      <c r="BB3" s="10" t="s">
        <v>82</v>
      </c>
      <c r="BC3" s="10" t="s">
        <v>83</v>
      </c>
      <c r="BD3" s="10" t="s">
        <v>84</v>
      </c>
      <c r="BE3" s="10" t="s">
        <v>85</v>
      </c>
      <c r="BF3" s="10" t="s">
        <v>86</v>
      </c>
      <c r="BG3" s="10" t="s">
        <v>87</v>
      </c>
      <c r="BH3" s="10" t="s">
        <v>88</v>
      </c>
      <c r="BI3" s="10" t="s">
        <v>89</v>
      </c>
      <c r="BJ3" s="10" t="s">
        <v>90</v>
      </c>
      <c r="BK3" s="10" t="s">
        <v>91</v>
      </c>
      <c r="BL3" s="10" t="s">
        <v>92</v>
      </c>
      <c r="BM3" s="10" t="s">
        <v>93</v>
      </c>
      <c r="BN3" s="10" t="s">
        <v>94</v>
      </c>
      <c r="BO3" s="10" t="s">
        <v>95</v>
      </c>
      <c r="BP3" s="10" t="s">
        <v>96</v>
      </c>
      <c r="BQ3" s="10" t="s">
        <v>97</v>
      </c>
      <c r="BR3" s="10" t="s">
        <v>98</v>
      </c>
      <c r="BS3" s="10" t="s">
        <v>99</v>
      </c>
      <c r="BT3" s="11" t="s">
        <v>100</v>
      </c>
      <c r="BU3" s="11" t="s">
        <v>101</v>
      </c>
      <c r="BV3" s="11" t="s">
        <v>102</v>
      </c>
      <c r="BW3" s="11" t="s">
        <v>103</v>
      </c>
      <c r="BX3" s="12" t="s">
        <v>104</v>
      </c>
      <c r="BY3" s="12" t="s">
        <v>105</v>
      </c>
      <c r="BZ3" s="12" t="s">
        <v>106</v>
      </c>
      <c r="CA3" s="12" t="s">
        <v>107</v>
      </c>
      <c r="CB3" s="12" t="s">
        <v>108</v>
      </c>
      <c r="CC3" s="12" t="s">
        <v>109</v>
      </c>
      <c r="CD3" s="12" t="s">
        <v>110</v>
      </c>
      <c r="CE3" s="12" t="s">
        <v>111</v>
      </c>
      <c r="CF3" s="12" t="s">
        <v>112</v>
      </c>
      <c r="CG3" s="12" t="s">
        <v>113</v>
      </c>
      <c r="CH3" s="12" t="s">
        <v>114</v>
      </c>
      <c r="CI3" s="12" t="s">
        <v>115</v>
      </c>
      <c r="CJ3" s="12" t="s">
        <v>116</v>
      </c>
      <c r="CK3" s="12" t="s">
        <v>117</v>
      </c>
      <c r="CL3" s="12" t="s">
        <v>118</v>
      </c>
      <c r="CM3" s="12" t="s">
        <v>119</v>
      </c>
      <c r="CN3" s="12" t="s">
        <v>120</v>
      </c>
      <c r="CO3" s="12" t="s">
        <v>121</v>
      </c>
      <c r="CP3" s="12" t="s">
        <v>122</v>
      </c>
      <c r="CQ3" s="12" t="s">
        <v>123</v>
      </c>
      <c r="CR3" s="12" t="s">
        <v>124</v>
      </c>
      <c r="CS3" s="12" t="s">
        <v>125</v>
      </c>
      <c r="CT3" s="12" t="s">
        <v>126</v>
      </c>
      <c r="CU3" s="12" t="s">
        <v>127</v>
      </c>
      <c r="CV3" s="8" t="s">
        <v>128</v>
      </c>
      <c r="CW3" s="8" t="s">
        <v>129</v>
      </c>
      <c r="CX3" s="8" t="s">
        <v>130</v>
      </c>
      <c r="CY3" s="12" t="s">
        <v>131</v>
      </c>
      <c r="CZ3" s="8" t="s">
        <v>132</v>
      </c>
    </row>
    <row r="4" spans="1:104" s="7" customFormat="1" ht="17" x14ac:dyDescent="0.2">
      <c r="A4" t="s">
        <v>133</v>
      </c>
      <c r="B4" t="s">
        <v>168</v>
      </c>
      <c r="C4" t="s">
        <v>163</v>
      </c>
      <c r="D4" t="s">
        <v>164</v>
      </c>
      <c r="E4">
        <v>2014</v>
      </c>
      <c r="F4" t="str">
        <f>Z4</f>
        <v>10.1130/G36014.1</v>
      </c>
      <c r="G4" s="40">
        <f t="shared" ref="G4" si="0">AH4*1000</f>
        <v>42500</v>
      </c>
      <c r="H4" s="40">
        <f t="shared" ref="H4" si="1">(AI4-AH4)*1000</f>
        <v>5000</v>
      </c>
      <c r="I4" s="40">
        <f t="shared" ref="I4" si="2">(AH4-AJ4)*1000</f>
        <v>5000</v>
      </c>
      <c r="J4" s="41">
        <f>AQ4</f>
        <v>424</v>
      </c>
      <c r="K4" s="42">
        <f>AT4-AQ4</f>
        <v>99</v>
      </c>
      <c r="L4" s="42">
        <f>AQ4-AS4</f>
        <v>73</v>
      </c>
      <c r="M4" t="b">
        <v>1</v>
      </c>
      <c r="N4">
        <v>1</v>
      </c>
      <c r="O4" s="44" t="s">
        <v>191</v>
      </c>
      <c r="P4" t="s">
        <v>181</v>
      </c>
      <c r="Q4" t="b">
        <v>0</v>
      </c>
      <c r="R4" t="s">
        <v>181</v>
      </c>
      <c r="S4" t="b">
        <v>0</v>
      </c>
      <c r="T4" t="b">
        <v>0</v>
      </c>
      <c r="U4" t="s">
        <v>181</v>
      </c>
      <c r="V4" t="s">
        <v>181</v>
      </c>
      <c r="W4" t="b">
        <v>1</v>
      </c>
      <c r="X4" t="s">
        <v>190</v>
      </c>
      <c r="Y4" s="14" t="s">
        <v>170</v>
      </c>
      <c r="Z4" s="14" t="s">
        <v>141</v>
      </c>
      <c r="AA4" s="7" t="s">
        <v>142</v>
      </c>
      <c r="AB4" s="14" t="s">
        <v>143</v>
      </c>
      <c r="AC4" s="14" t="s">
        <v>144</v>
      </c>
      <c r="AD4" s="14" t="s">
        <v>145</v>
      </c>
      <c r="AE4" s="14" t="s">
        <v>146</v>
      </c>
      <c r="AF4" s="14" t="s">
        <v>147</v>
      </c>
      <c r="AG4" s="14" t="s">
        <v>148</v>
      </c>
      <c r="AH4" s="15">
        <f>AVERAGE(AI4:AJ4)</f>
        <v>42.5</v>
      </c>
      <c r="AI4" s="15">
        <v>47.5</v>
      </c>
      <c r="AJ4" s="15">
        <v>37.5</v>
      </c>
      <c r="AK4" s="14" t="s">
        <v>189</v>
      </c>
      <c r="AL4" s="14" t="s">
        <v>149</v>
      </c>
      <c r="AM4" s="15">
        <v>79.92</v>
      </c>
      <c r="AN4" s="15">
        <v>-89.03</v>
      </c>
      <c r="AO4" s="39" t="s">
        <v>181</v>
      </c>
      <c r="AP4" s="39" t="s">
        <v>181</v>
      </c>
      <c r="AQ4" s="15">
        <v>424</v>
      </c>
      <c r="AR4" s="14" t="s">
        <v>134</v>
      </c>
      <c r="AS4" s="15">
        <v>351</v>
      </c>
      <c r="AT4" s="15">
        <v>523</v>
      </c>
      <c r="AU4" s="14" t="s">
        <v>135</v>
      </c>
      <c r="AV4" s="14" t="s">
        <v>136</v>
      </c>
      <c r="AW4" s="14" t="s">
        <v>137</v>
      </c>
      <c r="AX4" s="14" t="s">
        <v>150</v>
      </c>
      <c r="AY4" s="16">
        <v>52600000</v>
      </c>
      <c r="AZ4" s="16">
        <v>1470000</v>
      </c>
      <c r="BA4" s="7" t="s">
        <v>151</v>
      </c>
      <c r="BB4" s="16">
        <v>0</v>
      </c>
      <c r="BC4" s="16">
        <v>0</v>
      </c>
      <c r="BD4" s="7" t="s">
        <v>151</v>
      </c>
      <c r="BE4" s="16">
        <v>2.7699999999999999E-5</v>
      </c>
      <c r="BF4" s="16">
        <v>2.4600000000000001E-7</v>
      </c>
      <c r="BG4" s="7" t="s">
        <v>151</v>
      </c>
      <c r="BH4" s="16">
        <v>0</v>
      </c>
      <c r="BI4" s="16">
        <v>0</v>
      </c>
      <c r="BJ4" s="7" t="s">
        <v>151</v>
      </c>
      <c r="BK4" s="16">
        <v>1.6099999999999998E-5</v>
      </c>
      <c r="BL4" s="16">
        <v>8.0299999999999998E-7</v>
      </c>
      <c r="BM4" s="7" t="s">
        <v>152</v>
      </c>
      <c r="BN4" s="16">
        <v>0</v>
      </c>
      <c r="BO4" s="16">
        <v>0</v>
      </c>
      <c r="BP4" s="14" t="s">
        <v>181</v>
      </c>
      <c r="BQ4" s="15">
        <v>-25.01</v>
      </c>
      <c r="BR4" s="15">
        <v>0.09</v>
      </c>
      <c r="BS4" s="7" t="s">
        <v>151</v>
      </c>
      <c r="BT4" s="15">
        <v>-5.8</v>
      </c>
      <c r="BU4" s="15">
        <v>0.4</v>
      </c>
      <c r="BV4" s="14" t="s">
        <v>138</v>
      </c>
      <c r="BW4" s="15">
        <v>396</v>
      </c>
      <c r="BX4" s="15">
        <v>6.67</v>
      </c>
      <c r="BY4" s="15">
        <v>0.39</v>
      </c>
      <c r="BZ4" s="14" t="s">
        <v>153</v>
      </c>
      <c r="CA4" s="15">
        <v>0.67</v>
      </c>
      <c r="CB4" s="15">
        <v>6.7000000000000002E-3</v>
      </c>
      <c r="CC4" s="14" t="s">
        <v>154</v>
      </c>
      <c r="CD4" s="15">
        <v>2</v>
      </c>
      <c r="CE4" s="15">
        <v>0.1</v>
      </c>
      <c r="CF4" s="14" t="s">
        <v>139</v>
      </c>
      <c r="CG4" s="15">
        <v>0.84</v>
      </c>
      <c r="CH4" s="15">
        <v>7.0000000000000001E-3</v>
      </c>
      <c r="CI4" s="14" t="s">
        <v>155</v>
      </c>
      <c r="CJ4" s="15">
        <v>1</v>
      </c>
      <c r="CK4" s="15">
        <v>0.05</v>
      </c>
      <c r="CL4" s="14" t="s">
        <v>139</v>
      </c>
      <c r="CM4" s="15">
        <v>0.5</v>
      </c>
      <c r="CN4" s="15">
        <v>2.5000000000000001E-2</v>
      </c>
      <c r="CO4" s="14" t="s">
        <v>139</v>
      </c>
      <c r="CP4" s="15">
        <v>0.34</v>
      </c>
      <c r="CQ4" s="15">
        <v>0.04</v>
      </c>
      <c r="CR4" s="14" t="s">
        <v>156</v>
      </c>
      <c r="CS4" s="15">
        <v>1.2999999999999999E-2</v>
      </c>
      <c r="CT4" s="15">
        <v>6.4999999999999997E-4</v>
      </c>
      <c r="CU4" s="14" t="s">
        <v>139</v>
      </c>
      <c r="CV4" s="14" t="s">
        <v>140</v>
      </c>
      <c r="CW4" s="15">
        <v>30</v>
      </c>
      <c r="CX4" s="15">
        <v>9.4009599999999997E-4</v>
      </c>
      <c r="CY4" s="15">
        <v>40</v>
      </c>
      <c r="CZ4" s="15">
        <v>25</v>
      </c>
    </row>
    <row r="5" spans="1:104" s="7" customFormat="1" x14ac:dyDescent="0.2">
      <c r="AY5" s="17"/>
      <c r="AZ5" s="17"/>
      <c r="BB5" s="17"/>
      <c r="BC5" s="17"/>
      <c r="BE5" s="17"/>
      <c r="BF5" s="17"/>
      <c r="BH5" s="17"/>
      <c r="BI5" s="17"/>
      <c r="BK5" s="17"/>
      <c r="BL5" s="17"/>
      <c r="BN5" s="17"/>
      <c r="BO5" s="17"/>
    </row>
    <row r="6" spans="1:104" s="7" customFormat="1" x14ac:dyDescent="0.2">
      <c r="AY6" s="17"/>
      <c r="AZ6" s="17"/>
      <c r="BB6" s="17"/>
      <c r="BC6" s="17"/>
      <c r="BE6" s="17"/>
      <c r="BF6" s="17"/>
      <c r="BH6" s="17"/>
      <c r="BI6" s="17"/>
      <c r="BK6" s="17"/>
      <c r="BL6" s="17"/>
      <c r="BN6" s="17"/>
      <c r="BO6" s="17"/>
    </row>
    <row r="7" spans="1:104" s="7" customFormat="1" x14ac:dyDescent="0.2">
      <c r="AY7" s="17"/>
      <c r="AZ7" s="17"/>
      <c r="BE7" s="17"/>
      <c r="BF7" s="17"/>
      <c r="BH7" s="17"/>
      <c r="BI7" s="17"/>
      <c r="BK7" s="17"/>
      <c r="BL7" s="17"/>
      <c r="BN7" s="17"/>
      <c r="BO7" s="17"/>
    </row>
    <row r="8" spans="1:104" s="7" customFormat="1" x14ac:dyDescent="0.2"/>
    <row r="9" spans="1:104" s="7" customFormat="1" x14ac:dyDescent="0.2"/>
    <row r="10" spans="1:104" s="7" customFormat="1" x14ac:dyDescent="0.2"/>
    <row r="11" spans="1:104" s="7" customFormat="1" x14ac:dyDescent="0.2"/>
    <row r="12" spans="1:104" s="7" customFormat="1" x14ac:dyDescent="0.2"/>
    <row r="13" spans="1:104" s="7" customFormat="1" x14ac:dyDescent="0.2"/>
    <row r="14" spans="1:104" s="7" customFormat="1" x14ac:dyDescent="0.2"/>
    <row r="15" spans="1:104" s="7" customFormat="1" x14ac:dyDescent="0.2"/>
    <row r="16" spans="1:104" s="7" customFormat="1" x14ac:dyDescent="0.2"/>
    <row r="17" s="7" customFormat="1" x14ac:dyDescent="0.2"/>
    <row r="18" s="7" customFormat="1" x14ac:dyDescent="0.2"/>
    <row r="19" s="7" customFormat="1" x14ac:dyDescent="0.2"/>
    <row r="20" s="7" customFormat="1" x14ac:dyDescent="0.2"/>
    <row r="21" s="7" customFormat="1" x14ac:dyDescent="0.2"/>
    <row r="22" s="7" customFormat="1" x14ac:dyDescent="0.2"/>
    <row r="23" s="7" customFormat="1" x14ac:dyDescent="0.2"/>
    <row r="24" s="7" customFormat="1" x14ac:dyDescent="0.2"/>
    <row r="25" s="7" customFormat="1" x14ac:dyDescent="0.2"/>
    <row r="26" s="7" customFormat="1" x14ac:dyDescent="0.2"/>
    <row r="27" s="7" customFormat="1" x14ac:dyDescent="0.2"/>
    <row r="28" s="7" customFormat="1" x14ac:dyDescent="0.2"/>
    <row r="29" s="7" customFormat="1" x14ac:dyDescent="0.2"/>
    <row r="30" s="7" customFormat="1" x14ac:dyDescent="0.2"/>
    <row r="31" s="7" customFormat="1" x14ac:dyDescent="0.2"/>
    <row r="32" s="7" customFormat="1" x14ac:dyDescent="0.2"/>
    <row r="33" s="7" customFormat="1" x14ac:dyDescent="0.2"/>
    <row r="34" s="7" customFormat="1" x14ac:dyDescent="0.2"/>
    <row r="35" s="7" customFormat="1" x14ac:dyDescent="0.2"/>
    <row r="36" s="7" customFormat="1" x14ac:dyDescent="0.2"/>
    <row r="37" s="7" customFormat="1" x14ac:dyDescent="0.2"/>
    <row r="38" s="7" customFormat="1" x14ac:dyDescent="0.2"/>
    <row r="39" s="7" customFormat="1" x14ac:dyDescent="0.2"/>
    <row r="40" s="7" customFormat="1" x14ac:dyDescent="0.2"/>
  </sheetData>
  <mergeCells count="1">
    <mergeCell ref="S2:W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election sqref="A1:A4"/>
    </sheetView>
  </sheetViews>
  <sheetFormatPr baseColWidth="10" defaultColWidth="11" defaultRowHeight="16" x14ac:dyDescent="0.2"/>
  <sheetData>
    <row r="1" spans="1:1" x14ac:dyDescent="0.2">
      <c r="A1" s="36" t="s">
        <v>0</v>
      </c>
    </row>
    <row r="2" spans="1:1" ht="17" x14ac:dyDescent="0.2">
      <c r="A2" s="37" t="s">
        <v>1</v>
      </c>
    </row>
    <row r="3" spans="1:1" x14ac:dyDescent="0.2">
      <c r="A3" s="36" t="s">
        <v>2</v>
      </c>
    </row>
    <row r="4" spans="1:1" x14ac:dyDescent="0.2">
      <c r="A4" s="36"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leaf gas-exchange_Franks</vt:lpstr>
      <vt:lpstr>Input parameters and References</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Royer, Dana</dc:creator>
  <cp:lastModifiedBy>Bärbel Hönisch</cp:lastModifiedBy>
  <dcterms:created xsi:type="dcterms:W3CDTF">2019-02-07T19:29:40Z</dcterms:created>
  <dcterms:modified xsi:type="dcterms:W3CDTF">2022-03-17T19:03:30Z</dcterms:modified>
</cp:coreProperties>
</file>