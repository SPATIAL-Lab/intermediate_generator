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1C7977EC-1B52-424C-9954-B59722AF38ED}" xr6:coauthVersionLast="47" xr6:coauthVersionMax="47" xr10:uidLastSave="{00000000-0000-0000-0000-000000000000}"/>
  <bookViews>
    <workbookView xWindow="-300" yWindow="5320" windowWidth="28800" windowHeight="1246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G5" i="1"/>
  <c r="J5" i="1"/>
  <c r="K5" i="1"/>
  <c r="L5" i="1"/>
  <c r="L4" i="1"/>
  <c r="K4" i="1"/>
  <c r="J4" i="1"/>
  <c r="G4" i="1"/>
  <c r="F4" i="1"/>
  <c r="AJ5" i="1" l="1"/>
  <c r="I5" i="1" s="1"/>
  <c r="AI5" i="1"/>
  <c r="H5" i="1" s="1"/>
  <c r="AJ4" i="1"/>
  <c r="I4" i="1" s="1"/>
  <c r="AI4" i="1"/>
  <c r="H4" i="1" s="1"/>
</calcChain>
</file>

<file path=xl/sharedStrings.xml><?xml version="1.0" encoding="utf-8"?>
<sst xmlns="http://schemas.openxmlformats.org/spreadsheetml/2006/main" count="252" uniqueCount="197">
  <si>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</si>
  <si>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</si>
  <si>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</si>
  <si>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</si>
  <si>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</si>
  <si>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</si>
  <si>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</si>
  <si>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</si>
  <si>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</si>
  <si>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</si>
  <si>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</si>
  <si>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</si>
  <si>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</si>
  <si>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</si>
  <si>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</si>
  <si>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</si>
  <si>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</si>
  <si>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</si>
  <si>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</si>
  <si>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</si>
  <si>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</si>
  <si>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</si>
  <si>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</si>
  <si>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</si>
  <si>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</si>
  <si>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</si>
  <si>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</si>
  <si>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</si>
  <si>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</si>
  <si>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</si>
  <si>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</si>
  <si>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</si>
  <si>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</si>
  <si>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</si>
  <si>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</si>
  <si>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</si>
  <si>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</si>
  <si>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</si>
  <si>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</si>
  <si>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</si>
  <si>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</si>
  <si>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</si>
  <si>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</si>
  <si>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</si>
  <si>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</si>
  <si>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</si>
  <si>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</si>
  <si>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</si>
  <si>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</si>
  <si>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</si>
  <si>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</si>
  <si>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</si>
  <si>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</si>
  <si>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</si>
  <si>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</si>
  <si>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</si>
  <si>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</si>
  <si>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</si>
  <si>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</si>
  <si>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</si>
  <si>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</si>
  <si>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</si>
  <si>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</si>
  <si>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</si>
  <si>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</si>
  <si>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</si>
  <si>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</si>
  <si>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</si>
  <si>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</si>
  <si>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</si>
  <si>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</si>
  <si>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</si>
  <si>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</si>
  <si>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</si>
  <si>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</si>
  <si>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</si>
  <si>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</si>
  <si>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</si>
  <si>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</si>
  <si>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</si>
  <si>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</si>
  <si>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</si>
  <si>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</si>
  <si>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</si>
  <si>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</si>
  <si>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</si>
  <si>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</si>
  <si>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</si>
  <si>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</si>
  <si>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</si>
  <si>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</si>
  <si>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</si>
  <si>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</si>
  <si>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</si>
  <si>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</si>
  <si>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</si>
  <si>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</si>
  <si>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</si>
  <si>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</si>
  <si>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</si>
  <si>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</si>
  <si>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</si>
  <si>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</si>
  <si>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</si>
  <si>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</si>
  <si>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</si>
  <si>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</si>
  <si>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</si>
  <si>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</si>
  <si>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</si>
  <si>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</si>
  <si>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</si>
  <si>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</si>
  <si>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</si>
  <si>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</si>
  <si>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</si>
  <si>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</si>
  <si>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</si>
  <si>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</si>
  <si>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</si>
  <si>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</si>
  <si>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</si>
  <si>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</si>
  <si>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</si>
  <si>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</si>
  <si>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</si>
  <si>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</si>
  <si>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</si>
  <si>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</si>
  <si>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</si>
  <si>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</si>
  <si>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</si>
  <si>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</si>
  <si>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</si>
  <si>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right skewed</t>
  </si>
  <si>
    <t>microscope</t>
  </si>
  <si>
    <t>age model of Tipple et al. (2010; 10.1029/2009PA001851)</t>
  </si>
  <si>
    <t>generic value from Franks et al. (2014); 1 sigma error is 5% of mean</t>
  </si>
  <si>
    <t>pore length was measured directly, so this scalar has no error</t>
  </si>
  <si>
    <t>no</t>
  </si>
  <si>
    <t>10.1130/G39048.1</t>
  </si>
  <si>
    <t>Mush Valley mean</t>
  </si>
  <si>
    <t>Salicaceae</t>
  </si>
  <si>
    <t>Scolopia</t>
  </si>
  <si>
    <t>National Museum of Ethiopia</t>
  </si>
  <si>
    <t>unnamed</t>
  </si>
  <si>
    <t>Ten sub-localities from lacustrine shales spanning 7m in stratigraphic distance</t>
  </si>
  <si>
    <t>U-Pb age from zircons in ash directly underneath fossil plant bed</t>
  </si>
  <si>
    <t>median (note: the median and percentiles were calculated by estimating CO2 from each leaf separately, and then combining the resamples into a grand list (10000 resamples x 31 leaves = 310000; estimating CO2 from the site means of the inputs listed in this row will return a different answer)</t>
  </si>
  <si>
    <t>400x magnification; three 0.15mm^2 fields-of-view were counted for each cuticle fragment</t>
  </si>
  <si>
    <t>31 leaves</t>
  </si>
  <si>
    <t>not given because v1 of the model was used</t>
  </si>
  <si>
    <t>source of measurements are not described</t>
  </si>
  <si>
    <t>Chilga mean</t>
  </si>
  <si>
    <t>Fabaceae</t>
  </si>
  <si>
    <t>Cynometra</t>
  </si>
  <si>
    <t>chaka</t>
  </si>
  <si>
    <t>Guang River site (three sub-localities from same stratigraphic level)</t>
  </si>
  <si>
    <t>U-Pb age from zircons in ash interbedded with fossil plants</t>
  </si>
  <si>
    <t>median (note: the median and percentiles were calculated by estimating CO2 from each leaf separately, and then combining the resamples into a grand list (10000 resamples x 14 leaves = 140000; estimating CO2 from the site means of the inputs listed in this row will return a different answer)</t>
  </si>
  <si>
    <t>14 leaves</t>
  </si>
  <si>
    <t>proxy</t>
  </si>
  <si>
    <t>first_author_last_name</t>
  </si>
  <si>
    <t>publication_year</t>
  </si>
  <si>
    <t>age_ka</t>
  </si>
  <si>
    <t>Age_uncertainty_pos_ka</t>
  </si>
  <si>
    <t>Age_uncertainty_neg_ka</t>
  </si>
  <si>
    <t>stomata-franks</t>
  </si>
  <si>
    <t>Tesfamichael</t>
  </si>
  <si>
    <t>name of person entering product data</t>
  </si>
  <si>
    <t>email of person entering product data</t>
  </si>
  <si>
    <t>specify reason for age revision</t>
  </si>
  <si>
    <t>droyer@wesleyan.edu</t>
  </si>
  <si>
    <t>specify reason for quarantine</t>
  </si>
  <si>
    <t>Tesfamichael, T., Jacobs, B., Tabor, N., Michel, L., Currano, E., Feseha, M., Barclay, R., Kappelman, J., and Schmitz, M., 2017, Settling the issue of “decoupling” between atmospheric carbon dioxide and global temperature: [CO2]atm reconstructions across the warming Paleogene-Neogene divide: Geology, v. 45, p. 999-1002.</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</si>
  <si>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</si>
  <si>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</si>
  <si>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</si>
  <si>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</si>
  <si>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</si>
  <si>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</si>
  <si>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</si>
  <si>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</si>
  <si>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</si>
  <si>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</si>
  <si>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</si>
  <si>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</si>
  <si>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</si>
  <si>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</si>
  <si>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</si>
  <si>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</si>
  <si>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</si>
  <si>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</si>
  <si>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The reported 16 and 84 percentiles were doubled to approximate 95% confidence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</si>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</sst>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3"/>
      <color rgb="FF000000"/>
      <name val="Helvetica"/>
      <family val="2"/>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0" fillId="0" borderId="0" xfId="0" applyBorder="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1" fontId="1" fillId="0" borderId="0" xfId="0" applyNumberFormat="1" applyFont="1" applyBorder="1" applyAlignment="1">
      <alignment horizontal="right"/>
    </xf>
    <xf numFmtId="0" fontId="0" fillId="0" borderId="0" xfId="0" applyBorder="1" applyAlignment="1">
      <alignment horizontal="right"/>
    </xf>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11" fontId="0" fillId="0" borderId="0" xfId="0" applyNumberFormat="1" applyBorder="1" applyAlignment="1"/>
    <xf numFmtId="2" fontId="0" fillId="0" borderId="0" xfId="0" applyNumberFormat="1" applyBorder="1" applyAlignment="1"/>
    <xf numFmtId="0" fontId="0" fillId="0" borderId="0" xfId="0" applyFill="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Fill="1" applyBorder="1" applyAlignment="1">
      <alignment vertical="center"/>
    </xf>
    <xf numFmtId="0" fontId="1" fillId="0" borderId="0" xfId="0" applyFont="1" applyFill="1" applyBorder="1" applyAlignment="1">
      <alignment wrapText="1"/>
    </xf>
    <xf numFmtId="0" fontId="4" fillId="4" borderId="0" xfId="0" applyFont="1" applyFill="1" applyBorder="1" applyAlignment="1">
      <alignment horizontal="center" vertical="center" wrapText="1"/>
    </xf>
    <xf numFmtId="0" fontId="0" fillId="0" borderId="0" xfId="0" applyFill="1" applyBorder="1" applyAlignment="1">
      <alignment horizontal="right"/>
    </xf>
    <xf numFmtId="0" fontId="5" fillId="0" borderId="0" xfId="0" applyFont="1"/>
    <xf numFmtId="1" fontId="0" fillId="0" borderId="0" xfId="0" applyNumberFormat="1" applyFont="1"/>
    <xf numFmtId="1" fontId="5" fillId="0" borderId="0" xfId="0" applyNumberFormat="1" applyFont="1"/>
    <xf numFmtId="0" fontId="0" fillId="0" borderId="0" xfId="0" applyAlignment="1">
      <alignment horizontal="center"/>
    </xf>
    <xf numFmtId="0" fontId="0" fillId="0" borderId="2" xfId="0" applyBorder="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1"/>
  <sheetViews>
    <sheetView tabSelected="1" topLeftCell="F1" workbookViewId="0">
      <pane ySplit="3" topLeftCell="A4" activePane="bottomLeft" state="frozen"/>
      <selection pane="bottomLeft" activeCell="O4" sqref="O4:O5"/>
    </sheetView>
  </sheetViews>
  <sheetFormatPr baseColWidth="10" defaultColWidth="11" defaultRowHeight="16" x14ac:dyDescent="0.2"/>
  <cols>
    <col min="1" max="32" width="11" style="1"/>
    <col min="33" max="33" width="11.6640625" style="1" customWidth="1"/>
    <col min="34" max="34" width="11" style="1"/>
    <col min="35" max="35" width="11.83203125" style="1" customWidth="1"/>
    <col min="36" max="36" width="12.33203125" style="1" customWidth="1"/>
    <col min="37" max="37" width="11" style="1"/>
    <col min="38" max="38" width="11.83203125" style="1" customWidth="1"/>
    <col min="39" max="42" width="11" style="1"/>
    <col min="43" max="43" width="15.33203125" style="1" customWidth="1"/>
    <col min="44" max="47" width="11" style="1"/>
    <col min="48" max="48" width="13.1640625" style="1" customWidth="1"/>
    <col min="49" max="16384" width="11" style="1"/>
  </cols>
  <sheetData>
    <row r="2" spans="1:104" s="7" customFormat="1" x14ac:dyDescent="0.2">
      <c r="A2" s="24"/>
      <c r="B2" s="25"/>
      <c r="C2" s="25"/>
      <c r="D2" s="25"/>
      <c r="E2" s="25"/>
      <c r="F2" s="25"/>
      <c r="G2" s="25"/>
      <c r="H2" s="25"/>
      <c r="I2" s="25"/>
      <c r="J2" s="25"/>
      <c r="K2" s="25"/>
      <c r="L2" s="26"/>
      <c r="M2" s="27"/>
      <c r="N2" s="27"/>
      <c r="O2" s="27"/>
      <c r="P2" s="27"/>
      <c r="Q2"/>
      <c r="R2" s="28"/>
      <c r="S2" s="49"/>
      <c r="T2" s="49"/>
      <c r="U2" s="49"/>
      <c r="V2" s="49"/>
      <c r="W2" s="49"/>
      <c r="X2" s="28"/>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4" s="13" customFormat="1" ht="76.5" customHeight="1" x14ac:dyDescent="0.2">
      <c r="A3" s="29" t="s">
        <v>169</v>
      </c>
      <c r="B3" s="30" t="s">
        <v>170</v>
      </c>
      <c r="C3" s="31" t="s">
        <v>161</v>
      </c>
      <c r="D3" s="32" t="s">
        <v>162</v>
      </c>
      <c r="E3" s="32" t="s">
        <v>163</v>
      </c>
      <c r="F3" s="33" t="s">
        <v>58</v>
      </c>
      <c r="G3" s="33" t="s">
        <v>164</v>
      </c>
      <c r="H3" s="34" t="s">
        <v>165</v>
      </c>
      <c r="I3" s="34" t="s">
        <v>166</v>
      </c>
      <c r="J3" s="32" t="s">
        <v>175</v>
      </c>
      <c r="K3" s="34" t="s">
        <v>176</v>
      </c>
      <c r="L3" s="35" t="s">
        <v>186</v>
      </c>
      <c r="M3" s="36" t="s">
        <v>177</v>
      </c>
      <c r="N3" s="50" t="s">
        <v>194</v>
      </c>
      <c r="O3" s="50" t="s">
        <v>195</v>
      </c>
      <c r="P3" s="36" t="s">
        <v>178</v>
      </c>
      <c r="Q3" s="37" t="s">
        <v>179</v>
      </c>
      <c r="R3" s="38" t="s">
        <v>180</v>
      </c>
      <c r="S3" s="39" t="s">
        <v>181</v>
      </c>
      <c r="T3" s="36" t="s">
        <v>182</v>
      </c>
      <c r="U3" s="36" t="s">
        <v>173</v>
      </c>
      <c r="V3" s="36" t="s">
        <v>183</v>
      </c>
      <c r="W3" s="40" t="s">
        <v>184</v>
      </c>
      <c r="X3" s="41" t="s">
        <v>171</v>
      </c>
      <c r="Y3" s="8" t="s">
        <v>187</v>
      </c>
      <c r="Z3" s="8" t="s">
        <v>188</v>
      </c>
      <c r="AA3" s="8" t="s">
        <v>59</v>
      </c>
      <c r="AB3" s="8" t="s">
        <v>60</v>
      </c>
      <c r="AC3" s="8" t="s">
        <v>61</v>
      </c>
      <c r="AD3" s="8" t="s">
        <v>62</v>
      </c>
      <c r="AE3" s="8" t="s">
        <v>63</v>
      </c>
      <c r="AF3" s="8" t="s">
        <v>64</v>
      </c>
      <c r="AG3" s="8" t="s">
        <v>65</v>
      </c>
      <c r="AH3" s="8" t="s">
        <v>66</v>
      </c>
      <c r="AI3" s="8" t="s">
        <v>67</v>
      </c>
      <c r="AJ3" s="8" t="s">
        <v>68</v>
      </c>
      <c r="AK3" s="8" t="s">
        <v>69</v>
      </c>
      <c r="AL3" s="8" t="s">
        <v>70</v>
      </c>
      <c r="AM3" s="8" t="s">
        <v>189</v>
      </c>
      <c r="AN3" s="8" t="s">
        <v>190</v>
      </c>
      <c r="AO3" s="44" t="s">
        <v>191</v>
      </c>
      <c r="AP3" s="44" t="s">
        <v>192</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row>
    <row r="4" spans="1:104" s="7" customFormat="1" ht="17" x14ac:dyDescent="0.2">
      <c r="A4" t="s">
        <v>133</v>
      </c>
      <c r="B4" t="s">
        <v>172</v>
      </c>
      <c r="C4" t="s">
        <v>167</v>
      </c>
      <c r="D4" t="s">
        <v>168</v>
      </c>
      <c r="E4">
        <v>2017</v>
      </c>
      <c r="F4" t="str">
        <f>Z4</f>
        <v>10.1130/G39048.1</v>
      </c>
      <c r="G4" s="46">
        <f t="shared" ref="G4" si="0">AH4*1000</f>
        <v>21730</v>
      </c>
      <c r="H4" s="46">
        <f t="shared" ref="H4" si="1">(AI4-AH4)*1000</f>
        <v>30.000000000001137</v>
      </c>
      <c r="I4" s="46">
        <f t="shared" ref="I4" si="2">(AH4-AJ4)*1000</f>
        <v>30.000000000001137</v>
      </c>
      <c r="J4" s="47">
        <f>AQ4</f>
        <v>809</v>
      </c>
      <c r="K4" s="48">
        <f>AT4-AQ4</f>
        <v>600</v>
      </c>
      <c r="L4" s="48">
        <f>AQ4-AS4</f>
        <v>336</v>
      </c>
      <c r="M4" t="b">
        <v>1</v>
      </c>
      <c r="N4">
        <v>1</v>
      </c>
      <c r="O4" s="51" t="s">
        <v>196</v>
      </c>
      <c r="P4" t="s">
        <v>185</v>
      </c>
      <c r="Q4" t="b">
        <v>0</v>
      </c>
      <c r="R4" t="s">
        <v>185</v>
      </c>
      <c r="S4" t="b">
        <v>1</v>
      </c>
      <c r="T4" t="b">
        <v>0</v>
      </c>
      <c r="U4" t="s">
        <v>185</v>
      </c>
      <c r="V4" t="s">
        <v>185</v>
      </c>
      <c r="W4" t="b">
        <v>0</v>
      </c>
      <c r="X4" t="s">
        <v>185</v>
      </c>
      <c r="Y4" s="19" t="s">
        <v>174</v>
      </c>
      <c r="Z4" s="7" t="s">
        <v>140</v>
      </c>
      <c r="AA4" s="19" t="s">
        <v>141</v>
      </c>
      <c r="AB4" s="7" t="s">
        <v>142</v>
      </c>
      <c r="AC4" s="19" t="s">
        <v>143</v>
      </c>
      <c r="AD4" s="23" t="s">
        <v>185</v>
      </c>
      <c r="AE4" s="19" t="s">
        <v>144</v>
      </c>
      <c r="AF4" s="19" t="s">
        <v>145</v>
      </c>
      <c r="AG4" s="19" t="s">
        <v>146</v>
      </c>
      <c r="AH4" s="7">
        <v>21.73</v>
      </c>
      <c r="AI4" s="7">
        <f>AH4+0.03</f>
        <v>21.76</v>
      </c>
      <c r="AJ4" s="7">
        <f>AH4-0.03</f>
        <v>21.7</v>
      </c>
      <c r="AK4" s="23" t="s">
        <v>185</v>
      </c>
      <c r="AL4" s="18" t="s">
        <v>147</v>
      </c>
      <c r="AM4" s="7">
        <v>9.7899999999999991</v>
      </c>
      <c r="AN4" s="7">
        <v>39.65</v>
      </c>
      <c r="AO4" s="45" t="s">
        <v>185</v>
      </c>
      <c r="AP4" s="45" t="s">
        <v>185</v>
      </c>
      <c r="AQ4" s="20">
        <v>809</v>
      </c>
      <c r="AR4" s="14" t="s">
        <v>148</v>
      </c>
      <c r="AS4" s="20">
        <v>473</v>
      </c>
      <c r="AT4" s="20">
        <v>1409</v>
      </c>
      <c r="AU4" s="14" t="s">
        <v>193</v>
      </c>
      <c r="AV4" s="14" t="s">
        <v>134</v>
      </c>
      <c r="AW4" s="14" t="s">
        <v>135</v>
      </c>
      <c r="AX4" s="14" t="s">
        <v>149</v>
      </c>
      <c r="AY4" s="21">
        <v>217797709.54838711</v>
      </c>
      <c r="AZ4" s="21">
        <v>7183805.3173774872</v>
      </c>
      <c r="BA4" s="18" t="s">
        <v>150</v>
      </c>
      <c r="BB4" s="16">
        <v>0</v>
      </c>
      <c r="BC4" s="16">
        <v>0</v>
      </c>
      <c r="BD4" s="18" t="s">
        <v>150</v>
      </c>
      <c r="BE4" s="21">
        <v>1.6741935483870972E-5</v>
      </c>
      <c r="BF4" s="21">
        <v>1.9180939203284162E-7</v>
      </c>
      <c r="BG4" s="18" t="s">
        <v>150</v>
      </c>
      <c r="BH4" s="16">
        <v>0</v>
      </c>
      <c r="BI4" s="16">
        <v>0</v>
      </c>
      <c r="BJ4" s="18" t="s">
        <v>150</v>
      </c>
      <c r="BK4" s="21">
        <v>8.1832258064516122E-6</v>
      </c>
      <c r="BL4" s="21">
        <v>4.3654789169258586E-7</v>
      </c>
      <c r="BM4" s="18" t="s">
        <v>150</v>
      </c>
      <c r="BN4" s="16">
        <v>0</v>
      </c>
      <c r="BO4" s="16">
        <v>0</v>
      </c>
      <c r="BP4" s="18" t="s">
        <v>150</v>
      </c>
      <c r="BQ4" s="22">
        <v>-29.49548387096775</v>
      </c>
      <c r="BR4" s="22">
        <v>0.25106732966195849</v>
      </c>
      <c r="BS4" s="18" t="s">
        <v>150</v>
      </c>
      <c r="BT4" s="20">
        <v>-6.1</v>
      </c>
      <c r="BU4" s="20">
        <v>0.6</v>
      </c>
      <c r="BV4" s="14" t="s">
        <v>136</v>
      </c>
      <c r="BW4" s="15">
        <v>400</v>
      </c>
      <c r="BX4" s="15">
        <v>12</v>
      </c>
      <c r="BY4" s="15">
        <v>1</v>
      </c>
      <c r="BZ4" s="14" t="s">
        <v>137</v>
      </c>
      <c r="CC4" s="18" t="s">
        <v>151</v>
      </c>
      <c r="CD4" s="15">
        <v>2</v>
      </c>
      <c r="CE4" s="15">
        <v>0.1</v>
      </c>
      <c r="CF4" s="14" t="s">
        <v>137</v>
      </c>
      <c r="CG4" s="15">
        <v>1</v>
      </c>
      <c r="CH4" s="15">
        <v>0</v>
      </c>
      <c r="CI4" s="14" t="s">
        <v>138</v>
      </c>
      <c r="CJ4" s="22">
        <v>0.74451612903225806</v>
      </c>
      <c r="CK4" s="22">
        <v>8.162841452324621E-3</v>
      </c>
      <c r="CL4" s="18" t="s">
        <v>152</v>
      </c>
      <c r="CM4" s="15">
        <v>1</v>
      </c>
      <c r="CN4" s="15">
        <v>0.05</v>
      </c>
      <c r="CO4" s="14" t="s">
        <v>137</v>
      </c>
      <c r="CP4" s="15">
        <v>0.2</v>
      </c>
      <c r="CQ4" s="15">
        <v>0.01</v>
      </c>
      <c r="CR4" s="14" t="s">
        <v>137</v>
      </c>
      <c r="CS4" s="15">
        <v>0.01</v>
      </c>
      <c r="CT4" s="17">
        <v>6.4999999999999997E-4</v>
      </c>
      <c r="CU4" s="14" t="s">
        <v>137</v>
      </c>
      <c r="CV4" s="14" t="s">
        <v>139</v>
      </c>
      <c r="CW4" s="15">
        <v>30</v>
      </c>
      <c r="CX4" s="15">
        <v>9.4009599999999997E-4</v>
      </c>
      <c r="CY4" s="15">
        <v>40</v>
      </c>
      <c r="CZ4" s="15">
        <v>25</v>
      </c>
    </row>
    <row r="5" spans="1:104" s="7" customFormat="1" ht="17" x14ac:dyDescent="0.2">
      <c r="A5" t="s">
        <v>133</v>
      </c>
      <c r="B5" t="s">
        <v>172</v>
      </c>
      <c r="C5" t="s">
        <v>167</v>
      </c>
      <c r="D5" t="s">
        <v>168</v>
      </c>
      <c r="E5">
        <v>2017</v>
      </c>
      <c r="F5" t="str">
        <f>Z5</f>
        <v>10.1130/G39048.1</v>
      </c>
      <c r="G5" s="46">
        <f t="shared" ref="G5" si="3">AH5*1000</f>
        <v>27230</v>
      </c>
      <c r="H5" s="46">
        <f t="shared" ref="H5" si="4">(AI5-AH5)*1000</f>
        <v>30.000000000001137</v>
      </c>
      <c r="I5" s="46">
        <f t="shared" ref="I5" si="5">(AH5-AJ5)*1000</f>
        <v>30.000000000001137</v>
      </c>
      <c r="J5" s="47">
        <f>AQ5</f>
        <v>384</v>
      </c>
      <c r="K5" s="48">
        <f>AT5-AQ5</f>
        <v>118</v>
      </c>
      <c r="L5" s="48">
        <f>AQ5-AS5</f>
        <v>92</v>
      </c>
      <c r="M5" t="b">
        <v>1</v>
      </c>
      <c r="N5">
        <v>1</v>
      </c>
      <c r="O5" s="51" t="s">
        <v>196</v>
      </c>
      <c r="P5" t="s">
        <v>185</v>
      </c>
      <c r="Q5" t="b">
        <v>0</v>
      </c>
      <c r="R5" t="s">
        <v>185</v>
      </c>
      <c r="S5" t="b">
        <v>1</v>
      </c>
      <c r="T5" t="b">
        <v>0</v>
      </c>
      <c r="U5" t="s">
        <v>185</v>
      </c>
      <c r="V5" t="s">
        <v>185</v>
      </c>
      <c r="W5" t="b">
        <v>0</v>
      </c>
      <c r="X5" t="s">
        <v>185</v>
      </c>
      <c r="Y5" s="19" t="s">
        <v>174</v>
      </c>
      <c r="Z5" s="7" t="s">
        <v>140</v>
      </c>
      <c r="AA5" s="19" t="s">
        <v>153</v>
      </c>
      <c r="AB5" s="7" t="s">
        <v>154</v>
      </c>
      <c r="AC5" s="7" t="s">
        <v>155</v>
      </c>
      <c r="AD5" s="23" t="s">
        <v>156</v>
      </c>
      <c r="AE5" s="19" t="s">
        <v>144</v>
      </c>
      <c r="AF5" s="19" t="s">
        <v>145</v>
      </c>
      <c r="AG5" s="19" t="s">
        <v>157</v>
      </c>
      <c r="AH5" s="7">
        <v>27.23</v>
      </c>
      <c r="AI5" s="7">
        <f>AH5+0.03</f>
        <v>27.26</v>
      </c>
      <c r="AJ5" s="7">
        <f>AH5-0.03</f>
        <v>27.2</v>
      </c>
      <c r="AK5" s="23" t="s">
        <v>185</v>
      </c>
      <c r="AL5" s="7" t="s">
        <v>158</v>
      </c>
      <c r="AM5" s="7">
        <v>12.51</v>
      </c>
      <c r="AN5" s="7">
        <v>37.119999999999997</v>
      </c>
      <c r="AO5" s="45" t="s">
        <v>185</v>
      </c>
      <c r="AP5" s="45" t="s">
        <v>185</v>
      </c>
      <c r="AQ5" s="20">
        <v>384</v>
      </c>
      <c r="AR5" s="14" t="s">
        <v>159</v>
      </c>
      <c r="AS5" s="20">
        <v>292</v>
      </c>
      <c r="AT5" s="20">
        <v>502</v>
      </c>
      <c r="AU5" s="14" t="s">
        <v>193</v>
      </c>
      <c r="AV5" s="14" t="s">
        <v>134</v>
      </c>
      <c r="AW5" s="14" t="s">
        <v>135</v>
      </c>
      <c r="AX5" s="14" t="s">
        <v>149</v>
      </c>
      <c r="AY5" s="21">
        <v>515235738.71428573</v>
      </c>
      <c r="AZ5" s="21">
        <v>24424037.987948932</v>
      </c>
      <c r="BA5" s="18" t="s">
        <v>160</v>
      </c>
      <c r="BB5" s="16">
        <v>0</v>
      </c>
      <c r="BC5" s="16">
        <v>0</v>
      </c>
      <c r="BD5" s="18" t="s">
        <v>160</v>
      </c>
      <c r="BE5" s="21">
        <v>1.4164285714285717E-5</v>
      </c>
      <c r="BF5" s="21">
        <v>3.8396530619045222E-7</v>
      </c>
      <c r="BG5" s="18" t="s">
        <v>160</v>
      </c>
      <c r="BH5" s="16">
        <v>0</v>
      </c>
      <c r="BI5" s="16">
        <v>0</v>
      </c>
      <c r="BJ5" s="18" t="s">
        <v>160</v>
      </c>
      <c r="BK5" s="21">
        <v>7.2907142857142838E-6</v>
      </c>
      <c r="BL5" s="21">
        <v>2.4172335537500713E-7</v>
      </c>
      <c r="BM5" s="18" t="s">
        <v>160</v>
      </c>
      <c r="BN5" s="16">
        <v>0</v>
      </c>
      <c r="BO5" s="16">
        <v>0</v>
      </c>
      <c r="BP5" s="18" t="s">
        <v>160</v>
      </c>
      <c r="BQ5" s="22">
        <v>-26.165714285714294</v>
      </c>
      <c r="BR5" s="22">
        <v>0.19918712359005949</v>
      </c>
      <c r="BS5" s="18" t="s">
        <v>160</v>
      </c>
      <c r="BT5" s="20">
        <v>-6.1</v>
      </c>
      <c r="BU5" s="20">
        <v>0.6</v>
      </c>
      <c r="BV5" s="14" t="s">
        <v>136</v>
      </c>
      <c r="BW5" s="15">
        <v>400</v>
      </c>
      <c r="BX5" s="15">
        <v>12</v>
      </c>
      <c r="BY5" s="15">
        <v>1</v>
      </c>
      <c r="BZ5" s="14" t="s">
        <v>137</v>
      </c>
      <c r="CC5" s="18" t="s">
        <v>151</v>
      </c>
      <c r="CD5" s="15">
        <v>2</v>
      </c>
      <c r="CE5" s="15">
        <v>0.1</v>
      </c>
      <c r="CF5" s="14" t="s">
        <v>137</v>
      </c>
      <c r="CG5" s="15">
        <v>1</v>
      </c>
      <c r="CH5" s="15">
        <v>0</v>
      </c>
      <c r="CI5" s="14" t="s">
        <v>138</v>
      </c>
      <c r="CJ5" s="22">
        <v>0.78714285714285714</v>
      </c>
      <c r="CK5" s="22">
        <v>1.4465896667853799E-2</v>
      </c>
      <c r="CL5" s="18" t="s">
        <v>152</v>
      </c>
      <c r="CM5" s="15">
        <v>1</v>
      </c>
      <c r="CN5" s="15">
        <v>0.05</v>
      </c>
      <c r="CO5" s="14" t="s">
        <v>137</v>
      </c>
      <c r="CP5" s="15">
        <v>0.2</v>
      </c>
      <c r="CQ5" s="15">
        <v>0.01</v>
      </c>
      <c r="CR5" s="14" t="s">
        <v>137</v>
      </c>
      <c r="CS5" s="15">
        <v>0.01</v>
      </c>
      <c r="CT5" s="17">
        <v>6.4999999999999997E-4</v>
      </c>
      <c r="CU5" s="14" t="s">
        <v>137</v>
      </c>
      <c r="CV5" s="14" t="s">
        <v>139</v>
      </c>
      <c r="CW5" s="15">
        <v>30</v>
      </c>
      <c r="CX5" s="15">
        <v>9.4009599999999997E-4</v>
      </c>
      <c r="CY5" s="15">
        <v>40</v>
      </c>
      <c r="CZ5" s="15">
        <v>25</v>
      </c>
    </row>
    <row r="6" spans="1:104" s="7" customFormat="1" x14ac:dyDescent="0.2">
      <c r="AY6" s="21"/>
      <c r="AZ6" s="21"/>
      <c r="BB6" s="21"/>
      <c r="BC6" s="21"/>
      <c r="BE6" s="21"/>
      <c r="BF6" s="21"/>
      <c r="BH6" s="21"/>
      <c r="BI6" s="21"/>
      <c r="BK6" s="21"/>
      <c r="BL6" s="21"/>
      <c r="BN6" s="21"/>
      <c r="BO6" s="21"/>
    </row>
    <row r="7" spans="1:104" s="7" customFormat="1" x14ac:dyDescent="0.2">
      <c r="AY7" s="21"/>
      <c r="AZ7" s="21"/>
      <c r="BB7" s="21"/>
      <c r="BC7" s="21"/>
      <c r="BE7" s="21"/>
      <c r="BF7" s="21"/>
      <c r="BH7" s="21"/>
      <c r="BI7" s="21"/>
      <c r="BK7" s="21"/>
      <c r="BL7" s="21"/>
      <c r="BN7" s="21"/>
      <c r="BO7" s="21"/>
    </row>
    <row r="8" spans="1:104" s="7" customFormat="1" x14ac:dyDescent="0.2">
      <c r="AY8" s="21"/>
      <c r="AZ8" s="21"/>
      <c r="BE8" s="21"/>
      <c r="BF8" s="21"/>
      <c r="BH8" s="21"/>
      <c r="BI8" s="21"/>
      <c r="BK8" s="21"/>
      <c r="BL8" s="21"/>
      <c r="BN8" s="21"/>
      <c r="BO8" s="21"/>
    </row>
    <row r="9" spans="1:104" s="7" customFormat="1" x14ac:dyDescent="0.2"/>
    <row r="10" spans="1:104" s="7" customFormat="1" x14ac:dyDescent="0.2"/>
    <row r="11" spans="1:104" s="7" customFormat="1" x14ac:dyDescent="0.2"/>
    <row r="12" spans="1:104" s="7" customFormat="1" x14ac:dyDescent="0.2"/>
    <row r="13" spans="1:104" s="7" customFormat="1" x14ac:dyDescent="0.2"/>
    <row r="14" spans="1:104" s="7" customFormat="1" x14ac:dyDescent="0.2"/>
    <row r="15" spans="1:104" s="7" customFormat="1" x14ac:dyDescent="0.2"/>
    <row r="16" spans="1:104" s="7" customFormat="1" x14ac:dyDescent="0.2"/>
    <row r="17" s="7" customFormat="1" x14ac:dyDescent="0.2"/>
    <row r="18" s="7" customFormat="1" x14ac:dyDescent="0.2"/>
    <row r="19" s="7" customFormat="1" x14ac:dyDescent="0.2"/>
    <row r="20" s="7" customFormat="1" x14ac:dyDescent="0.2"/>
    <row r="21" s="7" customFormat="1" x14ac:dyDescent="0.2"/>
    <row r="22" s="7" customFormat="1" x14ac:dyDescent="0.2"/>
    <row r="23" s="7" customFormat="1" x14ac:dyDescent="0.2"/>
    <row r="24" s="7" customFormat="1" x14ac:dyDescent="0.2"/>
    <row r="25" s="7" customFormat="1" x14ac:dyDescent="0.2"/>
    <row r="26" s="7" customFormat="1" x14ac:dyDescent="0.2"/>
    <row r="27" s="7" customFormat="1" x14ac:dyDescent="0.2"/>
    <row r="28" s="7" customFormat="1" x14ac:dyDescent="0.2"/>
    <row r="29" s="7" customFormat="1" x14ac:dyDescent="0.2"/>
    <row r="30" s="7" customFormat="1" x14ac:dyDescent="0.2"/>
    <row r="31" s="7" customFormat="1" x14ac:dyDescent="0.2"/>
    <row r="32" s="7" customFormat="1" x14ac:dyDescent="0.2"/>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42" t="s">
        <v>0</v>
      </c>
    </row>
    <row r="2" spans="1:1" ht="17" x14ac:dyDescent="0.2">
      <c r="A2" s="43" t="s">
        <v>1</v>
      </c>
    </row>
    <row r="3" spans="1:1" x14ac:dyDescent="0.2">
      <c r="A3" s="42" t="s">
        <v>2</v>
      </c>
    </row>
    <row r="4" spans="1:1" x14ac:dyDescent="0.2">
      <c r="A4" s="4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2019-02-07T19:31:37Z</dcterms:created>
  <dcterms:modified xsi:type="dcterms:W3CDTF">2022-03-17T19:02:32Z</dcterms:modified>
</cp:coreProperties>
</file>