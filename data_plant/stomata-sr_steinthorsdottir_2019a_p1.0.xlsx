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231"/>
  <workbookPr autoCompressPictures="0"/>
  <mc:AlternateContent xmlns:mc="http://schemas.openxmlformats.org/markup-compatibility/2006">
    <mc:Choice Requires="x15">
      <x15ac:absPath xmlns:x15ac="http://schemas.microsoft.com/office/spreadsheetml/2010/11/ac" url="C:\Users\droyer\Desktop\New folder (2)\"/>
    </mc:Choice>
  </mc:AlternateContent>
  <xr:revisionPtr revIDLastSave="0" documentId="13_ncr:1_{07D892FB-7560-4E25-92E7-350C2F278292}" xr6:coauthVersionLast="45" xr6:coauthVersionMax="47" xr10:uidLastSave="{00000000-0000-0000-0000-000000000000}"/>
  <bookViews>
    <workbookView xWindow="0" yWindow="15" windowWidth="28560" windowHeight="12465" tabRatio="500" xr2:uid="{00000000-000D-0000-FFFF-FFFF00000000}"/>
  </bookViews>
  <sheets>
    <sheet name="stomatal ratio" sheetId="1" r:id="rId1"/>
  </sheets>
  <calcPr calcId="191029"/>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http://schemas.microsoft.com/office/mac/excel/2008/main">
      <mx:ArchID Flags="2"/>
    </ext>
  </extLst>
</workbook>
</file>

<file path=xl/calcChain.xml><?xml version="1.0" encoding="utf-8"?>
<calcChain xmlns="http://schemas.openxmlformats.org/spreadsheetml/2006/main">
  <c r="F5" i="1" l="1"/>
  <c r="G5" i="1"/>
  <c r="H5" i="1"/>
  <c r="I5" i="1"/>
  <c r="J5" i="1"/>
  <c r="K5" i="1"/>
  <c r="L5" i="1"/>
  <c r="F6" i="1"/>
  <c r="G6" i="1"/>
  <c r="H6" i="1"/>
  <c r="I6" i="1"/>
  <c r="J6" i="1"/>
  <c r="K6" i="1"/>
  <c r="L6" i="1"/>
  <c r="L4" i="1"/>
  <c r="K4" i="1"/>
  <c r="J4" i="1"/>
  <c r="I4" i="1"/>
  <c r="H4" i="1"/>
  <c r="G4" i="1"/>
  <c r="F4" i="1"/>
</calcChain>
</file>

<file path=xl/sharedStrings.xml><?xml version="1.0" encoding="utf-8"?>
<sst xmlns="http://schemas.openxmlformats.org/spreadsheetml/2006/main" count="192" uniqueCount="113">
  <si>
    <t>Laurus nobilis</t>
    <phoneticPr fontId="3" type="noConversion"/>
  </si>
  <si>
    <t>SI = 18.32</t>
    <phoneticPr fontId="3" type="noConversion"/>
  </si>
  <si>
    <t>Modern</t>
    <phoneticPr fontId="3" type="noConversion"/>
  </si>
  <si>
    <t>Dunstan</t>
    <phoneticPr fontId="3" type="noConversion"/>
  </si>
  <si>
    <t>Gore Lignite Meaasures</t>
    <phoneticPr fontId="3" type="noConversion"/>
  </si>
  <si>
    <t>Waipiate Volcanic group</t>
    <phoneticPr fontId="3" type="noConversion"/>
  </si>
  <si>
    <t>Grey Lake</t>
    <phoneticPr fontId="3" type="noConversion"/>
  </si>
  <si>
    <t>Lauraceae</t>
    <phoneticPr fontId="3" type="noConversion"/>
  </si>
  <si>
    <t>Early Miocene</t>
    <phoneticPr fontId="3" type="noConversion"/>
  </si>
  <si>
    <t>Palynology</t>
    <phoneticPr fontId="3" type="noConversion"/>
  </si>
  <si>
    <t xml:space="preserve">0.09 mm2 </t>
    <phoneticPr fontId="3" type="noConversion"/>
  </si>
  <si>
    <t>Image</t>
    <phoneticPr fontId="3" type="noConversion"/>
  </si>
  <si>
    <t xml:space="preserve">0.09 mm2 </t>
    <phoneticPr fontId="3" type="noConversion"/>
  </si>
  <si>
    <t>Image</t>
    <phoneticPr fontId="3" type="noConversion"/>
  </si>
  <si>
    <t>Laurus nobilis</t>
    <phoneticPr fontId="3" type="noConversion"/>
  </si>
  <si>
    <t>SI = 18.32</t>
    <phoneticPr fontId="3" type="noConversion"/>
  </si>
  <si>
    <t>Modern</t>
    <phoneticPr fontId="3" type="noConversion"/>
  </si>
  <si>
    <t>Mataura River</t>
    <phoneticPr fontId="3" type="noConversion"/>
  </si>
  <si>
    <t>Lauraceae</t>
    <phoneticPr fontId="3" type="noConversion"/>
  </si>
  <si>
    <t>Earliest Miocene</t>
    <phoneticPr fontId="3" type="noConversion"/>
  </si>
  <si>
    <t>Palynology</t>
    <phoneticPr fontId="3" type="noConversion"/>
  </si>
  <si>
    <t>Radiometric</t>
    <phoneticPr fontId="3" type="noConversion"/>
  </si>
  <si>
    <t>10.1016/j.palaeo.2018.01.039</t>
  </si>
  <si>
    <t>Number of leaves/leaf fragments</t>
    <phoneticPr fontId="3" type="noConversion"/>
  </si>
  <si>
    <t>NLE 
SD/SI 
value</t>
    <phoneticPr fontId="3" type="noConversion"/>
  </si>
  <si>
    <t>Standardization (Modern or Carboniferous)</t>
    <phoneticPr fontId="3" type="noConversion"/>
  </si>
  <si>
    <t>Remarks</t>
    <phoneticPr fontId="3" type="noConversion"/>
  </si>
  <si>
    <t>Lauraceae</t>
    <phoneticPr fontId="3" type="noConversion"/>
  </si>
  <si>
    <t>Foulden Maar</t>
    <phoneticPr fontId="3" type="noConversion"/>
  </si>
  <si>
    <t>Oligocene-Miocene transition</t>
    <phoneticPr fontId="3" type="noConversion"/>
  </si>
  <si>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</si>
  <si>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</si>
  <si>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</si>
  <si>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</si>
  <si>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</si>
  <si>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</si>
  <si>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</si>
  <si>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</si>
  <si>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</si>
  <si>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</si>
  <si>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</si>
  <si>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</si>
  <si>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</si>
  <si>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stomatal counts per leaf sample</t>
  </si>
  <si>
    <t>Counting box dimensions
(µm × µm)</t>
  </si>
  <si>
    <t># Stomata</t>
  </si>
  <si>
    <t># Epidermal Cells</t>
  </si>
  <si>
    <t>Nearest 
Living
Equivalent
species</t>
  </si>
  <si>
    <t>What is the uncertainty range?</t>
  </si>
  <si>
    <t>name of person entering product data</t>
  </si>
  <si>
    <t>email of person entering product data</t>
  </si>
  <si>
    <t>proxy</t>
  </si>
  <si>
    <t>first_author_last_name</t>
  </si>
  <si>
    <t>publication_year</t>
  </si>
  <si>
    <t>age_ka</t>
  </si>
  <si>
    <t>Age_uncertainty_pos_ka</t>
  </si>
  <si>
    <t>Age_uncertainty_neg_ka</t>
  </si>
  <si>
    <t>specify reason for quarantine</t>
  </si>
  <si>
    <t>specify reason for age revision</t>
  </si>
  <si>
    <t>Dana L. Royer</t>
  </si>
  <si>
    <t>droyer@wesleyan.edu</t>
  </si>
  <si>
    <t>Estimates of CO2 (and their associated uncertainties) are "semi-quantitative" (see original papers by McElwain and Chaloner) and thus shouldn't be included in a fully quantitative, cross-species CO2 compilation with shared error analysis.</t>
  </si>
  <si>
    <t>stomata-SR</t>
  </si>
  <si>
    <t>Steinthorsdottir</t>
  </si>
  <si>
    <t>Steinthorsdottir, M., Vajda, V., and Pole, M., 2019, Significant transient pCO2 perturbation at the New Zealand Oligocene-Miocene transition recorded by fossil plant stomata: Palaeogeography, Palaeoclimatology, Palaeoecology, v. 515, p. 152-161.</t>
  </si>
  <si>
    <t>estimates of CO2 were also made using the stomatal index proxy with the same fossil leaves</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</si>
  <si>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</si>
  <si>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</si>
  <si>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</si>
  <si>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</si>
  <si>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</si>
  <si>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</si>
  <si>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</si>
  <si>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</si>
  <si>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</si>
  <si>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</si>
  <si>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NA</t>
  </si>
  <si>
    <t>Modern Latitude (decimal degree, south negative)</t>
  </si>
  <si>
    <t>Modern Longitude (decimal degree, west negative)</t>
  </si>
  <si>
    <t>CO2_uncertainty_neg_ppm</t>
  </si>
  <si>
    <t>Paleo Latitude (decimal degree, south negative)</t>
  </si>
  <si>
    <t>Paleo Longitude (decimal degree, west negative)</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</si>
  <si>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</si>
  <si>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</si>
  <si>
    <t>Full citation (format is flexible)</t>
  </si>
  <si>
    <t>e.g., specimen or site number</t>
  </si>
  <si>
    <t>Where are the fossils?</t>
  </si>
  <si>
    <t>e.g., meter level</t>
  </si>
  <si>
    <t>Give as an absolute age (not +/-)</t>
  </si>
  <si>
    <t>important for sites constrained by biostrat</t>
  </si>
  <si>
    <t>Provide a general description; add an extra tab (worksheet) with detailed information, if needed (e.g., a detailed stratigraphic section)</t>
  </si>
  <si>
    <t>you probably don't know this</t>
  </si>
  <si>
    <t># of field-of-views</t>
  </si>
  <si>
    <t>are the counts based on microscope work done by the author, or by interpreting already published Figures / Plates?</t>
  </si>
  <si>
    <t>dimensions, area, or magnification</t>
  </si>
  <si>
    <t>If not a standard error, please note what the uncertaintiy is</t>
  </si>
  <si>
    <t>What is the calibration species?</t>
  </si>
  <si>
    <t>What is the SD or SI of the calibration species?</t>
  </si>
  <si>
    <t>Describe how the stomatal ratio was converted to CO2</t>
  </si>
  <si>
    <t>Give as an absolute value (not +/-)</t>
  </si>
  <si>
    <t>describe the rationale for columns AW and AX</t>
  </si>
  <si>
    <t>Anything else that can help us?</t>
  </si>
  <si>
    <t>Reference of the data product</t>
  </si>
  <si>
    <t>Counting Method
(microscope, published image)</t>
  </si>
  <si>
    <r>
      <t>Mean stomatal density (n/mm</t>
    </r>
    <r>
      <rPr>
        <b/>
        <vertAlign val="superscript"/>
        <sz val="12"/>
        <color theme="1"/>
        <rFont val="Calibri"/>
        <family val="2"/>
      </rPr>
      <t>2</t>
    </r>
    <r>
      <rPr>
        <b/>
        <sz val="12"/>
        <color theme="1"/>
        <rFont val="Calibri"/>
        <family val="2"/>
      </rPr>
      <t>)</t>
    </r>
  </si>
  <si>
    <t>SD error (+/- 1 s.e.m.)</t>
  </si>
  <si>
    <r>
      <t>Mean epidermal density (n/mm</t>
    </r>
    <r>
      <rPr>
        <b/>
        <vertAlign val="superscript"/>
        <sz val="12"/>
        <color theme="1"/>
        <rFont val="Calibri"/>
        <family val="2"/>
      </rPr>
      <t>2</t>
    </r>
    <r>
      <rPr>
        <b/>
        <sz val="12"/>
        <color theme="1"/>
        <rFont val="Calibri"/>
        <family val="2"/>
      </rPr>
      <t>)</t>
    </r>
  </si>
  <si>
    <t>ED error (+/- 1 s.e.m.)</t>
  </si>
  <si>
    <t>Mean stomatal index (%)</t>
  </si>
  <si>
    <t>SI error (+/- 1 s.e.m.)</t>
  </si>
  <si>
    <r>
      <t>Reported mean CO</t>
    </r>
    <r>
      <rPr>
        <b/>
        <vertAlign val="subscript"/>
        <sz val="12"/>
        <color rgb="FF000000"/>
        <rFont val="Calibri"/>
        <family val="2"/>
      </rPr>
      <t>2</t>
    </r>
    <r>
      <rPr>
        <b/>
        <sz val="12"/>
        <color indexed="8"/>
        <rFont val="Calibri"/>
        <family val="2"/>
      </rPr>
      <t xml:space="preserve"> (ppm)</t>
    </r>
  </si>
  <si>
    <r>
      <t>Reported CO</t>
    </r>
    <r>
      <rPr>
        <b/>
        <vertAlign val="subscript"/>
        <sz val="12"/>
        <color rgb="FF000000"/>
        <rFont val="Calibri"/>
        <family val="2"/>
      </rPr>
      <t>2</t>
    </r>
    <r>
      <rPr>
        <b/>
        <sz val="12"/>
        <color indexed="8"/>
        <rFont val="Calibri"/>
        <family val="2"/>
      </rPr>
      <t xml:space="preserve"> Uncertainty (Low)</t>
    </r>
  </si>
  <si>
    <r>
      <t>Reported CO</t>
    </r>
    <r>
      <rPr>
        <b/>
        <vertAlign val="subscript"/>
        <sz val="12"/>
        <color rgb="FF000000"/>
        <rFont val="Calibri"/>
        <family val="2"/>
      </rPr>
      <t>2</t>
    </r>
    <r>
      <rPr>
        <b/>
        <sz val="12"/>
        <color indexed="8"/>
        <rFont val="Calibri"/>
        <family val="2"/>
      </rPr>
      <t xml:space="preserve"> Uncertainty (High)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</si>
</sst>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Calibri"/>
      <family val="2"/>
      <scheme val="minor"/>
    </font>
    <font>
      <sz val="12"/>
      <color theme="1"/>
      <name val="Calibri"/>
      <family val="2"/>
      <scheme val="minor"/>
    </font>
    <font>
      <sz val="11"/>
      <color indexed="8"/>
      <name val="Calibri"/>
      <family val="2"/>
      <charset val="1"/>
    </font>
    <font>
      <sz val="8"/>
      <name val="Verdana"/>
      <family val="2"/>
    </font>
    <font>
      <sz val="12"/>
      <color indexed="8"/>
      <name val="Calibri"/>
      <family val="2"/>
    </font>
    <font>
      <sz val="12"/>
      <name val="Calibri"/>
      <family val="2"/>
    </font>
    <font>
      <b/>
      <sz val="12"/>
      <color indexed="8"/>
      <name val="Calibri"/>
      <family val="2"/>
    </font>
    <font>
      <u/>
      <sz val="12"/>
      <color indexed="12"/>
      <name val="Calibri"/>
      <family val="2"/>
    </font>
    <font>
      <sz val="12"/>
      <color indexed="63"/>
      <name val="Calibri"/>
      <family val="2"/>
    </font>
    <font>
      <sz val="12"/>
      <color rgb="FF000000"/>
      <name val="Calibri"/>
      <family val="2"/>
      <scheme val="minor"/>
    </font>
    <font>
      <sz val="12"/>
      <name val="Calibri"/>
      <family val="2"/>
      <scheme val="minor"/>
    </font>
    <font>
      <b/>
      <sz val="12"/>
      <name val="Calibri"/>
      <family val="2"/>
      <scheme val="minor"/>
    </font>
    <font>
      <b/>
      <sz val="12"/>
      <color theme="1"/>
      <name val="Calibri"/>
      <family val="2"/>
    </font>
    <font>
      <b/>
      <vertAlign val="superscript"/>
      <sz val="12"/>
      <color theme="1"/>
      <name val="Calibri"/>
      <family val="2"/>
    </font>
    <font>
      <b/>
      <vertAlign val="subscript"/>
      <sz val="12"/>
      <color rgb="FF000000"/>
      <name val="Calibri"/>
      <family val="2"/>
    </font>
  </fonts>
  <fills count="4">
    <fill>
      <patternFill patternType="none"/>
    </fill>
    <fill>
      <patternFill patternType="gray125"/>
    </fill>
    <fill>
      <patternFill patternType="solid">
        <fgColor indexed="42"/>
        <bgColor indexed="64"/>
      </patternFill>
    </fill>
    <fill>
      <patternFill patternType="solid">
        <fgColor rgb="FFCDFFCD"/>
        <bgColor indexed="64"/>
      </patternFill>
    </fill>
  </fills>
  <borders count="6">
    <border>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4">
    <xf numFmtId="0" fontId="0" fillId="0" borderId="0"/>
    <xf numFmtId="0" fontId="2" fillId="0" borderId="0"/>
    <xf numFmtId="0" fontId="1" fillId="0" borderId="0"/>
    <xf numFmtId="0" fontId="7" fillId="0" borderId="0" applyNumberFormat="0" applyFill="0" applyBorder="0" applyAlignment="0" applyProtection="0">
      <alignment vertical="top"/>
      <protection locked="0"/>
    </xf>
  </cellStyleXfs>
  <cellXfs count="31">
    <xf numFmtId="0" fontId="0" fillId="0" borderId="0" xfId="0"/>
    <xf numFmtId="0" fontId="5" fillId="0" borderId="0" xfId="3" applyFont="1" applyAlignment="1" applyProtection="1"/>
    <xf numFmtId="0" fontId="4" fillId="0" borderId="0" xfId="0" applyFont="1"/>
    <xf numFmtId="0" fontId="4" fillId="0" borderId="0" xfId="0" applyFont="1" applyFill="1"/>
    <xf numFmtId="0" fontId="8" fillId="0" borderId="0" xfId="0" applyFont="1"/>
    <xf numFmtId="0" fontId="0" fillId="0" borderId="0" xfId="0" applyFill="1"/>
    <xf numFmtId="1" fontId="0" fillId="0" borderId="0" xfId="0" applyNumberFormat="1"/>
    <xf numFmtId="0" fontId="10" fillId="0" borderId="0" xfId="0" applyFont="1" applyFill="1"/>
    <xf numFmtId="0" fontId="0" fillId="0" borderId="0" xfId="0" applyFill="1" applyBorder="1" applyAlignment="1">
      <alignment horizontal="right"/>
    </xf>
    <xf numFmtId="0" fontId="6" fillId="2" borderId="0" xfId="0" applyFont="1" applyFill="1" applyAlignment="1">
      <alignment vertical="top" wrapText="1"/>
    </xf>
    <xf numFmtId="0" fontId="11" fillId="3" borderId="5" xfId="0" applyFont="1" applyFill="1" applyBorder="1" applyAlignment="1">
      <alignment horizontal="center" vertical="top" wrapText="1"/>
    </xf>
    <xf numFmtId="0" fontId="6" fillId="2" borderId="0" xfId="0" applyFont="1" applyFill="1" applyAlignment="1">
      <alignment horizontal="center" vertical="top" wrapText="1"/>
    </xf>
    <xf numFmtId="0" fontId="12" fillId="2" borderId="0" xfId="0" applyFont="1" applyFill="1" applyAlignment="1">
      <alignment vertical="top" wrapText="1"/>
    </xf>
    <xf numFmtId="0" fontId="4" fillId="0" borderId="0" xfId="0" applyFont="1" applyAlignment="1">
      <alignment vertical="top"/>
    </xf>
    <xf numFmtId="0" fontId="0" fillId="0" borderId="0" xfId="0" applyAlignment="1">
      <alignment vertical="top" wrapText="1"/>
    </xf>
    <xf numFmtId="0" fontId="4" fillId="0" borderId="0" xfId="0" applyFont="1" applyAlignment="1">
      <alignment vertical="top" wrapText="1"/>
    </xf>
    <xf numFmtId="0" fontId="9" fillId="0" borderId="1" xfId="0" applyFont="1" applyBorder="1" applyAlignment="1">
      <alignment vertical="top" wrapText="1"/>
    </xf>
    <xf numFmtId="0" fontId="9" fillId="0" borderId="2" xfId="0" applyFont="1" applyBorder="1" applyAlignment="1">
      <alignment vertical="top" wrapText="1"/>
    </xf>
    <xf numFmtId="0" fontId="9" fillId="0" borderId="2" xfId="0" applyFont="1" applyBorder="1" applyAlignment="1">
      <alignment vertical="top"/>
    </xf>
    <xf numFmtId="0" fontId="0" fillId="0" borderId="2" xfId="0" applyFont="1" applyBorder="1" applyAlignment="1">
      <alignment vertical="top" wrapText="1"/>
    </xf>
    <xf numFmtId="0" fontId="0" fillId="0" borderId="2" xfId="0" applyFont="1" applyBorder="1" applyAlignment="1">
      <alignment vertical="top"/>
    </xf>
    <xf numFmtId="0" fontId="0" fillId="0" borderId="2" xfId="0" quotePrefix="1" applyFont="1" applyBorder="1" applyAlignment="1">
      <alignment vertical="top" wrapText="1"/>
    </xf>
    <xf numFmtId="0" fontId="0" fillId="0" borderId="3" xfId="0" quotePrefix="1" applyFont="1" applyBorder="1" applyAlignment="1">
      <alignment vertical="top" wrapText="1"/>
    </xf>
    <xf numFmtId="0" fontId="0" fillId="0" borderId="2" xfId="0" applyFont="1" applyFill="1" applyBorder="1" applyAlignment="1">
      <alignment vertical="top" wrapText="1"/>
    </xf>
    <xf numFmtId="0" fontId="0" fillId="0" borderId="2" xfId="0" applyBorder="1" applyAlignment="1">
      <alignment vertical="top" wrapText="1"/>
    </xf>
    <xf numFmtId="0" fontId="0" fillId="0" borderId="3" xfId="0" applyFont="1" applyFill="1" applyBorder="1" applyAlignment="1">
      <alignment vertical="top" wrapText="1"/>
    </xf>
    <xf numFmtId="0" fontId="0" fillId="0" borderId="4" xfId="0" applyFont="1" applyFill="1" applyBorder="1" applyAlignment="1">
      <alignment vertical="top" wrapText="1"/>
    </xf>
    <xf numFmtId="0" fontId="0" fillId="0" borderId="1" xfId="0" applyFont="1" applyFill="1" applyBorder="1" applyAlignment="1">
      <alignment vertical="top" wrapText="1"/>
    </xf>
    <xf numFmtId="0" fontId="9" fillId="0" borderId="3" xfId="0" applyFont="1" applyBorder="1" applyAlignment="1">
      <alignment vertical="top" wrapText="1"/>
    </xf>
    <xf numFmtId="0" fontId="9" fillId="0" borderId="4" xfId="0" applyFont="1" applyBorder="1" applyAlignment="1">
      <alignment vertical="top" wrapText="1"/>
    </xf>
    <xf numFmtId="0" fontId="6" fillId="0" borderId="0" xfId="0" applyFont="1" applyBorder="1" applyAlignment="1">
      <alignment vertical="top"/>
    </xf>
  </cellXfs>
  <cellStyles count="4">
    <cellStyle name="Hyperlink" xfId="3" builtinId="8"/>
    <cellStyle name="Normal" xfId="0" builtinId="0"/>
    <cellStyle name="Normal 3" xfId="1" xr:uid="{00000000-0005-0000-0000-000002000000}"/>
    <cellStyle name="Normal 4" xfId="2" xr:uid="{00000000-0005-0000-0000-00000300000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oi.org/10.1016/j.palaeo.2018.01.039" TargetMode="External"/><Relationship Id="rId2" Type="http://schemas.openxmlformats.org/officeDocument/2006/relationships/hyperlink" Target="https://doi.org/10.1016/j.palaeo.2018.01.039" TargetMode="External"/><Relationship Id="rId1" Type="http://schemas.openxmlformats.org/officeDocument/2006/relationships/hyperlink" Target="https://doi.org/10.1016/j.palaeo.2018.01.039"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J12"/>
  <sheetViews>
    <sheetView tabSelected="1" topLeftCell="AQ1" workbookViewId="0">
      <pane ySplit="3" topLeftCell="A4" activePane="bottomLeft" state="frozen"/>
      <selection pane="bottomLeft" activeCell="AU4" sqref="AU4"/>
    </sheetView>
  </sheetViews>
  <sheetFormatPr defaultColWidth="8.875" defaultRowHeight="15.75" x14ac:dyDescent="0.25"/>
  <cols>
    <col min="1" max="1" width="12.125" style="2" bestFit="1" customWidth="1"/>
    <col min="2" max="2" width="13.125" style="2" customWidth="1"/>
    <col min="3" max="3" width="10.125" style="2" bestFit="1" customWidth="1"/>
    <col min="4" max="4" width="11.375" style="2" customWidth="1"/>
    <col min="5" max="5" width="10.5" style="2" customWidth="1"/>
    <col min="6" max="7" width="8.875" style="2"/>
    <col min="8" max="8" width="12.125" style="2" customWidth="1"/>
    <col min="9" max="9" width="10.375" style="2" customWidth="1"/>
    <col min="10" max="11" width="8.875" style="2"/>
    <col min="12" max="12" width="12" style="2" customWidth="1"/>
    <col min="13" max="13" width="10.625" style="2" customWidth="1"/>
    <col min="14" max="14" width="10.875" style="2" customWidth="1"/>
    <col min="15" max="15" width="14.5" style="2" customWidth="1"/>
    <col min="16" max="16" width="13" style="2" customWidth="1"/>
    <col min="17" max="17" width="13.625" style="2" customWidth="1"/>
    <col min="18" max="18" width="11.125" style="2" customWidth="1"/>
    <col min="19" max="19" width="10" style="2" customWidth="1"/>
    <col min="20" max="20" width="11.625" style="2" customWidth="1"/>
    <col min="21" max="21" width="10.875" style="2" customWidth="1"/>
    <col min="22" max="22" width="13.125" style="2" customWidth="1"/>
    <col min="23" max="23" width="13" style="2" customWidth="1"/>
    <col min="24" max="24" width="8.875" style="2"/>
    <col min="25" max="25" width="25.125" style="2" customWidth="1"/>
    <col min="26" max="26" width="8.875" style="2"/>
    <col min="27" max="27" width="11.625" style="2" customWidth="1"/>
    <col min="28" max="28" width="12.5" style="2" customWidth="1"/>
    <col min="29" max="29" width="6.125" style="2" bestFit="1" customWidth="1"/>
    <col min="30" max="30" width="7.125" style="2" bestFit="1" customWidth="1"/>
    <col min="31" max="31" width="10.125" style="2" bestFit="1" customWidth="1"/>
    <col min="32" max="32" width="9.75" style="2" customWidth="1"/>
    <col min="33" max="33" width="12" style="2" customWidth="1"/>
    <col min="34" max="34" width="8.875" style="2"/>
    <col min="35" max="35" width="11.625" style="2" customWidth="1"/>
    <col min="36" max="36" width="11.125" style="2" customWidth="1"/>
    <col min="37" max="37" width="9.625" style="2" customWidth="1"/>
    <col min="38" max="38" width="12.125" style="2" customWidth="1"/>
    <col min="39" max="39" width="10.625" style="2" customWidth="1"/>
    <col min="40" max="40" width="11.625" style="2" customWidth="1"/>
    <col min="41" max="43" width="11.125" style="2" customWidth="1"/>
    <col min="44" max="44" width="10.375" style="2" customWidth="1"/>
    <col min="45" max="45" width="11.75" style="2" customWidth="1"/>
    <col min="46" max="46" width="11" style="2" customWidth="1"/>
    <col min="47" max="47" width="8.875" style="2"/>
    <col min="48" max="48" width="10" style="2" customWidth="1"/>
    <col min="49" max="50" width="8.875" style="2"/>
    <col min="51" max="51" width="9.875" style="2" customWidth="1"/>
    <col min="52" max="54" width="8.875" style="2"/>
    <col min="55" max="55" width="16" style="2" customWidth="1"/>
    <col min="56" max="56" width="13" style="2" customWidth="1"/>
    <col min="57" max="57" width="16" style="2" customWidth="1"/>
    <col min="58" max="58" width="10" style="2" customWidth="1"/>
    <col min="59" max="60" width="13" style="2" customWidth="1"/>
    <col min="61" max="61" width="12.375" style="2" customWidth="1"/>
    <col min="62" max="62" width="8.125" style="2" bestFit="1" customWidth="1"/>
    <col min="63" max="16384" width="8.875" style="2"/>
  </cols>
  <sheetData>
    <row r="2" spans="1:62" s="13" customFormat="1" ht="62.25" customHeight="1" x14ac:dyDescent="0.25">
      <c r="Y2" s="14" t="s">
        <v>84</v>
      </c>
      <c r="Z2" s="14"/>
      <c r="AA2" s="14" t="s">
        <v>85</v>
      </c>
      <c r="AB2" s="14"/>
      <c r="AC2" s="14"/>
      <c r="AD2" s="14"/>
      <c r="AE2" s="14" t="s">
        <v>86</v>
      </c>
      <c r="AF2" s="14"/>
      <c r="AG2" s="14" t="s">
        <v>87</v>
      </c>
      <c r="AH2" s="14"/>
      <c r="AI2" s="14" t="s">
        <v>88</v>
      </c>
      <c r="AJ2" s="14" t="s">
        <v>88</v>
      </c>
      <c r="AK2" s="14" t="s">
        <v>89</v>
      </c>
      <c r="AL2" s="14" t="s">
        <v>90</v>
      </c>
      <c r="AM2" s="14"/>
      <c r="AN2" s="14"/>
      <c r="AO2" s="15"/>
      <c r="AP2" s="14" t="s">
        <v>91</v>
      </c>
      <c r="AQ2" s="14" t="s">
        <v>91</v>
      </c>
      <c r="AR2" s="14" t="s">
        <v>92</v>
      </c>
      <c r="AS2" s="14" t="s">
        <v>93</v>
      </c>
      <c r="AT2" s="14" t="s">
        <v>94</v>
      </c>
      <c r="AU2" s="15"/>
      <c r="AV2" s="15"/>
      <c r="AW2" s="15"/>
      <c r="AX2" s="15" t="s">
        <v>95</v>
      </c>
      <c r="AY2" s="15"/>
      <c r="AZ2" s="15" t="s">
        <v>95</v>
      </c>
      <c r="BA2" s="15"/>
      <c r="BB2" s="15" t="s">
        <v>95</v>
      </c>
      <c r="BC2" s="15" t="s">
        <v>96</v>
      </c>
      <c r="BD2" s="15" t="s">
        <v>97</v>
      </c>
      <c r="BE2" s="15" t="s">
        <v>98</v>
      </c>
      <c r="BF2" s="15"/>
      <c r="BG2" s="14" t="s">
        <v>99</v>
      </c>
      <c r="BH2" s="14" t="s">
        <v>99</v>
      </c>
      <c r="BI2" s="14" t="s">
        <v>100</v>
      </c>
      <c r="BJ2" s="14" t="s">
        <v>101</v>
      </c>
    </row>
    <row r="3" spans="1:62" s="30" customFormat="1" ht="66" customHeight="1" x14ac:dyDescent="0.25">
      <c r="A3" s="16" t="s">
        <v>49</v>
      </c>
      <c r="B3" s="17" t="s">
        <v>50</v>
      </c>
      <c r="C3" s="18" t="s">
        <v>51</v>
      </c>
      <c r="D3" s="19" t="s">
        <v>52</v>
      </c>
      <c r="E3" s="19" t="s">
        <v>53</v>
      </c>
      <c r="F3" s="20" t="s">
        <v>30</v>
      </c>
      <c r="G3" s="20" t="s">
        <v>54</v>
      </c>
      <c r="H3" s="21" t="s">
        <v>55</v>
      </c>
      <c r="I3" s="21" t="s">
        <v>56</v>
      </c>
      <c r="J3" s="19" t="s">
        <v>66</v>
      </c>
      <c r="K3" s="21" t="s">
        <v>67</v>
      </c>
      <c r="L3" s="22" t="s">
        <v>79</v>
      </c>
      <c r="M3" s="23" t="s">
        <v>68</v>
      </c>
      <c r="N3" s="24" t="s">
        <v>82</v>
      </c>
      <c r="O3" s="24" t="s">
        <v>83</v>
      </c>
      <c r="P3" s="23" t="s">
        <v>69</v>
      </c>
      <c r="Q3" s="25" t="s">
        <v>70</v>
      </c>
      <c r="R3" s="26" t="s">
        <v>71</v>
      </c>
      <c r="S3" s="27" t="s">
        <v>72</v>
      </c>
      <c r="T3" s="23" t="s">
        <v>73</v>
      </c>
      <c r="U3" s="23" t="s">
        <v>57</v>
      </c>
      <c r="V3" s="23" t="s">
        <v>74</v>
      </c>
      <c r="W3" s="28" t="s">
        <v>75</v>
      </c>
      <c r="X3" s="29" t="s">
        <v>58</v>
      </c>
      <c r="Y3" s="9" t="s">
        <v>102</v>
      </c>
      <c r="Z3" s="9" t="s">
        <v>30</v>
      </c>
      <c r="AA3" s="9" t="s">
        <v>31</v>
      </c>
      <c r="AB3" s="9" t="s">
        <v>32</v>
      </c>
      <c r="AC3" s="9" t="s">
        <v>33</v>
      </c>
      <c r="AD3" s="9" t="s">
        <v>34</v>
      </c>
      <c r="AE3" s="9" t="s">
        <v>35</v>
      </c>
      <c r="AF3" s="9" t="s">
        <v>36</v>
      </c>
      <c r="AG3" s="9" t="s">
        <v>37</v>
      </c>
      <c r="AH3" s="9" t="s">
        <v>38</v>
      </c>
      <c r="AI3" s="9" t="s">
        <v>39</v>
      </c>
      <c r="AJ3" s="9" t="s">
        <v>40</v>
      </c>
      <c r="AK3" s="9" t="s">
        <v>41</v>
      </c>
      <c r="AL3" s="9" t="s">
        <v>42</v>
      </c>
      <c r="AM3" s="9" t="s">
        <v>23</v>
      </c>
      <c r="AN3" s="9" t="s">
        <v>77</v>
      </c>
      <c r="AO3" s="9" t="s">
        <v>78</v>
      </c>
      <c r="AP3" s="10" t="s">
        <v>80</v>
      </c>
      <c r="AQ3" s="10" t="s">
        <v>81</v>
      </c>
      <c r="AR3" s="11" t="s">
        <v>43</v>
      </c>
      <c r="AS3" s="11" t="s">
        <v>103</v>
      </c>
      <c r="AT3" s="11" t="s">
        <v>44</v>
      </c>
      <c r="AU3" s="11" t="s">
        <v>45</v>
      </c>
      <c r="AV3" s="11" t="s">
        <v>46</v>
      </c>
      <c r="AW3" s="12" t="s">
        <v>104</v>
      </c>
      <c r="AX3" s="9" t="s">
        <v>105</v>
      </c>
      <c r="AY3" s="12" t="s">
        <v>106</v>
      </c>
      <c r="AZ3" s="9" t="s">
        <v>107</v>
      </c>
      <c r="BA3" s="9" t="s">
        <v>108</v>
      </c>
      <c r="BB3" s="9" t="s">
        <v>109</v>
      </c>
      <c r="BC3" s="9" t="s">
        <v>47</v>
      </c>
      <c r="BD3" s="9" t="s">
        <v>24</v>
      </c>
      <c r="BE3" s="9" t="s">
        <v>25</v>
      </c>
      <c r="BF3" s="11" t="s">
        <v>110</v>
      </c>
      <c r="BG3" s="11" t="s">
        <v>111</v>
      </c>
      <c r="BH3" s="11" t="s">
        <v>112</v>
      </c>
      <c r="BI3" s="9" t="s">
        <v>48</v>
      </c>
      <c r="BJ3" s="9" t="s">
        <v>26</v>
      </c>
    </row>
    <row r="4" spans="1:62" s="3" customFormat="1" x14ac:dyDescent="0.25">
      <c r="A4" t="s">
        <v>59</v>
      </c>
      <c r="B4" t="s">
        <v>60</v>
      </c>
      <c r="C4" t="s">
        <v>62</v>
      </c>
      <c r="D4" t="s">
        <v>63</v>
      </c>
      <c r="E4">
        <v>2019</v>
      </c>
      <c r="F4" t="str">
        <f>Z4</f>
        <v>10.1016/j.palaeo.2018.01.039</v>
      </c>
      <c r="G4">
        <f>AH4*1000</f>
        <v>19000</v>
      </c>
      <c r="H4">
        <f>(AI4-AH4)*1000</f>
        <v>2000</v>
      </c>
      <c r="I4">
        <f>(AH4-AJ4)*1000</f>
        <v>2000</v>
      </c>
      <c r="J4" s="6">
        <f>BF4</f>
        <v>491</v>
      </c>
      <c r="K4">
        <f>(BH4-BF4)</f>
        <v>110</v>
      </c>
      <c r="L4">
        <f>(BF4-BG4)</f>
        <v>110</v>
      </c>
      <c r="M4" t="b">
        <v>1</v>
      </c>
      <c r="N4">
        <v>2</v>
      </c>
      <c r="O4" s="5" t="s">
        <v>61</v>
      </c>
      <c r="P4" t="s">
        <v>76</v>
      </c>
      <c r="Q4" t="b">
        <v>0</v>
      </c>
      <c r="R4" t="s">
        <v>76</v>
      </c>
      <c r="S4" t="b">
        <v>1</v>
      </c>
      <c r="T4" t="b">
        <v>0</v>
      </c>
      <c r="U4" t="s">
        <v>76</v>
      </c>
      <c r="V4" t="s">
        <v>76</v>
      </c>
      <c r="W4" t="b">
        <v>0</v>
      </c>
      <c r="X4" t="s">
        <v>76</v>
      </c>
      <c r="Y4" s="3" t="s">
        <v>64</v>
      </c>
      <c r="Z4" s="1" t="s">
        <v>22</v>
      </c>
      <c r="AA4" s="3" t="s">
        <v>6</v>
      </c>
      <c r="AB4" s="3" t="s">
        <v>7</v>
      </c>
      <c r="AC4" s="3" t="s">
        <v>76</v>
      </c>
      <c r="AD4" s="3" t="s">
        <v>76</v>
      </c>
      <c r="AE4" s="3" t="s">
        <v>76</v>
      </c>
      <c r="AF4" s="3" t="s">
        <v>3</v>
      </c>
      <c r="AG4" s="3" t="s">
        <v>8</v>
      </c>
      <c r="AH4" s="3">
        <v>19</v>
      </c>
      <c r="AI4" s="3">
        <v>21</v>
      </c>
      <c r="AJ4" s="3">
        <v>17</v>
      </c>
      <c r="AK4" s="3" t="s">
        <v>76</v>
      </c>
      <c r="AL4" s="3" t="s">
        <v>9</v>
      </c>
      <c r="AM4" s="3">
        <v>9</v>
      </c>
      <c r="AN4" s="3" t="s">
        <v>76</v>
      </c>
      <c r="AO4" s="3" t="s">
        <v>76</v>
      </c>
      <c r="AP4" s="8" t="s">
        <v>76</v>
      </c>
      <c r="AQ4" s="8" t="s">
        <v>76</v>
      </c>
      <c r="AR4" s="3">
        <v>7</v>
      </c>
      <c r="AS4" s="3" t="s">
        <v>13</v>
      </c>
      <c r="AT4" s="3" t="s">
        <v>10</v>
      </c>
      <c r="AU4" s="3" t="s">
        <v>76</v>
      </c>
      <c r="AV4" s="3" t="s">
        <v>76</v>
      </c>
      <c r="AW4" s="2" t="s">
        <v>76</v>
      </c>
      <c r="AX4" s="2" t="s">
        <v>76</v>
      </c>
      <c r="AY4" s="2" t="s">
        <v>76</v>
      </c>
      <c r="AZ4" s="2" t="s">
        <v>76</v>
      </c>
      <c r="BA4" s="2">
        <v>11.72</v>
      </c>
      <c r="BB4" s="2">
        <v>2.7</v>
      </c>
      <c r="BC4" s="3" t="s">
        <v>14</v>
      </c>
      <c r="BD4" s="2" t="s">
        <v>15</v>
      </c>
      <c r="BE4" s="3" t="s">
        <v>16</v>
      </c>
      <c r="BF4" s="3">
        <v>491</v>
      </c>
      <c r="BG4" s="3">
        <v>381</v>
      </c>
      <c r="BH4" s="3">
        <v>601</v>
      </c>
      <c r="BI4" s="3">
        <v>110</v>
      </c>
      <c r="BJ4" s="7" t="s">
        <v>65</v>
      </c>
    </row>
    <row r="5" spans="1:62" x14ac:dyDescent="0.25">
      <c r="A5" t="s">
        <v>59</v>
      </c>
      <c r="B5" t="s">
        <v>60</v>
      </c>
      <c r="C5" t="s">
        <v>62</v>
      </c>
      <c r="D5" t="s">
        <v>63</v>
      </c>
      <c r="E5">
        <v>2019</v>
      </c>
      <c r="F5" t="str">
        <f t="shared" ref="F5:F6" si="0">Z5</f>
        <v>10.1016/j.palaeo.2018.01.039</v>
      </c>
      <c r="G5">
        <f t="shared" ref="G5:G6" si="1">AH5*1000</f>
        <v>22500</v>
      </c>
      <c r="H5">
        <f t="shared" ref="H5:H6" si="2">(AI5-AH5)*1000</f>
        <v>1000</v>
      </c>
      <c r="I5">
        <f t="shared" ref="I5:I6" si="3">(AH5-AJ5)*1000</f>
        <v>1000</v>
      </c>
      <c r="J5" s="6">
        <f t="shared" ref="J5:J6" si="4">BF5</f>
        <v>485</v>
      </c>
      <c r="K5">
        <f>(BH5-BF5)</f>
        <v>169</v>
      </c>
      <c r="L5">
        <f>(BF5-BG5)</f>
        <v>169</v>
      </c>
      <c r="M5" t="b">
        <v>1</v>
      </c>
      <c r="N5">
        <v>2</v>
      </c>
      <c r="O5" s="5" t="s">
        <v>61</v>
      </c>
      <c r="P5" t="s">
        <v>76</v>
      </c>
      <c r="Q5" t="b">
        <v>0</v>
      </c>
      <c r="R5" t="s">
        <v>76</v>
      </c>
      <c r="S5" t="b">
        <v>1</v>
      </c>
      <c r="T5" t="b">
        <v>0</v>
      </c>
      <c r="U5" t="s">
        <v>76</v>
      </c>
      <c r="V5" t="s">
        <v>76</v>
      </c>
      <c r="W5" t="b">
        <v>0</v>
      </c>
      <c r="X5" t="s">
        <v>76</v>
      </c>
      <c r="Y5" s="3" t="s">
        <v>64</v>
      </c>
      <c r="Z5" s="1" t="s">
        <v>22</v>
      </c>
      <c r="AA5" s="2" t="s">
        <v>17</v>
      </c>
      <c r="AB5" s="2" t="s">
        <v>18</v>
      </c>
      <c r="AC5" s="3" t="s">
        <v>76</v>
      </c>
      <c r="AD5" s="3" t="s">
        <v>76</v>
      </c>
      <c r="AE5" s="3" t="s">
        <v>76</v>
      </c>
      <c r="AF5" s="3" t="s">
        <v>4</v>
      </c>
      <c r="AG5" s="2" t="s">
        <v>19</v>
      </c>
      <c r="AH5" s="2">
        <v>22.5</v>
      </c>
      <c r="AI5" s="2">
        <v>23.5</v>
      </c>
      <c r="AJ5" s="2">
        <v>21.5</v>
      </c>
      <c r="AK5" s="3" t="s">
        <v>76</v>
      </c>
      <c r="AL5" s="2" t="s">
        <v>20</v>
      </c>
      <c r="AM5" s="2">
        <v>9</v>
      </c>
      <c r="AN5" s="2">
        <v>-45</v>
      </c>
      <c r="AO5" s="2">
        <v>167</v>
      </c>
      <c r="AP5" s="8" t="s">
        <v>76</v>
      </c>
      <c r="AQ5" s="8" t="s">
        <v>76</v>
      </c>
      <c r="AR5" s="2">
        <v>7</v>
      </c>
      <c r="AS5" s="2" t="s">
        <v>13</v>
      </c>
      <c r="AT5" s="2" t="s">
        <v>10</v>
      </c>
      <c r="AU5" s="3" t="s">
        <v>76</v>
      </c>
      <c r="AV5" s="3" t="s">
        <v>76</v>
      </c>
      <c r="AW5" s="2" t="s">
        <v>76</v>
      </c>
      <c r="AX5" s="2" t="s">
        <v>76</v>
      </c>
      <c r="AY5" s="2" t="s">
        <v>76</v>
      </c>
      <c r="AZ5" s="2" t="s">
        <v>76</v>
      </c>
      <c r="BA5" s="2">
        <v>12.24</v>
      </c>
      <c r="BB5" s="2">
        <v>3.1</v>
      </c>
      <c r="BC5" s="3" t="s">
        <v>14</v>
      </c>
      <c r="BD5" s="3" t="s">
        <v>15</v>
      </c>
      <c r="BE5" s="3" t="s">
        <v>16</v>
      </c>
      <c r="BF5" s="3">
        <v>485</v>
      </c>
      <c r="BG5" s="3">
        <v>316</v>
      </c>
      <c r="BH5" s="3">
        <v>654</v>
      </c>
      <c r="BI5" s="3">
        <v>169</v>
      </c>
      <c r="BJ5" s="7" t="s">
        <v>65</v>
      </c>
    </row>
    <row r="6" spans="1:62" x14ac:dyDescent="0.25">
      <c r="A6" t="s">
        <v>59</v>
      </c>
      <c r="B6" t="s">
        <v>60</v>
      </c>
      <c r="C6" t="s">
        <v>62</v>
      </c>
      <c r="D6" t="s">
        <v>63</v>
      </c>
      <c r="E6">
        <v>2019</v>
      </c>
      <c r="F6" t="str">
        <f t="shared" si="0"/>
        <v>10.1016/j.palaeo.2018.01.039</v>
      </c>
      <c r="G6">
        <f t="shared" si="1"/>
        <v>23200</v>
      </c>
      <c r="H6">
        <f t="shared" si="2"/>
        <v>199.99999999999929</v>
      </c>
      <c r="I6">
        <f t="shared" si="3"/>
        <v>199.99999999999929</v>
      </c>
      <c r="J6" s="6">
        <f t="shared" si="4"/>
        <v>732</v>
      </c>
      <c r="K6">
        <f>(BH6-BF6)</f>
        <v>47</v>
      </c>
      <c r="L6">
        <f>(BF6-BG6)</f>
        <v>47</v>
      </c>
      <c r="M6" t="b">
        <v>1</v>
      </c>
      <c r="N6">
        <v>2</v>
      </c>
      <c r="O6" s="5" t="s">
        <v>61</v>
      </c>
      <c r="P6" t="s">
        <v>76</v>
      </c>
      <c r="Q6" t="b">
        <v>0</v>
      </c>
      <c r="R6" t="s">
        <v>76</v>
      </c>
      <c r="S6" t="b">
        <v>1</v>
      </c>
      <c r="T6" t="b">
        <v>0</v>
      </c>
      <c r="U6" t="s">
        <v>76</v>
      </c>
      <c r="V6" t="s">
        <v>76</v>
      </c>
      <c r="W6" t="b">
        <v>0</v>
      </c>
      <c r="X6" t="s">
        <v>76</v>
      </c>
      <c r="Y6" s="3" t="s">
        <v>64</v>
      </c>
      <c r="Z6" s="1" t="s">
        <v>22</v>
      </c>
      <c r="AA6" s="2" t="s">
        <v>28</v>
      </c>
      <c r="AB6" s="2" t="s">
        <v>27</v>
      </c>
      <c r="AC6" s="3" t="s">
        <v>76</v>
      </c>
      <c r="AD6" s="3" t="s">
        <v>76</v>
      </c>
      <c r="AE6" s="3" t="s">
        <v>76</v>
      </c>
      <c r="AF6" s="3" t="s">
        <v>5</v>
      </c>
      <c r="AG6" s="2" t="s">
        <v>29</v>
      </c>
      <c r="AH6" s="2">
        <v>23.2</v>
      </c>
      <c r="AI6" s="2">
        <v>23.4</v>
      </c>
      <c r="AJ6" s="2">
        <v>23</v>
      </c>
      <c r="AK6" s="3" t="s">
        <v>76</v>
      </c>
      <c r="AL6" s="2" t="s">
        <v>21</v>
      </c>
      <c r="AM6" s="2">
        <v>3</v>
      </c>
      <c r="AN6" s="4">
        <v>-45.516666000000001</v>
      </c>
      <c r="AO6" s="4">
        <v>170.21665999999999</v>
      </c>
      <c r="AP6" s="8" t="s">
        <v>76</v>
      </c>
      <c r="AQ6" s="8" t="s">
        <v>76</v>
      </c>
      <c r="AR6" s="2">
        <v>7</v>
      </c>
      <c r="AS6" s="2" t="s">
        <v>11</v>
      </c>
      <c r="AT6" s="2" t="s">
        <v>12</v>
      </c>
      <c r="AU6" s="3" t="s">
        <v>76</v>
      </c>
      <c r="AV6" s="3" t="s">
        <v>76</v>
      </c>
      <c r="AW6" s="2" t="s">
        <v>76</v>
      </c>
      <c r="AX6" s="2" t="s">
        <v>76</v>
      </c>
      <c r="AY6" s="2" t="s">
        <v>76</v>
      </c>
      <c r="AZ6" s="2" t="s">
        <v>76</v>
      </c>
      <c r="BA6" s="2">
        <v>4.53</v>
      </c>
      <c r="BB6" s="2">
        <v>0.5</v>
      </c>
      <c r="BC6" s="3" t="s">
        <v>0</v>
      </c>
      <c r="BD6" s="3" t="s">
        <v>1</v>
      </c>
      <c r="BE6" s="3" t="s">
        <v>2</v>
      </c>
      <c r="BF6" s="3">
        <v>732</v>
      </c>
      <c r="BG6" s="3">
        <v>685</v>
      </c>
      <c r="BH6" s="3">
        <v>779</v>
      </c>
      <c r="BI6" s="3">
        <v>47</v>
      </c>
      <c r="BJ6" s="7" t="s">
        <v>65</v>
      </c>
    </row>
    <row r="7" spans="1:62" x14ac:dyDescent="0.25">
      <c r="A7"/>
      <c r="B7"/>
      <c r="C7"/>
      <c r="D7"/>
      <c r="E7"/>
      <c r="F7"/>
      <c r="G7" s="5"/>
      <c r="H7" s="5"/>
      <c r="I7" s="5"/>
      <c r="J7" s="6"/>
      <c r="K7"/>
      <c r="L7"/>
      <c r="M7"/>
      <c r="N7"/>
      <c r="O7" s="5"/>
      <c r="P7"/>
      <c r="Q7"/>
      <c r="R7"/>
      <c r="S7"/>
      <c r="T7"/>
      <c r="U7"/>
      <c r="V7"/>
      <c r="W7"/>
      <c r="X7" s="5"/>
      <c r="AN7" s="4"/>
      <c r="AO7" s="4"/>
      <c r="AP7" s="4"/>
      <c r="AQ7" s="4"/>
    </row>
    <row r="8" spans="1:62" x14ac:dyDescent="0.25">
      <c r="A8"/>
      <c r="B8"/>
      <c r="C8"/>
      <c r="D8"/>
      <c r="E8"/>
      <c r="F8"/>
      <c r="G8" s="5"/>
      <c r="H8" s="5"/>
      <c r="I8" s="5"/>
      <c r="J8" s="6"/>
      <c r="K8"/>
      <c r="L8"/>
      <c r="M8"/>
      <c r="N8"/>
      <c r="O8" s="5"/>
      <c r="P8"/>
      <c r="Q8"/>
      <c r="R8"/>
      <c r="S8"/>
      <c r="T8"/>
      <c r="U8"/>
      <c r="V8"/>
      <c r="W8"/>
      <c r="X8" s="5"/>
      <c r="AN8" s="4"/>
      <c r="AO8" s="4"/>
      <c r="AP8" s="4"/>
      <c r="AQ8" s="4"/>
    </row>
    <row r="9" spans="1:62" x14ac:dyDescent="0.25">
      <c r="A9"/>
      <c r="B9"/>
      <c r="C9"/>
      <c r="D9"/>
      <c r="E9"/>
      <c r="F9"/>
      <c r="G9" s="5"/>
      <c r="H9" s="5"/>
      <c r="I9" s="5"/>
      <c r="J9" s="6"/>
      <c r="K9"/>
      <c r="L9"/>
      <c r="M9"/>
      <c r="N9"/>
      <c r="O9" s="5"/>
      <c r="P9"/>
      <c r="Q9"/>
      <c r="R9"/>
      <c r="S9"/>
      <c r="T9"/>
      <c r="U9"/>
      <c r="V9"/>
      <c r="W9"/>
      <c r="X9" s="5"/>
    </row>
    <row r="10" spans="1:62" x14ac:dyDescent="0.25">
      <c r="A10"/>
      <c r="B10"/>
      <c r="C10"/>
      <c r="D10"/>
      <c r="E10"/>
      <c r="F10"/>
      <c r="G10" s="5"/>
      <c r="H10" s="5"/>
      <c r="I10" s="5"/>
      <c r="J10" s="6"/>
      <c r="K10"/>
      <c r="L10"/>
      <c r="M10"/>
      <c r="N10"/>
      <c r="O10" s="5"/>
      <c r="P10"/>
      <c r="Q10"/>
      <c r="R10"/>
      <c r="S10"/>
      <c r="T10"/>
      <c r="U10"/>
      <c r="V10"/>
      <c r="W10"/>
      <c r="X10" s="5"/>
    </row>
    <row r="11" spans="1:62" x14ac:dyDescent="0.25">
      <c r="A11"/>
      <c r="B11"/>
      <c r="C11"/>
      <c r="D11"/>
      <c r="E11"/>
      <c r="F11"/>
      <c r="G11" s="5"/>
      <c r="H11" s="5"/>
      <c r="I11" s="5"/>
      <c r="J11" s="6"/>
      <c r="K11"/>
      <c r="L11"/>
      <c r="M11"/>
      <c r="N11"/>
      <c r="O11" s="5"/>
      <c r="P11"/>
      <c r="Q11"/>
      <c r="R11"/>
      <c r="S11"/>
      <c r="T11"/>
      <c r="U11"/>
      <c r="V11"/>
      <c r="W11"/>
      <c r="X11" s="5"/>
    </row>
    <row r="12" spans="1:62" x14ac:dyDescent="0.25">
      <c r="O12" s="3"/>
    </row>
  </sheetData>
  <phoneticPr fontId="3" type="noConversion"/>
  <hyperlinks>
    <hyperlink ref="Z4" r:id="rId1" tooltip="Persistent link using digital object identifier" xr:uid="{00000000-0004-0000-0000-000000000000}"/>
    <hyperlink ref="Z5" r:id="rId2" tooltip="Persistent link using digital object identifier" xr:uid="{00000000-0004-0000-0000-000001000000}"/>
    <hyperlink ref="Z6" r:id="rId3" tooltip="Persistent link using digital object identifier" xr:uid="{00000000-0004-0000-0000-000002000000}"/>
  </hyperlinks>
  <pageMargins left="0.7" right="0.7" top="0.75" bottom="0.75" header="0.3" footer="0.3"/>
  <pageSetup orientation="portrait" horizontalDpi="4294967292" verticalDpi="4294967292" r:id="rId4"/>
  <extLst>
    <ext xmlns:mx="http://schemas.microsoft.com/office/mac/excel/2008/main" uri="http://schemas.microsoft.com/office/mac/excel/2008/main">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stomatal ratio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Dana Royer</cp:lastModifiedBy>
  <dcterms:created xsi:type="dcterms:W3CDTF">2017-12-08T17:22:00Z</dcterms:created>
  <dcterms:modified xsi:type="dcterms:W3CDTF">2022-06-27T13:18:15Z</dcterms:modified>
</cp:coreProperties>
</file>