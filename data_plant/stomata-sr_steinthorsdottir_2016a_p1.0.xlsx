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231"/>
  <workbookPr autoCompressPictures="0"/>
  <mc:AlternateContent xmlns:mc="http://schemas.openxmlformats.org/markup-compatibility/2006">
    <mc:Choice Requires="x15">
      <x15ac:absPath xmlns:x15ac="http://schemas.microsoft.com/office/spreadsheetml/2010/11/ac" url="C:\Users\droyer\Desktop\New folder (2)\"/>
    </mc:Choice>
  </mc:AlternateContent>
  <xr:revisionPtr revIDLastSave="0" documentId="13_ncr:1_{3A641A62-055B-49E1-AB09-CB1633755800}" xr6:coauthVersionLast="45" xr6:coauthVersionMax="47" xr10:uidLastSave="{00000000-0000-0000-0000-000000000000}"/>
  <bookViews>
    <workbookView xWindow="15" yWindow="45" windowWidth="28470" windowHeight="13740" tabRatio="500" xr2:uid="{00000000-000D-0000-FFFF-FFFF00000000}"/>
  </bookViews>
  <sheets>
    <sheet name="stomatal ratio" sheetId="1" r:id="rId1"/>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http://schemas.microsoft.com/office/mac/excel/2008/main">
      <mx:ArchID Flags="2"/>
    </ext>
  </extLst>
</workbook>
</file>

<file path=xl/calcChain.xml><?xml version="1.0" encoding="utf-8"?>
<calcChain xmlns="http://schemas.openxmlformats.org/spreadsheetml/2006/main">
  <c r="F5" i="1" l="1"/>
  <c r="G5" i="1"/>
  <c r="H5" i="1"/>
  <c r="I5" i="1"/>
  <c r="J5" i="1"/>
  <c r="K5" i="1"/>
  <c r="L5" i="1"/>
  <c r="F6" i="1"/>
  <c r="G6" i="1"/>
  <c r="H6" i="1"/>
  <c r="I6" i="1"/>
  <c r="J6" i="1"/>
  <c r="K6" i="1"/>
  <c r="L6" i="1"/>
  <c r="F7" i="1"/>
  <c r="G7" i="1"/>
  <c r="H7" i="1"/>
  <c r="I7" i="1"/>
  <c r="J7" i="1"/>
  <c r="K7" i="1"/>
  <c r="L7" i="1"/>
  <c r="F8" i="1"/>
  <c r="G8" i="1"/>
  <c r="H8" i="1"/>
  <c r="I8" i="1"/>
  <c r="J8" i="1"/>
  <c r="K8" i="1"/>
  <c r="L8" i="1"/>
  <c r="F9" i="1"/>
  <c r="G9" i="1"/>
  <c r="H9" i="1"/>
  <c r="I9" i="1"/>
  <c r="J9" i="1"/>
  <c r="K9" i="1"/>
  <c r="L9" i="1"/>
  <c r="F10" i="1"/>
  <c r="G10" i="1"/>
  <c r="H10" i="1"/>
  <c r="I10" i="1"/>
  <c r="J10" i="1"/>
  <c r="K10" i="1"/>
  <c r="L10" i="1"/>
  <c r="F11" i="1"/>
  <c r="G11" i="1"/>
  <c r="H11" i="1"/>
  <c r="I11" i="1"/>
  <c r="J11" i="1"/>
  <c r="K11" i="1"/>
  <c r="L11" i="1"/>
  <c r="L4" i="1"/>
  <c r="K4" i="1"/>
  <c r="J4" i="1"/>
  <c r="I4" i="1"/>
  <c r="H4" i="1"/>
  <c r="G4" i="1"/>
  <c r="F4" i="1"/>
</calcChain>
</file>

<file path=xl/sharedStrings.xml><?xml version="1.0" encoding="utf-8"?>
<sst xmlns="http://schemas.openxmlformats.org/spreadsheetml/2006/main" count="405" uniqueCount="143">
  <si>
    <t xml:space="preserve">0.042 mm2 </t>
  </si>
  <si>
    <t>Palynology</t>
    <phoneticPr fontId="3" type="noConversion"/>
  </si>
  <si>
    <t>Microscope</t>
    <phoneticPr fontId="3" type="noConversion"/>
  </si>
  <si>
    <t xml:space="preserve">SD = 546.11 mm2 at pCO2 of 351 ppm </t>
    <phoneticPr fontId="3" type="noConversion"/>
  </si>
  <si>
    <t xml:space="preserve">SD = 546.11 mm2 at pCO2 of 351 ppm </t>
    <phoneticPr fontId="3" type="noConversion"/>
  </si>
  <si>
    <t>Both for min &amp; max</t>
    <phoneticPr fontId="3" type="noConversion"/>
  </si>
  <si>
    <t>Schleenhain 4, Haselbach 2</t>
    <phoneticPr fontId="3" type="noConversion"/>
  </si>
  <si>
    <t>Palynology</t>
    <phoneticPr fontId="3" type="noConversion"/>
  </si>
  <si>
    <t>Microscope</t>
    <phoneticPr fontId="3" type="noConversion"/>
  </si>
  <si>
    <t>Schleenhain 2</t>
    <phoneticPr fontId="3" type="noConversion"/>
  </si>
  <si>
    <t>late Eocene</t>
    <phoneticPr fontId="3" type="noConversion"/>
  </si>
  <si>
    <t>Palynology</t>
    <phoneticPr fontId="3" type="noConversion"/>
  </si>
  <si>
    <t>Microscope</t>
    <phoneticPr fontId="3" type="noConversion"/>
  </si>
  <si>
    <t xml:space="preserve">495.50 </t>
    <phoneticPr fontId="3" type="noConversion"/>
  </si>
  <si>
    <t>Palynology</t>
    <phoneticPr fontId="3" type="noConversion"/>
  </si>
  <si>
    <t>Both for min &amp; max</t>
    <phoneticPr fontId="3" type="noConversion"/>
  </si>
  <si>
    <t>Microscope</t>
    <phoneticPr fontId="3" type="noConversion"/>
  </si>
  <si>
    <t xml:space="preserve">earliest Oligocene </t>
  </si>
  <si>
    <t>latest Eocene</t>
  </si>
  <si>
    <t>Schleenhain 3</t>
  </si>
  <si>
    <t>Schleenhain 1</t>
  </si>
  <si>
    <t>Knau</t>
  </si>
  <si>
    <t>Profen-Süd</t>
  </si>
  <si>
    <t>late middle Eocene</t>
  </si>
  <si>
    <t xml:space="preserve">657.13 </t>
  </si>
  <si>
    <t>118.98</t>
  </si>
  <si>
    <t xml:space="preserve">642.88 </t>
  </si>
  <si>
    <t>84.05</t>
  </si>
  <si>
    <t xml:space="preserve">740.65 </t>
  </si>
  <si>
    <t>148.90</t>
  </si>
  <si>
    <t>661.18</t>
  </si>
  <si>
    <t>90.93</t>
  </si>
  <si>
    <t>77.80</t>
  </si>
  <si>
    <t xml:space="preserve">426.14 </t>
  </si>
  <si>
    <t xml:space="preserve">83.56 </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</si>
  <si>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</si>
  <si>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</si>
  <si>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</si>
  <si>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</si>
  <si>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</si>
  <si>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</si>
  <si>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</si>
  <si>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</si>
  <si>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</si>
  <si>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</si>
  <si>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</si>
  <si>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</si>
  <si>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</si>
  <si>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 sample</t>
  </si>
  <si>
    <t>Counting box dimensions
(µm × µm)</t>
  </si>
  <si>
    <t># Stomata</t>
  </si>
  <si>
    <t># Epidermal Cells</t>
  </si>
  <si>
    <t>Nearest 
Living
Equivalent
species</t>
  </si>
  <si>
    <t>10.5194/cp-12-439-2016</t>
  </si>
  <si>
    <t>Witznitz, Espenhain-Störmthal</t>
  </si>
  <si>
    <t>latest Oligocene</t>
  </si>
  <si>
    <t>Kleinsaubernitz</t>
  </si>
  <si>
    <t>late Oligocene</t>
  </si>
  <si>
    <t xml:space="preserve">569.02 </t>
  </si>
  <si>
    <t>108.40</t>
  </si>
  <si>
    <t xml:space="preserve">623.29 </t>
  </si>
  <si>
    <t>97.82</t>
  </si>
  <si>
    <t>What is the uncertainty range?</t>
  </si>
  <si>
    <t xml:space="preserve">Eotrigonobalanus </t>
  </si>
  <si>
    <t xml:space="preserve">furcinervis </t>
  </si>
  <si>
    <t xml:space="preserve">Fagaceae </t>
  </si>
  <si>
    <t xml:space="preserve">Senckenberg Natural History Collections Dresden, Germany </t>
  </si>
  <si>
    <t xml:space="preserve">Cottbus </t>
  </si>
  <si>
    <t xml:space="preserve">Böhlen </t>
  </si>
  <si>
    <t xml:space="preserve">Borna </t>
  </si>
  <si>
    <t xml:space="preserve">Profen </t>
  </si>
  <si>
    <t>Microscope</t>
    <phoneticPr fontId="3" type="noConversion"/>
  </si>
  <si>
    <t xml:space="preserve">Trigonobalanus doichangensis </t>
  </si>
  <si>
    <t>name of person entering product data</t>
  </si>
  <si>
    <t>email of person entering product data</t>
  </si>
  <si>
    <t>proxy</t>
  </si>
  <si>
    <t>first_author_last_name</t>
  </si>
  <si>
    <t>publication_year</t>
  </si>
  <si>
    <t>age_ka</t>
  </si>
  <si>
    <t>Age_uncertainty_pos_ka</t>
  </si>
  <si>
    <t>Age_uncertainty_neg_ka</t>
  </si>
  <si>
    <t>specify reason for quarantine</t>
  </si>
  <si>
    <t>specify reason for age revision</t>
  </si>
  <si>
    <t>Number of leaves/leaf fragments</t>
    <phoneticPr fontId="3" type="noConversion"/>
  </si>
  <si>
    <t>NLE 
SD/SI 
value</t>
    <phoneticPr fontId="3" type="noConversion"/>
  </si>
  <si>
    <t>Standardization (Modern or Carboniferous)</t>
    <phoneticPr fontId="3" type="noConversion"/>
  </si>
  <si>
    <t>Remarks</t>
    <phoneticPr fontId="3" type="noConversion"/>
  </si>
  <si>
    <t>Dana L. Royer</t>
  </si>
  <si>
    <t>droyer@wesleyan.edu</t>
  </si>
  <si>
    <t>stomata-SR</t>
  </si>
  <si>
    <t>Steinthorsdottir</t>
  </si>
  <si>
    <t>2016a</t>
  </si>
  <si>
    <t>Steinthorsdottir, M., Porter, A. S., Holohan, A., Kunzmann, L., Collinson, M., and McElwain, J. C., 2016a, Fossil plant stomata indicate decreasing atmospheric CO2 prior to the Eocene–Oligocene boundary: Climate of the Past, v. 12, p. 439-454.</t>
  </si>
  <si>
    <t>1) Estimates of CO2 (and their associated uncertainties) are "semi-quantitative" (see original papers by McElwain and Chaloner) and thus shouldn't be included in a fully quantitative, cross-species CO2 compilation with shared error analysis. 2) Estimates are based on measurements of stomatal density, which is usually more affected by more non-CO2 environmental factors than stomatal index</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</si>
  <si>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</si>
  <si>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</si>
  <si>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</si>
  <si>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</si>
  <si>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</si>
  <si>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</si>
  <si>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</si>
  <si>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</si>
  <si>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</si>
  <si>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</si>
  <si>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</si>
  <si>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Modern Latitude (decimal degree, south negative)</t>
  </si>
  <si>
    <t>Modern Longitude (decimal degree, west negative)</t>
  </si>
  <si>
    <t>CO2_uncertainty_neg_ppm</t>
  </si>
  <si>
    <t>Paleo Latitude (decimal degree, south negative)</t>
  </si>
  <si>
    <t>Paleo Longitude (decimal degree, west negative)</t>
  </si>
  <si>
    <t>1) Estimates of CO2 (and their associated uncertainties) are "semi-quantitative" (see original papers by McElwain and Chaloner) and thus shouldn't be included in a fully quantitative, cross-species CO2 compilation with shared error analysis. 2) Estimates are based on measurements of stomatal density, which is usually more affected by more non-CO2 environmental factors than stomatal index; estimates are based on only 4 cuticle fragments (5 or more is preferred)</t>
  </si>
  <si>
    <t>1) Estimates of CO2 (and their associated uncertainties) are "semi-quantitative" (see original papers by McElwain and Chaloner) and thus shouldn't be included in a fully quantitative, cross-species CO2 compilation with shared error analysis. 2) Estimates are based on measurements of stomatal density, which is usually more affected by more non-CO2 environmental factors than stomatal index; estimates are based on only 1 cuticle fragment (5 or more is preferred)</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</si>
  <si>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</si>
  <si>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</si>
  <si>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</si>
  <si>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</si>
  <si>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</si>
  <si>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</si>
  <si>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</si>
  <si>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</si>
  <si>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</si>
  <si>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</si>
  <si>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</si>
  <si>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</si>
  <si>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</si>
  <si>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</si>
  <si>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What is the calibration species?</t>
  </si>
  <si>
    <t>What is the SD or SI of the calibration species?</t>
  </si>
  <si>
    <t>Describe how the stomatal ratio was converted to CO2</t>
  </si>
  <si>
    <t>Give as an absolute value (not +/-)</t>
  </si>
  <si>
    <t>describe the rationale for columns AW and AX</t>
  </si>
  <si>
    <t>Anything else that can help us?</t>
  </si>
  <si>
    <t>Reference of the data product</t>
  </si>
  <si>
    <t>Counting Method
(microscope, published image)</t>
  </si>
  <si>
    <r>
      <t>Mean stomatal density (n/mm</t>
    </r>
    <r>
      <rPr>
        <b/>
        <vertAlign val="superscript"/>
        <sz val="12"/>
        <color theme="1"/>
        <rFont val="Calibri"/>
        <family val="2"/>
      </rPr>
      <t>2</t>
    </r>
    <r>
      <rPr>
        <b/>
        <sz val="12"/>
        <color theme="1"/>
        <rFont val="Calibri"/>
        <family val="2"/>
      </rPr>
      <t>)</t>
    </r>
  </si>
  <si>
    <t>SD error (+/- 1 s.e.m.)</t>
  </si>
  <si>
    <r>
      <t>Mean epidermal density (n/mm</t>
    </r>
    <r>
      <rPr>
        <b/>
        <vertAlign val="superscript"/>
        <sz val="12"/>
        <color theme="1"/>
        <rFont val="Calibri"/>
        <family val="2"/>
      </rPr>
      <t>2</t>
    </r>
    <r>
      <rPr>
        <b/>
        <sz val="12"/>
        <color theme="1"/>
        <rFont val="Calibri"/>
        <family val="2"/>
      </rPr>
      <t>)</t>
    </r>
  </si>
  <si>
    <t>ED error (+/- 1 s.e.m.)</t>
  </si>
  <si>
    <t>Mean stomatal index (%)</t>
  </si>
  <si>
    <t>SI error (+/- 1 s.e.m.)</t>
  </si>
  <si>
    <r>
      <t>Reported mean CO</t>
    </r>
    <r>
      <rPr>
        <b/>
        <vertAlign val="subscript"/>
        <sz val="12"/>
        <color rgb="FF000000"/>
        <rFont val="Calibri"/>
        <family val="2"/>
      </rPr>
      <t>2</t>
    </r>
    <r>
      <rPr>
        <b/>
        <sz val="12"/>
        <color indexed="8"/>
        <rFont val="Calibri"/>
        <family val="2"/>
      </rPr>
      <t xml:space="preserve"> (ppm)</t>
    </r>
  </si>
  <si>
    <r>
      <t>Reported CO</t>
    </r>
    <r>
      <rPr>
        <b/>
        <vertAlign val="subscript"/>
        <sz val="12"/>
        <color rgb="FF000000"/>
        <rFont val="Calibri"/>
        <family val="2"/>
      </rPr>
      <t>2</t>
    </r>
    <r>
      <rPr>
        <b/>
        <sz val="12"/>
        <color indexed="8"/>
        <rFont val="Calibri"/>
        <family val="2"/>
      </rPr>
      <t xml:space="preserve"> Uncertainty (Low)</t>
    </r>
  </si>
  <si>
    <r>
      <t>Reported CO</t>
    </r>
    <r>
      <rPr>
        <b/>
        <vertAlign val="subscript"/>
        <sz val="12"/>
        <color rgb="FF000000"/>
        <rFont val="Calibri"/>
        <family val="2"/>
      </rPr>
      <t>2</t>
    </r>
    <r>
      <rPr>
        <b/>
        <sz val="12"/>
        <color indexed="8"/>
        <rFont val="Calibri"/>
        <family val="2"/>
      </rPr>
      <t xml:space="preserve"> Uncertainty (High)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</si>
</sst>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sz val="12"/>
      <color theme="1"/>
      <name val="Calibri"/>
      <family val="2"/>
      <scheme val="minor"/>
    </font>
    <font>
      <sz val="11"/>
      <color indexed="8"/>
      <name val="Calibri"/>
      <family val="2"/>
      <charset val="1"/>
    </font>
    <font>
      <sz val="8"/>
      <name val="Verdana"/>
      <family val="2"/>
    </font>
    <font>
      <sz val="12"/>
      <color indexed="8"/>
      <name val="Calibri"/>
      <family val="2"/>
    </font>
    <font>
      <sz val="12"/>
      <name val="Calibri"/>
      <family val="2"/>
    </font>
    <font>
      <b/>
      <sz val="12"/>
      <color indexed="8"/>
      <name val="Calibri"/>
      <family val="2"/>
    </font>
    <font>
      <i/>
      <sz val="12"/>
      <color indexed="8"/>
      <name val="Calibri"/>
      <family val="2"/>
    </font>
    <font>
      <sz val="12"/>
      <color indexed="63"/>
      <name val="Calibri"/>
      <family val="2"/>
    </font>
    <font>
      <sz val="12"/>
      <color rgb="FF000000"/>
      <name val="Calibri"/>
      <family val="2"/>
      <scheme val="minor"/>
    </font>
    <font>
      <b/>
      <sz val="12"/>
      <name val="Calibri"/>
      <family val="2"/>
      <scheme val="minor"/>
    </font>
    <font>
      <b/>
      <sz val="12"/>
      <color theme="1"/>
      <name val="Calibri"/>
      <family val="2"/>
    </font>
    <font>
      <b/>
      <vertAlign val="superscript"/>
      <sz val="12"/>
      <color theme="1"/>
      <name val="Calibri"/>
      <family val="2"/>
    </font>
    <font>
      <b/>
      <vertAlign val="subscript"/>
      <sz val="12"/>
      <color rgb="FF000000"/>
      <name val="Calibri"/>
      <family val="2"/>
    </font>
  </fonts>
  <fills count="4">
    <fill>
      <patternFill patternType="none"/>
    </fill>
    <fill>
      <patternFill patternType="gray125"/>
    </fill>
    <fill>
      <patternFill patternType="solid">
        <fgColor indexed="42"/>
        <bgColor indexed="64"/>
      </patternFill>
    </fill>
    <fill>
      <patternFill patternType="solid">
        <fgColor rgb="FFCDFFCD"/>
        <bgColor indexed="64"/>
      </patternFill>
    </fill>
  </fills>
  <borders count="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3">
    <xf numFmtId="0" fontId="0" fillId="0" borderId="0"/>
    <xf numFmtId="0" fontId="2" fillId="0" borderId="0"/>
    <xf numFmtId="0" fontId="1" fillId="0" borderId="0"/>
  </cellStyleXfs>
  <cellXfs count="34">
    <xf numFmtId="0" fontId="0" fillId="0" borderId="0" xfId="0"/>
    <xf numFmtId="0" fontId="5" fillId="0" borderId="0" xfId="0" applyFont="1"/>
    <xf numFmtId="0" fontId="4" fillId="0" borderId="0" xfId="0" applyFont="1"/>
    <xf numFmtId="0" fontId="7" fillId="0" borderId="0" xfId="0" applyFont="1"/>
    <xf numFmtId="1" fontId="5" fillId="0" borderId="0" xfId="0" applyNumberFormat="1" applyFont="1" applyFill="1"/>
    <xf numFmtId="1" fontId="5" fillId="0" borderId="0" xfId="0" applyNumberFormat="1" applyFont="1" applyFill="1" applyAlignment="1"/>
    <xf numFmtId="1" fontId="4" fillId="0" borderId="0" xfId="0" applyNumberFormat="1" applyFont="1" applyFill="1" applyAlignment="1"/>
    <xf numFmtId="0" fontId="4" fillId="0" borderId="0" xfId="0" applyFont="1" applyFill="1"/>
    <xf numFmtId="0" fontId="8" fillId="0" borderId="0" xfId="0" applyFont="1"/>
    <xf numFmtId="0" fontId="0" fillId="0" borderId="0" xfId="0" applyFill="1"/>
    <xf numFmtId="1" fontId="0" fillId="0" borderId="0" xfId="0" applyNumberFormat="1"/>
    <xf numFmtId="0" fontId="0" fillId="0" borderId="0" xfId="0" applyFill="1" applyBorder="1" applyAlignment="1">
      <alignment horizontal="right"/>
    </xf>
    <xf numFmtId="0" fontId="6" fillId="2" borderId="0" xfId="0" applyFont="1" applyFill="1" applyAlignment="1">
      <alignment vertical="top" wrapText="1"/>
    </xf>
    <xf numFmtId="0" fontId="10" fillId="3" borderId="5" xfId="0" applyFont="1" applyFill="1" applyBorder="1" applyAlignment="1">
      <alignment horizontal="center" vertical="top" wrapText="1"/>
    </xf>
    <xf numFmtId="0" fontId="6" fillId="2" borderId="0" xfId="0" applyFont="1" applyFill="1" applyAlignment="1">
      <alignment horizontal="center" vertical="top" wrapText="1"/>
    </xf>
    <xf numFmtId="0" fontId="11" fillId="2" borderId="0" xfId="0" applyFont="1" applyFill="1" applyAlignment="1">
      <alignment vertical="top" wrapText="1"/>
    </xf>
    <xf numFmtId="0" fontId="4" fillId="0" borderId="0" xfId="0" applyFont="1" applyAlignment="1">
      <alignment vertical="top"/>
    </xf>
    <xf numFmtId="0" fontId="0" fillId="0" borderId="0" xfId="0" applyAlignment="1">
      <alignment vertical="top" wrapText="1"/>
    </xf>
    <xf numFmtId="0" fontId="4" fillId="0" borderId="0" xfId="0" applyFont="1" applyAlignment="1">
      <alignment vertical="top" wrapText="1"/>
    </xf>
    <xf numFmtId="0" fontId="9" fillId="0" borderId="1" xfId="0" applyFont="1" applyBorder="1" applyAlignment="1">
      <alignment vertical="top" wrapText="1"/>
    </xf>
    <xf numFmtId="0" fontId="9" fillId="0" borderId="2" xfId="0" applyFont="1" applyBorder="1" applyAlignment="1">
      <alignment vertical="top" wrapText="1"/>
    </xf>
    <xf numFmtId="0" fontId="9" fillId="0" borderId="2" xfId="0" applyFont="1" applyBorder="1" applyAlignment="1">
      <alignment vertical="top"/>
    </xf>
    <xf numFmtId="0" fontId="0" fillId="0" borderId="2" xfId="0" applyFont="1" applyBorder="1" applyAlignment="1">
      <alignment vertical="top" wrapText="1"/>
    </xf>
    <xf numFmtId="0" fontId="0" fillId="0" borderId="2" xfId="0" applyFont="1" applyBorder="1" applyAlignment="1">
      <alignment vertical="top"/>
    </xf>
    <xf numFmtId="0" fontId="0" fillId="0" borderId="2" xfId="0" quotePrefix="1" applyFont="1" applyBorder="1" applyAlignment="1">
      <alignment vertical="top" wrapText="1"/>
    </xf>
    <xf numFmtId="0" fontId="0" fillId="0" borderId="3" xfId="0" quotePrefix="1" applyFont="1" applyBorder="1" applyAlignment="1">
      <alignment vertical="top" wrapText="1"/>
    </xf>
    <xf numFmtId="0" fontId="0" fillId="0" borderId="2" xfId="0" applyFont="1" applyFill="1" applyBorder="1" applyAlignment="1">
      <alignment vertical="top" wrapText="1"/>
    </xf>
    <xf numFmtId="0" fontId="0" fillId="0" borderId="2" xfId="0" applyBorder="1" applyAlignment="1">
      <alignment vertical="top" wrapText="1"/>
    </xf>
    <xf numFmtId="0" fontId="0" fillId="0" borderId="3" xfId="0" applyFont="1" applyFill="1" applyBorder="1" applyAlignment="1">
      <alignment vertical="top" wrapText="1"/>
    </xf>
    <xf numFmtId="0" fontId="0" fillId="0" borderId="4" xfId="0" applyFont="1" applyFill="1" applyBorder="1" applyAlignment="1">
      <alignment vertical="top" wrapText="1"/>
    </xf>
    <xf numFmtId="0" fontId="0" fillId="0" borderId="1" xfId="0" applyFont="1" applyFill="1" applyBorder="1" applyAlignment="1">
      <alignment vertical="top" wrapText="1"/>
    </xf>
    <xf numFmtId="0" fontId="9" fillId="0" borderId="3" xfId="0" applyFont="1" applyBorder="1" applyAlignment="1">
      <alignment vertical="top" wrapText="1"/>
    </xf>
    <xf numFmtId="0" fontId="9" fillId="0" borderId="4" xfId="0" applyFont="1" applyBorder="1" applyAlignment="1">
      <alignment vertical="top" wrapText="1"/>
    </xf>
    <xf numFmtId="0" fontId="6" fillId="0" borderId="0" xfId="0" applyFont="1" applyBorder="1" applyAlignment="1">
      <alignment vertical="top"/>
    </xf>
  </cellXfs>
  <cellStyles count="3">
    <cellStyle name="Normal" xfId="0" builtinId="0"/>
    <cellStyle name="Normal 3" xfId="1" xr:uid="{00000000-0005-0000-0000-000001000000}"/>
    <cellStyle name="Normal 4" xfId="2" xr:uid="{00000000-0005-0000-0000-00000200000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J13"/>
  <sheetViews>
    <sheetView tabSelected="1" topLeftCell="AQ1" workbookViewId="0">
      <pane ySplit="3" topLeftCell="A4" activePane="bottomLeft" state="frozen"/>
      <selection pane="bottomLeft" activeCell="BE12" sqref="BE12"/>
    </sheetView>
  </sheetViews>
  <sheetFormatPr defaultColWidth="8.875" defaultRowHeight="15.75" x14ac:dyDescent="0.25"/>
  <cols>
    <col min="1" max="3" width="8.875" style="2"/>
    <col min="4" max="5" width="12.5" style="2" customWidth="1"/>
    <col min="6" max="7" width="8.875" style="2"/>
    <col min="8" max="8" width="12.125" style="2" customWidth="1"/>
    <col min="9" max="9" width="10.375" style="2" customWidth="1"/>
    <col min="10" max="11" width="8.875" style="2"/>
    <col min="12" max="12" width="12" style="2" customWidth="1"/>
    <col min="13" max="13" width="10.625" style="2" customWidth="1"/>
    <col min="14" max="14" width="10.875" style="2" customWidth="1"/>
    <col min="15" max="15" width="14.5" style="2" customWidth="1"/>
    <col min="16" max="16" width="13" style="2" customWidth="1"/>
    <col min="17" max="17" width="13.625" style="2" customWidth="1"/>
    <col min="18" max="18" width="11.125" style="2" customWidth="1"/>
    <col min="19" max="19" width="10" style="2" customWidth="1"/>
    <col min="20" max="20" width="11.625" style="2" customWidth="1"/>
    <col min="21" max="21" width="10.875" style="2" customWidth="1"/>
    <col min="22" max="22" width="13.125" style="2" customWidth="1"/>
    <col min="23" max="23" width="13" style="2" customWidth="1"/>
    <col min="24" max="24" width="8.875" style="2"/>
    <col min="25" max="25" width="25.125" style="2" customWidth="1"/>
    <col min="26" max="26" width="8.875" style="2"/>
    <col min="27" max="27" width="11.625" style="2" customWidth="1"/>
    <col min="28" max="28" width="12.5" style="2" customWidth="1"/>
    <col min="29" max="29" width="15.125" style="2" customWidth="1"/>
    <col min="30" max="30" width="13" style="2" customWidth="1"/>
    <col min="31" max="31" width="13.5" style="2" customWidth="1"/>
    <col min="32" max="32" width="10" style="2" customWidth="1"/>
    <col min="33" max="33" width="12" style="2" customWidth="1"/>
    <col min="34" max="34" width="8.875" style="2"/>
    <col min="35" max="35" width="12.375" style="2" customWidth="1"/>
    <col min="36" max="36" width="11.625" style="2" customWidth="1"/>
    <col min="37" max="37" width="9.625" style="2" customWidth="1"/>
    <col min="38" max="38" width="12.25" style="2" customWidth="1"/>
    <col min="39" max="39" width="10.625" style="2" customWidth="1"/>
    <col min="40" max="40" width="11.625" style="2" customWidth="1"/>
    <col min="41" max="43" width="11.125" style="2" customWidth="1"/>
    <col min="44" max="44" width="10.375" style="2" customWidth="1"/>
    <col min="45" max="45" width="11.875" style="2" customWidth="1"/>
    <col min="46" max="46" width="11" style="2" customWidth="1"/>
    <col min="47" max="47" width="8.875" style="2"/>
    <col min="48" max="48" width="9.75" style="2" customWidth="1"/>
    <col min="49" max="50" width="8.875" style="2"/>
    <col min="51" max="51" width="10.5" style="2" customWidth="1"/>
    <col min="52" max="54" width="8.875" style="2"/>
    <col min="55" max="55" width="16" style="2" customWidth="1"/>
    <col min="56" max="56" width="13" style="2" customWidth="1"/>
    <col min="57" max="57" width="16" style="2" customWidth="1"/>
    <col min="58" max="58" width="10" style="2" customWidth="1"/>
    <col min="59" max="60" width="13" style="2" customWidth="1"/>
    <col min="61" max="61" width="12.375" style="2" customWidth="1"/>
    <col min="62" max="62" width="15.5" style="2" customWidth="1"/>
    <col min="63" max="16384" width="8.875" style="2"/>
  </cols>
  <sheetData>
    <row r="2" spans="1:62" s="16" customFormat="1" ht="63.75" customHeight="1" x14ac:dyDescent="0.25">
      <c r="Y2" s="17" t="s">
        <v>114</v>
      </c>
      <c r="Z2" s="17"/>
      <c r="AA2" s="17" t="s">
        <v>115</v>
      </c>
      <c r="AB2" s="17"/>
      <c r="AC2" s="17"/>
      <c r="AD2" s="17"/>
      <c r="AE2" s="17" t="s">
        <v>116</v>
      </c>
      <c r="AF2" s="17"/>
      <c r="AG2" s="17" t="s">
        <v>117</v>
      </c>
      <c r="AH2" s="17"/>
      <c r="AI2" s="17" t="s">
        <v>118</v>
      </c>
      <c r="AJ2" s="17" t="s">
        <v>118</v>
      </c>
      <c r="AK2" s="17" t="s">
        <v>119</v>
      </c>
      <c r="AL2" s="17" t="s">
        <v>120</v>
      </c>
      <c r="AM2" s="17"/>
      <c r="AN2" s="17"/>
      <c r="AO2" s="18"/>
      <c r="AP2" s="17" t="s">
        <v>121</v>
      </c>
      <c r="AQ2" s="17" t="s">
        <v>121</v>
      </c>
      <c r="AR2" s="17" t="s">
        <v>122</v>
      </c>
      <c r="AS2" s="17" t="s">
        <v>123</v>
      </c>
      <c r="AT2" s="17" t="s">
        <v>124</v>
      </c>
      <c r="AU2" s="18"/>
      <c r="AV2" s="18"/>
      <c r="AW2" s="18"/>
      <c r="AX2" s="18" t="s">
        <v>125</v>
      </c>
      <c r="AY2" s="18"/>
      <c r="AZ2" s="18" t="s">
        <v>125</v>
      </c>
      <c r="BA2" s="18"/>
      <c r="BB2" s="18" t="s">
        <v>125</v>
      </c>
      <c r="BC2" s="18" t="s">
        <v>126</v>
      </c>
      <c r="BD2" s="18" t="s">
        <v>127</v>
      </c>
      <c r="BE2" s="18" t="s">
        <v>128</v>
      </c>
      <c r="BF2" s="18"/>
      <c r="BG2" s="17" t="s">
        <v>129</v>
      </c>
      <c r="BH2" s="17" t="s">
        <v>129</v>
      </c>
      <c r="BI2" s="17" t="s">
        <v>130</v>
      </c>
      <c r="BJ2" s="17" t="s">
        <v>131</v>
      </c>
    </row>
    <row r="3" spans="1:62" s="33" customFormat="1" ht="66" customHeight="1" x14ac:dyDescent="0.25">
      <c r="A3" s="19" t="s">
        <v>73</v>
      </c>
      <c r="B3" s="20" t="s">
        <v>74</v>
      </c>
      <c r="C3" s="21" t="s">
        <v>75</v>
      </c>
      <c r="D3" s="22" t="s">
        <v>76</v>
      </c>
      <c r="E3" s="22" t="s">
        <v>77</v>
      </c>
      <c r="F3" s="23" t="s">
        <v>35</v>
      </c>
      <c r="G3" s="23" t="s">
        <v>78</v>
      </c>
      <c r="H3" s="24" t="s">
        <v>79</v>
      </c>
      <c r="I3" s="24" t="s">
        <v>80</v>
      </c>
      <c r="J3" s="22" t="s">
        <v>94</v>
      </c>
      <c r="K3" s="24" t="s">
        <v>95</v>
      </c>
      <c r="L3" s="25" t="s">
        <v>107</v>
      </c>
      <c r="M3" s="26" t="s">
        <v>96</v>
      </c>
      <c r="N3" s="27" t="s">
        <v>112</v>
      </c>
      <c r="O3" s="27" t="s">
        <v>113</v>
      </c>
      <c r="P3" s="26" t="s">
        <v>97</v>
      </c>
      <c r="Q3" s="28" t="s">
        <v>98</v>
      </c>
      <c r="R3" s="29" t="s">
        <v>99</v>
      </c>
      <c r="S3" s="30" t="s">
        <v>100</v>
      </c>
      <c r="T3" s="26" t="s">
        <v>101</v>
      </c>
      <c r="U3" s="26" t="s">
        <v>81</v>
      </c>
      <c r="V3" s="26" t="s">
        <v>102</v>
      </c>
      <c r="W3" s="31" t="s">
        <v>103</v>
      </c>
      <c r="X3" s="32" t="s">
        <v>82</v>
      </c>
      <c r="Y3" s="12" t="s">
        <v>132</v>
      </c>
      <c r="Z3" s="12" t="s">
        <v>35</v>
      </c>
      <c r="AA3" s="12" t="s">
        <v>36</v>
      </c>
      <c r="AB3" s="12" t="s">
        <v>37</v>
      </c>
      <c r="AC3" s="12" t="s">
        <v>38</v>
      </c>
      <c r="AD3" s="12" t="s">
        <v>39</v>
      </c>
      <c r="AE3" s="12" t="s">
        <v>40</v>
      </c>
      <c r="AF3" s="12" t="s">
        <v>41</v>
      </c>
      <c r="AG3" s="12" t="s">
        <v>42</v>
      </c>
      <c r="AH3" s="12" t="s">
        <v>43</v>
      </c>
      <c r="AI3" s="12" t="s">
        <v>44</v>
      </c>
      <c r="AJ3" s="12" t="s">
        <v>45</v>
      </c>
      <c r="AK3" s="12" t="s">
        <v>46</v>
      </c>
      <c r="AL3" s="12" t="s">
        <v>47</v>
      </c>
      <c r="AM3" s="12" t="s">
        <v>83</v>
      </c>
      <c r="AN3" s="12" t="s">
        <v>105</v>
      </c>
      <c r="AO3" s="12" t="s">
        <v>106</v>
      </c>
      <c r="AP3" s="13" t="s">
        <v>108</v>
      </c>
      <c r="AQ3" s="13" t="s">
        <v>109</v>
      </c>
      <c r="AR3" s="14" t="s">
        <v>48</v>
      </c>
      <c r="AS3" s="14" t="s">
        <v>133</v>
      </c>
      <c r="AT3" s="14" t="s">
        <v>49</v>
      </c>
      <c r="AU3" s="14" t="s">
        <v>50</v>
      </c>
      <c r="AV3" s="14" t="s">
        <v>51</v>
      </c>
      <c r="AW3" s="15" t="s">
        <v>134</v>
      </c>
      <c r="AX3" s="12" t="s">
        <v>135</v>
      </c>
      <c r="AY3" s="15" t="s">
        <v>136</v>
      </c>
      <c r="AZ3" s="12" t="s">
        <v>137</v>
      </c>
      <c r="BA3" s="12" t="s">
        <v>138</v>
      </c>
      <c r="BB3" s="12" t="s">
        <v>139</v>
      </c>
      <c r="BC3" s="12" t="s">
        <v>52</v>
      </c>
      <c r="BD3" s="12" t="s">
        <v>84</v>
      </c>
      <c r="BE3" s="12" t="s">
        <v>85</v>
      </c>
      <c r="BF3" s="14" t="s">
        <v>140</v>
      </c>
      <c r="BG3" s="14" t="s">
        <v>141</v>
      </c>
      <c r="BH3" s="14" t="s">
        <v>142</v>
      </c>
      <c r="BI3" s="12" t="s">
        <v>62</v>
      </c>
      <c r="BJ3" s="12" t="s">
        <v>86</v>
      </c>
    </row>
    <row r="4" spans="1:62" x14ac:dyDescent="0.25">
      <c r="A4" t="s">
        <v>87</v>
      </c>
      <c r="B4" t="s">
        <v>88</v>
      </c>
      <c r="C4" t="s">
        <v>89</v>
      </c>
      <c r="D4" t="s">
        <v>90</v>
      </c>
      <c r="E4" t="s">
        <v>91</v>
      </c>
      <c r="F4" t="str">
        <f>Z4</f>
        <v>10.5194/cp-12-439-2016</v>
      </c>
      <c r="G4">
        <f>AH4*1000</f>
        <v>24000</v>
      </c>
      <c r="H4">
        <f>(AI4-AH4)*1000</f>
        <v>1000</v>
      </c>
      <c r="I4">
        <f>(AH4-AJ4)*1000</f>
        <v>1000</v>
      </c>
      <c r="J4" s="10">
        <f>BF4</f>
        <v>476</v>
      </c>
      <c r="K4">
        <f>(BH4-BF4)</f>
        <v>107</v>
      </c>
      <c r="L4">
        <f>(BF4-BG4)</f>
        <v>107</v>
      </c>
      <c r="M4" t="b">
        <v>1</v>
      </c>
      <c r="N4">
        <v>3</v>
      </c>
      <c r="O4" s="9" t="s">
        <v>93</v>
      </c>
      <c r="P4" t="s">
        <v>104</v>
      </c>
      <c r="Q4" t="b">
        <v>0</v>
      </c>
      <c r="R4" t="s">
        <v>104</v>
      </c>
      <c r="S4" t="b">
        <v>1</v>
      </c>
      <c r="T4" t="b">
        <v>0</v>
      </c>
      <c r="U4" t="s">
        <v>104</v>
      </c>
      <c r="V4" t="s">
        <v>104</v>
      </c>
      <c r="W4" t="b">
        <v>0</v>
      </c>
      <c r="X4" t="s">
        <v>104</v>
      </c>
      <c r="Y4" s="2" t="s">
        <v>92</v>
      </c>
      <c r="Z4" s="1" t="s">
        <v>53</v>
      </c>
      <c r="AA4" s="2" t="s">
        <v>54</v>
      </c>
      <c r="AB4" s="2" t="s">
        <v>65</v>
      </c>
      <c r="AC4" s="3" t="s">
        <v>63</v>
      </c>
      <c r="AD4" s="3" t="s">
        <v>64</v>
      </c>
      <c r="AE4" s="2" t="s">
        <v>66</v>
      </c>
      <c r="AF4" s="2" t="s">
        <v>67</v>
      </c>
      <c r="AG4" s="2" t="s">
        <v>55</v>
      </c>
      <c r="AH4" s="2">
        <v>24</v>
      </c>
      <c r="AI4" s="2">
        <v>25</v>
      </c>
      <c r="AJ4" s="2">
        <v>23</v>
      </c>
      <c r="AK4" s="2" t="s">
        <v>104</v>
      </c>
      <c r="AL4" s="2" t="s">
        <v>14</v>
      </c>
      <c r="AM4" s="2">
        <v>45</v>
      </c>
      <c r="AN4" s="2" t="s">
        <v>104</v>
      </c>
      <c r="AO4" s="2" t="s">
        <v>104</v>
      </c>
      <c r="AP4" s="11" t="s">
        <v>104</v>
      </c>
      <c r="AQ4" s="11" t="s">
        <v>104</v>
      </c>
      <c r="AR4" s="2">
        <v>5</v>
      </c>
      <c r="AS4" s="2" t="s">
        <v>71</v>
      </c>
      <c r="AT4" s="2" t="s">
        <v>0</v>
      </c>
      <c r="AU4" s="2" t="s">
        <v>104</v>
      </c>
      <c r="AV4" s="2" t="s">
        <v>104</v>
      </c>
      <c r="AW4" s="2" t="s">
        <v>58</v>
      </c>
      <c r="AX4" s="2" t="s">
        <v>59</v>
      </c>
      <c r="AY4" s="2" t="s">
        <v>104</v>
      </c>
      <c r="AZ4" s="2" t="s">
        <v>104</v>
      </c>
      <c r="BA4" s="2" t="s">
        <v>104</v>
      </c>
      <c r="BB4" s="2" t="s">
        <v>104</v>
      </c>
      <c r="BC4" s="3" t="s">
        <v>72</v>
      </c>
      <c r="BD4" s="2" t="s">
        <v>3</v>
      </c>
      <c r="BE4" s="2" t="s">
        <v>15</v>
      </c>
      <c r="BF4" s="4">
        <v>476</v>
      </c>
      <c r="BG4" s="2">
        <v>369</v>
      </c>
      <c r="BH4" s="2">
        <v>583</v>
      </c>
      <c r="BI4" s="2" t="s">
        <v>104</v>
      </c>
    </row>
    <row r="5" spans="1:62" x14ac:dyDescent="0.25">
      <c r="A5" t="s">
        <v>87</v>
      </c>
      <c r="B5" t="s">
        <v>88</v>
      </c>
      <c r="C5" t="s">
        <v>89</v>
      </c>
      <c r="D5" t="s">
        <v>90</v>
      </c>
      <c r="E5" t="s">
        <v>91</v>
      </c>
      <c r="F5" t="str">
        <f t="shared" ref="F5:F11" si="0">Z5</f>
        <v>10.5194/cp-12-439-2016</v>
      </c>
      <c r="G5">
        <f t="shared" ref="G5:G11" si="1">AH5*1000</f>
        <v>26000</v>
      </c>
      <c r="H5">
        <f t="shared" ref="H5:H11" si="2">(AI5-AH5)*1000</f>
        <v>1500</v>
      </c>
      <c r="I5">
        <f t="shared" ref="I5:I11" si="3">(AH5-AJ5)*1000</f>
        <v>1500</v>
      </c>
      <c r="J5" s="10">
        <f t="shared" ref="J5:J11" si="4">BF5</f>
        <v>429</v>
      </c>
      <c r="K5">
        <f>(BH5-BF5)</f>
        <v>79</v>
      </c>
      <c r="L5">
        <f>(BF5-BG5)</f>
        <v>79</v>
      </c>
      <c r="M5" t="b">
        <v>1</v>
      </c>
      <c r="N5">
        <v>3</v>
      </c>
      <c r="O5" s="9" t="s">
        <v>93</v>
      </c>
      <c r="P5" t="s">
        <v>104</v>
      </c>
      <c r="Q5" t="b">
        <v>0</v>
      </c>
      <c r="R5" t="s">
        <v>104</v>
      </c>
      <c r="S5" t="b">
        <v>1</v>
      </c>
      <c r="T5" t="b">
        <v>0</v>
      </c>
      <c r="U5" t="s">
        <v>104</v>
      </c>
      <c r="V5" t="s">
        <v>104</v>
      </c>
      <c r="W5" t="b">
        <v>0</v>
      </c>
      <c r="X5" t="s">
        <v>104</v>
      </c>
      <c r="Y5" s="2" t="s">
        <v>92</v>
      </c>
      <c r="Z5" s="1" t="s">
        <v>53</v>
      </c>
      <c r="AA5" s="2" t="s">
        <v>56</v>
      </c>
      <c r="AB5" s="2" t="s">
        <v>65</v>
      </c>
      <c r="AC5" s="3" t="s">
        <v>63</v>
      </c>
      <c r="AD5" s="3" t="s">
        <v>64</v>
      </c>
      <c r="AE5" s="2" t="s">
        <v>66</v>
      </c>
      <c r="AF5" s="2" t="s">
        <v>67</v>
      </c>
      <c r="AG5" s="2" t="s">
        <v>57</v>
      </c>
      <c r="AH5" s="2">
        <v>26</v>
      </c>
      <c r="AI5" s="2">
        <v>27.5</v>
      </c>
      <c r="AJ5" s="2">
        <v>24.5</v>
      </c>
      <c r="AK5" s="2" t="s">
        <v>104</v>
      </c>
      <c r="AL5" s="2" t="s">
        <v>14</v>
      </c>
      <c r="AM5" s="2">
        <v>25</v>
      </c>
      <c r="AN5" s="2" t="s">
        <v>104</v>
      </c>
      <c r="AO5" s="2" t="s">
        <v>104</v>
      </c>
      <c r="AP5" s="11" t="s">
        <v>104</v>
      </c>
      <c r="AQ5" s="11" t="s">
        <v>104</v>
      </c>
      <c r="AR5" s="2">
        <v>5</v>
      </c>
      <c r="AS5" s="2" t="s">
        <v>16</v>
      </c>
      <c r="AT5" s="2" t="s">
        <v>0</v>
      </c>
      <c r="AU5" s="2" t="s">
        <v>104</v>
      </c>
      <c r="AV5" s="2" t="s">
        <v>104</v>
      </c>
      <c r="AW5" s="2" t="s">
        <v>60</v>
      </c>
      <c r="AX5" s="2" t="s">
        <v>61</v>
      </c>
      <c r="AY5" s="2" t="s">
        <v>104</v>
      </c>
      <c r="AZ5" s="2" t="s">
        <v>104</v>
      </c>
      <c r="BA5" s="2" t="s">
        <v>104</v>
      </c>
      <c r="BB5" s="2" t="s">
        <v>104</v>
      </c>
      <c r="BC5" s="3" t="s">
        <v>72</v>
      </c>
      <c r="BD5" s="2" t="s">
        <v>4</v>
      </c>
      <c r="BE5" s="2" t="s">
        <v>5</v>
      </c>
      <c r="BF5" s="5">
        <v>429</v>
      </c>
      <c r="BG5" s="2">
        <v>350</v>
      </c>
      <c r="BH5" s="2">
        <v>508</v>
      </c>
      <c r="BI5" s="2" t="s">
        <v>104</v>
      </c>
    </row>
    <row r="6" spans="1:62" x14ac:dyDescent="0.25">
      <c r="A6" t="s">
        <v>87</v>
      </c>
      <c r="B6" t="s">
        <v>88</v>
      </c>
      <c r="C6" t="s">
        <v>89</v>
      </c>
      <c r="D6" t="s">
        <v>90</v>
      </c>
      <c r="E6" t="s">
        <v>91</v>
      </c>
      <c r="F6" t="str">
        <f t="shared" si="0"/>
        <v>10.5194/cp-12-439-2016</v>
      </c>
      <c r="G6">
        <f t="shared" si="1"/>
        <v>33800</v>
      </c>
      <c r="H6">
        <f t="shared" si="2"/>
        <v>1000</v>
      </c>
      <c r="I6">
        <f t="shared" si="3"/>
        <v>1000</v>
      </c>
      <c r="J6" s="10">
        <f t="shared" si="4"/>
        <v>409</v>
      </c>
      <c r="K6">
        <f>(BH6-BF6)</f>
        <v>80</v>
      </c>
      <c r="L6">
        <f>(BF6-BG6)</f>
        <v>80</v>
      </c>
      <c r="M6" t="b">
        <v>1</v>
      </c>
      <c r="N6">
        <v>3</v>
      </c>
      <c r="O6" s="9" t="s">
        <v>93</v>
      </c>
      <c r="P6" t="s">
        <v>104</v>
      </c>
      <c r="Q6" t="b">
        <v>0</v>
      </c>
      <c r="R6" t="s">
        <v>104</v>
      </c>
      <c r="S6" t="b">
        <v>1</v>
      </c>
      <c r="T6" t="b">
        <v>0</v>
      </c>
      <c r="U6" t="s">
        <v>104</v>
      </c>
      <c r="V6" t="s">
        <v>104</v>
      </c>
      <c r="W6" t="b">
        <v>0</v>
      </c>
      <c r="X6" t="s">
        <v>104</v>
      </c>
      <c r="Y6" s="2" t="s">
        <v>92</v>
      </c>
      <c r="Z6" s="1" t="s">
        <v>53</v>
      </c>
      <c r="AA6" s="2" t="s">
        <v>6</v>
      </c>
      <c r="AB6" s="2" t="s">
        <v>65</v>
      </c>
      <c r="AC6" s="3" t="s">
        <v>63</v>
      </c>
      <c r="AD6" s="3" t="s">
        <v>64</v>
      </c>
      <c r="AE6" s="2" t="s">
        <v>66</v>
      </c>
      <c r="AF6" s="2" t="s">
        <v>68</v>
      </c>
      <c r="AG6" s="2" t="s">
        <v>17</v>
      </c>
      <c r="AH6" s="2">
        <v>33.799999999999997</v>
      </c>
      <c r="AI6" s="2">
        <v>34.799999999999997</v>
      </c>
      <c r="AJ6" s="2">
        <v>32.799999999999997</v>
      </c>
      <c r="AK6" s="2" t="s">
        <v>104</v>
      </c>
      <c r="AL6" s="2" t="s">
        <v>7</v>
      </c>
      <c r="AM6" s="2">
        <v>21</v>
      </c>
      <c r="AN6" s="2" t="s">
        <v>104</v>
      </c>
      <c r="AO6" s="2" t="s">
        <v>104</v>
      </c>
      <c r="AP6" s="11" t="s">
        <v>104</v>
      </c>
      <c r="AQ6" s="11" t="s">
        <v>104</v>
      </c>
      <c r="AR6" s="2">
        <v>5</v>
      </c>
      <c r="AS6" s="2" t="s">
        <v>8</v>
      </c>
      <c r="AT6" s="2" t="s">
        <v>0</v>
      </c>
      <c r="AU6" s="2" t="s">
        <v>104</v>
      </c>
      <c r="AV6" s="2" t="s">
        <v>104</v>
      </c>
      <c r="AW6" s="2" t="s">
        <v>24</v>
      </c>
      <c r="AX6" s="2" t="s">
        <v>25</v>
      </c>
      <c r="AY6" s="2" t="s">
        <v>104</v>
      </c>
      <c r="AZ6" s="2" t="s">
        <v>104</v>
      </c>
      <c r="BA6" s="2" t="s">
        <v>104</v>
      </c>
      <c r="BB6" s="2" t="s">
        <v>104</v>
      </c>
      <c r="BC6" s="3" t="s">
        <v>72</v>
      </c>
      <c r="BD6" s="2" t="s">
        <v>3</v>
      </c>
      <c r="BE6" s="2" t="s">
        <v>15</v>
      </c>
      <c r="BF6" s="5">
        <v>409</v>
      </c>
      <c r="BG6" s="2">
        <v>329</v>
      </c>
      <c r="BH6" s="2">
        <v>489</v>
      </c>
      <c r="BI6" s="2" t="s">
        <v>104</v>
      </c>
    </row>
    <row r="7" spans="1:62" x14ac:dyDescent="0.25">
      <c r="A7" t="s">
        <v>87</v>
      </c>
      <c r="B7" t="s">
        <v>88</v>
      </c>
      <c r="C7" t="s">
        <v>89</v>
      </c>
      <c r="D7" t="s">
        <v>90</v>
      </c>
      <c r="E7" t="s">
        <v>91</v>
      </c>
      <c r="F7" t="str">
        <f t="shared" si="0"/>
        <v>10.5194/cp-12-439-2016</v>
      </c>
      <c r="G7">
        <f t="shared" si="1"/>
        <v>34000</v>
      </c>
      <c r="H7">
        <f t="shared" si="2"/>
        <v>1000</v>
      </c>
      <c r="I7">
        <f t="shared" si="3"/>
        <v>1000</v>
      </c>
      <c r="J7" s="10">
        <f t="shared" si="4"/>
        <v>410</v>
      </c>
      <c r="K7">
        <f>(BH7-BF7)</f>
        <v>48</v>
      </c>
      <c r="L7">
        <f>(BF7-BG7)</f>
        <v>48</v>
      </c>
      <c r="M7" t="b">
        <v>1</v>
      </c>
      <c r="N7">
        <v>3</v>
      </c>
      <c r="O7" s="9" t="s">
        <v>93</v>
      </c>
      <c r="P7" t="s">
        <v>104</v>
      </c>
      <c r="Q7" t="b">
        <v>0</v>
      </c>
      <c r="R7" t="s">
        <v>104</v>
      </c>
      <c r="S7" t="b">
        <v>1</v>
      </c>
      <c r="T7" t="b">
        <v>0</v>
      </c>
      <c r="U7" t="s">
        <v>104</v>
      </c>
      <c r="V7" t="s">
        <v>104</v>
      </c>
      <c r="W7" t="b">
        <v>0</v>
      </c>
      <c r="X7" t="s">
        <v>104</v>
      </c>
      <c r="Y7" s="2" t="s">
        <v>92</v>
      </c>
      <c r="Z7" s="1" t="s">
        <v>53</v>
      </c>
      <c r="AA7" s="2" t="s">
        <v>19</v>
      </c>
      <c r="AB7" s="2" t="s">
        <v>65</v>
      </c>
      <c r="AC7" s="3" t="s">
        <v>63</v>
      </c>
      <c r="AD7" s="3" t="s">
        <v>64</v>
      </c>
      <c r="AE7" s="2" t="s">
        <v>66</v>
      </c>
      <c r="AF7" s="2" t="s">
        <v>68</v>
      </c>
      <c r="AG7" s="2" t="s">
        <v>18</v>
      </c>
      <c r="AH7" s="2">
        <v>34</v>
      </c>
      <c r="AI7" s="2">
        <v>35</v>
      </c>
      <c r="AJ7" s="2">
        <v>33</v>
      </c>
      <c r="AK7" s="2" t="s">
        <v>104</v>
      </c>
      <c r="AL7" s="2" t="s">
        <v>7</v>
      </c>
      <c r="AM7" s="2">
        <v>11</v>
      </c>
      <c r="AN7" s="2" t="s">
        <v>104</v>
      </c>
      <c r="AO7" s="2" t="s">
        <v>104</v>
      </c>
      <c r="AP7" s="11" t="s">
        <v>104</v>
      </c>
      <c r="AQ7" s="11" t="s">
        <v>104</v>
      </c>
      <c r="AR7" s="2">
        <v>5</v>
      </c>
      <c r="AS7" s="2" t="s">
        <v>8</v>
      </c>
      <c r="AT7" s="2" t="s">
        <v>0</v>
      </c>
      <c r="AU7" s="2" t="s">
        <v>104</v>
      </c>
      <c r="AV7" s="2" t="s">
        <v>104</v>
      </c>
      <c r="AW7" s="2" t="s">
        <v>26</v>
      </c>
      <c r="AX7" s="2" t="s">
        <v>27</v>
      </c>
      <c r="AY7" s="2" t="s">
        <v>104</v>
      </c>
      <c r="AZ7" s="2" t="s">
        <v>104</v>
      </c>
      <c r="BA7" s="2" t="s">
        <v>104</v>
      </c>
      <c r="BB7" s="2" t="s">
        <v>104</v>
      </c>
      <c r="BC7" s="3" t="s">
        <v>72</v>
      </c>
      <c r="BD7" s="2" t="s">
        <v>4</v>
      </c>
      <c r="BE7" s="2" t="s">
        <v>5</v>
      </c>
      <c r="BF7" s="5">
        <v>410</v>
      </c>
      <c r="BG7" s="2">
        <v>362</v>
      </c>
      <c r="BH7" s="2">
        <v>458</v>
      </c>
      <c r="BI7" s="2" t="s">
        <v>104</v>
      </c>
    </row>
    <row r="8" spans="1:62" x14ac:dyDescent="0.25">
      <c r="A8" t="s">
        <v>87</v>
      </c>
      <c r="B8" t="s">
        <v>88</v>
      </c>
      <c r="C8" t="s">
        <v>89</v>
      </c>
      <c r="D8" t="s">
        <v>90</v>
      </c>
      <c r="E8" t="s">
        <v>91</v>
      </c>
      <c r="F8" t="str">
        <f t="shared" si="0"/>
        <v>10.5194/cp-12-439-2016</v>
      </c>
      <c r="G8">
        <f t="shared" si="1"/>
        <v>35500</v>
      </c>
      <c r="H8">
        <f t="shared" si="2"/>
        <v>1000</v>
      </c>
      <c r="I8">
        <f t="shared" si="3"/>
        <v>1000</v>
      </c>
      <c r="J8" s="10">
        <f t="shared" si="4"/>
        <v>365</v>
      </c>
      <c r="K8">
        <f>(BH8-BF8)</f>
        <v>72</v>
      </c>
      <c r="L8">
        <f>(BF8-BG8)</f>
        <v>72</v>
      </c>
      <c r="M8" t="b">
        <v>1</v>
      </c>
      <c r="N8">
        <v>3</v>
      </c>
      <c r="O8" s="9" t="s">
        <v>93</v>
      </c>
      <c r="P8" t="s">
        <v>104</v>
      </c>
      <c r="Q8" t="b">
        <v>0</v>
      </c>
      <c r="R8" t="s">
        <v>104</v>
      </c>
      <c r="S8" t="b">
        <v>1</v>
      </c>
      <c r="T8" t="b">
        <v>0</v>
      </c>
      <c r="U8" t="s">
        <v>104</v>
      </c>
      <c r="V8" t="s">
        <v>104</v>
      </c>
      <c r="W8" t="b">
        <v>0</v>
      </c>
      <c r="X8" t="s">
        <v>104</v>
      </c>
      <c r="Y8" s="2" t="s">
        <v>92</v>
      </c>
      <c r="Z8" s="1" t="s">
        <v>53</v>
      </c>
      <c r="AA8" s="2" t="s">
        <v>9</v>
      </c>
      <c r="AB8" s="2" t="s">
        <v>65</v>
      </c>
      <c r="AC8" s="3" t="s">
        <v>63</v>
      </c>
      <c r="AD8" s="3" t="s">
        <v>64</v>
      </c>
      <c r="AE8" s="2" t="s">
        <v>66</v>
      </c>
      <c r="AF8" s="2" t="s">
        <v>69</v>
      </c>
      <c r="AG8" s="2" t="s">
        <v>10</v>
      </c>
      <c r="AH8" s="2">
        <v>35.5</v>
      </c>
      <c r="AI8" s="2">
        <v>36.5</v>
      </c>
      <c r="AJ8" s="2">
        <v>34.5</v>
      </c>
      <c r="AK8" s="2" t="s">
        <v>104</v>
      </c>
      <c r="AL8" s="2" t="s">
        <v>11</v>
      </c>
      <c r="AM8" s="2">
        <v>39</v>
      </c>
      <c r="AN8" s="2" t="s">
        <v>104</v>
      </c>
      <c r="AO8" s="2" t="s">
        <v>104</v>
      </c>
      <c r="AP8" s="11" t="s">
        <v>104</v>
      </c>
      <c r="AQ8" s="11" t="s">
        <v>104</v>
      </c>
      <c r="AR8" s="2">
        <v>5</v>
      </c>
      <c r="AS8" s="2" t="s">
        <v>12</v>
      </c>
      <c r="AT8" s="2" t="s">
        <v>0</v>
      </c>
      <c r="AU8" s="2" t="s">
        <v>104</v>
      </c>
      <c r="AV8" s="2" t="s">
        <v>104</v>
      </c>
      <c r="AW8" s="2" t="s">
        <v>28</v>
      </c>
      <c r="AX8" s="2" t="s">
        <v>29</v>
      </c>
      <c r="AY8" s="2" t="s">
        <v>104</v>
      </c>
      <c r="AZ8" s="2" t="s">
        <v>104</v>
      </c>
      <c r="BA8" s="2" t="s">
        <v>104</v>
      </c>
      <c r="BB8" s="2" t="s">
        <v>104</v>
      </c>
      <c r="BC8" s="3" t="s">
        <v>72</v>
      </c>
      <c r="BD8" s="2" t="s">
        <v>3</v>
      </c>
      <c r="BE8" s="2" t="s">
        <v>15</v>
      </c>
      <c r="BF8" s="6">
        <v>365</v>
      </c>
      <c r="BG8" s="2">
        <v>293</v>
      </c>
      <c r="BH8" s="2">
        <v>437</v>
      </c>
      <c r="BI8" s="2" t="s">
        <v>104</v>
      </c>
    </row>
    <row r="9" spans="1:62" x14ac:dyDescent="0.25">
      <c r="A9" t="s">
        <v>87</v>
      </c>
      <c r="B9" t="s">
        <v>88</v>
      </c>
      <c r="C9" t="s">
        <v>89</v>
      </c>
      <c r="D9" t="s">
        <v>90</v>
      </c>
      <c r="E9" t="s">
        <v>91</v>
      </c>
      <c r="F9" t="str">
        <f t="shared" si="0"/>
        <v>10.5194/cp-12-439-2016</v>
      </c>
      <c r="G9">
        <f t="shared" si="1"/>
        <v>36000</v>
      </c>
      <c r="H9">
        <f t="shared" si="2"/>
        <v>1500</v>
      </c>
      <c r="I9">
        <f t="shared" si="3"/>
        <v>1500</v>
      </c>
      <c r="J9" s="10">
        <f t="shared" si="4"/>
        <v>422</v>
      </c>
      <c r="K9">
        <f>(BH9-BF9)</f>
        <v>72</v>
      </c>
      <c r="L9">
        <f>(BF9-BG9)</f>
        <v>72</v>
      </c>
      <c r="M9" t="b">
        <v>1</v>
      </c>
      <c r="N9">
        <v>3</v>
      </c>
      <c r="O9" s="9" t="s">
        <v>110</v>
      </c>
      <c r="P9" t="s">
        <v>104</v>
      </c>
      <c r="Q9" t="b">
        <v>0</v>
      </c>
      <c r="R9" t="s">
        <v>104</v>
      </c>
      <c r="S9" t="b">
        <v>1</v>
      </c>
      <c r="T9" t="b">
        <v>0</v>
      </c>
      <c r="U9" t="s">
        <v>104</v>
      </c>
      <c r="V9" t="s">
        <v>104</v>
      </c>
      <c r="W9" t="b">
        <v>0</v>
      </c>
      <c r="X9" t="s">
        <v>104</v>
      </c>
      <c r="Y9" s="2" t="s">
        <v>92</v>
      </c>
      <c r="Z9" s="1" t="s">
        <v>53</v>
      </c>
      <c r="AA9" s="2" t="s">
        <v>20</v>
      </c>
      <c r="AB9" s="2" t="s">
        <v>65</v>
      </c>
      <c r="AC9" s="3" t="s">
        <v>63</v>
      </c>
      <c r="AD9" s="3" t="s">
        <v>64</v>
      </c>
      <c r="AE9" s="2" t="s">
        <v>66</v>
      </c>
      <c r="AF9" s="2" t="s">
        <v>69</v>
      </c>
      <c r="AG9" s="2" t="s">
        <v>10</v>
      </c>
      <c r="AH9" s="2">
        <v>36</v>
      </c>
      <c r="AI9" s="2">
        <v>37.5</v>
      </c>
      <c r="AJ9" s="2">
        <v>34.5</v>
      </c>
      <c r="AK9" s="2" t="s">
        <v>104</v>
      </c>
      <c r="AL9" s="2" t="s">
        <v>11</v>
      </c>
      <c r="AM9" s="2">
        <v>4</v>
      </c>
      <c r="AN9" s="2" t="s">
        <v>104</v>
      </c>
      <c r="AO9" s="2" t="s">
        <v>104</v>
      </c>
      <c r="AP9" s="11" t="s">
        <v>104</v>
      </c>
      <c r="AQ9" s="11" t="s">
        <v>104</v>
      </c>
      <c r="AR9" s="2">
        <v>5</v>
      </c>
      <c r="AS9" s="2" t="s">
        <v>12</v>
      </c>
      <c r="AT9" s="2" t="s">
        <v>0</v>
      </c>
      <c r="AU9" s="2" t="s">
        <v>104</v>
      </c>
      <c r="AV9" s="2" t="s">
        <v>104</v>
      </c>
      <c r="AW9" s="2" t="s">
        <v>30</v>
      </c>
      <c r="AX9" s="2" t="s">
        <v>31</v>
      </c>
      <c r="AY9" s="2" t="s">
        <v>104</v>
      </c>
      <c r="AZ9" s="2" t="s">
        <v>104</v>
      </c>
      <c r="BA9" s="2" t="s">
        <v>104</v>
      </c>
      <c r="BB9" s="2" t="s">
        <v>104</v>
      </c>
      <c r="BC9" s="3" t="s">
        <v>72</v>
      </c>
      <c r="BD9" s="2" t="s">
        <v>4</v>
      </c>
      <c r="BE9" s="2" t="s">
        <v>5</v>
      </c>
      <c r="BF9" s="6">
        <v>422</v>
      </c>
      <c r="BG9" s="2">
        <v>350</v>
      </c>
      <c r="BH9" s="2">
        <v>494</v>
      </c>
      <c r="BI9" s="2" t="s">
        <v>104</v>
      </c>
    </row>
    <row r="10" spans="1:62" x14ac:dyDescent="0.25">
      <c r="A10" t="s">
        <v>87</v>
      </c>
      <c r="B10" t="s">
        <v>88</v>
      </c>
      <c r="C10" t="s">
        <v>89</v>
      </c>
      <c r="D10" t="s">
        <v>90</v>
      </c>
      <c r="E10" t="s">
        <v>91</v>
      </c>
      <c r="F10" t="str">
        <f t="shared" si="0"/>
        <v>10.5194/cp-12-439-2016</v>
      </c>
      <c r="G10">
        <f t="shared" si="1"/>
        <v>37500</v>
      </c>
      <c r="H10">
        <f t="shared" si="2"/>
        <v>1500</v>
      </c>
      <c r="I10">
        <f t="shared" si="3"/>
        <v>1500</v>
      </c>
      <c r="J10" s="10">
        <f t="shared" si="4"/>
        <v>538</v>
      </c>
      <c r="K10">
        <f>(BH10-BF10)</f>
        <v>93</v>
      </c>
      <c r="L10">
        <f>(BF10-BG10)</f>
        <v>93</v>
      </c>
      <c r="M10" t="b">
        <v>1</v>
      </c>
      <c r="N10">
        <v>3</v>
      </c>
      <c r="O10" s="9" t="s">
        <v>110</v>
      </c>
      <c r="P10" t="s">
        <v>104</v>
      </c>
      <c r="Q10" t="b">
        <v>0</v>
      </c>
      <c r="R10" t="s">
        <v>104</v>
      </c>
      <c r="S10" t="b">
        <v>1</v>
      </c>
      <c r="T10" t="b">
        <v>0</v>
      </c>
      <c r="U10" t="s">
        <v>104</v>
      </c>
      <c r="V10" t="s">
        <v>104</v>
      </c>
      <c r="W10" t="b">
        <v>0</v>
      </c>
      <c r="X10" t="s">
        <v>104</v>
      </c>
      <c r="Y10" s="2" t="s">
        <v>92</v>
      </c>
      <c r="Z10" s="1" t="s">
        <v>53</v>
      </c>
      <c r="AA10" s="2" t="s">
        <v>21</v>
      </c>
      <c r="AB10" s="2" t="s">
        <v>65</v>
      </c>
      <c r="AC10" s="3" t="s">
        <v>63</v>
      </c>
      <c r="AD10" s="3" t="s">
        <v>64</v>
      </c>
      <c r="AE10" s="2" t="s">
        <v>66</v>
      </c>
      <c r="AF10" s="2" t="s">
        <v>69</v>
      </c>
      <c r="AG10" s="2" t="s">
        <v>10</v>
      </c>
      <c r="AH10" s="2">
        <v>37.5</v>
      </c>
      <c r="AI10" s="2">
        <v>39</v>
      </c>
      <c r="AJ10" s="2">
        <v>36</v>
      </c>
      <c r="AK10" s="2" t="s">
        <v>104</v>
      </c>
      <c r="AL10" s="2" t="s">
        <v>11</v>
      </c>
      <c r="AM10" s="2">
        <v>4</v>
      </c>
      <c r="AN10" s="2" t="s">
        <v>104</v>
      </c>
      <c r="AO10" s="2" t="s">
        <v>104</v>
      </c>
      <c r="AP10" s="11" t="s">
        <v>104</v>
      </c>
      <c r="AQ10" s="11" t="s">
        <v>104</v>
      </c>
      <c r="AR10" s="2">
        <v>5</v>
      </c>
      <c r="AS10" s="2" t="s">
        <v>12</v>
      </c>
      <c r="AT10" s="2" t="s">
        <v>0</v>
      </c>
      <c r="AU10" s="2" t="s">
        <v>104</v>
      </c>
      <c r="AV10" s="2" t="s">
        <v>104</v>
      </c>
      <c r="AW10" s="2" t="s">
        <v>13</v>
      </c>
      <c r="AX10" s="2" t="s">
        <v>32</v>
      </c>
      <c r="AY10" s="2" t="s">
        <v>104</v>
      </c>
      <c r="AZ10" s="2" t="s">
        <v>104</v>
      </c>
      <c r="BA10" s="2" t="s">
        <v>104</v>
      </c>
      <c r="BB10" s="2" t="s">
        <v>104</v>
      </c>
      <c r="BC10" s="3" t="s">
        <v>72</v>
      </c>
      <c r="BD10" s="2" t="s">
        <v>4</v>
      </c>
      <c r="BE10" s="2" t="s">
        <v>5</v>
      </c>
      <c r="BF10" s="5">
        <v>538</v>
      </c>
      <c r="BG10" s="2">
        <v>445</v>
      </c>
      <c r="BH10" s="2">
        <v>631</v>
      </c>
      <c r="BI10" s="2" t="s">
        <v>104</v>
      </c>
    </row>
    <row r="11" spans="1:62" x14ac:dyDescent="0.25">
      <c r="A11" t="s">
        <v>87</v>
      </c>
      <c r="B11" t="s">
        <v>88</v>
      </c>
      <c r="C11" t="s">
        <v>89</v>
      </c>
      <c r="D11" t="s">
        <v>90</v>
      </c>
      <c r="E11" t="s">
        <v>91</v>
      </c>
      <c r="F11" t="str">
        <f t="shared" si="0"/>
        <v>10.5194/cp-12-439-2016</v>
      </c>
      <c r="G11">
        <f t="shared" si="1"/>
        <v>39000</v>
      </c>
      <c r="H11">
        <f t="shared" si="2"/>
        <v>1500</v>
      </c>
      <c r="I11">
        <f t="shared" si="3"/>
        <v>1500</v>
      </c>
      <c r="J11" s="10">
        <f t="shared" si="4"/>
        <v>633</v>
      </c>
      <c r="K11">
        <f>(BH11-BF11)</f>
        <v>138</v>
      </c>
      <c r="L11">
        <f>(BF11-BG11)</f>
        <v>138</v>
      </c>
      <c r="M11" t="b">
        <v>1</v>
      </c>
      <c r="N11">
        <v>3</v>
      </c>
      <c r="O11" s="9" t="s">
        <v>111</v>
      </c>
      <c r="P11" t="s">
        <v>104</v>
      </c>
      <c r="Q11" t="b">
        <v>0</v>
      </c>
      <c r="R11" t="s">
        <v>104</v>
      </c>
      <c r="S11" t="b">
        <v>1</v>
      </c>
      <c r="T11" t="b">
        <v>0</v>
      </c>
      <c r="U11" t="s">
        <v>104</v>
      </c>
      <c r="V11" t="s">
        <v>104</v>
      </c>
      <c r="W11" t="b">
        <v>0</v>
      </c>
      <c r="X11" t="s">
        <v>104</v>
      </c>
      <c r="Y11" s="2" t="s">
        <v>92</v>
      </c>
      <c r="Z11" s="1" t="s">
        <v>53</v>
      </c>
      <c r="AA11" s="2" t="s">
        <v>22</v>
      </c>
      <c r="AB11" s="2" t="s">
        <v>65</v>
      </c>
      <c r="AC11" s="3" t="s">
        <v>63</v>
      </c>
      <c r="AD11" s="3" t="s">
        <v>64</v>
      </c>
      <c r="AE11" s="2" t="s">
        <v>66</v>
      </c>
      <c r="AF11" s="2" t="s">
        <v>70</v>
      </c>
      <c r="AG11" s="2" t="s">
        <v>23</v>
      </c>
      <c r="AH11" s="2">
        <v>39</v>
      </c>
      <c r="AI11" s="2">
        <v>40.5</v>
      </c>
      <c r="AJ11" s="2">
        <v>37.5</v>
      </c>
      <c r="AK11" s="2" t="s">
        <v>104</v>
      </c>
      <c r="AL11" s="2" t="s">
        <v>1</v>
      </c>
      <c r="AM11" s="2">
        <v>1</v>
      </c>
      <c r="AN11" s="2" t="s">
        <v>104</v>
      </c>
      <c r="AO11" s="2" t="s">
        <v>104</v>
      </c>
      <c r="AP11" s="11" t="s">
        <v>104</v>
      </c>
      <c r="AQ11" s="11" t="s">
        <v>104</v>
      </c>
      <c r="AR11" s="2">
        <v>5</v>
      </c>
      <c r="AS11" s="2" t="s">
        <v>2</v>
      </c>
      <c r="AT11" s="2" t="s">
        <v>0</v>
      </c>
      <c r="AU11" s="2" t="s">
        <v>104</v>
      </c>
      <c r="AV11" s="2" t="s">
        <v>104</v>
      </c>
      <c r="AW11" s="2" t="s">
        <v>33</v>
      </c>
      <c r="AX11" s="2" t="s">
        <v>34</v>
      </c>
      <c r="AY11" s="2" t="s">
        <v>104</v>
      </c>
      <c r="AZ11" s="2" t="s">
        <v>104</v>
      </c>
      <c r="BA11" s="2" t="s">
        <v>104</v>
      </c>
      <c r="BB11" s="2" t="s">
        <v>104</v>
      </c>
      <c r="BC11" s="3" t="s">
        <v>72</v>
      </c>
      <c r="BD11" s="2" t="s">
        <v>4</v>
      </c>
      <c r="BE11" s="2" t="s">
        <v>5</v>
      </c>
      <c r="BF11" s="7">
        <v>633</v>
      </c>
      <c r="BG11" s="2">
        <v>495</v>
      </c>
      <c r="BH11" s="2">
        <v>771</v>
      </c>
      <c r="BI11" s="2" t="s">
        <v>104</v>
      </c>
    </row>
    <row r="12" spans="1:62" x14ac:dyDescent="0.25">
      <c r="O12" s="7"/>
      <c r="AN12" s="8"/>
      <c r="AO12" s="8"/>
      <c r="AP12" s="8"/>
      <c r="AQ12" s="8"/>
    </row>
    <row r="13" spans="1:62" x14ac:dyDescent="0.25">
      <c r="AN13" s="8"/>
      <c r="AO13" s="8"/>
      <c r="AP13" s="8"/>
      <c r="AQ13" s="8"/>
    </row>
  </sheetData>
  <phoneticPr fontId="3" type="noConversion"/>
  <pageMargins left="0.7" right="0.7" top="0.75" bottom="0.75" header="0.3" footer="0.3"/>
  <pageSetup paperSize="0" orientation="portrait" horizontalDpi="4294967292" verticalDpi="4294967292"/>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stomatal ratio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Dana Royer</cp:lastModifiedBy>
  <dcterms:created xsi:type="dcterms:W3CDTF">2017-12-08T17:22:00Z</dcterms:created>
  <dcterms:modified xsi:type="dcterms:W3CDTF">2022-06-27T13:13:56Z</dcterms:modified>
</cp:coreProperties>
</file>