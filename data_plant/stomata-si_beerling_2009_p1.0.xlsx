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B845C02F-4B8F-6848-9A84-FF312DA8042E}" xr6:coauthVersionLast="47" xr6:coauthVersionMax="47" xr10:uidLastSave="{00000000-0000-0000-0000-000000000000}"/>
  <bookViews>
    <workbookView xWindow="0" yWindow="1000" windowWidth="28800" windowHeight="1700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J33" i="1" l="1"/>
  <c r="AI33" i="1"/>
  <c r="AJ32" i="1"/>
  <c r="AI32" i="1"/>
  <c r="AJ31" i="1"/>
  <c r="AI31" i="1"/>
  <c r="AH34" i="1" l="1"/>
  <c r="AH36" i="1"/>
  <c r="AH35" i="1"/>
  <c r="J31" i="1" l="1"/>
  <c r="K31" i="1"/>
  <c r="L31" i="1"/>
  <c r="J32" i="1"/>
  <c r="K32" i="1"/>
  <c r="L32" i="1"/>
  <c r="J33" i="1"/>
  <c r="K33" i="1"/>
  <c r="L33" i="1"/>
  <c r="F36" i="1"/>
  <c r="G36" i="1"/>
  <c r="H36" i="1"/>
  <c r="I36" i="1"/>
  <c r="J36" i="1"/>
  <c r="K36" i="1"/>
  <c r="L36" i="1"/>
  <c r="F35" i="1"/>
  <c r="G35" i="1"/>
  <c r="H35" i="1"/>
  <c r="I35" i="1"/>
  <c r="J35" i="1"/>
  <c r="K35" i="1"/>
  <c r="L35" i="1"/>
  <c r="L34" i="1"/>
  <c r="K34" i="1"/>
  <c r="J34" i="1"/>
  <c r="I34" i="1"/>
  <c r="H34" i="1"/>
  <c r="G34" i="1"/>
  <c r="F34" i="1"/>
  <c r="F32" i="1"/>
  <c r="G32" i="1"/>
  <c r="H32" i="1"/>
  <c r="I32" i="1"/>
  <c r="F33" i="1"/>
  <c r="G33" i="1"/>
  <c r="H33" i="1"/>
  <c r="I33" i="1"/>
  <c r="F29" i="1"/>
  <c r="G29" i="1"/>
  <c r="H29" i="1"/>
  <c r="I29" i="1"/>
  <c r="J29" i="1"/>
  <c r="K29" i="1"/>
  <c r="L29" i="1"/>
  <c r="F30" i="1"/>
  <c r="G30" i="1"/>
  <c r="H30" i="1"/>
  <c r="I30" i="1"/>
  <c r="J30" i="1"/>
  <c r="K30" i="1"/>
  <c r="L30" i="1"/>
  <c r="F31" i="1"/>
  <c r="G31" i="1"/>
  <c r="H31" i="1"/>
  <c r="I31" i="1"/>
  <c r="F25" i="1"/>
  <c r="G25" i="1"/>
  <c r="H25" i="1"/>
  <c r="I25" i="1"/>
  <c r="J25" i="1"/>
  <c r="K25" i="1"/>
  <c r="L25" i="1"/>
  <c r="F26" i="1"/>
  <c r="G26" i="1"/>
  <c r="H26" i="1"/>
  <c r="I26" i="1"/>
  <c r="J26" i="1"/>
  <c r="K26" i="1"/>
  <c r="L26" i="1"/>
  <c r="F27" i="1"/>
  <c r="G27" i="1"/>
  <c r="H27" i="1"/>
  <c r="I27" i="1"/>
  <c r="J27" i="1"/>
  <c r="K27" i="1"/>
  <c r="L27" i="1"/>
  <c r="F28" i="1"/>
  <c r="G28" i="1"/>
  <c r="H28" i="1"/>
  <c r="I28" i="1"/>
  <c r="J28" i="1"/>
  <c r="K28" i="1"/>
  <c r="L28"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F24" i="1"/>
  <c r="G24" i="1"/>
  <c r="J24" i="1"/>
  <c r="K24" i="1"/>
  <c r="L24"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6" i="1"/>
  <c r="G6" i="1"/>
  <c r="H6" i="1"/>
  <c r="I6" i="1"/>
  <c r="J6" i="1"/>
  <c r="K6" i="1"/>
  <c r="L6" i="1"/>
  <c r="F7" i="1"/>
  <c r="G7" i="1"/>
  <c r="H7" i="1"/>
  <c r="I7" i="1"/>
  <c r="J7" i="1"/>
  <c r="K7" i="1"/>
  <c r="L7" i="1"/>
  <c r="F8" i="1"/>
  <c r="G8" i="1"/>
  <c r="H8" i="1"/>
  <c r="I8" i="1"/>
  <c r="J8" i="1"/>
  <c r="K8" i="1"/>
  <c r="L8" i="1"/>
  <c r="F9" i="1"/>
  <c r="G9" i="1"/>
  <c r="H9" i="1"/>
  <c r="I9" i="1"/>
  <c r="J9" i="1"/>
  <c r="K9" i="1"/>
  <c r="L9" i="1"/>
  <c r="F5" i="1"/>
  <c r="G5" i="1"/>
  <c r="H5" i="1"/>
  <c r="I5" i="1"/>
  <c r="J5" i="1"/>
  <c r="K5" i="1"/>
  <c r="L5" i="1"/>
  <c r="L4" i="1"/>
  <c r="K4" i="1"/>
  <c r="J4" i="1"/>
  <c r="I4" i="1"/>
  <c r="H4" i="1"/>
  <c r="G4" i="1"/>
  <c r="F4" i="1"/>
</calcChain>
</file>

<file path=xl/sharedStrings.xml><?xml version="1.0" encoding="utf-8"?>
<sst xmlns="http://schemas.openxmlformats.org/spreadsheetml/2006/main" count="1276" uniqueCount="226">
  <si>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</si>
  <si>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</si>
  <si>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</si>
  <si>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</si>
  <si>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</si>
  <si>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</si>
  <si>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</si>
  <si>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</si>
  <si>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</si>
  <si>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</si>
  <si>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</si>
  <si>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</si>
  <si>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</si>
  <si>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</si>
  <si>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</si>
  <si>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</si>
  <si>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</si>
  <si>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</si>
  <si>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</si>
  <si>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</si>
  <si>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</si>
  <si>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</si>
  <si>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</si>
  <si>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</si>
  <si>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</si>
  <si>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</si>
  <si>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</si>
  <si>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</si>
  <si>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</si>
  <si>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</si>
  <si>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</si>
  <si>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</si>
  <si>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</si>
  <si>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Dana L. Royer</t>
  </si>
  <si>
    <t>Ginkgoaceae</t>
  </si>
  <si>
    <t>Ginkgo</t>
  </si>
  <si>
    <t>adiantoides</t>
  </si>
  <si>
    <t>Fort Union (Bighorn Basin)</t>
  </si>
  <si>
    <t>microscope</t>
  </si>
  <si>
    <t>0.1795 mm2</t>
  </si>
  <si>
    <t>fields-of-view were partly comprised of non-stomatal-bearing areas (for example, over top major veins); the field-of-view fraction that was usable was not measured; as such, the measured stomatal densities are not particularly useful.</t>
  </si>
  <si>
    <t>Ginkgo biloba</t>
  </si>
  <si>
    <t>Burbank site</t>
  </si>
  <si>
    <t>University of Alberta (dlr 00129-00135)</t>
  </si>
  <si>
    <t>Paskapoo</t>
  </si>
  <si>
    <t>Ti-3 NALMA</t>
  </si>
  <si>
    <t>biostratigraphy (middle Tiffanian, Ti-3)</t>
  </si>
  <si>
    <t>Joffre Bridge site</t>
  </si>
  <si>
    <t>University of Alberta (dlr 00136-00140)</t>
  </si>
  <si>
    <t>SLW 0025 site</t>
  </si>
  <si>
    <t>Smithsonian Museum of Natural History (USNM 519351-519357)</t>
  </si>
  <si>
    <t>Ti-5 NALMA</t>
  </si>
  <si>
    <t>2.1 Myrs before the PETM (Age Model 2 in Wing et al., 2000, which uses measured sections, biostratigraphy, the PETM carbon isotope excursion, and one Ar/Ar radiometric date; see Royer 2003 for details and for Wing citation)</t>
  </si>
  <si>
    <t>LJH 7132 site</t>
  </si>
  <si>
    <t>Yale Peabody Museum (USNM 511364, YPM 45196-45198, YPM 45914)</t>
  </si>
  <si>
    <t>Ti-6/Cf-1 NALMA</t>
  </si>
  <si>
    <t>1.2 Myrs before the PETM (Age Model 2 in Wing et al., 2000, which uses measured sections, biostratigraphy, the PETM carbon isotope excursion, and one Ar/Ar radiometric date; see Royer 2003 for details and for Wing citation)</t>
  </si>
  <si>
    <t>SLW 993 site</t>
  </si>
  <si>
    <t>Smithsonian Museum of Natural History (USNM 516616-516622)</t>
  </si>
  <si>
    <t>~1195 m above the KPg boundary</t>
  </si>
  <si>
    <t>0.7 Myrs before the PETM (Age Model 2 in Wing et al., 2000, which uses measured sections, biostratigraphy, the PETM carbon isotope excursion, and one Ar/Ar radiometric date; see Royer 2003 for details and for Wing citation)</t>
  </si>
  <si>
    <t>SLW 992 site</t>
  </si>
  <si>
    <t>Smithsonian Museum of Natural History (USNM 519363, USNM 519367)</t>
  </si>
  <si>
    <t>SLW 991 site</t>
  </si>
  <si>
    <t>Smithsonian Museum of Natural History (USNM 519358-519362)</t>
  </si>
  <si>
    <t>LJH 72141-1 site</t>
  </si>
  <si>
    <t>Smithsonian Museum of Natural History and Yale Peabody Museum (YPM 45129-45130)</t>
  </si>
  <si>
    <t>Cf2 NALMA</t>
  </si>
  <si>
    <t>0.6 Myrs before the PETM (Age Model 2 in Wing et al., 2000, which uses measured sections, biostratigraphy, the PETM carbon isotope excursion, and one Ar/Ar radiometric date; see Royer 2003 for details and for Wing citation)</t>
  </si>
  <si>
    <t>SLW 9155 site</t>
  </si>
  <si>
    <t>Smithsonian Museum of Natural History (USNM 519368-519377)</t>
  </si>
  <si>
    <t>~100 m below Wa-0 NALMA (Cf2/Cf3)</t>
  </si>
  <si>
    <t>0.5 Myrs before the PETM (Age Model 2 in Wing et al., 2000, which uses measured sections, biostratigraphy, the PETM carbon isotope excursion, and one Ar/Ar radiometric date; see Royer 2003 for details and for Wing citation)</t>
  </si>
  <si>
    <t>SLW 9411 site</t>
  </si>
  <si>
    <t>Smithsonian Museum of Natural History (USNM 519378-519385)</t>
  </si>
  <si>
    <t>~50 m below Wa-0 NALMA</t>
  </si>
  <si>
    <t>0.4 Myrs before the PETM (Age Model 2 in Wing et al., 2000, which uses measured sections, biostratigraphy, the PETM carbon isotope excursion, and one Ar/Ar radiometric date; see Royer 2003 for details and for Wing citation)</t>
  </si>
  <si>
    <t>SLW 9434 site</t>
  </si>
  <si>
    <t>Smithsonian Museum of Natural History (USNM 519386-519392)</t>
  </si>
  <si>
    <t>~30 m below Wa-0 NALMA</t>
  </si>
  <si>
    <t>0.2 Myrs before the PETM (Age Model 2 in Wing et al., 2000, which uses measured sections, biostratigraphy, the PETM carbon isotope excursion, and one Ar/Ar radiometric date; see Royer 2003 for details and for Wing citation)</t>
  </si>
  <si>
    <t>SLW 9715 site</t>
  </si>
  <si>
    <t>Smithsonian Museum of Natural History (dlr 0071-0075, 0081-0085, 00100-00101)</t>
  </si>
  <si>
    <t>~1470 m above the KPg boundary</t>
  </si>
  <si>
    <t>0.1 Myrs before the PETM (Age Model 2 in Wing et al., 2000, which uses measured sections, biostratigraphy, the PETM carbon isotope excursion, and one Ar/Ar radiometric date; see Royer 2003 for details and for Wing citation)</t>
  </si>
  <si>
    <t>SLW 9050 site</t>
  </si>
  <si>
    <t>Smithsonian Museum of Natural History (dlr 00110-00114)</t>
  </si>
  <si>
    <t>~25 m below Wa-0 NALMA</t>
  </si>
  <si>
    <t>SLW 9936 site</t>
  </si>
  <si>
    <t>Smithsonian Museum of Natural History (dlr 9960-9964, dlr 9939-9942, dlr 9955-9959)</t>
  </si>
  <si>
    <t>SLW 8612 site</t>
  </si>
  <si>
    <t>Smithsonian Museum of Natural History (dlr 9947-9951, dlr 9943-9944)</t>
  </si>
  <si>
    <t>~15 m below Wa-0 NALMA</t>
  </si>
  <si>
    <t>SLW 9812 site</t>
  </si>
  <si>
    <t>Smithsonian Museum of Natural History (dlr 0076-0080, dlr 0086-0099, dlr 00102-00104)</t>
  </si>
  <si>
    <t>Willwood (Bighorn Basin)</t>
  </si>
  <si>
    <t>~1570 m above the KPg boundary</t>
  </si>
  <si>
    <t>0.1 Myrs after the PETM (Age Model 2 in Wing et al., 2000, which uses measured sections, biostratigraphy, the PETM carbon isotope excursion, and one Ar/Ar radiometric date; see Royer 2003 for details and for Wing citation)</t>
  </si>
  <si>
    <t>SLW 9915 site</t>
  </si>
  <si>
    <t>Smithsonian Museum of Natural History (USNM 519393-519398)</t>
  </si>
  <si>
    <t>~1720 m above the KPg boundary</t>
  </si>
  <si>
    <t>0.4 Myrs after the PETM (Age Model 2 in Wing et al., 2000, which uses measured sections, biostratigraphy, the PETM carbon isotope excursion, and one Ar/Ar radiometric date; see Royer 2003 for details and for Wing citation)</t>
  </si>
  <si>
    <t>SLW LB site</t>
  </si>
  <si>
    <t>Smithsonian Museum of Natural History (USNM 519399-519403)</t>
  </si>
  <si>
    <t>~311 m above the Wa-0 NALMA</t>
  </si>
  <si>
    <t>1.3 Myrs after the PETM (Age Model 2 in Wing et al., 2000, which uses measured sections, biostratigraphy, the PETM carbon isotope excursion, and one Ar/Ar radiometric date; see Royer 2003 for details and for Wing citation)</t>
  </si>
  <si>
    <t>SLW H site</t>
  </si>
  <si>
    <t>Smithsonian Museum of Natural History (USNM 519404-519412)</t>
  </si>
  <si>
    <t>~420 m above the Wa-0 NALMA</t>
  </si>
  <si>
    <t>1.7 Myrs after the PETM (Age Model 2 in Wing et al., 2000, which uses measured sections, biostratigraphy, the PETM carbon isotope excursion, and one Ar/Ar radiometric date; see Royer 2003 for details and for Wing citation)</t>
  </si>
  <si>
    <t>LJH 9915 site</t>
  </si>
  <si>
    <t>Yale Peabody Museum (YPM 48029, YPM 48002, YPM 40776, YPM 40777, YPM 40778, YPM 47747, YPM 47754, YPM 47780, YPM 47753, YPM 47802, YPM 47833, YPM 47942, YPM 47971, YPM 47939)</t>
  </si>
  <si>
    <t>~429 m above the Wa-0 NALMA</t>
  </si>
  <si>
    <t>1.8 Myrs after the PETM (Age Model 2 in Wing et al., 2000, which uses measured sections, biostratigraphy, the PETM carbon isotope excursion, and one Ar/Ar radiometric date; see Royer 2003 for details and for Wing citation)</t>
  </si>
  <si>
    <t>Juliaetta site (P6)</t>
  </si>
  <si>
    <t>Yale Peabody Museum (YPM 45174-45185)</t>
  </si>
  <si>
    <t>Latah</t>
  </si>
  <si>
    <t>radiometric constraints (Reidel &amp; Fecht, 1987; 10.1130/0016-7606(1987)98&lt;664:thfeos&gt;2.0.co;2)</t>
  </si>
  <si>
    <t>Clarkia site (P33a)</t>
  </si>
  <si>
    <t>Cupressaceae</t>
  </si>
  <si>
    <t>Metasequoia</t>
  </si>
  <si>
    <t>occidentalis</t>
  </si>
  <si>
    <t>Yale Peabody Museum (YPM 45186-45188)</t>
  </si>
  <si>
    <t>Metasequoia glyptostroboides</t>
  </si>
  <si>
    <t>Clarkia site (P33b)</t>
  </si>
  <si>
    <t>Yale Peabody Museum (YPM 45193-45195)</t>
  </si>
  <si>
    <t>Emerald Creek site (P37a)</t>
  </si>
  <si>
    <t>Yale Peabody Museum (YPM 45189-45192)</t>
  </si>
  <si>
    <t>proxy</t>
  </si>
  <si>
    <t>first_author_last_name</t>
  </si>
  <si>
    <t>publication_year</t>
  </si>
  <si>
    <t>age_ka</t>
  </si>
  <si>
    <t>Age_uncertainty_pos_ka</t>
  </si>
  <si>
    <t>Age_uncertainty_neg_ka</t>
  </si>
  <si>
    <t>stomata-SI</t>
  </si>
  <si>
    <t>name of person entering product data</t>
  </si>
  <si>
    <t>email of person entering product data</t>
  </si>
  <si>
    <t>specify reason for quarantine</t>
  </si>
  <si>
    <t>specify reason for age revision</t>
  </si>
  <si>
    <t>droyer@wesleyan.edu</t>
  </si>
  <si>
    <t>10.2475/09.2009.01</t>
  </si>
  <si>
    <t>Uncertainties in the fossil SI measurement and the calibration function are included</t>
  </si>
  <si>
    <t>median</t>
  </si>
  <si>
    <t>2.5 and 97.5 percentiles</t>
  </si>
  <si>
    <t>right skewed</t>
  </si>
  <si>
    <t>DMNH 2644 site</t>
  </si>
  <si>
    <t>Denver Museum of Nature and Science</t>
  </si>
  <si>
    <t>Hanna (Hanna Basin)</t>
  </si>
  <si>
    <t>Torrejonian-Tiffanian NALMA (Dunn, 2003 MS thesis from Univ of Wyoming: "Correlation of Leaf Megafossil and Palynological Data with North American Land Mammal Ages from Paleocene-aged Strata of the Ferris and Hanna Formations, Hanna Basin, South-central Wyoming")</t>
  </si>
  <si>
    <t>biostratigraphy (Torrejonian-Tiffanian)</t>
  </si>
  <si>
    <t>Beerling</t>
  </si>
  <si>
    <t>LJH 7659 site</t>
  </si>
  <si>
    <t>Yale Peabody Museum (YPM 40794-40800 and YPM 45166-45173)</t>
  </si>
  <si>
    <t>~4 m above KPg boundary; early Puercan NALMA</t>
  </si>
  <si>
    <t>biostratigraphy (early Puercan)</t>
  </si>
  <si>
    <t>LJH 7423 site</t>
  </si>
  <si>
    <t>Smithsonian Museum of Natural History (USNM 519346-519350)</t>
  </si>
  <si>
    <t>DMNH 2360 site</t>
  </si>
  <si>
    <t>Denver Museum of Nature and Science (DMNH 23071-23075)</t>
  </si>
  <si>
    <t>Dawson (Denver Basin)</t>
  </si>
  <si>
    <t>radiometric dating (Raynolds et al., 2001, p. 21; see Royer 2003 for citation)</t>
  </si>
  <si>
    <t>Basilika site</t>
  </si>
  <si>
    <t>spitsbergensis (considered conspecific with G. adiantoides)</t>
  </si>
  <si>
    <t>Oslo Paleontological Museum and Yale Peabody Museum (PMO PA164.991, PMO PA164.992, PMO PA164.998, PMO PA165.003, PMO PA167.556, PMO PA167.557, YPM 45128)</t>
  </si>
  <si>
    <t>Firkanten</t>
  </si>
  <si>
    <t>early Paleocene (Kvacek et al., 1994; see Royer 2003 for citation)</t>
  </si>
  <si>
    <t>biostratigraphy (early Paleocene)</t>
  </si>
  <si>
    <t>Royer (2003 GSA Special Paper 369: 79-93 doi:10.1130/0-8137-2369-8.79) coupled with the Monte Carlo resampling routine of Beerling et al. (2009 American Journal of Science 309: 775-787 doi:10.2475/09.2009.01)</t>
  </si>
  <si>
    <t>gardneri</t>
  </si>
  <si>
    <t>British Natural History Museum; Oslo Paleontological Museum; Yale Peabody Museum</t>
  </si>
  <si>
    <t>Original CO2 estimates made by Royer et al. (2001 Science 292: 2310-2313 doi:10.1126/science.292.5525.2310) and Royer (2003 GSA Special Paper 369: 79-93 doi:10.1130/0-8137-2369-8.79); revised by Beerling et al. (2009) using a more robust error propagation routine</t>
  </si>
  <si>
    <t>Considered to be from within the PETM by Jolley et al. (2002 Geology 30: 7-10 doi:10.1130/0091-7613(2002)030&lt;0007:PTSMEF&gt;2.0.CO;2); this was subsequently sharply disputed (see May 2003 issue of Geology)</t>
  </si>
  <si>
    <t>Original CO2 estimates made by Royer (2003 GSA Special Paper 369: 79-93 doi:10.1130/0-8137-2369-8.79); revised by Beerling et al. (2009) using a more robust error propagation routine</t>
  </si>
  <si>
    <t>Original CO2 estimates made by Beerling et al. (2002 PNAS 99: 7836-7840 doi:10.1073 pnas.122573099) and Royer (2003 GSA Special Paper 369: 79-93 doi:10.1130/0-8137-2369-8.79); revised by Beerling et al. (2009) using a more robust error propagation routine</t>
  </si>
  <si>
    <t>Original CO2 estimates made by Kürschner et al. (2008 PNAS 105: 449-453 doi.org/10.1073/pnas.0708588105); revised by Beerling et al. (2009) using a more robust error propagation routine</t>
  </si>
  <si>
    <t>GA</t>
  </si>
  <si>
    <t>biloba</t>
  </si>
  <si>
    <t>Charles University</t>
  </si>
  <si>
    <t>Zukunft-W</t>
  </si>
  <si>
    <t>5-10</t>
  </si>
  <si>
    <t>HB2/1,HB2/2</t>
  </si>
  <si>
    <t>Horni Briza</t>
  </si>
  <si>
    <t>Literature</t>
  </si>
  <si>
    <t>Ledenice</t>
  </si>
  <si>
    <t>Original CO2 estimates made by Beerling et al. (2002 PNAS 99: 7836-7840 doi:10.1073 pnas.122573099) and Royer (2003 GSA Special Paper 369: 79-93 doi:10.1130/0-8137-2369-8.79); revised by Beerling et al. (2009) using a more robust error propagation routine; Milligan et al. (2019 Geophysical Research Letters doi:10.1029/2018GL081215) used the same cuticles to estimate CO2 with the Franks leaf-gas-exchange proxy</t>
  </si>
  <si>
    <t>1) Fossil Ginkgo is notorious for having poor preservation of epidermal cells (e.g., Barclay and Wing, 2016, 10.1016/j.epsl.2016.01.012); this cuticle has been checked for quality control, and it was judged by Royer in Feb 2019 to be in too poor of condition for reliable stomatal index measurements; this poor quality may be partly due to the degradation of the mounting media on the curated slides, which was subsequently removed by Royer using toluene. 2) Calibration of Ginkgo biloba by Barclay and Wing (2016; 10.1016/j.epsl.2016.01.012) is very different from that of Royer (2003; 10.1130/0-8137-2369-8.79) and Beerling et al. (2009; 10.2475/09.2009.01), and this fossil Ginkgo was measured by Royer; thus, it is unclear which calibration to use. 3) Milligan et al. (2019 Geophysical Research Letters doi:10.1029/2018GL081215) used the same cuticles to estimate CO2 with the Franks leaf-gas-exchange proxy, which should be more reliable</t>
  </si>
  <si>
    <t>1) Fossil Ginkgo is notorious for having poor preservation of epidermal cells (e.g., Barclay and Wing, 2016, 10.1016/j.epsl.2016.01.012); because this cuticle has not been checked for quality control, and because no images of the cuticle exist, we are quarantining the CO2 estimate. 2) Calibration of Ginkgo biloba by Barclay and Wing (2016; 10.1016/j.epsl.2016.01.012) is very different from that of Royer (2003; 10.1130/0-8137-2369-8.79) and Beerling et al. (2009; 10.2475/09.2009.01), and this fossil Ginkgo was measured by Royer; thus, it is unclear which calibration to use. 3) The fossil species at this site (Ginkgo gardneri) is different than the fossil species typically used (G. adiantoides) when reconstructing CO2 with present-day G. biloba; because SI-CO2 responses are often species-specific, this paleo-CO2 estimate should not be trusted.</t>
  </si>
  <si>
    <t xml:space="preserve">1) Fossil Ginkgo is notorious for having poor preservation of epidermal cells (e.g., Barclay and Wing, 2016, 10.1016/j.epsl.2016.01.012); because this cuticle has not been checked for quality control, and because no images of the cuticle exist, we are quarantining the CO2 estimate. 2) Calibration of Ginkgo biloba by Barclay and Wing (2016; 10.1016/j.epsl.2016.01.012) is very different from that of Royer (2003; 10.1130/0-8137-2369-8.79) and Beerling et al. (2009; 10.2475/09.2009.01), and this fossil Ginkgo was measured by Royer; thus, it is unclear which calibration to use. </t>
  </si>
  <si>
    <t xml:space="preserve">1) Fossil Ginkgo is notorious for having poor preservation of epidermal cells (e.g., Barclay and Wing, 2016, 10.1016/j.epsl.2016.01.012); this cuticle has been checked for quality control, and it was judged by Royer in Feb 2019 to be in too poor of condition for reliable stomatal index measurements; this poor quality may be partly due to the degradation of the mounting media on the curated slides, which was subsequently removed by Royer using toluene. 2) Calibration of Ginkgo biloba by Barclay and Wing (2016; 10.1016/j.epsl.2016.01.012) is very different from that of Royer (2003; 10.1130/0-8137-2369-8.79) and Beerling et al. (2009; 10.2475/09.2009.01), and this fossil Ginkgo was measured by Royer; thus, it is unclear which calibration to use. </t>
  </si>
  <si>
    <t>Beerling, D. J., Fox, A., and Anderson, C. W., 2009, Quantitative uncertainty analyses of ancient atmospheric CO2 estimates from fossil leaves: American Journal of Science, v. 309, p. 775-787.</t>
  </si>
  <si>
    <t xml:space="preserve">1) Fossil Ginkgo is notorious for having poor preservation of epidermal cells (e.g., Barclay and Wing, 2016, 10.1016/j.epsl.2016.01.012); some of the individual specimens were checked for quality control by Richard Barclay in Aug 2019; some of the individual specimens may be OK, but many were in too poor of condition for reliable stomatal index measurements; this poor quality may be partly due to the degradation of the mounting media on the curated slides, which was subsequently removed by Royer using toluene; a more careful check of all specimens is needed before the quarantine can be lifted. 2) Calibration of Ginkgo biloba by Barclay and Wing (2016; 10.1016/j.epsl.2016.01.012) is very different from that of Royer (2003; 10.1130/0-8137-2369-8.79) and Beerling et al. (2009; 10.2475/09.2009.01), and this fossil Ginkgo was measured by Royer; thus, it is unclear which calibration to use. </t>
  </si>
  <si>
    <t>1) Fossil Ginkgo is notorious for having poor preservation of epidermal cells (e.g., Barclay and Wing, 2016, 10.1016/j.epsl.2016.01.012); some of the individual specimens were checked for quality control by Richard Barclay in Aug 2019; some of the individual specimens may be OK, but many were in too poor of condition for reliable stomatal index measurements; this poor quality may be partly due to the degradation of the mounting media on the curated slides, which was subsequently removed by Royer using toluene; a more careful check of all specimens is needed before the quarantine can be lifted. 2) Calibration of Ginkgo biloba by Barclay and Wing (2016; 10.1016/j.epsl.2016.01.012) is very different from that of Royer (2003; 10.1130/0-8137-2369-8.79) and Beerling et al. (2009; 10.2475/09.2009.01), and this fossil Ginkgo was measured by Royer; thus, it is unclear which calibration to use. 3) measurements superceded by new measurements in Barclay and Wing (2016).</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</si>
  <si>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</si>
  <si>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</si>
  <si>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</si>
  <si>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</si>
  <si>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</si>
  <si>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</si>
  <si>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</si>
  <si>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</si>
  <si>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</si>
  <si>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</si>
  <si>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</si>
  <si>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</si>
  <si>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</si>
  <si>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</si>
  <si>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</si>
  <si>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</si>
  <si>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</si>
  <si>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</si>
  <si>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 xml:space="preserve">Original CO2 estimates made by Royer et al. (2001 Science 292: 2310-2313 doi:10.1126/science.292.5525.2310) and Royer (2003 GSA Special Paper 369: 79-93 doi:10.1130/0-8137-2369-8.79); revised by Beerling et al. (2009) using a more robust error propagation routine; pos CO2 uncertainty is actually unbounded but has been set to 2000 ppm for plotting purposes only </t>
  </si>
  <si>
    <t>GTS2020</t>
  </si>
  <si>
    <t>Considered to be from within the PETM by Jolley et al. (2002 Geology 30: 7-10 doi:10.1130/0091-7613(2002)030&lt;0007:PTSMEF&gt;2.0.CO;2); this was subsequently sharply disputed (see May 2003 issue of Geology); consequently, no age uncertainties are given here</t>
  </si>
  <si>
    <t>Absolute age of the biozone, palaeomagnetic Chron, or geological stage depending upon the age assessment available; L. Badenian (Schaefer A, Utescher T, Moers T (2004) Newslett Stratigr 40:73-110)</t>
  </si>
  <si>
    <t>Absolute age of the biozone, palaeomagnetic Chron, or geological stage depending upon the age assessment available; E. Badenian (Němejc F, Kvaček Z, Pacltová B, Konzalová M (2003) Acta Univ Carol Geol 46:121-176)</t>
  </si>
  <si>
    <t>Absolute age of the biozone, palaeomagnetic Chron, or geological stage depending upon the age assessment available; E. Badenian (Retallack GJ (2002) Philos Trans R Soc London A 360:959-673)</t>
  </si>
  <si>
    <t>Biostratigraphy updated to GTS2020</t>
  </si>
  <si>
    <t>10.1016/j.epsl.2016.01.012</t>
  </si>
  <si>
    <t>10.1130/G48901.1</t>
  </si>
  <si>
    <t>better constrained radiometric ages based on ash interbedded at the P-33 locality</t>
  </si>
  <si>
    <t>U-Pb zircon ages from interbedded volcanic ashes at the P-33 type locality; reported in Hofig et al., 2021, Geology, 
https://doi.org/10.1130/G48901.1; this age supercedes the age reported in Beerling et al., 2009 (15.3 Ma)</t>
  </si>
  <si>
    <t>U-Pb zircon ages from interbedded volcanic ashes at the P-33 type locality; reported in Hofig et al., 2021, Geology, 
https://doi.org/10.1130/G48901.1; this age supercedes the age reported in Beerling et al., 2009 (15.2 Ma)</t>
  </si>
  <si>
    <t>Cuticle from the same locality but different taxa were used by Steinthorsdottir et al., 2021 (10.1029/2020pa003900) to estimate CO2 using the Franks leaf gas-exchange proxy, which should be more reliable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</si>
  <si>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</si>
  <si>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</si>
  <si>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Cuticle from the same locality and the same plus additional taxa were used by Steinthorsdottir et al., 2021 (10.1029/2020pa003900) and Liang et al., 2022 (10.1016/j.gloplacha.2022.103738) to estimate CO2 using the Franks leaf gas-exchange proxy, which should be more 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</si>
</sst>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sz val="12"/>
      <name val="Calibri"/>
      <family val="2"/>
      <scheme val="minor"/>
    </font>
    <font>
      <sz val="10"/>
      <name val="Arial"/>
      <family val="2"/>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1" fillId="0" borderId="0"/>
    <xf numFmtId="0" fontId="7" fillId="0" borderId="0"/>
  </cellStyleXfs>
  <cellXfs count="45">
    <xf numFmtId="0" fontId="0" fillId="0" borderId="0" xfId="0"/>
    <xf numFmtId="0" fontId="0" fillId="0" borderId="0" xfId="0" applyFill="1" applyBorder="1" applyAlignment="1"/>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0" fillId="0" borderId="0" xfId="0" applyFill="1" applyBorder="1" applyAlignment="1">
      <alignment horizontal="right"/>
    </xf>
    <xf numFmtId="0" fontId="0" fillId="0" borderId="0" xfId="0" applyFill="1"/>
    <xf numFmtId="2" fontId="0" fillId="0" borderId="0" xfId="0" applyNumberFormat="1" applyFill="1" applyBorder="1" applyAlignment="1">
      <alignment horizontal="right"/>
    </xf>
    <xf numFmtId="164" fontId="0" fillId="0" borderId="0" xfId="0" applyNumberFormat="1" applyFill="1" applyBorder="1" applyAlignment="1">
      <alignment horizontal="right"/>
    </xf>
    <xf numFmtId="0" fontId="4" fillId="0" borderId="0" xfId="0" applyFont="1" applyFill="1" applyBorder="1" applyAlignment="1">
      <alignment vertical="top" wrapText="1"/>
    </xf>
    <xf numFmtId="0" fontId="2" fillId="0" borderId="0" xfId="0" applyFont="1" applyFill="1" applyBorder="1" applyAlignment="1">
      <alignment horizontal="center" vertical="top" wrapText="1"/>
    </xf>
    <xf numFmtId="0" fontId="2" fillId="0" borderId="0" xfId="0" applyFont="1" applyFill="1" applyAlignment="1">
      <alignment wrapText="1"/>
    </xf>
    <xf numFmtId="2" fontId="0" fillId="0" borderId="0" xfId="0" applyNumberFormat="1" applyFill="1"/>
    <xf numFmtId="0" fontId="6" fillId="0" borderId="0" xfId="0" applyFont="1" applyFill="1" applyBorder="1" applyAlignment="1"/>
    <xf numFmtId="0" fontId="0" fillId="0" borderId="0" xfId="0" applyFont="1" applyFill="1" applyBorder="1" applyAlignment="1"/>
    <xf numFmtId="0" fontId="6" fillId="0" borderId="0" xfId="0" applyFont="1" applyFill="1" applyBorder="1"/>
    <xf numFmtId="0" fontId="6" fillId="0" borderId="0" xfId="0" applyFont="1" applyFill="1"/>
    <xf numFmtId="164" fontId="6" fillId="0" borderId="0" xfId="3" applyNumberFormat="1" applyFont="1" applyFill="1"/>
    <xf numFmtId="0" fontId="6" fillId="0" borderId="0" xfId="0" applyFont="1" applyFill="1" applyAlignment="1"/>
    <xf numFmtId="49" fontId="6" fillId="0" borderId="0" xfId="0" applyNumberFormat="1" applyFont="1" applyFill="1" applyBorder="1" applyAlignment="1">
      <alignment horizontal="right"/>
    </xf>
    <xf numFmtId="2" fontId="6" fillId="0" borderId="0" xfId="0" applyNumberFormat="1" applyFont="1" applyFill="1"/>
    <xf numFmtId="164" fontId="6" fillId="0" borderId="0" xfId="0" applyNumberFormat="1" applyFont="1" applyFill="1"/>
    <xf numFmtId="2" fontId="6" fillId="0" borderId="0" xfId="0" applyNumberFormat="1" applyFont="1" applyFill="1" applyBorder="1"/>
    <xf numFmtId="1" fontId="6" fillId="0" borderId="0" xfId="3" applyNumberFormat="1" applyFont="1" applyFill="1"/>
    <xf numFmtId="1" fontId="6" fillId="0" borderId="0" xfId="0" applyNumberFormat="1" applyFont="1" applyFill="1" applyBorder="1"/>
    <xf numFmtId="1" fontId="0" fillId="0" borderId="0" xfId="0" applyNumberFormat="1" applyFill="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8" fillId="2" borderId="0" xfId="0" applyFont="1" applyFill="1" applyBorder="1" applyAlignment="1">
      <alignment horizontal="center" vertical="top" wrapText="1"/>
    </xf>
    <xf numFmtId="0" fontId="0" fillId="0" borderId="0" xfId="0" applyBorder="1" applyAlignment="1"/>
    <xf numFmtId="1" fontId="0" fillId="0" borderId="0" xfId="0" applyNumberFormat="1"/>
    <xf numFmtId="2" fontId="3" fillId="0" borderId="0" xfId="0" applyNumberFormat="1" applyFont="1" applyAlignment="1">
      <alignment horizontal="right" vertical="top"/>
    </xf>
    <xf numFmtId="0" fontId="1" fillId="0" borderId="0" xfId="0" applyFont="1"/>
    <xf numFmtId="0" fontId="3" fillId="0" borderId="0" xfId="0" applyFont="1" applyAlignment="1"/>
    <xf numFmtId="0" fontId="0" fillId="0" borderId="2" xfId="0" applyBorder="1" applyAlignment="1">
      <alignment wrapText="1"/>
    </xf>
  </cellXfs>
  <cellStyles count="4">
    <cellStyle name="Normal" xfId="0" builtinId="0"/>
    <cellStyle name="Normal 3" xfId="1" xr:uid="{00000000-0005-0000-0000-000001000000}"/>
    <cellStyle name="Normal 4" xfId="2" xr:uid="{00000000-0005-0000-0000-000002000000}"/>
    <cellStyle name="Normal_CO2 proxy data &amp; documentation" xfId="3" xr:uid="{00000000-0005-0000-0000-000003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70"/>
  <sheetViews>
    <sheetView tabSelected="1" topLeftCell="D1" workbookViewId="0">
      <pane ySplit="3" topLeftCell="A28" activePane="bottomLeft" state="frozen"/>
      <selection pane="bottomLeft" activeCell="O33" sqref="O33"/>
    </sheetView>
  </sheetViews>
  <sheetFormatPr baseColWidth="10" defaultColWidth="11" defaultRowHeight="16" x14ac:dyDescent="0.2"/>
  <cols>
    <col min="1" max="32" width="11" style="7"/>
    <col min="33" max="33" width="12.1640625" style="7" customWidth="1"/>
    <col min="34" max="34" width="11" style="7"/>
    <col min="35" max="35" width="12.6640625" style="7" customWidth="1"/>
    <col min="36" max="36" width="12.1640625" style="7" customWidth="1"/>
    <col min="37" max="37" width="11" style="7"/>
    <col min="38" max="38" width="12.6640625" style="7" customWidth="1"/>
    <col min="39" max="42" width="11" style="7"/>
    <col min="43" max="43" width="12.1640625" style="7" customWidth="1"/>
    <col min="44" max="44" width="12.5" style="7" customWidth="1"/>
    <col min="45" max="49" width="11" style="7"/>
    <col min="50" max="50" width="13.6640625" style="7" customWidth="1"/>
    <col min="51" max="60" width="11" style="7"/>
    <col min="61" max="61" width="16.1640625" style="7" customWidth="1"/>
    <col min="62" max="16384" width="11" style="7"/>
  </cols>
  <sheetData>
    <row r="3" spans="1:62" s="12" customFormat="1" ht="409.6" x14ac:dyDescent="0.2">
      <c r="A3" s="27" t="s">
        <v>135</v>
      </c>
      <c r="B3" s="28" t="s">
        <v>136</v>
      </c>
      <c r="C3" s="29" t="s">
        <v>128</v>
      </c>
      <c r="D3" s="30" t="s">
        <v>129</v>
      </c>
      <c r="E3" s="30" t="s">
        <v>130</v>
      </c>
      <c r="F3" s="31" t="s">
        <v>1</v>
      </c>
      <c r="G3" s="31" t="s">
        <v>131</v>
      </c>
      <c r="H3" s="32" t="s">
        <v>132</v>
      </c>
      <c r="I3" s="32" t="s">
        <v>133</v>
      </c>
      <c r="J3" s="30" t="s">
        <v>192</v>
      </c>
      <c r="K3" s="32" t="s">
        <v>193</v>
      </c>
      <c r="L3" s="33" t="s">
        <v>203</v>
      </c>
      <c r="M3" s="2" t="s">
        <v>194</v>
      </c>
      <c r="N3" s="44" t="s">
        <v>223</v>
      </c>
      <c r="O3" s="44" t="s">
        <v>224</v>
      </c>
      <c r="P3" s="2" t="s">
        <v>195</v>
      </c>
      <c r="Q3" s="3" t="s">
        <v>196</v>
      </c>
      <c r="R3" s="4" t="s">
        <v>197</v>
      </c>
      <c r="S3" s="5" t="s">
        <v>198</v>
      </c>
      <c r="T3" s="2" t="s">
        <v>199</v>
      </c>
      <c r="U3" s="2" t="s">
        <v>137</v>
      </c>
      <c r="V3" s="2" t="s">
        <v>200</v>
      </c>
      <c r="W3" s="34" t="s">
        <v>201</v>
      </c>
      <c r="X3" s="35" t="s">
        <v>138</v>
      </c>
      <c r="Y3" s="36" t="s">
        <v>204</v>
      </c>
      <c r="Z3" s="36" t="s">
        <v>205</v>
      </c>
      <c r="AA3" s="36" t="s">
        <v>2</v>
      </c>
      <c r="AB3" s="36" t="s">
        <v>3</v>
      </c>
      <c r="AC3" s="36" t="s">
        <v>4</v>
      </c>
      <c r="AD3" s="36" t="s">
        <v>5</v>
      </c>
      <c r="AE3" s="36" t="s">
        <v>6</v>
      </c>
      <c r="AF3" s="36" t="s">
        <v>7</v>
      </c>
      <c r="AG3" s="37" t="s">
        <v>8</v>
      </c>
      <c r="AH3" s="36" t="s">
        <v>9</v>
      </c>
      <c r="AI3" s="36" t="s">
        <v>10</v>
      </c>
      <c r="AJ3" s="36" t="s">
        <v>11</v>
      </c>
      <c r="AK3" s="36" t="s">
        <v>12</v>
      </c>
      <c r="AL3" s="36" t="s">
        <v>13</v>
      </c>
      <c r="AM3" s="36" t="s">
        <v>206</v>
      </c>
      <c r="AN3" s="36" t="s">
        <v>207</v>
      </c>
      <c r="AO3" s="38" t="s">
        <v>208</v>
      </c>
      <c r="AP3" s="38" t="s">
        <v>209</v>
      </c>
      <c r="AQ3" s="11" t="s">
        <v>14</v>
      </c>
      <c r="AR3" s="11" t="s">
        <v>15</v>
      </c>
      <c r="AS3" s="11" t="s">
        <v>16</v>
      </c>
      <c r="AT3" s="11" t="s">
        <v>17</v>
      </c>
      <c r="AU3" s="11" t="s">
        <v>18</v>
      </c>
      <c r="AV3" s="11" t="s">
        <v>19</v>
      </c>
      <c r="AW3" s="11" t="s">
        <v>20</v>
      </c>
      <c r="AX3" s="11" t="s">
        <v>21</v>
      </c>
      <c r="AY3" s="11" t="s">
        <v>22</v>
      </c>
      <c r="AZ3" s="11" t="s">
        <v>23</v>
      </c>
      <c r="BA3" s="11" t="s">
        <v>24</v>
      </c>
      <c r="BB3" s="11" t="s">
        <v>25</v>
      </c>
      <c r="BC3" s="11" t="s">
        <v>26</v>
      </c>
      <c r="BD3" s="11" t="s">
        <v>27</v>
      </c>
      <c r="BE3" s="10" t="s">
        <v>28</v>
      </c>
      <c r="BF3" s="11" t="s">
        <v>29</v>
      </c>
      <c r="BG3" s="11" t="s">
        <v>30</v>
      </c>
      <c r="BH3" s="10" t="s">
        <v>31</v>
      </c>
      <c r="BI3" s="10" t="s">
        <v>32</v>
      </c>
      <c r="BJ3" s="10" t="s">
        <v>0</v>
      </c>
    </row>
    <row r="4" spans="1:62" x14ac:dyDescent="0.2">
      <c r="A4" s="7" t="s">
        <v>33</v>
      </c>
      <c r="B4" s="7" t="s">
        <v>139</v>
      </c>
      <c r="C4" s="7" t="s">
        <v>134</v>
      </c>
      <c r="D4" s="7" t="s">
        <v>150</v>
      </c>
      <c r="E4" s="7">
        <v>2009</v>
      </c>
      <c r="F4" s="39" t="str">
        <f>Z4</f>
        <v>10.2475/09.2009.01</v>
      </c>
      <c r="G4">
        <f>AH4*1000</f>
        <v>65400.000000000007</v>
      </c>
      <c r="H4">
        <f>(AI4-AH4)*1000</f>
        <v>599.99999999999432</v>
      </c>
      <c r="I4">
        <f>(AH4-AJ4)*1000</f>
        <v>599.99999999999432</v>
      </c>
      <c r="J4">
        <f>BD4</f>
        <v>343</v>
      </c>
      <c r="K4" s="40">
        <f>BG4-BD4</f>
        <v>330</v>
      </c>
      <c r="L4" s="40">
        <f>BD4-BF4</f>
        <v>19</v>
      </c>
      <c r="M4" s="7" t="b">
        <v>1</v>
      </c>
      <c r="N4" s="7">
        <v>3</v>
      </c>
      <c r="O4" s="7" t="s">
        <v>185</v>
      </c>
      <c r="P4" s="7" t="s">
        <v>202</v>
      </c>
      <c r="Q4" s="7" t="b">
        <v>0</v>
      </c>
      <c r="R4" s="7" t="s">
        <v>202</v>
      </c>
      <c r="S4" s="7" t="b">
        <v>0</v>
      </c>
      <c r="T4" s="7" t="b">
        <v>0</v>
      </c>
      <c r="U4" s="7" t="s">
        <v>202</v>
      </c>
      <c r="V4" s="7" t="s">
        <v>202</v>
      </c>
      <c r="W4" s="7" t="b">
        <v>1</v>
      </c>
      <c r="X4" s="7" t="s">
        <v>216</v>
      </c>
      <c r="Y4" s="1" t="s">
        <v>189</v>
      </c>
      <c r="Z4" s="1" t="s">
        <v>140</v>
      </c>
      <c r="AA4" s="1" t="s">
        <v>151</v>
      </c>
      <c r="AB4" s="1" t="s">
        <v>34</v>
      </c>
      <c r="AC4" s="1" t="s">
        <v>35</v>
      </c>
      <c r="AD4" s="1" t="s">
        <v>36</v>
      </c>
      <c r="AE4" s="1" t="s">
        <v>152</v>
      </c>
      <c r="AF4" s="1" t="s">
        <v>37</v>
      </c>
      <c r="AG4" s="1" t="s">
        <v>153</v>
      </c>
      <c r="AH4" s="9">
        <v>65.400000000000006</v>
      </c>
      <c r="AI4" s="9">
        <v>66</v>
      </c>
      <c r="AJ4" s="9">
        <v>64.800000000000011</v>
      </c>
      <c r="AK4" s="1" t="s">
        <v>211</v>
      </c>
      <c r="AL4" s="1" t="s">
        <v>154</v>
      </c>
      <c r="AM4" s="6">
        <v>44.95</v>
      </c>
      <c r="AN4" s="6">
        <v>-108.87</v>
      </c>
      <c r="AO4" s="6" t="s">
        <v>202</v>
      </c>
      <c r="AP4" s="6" t="s">
        <v>202</v>
      </c>
      <c r="AQ4" s="6">
        <v>3</v>
      </c>
      <c r="AR4" s="6">
        <v>15</v>
      </c>
      <c r="AS4" s="1" t="s">
        <v>38</v>
      </c>
      <c r="AT4" s="1" t="s">
        <v>39</v>
      </c>
      <c r="AU4" s="1" t="s">
        <v>202</v>
      </c>
      <c r="AV4" s="1" t="s">
        <v>202</v>
      </c>
      <c r="AW4" s="1" t="s">
        <v>40</v>
      </c>
      <c r="AX4" s="8">
        <v>9.3197777777777766</v>
      </c>
      <c r="AY4" s="1" t="s">
        <v>202</v>
      </c>
      <c r="AZ4" s="8">
        <v>0.2306068994794904</v>
      </c>
      <c r="BA4" s="1" t="s">
        <v>41</v>
      </c>
      <c r="BB4" s="1" t="s">
        <v>167</v>
      </c>
      <c r="BC4" s="1" t="s">
        <v>141</v>
      </c>
      <c r="BD4" s="6">
        <v>343</v>
      </c>
      <c r="BE4" s="1" t="s">
        <v>142</v>
      </c>
      <c r="BF4" s="6">
        <v>324</v>
      </c>
      <c r="BG4" s="6">
        <v>673</v>
      </c>
      <c r="BH4" s="1" t="s">
        <v>143</v>
      </c>
      <c r="BI4" s="1" t="s">
        <v>144</v>
      </c>
      <c r="BJ4" s="15" t="s">
        <v>184</v>
      </c>
    </row>
    <row r="5" spans="1:62" x14ac:dyDescent="0.2">
      <c r="A5" s="7" t="s">
        <v>33</v>
      </c>
      <c r="B5" s="7" t="s">
        <v>139</v>
      </c>
      <c r="C5" s="7" t="s">
        <v>134</v>
      </c>
      <c r="D5" s="7" t="s">
        <v>150</v>
      </c>
      <c r="E5" s="7">
        <v>2009</v>
      </c>
      <c r="F5" s="39" t="str">
        <f>Z5</f>
        <v>10.2475/09.2009.01</v>
      </c>
      <c r="G5">
        <f>AH5*1000</f>
        <v>65400.000000000007</v>
      </c>
      <c r="H5">
        <f>(AI5-AH5)*1000</f>
        <v>599.99999999999432</v>
      </c>
      <c r="I5">
        <f>(AH5-AJ5)*1000</f>
        <v>599.99999999999432</v>
      </c>
      <c r="J5">
        <f>BD5</f>
        <v>471</v>
      </c>
      <c r="K5" s="40">
        <f>BG5-BD5</f>
        <v>285</v>
      </c>
      <c r="L5" s="40">
        <f>BD5-BF5</f>
        <v>144</v>
      </c>
      <c r="M5" s="7" t="b">
        <v>1</v>
      </c>
      <c r="N5" s="7">
        <v>3</v>
      </c>
      <c r="O5" s="7" t="s">
        <v>190</v>
      </c>
      <c r="P5" s="7" t="s">
        <v>202</v>
      </c>
      <c r="Q5" s="7" t="b">
        <v>0</v>
      </c>
      <c r="R5" s="7" t="s">
        <v>202</v>
      </c>
      <c r="S5" s="7" t="b">
        <v>0</v>
      </c>
      <c r="T5" s="7" t="b">
        <v>0</v>
      </c>
      <c r="U5" s="7" t="s">
        <v>202</v>
      </c>
      <c r="V5" s="7" t="s">
        <v>202</v>
      </c>
      <c r="W5" s="7" t="b">
        <v>1</v>
      </c>
      <c r="X5" s="7" t="s">
        <v>216</v>
      </c>
      <c r="Y5" s="1" t="s">
        <v>189</v>
      </c>
      <c r="Z5" s="1" t="s">
        <v>140</v>
      </c>
      <c r="AA5" s="1" t="s">
        <v>155</v>
      </c>
      <c r="AB5" s="1" t="s">
        <v>34</v>
      </c>
      <c r="AC5" s="1" t="s">
        <v>35</v>
      </c>
      <c r="AD5" s="1" t="s">
        <v>36</v>
      </c>
      <c r="AE5" s="1" t="s">
        <v>156</v>
      </c>
      <c r="AF5" s="1" t="s">
        <v>37</v>
      </c>
      <c r="AG5" s="1" t="s">
        <v>153</v>
      </c>
      <c r="AH5" s="9">
        <v>65.400000000000006</v>
      </c>
      <c r="AI5" s="9">
        <v>66</v>
      </c>
      <c r="AJ5" s="9">
        <v>64.800000000000011</v>
      </c>
      <c r="AK5" s="1" t="s">
        <v>211</v>
      </c>
      <c r="AL5" s="1" t="s">
        <v>154</v>
      </c>
      <c r="AM5" s="6">
        <v>45.07</v>
      </c>
      <c r="AN5" s="6">
        <v>-108.85</v>
      </c>
      <c r="AO5" s="6" t="s">
        <v>202</v>
      </c>
      <c r="AP5" s="6" t="s">
        <v>202</v>
      </c>
      <c r="AQ5" s="6">
        <v>3</v>
      </c>
      <c r="AR5" s="6">
        <v>5</v>
      </c>
      <c r="AS5" s="1" t="s">
        <v>38</v>
      </c>
      <c r="AT5" s="1" t="s">
        <v>39</v>
      </c>
      <c r="AU5" s="1" t="s">
        <v>202</v>
      </c>
      <c r="AV5" s="1" t="s">
        <v>202</v>
      </c>
      <c r="AW5" s="1" t="s">
        <v>40</v>
      </c>
      <c r="AX5" s="8">
        <v>9.4833333333333325</v>
      </c>
      <c r="AY5" s="1" t="s">
        <v>202</v>
      </c>
      <c r="AZ5" s="8">
        <v>0.33437646305866026</v>
      </c>
      <c r="BA5" s="1" t="s">
        <v>41</v>
      </c>
      <c r="BB5" s="1" t="s">
        <v>167</v>
      </c>
      <c r="BC5" s="1" t="s">
        <v>141</v>
      </c>
      <c r="BD5" s="6">
        <v>471</v>
      </c>
      <c r="BE5" s="1" t="s">
        <v>142</v>
      </c>
      <c r="BF5" s="6">
        <v>327</v>
      </c>
      <c r="BG5" s="6">
        <v>756</v>
      </c>
      <c r="BH5" s="1" t="s">
        <v>143</v>
      </c>
      <c r="BI5" s="1" t="s">
        <v>144</v>
      </c>
      <c r="BJ5" s="1" t="s">
        <v>173</v>
      </c>
    </row>
    <row r="6" spans="1:62" x14ac:dyDescent="0.2">
      <c r="A6" s="7" t="s">
        <v>33</v>
      </c>
      <c r="B6" s="7" t="s">
        <v>139</v>
      </c>
      <c r="C6" s="7" t="s">
        <v>134</v>
      </c>
      <c r="D6" s="7" t="s">
        <v>150</v>
      </c>
      <c r="E6" s="7">
        <v>2009</v>
      </c>
      <c r="F6" s="39" t="str">
        <f t="shared" ref="F6:F11" si="0">Z6</f>
        <v>10.2475/09.2009.01</v>
      </c>
      <c r="G6">
        <f t="shared" ref="G6:G11" si="1">AH6*1000</f>
        <v>64099.999999999993</v>
      </c>
      <c r="H6">
        <f t="shared" ref="H6:H11" si="2">(AI6-AH6)*1000</f>
        <v>200.00000000000284</v>
      </c>
      <c r="I6">
        <f t="shared" ref="I6:I11" si="3">(AH6-AJ6)*1000</f>
        <v>200.00000000000284</v>
      </c>
      <c r="J6">
        <f t="shared" ref="J6:J11" si="4">BD6</f>
        <v>331</v>
      </c>
      <c r="K6" s="40">
        <f t="shared" ref="K6:K11" si="5">BG6-BD6</f>
        <v>118</v>
      </c>
      <c r="L6" s="40">
        <f t="shared" ref="L6:L11" si="6">BD6-BF6</f>
        <v>13</v>
      </c>
      <c r="M6" s="7" t="b">
        <v>1</v>
      </c>
      <c r="N6" s="7">
        <v>3</v>
      </c>
      <c r="O6" s="7" t="s">
        <v>187</v>
      </c>
      <c r="P6" s="7" t="s">
        <v>202</v>
      </c>
      <c r="Q6" s="7" t="b">
        <v>0</v>
      </c>
      <c r="R6" s="7" t="s">
        <v>202</v>
      </c>
      <c r="S6" s="7" t="b">
        <v>1</v>
      </c>
      <c r="T6" s="7" t="b">
        <v>0</v>
      </c>
      <c r="U6" s="7" t="s">
        <v>202</v>
      </c>
      <c r="V6" s="7" t="s">
        <v>202</v>
      </c>
      <c r="W6" s="7" t="b">
        <v>0</v>
      </c>
      <c r="X6" s="7" t="s">
        <v>202</v>
      </c>
      <c r="Y6" s="1" t="s">
        <v>189</v>
      </c>
      <c r="Z6" s="1" t="s">
        <v>140</v>
      </c>
      <c r="AA6" s="1" t="s">
        <v>157</v>
      </c>
      <c r="AB6" s="1" t="s">
        <v>34</v>
      </c>
      <c r="AC6" s="1" t="s">
        <v>35</v>
      </c>
      <c r="AD6" s="1" t="s">
        <v>36</v>
      </c>
      <c r="AE6" s="1" t="s">
        <v>158</v>
      </c>
      <c r="AF6" s="1" t="s">
        <v>159</v>
      </c>
      <c r="AG6" s="1" t="s">
        <v>160</v>
      </c>
      <c r="AH6" s="9">
        <v>64.099999999999994</v>
      </c>
      <c r="AI6" s="9">
        <v>64.3</v>
      </c>
      <c r="AJ6" s="9">
        <v>63.899999999999991</v>
      </c>
      <c r="AK6" s="1" t="s">
        <v>202</v>
      </c>
      <c r="AL6" s="1" t="s">
        <v>160</v>
      </c>
      <c r="AM6" s="6">
        <v>40</v>
      </c>
      <c r="AN6" s="1" t="s">
        <v>202</v>
      </c>
      <c r="AO6" s="6" t="s">
        <v>202</v>
      </c>
      <c r="AP6" s="6" t="s">
        <v>202</v>
      </c>
      <c r="AQ6" s="6">
        <v>3</v>
      </c>
      <c r="AR6" s="6">
        <v>5</v>
      </c>
      <c r="AS6" s="1" t="s">
        <v>38</v>
      </c>
      <c r="AT6" s="1" t="s">
        <v>39</v>
      </c>
      <c r="AU6" s="1" t="s">
        <v>202</v>
      </c>
      <c r="AV6" s="1" t="s">
        <v>202</v>
      </c>
      <c r="AW6" s="1" t="s">
        <v>40</v>
      </c>
      <c r="AX6" s="8">
        <v>9.9040000000000017</v>
      </c>
      <c r="AY6" s="1" t="s">
        <v>202</v>
      </c>
      <c r="AZ6" s="8">
        <v>0.58382433757324848</v>
      </c>
      <c r="BA6" s="1" t="s">
        <v>41</v>
      </c>
      <c r="BB6" s="1" t="s">
        <v>167</v>
      </c>
      <c r="BC6" s="1" t="s">
        <v>141</v>
      </c>
      <c r="BD6" s="6">
        <v>331</v>
      </c>
      <c r="BE6" s="1" t="s">
        <v>142</v>
      </c>
      <c r="BF6" s="6">
        <v>318</v>
      </c>
      <c r="BG6" s="6">
        <v>449</v>
      </c>
      <c r="BH6" s="1" t="s">
        <v>143</v>
      </c>
      <c r="BI6" s="1" t="s">
        <v>144</v>
      </c>
      <c r="BJ6" s="1" t="s">
        <v>173</v>
      </c>
    </row>
    <row r="7" spans="1:62" x14ac:dyDescent="0.2">
      <c r="A7" s="7" t="s">
        <v>33</v>
      </c>
      <c r="B7" s="7" t="s">
        <v>139</v>
      </c>
      <c r="C7" s="7" t="s">
        <v>134</v>
      </c>
      <c r="D7" s="7" t="s">
        <v>150</v>
      </c>
      <c r="E7" s="7">
        <v>2009</v>
      </c>
      <c r="F7" s="39" t="str">
        <f t="shared" si="0"/>
        <v>10.2475/09.2009.01</v>
      </c>
      <c r="G7">
        <f t="shared" si="1"/>
        <v>63800</v>
      </c>
      <c r="H7">
        <f t="shared" si="2"/>
        <v>2200.0000000000027</v>
      </c>
      <c r="I7">
        <f t="shared" si="3"/>
        <v>2199.9999999999886</v>
      </c>
      <c r="J7">
        <f t="shared" si="4"/>
        <v>367</v>
      </c>
      <c r="K7" s="40">
        <f t="shared" si="5"/>
        <v>340</v>
      </c>
      <c r="L7" s="40">
        <f t="shared" si="6"/>
        <v>43</v>
      </c>
      <c r="M7" s="7" t="b">
        <v>1</v>
      </c>
      <c r="N7" s="7">
        <v>3</v>
      </c>
      <c r="O7" s="7" t="s">
        <v>187</v>
      </c>
      <c r="P7" s="7" t="s">
        <v>202</v>
      </c>
      <c r="Q7" s="7" t="b">
        <v>0</v>
      </c>
      <c r="R7" s="7" t="s">
        <v>202</v>
      </c>
      <c r="S7" s="7" t="b">
        <v>0</v>
      </c>
      <c r="T7" s="7" t="b">
        <v>0</v>
      </c>
      <c r="U7" s="7" t="s">
        <v>202</v>
      </c>
      <c r="V7" s="7" t="s">
        <v>202</v>
      </c>
      <c r="W7" s="7" t="b">
        <v>1</v>
      </c>
      <c r="X7" s="7" t="s">
        <v>216</v>
      </c>
      <c r="Y7" s="1" t="s">
        <v>189</v>
      </c>
      <c r="Z7" s="1" t="s">
        <v>140</v>
      </c>
      <c r="AA7" s="1" t="s">
        <v>161</v>
      </c>
      <c r="AB7" s="1" t="s">
        <v>34</v>
      </c>
      <c r="AC7" s="1" t="s">
        <v>35</v>
      </c>
      <c r="AD7" s="1" t="s">
        <v>162</v>
      </c>
      <c r="AE7" s="1" t="s">
        <v>163</v>
      </c>
      <c r="AF7" s="1" t="s">
        <v>164</v>
      </c>
      <c r="AG7" s="1" t="s">
        <v>165</v>
      </c>
      <c r="AH7" s="9">
        <v>63.8</v>
      </c>
      <c r="AI7" s="9">
        <v>66</v>
      </c>
      <c r="AJ7" s="9">
        <v>61.600000000000009</v>
      </c>
      <c r="AK7" s="1" t="s">
        <v>211</v>
      </c>
      <c r="AL7" s="1" t="s">
        <v>166</v>
      </c>
      <c r="AM7" s="6">
        <v>77.5</v>
      </c>
      <c r="AN7" s="1" t="s">
        <v>202</v>
      </c>
      <c r="AO7" s="6" t="s">
        <v>202</v>
      </c>
      <c r="AP7" s="6" t="s">
        <v>202</v>
      </c>
      <c r="AQ7" s="6">
        <v>3</v>
      </c>
      <c r="AR7" s="6">
        <v>8</v>
      </c>
      <c r="AS7" s="1" t="s">
        <v>38</v>
      </c>
      <c r="AT7" s="1" t="s">
        <v>39</v>
      </c>
      <c r="AU7" s="1" t="s">
        <v>202</v>
      </c>
      <c r="AV7" s="1" t="s">
        <v>202</v>
      </c>
      <c r="AW7" s="1" t="s">
        <v>40</v>
      </c>
      <c r="AX7" s="8">
        <v>9.4181818181818162</v>
      </c>
      <c r="AY7" s="1" t="s">
        <v>202</v>
      </c>
      <c r="AZ7" s="8">
        <v>0.29210573013168295</v>
      </c>
      <c r="BA7" s="1" t="s">
        <v>41</v>
      </c>
      <c r="BB7" s="1" t="s">
        <v>167</v>
      </c>
      <c r="BC7" s="1" t="s">
        <v>141</v>
      </c>
      <c r="BD7" s="6">
        <v>367</v>
      </c>
      <c r="BE7" s="1" t="s">
        <v>142</v>
      </c>
      <c r="BF7" s="6">
        <v>324</v>
      </c>
      <c r="BG7" s="6">
        <v>707</v>
      </c>
      <c r="BH7" s="1" t="s">
        <v>143</v>
      </c>
      <c r="BI7" s="1" t="s">
        <v>144</v>
      </c>
      <c r="BJ7" s="1" t="s">
        <v>173</v>
      </c>
    </row>
    <row r="8" spans="1:62" x14ac:dyDescent="0.2">
      <c r="A8" s="7" t="s">
        <v>33</v>
      </c>
      <c r="B8" s="7" t="s">
        <v>139</v>
      </c>
      <c r="C8" s="7" t="s">
        <v>134</v>
      </c>
      <c r="D8" s="7" t="s">
        <v>150</v>
      </c>
      <c r="E8" s="7">
        <v>2009</v>
      </c>
      <c r="F8" s="39" t="str">
        <f t="shared" si="0"/>
        <v>10.2475/09.2009.01</v>
      </c>
      <c r="G8">
        <f t="shared" si="1"/>
        <v>61100</v>
      </c>
      <c r="H8">
        <f t="shared" si="2"/>
        <v>3699.9999999999959</v>
      </c>
      <c r="I8">
        <f t="shared" si="3"/>
        <v>3700.0000000000027</v>
      </c>
      <c r="J8">
        <f t="shared" si="4"/>
        <v>317</v>
      </c>
      <c r="K8" s="40">
        <f t="shared" si="5"/>
        <v>13</v>
      </c>
      <c r="L8" s="40">
        <f t="shared" si="6"/>
        <v>10</v>
      </c>
      <c r="M8" s="7" t="b">
        <v>1</v>
      </c>
      <c r="N8" s="7">
        <v>3</v>
      </c>
      <c r="O8" s="7" t="s">
        <v>187</v>
      </c>
      <c r="P8" s="7" t="s">
        <v>202</v>
      </c>
      <c r="Q8" s="7" t="b">
        <v>0</v>
      </c>
      <c r="R8" s="7" t="s">
        <v>202</v>
      </c>
      <c r="S8" s="7" t="b">
        <v>0</v>
      </c>
      <c r="T8" s="7" t="b">
        <v>0</v>
      </c>
      <c r="U8" s="7" t="s">
        <v>202</v>
      </c>
      <c r="V8" s="7" t="s">
        <v>202</v>
      </c>
      <c r="W8" s="7" t="b">
        <v>1</v>
      </c>
      <c r="X8" s="7" t="s">
        <v>216</v>
      </c>
      <c r="Y8" s="1" t="s">
        <v>189</v>
      </c>
      <c r="Z8" s="1" t="s">
        <v>140</v>
      </c>
      <c r="AA8" s="1" t="s">
        <v>145</v>
      </c>
      <c r="AB8" s="1" t="s">
        <v>34</v>
      </c>
      <c r="AC8" s="1" t="s">
        <v>35</v>
      </c>
      <c r="AD8" s="1" t="s">
        <v>36</v>
      </c>
      <c r="AE8" s="1" t="s">
        <v>146</v>
      </c>
      <c r="AF8" s="1" t="s">
        <v>147</v>
      </c>
      <c r="AG8" s="1" t="s">
        <v>148</v>
      </c>
      <c r="AH8" s="9">
        <v>61.1</v>
      </c>
      <c r="AI8" s="9">
        <v>64.8</v>
      </c>
      <c r="AJ8" s="9">
        <v>57.4</v>
      </c>
      <c r="AK8" s="1" t="s">
        <v>211</v>
      </c>
      <c r="AL8" s="1" t="s">
        <v>149</v>
      </c>
      <c r="AM8" s="6">
        <v>42.5</v>
      </c>
      <c r="AN8" s="1" t="s">
        <v>202</v>
      </c>
      <c r="AO8" s="6" t="s">
        <v>202</v>
      </c>
      <c r="AP8" s="6" t="s">
        <v>202</v>
      </c>
      <c r="AQ8" s="6">
        <v>3</v>
      </c>
      <c r="AR8" s="6">
        <v>5</v>
      </c>
      <c r="AS8" s="1" t="s">
        <v>38</v>
      </c>
      <c r="AT8" s="1" t="s">
        <v>39</v>
      </c>
      <c r="AU8" s="1" t="s">
        <v>202</v>
      </c>
      <c r="AV8" s="1" t="s">
        <v>202</v>
      </c>
      <c r="AW8" s="1" t="s">
        <v>40</v>
      </c>
      <c r="AX8" s="8">
        <v>10.930666666666665</v>
      </c>
      <c r="AY8" s="1" t="s">
        <v>202</v>
      </c>
      <c r="AZ8" s="8">
        <v>0.57429078415199419</v>
      </c>
      <c r="BA8" s="1" t="s">
        <v>41</v>
      </c>
      <c r="BB8" s="1" t="s">
        <v>167</v>
      </c>
      <c r="BC8" s="1" t="s">
        <v>141</v>
      </c>
      <c r="BD8" s="6">
        <v>317</v>
      </c>
      <c r="BE8" s="1" t="s">
        <v>142</v>
      </c>
      <c r="BF8" s="6">
        <v>307</v>
      </c>
      <c r="BG8" s="6">
        <v>330</v>
      </c>
      <c r="BH8" s="1" t="s">
        <v>143</v>
      </c>
      <c r="BI8" s="1" t="s">
        <v>144</v>
      </c>
      <c r="BJ8" s="1" t="s">
        <v>172</v>
      </c>
    </row>
    <row r="9" spans="1:62" x14ac:dyDescent="0.2">
      <c r="A9" s="7" t="s">
        <v>33</v>
      </c>
      <c r="B9" s="7" t="s">
        <v>139</v>
      </c>
      <c r="C9" s="7" t="s">
        <v>134</v>
      </c>
      <c r="D9" s="7" t="s">
        <v>150</v>
      </c>
      <c r="E9" s="7">
        <v>2009</v>
      </c>
      <c r="F9" s="39" t="str">
        <f t="shared" si="0"/>
        <v>10.2475/09.2009.01</v>
      </c>
      <c r="G9">
        <f t="shared" si="1"/>
        <v>59900</v>
      </c>
      <c r="H9">
        <f t="shared" si="2"/>
        <v>899.99999999999864</v>
      </c>
      <c r="I9">
        <f t="shared" si="3"/>
        <v>899.99999999999864</v>
      </c>
      <c r="J9">
        <f t="shared" si="4"/>
        <v>573</v>
      </c>
      <c r="K9" s="40">
        <f t="shared" si="5"/>
        <v>218</v>
      </c>
      <c r="L9" s="40">
        <f t="shared" si="6"/>
        <v>201</v>
      </c>
      <c r="M9" s="7" t="b">
        <v>1</v>
      </c>
      <c r="N9" s="7">
        <v>3</v>
      </c>
      <c r="O9" s="7" t="s">
        <v>187</v>
      </c>
      <c r="P9" s="7" t="s">
        <v>202</v>
      </c>
      <c r="Q9" s="7" t="b">
        <v>0</v>
      </c>
      <c r="R9" s="7" t="s">
        <v>202</v>
      </c>
      <c r="S9" s="7" t="b">
        <v>0</v>
      </c>
      <c r="T9" s="7" t="b">
        <v>0</v>
      </c>
      <c r="U9" s="7" t="s">
        <v>202</v>
      </c>
      <c r="V9" s="7" t="s">
        <v>202</v>
      </c>
      <c r="W9" s="7" t="b">
        <v>1</v>
      </c>
      <c r="X9" s="7" t="s">
        <v>216</v>
      </c>
      <c r="Y9" s="1" t="s">
        <v>189</v>
      </c>
      <c r="Z9" s="1" t="s">
        <v>140</v>
      </c>
      <c r="AA9" s="1" t="s">
        <v>42</v>
      </c>
      <c r="AB9" s="1" t="s">
        <v>34</v>
      </c>
      <c r="AC9" s="1" t="s">
        <v>35</v>
      </c>
      <c r="AD9" s="1" t="s">
        <v>36</v>
      </c>
      <c r="AE9" s="1" t="s">
        <v>43</v>
      </c>
      <c r="AF9" s="1" t="s">
        <v>44</v>
      </c>
      <c r="AG9" s="1" t="s">
        <v>45</v>
      </c>
      <c r="AH9" s="9">
        <v>59.9</v>
      </c>
      <c r="AI9" s="9">
        <v>60.8</v>
      </c>
      <c r="AJ9" s="9">
        <v>59</v>
      </c>
      <c r="AK9" s="1" t="s">
        <v>211</v>
      </c>
      <c r="AL9" s="1" t="s">
        <v>46</v>
      </c>
      <c r="AM9" s="6">
        <v>52.25</v>
      </c>
      <c r="AN9" s="1" t="s">
        <v>202</v>
      </c>
      <c r="AO9" s="6" t="s">
        <v>202</v>
      </c>
      <c r="AP9" s="6" t="s">
        <v>202</v>
      </c>
      <c r="AQ9" s="6">
        <v>3</v>
      </c>
      <c r="AR9" s="6">
        <v>7</v>
      </c>
      <c r="AS9" s="1" t="s">
        <v>38</v>
      </c>
      <c r="AT9" s="1" t="s">
        <v>39</v>
      </c>
      <c r="AU9" s="1" t="s">
        <v>202</v>
      </c>
      <c r="AV9" s="1" t="s">
        <v>202</v>
      </c>
      <c r="AW9" s="1" t="s">
        <v>40</v>
      </c>
      <c r="AX9" s="8">
        <v>7.5528571428571434</v>
      </c>
      <c r="AY9" s="1" t="s">
        <v>202</v>
      </c>
      <c r="AZ9" s="8">
        <v>0.31068850467755305</v>
      </c>
      <c r="BA9" s="1" t="s">
        <v>41</v>
      </c>
      <c r="BB9" s="1" t="s">
        <v>167</v>
      </c>
      <c r="BC9" s="1" t="s">
        <v>141</v>
      </c>
      <c r="BD9" s="6">
        <v>573</v>
      </c>
      <c r="BE9" s="1" t="s">
        <v>142</v>
      </c>
      <c r="BF9" s="6">
        <v>372</v>
      </c>
      <c r="BG9" s="6">
        <v>791</v>
      </c>
      <c r="BH9" s="1" t="s">
        <v>143</v>
      </c>
      <c r="BI9" s="1" t="s">
        <v>144</v>
      </c>
      <c r="BJ9" s="1" t="s">
        <v>170</v>
      </c>
    </row>
    <row r="10" spans="1:62" x14ac:dyDescent="0.2">
      <c r="A10" s="7" t="s">
        <v>33</v>
      </c>
      <c r="B10" s="7" t="s">
        <v>139</v>
      </c>
      <c r="C10" s="7" t="s">
        <v>134</v>
      </c>
      <c r="D10" s="7" t="s">
        <v>150</v>
      </c>
      <c r="E10" s="7">
        <v>2009</v>
      </c>
      <c r="F10" s="39" t="str">
        <f t="shared" si="0"/>
        <v>10.2475/09.2009.01</v>
      </c>
      <c r="G10">
        <f t="shared" si="1"/>
        <v>59900</v>
      </c>
      <c r="H10">
        <f t="shared" si="2"/>
        <v>899.99999999999864</v>
      </c>
      <c r="I10">
        <f t="shared" si="3"/>
        <v>899.99999999999864</v>
      </c>
      <c r="J10">
        <f t="shared" si="4"/>
        <v>534</v>
      </c>
      <c r="K10" s="40">
        <f t="shared" si="5"/>
        <v>243</v>
      </c>
      <c r="L10" s="40">
        <f t="shared" si="6"/>
        <v>170</v>
      </c>
      <c r="M10" s="7" t="b">
        <v>1</v>
      </c>
      <c r="N10" s="7">
        <v>3</v>
      </c>
      <c r="O10" s="7" t="s">
        <v>188</v>
      </c>
      <c r="P10" s="7" t="s">
        <v>202</v>
      </c>
      <c r="Q10" s="7" t="b">
        <v>0</v>
      </c>
      <c r="R10" s="7" t="s">
        <v>202</v>
      </c>
      <c r="S10" s="7" t="b">
        <v>0</v>
      </c>
      <c r="T10" s="7" t="b">
        <v>0</v>
      </c>
      <c r="U10" s="7" t="s">
        <v>202</v>
      </c>
      <c r="V10" s="7" t="s">
        <v>202</v>
      </c>
      <c r="W10" s="7" t="b">
        <v>1</v>
      </c>
      <c r="X10" s="7" t="s">
        <v>216</v>
      </c>
      <c r="Y10" s="1" t="s">
        <v>189</v>
      </c>
      <c r="Z10" s="1" t="s">
        <v>140</v>
      </c>
      <c r="AA10" s="1" t="s">
        <v>47</v>
      </c>
      <c r="AB10" s="1" t="s">
        <v>34</v>
      </c>
      <c r="AC10" s="1" t="s">
        <v>35</v>
      </c>
      <c r="AD10" s="1" t="s">
        <v>36</v>
      </c>
      <c r="AE10" s="1" t="s">
        <v>48</v>
      </c>
      <c r="AF10" s="1" t="s">
        <v>44</v>
      </c>
      <c r="AG10" s="1" t="s">
        <v>45</v>
      </c>
      <c r="AH10" s="9">
        <v>59.9</v>
      </c>
      <c r="AI10" s="9">
        <v>60.8</v>
      </c>
      <c r="AJ10" s="9">
        <v>59</v>
      </c>
      <c r="AK10" s="1" t="s">
        <v>211</v>
      </c>
      <c r="AL10" s="1" t="s">
        <v>46</v>
      </c>
      <c r="AM10" s="6">
        <v>52.25</v>
      </c>
      <c r="AN10" s="1" t="s">
        <v>202</v>
      </c>
      <c r="AO10" s="6" t="s">
        <v>202</v>
      </c>
      <c r="AP10" s="6" t="s">
        <v>202</v>
      </c>
      <c r="AQ10" s="6">
        <v>3</v>
      </c>
      <c r="AR10" s="6">
        <v>5</v>
      </c>
      <c r="AS10" s="1" t="s">
        <v>38</v>
      </c>
      <c r="AT10" s="1" t="s">
        <v>39</v>
      </c>
      <c r="AU10" s="1" t="s">
        <v>202</v>
      </c>
      <c r="AV10" s="1" t="s">
        <v>202</v>
      </c>
      <c r="AW10" s="1" t="s">
        <v>40</v>
      </c>
      <c r="AX10" s="8">
        <v>7.9633333333333329</v>
      </c>
      <c r="AY10" s="1" t="s">
        <v>202</v>
      </c>
      <c r="AZ10" s="8">
        <v>0.37390474977561289</v>
      </c>
      <c r="BA10" s="1" t="s">
        <v>41</v>
      </c>
      <c r="BB10" s="1" t="s">
        <v>167</v>
      </c>
      <c r="BC10" s="1" t="s">
        <v>141</v>
      </c>
      <c r="BD10" s="6">
        <v>534</v>
      </c>
      <c r="BE10" s="1" t="s">
        <v>142</v>
      </c>
      <c r="BF10" s="6">
        <v>364</v>
      </c>
      <c r="BG10" s="6">
        <v>777</v>
      </c>
      <c r="BH10" s="1" t="s">
        <v>143</v>
      </c>
      <c r="BI10" s="1" t="s">
        <v>144</v>
      </c>
      <c r="BJ10" s="1" t="s">
        <v>170</v>
      </c>
    </row>
    <row r="11" spans="1:62" x14ac:dyDescent="0.2">
      <c r="A11" s="7" t="s">
        <v>33</v>
      </c>
      <c r="B11" s="7" t="s">
        <v>139</v>
      </c>
      <c r="C11" s="7" t="s">
        <v>134</v>
      </c>
      <c r="D11" s="7" t="s">
        <v>150</v>
      </c>
      <c r="E11" s="7">
        <v>2009</v>
      </c>
      <c r="F11" s="39" t="str">
        <f t="shared" si="0"/>
        <v>10.2475/09.2009.01</v>
      </c>
      <c r="G11">
        <f t="shared" si="1"/>
        <v>58100</v>
      </c>
      <c r="H11">
        <f t="shared" si="2"/>
        <v>299.99999999999716</v>
      </c>
      <c r="I11">
        <f t="shared" si="3"/>
        <v>300.00000000000426</v>
      </c>
      <c r="J11">
        <f t="shared" si="4"/>
        <v>447</v>
      </c>
      <c r="K11" s="40">
        <f t="shared" si="5"/>
        <v>294</v>
      </c>
      <c r="L11" s="40">
        <f t="shared" si="6"/>
        <v>114</v>
      </c>
      <c r="M11" s="7" t="b">
        <v>1</v>
      </c>
      <c r="N11" s="7">
        <v>3</v>
      </c>
      <c r="O11" s="7" t="s">
        <v>190</v>
      </c>
      <c r="P11" s="7" t="s">
        <v>202</v>
      </c>
      <c r="Q11" s="7" t="b">
        <v>0</v>
      </c>
      <c r="R11" s="7" t="s">
        <v>202</v>
      </c>
      <c r="S11" s="7" t="b">
        <v>0</v>
      </c>
      <c r="T11" s="7" t="b">
        <v>0</v>
      </c>
      <c r="U11" s="7" t="s">
        <v>202</v>
      </c>
      <c r="V11" s="7" t="s">
        <v>202</v>
      </c>
      <c r="W11" s="7" t="b">
        <v>1</v>
      </c>
      <c r="X11" s="7" t="s">
        <v>216</v>
      </c>
      <c r="Y11" s="1" t="s">
        <v>189</v>
      </c>
      <c r="Z11" s="1" t="s">
        <v>140</v>
      </c>
      <c r="AA11" s="1" t="s">
        <v>49</v>
      </c>
      <c r="AB11" s="1" t="s">
        <v>34</v>
      </c>
      <c r="AC11" s="1" t="s">
        <v>35</v>
      </c>
      <c r="AD11" s="1" t="s">
        <v>36</v>
      </c>
      <c r="AE11" s="1" t="s">
        <v>50</v>
      </c>
      <c r="AF11" s="1" t="s">
        <v>37</v>
      </c>
      <c r="AG11" s="1" t="s">
        <v>51</v>
      </c>
      <c r="AH11" s="9">
        <v>58.1</v>
      </c>
      <c r="AI11" s="9">
        <v>58.4</v>
      </c>
      <c r="AJ11" s="9">
        <v>57.8</v>
      </c>
      <c r="AK11" s="1" t="s">
        <v>211</v>
      </c>
      <c r="AL11" s="1" t="s">
        <v>52</v>
      </c>
      <c r="AM11" s="6">
        <v>44.86</v>
      </c>
      <c r="AN11" s="6">
        <v>-108.88</v>
      </c>
      <c r="AO11" s="6" t="s">
        <v>202</v>
      </c>
      <c r="AP11" s="6" t="s">
        <v>202</v>
      </c>
      <c r="AQ11" s="6">
        <v>3</v>
      </c>
      <c r="AR11" s="6">
        <v>7</v>
      </c>
      <c r="AS11" s="1" t="s">
        <v>38</v>
      </c>
      <c r="AT11" s="1" t="s">
        <v>39</v>
      </c>
      <c r="AU11" s="1" t="s">
        <v>202</v>
      </c>
      <c r="AV11" s="1" t="s">
        <v>202</v>
      </c>
      <c r="AW11" s="1" t="s">
        <v>40</v>
      </c>
      <c r="AX11" s="8">
        <v>9.0080952380952368</v>
      </c>
      <c r="AY11" s="1" t="s">
        <v>202</v>
      </c>
      <c r="AZ11" s="8">
        <v>0.26932619374924982</v>
      </c>
      <c r="BA11" s="1" t="s">
        <v>41</v>
      </c>
      <c r="BB11" s="1" t="s">
        <v>167</v>
      </c>
      <c r="BC11" s="1" t="s">
        <v>141</v>
      </c>
      <c r="BD11" s="6">
        <v>447</v>
      </c>
      <c r="BE11" s="1" t="s">
        <v>142</v>
      </c>
      <c r="BF11" s="6">
        <v>333</v>
      </c>
      <c r="BG11" s="6">
        <v>741</v>
      </c>
      <c r="BH11" s="1" t="s">
        <v>143</v>
      </c>
      <c r="BI11" s="1" t="s">
        <v>144</v>
      </c>
      <c r="BJ11" s="1" t="s">
        <v>170</v>
      </c>
    </row>
    <row r="12" spans="1:62" x14ac:dyDescent="0.2">
      <c r="A12" s="7" t="s">
        <v>33</v>
      </c>
      <c r="B12" s="7" t="s">
        <v>139</v>
      </c>
      <c r="C12" s="7" t="s">
        <v>134</v>
      </c>
      <c r="D12" s="7" t="s">
        <v>150</v>
      </c>
      <c r="E12" s="7">
        <v>2009</v>
      </c>
      <c r="F12" s="39" t="str">
        <f t="shared" ref="F12:F16" si="7">Z12</f>
        <v>10.2475/09.2009.01</v>
      </c>
      <c r="G12">
        <f t="shared" ref="G12:G16" si="8">AH12*1000</f>
        <v>57200</v>
      </c>
      <c r="H12">
        <f t="shared" ref="H12:H16" si="9">(AI12-AH12)*1000</f>
        <v>199.99999999999574</v>
      </c>
      <c r="I12">
        <f t="shared" ref="I12:I16" si="10">(AH12-AJ12)*1000</f>
        <v>200.00000000000284</v>
      </c>
      <c r="J12">
        <f t="shared" ref="J12:J16" si="11">BD12</f>
        <v>469</v>
      </c>
      <c r="K12" s="40">
        <f t="shared" ref="K12:K16" si="12">BG12-BD12</f>
        <v>269</v>
      </c>
      <c r="L12" s="40">
        <f t="shared" ref="L12:L16" si="13">BD12-BF12</f>
        <v>129</v>
      </c>
      <c r="M12" s="7" t="b">
        <v>1</v>
      </c>
      <c r="N12" s="7">
        <v>3</v>
      </c>
      <c r="O12" s="7" t="s">
        <v>187</v>
      </c>
      <c r="P12" s="7" t="s">
        <v>202</v>
      </c>
      <c r="Q12" s="7" t="b">
        <v>0</v>
      </c>
      <c r="R12" s="7" t="s">
        <v>202</v>
      </c>
      <c r="S12" s="7" t="b">
        <v>0</v>
      </c>
      <c r="T12" s="7" t="b">
        <v>0</v>
      </c>
      <c r="U12" s="7" t="s">
        <v>202</v>
      </c>
      <c r="V12" s="7" t="s">
        <v>202</v>
      </c>
      <c r="W12" s="7" t="b">
        <v>1</v>
      </c>
      <c r="X12" s="7" t="s">
        <v>216</v>
      </c>
      <c r="Y12" s="1" t="s">
        <v>189</v>
      </c>
      <c r="Z12" s="1" t="s">
        <v>140</v>
      </c>
      <c r="AA12" s="1" t="s">
        <v>53</v>
      </c>
      <c r="AB12" s="1" t="s">
        <v>34</v>
      </c>
      <c r="AC12" s="1" t="s">
        <v>35</v>
      </c>
      <c r="AD12" s="1" t="s">
        <v>36</v>
      </c>
      <c r="AE12" s="1" t="s">
        <v>54</v>
      </c>
      <c r="AF12" s="1" t="s">
        <v>37</v>
      </c>
      <c r="AG12" s="1" t="s">
        <v>55</v>
      </c>
      <c r="AH12" s="9">
        <v>57.2</v>
      </c>
      <c r="AI12" s="9">
        <v>57.4</v>
      </c>
      <c r="AJ12" s="9">
        <v>57</v>
      </c>
      <c r="AK12" s="1" t="s">
        <v>211</v>
      </c>
      <c r="AL12" s="1" t="s">
        <v>56</v>
      </c>
      <c r="AM12" s="6">
        <v>45.03</v>
      </c>
      <c r="AN12" s="6">
        <v>-109.08</v>
      </c>
      <c r="AO12" s="6" t="s">
        <v>202</v>
      </c>
      <c r="AP12" s="6" t="s">
        <v>202</v>
      </c>
      <c r="AQ12" s="6">
        <v>3</v>
      </c>
      <c r="AR12" s="6">
        <v>5</v>
      </c>
      <c r="AS12" s="1" t="s">
        <v>38</v>
      </c>
      <c r="AT12" s="1" t="s">
        <v>39</v>
      </c>
      <c r="AU12" s="1" t="s">
        <v>202</v>
      </c>
      <c r="AV12" s="1" t="s">
        <v>202</v>
      </c>
      <c r="AW12" s="1" t="s">
        <v>40</v>
      </c>
      <c r="AX12" s="8">
        <v>8.7533333333333339</v>
      </c>
      <c r="AY12" s="1" t="s">
        <v>202</v>
      </c>
      <c r="AZ12" s="8">
        <v>0.41037497371016207</v>
      </c>
      <c r="BA12" s="1" t="s">
        <v>41</v>
      </c>
      <c r="BB12" s="1" t="s">
        <v>167</v>
      </c>
      <c r="BC12" s="1" t="s">
        <v>141</v>
      </c>
      <c r="BD12" s="6">
        <v>469</v>
      </c>
      <c r="BE12" s="1" t="s">
        <v>142</v>
      </c>
      <c r="BF12" s="6">
        <v>340</v>
      </c>
      <c r="BG12" s="6">
        <v>738</v>
      </c>
      <c r="BH12" s="1" t="s">
        <v>143</v>
      </c>
      <c r="BI12" s="1" t="s">
        <v>144</v>
      </c>
      <c r="BJ12" s="1" t="s">
        <v>170</v>
      </c>
    </row>
    <row r="13" spans="1:62" x14ac:dyDescent="0.2">
      <c r="A13" s="7" t="s">
        <v>33</v>
      </c>
      <c r="B13" s="7" t="s">
        <v>139</v>
      </c>
      <c r="C13" s="7" t="s">
        <v>134</v>
      </c>
      <c r="D13" s="7" t="s">
        <v>150</v>
      </c>
      <c r="E13" s="7">
        <v>2009</v>
      </c>
      <c r="F13" s="39" t="str">
        <f t="shared" si="7"/>
        <v>10.2475/09.2009.01</v>
      </c>
      <c r="G13">
        <f t="shared" si="8"/>
        <v>56700</v>
      </c>
      <c r="H13">
        <f t="shared" si="9"/>
        <v>199.99999999999574</v>
      </c>
      <c r="I13">
        <f t="shared" si="10"/>
        <v>200.00000000000284</v>
      </c>
      <c r="J13">
        <f t="shared" si="11"/>
        <v>317</v>
      </c>
      <c r="K13" s="40">
        <f t="shared" si="12"/>
        <v>12</v>
      </c>
      <c r="L13" s="40">
        <f t="shared" si="13"/>
        <v>11</v>
      </c>
      <c r="M13" s="7" t="b">
        <v>1</v>
      </c>
      <c r="N13" s="7">
        <v>3</v>
      </c>
      <c r="O13" s="7" t="s">
        <v>191</v>
      </c>
      <c r="P13" s="7" t="s">
        <v>217</v>
      </c>
      <c r="Q13" s="7" t="b">
        <v>0</v>
      </c>
      <c r="R13" s="7" t="s">
        <v>202</v>
      </c>
      <c r="S13" s="7" t="b">
        <v>0</v>
      </c>
      <c r="T13" s="7" t="b">
        <v>0</v>
      </c>
      <c r="U13" s="7" t="s">
        <v>202</v>
      </c>
      <c r="V13" s="7" t="s">
        <v>202</v>
      </c>
      <c r="W13" s="7" t="b">
        <v>1</v>
      </c>
      <c r="X13" s="7" t="s">
        <v>216</v>
      </c>
      <c r="Y13" s="1" t="s">
        <v>189</v>
      </c>
      <c r="Z13" s="1" t="s">
        <v>140</v>
      </c>
      <c r="AA13" s="1" t="s">
        <v>57</v>
      </c>
      <c r="AB13" s="1" t="s">
        <v>34</v>
      </c>
      <c r="AC13" s="1" t="s">
        <v>35</v>
      </c>
      <c r="AD13" s="1" t="s">
        <v>36</v>
      </c>
      <c r="AE13" s="1" t="s">
        <v>58</v>
      </c>
      <c r="AF13" s="1" t="s">
        <v>37</v>
      </c>
      <c r="AG13" s="1" t="s">
        <v>59</v>
      </c>
      <c r="AH13" s="9">
        <v>56.7</v>
      </c>
      <c r="AI13" s="9">
        <v>56.9</v>
      </c>
      <c r="AJ13" s="9">
        <v>56.5</v>
      </c>
      <c r="AK13" s="1" t="s">
        <v>211</v>
      </c>
      <c r="AL13" s="1" t="s">
        <v>60</v>
      </c>
      <c r="AM13" s="6">
        <v>44.8</v>
      </c>
      <c r="AN13" s="1" t="s">
        <v>202</v>
      </c>
      <c r="AO13" s="6" t="s">
        <v>202</v>
      </c>
      <c r="AP13" s="6" t="s">
        <v>202</v>
      </c>
      <c r="AQ13" s="6">
        <v>3</v>
      </c>
      <c r="AR13" s="6">
        <v>8</v>
      </c>
      <c r="AS13" s="1" t="s">
        <v>38</v>
      </c>
      <c r="AT13" s="1" t="s">
        <v>39</v>
      </c>
      <c r="AU13" s="1" t="s">
        <v>202</v>
      </c>
      <c r="AV13" s="1" t="s">
        <v>202</v>
      </c>
      <c r="AW13" s="1" t="s">
        <v>40</v>
      </c>
      <c r="AX13" s="8">
        <v>11.432499999999997</v>
      </c>
      <c r="AY13" s="1" t="s">
        <v>202</v>
      </c>
      <c r="AZ13" s="8">
        <v>0.44796550963896486</v>
      </c>
      <c r="BA13" s="1" t="s">
        <v>41</v>
      </c>
      <c r="BB13" s="1" t="s">
        <v>167</v>
      </c>
      <c r="BC13" s="1" t="s">
        <v>141</v>
      </c>
      <c r="BD13" s="6">
        <v>317</v>
      </c>
      <c r="BE13" s="1" t="s">
        <v>142</v>
      </c>
      <c r="BF13" s="6">
        <v>306</v>
      </c>
      <c r="BG13" s="6">
        <v>329</v>
      </c>
      <c r="BH13" s="1" t="s">
        <v>143</v>
      </c>
      <c r="BI13" s="1" t="s">
        <v>144</v>
      </c>
      <c r="BJ13" s="1" t="s">
        <v>170</v>
      </c>
    </row>
    <row r="14" spans="1:62" x14ac:dyDescent="0.2">
      <c r="A14" s="7" t="s">
        <v>33</v>
      </c>
      <c r="B14" s="7" t="s">
        <v>139</v>
      </c>
      <c r="C14" s="7" t="s">
        <v>134</v>
      </c>
      <c r="D14" s="7" t="s">
        <v>150</v>
      </c>
      <c r="E14" s="7">
        <v>2009</v>
      </c>
      <c r="F14" s="39" t="str">
        <f t="shared" si="7"/>
        <v>10.2475/09.2009.01</v>
      </c>
      <c r="G14">
        <f t="shared" si="8"/>
        <v>56700</v>
      </c>
      <c r="H14">
        <f t="shared" si="9"/>
        <v>199.99999999999574</v>
      </c>
      <c r="I14">
        <f t="shared" si="10"/>
        <v>200.00000000000284</v>
      </c>
      <c r="J14">
        <f t="shared" si="11"/>
        <v>319</v>
      </c>
      <c r="K14" s="40">
        <f t="shared" si="12"/>
        <v>16</v>
      </c>
      <c r="L14" s="40">
        <f t="shared" si="13"/>
        <v>13</v>
      </c>
      <c r="M14" s="7" t="b">
        <v>1</v>
      </c>
      <c r="N14" s="7">
        <v>3</v>
      </c>
      <c r="O14" s="7" t="s">
        <v>191</v>
      </c>
      <c r="P14" s="7" t="s">
        <v>217</v>
      </c>
      <c r="Q14" s="7" t="b">
        <v>0</v>
      </c>
      <c r="R14" s="7" t="s">
        <v>202</v>
      </c>
      <c r="S14" s="7" t="b">
        <v>0</v>
      </c>
      <c r="T14" s="7" t="b">
        <v>0</v>
      </c>
      <c r="U14" s="7" t="s">
        <v>202</v>
      </c>
      <c r="V14" s="7" t="s">
        <v>202</v>
      </c>
      <c r="W14" s="7" t="b">
        <v>1</v>
      </c>
      <c r="X14" s="7" t="s">
        <v>216</v>
      </c>
      <c r="Y14" s="1" t="s">
        <v>189</v>
      </c>
      <c r="Z14" s="1" t="s">
        <v>140</v>
      </c>
      <c r="AA14" s="1" t="s">
        <v>61</v>
      </c>
      <c r="AB14" s="1" t="s">
        <v>34</v>
      </c>
      <c r="AC14" s="1" t="s">
        <v>35</v>
      </c>
      <c r="AD14" s="1" t="s">
        <v>36</v>
      </c>
      <c r="AE14" s="1" t="s">
        <v>62</v>
      </c>
      <c r="AF14" s="1" t="s">
        <v>37</v>
      </c>
      <c r="AG14" s="1" t="s">
        <v>59</v>
      </c>
      <c r="AH14" s="9">
        <v>56.7</v>
      </c>
      <c r="AI14" s="9">
        <v>56.9</v>
      </c>
      <c r="AJ14" s="9">
        <v>56.5</v>
      </c>
      <c r="AK14" s="1" t="s">
        <v>211</v>
      </c>
      <c r="AL14" s="1" t="s">
        <v>60</v>
      </c>
      <c r="AM14" s="6">
        <v>44.8</v>
      </c>
      <c r="AN14" s="1" t="s">
        <v>202</v>
      </c>
      <c r="AO14" s="6" t="s">
        <v>202</v>
      </c>
      <c r="AP14" s="6" t="s">
        <v>202</v>
      </c>
      <c r="AQ14" s="6">
        <v>3</v>
      </c>
      <c r="AR14" s="6">
        <v>8</v>
      </c>
      <c r="AS14" s="1" t="s">
        <v>38</v>
      </c>
      <c r="AT14" s="1" t="s">
        <v>39</v>
      </c>
      <c r="AU14" s="1" t="s">
        <v>202</v>
      </c>
      <c r="AV14" s="1" t="s">
        <v>202</v>
      </c>
      <c r="AW14" s="1" t="s">
        <v>40</v>
      </c>
      <c r="AX14" s="8">
        <v>10.797499999999999</v>
      </c>
      <c r="AY14" s="1" t="s">
        <v>202</v>
      </c>
      <c r="AZ14" s="13">
        <v>0.34089914675878352</v>
      </c>
      <c r="BA14" s="1" t="s">
        <v>41</v>
      </c>
      <c r="BB14" s="1" t="s">
        <v>167</v>
      </c>
      <c r="BC14" s="1" t="s">
        <v>141</v>
      </c>
      <c r="BD14" s="6">
        <v>319</v>
      </c>
      <c r="BE14" s="1" t="s">
        <v>142</v>
      </c>
      <c r="BF14" s="6">
        <v>306</v>
      </c>
      <c r="BG14" s="6">
        <v>335</v>
      </c>
      <c r="BH14" s="1" t="s">
        <v>143</v>
      </c>
      <c r="BI14" s="1" t="s">
        <v>144</v>
      </c>
      <c r="BJ14" s="1" t="s">
        <v>170</v>
      </c>
    </row>
    <row r="15" spans="1:62" x14ac:dyDescent="0.2">
      <c r="A15" s="7" t="s">
        <v>33</v>
      </c>
      <c r="B15" s="7" t="s">
        <v>139</v>
      </c>
      <c r="C15" s="7" t="s">
        <v>134</v>
      </c>
      <c r="D15" s="7" t="s">
        <v>150</v>
      </c>
      <c r="E15" s="7">
        <v>2009</v>
      </c>
      <c r="F15" s="39" t="str">
        <f t="shared" si="7"/>
        <v>10.2475/09.2009.01</v>
      </c>
      <c r="G15">
        <f t="shared" si="8"/>
        <v>56700</v>
      </c>
      <c r="H15">
        <f t="shared" si="9"/>
        <v>199.99999999999574</v>
      </c>
      <c r="I15">
        <f t="shared" si="10"/>
        <v>200.00000000000284</v>
      </c>
      <c r="J15">
        <f t="shared" si="11"/>
        <v>312</v>
      </c>
      <c r="K15" s="40">
        <f t="shared" si="12"/>
        <v>13</v>
      </c>
      <c r="L15" s="40">
        <f t="shared" si="13"/>
        <v>10</v>
      </c>
      <c r="M15" s="7" t="b">
        <v>1</v>
      </c>
      <c r="N15" s="7">
        <v>3</v>
      </c>
      <c r="O15" s="7" t="s">
        <v>191</v>
      </c>
      <c r="P15" s="7" t="s">
        <v>217</v>
      </c>
      <c r="Q15" s="7" t="b">
        <v>0</v>
      </c>
      <c r="R15" s="7" t="s">
        <v>202</v>
      </c>
      <c r="S15" s="7" t="b">
        <v>0</v>
      </c>
      <c r="T15" s="7" t="b">
        <v>0</v>
      </c>
      <c r="U15" s="7" t="s">
        <v>202</v>
      </c>
      <c r="V15" s="7" t="s">
        <v>202</v>
      </c>
      <c r="W15" s="7" t="b">
        <v>1</v>
      </c>
      <c r="X15" s="7" t="s">
        <v>216</v>
      </c>
      <c r="Y15" s="1" t="s">
        <v>189</v>
      </c>
      <c r="Z15" s="1" t="s">
        <v>140</v>
      </c>
      <c r="AA15" s="1" t="s">
        <v>63</v>
      </c>
      <c r="AB15" s="1" t="s">
        <v>34</v>
      </c>
      <c r="AC15" s="1" t="s">
        <v>35</v>
      </c>
      <c r="AD15" s="1" t="s">
        <v>36</v>
      </c>
      <c r="AE15" s="1" t="s">
        <v>64</v>
      </c>
      <c r="AF15" s="1" t="s">
        <v>37</v>
      </c>
      <c r="AG15" s="1" t="s">
        <v>59</v>
      </c>
      <c r="AH15" s="9">
        <v>56.7</v>
      </c>
      <c r="AI15" s="9">
        <v>56.9</v>
      </c>
      <c r="AJ15" s="9">
        <v>56.5</v>
      </c>
      <c r="AK15" s="1" t="s">
        <v>211</v>
      </c>
      <c r="AL15" s="1" t="s">
        <v>60</v>
      </c>
      <c r="AM15" s="6">
        <v>44.8</v>
      </c>
      <c r="AN15" s="1" t="s">
        <v>202</v>
      </c>
      <c r="AO15" s="6" t="s">
        <v>202</v>
      </c>
      <c r="AP15" s="6" t="s">
        <v>202</v>
      </c>
      <c r="AQ15" s="6">
        <v>3</v>
      </c>
      <c r="AR15" s="6">
        <v>5</v>
      </c>
      <c r="AS15" s="1" t="s">
        <v>38</v>
      </c>
      <c r="AT15" s="1" t="s">
        <v>39</v>
      </c>
      <c r="AU15" s="1" t="s">
        <v>202</v>
      </c>
      <c r="AV15" s="1" t="s">
        <v>202</v>
      </c>
      <c r="AW15" s="1" t="s">
        <v>40</v>
      </c>
      <c r="AX15" s="8">
        <v>10.971333333333337</v>
      </c>
      <c r="AY15" s="1" t="s">
        <v>202</v>
      </c>
      <c r="AZ15" s="8">
        <v>0.161277243299696</v>
      </c>
      <c r="BA15" s="1" t="s">
        <v>41</v>
      </c>
      <c r="BB15" s="1" t="s">
        <v>167</v>
      </c>
      <c r="BC15" s="1" t="s">
        <v>141</v>
      </c>
      <c r="BD15" s="6">
        <v>312</v>
      </c>
      <c r="BE15" s="1" t="s">
        <v>142</v>
      </c>
      <c r="BF15" s="6">
        <v>302</v>
      </c>
      <c r="BG15" s="6">
        <v>325</v>
      </c>
      <c r="BH15" s="1" t="s">
        <v>143</v>
      </c>
      <c r="BI15" s="1" t="s">
        <v>144</v>
      </c>
      <c r="BJ15" s="1" t="s">
        <v>170</v>
      </c>
    </row>
    <row r="16" spans="1:62" x14ac:dyDescent="0.2">
      <c r="A16" s="7" t="s">
        <v>33</v>
      </c>
      <c r="B16" s="7" t="s">
        <v>139</v>
      </c>
      <c r="C16" s="7" t="s">
        <v>134</v>
      </c>
      <c r="D16" s="7" t="s">
        <v>150</v>
      </c>
      <c r="E16" s="7">
        <v>2009</v>
      </c>
      <c r="F16" s="39" t="str">
        <f t="shared" si="7"/>
        <v>10.2475/09.2009.01</v>
      </c>
      <c r="G16">
        <f t="shared" si="8"/>
        <v>56600</v>
      </c>
      <c r="H16">
        <f t="shared" si="9"/>
        <v>100.00000000000142</v>
      </c>
      <c r="I16">
        <f t="shared" si="10"/>
        <v>100.00000000000142</v>
      </c>
      <c r="J16">
        <f t="shared" si="11"/>
        <v>321</v>
      </c>
      <c r="K16" s="40">
        <f t="shared" si="12"/>
        <v>24</v>
      </c>
      <c r="L16" s="40">
        <f t="shared" si="13"/>
        <v>16</v>
      </c>
      <c r="M16" s="7" t="b">
        <v>1</v>
      </c>
      <c r="N16" s="7">
        <v>3</v>
      </c>
      <c r="O16" s="7" t="s">
        <v>190</v>
      </c>
      <c r="P16" s="7" t="s">
        <v>202</v>
      </c>
      <c r="Q16" s="7" t="b">
        <v>0</v>
      </c>
      <c r="R16" s="7" t="s">
        <v>202</v>
      </c>
      <c r="S16" s="7" t="b">
        <v>0</v>
      </c>
      <c r="T16" s="7" t="b">
        <v>0</v>
      </c>
      <c r="U16" s="7" t="s">
        <v>202</v>
      </c>
      <c r="V16" s="7" t="s">
        <v>202</v>
      </c>
      <c r="W16" s="7" t="b">
        <v>1</v>
      </c>
      <c r="X16" s="7" t="s">
        <v>216</v>
      </c>
      <c r="Y16" s="1" t="s">
        <v>189</v>
      </c>
      <c r="Z16" s="1" t="s">
        <v>140</v>
      </c>
      <c r="AA16" s="1" t="s">
        <v>65</v>
      </c>
      <c r="AB16" s="1" t="s">
        <v>34</v>
      </c>
      <c r="AC16" s="1" t="s">
        <v>35</v>
      </c>
      <c r="AD16" s="1" t="s">
        <v>36</v>
      </c>
      <c r="AE16" s="1" t="s">
        <v>66</v>
      </c>
      <c r="AF16" s="1" t="s">
        <v>37</v>
      </c>
      <c r="AG16" s="1" t="s">
        <v>67</v>
      </c>
      <c r="AH16" s="9">
        <v>56.6</v>
      </c>
      <c r="AI16" s="9">
        <v>56.7</v>
      </c>
      <c r="AJ16" s="9">
        <v>56.5</v>
      </c>
      <c r="AK16" s="1" t="s">
        <v>211</v>
      </c>
      <c r="AL16" s="1" t="s">
        <v>68</v>
      </c>
      <c r="AM16" s="6">
        <v>44.73</v>
      </c>
      <c r="AN16" s="6">
        <v>-108.68</v>
      </c>
      <c r="AO16" s="6" t="s">
        <v>202</v>
      </c>
      <c r="AP16" s="6" t="s">
        <v>202</v>
      </c>
      <c r="AQ16" s="6">
        <v>3</v>
      </c>
      <c r="AR16" s="6">
        <v>8</v>
      </c>
      <c r="AS16" s="1" t="s">
        <v>38</v>
      </c>
      <c r="AT16" s="1" t="s">
        <v>39</v>
      </c>
      <c r="AU16" s="1" t="s">
        <v>202</v>
      </c>
      <c r="AV16" s="1" t="s">
        <v>202</v>
      </c>
      <c r="AW16" s="1" t="s">
        <v>40</v>
      </c>
      <c r="AX16" s="8">
        <v>10.633333333333333</v>
      </c>
      <c r="AY16" s="1" t="s">
        <v>202</v>
      </c>
      <c r="AZ16" s="8">
        <v>0.57153052661878601</v>
      </c>
      <c r="BA16" s="1" t="s">
        <v>41</v>
      </c>
      <c r="BB16" s="1" t="s">
        <v>167</v>
      </c>
      <c r="BC16" s="1" t="s">
        <v>141</v>
      </c>
      <c r="BD16" s="6">
        <v>321</v>
      </c>
      <c r="BE16" s="1" t="s">
        <v>142</v>
      </c>
      <c r="BF16" s="6">
        <v>305</v>
      </c>
      <c r="BG16" s="6">
        <v>345</v>
      </c>
      <c r="BH16" s="1" t="s">
        <v>143</v>
      </c>
      <c r="BI16" s="1" t="s">
        <v>144</v>
      </c>
      <c r="BJ16" s="1" t="s">
        <v>170</v>
      </c>
    </row>
    <row r="17" spans="1:62" x14ac:dyDescent="0.2">
      <c r="A17" s="7" t="s">
        <v>33</v>
      </c>
      <c r="B17" s="7" t="s">
        <v>139</v>
      </c>
      <c r="C17" s="7" t="s">
        <v>134</v>
      </c>
      <c r="D17" s="7" t="s">
        <v>150</v>
      </c>
      <c r="E17" s="7">
        <v>2009</v>
      </c>
      <c r="F17" s="39" t="str">
        <f>Z17</f>
        <v>10.2475/09.2009.01</v>
      </c>
      <c r="G17">
        <f>AH17*1000</f>
        <v>56500</v>
      </c>
      <c r="H17">
        <f>(AI17-AH17)*1000</f>
        <v>100.00000000000142</v>
      </c>
      <c r="I17">
        <f>(AH17-AJ17)*1000</f>
        <v>100.00000000000142</v>
      </c>
      <c r="J17">
        <f>BD17</f>
        <v>315</v>
      </c>
      <c r="K17" s="40">
        <f>BG17-BD17</f>
        <v>16</v>
      </c>
      <c r="L17" s="40">
        <f>BD17-BF17</f>
        <v>13</v>
      </c>
      <c r="M17" s="7" t="b">
        <v>1</v>
      </c>
      <c r="N17" s="7">
        <v>3</v>
      </c>
      <c r="O17" s="7" t="s">
        <v>190</v>
      </c>
      <c r="P17" s="7" t="s">
        <v>202</v>
      </c>
      <c r="Q17" s="7" t="b">
        <v>0</v>
      </c>
      <c r="R17" s="7" t="s">
        <v>202</v>
      </c>
      <c r="S17" s="7" t="b">
        <v>0</v>
      </c>
      <c r="T17" s="7" t="b">
        <v>0</v>
      </c>
      <c r="U17" s="7" t="s">
        <v>202</v>
      </c>
      <c r="V17" s="7" t="s">
        <v>202</v>
      </c>
      <c r="W17" s="7" t="b">
        <v>1</v>
      </c>
      <c r="X17" s="7" t="s">
        <v>216</v>
      </c>
      <c r="Y17" s="1" t="s">
        <v>189</v>
      </c>
      <c r="Z17" s="1" t="s">
        <v>140</v>
      </c>
      <c r="AA17" s="1" t="s">
        <v>69</v>
      </c>
      <c r="AB17" s="1" t="s">
        <v>34</v>
      </c>
      <c r="AC17" s="1" t="s">
        <v>35</v>
      </c>
      <c r="AD17" s="1" t="s">
        <v>36</v>
      </c>
      <c r="AE17" s="1" t="s">
        <v>70</v>
      </c>
      <c r="AF17" s="1" t="s">
        <v>37</v>
      </c>
      <c r="AG17" s="1" t="s">
        <v>71</v>
      </c>
      <c r="AH17" s="9">
        <v>56.5</v>
      </c>
      <c r="AI17" s="9">
        <v>56.6</v>
      </c>
      <c r="AJ17" s="9">
        <v>56.4</v>
      </c>
      <c r="AK17" s="1" t="s">
        <v>211</v>
      </c>
      <c r="AL17" s="1" t="s">
        <v>72</v>
      </c>
      <c r="AM17" s="6">
        <v>44.05</v>
      </c>
      <c r="AN17" s="6">
        <v>-107.77</v>
      </c>
      <c r="AO17" s="6" t="s">
        <v>202</v>
      </c>
      <c r="AP17" s="6" t="s">
        <v>202</v>
      </c>
      <c r="AQ17" s="6">
        <v>3</v>
      </c>
      <c r="AR17" s="6">
        <v>10</v>
      </c>
      <c r="AS17" s="1" t="s">
        <v>38</v>
      </c>
      <c r="AT17" s="1" t="s">
        <v>39</v>
      </c>
      <c r="AU17" s="1" t="s">
        <v>202</v>
      </c>
      <c r="AV17" s="1" t="s">
        <v>202</v>
      </c>
      <c r="AW17" s="1" t="s">
        <v>40</v>
      </c>
      <c r="AX17" s="8">
        <v>11.210666666666665</v>
      </c>
      <c r="AY17" s="1" t="s">
        <v>202</v>
      </c>
      <c r="AZ17" s="8">
        <v>0.36508471698321182</v>
      </c>
      <c r="BA17" s="1" t="s">
        <v>41</v>
      </c>
      <c r="BB17" s="1" t="s">
        <v>167</v>
      </c>
      <c r="BC17" s="1" t="s">
        <v>141</v>
      </c>
      <c r="BD17" s="6">
        <v>315</v>
      </c>
      <c r="BE17" s="1" t="s">
        <v>142</v>
      </c>
      <c r="BF17" s="6">
        <v>302</v>
      </c>
      <c r="BG17" s="6">
        <v>331</v>
      </c>
      <c r="BH17" s="1" t="s">
        <v>143</v>
      </c>
      <c r="BI17" s="1" t="s">
        <v>144</v>
      </c>
      <c r="BJ17" s="1" t="s">
        <v>170</v>
      </c>
    </row>
    <row r="18" spans="1:62" x14ac:dyDescent="0.2">
      <c r="A18" s="7" t="s">
        <v>33</v>
      </c>
      <c r="B18" s="7" t="s">
        <v>139</v>
      </c>
      <c r="C18" s="7" t="s">
        <v>134</v>
      </c>
      <c r="D18" s="7" t="s">
        <v>150</v>
      </c>
      <c r="E18" s="7">
        <v>2009</v>
      </c>
      <c r="F18" s="39" t="str">
        <f>Z18</f>
        <v>10.2475/09.2009.01</v>
      </c>
      <c r="G18">
        <f>AH18*1000</f>
        <v>56400</v>
      </c>
      <c r="H18">
        <f>(AI18-AH18)*1000</f>
        <v>100.00000000000142</v>
      </c>
      <c r="I18">
        <f>(AH18-AJ18)*1000</f>
        <v>100.00000000000142</v>
      </c>
      <c r="J18">
        <f>BD18</f>
        <v>312</v>
      </c>
      <c r="K18" s="40">
        <f>BG18-BD18</f>
        <v>13</v>
      </c>
      <c r="L18" s="40">
        <f>BD18-BF18</f>
        <v>11</v>
      </c>
      <c r="M18" s="7" t="b">
        <v>1</v>
      </c>
      <c r="N18" s="7">
        <v>3</v>
      </c>
      <c r="O18" s="7" t="s">
        <v>190</v>
      </c>
      <c r="P18" s="7" t="s">
        <v>202</v>
      </c>
      <c r="Q18" s="7" t="b">
        <v>0</v>
      </c>
      <c r="R18" s="7" t="s">
        <v>202</v>
      </c>
      <c r="S18" s="7" t="b">
        <v>0</v>
      </c>
      <c r="T18" s="7" t="b">
        <v>0</v>
      </c>
      <c r="U18" s="7" t="s">
        <v>202</v>
      </c>
      <c r="V18" s="7" t="s">
        <v>202</v>
      </c>
      <c r="W18" s="7" t="b">
        <v>1</v>
      </c>
      <c r="X18" s="7" t="s">
        <v>216</v>
      </c>
      <c r="Y18" s="1" t="s">
        <v>189</v>
      </c>
      <c r="Z18" s="1" t="s">
        <v>140</v>
      </c>
      <c r="AA18" s="1" t="s">
        <v>73</v>
      </c>
      <c r="AB18" s="1" t="s">
        <v>34</v>
      </c>
      <c r="AC18" s="1" t="s">
        <v>35</v>
      </c>
      <c r="AD18" s="1" t="s">
        <v>36</v>
      </c>
      <c r="AE18" s="1" t="s">
        <v>74</v>
      </c>
      <c r="AF18" s="1" t="s">
        <v>37</v>
      </c>
      <c r="AG18" s="1" t="s">
        <v>75</v>
      </c>
      <c r="AH18" s="9">
        <v>56.4</v>
      </c>
      <c r="AI18" s="9">
        <v>56.5</v>
      </c>
      <c r="AJ18" s="9">
        <v>56.3</v>
      </c>
      <c r="AK18" s="1" t="s">
        <v>211</v>
      </c>
      <c r="AL18" s="1" t="s">
        <v>76</v>
      </c>
      <c r="AM18" s="6">
        <v>43.95</v>
      </c>
      <c r="AN18" s="6">
        <v>-107.56</v>
      </c>
      <c r="AO18" s="6" t="s">
        <v>202</v>
      </c>
      <c r="AP18" s="6" t="s">
        <v>202</v>
      </c>
      <c r="AQ18" s="6">
        <v>3</v>
      </c>
      <c r="AR18" s="6">
        <v>8</v>
      </c>
      <c r="AS18" s="1" t="s">
        <v>38</v>
      </c>
      <c r="AT18" s="1" t="s">
        <v>39</v>
      </c>
      <c r="AU18" s="1" t="s">
        <v>202</v>
      </c>
      <c r="AV18" s="1" t="s">
        <v>202</v>
      </c>
      <c r="AW18" s="1" t="s">
        <v>40</v>
      </c>
      <c r="AX18" s="8">
        <v>11.501666666666667</v>
      </c>
      <c r="AY18" s="1" t="s">
        <v>202</v>
      </c>
      <c r="AZ18" s="8">
        <v>0.37099699205780784</v>
      </c>
      <c r="BA18" s="1" t="s">
        <v>41</v>
      </c>
      <c r="BB18" s="1" t="s">
        <v>167</v>
      </c>
      <c r="BC18" s="1" t="s">
        <v>141</v>
      </c>
      <c r="BD18" s="6">
        <v>312</v>
      </c>
      <c r="BE18" s="1" t="s">
        <v>142</v>
      </c>
      <c r="BF18" s="6">
        <v>301</v>
      </c>
      <c r="BG18" s="6">
        <v>325</v>
      </c>
      <c r="BH18" s="1" t="s">
        <v>143</v>
      </c>
      <c r="BI18" s="1" t="s">
        <v>144</v>
      </c>
      <c r="BJ18" s="1" t="s">
        <v>170</v>
      </c>
    </row>
    <row r="19" spans="1:62" x14ac:dyDescent="0.2">
      <c r="A19" s="7" t="s">
        <v>33</v>
      </c>
      <c r="B19" s="7" t="s">
        <v>139</v>
      </c>
      <c r="C19" s="7" t="s">
        <v>134</v>
      </c>
      <c r="D19" s="7" t="s">
        <v>150</v>
      </c>
      <c r="E19" s="7">
        <v>2009</v>
      </c>
      <c r="F19" s="39" t="str">
        <f t="shared" ref="F19:F24" si="14">Z19</f>
        <v>10.2475/09.2009.01</v>
      </c>
      <c r="G19">
        <f t="shared" ref="G19:G24" si="15">AH19*1000</f>
        <v>56200</v>
      </c>
      <c r="H19">
        <f t="shared" ref="H19:H23" si="16">(AI19-AH19)*1000</f>
        <v>99.999999999994316</v>
      </c>
      <c r="I19">
        <f t="shared" ref="I19:I23" si="17">(AH19-AJ19)*1000</f>
        <v>100.00000000000142</v>
      </c>
      <c r="J19">
        <f t="shared" ref="J19:J24" si="18">BD19</f>
        <v>304</v>
      </c>
      <c r="K19" s="40">
        <f t="shared" ref="K19:K24" si="19">BG19-BD19</f>
        <v>12</v>
      </c>
      <c r="L19" s="40">
        <f t="shared" ref="L19:L24" si="20">BD19-BF19</f>
        <v>8</v>
      </c>
      <c r="M19" s="7" t="b">
        <v>1</v>
      </c>
      <c r="N19" s="7">
        <v>3</v>
      </c>
      <c r="O19" s="7" t="s">
        <v>190</v>
      </c>
      <c r="P19" s="7" t="s">
        <v>217</v>
      </c>
      <c r="Q19" s="7" t="b">
        <v>0</v>
      </c>
      <c r="R19" s="7" t="s">
        <v>202</v>
      </c>
      <c r="S19" s="7" t="b">
        <v>0</v>
      </c>
      <c r="T19" s="7" t="b">
        <v>0</v>
      </c>
      <c r="U19" s="7" t="s">
        <v>202</v>
      </c>
      <c r="V19" s="7" t="s">
        <v>202</v>
      </c>
      <c r="W19" s="7" t="b">
        <v>1</v>
      </c>
      <c r="X19" s="7" t="s">
        <v>216</v>
      </c>
      <c r="Y19" s="1" t="s">
        <v>189</v>
      </c>
      <c r="Z19" s="1" t="s">
        <v>140</v>
      </c>
      <c r="AA19" s="1" t="s">
        <v>77</v>
      </c>
      <c r="AB19" s="1" t="s">
        <v>34</v>
      </c>
      <c r="AC19" s="1" t="s">
        <v>35</v>
      </c>
      <c r="AD19" s="1" t="s">
        <v>36</v>
      </c>
      <c r="AE19" s="1" t="s">
        <v>78</v>
      </c>
      <c r="AF19" s="1" t="s">
        <v>37</v>
      </c>
      <c r="AG19" s="1" t="s">
        <v>79</v>
      </c>
      <c r="AH19" s="9">
        <v>56.2</v>
      </c>
      <c r="AI19" s="9">
        <v>56.3</v>
      </c>
      <c r="AJ19" s="9">
        <v>56.1</v>
      </c>
      <c r="AK19" s="1" t="s">
        <v>211</v>
      </c>
      <c r="AL19" s="1" t="s">
        <v>80</v>
      </c>
      <c r="AM19" s="6">
        <v>44.16</v>
      </c>
      <c r="AN19" s="6">
        <v>-107.85</v>
      </c>
      <c r="AO19" s="6" t="s">
        <v>202</v>
      </c>
      <c r="AP19" s="6" t="s">
        <v>202</v>
      </c>
      <c r="AQ19" s="6">
        <v>3</v>
      </c>
      <c r="AR19" s="6">
        <v>7</v>
      </c>
      <c r="AS19" s="1" t="s">
        <v>38</v>
      </c>
      <c r="AT19" s="1" t="s">
        <v>39</v>
      </c>
      <c r="AU19" s="1" t="s">
        <v>202</v>
      </c>
      <c r="AV19" s="1" t="s">
        <v>202</v>
      </c>
      <c r="AW19" s="1" t="s">
        <v>40</v>
      </c>
      <c r="AX19" s="8">
        <v>12.229047619047616</v>
      </c>
      <c r="AY19" s="1" t="s">
        <v>202</v>
      </c>
      <c r="AZ19" s="8">
        <v>0.58116496891024338</v>
      </c>
      <c r="BA19" s="1" t="s">
        <v>41</v>
      </c>
      <c r="BB19" s="1" t="s">
        <v>167</v>
      </c>
      <c r="BC19" s="1" t="s">
        <v>141</v>
      </c>
      <c r="BD19" s="6">
        <v>304</v>
      </c>
      <c r="BE19" s="1" t="s">
        <v>142</v>
      </c>
      <c r="BF19" s="6">
        <v>296</v>
      </c>
      <c r="BG19" s="6">
        <v>316</v>
      </c>
      <c r="BH19" s="1" t="s">
        <v>143</v>
      </c>
      <c r="BI19" s="1" t="s">
        <v>144</v>
      </c>
      <c r="BJ19" s="1" t="s">
        <v>170</v>
      </c>
    </row>
    <row r="20" spans="1:62" x14ac:dyDescent="0.2">
      <c r="A20" s="7" t="s">
        <v>33</v>
      </c>
      <c r="B20" s="7" t="s">
        <v>139</v>
      </c>
      <c r="C20" s="7" t="s">
        <v>134</v>
      </c>
      <c r="D20" s="7" t="s">
        <v>150</v>
      </c>
      <c r="E20" s="7">
        <v>2009</v>
      </c>
      <c r="F20" s="39" t="str">
        <f t="shared" si="14"/>
        <v>10.2475/09.2009.01</v>
      </c>
      <c r="G20">
        <f t="shared" si="15"/>
        <v>56100</v>
      </c>
      <c r="H20">
        <f t="shared" si="16"/>
        <v>100.00000000000142</v>
      </c>
      <c r="I20">
        <f t="shared" si="17"/>
        <v>100.00000000000142</v>
      </c>
      <c r="J20">
        <f t="shared" si="18"/>
        <v>520</v>
      </c>
      <c r="K20" s="40">
        <f t="shared" si="19"/>
        <v>255</v>
      </c>
      <c r="L20" s="40">
        <f t="shared" si="20"/>
        <v>171</v>
      </c>
      <c r="M20" s="7" t="b">
        <v>1</v>
      </c>
      <c r="N20" s="7">
        <v>3</v>
      </c>
      <c r="O20" s="7" t="s">
        <v>191</v>
      </c>
      <c r="P20" s="7" t="s">
        <v>217</v>
      </c>
      <c r="Q20" s="7" t="b">
        <v>0</v>
      </c>
      <c r="R20" s="7" t="s">
        <v>202</v>
      </c>
      <c r="S20" s="7" t="b">
        <v>0</v>
      </c>
      <c r="T20" s="7" t="b">
        <v>0</v>
      </c>
      <c r="U20" s="7" t="s">
        <v>202</v>
      </c>
      <c r="V20" s="7" t="s">
        <v>202</v>
      </c>
      <c r="W20" s="7" t="b">
        <v>1</v>
      </c>
      <c r="X20" s="7" t="s">
        <v>216</v>
      </c>
      <c r="Y20" s="1" t="s">
        <v>189</v>
      </c>
      <c r="Z20" s="1" t="s">
        <v>140</v>
      </c>
      <c r="AA20" s="1" t="s">
        <v>81</v>
      </c>
      <c r="AB20" s="1" t="s">
        <v>34</v>
      </c>
      <c r="AC20" s="1" t="s">
        <v>35</v>
      </c>
      <c r="AD20" s="1" t="s">
        <v>36</v>
      </c>
      <c r="AE20" s="1" t="s">
        <v>82</v>
      </c>
      <c r="AF20" s="1" t="s">
        <v>37</v>
      </c>
      <c r="AG20" s="1" t="s">
        <v>83</v>
      </c>
      <c r="AH20" s="9">
        <v>56.1</v>
      </c>
      <c r="AI20" s="9">
        <v>56.2</v>
      </c>
      <c r="AJ20" s="9">
        <v>56</v>
      </c>
      <c r="AK20" s="1" t="s">
        <v>211</v>
      </c>
      <c r="AL20" s="1" t="s">
        <v>84</v>
      </c>
      <c r="AM20" s="6">
        <v>44.8</v>
      </c>
      <c r="AN20" s="1" t="s">
        <v>202</v>
      </c>
      <c r="AO20" s="6" t="s">
        <v>202</v>
      </c>
      <c r="AP20" s="6" t="s">
        <v>202</v>
      </c>
      <c r="AQ20" s="6">
        <v>3</v>
      </c>
      <c r="AR20" s="6">
        <v>12</v>
      </c>
      <c r="AS20" s="1" t="s">
        <v>38</v>
      </c>
      <c r="AT20" s="1" t="s">
        <v>39</v>
      </c>
      <c r="AU20" s="1" t="s">
        <v>202</v>
      </c>
      <c r="AV20" s="1" t="s">
        <v>202</v>
      </c>
      <c r="AW20" s="1" t="s">
        <v>40</v>
      </c>
      <c r="AX20" s="8">
        <v>8.2263888888888896</v>
      </c>
      <c r="AY20" s="1" t="s">
        <v>202</v>
      </c>
      <c r="AZ20" s="8">
        <v>0.24305609070235321</v>
      </c>
      <c r="BA20" s="1" t="s">
        <v>41</v>
      </c>
      <c r="BB20" s="1" t="s">
        <v>167</v>
      </c>
      <c r="BC20" s="1" t="s">
        <v>141</v>
      </c>
      <c r="BD20" s="6">
        <v>520</v>
      </c>
      <c r="BE20" s="1" t="s">
        <v>142</v>
      </c>
      <c r="BF20" s="6">
        <v>349</v>
      </c>
      <c r="BG20" s="6">
        <v>775</v>
      </c>
      <c r="BH20" s="1" t="s">
        <v>143</v>
      </c>
      <c r="BI20" s="1" t="s">
        <v>144</v>
      </c>
      <c r="BJ20" s="1" t="s">
        <v>170</v>
      </c>
    </row>
    <row r="21" spans="1:62" x14ac:dyDescent="0.2">
      <c r="A21" s="7" t="s">
        <v>33</v>
      </c>
      <c r="B21" s="7" t="s">
        <v>139</v>
      </c>
      <c r="C21" s="7" t="s">
        <v>134</v>
      </c>
      <c r="D21" s="7" t="s">
        <v>150</v>
      </c>
      <c r="E21" s="7">
        <v>2009</v>
      </c>
      <c r="F21" s="39" t="str">
        <f t="shared" si="14"/>
        <v>10.2475/09.2009.01</v>
      </c>
      <c r="G21">
        <f t="shared" si="15"/>
        <v>56100</v>
      </c>
      <c r="H21">
        <f t="shared" si="16"/>
        <v>100.00000000000142</v>
      </c>
      <c r="I21">
        <f t="shared" si="17"/>
        <v>100.00000000000142</v>
      </c>
      <c r="J21">
        <f t="shared" si="18"/>
        <v>305</v>
      </c>
      <c r="K21" s="40">
        <f t="shared" si="19"/>
        <v>9</v>
      </c>
      <c r="L21" s="40">
        <f t="shared" si="20"/>
        <v>8</v>
      </c>
      <c r="M21" s="7" t="b">
        <v>1</v>
      </c>
      <c r="N21" s="7">
        <v>3</v>
      </c>
      <c r="O21" s="7" t="s">
        <v>190</v>
      </c>
      <c r="P21" s="7" t="s">
        <v>202</v>
      </c>
      <c r="Q21" s="7" t="b">
        <v>0</v>
      </c>
      <c r="R21" s="7" t="s">
        <v>202</v>
      </c>
      <c r="S21" s="7" t="b">
        <v>0</v>
      </c>
      <c r="T21" s="7" t="b">
        <v>0</v>
      </c>
      <c r="U21" s="7" t="s">
        <v>202</v>
      </c>
      <c r="V21" s="7" t="s">
        <v>202</v>
      </c>
      <c r="W21" s="7" t="b">
        <v>1</v>
      </c>
      <c r="X21" s="7" t="s">
        <v>216</v>
      </c>
      <c r="Y21" s="1" t="s">
        <v>189</v>
      </c>
      <c r="Z21" s="1" t="s">
        <v>140</v>
      </c>
      <c r="AA21" s="1" t="s">
        <v>85</v>
      </c>
      <c r="AB21" s="1" t="s">
        <v>34</v>
      </c>
      <c r="AC21" s="1" t="s">
        <v>35</v>
      </c>
      <c r="AD21" s="1" t="s">
        <v>36</v>
      </c>
      <c r="AE21" s="1" t="s">
        <v>86</v>
      </c>
      <c r="AF21" s="1" t="s">
        <v>37</v>
      </c>
      <c r="AG21" s="1" t="s">
        <v>87</v>
      </c>
      <c r="AH21" s="9">
        <v>56.1</v>
      </c>
      <c r="AI21" s="9">
        <v>56.2</v>
      </c>
      <c r="AJ21" s="9">
        <v>56</v>
      </c>
      <c r="AK21" s="1" t="s">
        <v>211</v>
      </c>
      <c r="AL21" s="1" t="s">
        <v>84</v>
      </c>
      <c r="AM21" s="6">
        <v>43.95</v>
      </c>
      <c r="AN21" s="1" t="s">
        <v>202</v>
      </c>
      <c r="AO21" s="6" t="s">
        <v>202</v>
      </c>
      <c r="AP21" s="6" t="s">
        <v>202</v>
      </c>
      <c r="AQ21" s="6">
        <v>3</v>
      </c>
      <c r="AR21" s="6">
        <v>5</v>
      </c>
      <c r="AS21" s="1" t="s">
        <v>38</v>
      </c>
      <c r="AT21" s="1" t="s">
        <v>39</v>
      </c>
      <c r="AU21" s="1" t="s">
        <v>202</v>
      </c>
      <c r="AV21" s="1" t="s">
        <v>202</v>
      </c>
      <c r="AW21" s="1" t="s">
        <v>40</v>
      </c>
      <c r="AX21" s="8">
        <v>12.177999999999999</v>
      </c>
      <c r="AY21" s="1" t="s">
        <v>202</v>
      </c>
      <c r="AZ21" s="8">
        <v>0.58245588428898509</v>
      </c>
      <c r="BA21" s="1" t="s">
        <v>41</v>
      </c>
      <c r="BB21" s="1" t="s">
        <v>167</v>
      </c>
      <c r="BC21" s="1" t="s">
        <v>141</v>
      </c>
      <c r="BD21" s="6">
        <v>305</v>
      </c>
      <c r="BE21" s="1" t="s">
        <v>142</v>
      </c>
      <c r="BF21" s="6">
        <v>297</v>
      </c>
      <c r="BG21" s="6">
        <v>314</v>
      </c>
      <c r="BH21" s="1" t="s">
        <v>143</v>
      </c>
      <c r="BI21" s="1" t="s">
        <v>144</v>
      </c>
      <c r="BJ21" s="1" t="s">
        <v>170</v>
      </c>
    </row>
    <row r="22" spans="1:62" x14ac:dyDescent="0.2">
      <c r="A22" s="7" t="s">
        <v>33</v>
      </c>
      <c r="B22" s="7" t="s">
        <v>139</v>
      </c>
      <c r="C22" s="7" t="s">
        <v>134</v>
      </c>
      <c r="D22" s="7" t="s">
        <v>150</v>
      </c>
      <c r="E22" s="7">
        <v>2009</v>
      </c>
      <c r="F22" s="39" t="str">
        <f t="shared" si="14"/>
        <v>10.2475/09.2009.01</v>
      </c>
      <c r="G22">
        <f t="shared" si="15"/>
        <v>56100</v>
      </c>
      <c r="H22">
        <f t="shared" si="16"/>
        <v>100.00000000000142</v>
      </c>
      <c r="I22">
        <f t="shared" si="17"/>
        <v>100.00000000000142</v>
      </c>
      <c r="J22">
        <f t="shared" si="18"/>
        <v>310</v>
      </c>
      <c r="K22" s="40">
        <f t="shared" si="19"/>
        <v>21</v>
      </c>
      <c r="L22" s="40">
        <f t="shared" si="20"/>
        <v>14</v>
      </c>
      <c r="M22" s="7" t="b">
        <v>1</v>
      </c>
      <c r="N22" s="7">
        <v>3</v>
      </c>
      <c r="O22" s="7" t="s">
        <v>190</v>
      </c>
      <c r="P22" s="7" t="s">
        <v>202</v>
      </c>
      <c r="Q22" s="7" t="b">
        <v>0</v>
      </c>
      <c r="R22" s="7" t="s">
        <v>202</v>
      </c>
      <c r="S22" s="7" t="b">
        <v>0</v>
      </c>
      <c r="T22" s="7" t="b">
        <v>0</v>
      </c>
      <c r="U22" s="7" t="s">
        <v>202</v>
      </c>
      <c r="V22" s="7" t="s">
        <v>202</v>
      </c>
      <c r="W22" s="7" t="b">
        <v>1</v>
      </c>
      <c r="X22" s="7" t="s">
        <v>216</v>
      </c>
      <c r="Y22" s="1" t="s">
        <v>189</v>
      </c>
      <c r="Z22" s="1" t="s">
        <v>140</v>
      </c>
      <c r="AA22" s="1" t="s">
        <v>88</v>
      </c>
      <c r="AB22" s="1" t="s">
        <v>34</v>
      </c>
      <c r="AC22" s="1" t="s">
        <v>35</v>
      </c>
      <c r="AD22" s="1" t="s">
        <v>36</v>
      </c>
      <c r="AE22" s="1" t="s">
        <v>89</v>
      </c>
      <c r="AF22" s="1" t="s">
        <v>37</v>
      </c>
      <c r="AG22" s="1" t="s">
        <v>79</v>
      </c>
      <c r="AH22" s="9">
        <v>56.1</v>
      </c>
      <c r="AI22" s="9">
        <v>56.2</v>
      </c>
      <c r="AJ22" s="9">
        <v>56</v>
      </c>
      <c r="AK22" s="1" t="s">
        <v>211</v>
      </c>
      <c r="AL22" s="1" t="s">
        <v>84</v>
      </c>
      <c r="AM22" s="6">
        <v>43.95</v>
      </c>
      <c r="AN22" s="1" t="s">
        <v>202</v>
      </c>
      <c r="AO22" s="6" t="s">
        <v>202</v>
      </c>
      <c r="AP22" s="6" t="s">
        <v>202</v>
      </c>
      <c r="AQ22" s="6">
        <v>3</v>
      </c>
      <c r="AR22" s="6">
        <v>15</v>
      </c>
      <c r="AS22" s="1" t="s">
        <v>38</v>
      </c>
      <c r="AT22" s="1" t="s">
        <v>39</v>
      </c>
      <c r="AU22" s="1" t="s">
        <v>202</v>
      </c>
      <c r="AV22" s="1" t="s">
        <v>202</v>
      </c>
      <c r="AW22" s="1" t="s">
        <v>40</v>
      </c>
      <c r="AX22" s="8">
        <v>11.774222222222221</v>
      </c>
      <c r="AY22" s="1" t="s">
        <v>202</v>
      </c>
      <c r="AZ22" s="8">
        <v>0.23401533806821481</v>
      </c>
      <c r="BA22" s="1" t="s">
        <v>41</v>
      </c>
      <c r="BB22" s="1" t="s">
        <v>167</v>
      </c>
      <c r="BC22" s="1" t="s">
        <v>141</v>
      </c>
      <c r="BD22" s="6">
        <v>310</v>
      </c>
      <c r="BE22" s="1" t="s">
        <v>142</v>
      </c>
      <c r="BF22" s="6">
        <v>296</v>
      </c>
      <c r="BG22" s="6">
        <v>331</v>
      </c>
      <c r="BH22" s="1" t="s">
        <v>143</v>
      </c>
      <c r="BI22" s="1" t="s">
        <v>144</v>
      </c>
      <c r="BJ22" s="1" t="s">
        <v>170</v>
      </c>
    </row>
    <row r="23" spans="1:62" x14ac:dyDescent="0.2">
      <c r="A23" s="7" t="s">
        <v>33</v>
      </c>
      <c r="B23" s="7" t="s">
        <v>139</v>
      </c>
      <c r="C23" s="7" t="s">
        <v>134</v>
      </c>
      <c r="D23" s="7" t="s">
        <v>150</v>
      </c>
      <c r="E23" s="7">
        <v>2009</v>
      </c>
      <c r="F23" s="39" t="str">
        <f t="shared" si="14"/>
        <v>10.2475/09.2009.01</v>
      </c>
      <c r="G23">
        <f t="shared" si="15"/>
        <v>56100</v>
      </c>
      <c r="H23">
        <f t="shared" si="16"/>
        <v>100.00000000000142</v>
      </c>
      <c r="I23">
        <f t="shared" si="17"/>
        <v>100.00000000000142</v>
      </c>
      <c r="J23">
        <f t="shared" si="18"/>
        <v>303</v>
      </c>
      <c r="K23" s="40">
        <f t="shared" si="19"/>
        <v>11</v>
      </c>
      <c r="L23" s="40">
        <f t="shared" si="20"/>
        <v>9</v>
      </c>
      <c r="M23" s="7" t="b">
        <v>1</v>
      </c>
      <c r="N23" s="7">
        <v>3</v>
      </c>
      <c r="O23" s="7" t="s">
        <v>191</v>
      </c>
      <c r="P23" s="7" t="s">
        <v>217</v>
      </c>
      <c r="Q23" s="7" t="b">
        <v>0</v>
      </c>
      <c r="R23" s="7" t="s">
        <v>202</v>
      </c>
      <c r="S23" s="7" t="b">
        <v>0</v>
      </c>
      <c r="T23" s="7" t="b">
        <v>0</v>
      </c>
      <c r="U23" s="7" t="s">
        <v>202</v>
      </c>
      <c r="V23" s="7" t="s">
        <v>202</v>
      </c>
      <c r="W23" s="7" t="b">
        <v>1</v>
      </c>
      <c r="X23" s="7" t="s">
        <v>216</v>
      </c>
      <c r="Y23" s="1" t="s">
        <v>189</v>
      </c>
      <c r="Z23" s="1" t="s">
        <v>140</v>
      </c>
      <c r="AA23" s="1" t="s">
        <v>90</v>
      </c>
      <c r="AB23" s="1" t="s">
        <v>34</v>
      </c>
      <c r="AC23" s="1" t="s">
        <v>35</v>
      </c>
      <c r="AD23" s="1" t="s">
        <v>36</v>
      </c>
      <c r="AE23" s="1" t="s">
        <v>91</v>
      </c>
      <c r="AF23" s="1" t="s">
        <v>37</v>
      </c>
      <c r="AG23" s="1" t="s">
        <v>92</v>
      </c>
      <c r="AH23" s="9">
        <v>56.1</v>
      </c>
      <c r="AI23" s="9">
        <v>56.2</v>
      </c>
      <c r="AJ23" s="9">
        <v>56</v>
      </c>
      <c r="AK23" s="1" t="s">
        <v>211</v>
      </c>
      <c r="AL23" s="1" t="s">
        <v>84</v>
      </c>
      <c r="AM23" s="6">
        <v>44.15</v>
      </c>
      <c r="AN23" s="1" t="s">
        <v>202</v>
      </c>
      <c r="AO23" s="6" t="s">
        <v>202</v>
      </c>
      <c r="AP23" s="6" t="s">
        <v>202</v>
      </c>
      <c r="AQ23" s="6">
        <v>3</v>
      </c>
      <c r="AR23" s="6">
        <v>7</v>
      </c>
      <c r="AS23" s="1" t="s">
        <v>38</v>
      </c>
      <c r="AT23" s="1" t="s">
        <v>39</v>
      </c>
      <c r="AU23" s="1" t="s">
        <v>202</v>
      </c>
      <c r="AV23" s="1" t="s">
        <v>202</v>
      </c>
      <c r="AW23" s="1" t="s">
        <v>40</v>
      </c>
      <c r="AX23" s="8">
        <v>12.414761904761903</v>
      </c>
      <c r="AY23" s="1" t="s">
        <v>202</v>
      </c>
      <c r="AZ23" s="8">
        <v>0.33175855904046525</v>
      </c>
      <c r="BA23" s="1" t="s">
        <v>41</v>
      </c>
      <c r="BB23" s="1" t="s">
        <v>167</v>
      </c>
      <c r="BC23" s="1" t="s">
        <v>141</v>
      </c>
      <c r="BD23" s="6">
        <v>303</v>
      </c>
      <c r="BE23" s="1" t="s">
        <v>142</v>
      </c>
      <c r="BF23" s="6">
        <v>294</v>
      </c>
      <c r="BG23" s="6">
        <v>314</v>
      </c>
      <c r="BH23" s="1" t="s">
        <v>143</v>
      </c>
      <c r="BI23" s="1" t="s">
        <v>144</v>
      </c>
      <c r="BJ23" s="1" t="s">
        <v>170</v>
      </c>
    </row>
    <row r="24" spans="1:62" x14ac:dyDescent="0.2">
      <c r="A24" s="7" t="s">
        <v>33</v>
      </c>
      <c r="B24" s="7" t="s">
        <v>139</v>
      </c>
      <c r="C24" s="7" t="s">
        <v>134</v>
      </c>
      <c r="D24" s="7" t="s">
        <v>150</v>
      </c>
      <c r="E24" s="7">
        <v>2009</v>
      </c>
      <c r="F24" s="39" t="str">
        <f t="shared" si="14"/>
        <v>10.2475/09.2009.01</v>
      </c>
      <c r="G24">
        <f t="shared" si="15"/>
        <v>56000</v>
      </c>
      <c r="H24" t="s">
        <v>202</v>
      </c>
      <c r="I24" t="s">
        <v>202</v>
      </c>
      <c r="J24">
        <f t="shared" si="18"/>
        <v>666</v>
      </c>
      <c r="K24" s="40">
        <f t="shared" si="19"/>
        <v>137</v>
      </c>
      <c r="L24" s="40">
        <f t="shared" si="20"/>
        <v>273</v>
      </c>
      <c r="M24" s="7" t="b">
        <v>1</v>
      </c>
      <c r="N24" s="7">
        <v>3</v>
      </c>
      <c r="O24" s="7" t="s">
        <v>186</v>
      </c>
      <c r="P24" s="7" t="s">
        <v>202</v>
      </c>
      <c r="Q24" s="7" t="b">
        <v>0</v>
      </c>
      <c r="R24" s="7" t="s">
        <v>202</v>
      </c>
      <c r="S24" s="7" t="b">
        <v>0</v>
      </c>
      <c r="T24" s="7" t="b">
        <v>1</v>
      </c>
      <c r="U24" s="1" t="s">
        <v>171</v>
      </c>
      <c r="V24" s="7" t="s">
        <v>202</v>
      </c>
      <c r="W24" s="7" t="b">
        <v>1</v>
      </c>
      <c r="X24" s="7" t="s">
        <v>216</v>
      </c>
      <c r="Y24" s="1" t="s">
        <v>189</v>
      </c>
      <c r="Z24" s="1" t="s">
        <v>140</v>
      </c>
      <c r="AA24" s="1" t="s">
        <v>202</v>
      </c>
      <c r="AB24" s="1" t="s">
        <v>34</v>
      </c>
      <c r="AC24" s="1" t="s">
        <v>35</v>
      </c>
      <c r="AD24" s="1" t="s">
        <v>168</v>
      </c>
      <c r="AE24" s="1" t="s">
        <v>169</v>
      </c>
      <c r="AF24" s="1"/>
      <c r="AG24" s="1"/>
      <c r="AH24" s="9">
        <v>56</v>
      </c>
      <c r="AI24" s="9" t="s">
        <v>202</v>
      </c>
      <c r="AJ24" s="9" t="s">
        <v>202</v>
      </c>
      <c r="AK24" s="1" t="s">
        <v>211</v>
      </c>
      <c r="AL24" s="1" t="s">
        <v>212</v>
      </c>
      <c r="AM24" s="6">
        <v>56.3</v>
      </c>
      <c r="AN24" s="1">
        <v>-6.2</v>
      </c>
      <c r="AO24" s="6" t="s">
        <v>202</v>
      </c>
      <c r="AP24" s="6" t="s">
        <v>202</v>
      </c>
      <c r="AQ24" s="6">
        <v>3</v>
      </c>
      <c r="AR24" s="6">
        <v>13</v>
      </c>
      <c r="AS24" s="1" t="s">
        <v>38</v>
      </c>
      <c r="AT24" s="1" t="s">
        <v>39</v>
      </c>
      <c r="AU24" s="1" t="s">
        <v>202</v>
      </c>
      <c r="AV24" s="1" t="s">
        <v>202</v>
      </c>
      <c r="AW24" s="1" t="s">
        <v>40</v>
      </c>
      <c r="AX24" s="8">
        <v>6.54</v>
      </c>
      <c r="AY24" s="1" t="s">
        <v>202</v>
      </c>
      <c r="AZ24" s="8">
        <v>0.23249121367216166</v>
      </c>
      <c r="BA24" s="1" t="s">
        <v>41</v>
      </c>
      <c r="BB24" s="1" t="s">
        <v>167</v>
      </c>
      <c r="BC24" s="1" t="s">
        <v>141</v>
      </c>
      <c r="BD24" s="6">
        <v>666</v>
      </c>
      <c r="BE24" s="1" t="s">
        <v>142</v>
      </c>
      <c r="BF24" s="6">
        <v>393</v>
      </c>
      <c r="BG24" s="6">
        <v>803</v>
      </c>
      <c r="BH24" s="1" t="s">
        <v>143</v>
      </c>
      <c r="BI24" s="1" t="s">
        <v>144</v>
      </c>
      <c r="BJ24" s="1" t="s">
        <v>170</v>
      </c>
    </row>
    <row r="25" spans="1:62" x14ac:dyDescent="0.2">
      <c r="A25" s="7" t="s">
        <v>33</v>
      </c>
      <c r="B25" s="7" t="s">
        <v>139</v>
      </c>
      <c r="C25" s="7" t="s">
        <v>134</v>
      </c>
      <c r="D25" s="7" t="s">
        <v>150</v>
      </c>
      <c r="E25" s="7">
        <v>2009</v>
      </c>
      <c r="F25" s="39" t="str">
        <f>Z25</f>
        <v>10.2475/09.2009.01</v>
      </c>
      <c r="G25">
        <f>AH25*1000</f>
        <v>55900</v>
      </c>
      <c r="H25">
        <f>(AI25-AH25)*1000</f>
        <v>100.00000000000142</v>
      </c>
      <c r="I25">
        <f>(AH25-AJ25)*1000</f>
        <v>100.00000000000142</v>
      </c>
      <c r="J25">
        <f>BD25</f>
        <v>514</v>
      </c>
      <c r="K25" s="40">
        <f>BG25-BD25</f>
        <v>261</v>
      </c>
      <c r="L25" s="40">
        <f>BD25-BF25</f>
        <v>172</v>
      </c>
      <c r="M25" s="7" t="b">
        <v>1</v>
      </c>
      <c r="N25" s="7">
        <v>3</v>
      </c>
      <c r="O25" s="7" t="s">
        <v>191</v>
      </c>
      <c r="P25" s="7" t="s">
        <v>217</v>
      </c>
      <c r="Q25" s="7" t="b">
        <v>0</v>
      </c>
      <c r="R25" s="7" t="s">
        <v>202</v>
      </c>
      <c r="S25" s="7" t="b">
        <v>0</v>
      </c>
      <c r="T25" s="7" t="b">
        <v>0</v>
      </c>
      <c r="U25" s="1" t="s">
        <v>202</v>
      </c>
      <c r="V25" s="7" t="s">
        <v>202</v>
      </c>
      <c r="W25" s="7" t="b">
        <v>1</v>
      </c>
      <c r="X25" s="7" t="s">
        <v>216</v>
      </c>
      <c r="Y25" s="1" t="s">
        <v>189</v>
      </c>
      <c r="Z25" s="1" t="s">
        <v>140</v>
      </c>
      <c r="AA25" s="1" t="s">
        <v>93</v>
      </c>
      <c r="AB25" s="1" t="s">
        <v>34</v>
      </c>
      <c r="AC25" s="1" t="s">
        <v>35</v>
      </c>
      <c r="AD25" s="1" t="s">
        <v>36</v>
      </c>
      <c r="AE25" s="1" t="s">
        <v>94</v>
      </c>
      <c r="AF25" s="1" t="s">
        <v>95</v>
      </c>
      <c r="AG25" s="1" t="s">
        <v>96</v>
      </c>
      <c r="AH25" s="9">
        <v>55.9</v>
      </c>
      <c r="AI25" s="9">
        <v>56</v>
      </c>
      <c r="AJ25" s="9">
        <v>55.8</v>
      </c>
      <c r="AK25" s="1" t="s">
        <v>211</v>
      </c>
      <c r="AL25" s="1" t="s">
        <v>97</v>
      </c>
      <c r="AM25" s="6">
        <v>44.8</v>
      </c>
      <c r="AN25" s="1" t="s">
        <v>202</v>
      </c>
      <c r="AO25" s="6" t="s">
        <v>202</v>
      </c>
      <c r="AP25" s="6" t="s">
        <v>202</v>
      </c>
      <c r="AQ25" s="6">
        <v>3</v>
      </c>
      <c r="AR25" s="6">
        <v>22</v>
      </c>
      <c r="AS25" s="1" t="s">
        <v>38</v>
      </c>
      <c r="AT25" s="1" t="s">
        <v>39</v>
      </c>
      <c r="AU25" s="1" t="s">
        <v>202</v>
      </c>
      <c r="AV25" s="1" t="s">
        <v>202</v>
      </c>
      <c r="AW25" s="1" t="s">
        <v>40</v>
      </c>
      <c r="AX25" s="8">
        <v>8.5340909090909065</v>
      </c>
      <c r="AY25" s="1" t="s">
        <v>202</v>
      </c>
      <c r="AZ25" s="8">
        <v>0.15571310236436275</v>
      </c>
      <c r="BA25" s="1" t="s">
        <v>41</v>
      </c>
      <c r="BB25" s="1" t="s">
        <v>167</v>
      </c>
      <c r="BC25" s="1" t="s">
        <v>141</v>
      </c>
      <c r="BD25" s="6">
        <v>514</v>
      </c>
      <c r="BE25" s="1" t="s">
        <v>142</v>
      </c>
      <c r="BF25" s="6">
        <v>342</v>
      </c>
      <c r="BG25" s="6">
        <v>775</v>
      </c>
      <c r="BH25" s="1" t="s">
        <v>143</v>
      </c>
      <c r="BI25" s="1" t="s">
        <v>144</v>
      </c>
      <c r="BJ25" s="1" t="s">
        <v>170</v>
      </c>
    </row>
    <row r="26" spans="1:62" x14ac:dyDescent="0.2">
      <c r="A26" s="7" t="s">
        <v>33</v>
      </c>
      <c r="B26" s="7" t="s">
        <v>139</v>
      </c>
      <c r="C26" s="7" t="s">
        <v>134</v>
      </c>
      <c r="D26" s="7" t="s">
        <v>150</v>
      </c>
      <c r="E26" s="7">
        <v>2009</v>
      </c>
      <c r="F26" s="39" t="str">
        <f>Z26</f>
        <v>10.2475/09.2009.01</v>
      </c>
      <c r="G26">
        <f>AH26*1000</f>
        <v>55600</v>
      </c>
      <c r="H26">
        <f>(AI26-AH26)*1000</f>
        <v>100.00000000000142</v>
      </c>
      <c r="I26">
        <f>(AH26-AJ26)*1000</f>
        <v>100.00000000000142</v>
      </c>
      <c r="J26">
        <f>BD26</f>
        <v>479</v>
      </c>
      <c r="K26" s="40">
        <f>BG26-BD26</f>
        <v>266</v>
      </c>
      <c r="L26" s="40">
        <f>BD26-BF26</f>
        <v>141</v>
      </c>
      <c r="M26" s="7" t="b">
        <v>1</v>
      </c>
      <c r="N26" s="7">
        <v>3</v>
      </c>
      <c r="O26" s="7" t="s">
        <v>190</v>
      </c>
      <c r="P26" s="7" t="s">
        <v>202</v>
      </c>
      <c r="Q26" s="7" t="b">
        <v>0</v>
      </c>
      <c r="R26" s="7" t="s">
        <v>202</v>
      </c>
      <c r="S26" s="7" t="b">
        <v>0</v>
      </c>
      <c r="T26" s="7" t="b">
        <v>0</v>
      </c>
      <c r="U26" s="1" t="s">
        <v>202</v>
      </c>
      <c r="V26" s="7" t="s">
        <v>202</v>
      </c>
      <c r="W26" s="7" t="b">
        <v>1</v>
      </c>
      <c r="X26" s="7" t="s">
        <v>216</v>
      </c>
      <c r="Y26" s="1" t="s">
        <v>189</v>
      </c>
      <c r="Z26" s="1" t="s">
        <v>140</v>
      </c>
      <c r="AA26" s="1" t="s">
        <v>98</v>
      </c>
      <c r="AB26" s="1" t="s">
        <v>34</v>
      </c>
      <c r="AC26" s="1" t="s">
        <v>35</v>
      </c>
      <c r="AD26" s="1" t="s">
        <v>36</v>
      </c>
      <c r="AE26" s="1" t="s">
        <v>99</v>
      </c>
      <c r="AF26" s="1" t="s">
        <v>95</v>
      </c>
      <c r="AG26" s="1" t="s">
        <v>100</v>
      </c>
      <c r="AH26" s="9">
        <v>55.6</v>
      </c>
      <c r="AI26" s="9">
        <v>55.7</v>
      </c>
      <c r="AJ26" s="9">
        <v>55.5</v>
      </c>
      <c r="AK26" s="1" t="s">
        <v>211</v>
      </c>
      <c r="AL26" s="1" t="s">
        <v>101</v>
      </c>
      <c r="AM26" s="6">
        <v>44.35</v>
      </c>
      <c r="AN26" s="6">
        <v>-108.39</v>
      </c>
      <c r="AO26" s="6" t="s">
        <v>202</v>
      </c>
      <c r="AP26" s="6" t="s">
        <v>202</v>
      </c>
      <c r="AQ26" s="6">
        <v>3</v>
      </c>
      <c r="AR26" s="6">
        <v>8</v>
      </c>
      <c r="AS26" s="1" t="s">
        <v>38</v>
      </c>
      <c r="AT26" s="1" t="s">
        <v>39</v>
      </c>
      <c r="AU26" s="1" t="s">
        <v>202</v>
      </c>
      <c r="AV26" s="1" t="s">
        <v>202</v>
      </c>
      <c r="AW26" s="1" t="s">
        <v>40</v>
      </c>
      <c r="AX26" s="8">
        <v>8.8275000000000006</v>
      </c>
      <c r="AY26" s="1" t="s">
        <v>202</v>
      </c>
      <c r="AZ26" s="8">
        <v>0.301280329521395</v>
      </c>
      <c r="BA26" s="1" t="s">
        <v>41</v>
      </c>
      <c r="BB26" s="1" t="s">
        <v>167</v>
      </c>
      <c r="BC26" s="1" t="s">
        <v>141</v>
      </c>
      <c r="BD26" s="6">
        <v>479</v>
      </c>
      <c r="BE26" s="1" t="s">
        <v>142</v>
      </c>
      <c r="BF26" s="6">
        <v>338</v>
      </c>
      <c r="BG26" s="6">
        <v>745</v>
      </c>
      <c r="BH26" s="1" t="s">
        <v>143</v>
      </c>
      <c r="BI26" s="1" t="s">
        <v>144</v>
      </c>
      <c r="BJ26" s="1" t="s">
        <v>170</v>
      </c>
    </row>
    <row r="27" spans="1:62" x14ac:dyDescent="0.2">
      <c r="A27" s="7" t="s">
        <v>33</v>
      </c>
      <c r="B27" s="7" t="s">
        <v>139</v>
      </c>
      <c r="C27" s="7" t="s">
        <v>134</v>
      </c>
      <c r="D27" s="7" t="s">
        <v>150</v>
      </c>
      <c r="E27" s="7">
        <v>2009</v>
      </c>
      <c r="F27" s="39" t="str">
        <f t="shared" ref="F27:F28" si="21">Z27</f>
        <v>10.2475/09.2009.01</v>
      </c>
      <c r="G27">
        <f t="shared" ref="G27:G28" si="22">AH27*1000</f>
        <v>54700</v>
      </c>
      <c r="H27">
        <f t="shared" ref="H27:H28" si="23">(AI27-AH27)*1000</f>
        <v>99.999999999994316</v>
      </c>
      <c r="I27">
        <f t="shared" ref="I27:I28" si="24">(AH27-AJ27)*1000</f>
        <v>100.00000000000142</v>
      </c>
      <c r="J27">
        <f t="shared" ref="J27:J28" si="25">BD27</f>
        <v>377</v>
      </c>
      <c r="K27" s="40">
        <f t="shared" ref="K27:K28" si="26">BG27-BD27</f>
        <v>336</v>
      </c>
      <c r="L27" s="40">
        <f t="shared" ref="L27:L28" si="27">BD27-BF27</f>
        <v>48</v>
      </c>
      <c r="M27" s="7" t="b">
        <v>1</v>
      </c>
      <c r="N27" s="7">
        <v>3</v>
      </c>
      <c r="O27" s="7" t="s">
        <v>190</v>
      </c>
      <c r="P27" s="7" t="s">
        <v>202</v>
      </c>
      <c r="Q27" s="7" t="b">
        <v>0</v>
      </c>
      <c r="R27" s="7" t="s">
        <v>202</v>
      </c>
      <c r="S27" s="7" t="b">
        <v>0</v>
      </c>
      <c r="T27" s="7" t="b">
        <v>0</v>
      </c>
      <c r="U27" s="1" t="s">
        <v>202</v>
      </c>
      <c r="V27" s="7" t="s">
        <v>202</v>
      </c>
      <c r="W27" s="7" t="b">
        <v>1</v>
      </c>
      <c r="X27" s="7" t="s">
        <v>216</v>
      </c>
      <c r="Y27" s="1" t="s">
        <v>189</v>
      </c>
      <c r="Z27" s="1" t="s">
        <v>140</v>
      </c>
      <c r="AA27" s="1" t="s">
        <v>102</v>
      </c>
      <c r="AB27" s="1" t="s">
        <v>34</v>
      </c>
      <c r="AC27" s="1" t="s">
        <v>35</v>
      </c>
      <c r="AD27" s="1" t="s">
        <v>36</v>
      </c>
      <c r="AE27" s="1" t="s">
        <v>103</v>
      </c>
      <c r="AF27" s="1" t="s">
        <v>95</v>
      </c>
      <c r="AG27" s="1" t="s">
        <v>104</v>
      </c>
      <c r="AH27" s="9">
        <v>54.7</v>
      </c>
      <c r="AI27" s="9">
        <v>54.8</v>
      </c>
      <c r="AJ27" s="9">
        <v>54.6</v>
      </c>
      <c r="AK27" s="1" t="s">
        <v>211</v>
      </c>
      <c r="AL27" s="1" t="s">
        <v>105</v>
      </c>
      <c r="AM27" s="6">
        <v>44.17</v>
      </c>
      <c r="AN27" s="6">
        <v>-108.13</v>
      </c>
      <c r="AO27" s="6" t="s">
        <v>202</v>
      </c>
      <c r="AP27" s="6" t="s">
        <v>202</v>
      </c>
      <c r="AQ27" s="6">
        <v>3</v>
      </c>
      <c r="AR27" s="6">
        <v>5</v>
      </c>
      <c r="AS27" s="1" t="s">
        <v>38</v>
      </c>
      <c r="AT27" s="1" t="s">
        <v>39</v>
      </c>
      <c r="AU27" s="1" t="s">
        <v>202</v>
      </c>
      <c r="AV27" s="1" t="s">
        <v>202</v>
      </c>
      <c r="AW27" s="1" t="s">
        <v>40</v>
      </c>
      <c r="AX27" s="8">
        <v>9.2853333333333321</v>
      </c>
      <c r="AY27" s="1" t="s">
        <v>202</v>
      </c>
      <c r="AZ27" s="8">
        <v>0.35507691990275153</v>
      </c>
      <c r="BA27" s="1" t="s">
        <v>41</v>
      </c>
      <c r="BB27" s="1" t="s">
        <v>167</v>
      </c>
      <c r="BC27" s="1" t="s">
        <v>141</v>
      </c>
      <c r="BD27" s="6">
        <v>377</v>
      </c>
      <c r="BE27" s="1" t="s">
        <v>142</v>
      </c>
      <c r="BF27" s="6">
        <v>329</v>
      </c>
      <c r="BG27" s="6">
        <v>713</v>
      </c>
      <c r="BH27" s="1" t="s">
        <v>143</v>
      </c>
      <c r="BI27" s="1" t="s">
        <v>144</v>
      </c>
      <c r="BJ27" s="1" t="s">
        <v>170</v>
      </c>
    </row>
    <row r="28" spans="1:62" x14ac:dyDescent="0.2">
      <c r="A28" s="7" t="s">
        <v>33</v>
      </c>
      <c r="B28" s="7" t="s">
        <v>139</v>
      </c>
      <c r="C28" s="7" t="s">
        <v>134</v>
      </c>
      <c r="D28" s="7" t="s">
        <v>150</v>
      </c>
      <c r="E28" s="7">
        <v>2009</v>
      </c>
      <c r="F28" s="39" t="str">
        <f t="shared" si="21"/>
        <v>10.2475/09.2009.01</v>
      </c>
      <c r="G28">
        <f t="shared" si="22"/>
        <v>54300</v>
      </c>
      <c r="H28">
        <f t="shared" si="23"/>
        <v>100.00000000000142</v>
      </c>
      <c r="I28">
        <f t="shared" si="24"/>
        <v>99.999999999994316</v>
      </c>
      <c r="J28">
        <f t="shared" si="25"/>
        <v>327</v>
      </c>
      <c r="K28" s="40">
        <f t="shared" si="26"/>
        <v>149</v>
      </c>
      <c r="L28" s="40">
        <f t="shared" si="27"/>
        <v>15</v>
      </c>
      <c r="M28" s="7" t="b">
        <v>1</v>
      </c>
      <c r="N28" s="7">
        <v>3</v>
      </c>
      <c r="O28" s="7" t="s">
        <v>190</v>
      </c>
      <c r="P28" s="7" t="s">
        <v>202</v>
      </c>
      <c r="Q28" s="7" t="b">
        <v>0</v>
      </c>
      <c r="R28" s="7" t="s">
        <v>202</v>
      </c>
      <c r="S28" s="7" t="b">
        <v>0</v>
      </c>
      <c r="T28" s="7" t="b">
        <v>0</v>
      </c>
      <c r="U28" s="1" t="s">
        <v>202</v>
      </c>
      <c r="V28" s="7" t="s">
        <v>202</v>
      </c>
      <c r="W28" s="7" t="b">
        <v>1</v>
      </c>
      <c r="X28" s="7" t="s">
        <v>216</v>
      </c>
      <c r="Y28" s="1" t="s">
        <v>189</v>
      </c>
      <c r="Z28" s="1" t="s">
        <v>140</v>
      </c>
      <c r="AA28" s="1" t="s">
        <v>106</v>
      </c>
      <c r="AB28" s="1" t="s">
        <v>34</v>
      </c>
      <c r="AC28" s="1" t="s">
        <v>35</v>
      </c>
      <c r="AD28" s="1" t="s">
        <v>36</v>
      </c>
      <c r="AE28" s="1" t="s">
        <v>107</v>
      </c>
      <c r="AF28" s="1" t="s">
        <v>95</v>
      </c>
      <c r="AG28" s="1" t="s">
        <v>108</v>
      </c>
      <c r="AH28" s="9">
        <v>54.3</v>
      </c>
      <c r="AI28" s="9">
        <v>54.4</v>
      </c>
      <c r="AJ28" s="9">
        <v>54.2</v>
      </c>
      <c r="AK28" s="1" t="s">
        <v>211</v>
      </c>
      <c r="AL28" s="1" t="s">
        <v>109</v>
      </c>
      <c r="AM28" s="6">
        <v>44.3</v>
      </c>
      <c r="AN28" s="1" t="s">
        <v>202</v>
      </c>
      <c r="AO28" s="6" t="s">
        <v>202</v>
      </c>
      <c r="AP28" s="6" t="s">
        <v>202</v>
      </c>
      <c r="AQ28" s="6">
        <v>3</v>
      </c>
      <c r="AR28" s="6">
        <v>9</v>
      </c>
      <c r="AS28" s="1" t="s">
        <v>38</v>
      </c>
      <c r="AT28" s="1" t="s">
        <v>39</v>
      </c>
      <c r="AU28" s="1" t="s">
        <v>202</v>
      </c>
      <c r="AV28" s="1" t="s">
        <v>202</v>
      </c>
      <c r="AW28" s="1" t="s">
        <v>40</v>
      </c>
      <c r="AX28" s="8">
        <v>10.21592592592593</v>
      </c>
      <c r="AY28" s="1" t="s">
        <v>202</v>
      </c>
      <c r="AZ28" s="8">
        <v>0.35513721828515948</v>
      </c>
      <c r="BA28" s="1" t="s">
        <v>41</v>
      </c>
      <c r="BB28" s="1" t="s">
        <v>167</v>
      </c>
      <c r="BC28" s="1" t="s">
        <v>141</v>
      </c>
      <c r="BD28" s="6">
        <v>327</v>
      </c>
      <c r="BE28" s="1" t="s">
        <v>142</v>
      </c>
      <c r="BF28" s="6">
        <v>312</v>
      </c>
      <c r="BG28" s="6">
        <v>476</v>
      </c>
      <c r="BH28" s="1" t="s">
        <v>143</v>
      </c>
      <c r="BI28" s="1" t="s">
        <v>144</v>
      </c>
      <c r="BJ28" s="1" t="s">
        <v>170</v>
      </c>
    </row>
    <row r="29" spans="1:62" x14ac:dyDescent="0.2">
      <c r="A29" s="7" t="s">
        <v>33</v>
      </c>
      <c r="B29" s="7" t="s">
        <v>139</v>
      </c>
      <c r="C29" s="7" t="s">
        <v>134</v>
      </c>
      <c r="D29" s="7" t="s">
        <v>150</v>
      </c>
      <c r="E29" s="7">
        <v>2009</v>
      </c>
      <c r="F29" s="39" t="str">
        <f t="shared" ref="F29:F31" si="28">Z29</f>
        <v>10.2475/09.2009.01</v>
      </c>
      <c r="G29">
        <f t="shared" ref="G29:G31" si="29">AH29*1000</f>
        <v>54200</v>
      </c>
      <c r="H29">
        <f t="shared" ref="H29:H31" si="30">(AI29-AH29)*1000</f>
        <v>99.999999999994316</v>
      </c>
      <c r="I29">
        <f t="shared" ref="I29:I31" si="31">(AH29-AJ29)*1000</f>
        <v>100.00000000000142</v>
      </c>
      <c r="J29">
        <f t="shared" ref="J29:J33" si="32">BD29</f>
        <v>443</v>
      </c>
      <c r="K29" s="40">
        <f t="shared" ref="K29:K33" si="33">BG29-BD29</f>
        <v>301</v>
      </c>
      <c r="L29" s="40">
        <f t="shared" ref="L29:L33" si="34">BD29-BF29</f>
        <v>120</v>
      </c>
      <c r="M29" s="7" t="b">
        <v>1</v>
      </c>
      <c r="N29" s="7">
        <v>3</v>
      </c>
      <c r="O29" s="7" t="s">
        <v>188</v>
      </c>
      <c r="P29" s="7" t="s">
        <v>202</v>
      </c>
      <c r="Q29" s="7" t="b">
        <v>0</v>
      </c>
      <c r="R29" s="7" t="s">
        <v>202</v>
      </c>
      <c r="S29" s="7" t="b">
        <v>0</v>
      </c>
      <c r="T29" s="7" t="b">
        <v>0</v>
      </c>
      <c r="U29" s="1" t="s">
        <v>202</v>
      </c>
      <c r="V29" s="7" t="s">
        <v>202</v>
      </c>
      <c r="W29" s="7" t="b">
        <v>1</v>
      </c>
      <c r="X29" s="7" t="s">
        <v>216</v>
      </c>
      <c r="Y29" s="1" t="s">
        <v>189</v>
      </c>
      <c r="Z29" s="1" t="s">
        <v>140</v>
      </c>
      <c r="AA29" s="1" t="s">
        <v>110</v>
      </c>
      <c r="AB29" s="1" t="s">
        <v>34</v>
      </c>
      <c r="AC29" s="1" t="s">
        <v>35</v>
      </c>
      <c r="AD29" s="1" t="s">
        <v>36</v>
      </c>
      <c r="AE29" s="1" t="s">
        <v>111</v>
      </c>
      <c r="AF29" s="1" t="s">
        <v>95</v>
      </c>
      <c r="AG29" s="1" t="s">
        <v>112</v>
      </c>
      <c r="AH29" s="9">
        <v>54.2</v>
      </c>
      <c r="AI29" s="9">
        <v>54.3</v>
      </c>
      <c r="AJ29" s="9">
        <v>54.1</v>
      </c>
      <c r="AK29" s="1" t="s">
        <v>211</v>
      </c>
      <c r="AL29" s="1" t="s">
        <v>113</v>
      </c>
      <c r="AM29" s="6">
        <v>44.35</v>
      </c>
      <c r="AN29" s="1" t="s">
        <v>202</v>
      </c>
      <c r="AO29" s="6" t="s">
        <v>202</v>
      </c>
      <c r="AP29" s="6" t="s">
        <v>202</v>
      </c>
      <c r="AQ29" s="6">
        <v>3</v>
      </c>
      <c r="AR29" s="6">
        <v>15</v>
      </c>
      <c r="AS29" s="1" t="s">
        <v>38</v>
      </c>
      <c r="AT29" s="1" t="s">
        <v>39</v>
      </c>
      <c r="AU29" s="1" t="s">
        <v>202</v>
      </c>
      <c r="AV29" s="1" t="s">
        <v>202</v>
      </c>
      <c r="AW29" s="1" t="s">
        <v>40</v>
      </c>
      <c r="AX29" s="8">
        <v>9.3793333333333315</v>
      </c>
      <c r="AY29" s="1" t="s">
        <v>202</v>
      </c>
      <c r="AZ29" s="8">
        <v>0.20679766131964439</v>
      </c>
      <c r="BA29" s="1" t="s">
        <v>41</v>
      </c>
      <c r="BB29" s="1" t="s">
        <v>167</v>
      </c>
      <c r="BC29" s="1" t="s">
        <v>141</v>
      </c>
      <c r="BD29" s="6">
        <v>443</v>
      </c>
      <c r="BE29" s="1" t="s">
        <v>142</v>
      </c>
      <c r="BF29" s="6">
        <v>323</v>
      </c>
      <c r="BG29" s="6">
        <v>744</v>
      </c>
      <c r="BH29" s="1" t="s">
        <v>143</v>
      </c>
      <c r="BI29" s="1" t="s">
        <v>144</v>
      </c>
      <c r="BJ29" s="1" t="s">
        <v>170</v>
      </c>
    </row>
    <row r="30" spans="1:62" x14ac:dyDescent="0.2">
      <c r="A30" s="7" t="s">
        <v>33</v>
      </c>
      <c r="B30" s="7" t="s">
        <v>139</v>
      </c>
      <c r="C30" s="7" t="s">
        <v>134</v>
      </c>
      <c r="D30" s="7" t="s">
        <v>150</v>
      </c>
      <c r="E30" s="7">
        <v>2009</v>
      </c>
      <c r="F30" s="39" t="str">
        <f t="shared" si="28"/>
        <v>10.2475/09.2009.01</v>
      </c>
      <c r="G30">
        <f t="shared" si="29"/>
        <v>16500</v>
      </c>
      <c r="H30">
        <f t="shared" si="30"/>
        <v>1500</v>
      </c>
      <c r="I30">
        <f t="shared" si="31"/>
        <v>1500</v>
      </c>
      <c r="J30">
        <f t="shared" si="32"/>
        <v>538</v>
      </c>
      <c r="K30" s="40">
        <f t="shared" si="33"/>
        <v>243</v>
      </c>
      <c r="L30" s="40">
        <f t="shared" si="34"/>
        <v>188</v>
      </c>
      <c r="M30" s="7" t="b">
        <v>1</v>
      </c>
      <c r="N30" s="7">
        <v>3</v>
      </c>
      <c r="O30" s="7" t="s">
        <v>188</v>
      </c>
      <c r="P30" s="7" t="s">
        <v>202</v>
      </c>
      <c r="Q30" s="7" t="b">
        <v>0</v>
      </c>
      <c r="R30" s="7" t="s">
        <v>202</v>
      </c>
      <c r="S30" s="7" t="b">
        <v>1</v>
      </c>
      <c r="T30" s="7" t="b">
        <v>0</v>
      </c>
      <c r="U30" s="1" t="s">
        <v>202</v>
      </c>
      <c r="V30" s="7" t="s">
        <v>202</v>
      </c>
      <c r="W30" s="7" t="b">
        <v>0</v>
      </c>
      <c r="X30" s="7" t="s">
        <v>202</v>
      </c>
      <c r="Y30" s="1" t="s">
        <v>189</v>
      </c>
      <c r="Z30" s="1" t="s">
        <v>140</v>
      </c>
      <c r="AA30" s="1" t="s">
        <v>114</v>
      </c>
      <c r="AB30" s="1" t="s">
        <v>34</v>
      </c>
      <c r="AC30" s="1" t="s">
        <v>35</v>
      </c>
      <c r="AD30" s="1" t="s">
        <v>36</v>
      </c>
      <c r="AE30" s="1" t="s">
        <v>115</v>
      </c>
      <c r="AF30" s="1" t="s">
        <v>116</v>
      </c>
      <c r="AG30" s="1" t="s">
        <v>202</v>
      </c>
      <c r="AH30" s="9">
        <v>16.5</v>
      </c>
      <c r="AI30" s="9">
        <v>18</v>
      </c>
      <c r="AJ30" s="9">
        <v>15</v>
      </c>
      <c r="AK30" s="1" t="s">
        <v>202</v>
      </c>
      <c r="AL30" s="1" t="s">
        <v>117</v>
      </c>
      <c r="AM30" s="6">
        <v>46.52</v>
      </c>
      <c r="AN30" s="6">
        <v>-116.75</v>
      </c>
      <c r="AO30" s="6" t="s">
        <v>202</v>
      </c>
      <c r="AP30" s="6" t="s">
        <v>202</v>
      </c>
      <c r="AQ30" s="6">
        <v>3</v>
      </c>
      <c r="AR30" s="6">
        <v>14</v>
      </c>
      <c r="AS30" s="1" t="s">
        <v>38</v>
      </c>
      <c r="AT30" s="1" t="s">
        <v>39</v>
      </c>
      <c r="AU30" s="1" t="s">
        <v>202</v>
      </c>
      <c r="AV30" s="1" t="s">
        <v>202</v>
      </c>
      <c r="AW30" s="1" t="s">
        <v>40</v>
      </c>
      <c r="AX30" s="8">
        <v>8.139999999999997</v>
      </c>
      <c r="AY30" s="1" t="s">
        <v>202</v>
      </c>
      <c r="AZ30" s="8">
        <v>0.25507531169078151</v>
      </c>
      <c r="BA30" s="1" t="s">
        <v>41</v>
      </c>
      <c r="BB30" s="1" t="s">
        <v>167</v>
      </c>
      <c r="BC30" s="1" t="s">
        <v>141</v>
      </c>
      <c r="BD30" s="6">
        <v>538</v>
      </c>
      <c r="BE30" s="1" t="s">
        <v>142</v>
      </c>
      <c r="BF30" s="6">
        <v>350</v>
      </c>
      <c r="BG30" s="6">
        <v>781</v>
      </c>
      <c r="BH30" s="1" t="s">
        <v>143</v>
      </c>
      <c r="BI30" s="1" t="s">
        <v>144</v>
      </c>
      <c r="BJ30" s="1" t="s">
        <v>170</v>
      </c>
    </row>
    <row r="31" spans="1:62" x14ac:dyDescent="0.2">
      <c r="A31" s="7" t="s">
        <v>33</v>
      </c>
      <c r="B31" s="7" t="s">
        <v>139</v>
      </c>
      <c r="C31" s="7" t="s">
        <v>134</v>
      </c>
      <c r="D31" s="7" t="s">
        <v>150</v>
      </c>
      <c r="E31" s="7">
        <v>2009</v>
      </c>
      <c r="F31" s="1" t="str">
        <f t="shared" si="28"/>
        <v>10.2475/09.2009.01</v>
      </c>
      <c r="G31" s="7">
        <f t="shared" si="29"/>
        <v>15780</v>
      </c>
      <c r="H31" s="7">
        <f t="shared" si="30"/>
        <v>38.999999999999702</v>
      </c>
      <c r="I31" s="7">
        <f t="shared" si="31"/>
        <v>38.999999999999702</v>
      </c>
      <c r="J31" s="7">
        <f t="shared" si="32"/>
        <v>313</v>
      </c>
      <c r="K31" s="26">
        <f t="shared" si="33"/>
        <v>279</v>
      </c>
      <c r="L31" s="26">
        <f t="shared" si="34"/>
        <v>7</v>
      </c>
      <c r="M31" s="7" t="b">
        <v>1</v>
      </c>
      <c r="N31" s="7">
        <v>3</v>
      </c>
      <c r="O31" t="s">
        <v>225</v>
      </c>
      <c r="P31" s="7" t="s">
        <v>202</v>
      </c>
      <c r="Q31" s="7" t="b">
        <v>0</v>
      </c>
      <c r="R31" s="7" t="s">
        <v>202</v>
      </c>
      <c r="S31" s="7" t="b">
        <v>0</v>
      </c>
      <c r="T31" s="7" t="b">
        <v>0</v>
      </c>
      <c r="U31" s="1" t="s">
        <v>202</v>
      </c>
      <c r="V31" s="42" t="s">
        <v>218</v>
      </c>
      <c r="W31" s="42" t="b">
        <v>0</v>
      </c>
      <c r="X31" s="42" t="s">
        <v>219</v>
      </c>
      <c r="Y31" s="1" t="s">
        <v>189</v>
      </c>
      <c r="Z31" s="1" t="s">
        <v>140</v>
      </c>
      <c r="AA31" s="1" t="s">
        <v>118</v>
      </c>
      <c r="AB31" s="1" t="s">
        <v>119</v>
      </c>
      <c r="AC31" s="1" t="s">
        <v>120</v>
      </c>
      <c r="AD31" s="1" t="s">
        <v>121</v>
      </c>
      <c r="AE31" s="1" t="s">
        <v>122</v>
      </c>
      <c r="AF31" s="1" t="s">
        <v>116</v>
      </c>
      <c r="AG31" s="1" t="s">
        <v>202</v>
      </c>
      <c r="AH31" s="41">
        <v>15.78</v>
      </c>
      <c r="AI31" s="41">
        <f>AH31+0.039</f>
        <v>15.818999999999999</v>
      </c>
      <c r="AJ31" s="41">
        <f>AH31-0.039</f>
        <v>15.741</v>
      </c>
      <c r="AK31" s="42" t="s">
        <v>202</v>
      </c>
      <c r="AL31" s="43" t="s">
        <v>220</v>
      </c>
      <c r="AM31" s="6">
        <v>46.99</v>
      </c>
      <c r="AN31" s="6">
        <v>-116.27</v>
      </c>
      <c r="AO31" s="6" t="s">
        <v>202</v>
      </c>
      <c r="AP31" s="6" t="s">
        <v>202</v>
      </c>
      <c r="AQ31" s="6">
        <v>3</v>
      </c>
      <c r="AR31" s="6">
        <v>6</v>
      </c>
      <c r="AS31" s="1" t="s">
        <v>38</v>
      </c>
      <c r="AT31" s="1" t="s">
        <v>39</v>
      </c>
      <c r="AU31" s="1" t="s">
        <v>202</v>
      </c>
      <c r="AV31" s="1" t="s">
        <v>202</v>
      </c>
      <c r="AW31" s="1" t="s">
        <v>40</v>
      </c>
      <c r="AX31" s="8">
        <v>11.592777777777776</v>
      </c>
      <c r="AY31" s="1" t="s">
        <v>202</v>
      </c>
      <c r="AZ31" s="8">
        <v>0.53619905134003409</v>
      </c>
      <c r="BA31" s="1" t="s">
        <v>123</v>
      </c>
      <c r="BB31" s="1" t="s">
        <v>167</v>
      </c>
      <c r="BC31" s="1" t="s">
        <v>141</v>
      </c>
      <c r="BD31" s="6">
        <v>313</v>
      </c>
      <c r="BE31" s="1" t="s">
        <v>142</v>
      </c>
      <c r="BF31" s="6">
        <v>306</v>
      </c>
      <c r="BG31" s="6">
        <v>592</v>
      </c>
      <c r="BH31" s="1" t="s">
        <v>143</v>
      </c>
      <c r="BI31" s="1" t="s">
        <v>144</v>
      </c>
      <c r="BJ31" s="1" t="s">
        <v>210</v>
      </c>
    </row>
    <row r="32" spans="1:62" x14ac:dyDescent="0.2">
      <c r="A32" s="7" t="s">
        <v>33</v>
      </c>
      <c r="B32" s="7" t="s">
        <v>139</v>
      </c>
      <c r="C32" s="7" t="s">
        <v>134</v>
      </c>
      <c r="D32" s="7" t="s">
        <v>150</v>
      </c>
      <c r="E32" s="7">
        <v>2009</v>
      </c>
      <c r="F32" s="1" t="str">
        <f t="shared" ref="F32:F34" si="35">Z32</f>
        <v>10.2475/09.2009.01</v>
      </c>
      <c r="G32" s="7">
        <f t="shared" ref="G32:G34" si="36">AH32*1000</f>
        <v>15780</v>
      </c>
      <c r="H32" s="7">
        <f t="shared" ref="H32:H34" si="37">(AI32-AH32)*1000</f>
        <v>38.999999999999702</v>
      </c>
      <c r="I32" s="7">
        <f t="shared" ref="I32:I34" si="38">(AH32-AJ32)*1000</f>
        <v>38.999999999999702</v>
      </c>
      <c r="J32" s="7">
        <f t="shared" si="32"/>
        <v>339</v>
      </c>
      <c r="K32" s="26">
        <f t="shared" si="33"/>
        <v>366</v>
      </c>
      <c r="L32" s="26">
        <f t="shared" si="34"/>
        <v>30</v>
      </c>
      <c r="M32" s="7" t="b">
        <v>1</v>
      </c>
      <c r="N32" s="7">
        <v>3</v>
      </c>
      <c r="O32" t="s">
        <v>225</v>
      </c>
      <c r="P32" s="7" t="s">
        <v>202</v>
      </c>
      <c r="Q32" s="7" t="b">
        <v>0</v>
      </c>
      <c r="R32" s="7" t="s">
        <v>202</v>
      </c>
      <c r="S32" s="7" t="b">
        <v>0</v>
      </c>
      <c r="T32" s="7" t="b">
        <v>0</v>
      </c>
      <c r="U32" s="1" t="s">
        <v>202</v>
      </c>
      <c r="V32" s="42" t="s">
        <v>218</v>
      </c>
      <c r="W32" s="42" t="b">
        <v>0</v>
      </c>
      <c r="X32" s="42" t="s">
        <v>219</v>
      </c>
      <c r="Y32" s="1" t="s">
        <v>189</v>
      </c>
      <c r="Z32" s="1" t="s">
        <v>140</v>
      </c>
      <c r="AA32" s="1" t="s">
        <v>124</v>
      </c>
      <c r="AB32" s="1" t="s">
        <v>119</v>
      </c>
      <c r="AC32" s="1" t="s">
        <v>120</v>
      </c>
      <c r="AD32" s="1" t="s">
        <v>121</v>
      </c>
      <c r="AE32" s="1" t="s">
        <v>125</v>
      </c>
      <c r="AF32" s="1" t="s">
        <v>116</v>
      </c>
      <c r="AG32" s="1" t="s">
        <v>202</v>
      </c>
      <c r="AH32" s="41">
        <v>15.78</v>
      </c>
      <c r="AI32" s="41">
        <f t="shared" ref="AI32:AI33" si="39">AH32+0.039</f>
        <v>15.818999999999999</v>
      </c>
      <c r="AJ32" s="41">
        <f t="shared" ref="AJ32:AJ33" si="40">AH32-0.039</f>
        <v>15.741</v>
      </c>
      <c r="AK32" s="42" t="s">
        <v>202</v>
      </c>
      <c r="AL32" s="43" t="s">
        <v>220</v>
      </c>
      <c r="AM32" s="6">
        <v>46.99</v>
      </c>
      <c r="AN32" s="6">
        <v>-116.27</v>
      </c>
      <c r="AO32" s="6" t="s">
        <v>202</v>
      </c>
      <c r="AP32" s="6" t="s">
        <v>202</v>
      </c>
      <c r="AQ32" s="6">
        <v>3</v>
      </c>
      <c r="AR32" s="6">
        <v>10</v>
      </c>
      <c r="AS32" s="1" t="s">
        <v>38</v>
      </c>
      <c r="AT32" s="1" t="s">
        <v>39</v>
      </c>
      <c r="AU32" s="1" t="s">
        <v>202</v>
      </c>
      <c r="AV32" s="1" t="s">
        <v>202</v>
      </c>
      <c r="AW32" s="1" t="s">
        <v>40</v>
      </c>
      <c r="AX32" s="8">
        <v>10.937333333333333</v>
      </c>
      <c r="AY32" s="1" t="s">
        <v>202</v>
      </c>
      <c r="AZ32" s="8">
        <v>0.57857192402014235</v>
      </c>
      <c r="BA32" s="1" t="s">
        <v>123</v>
      </c>
      <c r="BB32" s="1" t="s">
        <v>167</v>
      </c>
      <c r="BC32" s="1" t="s">
        <v>141</v>
      </c>
      <c r="BD32" s="6">
        <v>339</v>
      </c>
      <c r="BE32" s="1" t="s">
        <v>142</v>
      </c>
      <c r="BF32" s="6">
        <v>309</v>
      </c>
      <c r="BG32" s="6">
        <v>705</v>
      </c>
      <c r="BH32" s="1" t="s">
        <v>143</v>
      </c>
      <c r="BI32" s="1" t="s">
        <v>144</v>
      </c>
      <c r="BJ32" s="1" t="s">
        <v>210</v>
      </c>
    </row>
    <row r="33" spans="1:62" x14ac:dyDescent="0.2">
      <c r="A33" s="7" t="s">
        <v>33</v>
      </c>
      <c r="B33" s="7" t="s">
        <v>139</v>
      </c>
      <c r="C33" s="7" t="s">
        <v>134</v>
      </c>
      <c r="D33" s="7" t="s">
        <v>150</v>
      </c>
      <c r="E33" s="7">
        <v>2009</v>
      </c>
      <c r="F33" s="1" t="str">
        <f t="shared" si="35"/>
        <v>10.2475/09.2009.01</v>
      </c>
      <c r="G33" s="7">
        <f t="shared" si="36"/>
        <v>15780</v>
      </c>
      <c r="H33" s="7">
        <f t="shared" si="37"/>
        <v>38.999999999999702</v>
      </c>
      <c r="I33" s="7">
        <f t="shared" si="38"/>
        <v>38.999999999999702</v>
      </c>
      <c r="J33" s="7">
        <f t="shared" si="32"/>
        <v>339</v>
      </c>
      <c r="K33" s="26">
        <f t="shared" si="33"/>
        <v>366</v>
      </c>
      <c r="L33" s="26">
        <f t="shared" si="34"/>
        <v>30</v>
      </c>
      <c r="M33" s="7" t="b">
        <v>1</v>
      </c>
      <c r="N33" s="7">
        <v>3</v>
      </c>
      <c r="O33" s="7" t="s">
        <v>222</v>
      </c>
      <c r="P33" s="7" t="s">
        <v>202</v>
      </c>
      <c r="Q33" s="7" t="b">
        <v>0</v>
      </c>
      <c r="R33" s="7" t="s">
        <v>202</v>
      </c>
      <c r="S33" s="7" t="b">
        <v>0</v>
      </c>
      <c r="T33" s="7" t="b">
        <v>0</v>
      </c>
      <c r="U33" s="1" t="s">
        <v>202</v>
      </c>
      <c r="V33" s="42" t="s">
        <v>218</v>
      </c>
      <c r="W33" s="42" t="b">
        <v>0</v>
      </c>
      <c r="X33" s="42" t="s">
        <v>219</v>
      </c>
      <c r="Y33" s="1" t="s">
        <v>189</v>
      </c>
      <c r="Z33" s="1" t="s">
        <v>140</v>
      </c>
      <c r="AA33" s="1" t="s">
        <v>126</v>
      </c>
      <c r="AB33" s="1" t="s">
        <v>119</v>
      </c>
      <c r="AC33" s="1" t="s">
        <v>120</v>
      </c>
      <c r="AD33" s="1" t="s">
        <v>121</v>
      </c>
      <c r="AE33" s="1" t="s">
        <v>127</v>
      </c>
      <c r="AF33" s="1" t="s">
        <v>116</v>
      </c>
      <c r="AG33" s="1" t="s">
        <v>202</v>
      </c>
      <c r="AH33" s="41">
        <v>15.78</v>
      </c>
      <c r="AI33" s="41">
        <f t="shared" si="39"/>
        <v>15.818999999999999</v>
      </c>
      <c r="AJ33" s="41">
        <f t="shared" si="40"/>
        <v>15.741</v>
      </c>
      <c r="AK33" s="42" t="s">
        <v>202</v>
      </c>
      <c r="AL33" s="43" t="s">
        <v>221</v>
      </c>
      <c r="AM33" s="6">
        <v>47.03</v>
      </c>
      <c r="AN33" s="6">
        <v>-116.34</v>
      </c>
      <c r="AO33" s="6" t="s">
        <v>202</v>
      </c>
      <c r="AP33" s="6" t="s">
        <v>202</v>
      </c>
      <c r="AQ33" s="6">
        <v>3</v>
      </c>
      <c r="AR33" s="6">
        <v>10</v>
      </c>
      <c r="AS33" s="1" t="s">
        <v>38</v>
      </c>
      <c r="AT33" s="1" t="s">
        <v>39</v>
      </c>
      <c r="AU33" s="1" t="s">
        <v>202</v>
      </c>
      <c r="AV33" s="1" t="s">
        <v>202</v>
      </c>
      <c r="AW33" s="1" t="s">
        <v>40</v>
      </c>
      <c r="AX33" s="8">
        <v>10.953333333333331</v>
      </c>
      <c r="AY33" s="1" t="s">
        <v>202</v>
      </c>
      <c r="AZ33" s="8">
        <v>0.51228718598023137</v>
      </c>
      <c r="BA33" s="1" t="s">
        <v>123</v>
      </c>
      <c r="BB33" s="1" t="s">
        <v>167</v>
      </c>
      <c r="BC33" s="1" t="s">
        <v>141</v>
      </c>
      <c r="BD33" s="6">
        <v>339</v>
      </c>
      <c r="BE33" s="1" t="s">
        <v>142</v>
      </c>
      <c r="BF33" s="6">
        <v>309</v>
      </c>
      <c r="BG33" s="6">
        <v>705</v>
      </c>
      <c r="BH33" s="1" t="s">
        <v>143</v>
      </c>
      <c r="BI33" s="1" t="s">
        <v>144</v>
      </c>
      <c r="BJ33" s="1" t="s">
        <v>210</v>
      </c>
    </row>
    <row r="34" spans="1:62" x14ac:dyDescent="0.2">
      <c r="A34" s="7" t="s">
        <v>33</v>
      </c>
      <c r="B34" s="7" t="s">
        <v>139</v>
      </c>
      <c r="C34" s="7" t="s">
        <v>134</v>
      </c>
      <c r="D34" s="7" t="s">
        <v>150</v>
      </c>
      <c r="E34" s="7">
        <v>2009</v>
      </c>
      <c r="F34" s="39" t="str">
        <f t="shared" si="35"/>
        <v>10.2475/09.2009.01</v>
      </c>
      <c r="G34">
        <f t="shared" si="36"/>
        <v>13325</v>
      </c>
      <c r="H34">
        <f t="shared" si="37"/>
        <v>675.00000000000068</v>
      </c>
      <c r="I34">
        <f t="shared" si="38"/>
        <v>674.99999999999898</v>
      </c>
      <c r="J34">
        <f t="shared" ref="J34" si="41">BD34</f>
        <v>288</v>
      </c>
      <c r="K34" s="40">
        <f t="shared" ref="K34" si="42">BG34-BD34</f>
        <v>23</v>
      </c>
      <c r="L34" s="40">
        <f t="shared" ref="L34" si="43">BD34-BF34</f>
        <v>36</v>
      </c>
      <c r="M34" s="7" t="b">
        <v>1</v>
      </c>
      <c r="N34" s="7">
        <v>3</v>
      </c>
      <c r="O34" s="7" t="s">
        <v>187</v>
      </c>
      <c r="P34" s="7" t="s">
        <v>202</v>
      </c>
      <c r="Q34" s="7" t="b">
        <v>0</v>
      </c>
      <c r="R34" s="7" t="s">
        <v>202</v>
      </c>
      <c r="S34" s="7" t="b">
        <v>0</v>
      </c>
      <c r="T34" s="7" t="b">
        <v>0</v>
      </c>
      <c r="U34" s="1" t="s">
        <v>202</v>
      </c>
      <c r="V34" s="7" t="s">
        <v>202</v>
      </c>
      <c r="W34" s="7" t="b">
        <v>1</v>
      </c>
      <c r="X34" s="7" t="s">
        <v>216</v>
      </c>
      <c r="Y34" s="1" t="s">
        <v>189</v>
      </c>
      <c r="Z34" s="15" t="s">
        <v>140</v>
      </c>
      <c r="AA34" s="16" t="s">
        <v>175</v>
      </c>
      <c r="AB34" s="14" t="s">
        <v>34</v>
      </c>
      <c r="AC34" s="14" t="s">
        <v>35</v>
      </c>
      <c r="AD34" s="16" t="s">
        <v>176</v>
      </c>
      <c r="AE34" s="14" t="s">
        <v>177</v>
      </c>
      <c r="AF34" s="14" t="s">
        <v>178</v>
      </c>
      <c r="AG34" s="16" t="s">
        <v>202</v>
      </c>
      <c r="AH34" s="22">
        <f>AVERAGE(AI34:AJ34)</f>
        <v>13.324999999999999</v>
      </c>
      <c r="AI34" s="18">
        <v>14</v>
      </c>
      <c r="AJ34" s="18">
        <v>12.65</v>
      </c>
      <c r="AK34" s="1" t="s">
        <v>211</v>
      </c>
      <c r="AL34" s="19" t="s">
        <v>213</v>
      </c>
      <c r="AM34" s="17" t="s">
        <v>202</v>
      </c>
      <c r="AN34" s="17" t="s">
        <v>202</v>
      </c>
      <c r="AO34" s="6" t="s">
        <v>202</v>
      </c>
      <c r="AP34" s="6" t="s">
        <v>202</v>
      </c>
      <c r="AQ34" s="20" t="s">
        <v>179</v>
      </c>
      <c r="AR34" s="16">
        <v>1</v>
      </c>
      <c r="AS34" s="17" t="s">
        <v>202</v>
      </c>
      <c r="AT34" s="17" t="s">
        <v>202</v>
      </c>
      <c r="AU34" s="17" t="s">
        <v>202</v>
      </c>
      <c r="AV34" s="17" t="s">
        <v>202</v>
      </c>
      <c r="AW34" s="17" t="s">
        <v>202</v>
      </c>
      <c r="AX34" s="21">
        <v>14.64</v>
      </c>
      <c r="AY34" s="17" t="s">
        <v>202</v>
      </c>
      <c r="AZ34" s="22">
        <v>1.43</v>
      </c>
      <c r="BA34" s="23" t="s">
        <v>41</v>
      </c>
      <c r="BB34" s="15" t="s">
        <v>167</v>
      </c>
      <c r="BC34" s="15" t="s">
        <v>141</v>
      </c>
      <c r="BD34" s="16">
        <v>288</v>
      </c>
      <c r="BE34" s="15" t="s">
        <v>142</v>
      </c>
      <c r="BF34" s="24">
        <v>252</v>
      </c>
      <c r="BG34" s="24">
        <v>311</v>
      </c>
      <c r="BH34" s="15" t="s">
        <v>143</v>
      </c>
      <c r="BI34" s="15" t="s">
        <v>144</v>
      </c>
      <c r="BJ34" s="15" t="s">
        <v>174</v>
      </c>
    </row>
    <row r="35" spans="1:62" x14ac:dyDescent="0.2">
      <c r="A35" s="7" t="s">
        <v>33</v>
      </c>
      <c r="B35" s="7" t="s">
        <v>139</v>
      </c>
      <c r="C35" s="7" t="s">
        <v>134</v>
      </c>
      <c r="D35" s="7" t="s">
        <v>150</v>
      </c>
      <c r="E35" s="7">
        <v>2009</v>
      </c>
      <c r="F35" s="39" t="str">
        <f t="shared" ref="F35:F36" si="44">Z35</f>
        <v>10.2475/09.2009.01</v>
      </c>
      <c r="G35">
        <f t="shared" ref="G35:G36" si="45">AH35*1000</f>
        <v>14985</v>
      </c>
      <c r="H35">
        <f t="shared" ref="H35:H36" si="46">(AI35-AH35)*1000</f>
        <v>985.00000000000125</v>
      </c>
      <c r="I35">
        <f t="shared" ref="I35:I36" si="47">(AH35-AJ35)*1000</f>
        <v>984.99999999999943</v>
      </c>
      <c r="J35" s="40">
        <f t="shared" ref="J35:J36" si="48">BD35</f>
        <v>552.5</v>
      </c>
      <c r="K35" s="40">
        <f t="shared" ref="K35:K36" si="49">BG35-BD35</f>
        <v>234.5</v>
      </c>
      <c r="L35" s="40">
        <f t="shared" ref="L35:L36" si="50">BD35-BF35</f>
        <v>189.5</v>
      </c>
      <c r="M35" s="7" t="b">
        <v>1</v>
      </c>
      <c r="N35" s="7">
        <v>3</v>
      </c>
      <c r="O35" s="7" t="s">
        <v>187</v>
      </c>
      <c r="P35" s="7" t="s">
        <v>202</v>
      </c>
      <c r="Q35" s="7" t="b">
        <v>0</v>
      </c>
      <c r="R35" s="7" t="s">
        <v>202</v>
      </c>
      <c r="S35" s="7" t="b">
        <v>0</v>
      </c>
      <c r="T35" s="7" t="b">
        <v>0</v>
      </c>
      <c r="U35" s="1" t="s">
        <v>202</v>
      </c>
      <c r="V35" s="7" t="s">
        <v>202</v>
      </c>
      <c r="W35" s="7" t="b">
        <v>1</v>
      </c>
      <c r="X35" s="7" t="s">
        <v>216</v>
      </c>
      <c r="Y35" s="1" t="s">
        <v>189</v>
      </c>
      <c r="Z35" s="15" t="s">
        <v>140</v>
      </c>
      <c r="AA35" s="16" t="s">
        <v>180</v>
      </c>
      <c r="AB35" s="14" t="s">
        <v>34</v>
      </c>
      <c r="AC35" s="14" t="s">
        <v>35</v>
      </c>
      <c r="AD35" s="16" t="s">
        <v>176</v>
      </c>
      <c r="AE35" s="14" t="s">
        <v>177</v>
      </c>
      <c r="AF35" s="14" t="s">
        <v>181</v>
      </c>
      <c r="AG35" s="16" t="s">
        <v>202</v>
      </c>
      <c r="AH35" s="22">
        <f>AVERAGE(AI35:AJ35)</f>
        <v>14.984999999999999</v>
      </c>
      <c r="AI35" s="18">
        <v>15.97</v>
      </c>
      <c r="AJ35" s="18">
        <v>14</v>
      </c>
      <c r="AK35" s="1" t="s">
        <v>211</v>
      </c>
      <c r="AL35" s="19" t="s">
        <v>214</v>
      </c>
      <c r="AM35" s="17" t="s">
        <v>202</v>
      </c>
      <c r="AN35" s="17" t="s">
        <v>202</v>
      </c>
      <c r="AO35" s="6" t="s">
        <v>202</v>
      </c>
      <c r="AP35" s="6" t="s">
        <v>202</v>
      </c>
      <c r="AQ35" s="20" t="s">
        <v>179</v>
      </c>
      <c r="AR35" s="16">
        <v>2</v>
      </c>
      <c r="AS35" s="17" t="s">
        <v>202</v>
      </c>
      <c r="AT35" s="17" t="s">
        <v>202</v>
      </c>
      <c r="AU35" s="17" t="s">
        <v>202</v>
      </c>
      <c r="AV35" s="17" t="s">
        <v>202</v>
      </c>
      <c r="AW35" s="17" t="s">
        <v>202</v>
      </c>
      <c r="AX35" s="21">
        <v>7.77</v>
      </c>
      <c r="AY35" s="17" t="s">
        <v>202</v>
      </c>
      <c r="AZ35" s="22">
        <v>0.60499999999999998</v>
      </c>
      <c r="BA35" s="21" t="s">
        <v>41</v>
      </c>
      <c r="BB35" s="15" t="s">
        <v>167</v>
      </c>
      <c r="BC35" s="15" t="s">
        <v>141</v>
      </c>
      <c r="BD35" s="25">
        <v>552.5</v>
      </c>
      <c r="BE35" s="15" t="s">
        <v>142</v>
      </c>
      <c r="BF35" s="24">
        <v>363</v>
      </c>
      <c r="BG35" s="24">
        <v>787</v>
      </c>
      <c r="BH35" s="15" t="s">
        <v>143</v>
      </c>
      <c r="BI35" s="15" t="s">
        <v>144</v>
      </c>
      <c r="BJ35" s="15" t="s">
        <v>174</v>
      </c>
    </row>
    <row r="36" spans="1:62" x14ac:dyDescent="0.2">
      <c r="A36" s="7" t="s">
        <v>33</v>
      </c>
      <c r="B36" s="7" t="s">
        <v>139</v>
      </c>
      <c r="C36" s="7" t="s">
        <v>134</v>
      </c>
      <c r="D36" s="7" t="s">
        <v>150</v>
      </c>
      <c r="E36" s="7">
        <v>2009</v>
      </c>
      <c r="F36" s="39" t="str">
        <f t="shared" si="44"/>
        <v>10.2475/09.2009.01</v>
      </c>
      <c r="G36">
        <f t="shared" si="45"/>
        <v>14985</v>
      </c>
      <c r="H36">
        <f t="shared" si="46"/>
        <v>985.00000000000125</v>
      </c>
      <c r="I36">
        <f t="shared" si="47"/>
        <v>984.99999999999943</v>
      </c>
      <c r="J36">
        <f t="shared" si="48"/>
        <v>564</v>
      </c>
      <c r="K36" s="40">
        <f t="shared" si="49"/>
        <v>229</v>
      </c>
      <c r="L36" s="40">
        <f t="shared" si="50"/>
        <v>214</v>
      </c>
      <c r="M36" s="7" t="b">
        <v>1</v>
      </c>
      <c r="N36" s="7">
        <v>3</v>
      </c>
      <c r="O36" s="7" t="s">
        <v>187</v>
      </c>
      <c r="P36" s="7" t="s">
        <v>202</v>
      </c>
      <c r="Q36" s="7" t="b">
        <v>0</v>
      </c>
      <c r="R36" s="7" t="s">
        <v>202</v>
      </c>
      <c r="S36" s="7" t="b">
        <v>0</v>
      </c>
      <c r="T36" s="7" t="b">
        <v>0</v>
      </c>
      <c r="U36" s="1" t="s">
        <v>202</v>
      </c>
      <c r="V36" s="7" t="s">
        <v>202</v>
      </c>
      <c r="W36" s="7" t="b">
        <v>1</v>
      </c>
      <c r="X36" s="7" t="s">
        <v>216</v>
      </c>
      <c r="Y36" s="1" t="s">
        <v>189</v>
      </c>
      <c r="Z36" s="15" t="s">
        <v>140</v>
      </c>
      <c r="AA36" s="16" t="s">
        <v>182</v>
      </c>
      <c r="AB36" s="14" t="s">
        <v>34</v>
      </c>
      <c r="AC36" s="14" t="s">
        <v>35</v>
      </c>
      <c r="AD36" s="16" t="s">
        <v>176</v>
      </c>
      <c r="AE36" s="14" t="s">
        <v>177</v>
      </c>
      <c r="AF36" s="14" t="s">
        <v>183</v>
      </c>
      <c r="AG36" s="16" t="s">
        <v>202</v>
      </c>
      <c r="AH36" s="22">
        <f>AVERAGE(AI36:AJ36)</f>
        <v>14.984999999999999</v>
      </c>
      <c r="AI36" s="18">
        <v>15.97</v>
      </c>
      <c r="AJ36" s="18">
        <v>14</v>
      </c>
      <c r="AK36" s="1" t="s">
        <v>211</v>
      </c>
      <c r="AL36" s="19" t="s">
        <v>215</v>
      </c>
      <c r="AM36" s="17" t="s">
        <v>202</v>
      </c>
      <c r="AN36" s="17" t="s">
        <v>202</v>
      </c>
      <c r="AO36" s="6" t="s">
        <v>202</v>
      </c>
      <c r="AP36" s="6" t="s">
        <v>202</v>
      </c>
      <c r="AQ36" s="20" t="s">
        <v>179</v>
      </c>
      <c r="AR36" s="16">
        <v>1</v>
      </c>
      <c r="AS36" s="17" t="s">
        <v>202</v>
      </c>
      <c r="AT36" s="17" t="s">
        <v>202</v>
      </c>
      <c r="AU36" s="17" t="s">
        <v>202</v>
      </c>
      <c r="AV36" s="17" t="s">
        <v>202</v>
      </c>
      <c r="AW36" s="17" t="s">
        <v>202</v>
      </c>
      <c r="AX36" s="21">
        <v>7.6</v>
      </c>
      <c r="AY36" s="17" t="s">
        <v>202</v>
      </c>
      <c r="AZ36" s="22">
        <v>1.3</v>
      </c>
      <c r="BA36" s="21" t="s">
        <v>41</v>
      </c>
      <c r="BB36" s="15" t="s">
        <v>167</v>
      </c>
      <c r="BC36" s="15" t="s">
        <v>141</v>
      </c>
      <c r="BD36" s="16">
        <v>564</v>
      </c>
      <c r="BE36" s="15" t="s">
        <v>142</v>
      </c>
      <c r="BF36" s="24">
        <v>350</v>
      </c>
      <c r="BG36" s="24">
        <v>793</v>
      </c>
      <c r="BH36" s="15" t="s">
        <v>143</v>
      </c>
      <c r="BI36" s="15" t="s">
        <v>144</v>
      </c>
      <c r="BJ36" s="15" t="s">
        <v>174</v>
      </c>
    </row>
    <row r="37" spans="1:62"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1:62"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1:62"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1:62"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1:62"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1:62"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1:62"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1:62"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1:62"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1:62"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1:62"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1:62"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25:61" x14ac:dyDescent="0.2">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row r="947" spans="25:61" x14ac:dyDescent="0.2">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row>
    <row r="948" spans="25:61" x14ac:dyDescent="0.2">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row>
    <row r="949" spans="25:61" x14ac:dyDescent="0.2">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row>
    <row r="950" spans="25:61" x14ac:dyDescent="0.2">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row>
    <row r="951" spans="25:61" x14ac:dyDescent="0.2">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row>
    <row r="952" spans="25:61" x14ac:dyDescent="0.2">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row>
    <row r="953" spans="25:61" x14ac:dyDescent="0.2">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row>
    <row r="954" spans="25:61" x14ac:dyDescent="0.2">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row>
    <row r="955" spans="25:61" x14ac:dyDescent="0.2">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row>
    <row r="956" spans="25:61" x14ac:dyDescent="0.2">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row>
    <row r="957" spans="25:61" x14ac:dyDescent="0.2">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row>
    <row r="958" spans="25:61" x14ac:dyDescent="0.2">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row>
    <row r="959" spans="25:61" x14ac:dyDescent="0.2">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row>
    <row r="960" spans="25:61" x14ac:dyDescent="0.2">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row>
    <row r="961" spans="25:61" x14ac:dyDescent="0.2">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row>
    <row r="962" spans="25:61" x14ac:dyDescent="0.2">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row>
    <row r="963" spans="25:61" x14ac:dyDescent="0.2">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row>
    <row r="964" spans="25:61" x14ac:dyDescent="0.2">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row>
    <row r="965" spans="25:61" x14ac:dyDescent="0.2">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row>
    <row r="966" spans="25:61" x14ac:dyDescent="0.2">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row>
    <row r="967" spans="25:61" x14ac:dyDescent="0.2">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row>
    <row r="968" spans="25:61" x14ac:dyDescent="0.2">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row>
    <row r="969" spans="25:61" x14ac:dyDescent="0.2">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row>
    <row r="970" spans="25:61" x14ac:dyDescent="0.2">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row>
  </sheetData>
  <sortState xmlns:xlrd2="http://schemas.microsoft.com/office/spreadsheetml/2017/richdata2" ref="A4:BI32">
    <sortCondition descending="1" ref="G4:G3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2022-03-29T19:51:32Z</dcterms:modified>
</cp:coreProperties>
</file>