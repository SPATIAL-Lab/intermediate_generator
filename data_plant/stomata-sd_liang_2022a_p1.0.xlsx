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C:\Users\droyer\Desktop\"/>
    </mc:Choice>
  </mc:AlternateContent>
  <xr:revisionPtr revIDLastSave="0" documentId="13_ncr:1_{FB78ACEF-403F-4D08-A170-10E408AFBBEB}" xr6:coauthVersionLast="45" xr6:coauthVersionMax="47" xr10:uidLastSave="{00000000-0000-0000-0000-000000000000}"/>
  <bookViews>
    <workbookView xWindow="30150" yWindow="870" windowWidth="26970" windowHeight="1398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 l="1"/>
  <c r="G4" i="1"/>
  <c r="F4" i="1"/>
  <c r="AJ4" i="1"/>
  <c r="I4" i="1" s="1"/>
  <c r="AI4" i="1"/>
  <c r="H4" i="1" s="1"/>
</calcChain>
</file>

<file path=xl/sharedStrings.xml><?xml version="1.0" encoding="utf-8"?>
<sst xmlns="http://schemas.openxmlformats.org/spreadsheetml/2006/main" count="102" uniqueCount="85">
  <si>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</si>
  <si>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</si>
  <si>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</si>
  <si>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</si>
  <si>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</si>
  <si>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</si>
  <si>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</si>
  <si>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</si>
  <si>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</si>
  <si>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</si>
  <si>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</si>
  <si>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</si>
  <si>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</si>
  <si>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</si>
  <si>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</si>
  <si>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</si>
  <si>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</si>
  <si>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</si>
  <si>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</si>
  <si>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</si>
  <si>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</si>
  <si>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</si>
  <si>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</si>
  <si>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</si>
  <si>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</si>
  <si>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</si>
  <si>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</si>
  <si>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</si>
  <si>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</si>
  <si>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</si>
  <si>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</si>
  <si>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</si>
  <si>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</si>
  <si>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</si>
  <si>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median</t>
  </si>
  <si>
    <t>proxy</t>
  </si>
  <si>
    <t>first_author_last_name</t>
  </si>
  <si>
    <t>publication_year</t>
  </si>
  <si>
    <t>age_ka</t>
  </si>
  <si>
    <t>Age_uncertainty_pos_ka</t>
  </si>
  <si>
    <t>Age_uncertainty_neg_ka</t>
  </si>
  <si>
    <t>stomata-SI</t>
  </si>
  <si>
    <t>uncertainties following the resampling procedure in Beerling et al. (2009)</t>
  </si>
  <si>
    <t>name of person entering product data</t>
  </si>
  <si>
    <t>email of person entering product data</t>
  </si>
  <si>
    <t>specify reason for quarantine</t>
  </si>
  <si>
    <t>specify reason for age revision</t>
  </si>
  <si>
    <t>Dana L. Royer</t>
  </si>
  <si>
    <t>droyer@wesleyan.edu</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</si>
  <si>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</si>
  <si>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</si>
  <si>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</si>
  <si>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</si>
  <si>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</si>
  <si>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</si>
  <si>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</si>
  <si>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</si>
  <si>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</si>
  <si>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</si>
  <si>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</si>
  <si>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</si>
  <si>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</si>
  <si>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</si>
  <si>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</si>
  <si>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</si>
  <si>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</si>
  <si>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</si>
  <si>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Liang</t>
  </si>
  <si>
    <t>Liang, J., Leng, Q., Höfig, D. F., Niu, G., Wang, L., Royer, D. L., Burke, K., Xiao, L., Zhang, Y., and Yang, H., 2022, Constraining conifer physiological parameters in leaf gas-exchange models for ancient CO2 reconstruction: Global and Planetary Change, v. 209, 103737, doi: 10.1016/j.gloplacha.2022.103737.</t>
  </si>
  <si>
    <t>10.1016/j.gloplacha.2022.103737</t>
  </si>
  <si>
    <t>Cupressaceae</t>
  </si>
  <si>
    <t>sp.</t>
  </si>
  <si>
    <t>Bryant University</t>
  </si>
  <si>
    <t>Latah</t>
  </si>
  <si>
    <t>P-33 site</t>
  </si>
  <si>
    <t>zircon U-Pb, reported in Hofig et al., 2021, Geology, https://doi.org/10.1130/G48901.1</t>
  </si>
  <si>
    <t>Taxodium</t>
  </si>
  <si>
    <t>1-2</t>
  </si>
  <si>
    <t>0.04 - 0.44 mm^2</t>
  </si>
  <si>
    <t>Taxodium distichum</t>
  </si>
  <si>
    <t>Stults et al. (2011)</t>
  </si>
  <si>
    <t>4 out of the 7 measured field-of-views have stomatal densities that are lower than what is captured in the present-day calibration; as a result, the percentiles computed with the Monte Carlo simulations are not robust</t>
  </si>
  <si>
    <t>1) The Franks gas-exchange model was applied to the same fossils, whose CO2 estimates should be more reliable; 2) estimates are based on stomatal density, which is affected by other environmental factors; 3) four out of the seven measured field-of-views fell outside the calibrated range; 4) Only four cuticle fragments were measured</t>
  </si>
  <si>
    <t>specify reason for choice of category</t>
  </si>
  <si>
    <t>proxy category: enter (1) if all known sources of error have been quantified and/or sensitivity of the CO2 estimate to those sources is small, (2) if data are of high quality but uncertainty estimation is not yet fully constrained, or (3) if data collection method is outdated and/or uncertainty estimation is not fully quantifiable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</si>
</sst>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30">
    <xf numFmtId="0" fontId="0" fillId="0" borderId="0" xfId="0"/>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3" borderId="0" xfId="0" applyFont="1" applyFill="1" applyBorder="1" applyAlignment="1">
      <alignment vertical="top" wrapText="1"/>
    </xf>
    <xf numFmtId="0" fontId="2" fillId="3" borderId="0" xfId="0" applyFont="1" applyFill="1" applyBorder="1" applyAlignment="1">
      <alignment horizontal="center" vertical="top" wrapText="1"/>
    </xf>
    <xf numFmtId="0" fontId="6" fillId="3" borderId="0" xfId="0" applyFont="1" applyFill="1" applyBorder="1" applyAlignment="1">
      <alignment horizontal="center" vertical="top" wrapText="1"/>
    </xf>
    <xf numFmtId="0" fontId="3" fillId="0" borderId="0" xfId="0" applyFont="1"/>
    <xf numFmtId="0" fontId="3" fillId="0" borderId="0" xfId="0" applyFont="1" applyAlignment="1">
      <alignment vertical="top"/>
    </xf>
    <xf numFmtId="2" fontId="3" fillId="0" borderId="0" xfId="0" applyNumberFormat="1" applyFont="1" applyAlignment="1">
      <alignment horizontal="right" vertical="top"/>
    </xf>
    <xf numFmtId="164" fontId="3" fillId="0" borderId="0" xfId="0" applyNumberFormat="1" applyFont="1" applyAlignment="1">
      <alignment horizontal="right"/>
    </xf>
    <xf numFmtId="0" fontId="3" fillId="0" borderId="0" xfId="0" applyFont="1" applyAlignment="1">
      <alignment horizontal="right"/>
    </xf>
    <xf numFmtId="0" fontId="0" fillId="0" borderId="0" xfId="0" applyAlignment="1">
      <alignment horizontal="right"/>
    </xf>
    <xf numFmtId="16" fontId="0" fillId="0" borderId="0" xfId="0" quotePrefix="1" applyNumberFormat="1" applyAlignment="1">
      <alignment horizontal="right"/>
    </xf>
    <xf numFmtId="164" fontId="0" fillId="0" borderId="0" xfId="0" applyNumberFormat="1"/>
    <xf numFmtId="0" fontId="0" fillId="0" borderId="2"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5"/>
  <sheetViews>
    <sheetView tabSelected="1" topLeftCell="D1" workbookViewId="0">
      <selection activeCell="M10" sqref="M10"/>
    </sheetView>
  </sheetViews>
  <sheetFormatPr defaultColWidth="11" defaultRowHeight="15.75" x14ac:dyDescent="0.25"/>
  <cols>
    <col min="33" max="33" width="12.125" customWidth="1"/>
    <col min="35" max="35" width="12.625" customWidth="1"/>
    <col min="36" max="36" width="12.125" customWidth="1"/>
    <col min="38" max="38" width="12.625" customWidth="1"/>
    <col min="43" max="43" width="12.125" customWidth="1"/>
    <col min="44" max="44" width="12.5" customWidth="1"/>
    <col min="50" max="50" width="13.625" customWidth="1"/>
    <col min="61" max="61" width="16.125" customWidth="1"/>
  </cols>
  <sheetData>
    <row r="3" spans="1:62" s="4" customFormat="1" ht="113.25" customHeight="1" x14ac:dyDescent="0.25">
      <c r="A3" s="5" t="s">
        <v>43</v>
      </c>
      <c r="B3" s="6" t="s">
        <v>44</v>
      </c>
      <c r="C3" s="7" t="s">
        <v>35</v>
      </c>
      <c r="D3" s="8" t="s">
        <v>36</v>
      </c>
      <c r="E3" s="8" t="s">
        <v>37</v>
      </c>
      <c r="F3" s="9" t="s">
        <v>1</v>
      </c>
      <c r="G3" s="9" t="s">
        <v>38</v>
      </c>
      <c r="H3" s="10" t="s">
        <v>39</v>
      </c>
      <c r="I3" s="10" t="s">
        <v>40</v>
      </c>
      <c r="J3" s="8" t="s">
        <v>49</v>
      </c>
      <c r="K3" s="10" t="s">
        <v>50</v>
      </c>
      <c r="L3" s="11" t="s">
        <v>60</v>
      </c>
      <c r="M3" s="12" t="s">
        <v>51</v>
      </c>
      <c r="N3" s="29" t="s">
        <v>84</v>
      </c>
      <c r="O3" s="29" t="s">
        <v>83</v>
      </c>
      <c r="P3" s="12" t="s">
        <v>52</v>
      </c>
      <c r="Q3" s="13" t="s">
        <v>53</v>
      </c>
      <c r="R3" s="14" t="s">
        <v>54</v>
      </c>
      <c r="S3" s="15" t="s">
        <v>55</v>
      </c>
      <c r="T3" s="12" t="s">
        <v>56</v>
      </c>
      <c r="U3" s="12" t="s">
        <v>45</v>
      </c>
      <c r="V3" s="12" t="s">
        <v>57</v>
      </c>
      <c r="W3" s="16" t="s">
        <v>58</v>
      </c>
      <c r="X3" s="17" t="s">
        <v>46</v>
      </c>
      <c r="Y3" s="18" t="s">
        <v>61</v>
      </c>
      <c r="Z3" s="18" t="s">
        <v>62</v>
      </c>
      <c r="AA3" s="18" t="s">
        <v>2</v>
      </c>
      <c r="AB3" s="18" t="s">
        <v>3</v>
      </c>
      <c r="AC3" s="18" t="s">
        <v>4</v>
      </c>
      <c r="AD3" s="18" t="s">
        <v>5</v>
      </c>
      <c r="AE3" s="18" t="s">
        <v>6</v>
      </c>
      <c r="AF3" s="18" t="s">
        <v>7</v>
      </c>
      <c r="AG3" s="19" t="s">
        <v>8</v>
      </c>
      <c r="AH3" s="18" t="s">
        <v>9</v>
      </c>
      <c r="AI3" s="18" t="s">
        <v>10</v>
      </c>
      <c r="AJ3" s="18" t="s">
        <v>11</v>
      </c>
      <c r="AK3" s="18" t="s">
        <v>12</v>
      </c>
      <c r="AL3" s="18" t="s">
        <v>13</v>
      </c>
      <c r="AM3" s="18" t="s">
        <v>63</v>
      </c>
      <c r="AN3" s="18" t="s">
        <v>64</v>
      </c>
      <c r="AO3" s="20" t="s">
        <v>65</v>
      </c>
      <c r="AP3" s="20" t="s">
        <v>66</v>
      </c>
      <c r="AQ3" s="3" t="s">
        <v>14</v>
      </c>
      <c r="AR3" s="3" t="s">
        <v>15</v>
      </c>
      <c r="AS3" s="3" t="s">
        <v>16</v>
      </c>
      <c r="AT3" s="3" t="s">
        <v>17</v>
      </c>
      <c r="AU3" s="3" t="s">
        <v>18</v>
      </c>
      <c r="AV3" s="3" t="s">
        <v>19</v>
      </c>
      <c r="AW3" s="3" t="s">
        <v>20</v>
      </c>
      <c r="AX3" s="3" t="s">
        <v>21</v>
      </c>
      <c r="AY3" s="3" t="s">
        <v>22</v>
      </c>
      <c r="AZ3" s="3" t="s">
        <v>23</v>
      </c>
      <c r="BA3" s="3" t="s">
        <v>24</v>
      </c>
      <c r="BB3" s="3" t="s">
        <v>25</v>
      </c>
      <c r="BC3" s="3" t="s">
        <v>26</v>
      </c>
      <c r="BD3" s="3" t="s">
        <v>27</v>
      </c>
      <c r="BE3" s="2" t="s">
        <v>28</v>
      </c>
      <c r="BF3" s="3" t="s">
        <v>29</v>
      </c>
      <c r="BG3" s="3" t="s">
        <v>30</v>
      </c>
      <c r="BH3" s="2" t="s">
        <v>31</v>
      </c>
      <c r="BI3" s="2" t="s">
        <v>32</v>
      </c>
      <c r="BJ3" s="2" t="s">
        <v>0</v>
      </c>
    </row>
    <row r="4" spans="1:62" x14ac:dyDescent="0.25">
      <c r="A4" t="s">
        <v>47</v>
      </c>
      <c r="B4" t="s">
        <v>48</v>
      </c>
      <c r="C4" t="s">
        <v>41</v>
      </c>
      <c r="D4" t="s">
        <v>67</v>
      </c>
      <c r="E4">
        <v>2022</v>
      </c>
      <c r="F4" s="1" t="str">
        <f>Z4</f>
        <v>10.1016/j.gloplacha.2022.103737</v>
      </c>
      <c r="G4">
        <f>AH4*1000</f>
        <v>15780</v>
      </c>
      <c r="H4">
        <f>(AI4-AH4)*1000</f>
        <v>38.999999999999702</v>
      </c>
      <c r="I4">
        <f>(AH4-AJ4)*1000</f>
        <v>38.999999999999702</v>
      </c>
      <c r="J4">
        <f>BD4</f>
        <v>382</v>
      </c>
      <c r="K4" t="s">
        <v>59</v>
      </c>
      <c r="L4" t="s">
        <v>59</v>
      </c>
      <c r="M4" t="b">
        <v>1</v>
      </c>
      <c r="N4">
        <v>3</v>
      </c>
      <c r="O4" t="s">
        <v>82</v>
      </c>
      <c r="P4" t="s">
        <v>59</v>
      </c>
      <c r="Q4" t="b">
        <v>0</v>
      </c>
      <c r="R4" t="s">
        <v>59</v>
      </c>
      <c r="S4" t="b">
        <v>1</v>
      </c>
      <c r="T4" t="b">
        <v>0</v>
      </c>
      <c r="U4" t="s">
        <v>59</v>
      </c>
      <c r="V4" t="s">
        <v>59</v>
      </c>
      <c r="W4" t="b">
        <v>0</v>
      </c>
      <c r="X4" t="s">
        <v>59</v>
      </c>
      <c r="Y4" s="22" t="s">
        <v>68</v>
      </c>
      <c r="Z4" t="s">
        <v>69</v>
      </c>
      <c r="AA4" t="s">
        <v>59</v>
      </c>
      <c r="AB4" t="s">
        <v>70</v>
      </c>
      <c r="AC4" t="s">
        <v>76</v>
      </c>
      <c r="AD4" t="s">
        <v>71</v>
      </c>
      <c r="AE4" t="s">
        <v>72</v>
      </c>
      <c r="AF4" s="22" t="s">
        <v>73</v>
      </c>
      <c r="AG4" s="22" t="s">
        <v>74</v>
      </c>
      <c r="AH4" s="23">
        <v>15.78</v>
      </c>
      <c r="AI4" s="23">
        <f>AH4+0.039</f>
        <v>15.818999999999999</v>
      </c>
      <c r="AJ4" s="23">
        <f>AH4-0.039</f>
        <v>15.741</v>
      </c>
      <c r="AK4" t="s">
        <v>59</v>
      </c>
      <c r="AL4" s="21" t="s">
        <v>75</v>
      </c>
      <c r="AM4" s="24">
        <v>47</v>
      </c>
      <c r="AN4" s="25">
        <v>-116.3</v>
      </c>
      <c r="AO4" s="21" t="s">
        <v>59</v>
      </c>
      <c r="AP4" s="21" t="s">
        <v>59</v>
      </c>
      <c r="AQ4" s="27" t="s">
        <v>77</v>
      </c>
      <c r="AR4" s="26">
        <v>4</v>
      </c>
      <c r="AS4" t="s">
        <v>33</v>
      </c>
      <c r="AT4" t="s">
        <v>78</v>
      </c>
      <c r="AU4" t="s">
        <v>59</v>
      </c>
      <c r="AV4" t="s">
        <v>59</v>
      </c>
      <c r="AW4" s="28">
        <v>150.1</v>
      </c>
      <c r="AX4" t="s">
        <v>59</v>
      </c>
      <c r="AY4">
        <v>57.2</v>
      </c>
      <c r="BA4" t="s">
        <v>79</v>
      </c>
      <c r="BB4" t="s">
        <v>80</v>
      </c>
      <c r="BC4" t="s">
        <v>42</v>
      </c>
      <c r="BD4">
        <v>382</v>
      </c>
      <c r="BE4" t="s">
        <v>34</v>
      </c>
      <c r="BF4" t="s">
        <v>59</v>
      </c>
      <c r="BG4" t="s">
        <v>59</v>
      </c>
      <c r="BH4" t="s">
        <v>81</v>
      </c>
      <c r="BI4" t="s">
        <v>59</v>
      </c>
      <c r="BJ4" t="s">
        <v>59</v>
      </c>
    </row>
    <row r="5" spans="1:62" x14ac:dyDescent="0.25">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2" x14ac:dyDescent="0.25">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2" x14ac:dyDescent="0.25">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2" x14ac:dyDescent="0.25">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5">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5">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5">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5">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5">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5">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5">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5">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5">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5">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5">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5">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5">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5">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5">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5">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5">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5">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5">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5">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5">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5">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5">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5">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5">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5">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5">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5">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5">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5">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5">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5">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5">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5">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5">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5">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5">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5">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5">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5">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5">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5">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5">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5">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5">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5">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5">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5">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5">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5">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5">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5">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5">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5">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5">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5">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5">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5">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5">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5">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5">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5">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5">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5">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5">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5">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5">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5">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5">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5">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5">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5">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5">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5">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5">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5">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5">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5">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5">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5">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5">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5">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5">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5">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5">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5">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5">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5">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5">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5">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5">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5">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5">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5">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5">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5">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5">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5">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5">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5">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5">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5">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5">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5">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5">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5">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5">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5">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5">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5">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5">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5">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5">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5">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5">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5">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5">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5">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5">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5">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5">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5">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5">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5">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5">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5">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5">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5">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5">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5">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5">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5">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5">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5">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5">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5">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5">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5">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5">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5">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5">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5">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5">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5">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5">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5">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5">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5">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5">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5">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5">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5">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5">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5">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5">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5">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5">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5">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5">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5">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5">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5">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5">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5">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5">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5">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5">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5">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5">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5">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5">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5">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5">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5">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5">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5">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5">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5">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5">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5">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5">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5">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5">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5">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5">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5">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5">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5">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5">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5">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5">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5">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5">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5">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5">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5">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5">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5">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5">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5">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5">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5">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5">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5">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5">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5">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5">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5">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5">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5">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5">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5">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5">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5">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5">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5">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5">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5">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5">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5">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5">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5">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5">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5">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5">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5">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5">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5">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5">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5">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5">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5">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5">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5">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5">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5">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5">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5">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5">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5">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5">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5">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5">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5">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5">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5">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5">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5">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5">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5">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5">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5">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5">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5">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5">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5">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5">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5">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5">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5">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5">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5">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5">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5">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5">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5">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5">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5">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5">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5">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5">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5">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5">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5">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5">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5">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5">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5">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5">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5">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5">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5">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5">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5">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5">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5">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5">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5">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5">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5">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5">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5">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5">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5">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5">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5">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5">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5">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5">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5">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5">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5">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5">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5">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5">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5">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5">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5">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5">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5">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5">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5">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5">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5">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5">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5">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5">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5">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5">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5">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5">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5">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5">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5">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5">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5">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5">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5">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5">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5">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5">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5">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5">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5">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5">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5">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5">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5">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5">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5">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5">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5">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5">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5">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5">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5">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5">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5">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5">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5">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5">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5">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5">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5">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5">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5">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5">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5">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5">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5">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5">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5">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5">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5">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5">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5">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5">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5">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5">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5">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5">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5">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5">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5">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5">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5">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5">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5">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5">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5">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5">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5">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5">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5">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5">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5">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5">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5">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5">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5">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5">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5">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5">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5">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5">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5">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5">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5">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5">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5">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5">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5">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5">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5">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5">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5">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5">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5">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5">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5">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5">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5">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5">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5">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5">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5">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5">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5">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5">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5">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5">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5">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5">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5">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5">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5">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5">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5">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5">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5">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5">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5">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5">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5">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5">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5">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5">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5">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5">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5">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5">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5">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5">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5">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5">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5">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5">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5">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5">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5">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5">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5">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5">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5">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5">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5">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5">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5">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5">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5">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5">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5">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5">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5">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5">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5">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5">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5">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5">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5">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5">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5">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5">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5">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5">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5">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5">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5">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5">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5">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5">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5">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5">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5">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5">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5">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5">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5">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5">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5">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5">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5">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5">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5">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5">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5">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5">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5">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5">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5">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5">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5">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5">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5">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5">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5">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5">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5">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5">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5">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5">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5">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5">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5">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5">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5">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5">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5">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5">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5">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5">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5">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5">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5">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5">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5">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5">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5">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5">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5">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5">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5">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5">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5">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5">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5">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5">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5">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5">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5">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5">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5">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5">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5">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5">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5">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5">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5">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5">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5">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5">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5">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5">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5">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5">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5">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5">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5">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5">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5">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5">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5">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5">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5">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5">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5">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5">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5">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5">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5">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5">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5">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5">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5">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5">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5">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5">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5">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5">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5">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5">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5">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5">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5">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5">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5">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5">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5">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5">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5">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5">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5">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5">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5">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5">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5">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5">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5">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5">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5">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5">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5">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5">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5">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5">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5">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5">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5">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5">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5">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5">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5">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5">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5">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5">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5">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5">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5">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5">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5">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5">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5">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5">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5">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5">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5">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5">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5">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5">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5">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5">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5">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5">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5">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5">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5">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5">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5">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5">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5">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5">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5">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5">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5">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5">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5">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5">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5">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5">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5">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5">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5">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5">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5">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5">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5">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5">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5">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5">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5">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5">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5">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5">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5">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5">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5">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5">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5">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5">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5">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5">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5">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5">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5">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5">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5">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5">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5">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5">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5">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5">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5">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5">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5">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5">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5">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5">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5">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5">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5">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5">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5">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5">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5">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5">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5">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5">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5">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5">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5">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5">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5">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5">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5">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5">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5">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5">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5">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5">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5">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5">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5">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5">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5">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5">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5">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5">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5">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5">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5">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5">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5">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5">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5">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5">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5">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5">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5">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5">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5">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5">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5">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5">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5">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5">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5">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5">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5">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5">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5">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5">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5">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5">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5">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5">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5">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5">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5">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5">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5">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5">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5">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5">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5">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5">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5">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5">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5">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5">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5">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5">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5">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5">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5">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5">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5">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5">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5">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5">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5">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5">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5">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5">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5">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5">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5">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5">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5">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5">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5">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5">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5">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5">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5">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5">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5">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5">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5">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5">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5">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5">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5">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5">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5">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5">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5">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5">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5">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5">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5">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5">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5">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5">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5">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5">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5">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5">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5">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5">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5">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5">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5">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5">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5">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5">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5">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5">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5">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5">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5">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5">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5">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5">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5">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5">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5">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5">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5">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5">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5">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5">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5">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5">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5">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5">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5">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5">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5">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5">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5">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5">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5">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5">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5">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5">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5">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5">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5">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5">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5">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5">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5">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5">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5">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5">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5">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5">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5">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5">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5">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5">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5">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5">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5">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5">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5">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5">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5">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5">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5">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5">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5">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5">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5">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5">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5">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5">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5">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5">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5">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5">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5">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5">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5">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5">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5">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5">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5">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5">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5">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5">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5">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5">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5">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5">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5">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5">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5">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5">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5">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5">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5">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5">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5">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5">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5">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5">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5">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5">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5">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5">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5">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5">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5">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5">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5">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5">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5">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5">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5">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5">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5">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5">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5">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5">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5">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5">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5">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5">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5">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5">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5">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5">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5">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5">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5">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5">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2017-12-08T17:21:04Z</dcterms:created>
  <dcterms:modified xsi:type="dcterms:W3CDTF">2022-03-29T21:40:19Z</dcterms:modified>
</cp:coreProperties>
</file>