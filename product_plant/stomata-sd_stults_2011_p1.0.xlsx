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4D9F1639-D31D-5B46-8469-BF6D378AC960}" xr6:coauthVersionLast="47" xr6:coauthVersionMax="47" xr10:uidLastSave="{00000000-0000-0000-0000-000000000000}"/>
  <bookViews>
    <workbookView xWindow="620" yWindow="1180" windowWidth="28180" windowHeight="16280" tabRatio="500" xr2:uid="{00000000-000D-0000-FFFF-FFFF00000000}"/>
  </bookViews>
  <sheets>
    <sheet name="SD_SI"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5" i="1" l="1"/>
  <c r="J4" i="1"/>
  <c r="F5" i="1"/>
  <c r="F4" i="1"/>
  <c r="AH5" i="1" l="1"/>
  <c r="AH4" i="1"/>
  <c r="BG4" i="1"/>
  <c r="K4" i="1" s="1"/>
  <c r="BG5" i="1"/>
  <c r="K5" i="1" s="1"/>
  <c r="BF5" i="1"/>
  <c r="L5" i="1" s="1"/>
  <c r="BF4" i="1"/>
  <c r="L4" i="1" s="1"/>
  <c r="I4" i="1" l="1"/>
  <c r="H4" i="1"/>
  <c r="G4" i="1"/>
  <c r="I5" i="1"/>
  <c r="H5" i="1"/>
</calcChain>
</file>

<file path=xl/sharedStrings.xml><?xml version="1.0" encoding="utf-8"?>
<sst xmlns="http://schemas.openxmlformats.org/spreadsheetml/2006/main" count="140" uniqueCount="88">
  <si>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</si>
  <si>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</si>
  <si>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</si>
  <si>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</si>
  <si>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</si>
  <si>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</si>
  <si>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</si>
  <si>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</si>
  <si>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</si>
  <si>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</si>
  <si>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</si>
  <si>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</si>
  <si>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</si>
  <si>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</si>
  <si>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</si>
  <si>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</si>
  <si>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</si>
  <si>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</si>
  <si>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</si>
  <si>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</si>
  <si>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</si>
  <si>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</si>
  <si>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</si>
  <si>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</si>
  <si>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</si>
  <si>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</si>
  <si>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</si>
  <si>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</si>
  <si>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</si>
  <si>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</si>
  <si>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</si>
  <si>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</si>
  <si>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Uncertainties only in the calibration function are included</t>
  </si>
  <si>
    <t>mean</t>
  </si>
  <si>
    <t>95% confidence intervals</t>
  </si>
  <si>
    <t>proxy</t>
  </si>
  <si>
    <t>first_author_last_name</t>
  </si>
  <si>
    <t>publication_year</t>
  </si>
  <si>
    <t>age_ka</t>
  </si>
  <si>
    <t>Age_uncertainty_pos_ka</t>
  </si>
  <si>
    <t>Age_uncertainty_neg_ka</t>
  </si>
  <si>
    <t>Stults</t>
  </si>
  <si>
    <t>10.1016/j.palaeo.2011.06.017</t>
  </si>
  <si>
    <t>Cuppressaceae</t>
  </si>
  <si>
    <t>Taxodium</t>
  </si>
  <si>
    <t>distichum</t>
  </si>
  <si>
    <t>University of South Alabama (Brian Axsmith)?</t>
  </si>
  <si>
    <t>Citronelle</t>
  </si>
  <si>
    <t>Brandywine</t>
  </si>
  <si>
    <t>Late Miocene</t>
  </si>
  <si>
    <t>Pliocene</t>
  </si>
  <si>
    <t>Taxodium distichum</t>
  </si>
  <si>
    <t>Stults et al. (2011)</t>
  </si>
  <si>
    <t>SD error (+/- 1 s.d.)</t>
  </si>
  <si>
    <t>left skewed</t>
  </si>
  <si>
    <t>name of person entering product data</t>
  </si>
  <si>
    <t>email of person entering product data</t>
  </si>
  <si>
    <t>specify reason for quarantine</t>
  </si>
  <si>
    <t>specify reason for age revision</t>
  </si>
  <si>
    <t>droyer@wesleyan.edu</t>
  </si>
  <si>
    <t>stomata-SD</t>
  </si>
  <si>
    <t>Estimates are based on measurements of stomatal density, which is usually more affected by more non-CO2 environmental factors than stomatal index; also, some basic information is not given, such as the number of leaves measured</t>
  </si>
  <si>
    <t>Stults, D. Z., Wagner-Cremer, F., and Axsmith, B. J., 2011, Atmospheric paleo-CO2 estimates based on Taxodium distichum (Cupressaceae) fossils from the Miocene and Pliocene of eastern North America: Palaeogeography Palaeoclimatology Palaeoecology, v. 309, p. 327-332.</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</si>
  <si>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</si>
  <si>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</si>
  <si>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</si>
  <si>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</si>
  <si>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</si>
  <si>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</si>
  <si>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</si>
  <si>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</si>
  <si>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</si>
  <si>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</si>
  <si>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</si>
  <si>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</si>
  <si>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Modern Longitude (decimal degree, west negative)</t>
  </si>
  <si>
    <t>CO2_uncertainty_neg_ppm</t>
  </si>
  <si>
    <t>reference of the data product</t>
  </si>
  <si>
    <t>doi link to reference</t>
  </si>
  <si>
    <t>Dana Royer</t>
  </si>
  <si>
    <t>Paleo Latitude (decimal degree, south negative)</t>
  </si>
  <si>
    <t>Paleo Longitude (decimal degree, west negative)</t>
  </si>
  <si>
    <t>GTS2020</t>
  </si>
  <si>
    <t>biostratigraphy: late Miocene (probably Tortonian-Messinian, based on published age of 11.2-6.5 Ma)</t>
  </si>
  <si>
    <t>biostratigraphy: Pliocene (probably Piacenzian, based on published age of 3.4-2.7 Ma)</t>
  </si>
  <si>
    <t>Biostratigraphy updated to GTS2020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</si>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</sst>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color indexed="8"/>
      <name val="Calibri"/>
      <family val="2"/>
    </font>
    <font>
      <b/>
      <sz val="12"/>
      <name val="Calibri"/>
      <family val="2"/>
      <scheme val="minor"/>
    </font>
  </fonts>
  <fills count="4">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1" fillId="0" borderId="0"/>
  </cellStyleXfs>
  <cellXfs count="26">
    <xf numFmtId="0" fontId="0" fillId="0" borderId="0" xfId="0"/>
    <xf numFmtId="0" fontId="0" fillId="0" borderId="0" xfId="0" applyBorder="1" applyAlignment="1"/>
    <xf numFmtId="0" fontId="4" fillId="2" borderId="0" xfId="0" applyFont="1" applyFill="1" applyBorder="1" applyAlignment="1">
      <alignment vertical="top" wrapText="1"/>
    </xf>
    <xf numFmtId="0" fontId="2" fillId="2" borderId="0" xfId="0" applyFont="1" applyFill="1" applyBorder="1" applyAlignment="1">
      <alignment horizontal="center" vertical="top" wrapText="1"/>
    </xf>
    <xf numFmtId="0" fontId="2" fillId="0" borderId="0" xfId="0" applyFont="1" applyAlignment="1">
      <alignment wrapText="1"/>
    </xf>
    <xf numFmtId="0" fontId="0" fillId="0" borderId="0" xfId="0" applyFill="1" applyBorder="1" applyAlignment="1"/>
    <xf numFmtId="0" fontId="0" fillId="0" borderId="0" xfId="0" applyFill="1" applyBorder="1" applyAlignment="1">
      <alignment horizontal="right"/>
    </xf>
    <xf numFmtId="164" fontId="0" fillId="0" borderId="0" xfId="0" applyNumberFormat="1" applyFill="1" applyBorder="1" applyAlignment="1">
      <alignment horizontal="right"/>
    </xf>
    <xf numFmtId="164" fontId="0" fillId="0" borderId="0" xfId="0" applyNumberFormat="1" applyBorder="1" applyAlignment="1"/>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0" fillId="0" borderId="0" xfId="0" applyFill="1"/>
    <xf numFmtId="0" fontId="6" fillId="3" borderId="0" xfId="0" applyFont="1" applyFill="1" applyBorder="1" applyAlignment="1">
      <alignment vertical="top" wrapText="1"/>
    </xf>
    <xf numFmtId="0" fontId="7" fillId="3" borderId="0" xfId="0" applyFont="1" applyFill="1" applyBorder="1" applyAlignment="1">
      <alignment horizontal="center" vertical="top" wrapText="1"/>
    </xf>
    <xf numFmtId="0" fontId="0" fillId="0" borderId="2" xfId="0" applyBorder="1" applyAlignment="1">
      <alignment wrapText="1"/>
    </xf>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943"/>
  <sheetViews>
    <sheetView tabSelected="1" topLeftCell="E1" workbookViewId="0">
      <pane ySplit="3" topLeftCell="A4" activePane="bottomLeft" state="frozen"/>
      <selection pane="bottomLeft" activeCell="N3" sqref="N3:O3"/>
    </sheetView>
  </sheetViews>
  <sheetFormatPr baseColWidth="10" defaultColWidth="11" defaultRowHeight="16" x14ac:dyDescent="0.2"/>
  <cols>
    <col min="33" max="33" width="12.1640625" customWidth="1"/>
    <col min="35" max="35" width="12.6640625" customWidth="1"/>
    <col min="36" max="36" width="12.1640625" customWidth="1"/>
    <col min="38" max="38" width="12.6640625" customWidth="1"/>
    <col min="43" max="43" width="12.1640625" customWidth="1"/>
    <col min="44" max="44" width="12.5" customWidth="1"/>
    <col min="50" max="50" width="13.6640625" customWidth="1"/>
    <col min="61" max="61" width="16.1640625" customWidth="1"/>
  </cols>
  <sheetData>
    <row r="3" spans="1:62" s="4" customFormat="1" ht="409.6" x14ac:dyDescent="0.2">
      <c r="A3" s="9" t="s">
        <v>55</v>
      </c>
      <c r="B3" s="10" t="s">
        <v>56</v>
      </c>
      <c r="C3" s="11" t="s">
        <v>35</v>
      </c>
      <c r="D3" s="12" t="s">
        <v>36</v>
      </c>
      <c r="E3" s="12" t="s">
        <v>37</v>
      </c>
      <c r="F3" s="13" t="s">
        <v>1</v>
      </c>
      <c r="G3" s="13" t="s">
        <v>38</v>
      </c>
      <c r="H3" s="14" t="s">
        <v>39</v>
      </c>
      <c r="I3" s="14" t="s">
        <v>40</v>
      </c>
      <c r="J3" s="12" t="s">
        <v>63</v>
      </c>
      <c r="K3" s="14" t="s">
        <v>64</v>
      </c>
      <c r="L3" s="15" t="s">
        <v>76</v>
      </c>
      <c r="M3" s="16" t="s">
        <v>65</v>
      </c>
      <c r="N3" s="25" t="s">
        <v>86</v>
      </c>
      <c r="O3" s="25" t="s">
        <v>87</v>
      </c>
      <c r="P3" s="16" t="s">
        <v>66</v>
      </c>
      <c r="Q3" s="17" t="s">
        <v>67</v>
      </c>
      <c r="R3" s="18" t="s">
        <v>68</v>
      </c>
      <c r="S3" s="19" t="s">
        <v>69</v>
      </c>
      <c r="T3" s="16" t="s">
        <v>70</v>
      </c>
      <c r="U3" s="16" t="s">
        <v>57</v>
      </c>
      <c r="V3" s="16" t="s">
        <v>71</v>
      </c>
      <c r="W3" s="20" t="s">
        <v>72</v>
      </c>
      <c r="X3" s="21" t="s">
        <v>58</v>
      </c>
      <c r="Y3" s="2" t="s">
        <v>77</v>
      </c>
      <c r="Z3" s="2" t="s">
        <v>78</v>
      </c>
      <c r="AA3" s="2" t="s">
        <v>2</v>
      </c>
      <c r="AB3" s="2" t="s">
        <v>3</v>
      </c>
      <c r="AC3" s="2" t="s">
        <v>4</v>
      </c>
      <c r="AD3" s="2" t="s">
        <v>5</v>
      </c>
      <c r="AE3" s="2" t="s">
        <v>6</v>
      </c>
      <c r="AF3" s="2" t="s">
        <v>7</v>
      </c>
      <c r="AG3" s="3" t="s">
        <v>8</v>
      </c>
      <c r="AH3" s="2" t="s">
        <v>9</v>
      </c>
      <c r="AI3" s="2" t="s">
        <v>10</v>
      </c>
      <c r="AJ3" s="2" t="s">
        <v>11</v>
      </c>
      <c r="AK3" s="2" t="s">
        <v>12</v>
      </c>
      <c r="AL3" s="2" t="s">
        <v>13</v>
      </c>
      <c r="AM3" s="23" t="s">
        <v>74</v>
      </c>
      <c r="AN3" s="23" t="s">
        <v>75</v>
      </c>
      <c r="AO3" s="24" t="s">
        <v>80</v>
      </c>
      <c r="AP3" s="24" t="s">
        <v>81</v>
      </c>
      <c r="AQ3" s="3" t="s">
        <v>14</v>
      </c>
      <c r="AR3" s="3" t="s">
        <v>15</v>
      </c>
      <c r="AS3" s="3" t="s">
        <v>16</v>
      </c>
      <c r="AT3" s="3" t="s">
        <v>17</v>
      </c>
      <c r="AU3" s="3" t="s">
        <v>18</v>
      </c>
      <c r="AV3" s="3" t="s">
        <v>19</v>
      </c>
      <c r="AW3" s="3" t="s">
        <v>20</v>
      </c>
      <c r="AX3" s="3" t="s">
        <v>21</v>
      </c>
      <c r="AY3" s="3" t="s">
        <v>53</v>
      </c>
      <c r="AZ3" s="3" t="s">
        <v>22</v>
      </c>
      <c r="BA3" s="3" t="s">
        <v>23</v>
      </c>
      <c r="BB3" s="3" t="s">
        <v>24</v>
      </c>
      <c r="BC3" s="3" t="s">
        <v>25</v>
      </c>
      <c r="BD3" s="3" t="s">
        <v>26</v>
      </c>
      <c r="BE3" s="2" t="s">
        <v>27</v>
      </c>
      <c r="BF3" s="3" t="s">
        <v>28</v>
      </c>
      <c r="BG3" s="3" t="s">
        <v>29</v>
      </c>
      <c r="BH3" s="2" t="s">
        <v>30</v>
      </c>
      <c r="BI3" s="2" t="s">
        <v>31</v>
      </c>
      <c r="BJ3" s="2" t="s">
        <v>0</v>
      </c>
    </row>
    <row r="4" spans="1:62" x14ac:dyDescent="0.2">
      <c r="A4" t="s">
        <v>79</v>
      </c>
      <c r="B4" t="s">
        <v>59</v>
      </c>
      <c r="C4" t="s">
        <v>60</v>
      </c>
      <c r="D4" t="s">
        <v>41</v>
      </c>
      <c r="E4">
        <v>2011</v>
      </c>
      <c r="F4" t="str">
        <f>Z4</f>
        <v>10.1016/j.palaeo.2011.06.017</v>
      </c>
      <c r="G4">
        <f>AH4*1000</f>
        <v>8490</v>
      </c>
      <c r="H4">
        <f>(AI4-AH4)*1000</f>
        <v>3160</v>
      </c>
      <c r="I4">
        <f>(AH4-AJ4)*1000</f>
        <v>3160</v>
      </c>
      <c r="J4">
        <f>BD4</f>
        <v>360</v>
      </c>
      <c r="K4">
        <f>BG4-BD4</f>
        <v>46</v>
      </c>
      <c r="L4">
        <f>BD4-BF4</f>
        <v>34</v>
      </c>
      <c r="M4" t="b">
        <v>1</v>
      </c>
      <c r="N4">
        <v>3</v>
      </c>
      <c r="O4" t="s">
        <v>61</v>
      </c>
      <c r="P4" t="s">
        <v>73</v>
      </c>
      <c r="Q4" t="b">
        <v>0</v>
      </c>
      <c r="R4" t="s">
        <v>73</v>
      </c>
      <c r="S4" t="b">
        <v>0</v>
      </c>
      <c r="T4" t="b">
        <v>0</v>
      </c>
      <c r="U4" t="s">
        <v>73</v>
      </c>
      <c r="V4" t="s">
        <v>73</v>
      </c>
      <c r="W4" t="b">
        <v>1</v>
      </c>
      <c r="X4" s="22" t="s">
        <v>85</v>
      </c>
      <c r="Y4" s="5" t="s">
        <v>62</v>
      </c>
      <c r="Z4" s="1" t="s">
        <v>42</v>
      </c>
      <c r="AA4" s="5" t="s">
        <v>73</v>
      </c>
      <c r="AB4" s="5" t="s">
        <v>43</v>
      </c>
      <c r="AC4" s="5" t="s">
        <v>44</v>
      </c>
      <c r="AD4" s="5" t="s">
        <v>45</v>
      </c>
      <c r="AE4" s="5" t="s">
        <v>46</v>
      </c>
      <c r="AF4" s="5" t="s">
        <v>48</v>
      </c>
      <c r="AG4" s="5" t="s">
        <v>49</v>
      </c>
      <c r="AH4" s="7">
        <f t="shared" ref="AH4:AH5" si="0">AVERAGE(AI4:AJ4)</f>
        <v>8.49</v>
      </c>
      <c r="AI4" s="7">
        <v>11.65</v>
      </c>
      <c r="AJ4" s="7">
        <v>5.33</v>
      </c>
      <c r="AK4" s="5" t="s">
        <v>82</v>
      </c>
      <c r="AL4" s="5" t="s">
        <v>83</v>
      </c>
      <c r="AM4" s="5" t="s">
        <v>73</v>
      </c>
      <c r="AN4" s="5" t="s">
        <v>73</v>
      </c>
      <c r="AO4" s="6" t="s">
        <v>73</v>
      </c>
      <c r="AP4" s="6" t="s">
        <v>73</v>
      </c>
      <c r="AQ4" s="5" t="s">
        <v>73</v>
      </c>
      <c r="AR4" s="5" t="s">
        <v>73</v>
      </c>
      <c r="AS4" s="5" t="s">
        <v>73</v>
      </c>
      <c r="AT4" s="5" t="s">
        <v>73</v>
      </c>
      <c r="AU4" s="5" t="s">
        <v>73</v>
      </c>
      <c r="AV4" s="5" t="s">
        <v>73</v>
      </c>
      <c r="AW4" s="5">
        <v>150</v>
      </c>
      <c r="AX4" s="5" t="s">
        <v>73</v>
      </c>
      <c r="AY4" s="5">
        <v>33</v>
      </c>
      <c r="AZ4" s="5" t="s">
        <v>73</v>
      </c>
      <c r="BA4" s="5" t="s">
        <v>51</v>
      </c>
      <c r="BB4" s="5" t="s">
        <v>52</v>
      </c>
      <c r="BC4" s="5" t="s">
        <v>32</v>
      </c>
      <c r="BD4" s="6">
        <v>360</v>
      </c>
      <c r="BE4" s="5" t="s">
        <v>33</v>
      </c>
      <c r="BF4" s="6">
        <f>BD4-17*2</f>
        <v>326</v>
      </c>
      <c r="BG4" s="6">
        <f>BD4+23*2</f>
        <v>406</v>
      </c>
      <c r="BH4" s="5" t="s">
        <v>34</v>
      </c>
      <c r="BI4" s="5" t="s">
        <v>54</v>
      </c>
      <c r="BJ4" s="5" t="s">
        <v>73</v>
      </c>
    </row>
    <row r="5" spans="1:62" x14ac:dyDescent="0.2">
      <c r="A5" t="s">
        <v>79</v>
      </c>
      <c r="B5" t="s">
        <v>59</v>
      </c>
      <c r="C5" t="s">
        <v>60</v>
      </c>
      <c r="D5" t="s">
        <v>41</v>
      </c>
      <c r="E5">
        <v>2011</v>
      </c>
      <c r="F5" t="str">
        <f>Z5</f>
        <v>10.1016/j.palaeo.2011.06.017</v>
      </c>
      <c r="G5">
        <v>3050</v>
      </c>
      <c r="H5">
        <f>(AI5-AH5)*1000</f>
        <v>510.00000000000023</v>
      </c>
      <c r="I5">
        <f>(AH5-AJ5)*1000</f>
        <v>509.99999999999977</v>
      </c>
      <c r="J5">
        <f>BD5</f>
        <v>351</v>
      </c>
      <c r="K5">
        <f>BG5-BD5</f>
        <v>54</v>
      </c>
      <c r="L5">
        <f>BD5-BF5</f>
        <v>36</v>
      </c>
      <c r="M5" t="b">
        <v>1</v>
      </c>
      <c r="N5">
        <v>3</v>
      </c>
      <c r="O5" t="s">
        <v>61</v>
      </c>
      <c r="P5" t="s">
        <v>73</v>
      </c>
      <c r="Q5" t="b">
        <v>0</v>
      </c>
      <c r="R5" t="s">
        <v>73</v>
      </c>
      <c r="S5" t="b">
        <v>0</v>
      </c>
      <c r="T5" t="b">
        <v>0</v>
      </c>
      <c r="U5" t="s">
        <v>73</v>
      </c>
      <c r="V5" t="s">
        <v>73</v>
      </c>
      <c r="W5" t="b">
        <v>1</v>
      </c>
      <c r="X5" s="22" t="s">
        <v>85</v>
      </c>
      <c r="Y5" s="5" t="s">
        <v>62</v>
      </c>
      <c r="Z5" s="1" t="s">
        <v>42</v>
      </c>
      <c r="AA5" s="5" t="s">
        <v>73</v>
      </c>
      <c r="AB5" s="5" t="s">
        <v>43</v>
      </c>
      <c r="AC5" s="5" t="s">
        <v>44</v>
      </c>
      <c r="AD5" s="5" t="s">
        <v>45</v>
      </c>
      <c r="AE5" s="5" t="s">
        <v>46</v>
      </c>
      <c r="AF5" s="1" t="s">
        <v>47</v>
      </c>
      <c r="AG5" s="5" t="s">
        <v>50</v>
      </c>
      <c r="AH5" s="8">
        <f t="shared" si="0"/>
        <v>3.09</v>
      </c>
      <c r="AI5" s="8">
        <v>3.6</v>
      </c>
      <c r="AJ5" s="8">
        <v>2.58</v>
      </c>
      <c r="AK5" s="5" t="s">
        <v>82</v>
      </c>
      <c r="AL5" s="5" t="s">
        <v>84</v>
      </c>
      <c r="AM5" s="1">
        <v>30.343499999999999</v>
      </c>
      <c r="AN5" s="5">
        <v>-87.485332999999997</v>
      </c>
      <c r="AO5" s="6" t="s">
        <v>73</v>
      </c>
      <c r="AP5" s="6" t="s">
        <v>73</v>
      </c>
      <c r="AQ5" s="5" t="s">
        <v>73</v>
      </c>
      <c r="AR5" s="5" t="s">
        <v>73</v>
      </c>
      <c r="AS5" s="5" t="s">
        <v>73</v>
      </c>
      <c r="AT5" s="5" t="s">
        <v>73</v>
      </c>
      <c r="AU5" s="5" t="s">
        <v>73</v>
      </c>
      <c r="AV5" s="5" t="s">
        <v>73</v>
      </c>
      <c r="AW5" s="1">
        <v>166</v>
      </c>
      <c r="AX5" s="5" t="s">
        <v>73</v>
      </c>
      <c r="AY5" s="1">
        <v>42</v>
      </c>
      <c r="AZ5" s="5" t="s">
        <v>73</v>
      </c>
      <c r="BA5" s="5" t="s">
        <v>51</v>
      </c>
      <c r="BB5" s="5" t="s">
        <v>52</v>
      </c>
      <c r="BC5" s="5" t="s">
        <v>32</v>
      </c>
      <c r="BD5" s="1">
        <v>351</v>
      </c>
      <c r="BE5" s="5" t="s">
        <v>33</v>
      </c>
      <c r="BF5" s="6">
        <f>BD5-18*2</f>
        <v>315</v>
      </c>
      <c r="BG5" s="6">
        <f>BD5+27*2</f>
        <v>405</v>
      </c>
      <c r="BH5" s="5" t="s">
        <v>34</v>
      </c>
      <c r="BI5" s="5" t="s">
        <v>54</v>
      </c>
      <c r="BJ5" s="5" t="s">
        <v>73</v>
      </c>
    </row>
    <row r="6" spans="1:62" x14ac:dyDescent="0.2">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2" x14ac:dyDescent="0.2">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2" x14ac:dyDescent="0.2">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2" x14ac:dyDescent="0.2">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2" x14ac:dyDescent="0.2">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2" x14ac:dyDescent="0.2">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2" x14ac:dyDescent="0.2">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2" x14ac:dyDescent="0.2">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2" x14ac:dyDescent="0.2">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2" x14ac:dyDescent="0.2">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2" x14ac:dyDescent="0.2">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25:61" x14ac:dyDescent="0.2">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25:61" x14ac:dyDescent="0.2">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25:61" x14ac:dyDescent="0.2">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25:61" x14ac:dyDescent="0.2">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25:61" x14ac:dyDescent="0.2">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25:61" x14ac:dyDescent="0.2">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25:61" x14ac:dyDescent="0.2">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25:61" x14ac:dyDescent="0.2">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25:61" x14ac:dyDescent="0.2">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25:61" x14ac:dyDescent="0.2">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25:61" x14ac:dyDescent="0.2">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25:61" x14ac:dyDescent="0.2">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25:61" x14ac:dyDescent="0.2">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25:61" x14ac:dyDescent="0.2">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25:61" x14ac:dyDescent="0.2">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25:61" x14ac:dyDescent="0.2">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25:61" x14ac:dyDescent="0.2">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row>
    <row r="34" spans="25:61" x14ac:dyDescent="0.2">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row>
    <row r="35" spans="25:61" x14ac:dyDescent="0.2">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row>
    <row r="36" spans="25:61" x14ac:dyDescent="0.2">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row>
    <row r="37" spans="25:61" x14ac:dyDescent="0.2">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row>
    <row r="38" spans="25:61" x14ac:dyDescent="0.2">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row>
    <row r="39" spans="25:61" x14ac:dyDescent="0.2">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row>
    <row r="40" spans="25:61" x14ac:dyDescent="0.2">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row>
    <row r="41" spans="25:61" x14ac:dyDescent="0.2">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row>
    <row r="42" spans="25:61" x14ac:dyDescent="0.2">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row>
    <row r="43" spans="25:61" x14ac:dyDescent="0.2">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row r="44" spans="25:61" x14ac:dyDescent="0.2">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row>
    <row r="45" spans="25:61" x14ac:dyDescent="0.2">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row>
    <row r="46" spans="25:61" x14ac:dyDescent="0.2">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row>
    <row r="47" spans="25:61" x14ac:dyDescent="0.2">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row>
    <row r="48" spans="25:61" x14ac:dyDescent="0.2">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row>
    <row r="49" spans="25:61" x14ac:dyDescent="0.2">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row>
    <row r="50" spans="25:61" x14ac:dyDescent="0.2">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25:61" x14ac:dyDescent="0.2">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row>
    <row r="52" spans="25:61" x14ac:dyDescent="0.2">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25:61" x14ac:dyDescent="0.2">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row>
    <row r="54" spans="25:61" x14ac:dyDescent="0.2">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row>
    <row r="55" spans="25:61" x14ac:dyDescent="0.2">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25:61" x14ac:dyDescent="0.2">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25:61" x14ac:dyDescent="0.2">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25:61" x14ac:dyDescent="0.2">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25:61" x14ac:dyDescent="0.2">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25:61" x14ac:dyDescent="0.2">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25:61" x14ac:dyDescent="0.2">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25:61" x14ac:dyDescent="0.2">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25:61" x14ac:dyDescent="0.2">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25:61" x14ac:dyDescent="0.2">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25:61" x14ac:dyDescent="0.2">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25:61" x14ac:dyDescent="0.2">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25:61" x14ac:dyDescent="0.2">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25:61" x14ac:dyDescent="0.2">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25:61" x14ac:dyDescent="0.2">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25:61" x14ac:dyDescent="0.2">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25:61" x14ac:dyDescent="0.2">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25:61" x14ac:dyDescent="0.2">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25:61" x14ac:dyDescent="0.2">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25:61" x14ac:dyDescent="0.2">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25:61" x14ac:dyDescent="0.2">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25:61" x14ac:dyDescent="0.2">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25:61" x14ac:dyDescent="0.2">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25:61" x14ac:dyDescent="0.2">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25:61" x14ac:dyDescent="0.2">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25:61" x14ac:dyDescent="0.2">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25:61" x14ac:dyDescent="0.2">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25:61" x14ac:dyDescent="0.2">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25:61" x14ac:dyDescent="0.2">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25:61" x14ac:dyDescent="0.2">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25:61" x14ac:dyDescent="0.2">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25:61" x14ac:dyDescent="0.2">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25:61" x14ac:dyDescent="0.2">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25:61" x14ac:dyDescent="0.2">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25:61" x14ac:dyDescent="0.2">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25:61" x14ac:dyDescent="0.2">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25:61" x14ac:dyDescent="0.2">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25:61" x14ac:dyDescent="0.2">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25:61" x14ac:dyDescent="0.2">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25:61" x14ac:dyDescent="0.2">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25:61" x14ac:dyDescent="0.2">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25:61" x14ac:dyDescent="0.2">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25:61" x14ac:dyDescent="0.2">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25:61" x14ac:dyDescent="0.2">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25:61" x14ac:dyDescent="0.2">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25:61" x14ac:dyDescent="0.2">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25:61" x14ac:dyDescent="0.2">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25:61" x14ac:dyDescent="0.2">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25:61" x14ac:dyDescent="0.2">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25:61" x14ac:dyDescent="0.2">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25:61" x14ac:dyDescent="0.2">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25:61" x14ac:dyDescent="0.2">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25:61" x14ac:dyDescent="0.2">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25:61" x14ac:dyDescent="0.2">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25:61" x14ac:dyDescent="0.2">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25:61" x14ac:dyDescent="0.2">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25:61" x14ac:dyDescent="0.2">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25:61" x14ac:dyDescent="0.2">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25:61" x14ac:dyDescent="0.2">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25:61" x14ac:dyDescent="0.2">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25:61" x14ac:dyDescent="0.2">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25:61" x14ac:dyDescent="0.2">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25:61" x14ac:dyDescent="0.2">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25:61" x14ac:dyDescent="0.2">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25:61" x14ac:dyDescent="0.2">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25:61" x14ac:dyDescent="0.2">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25:61" x14ac:dyDescent="0.2">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25:61" x14ac:dyDescent="0.2">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25:61" x14ac:dyDescent="0.2">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25:61" x14ac:dyDescent="0.2">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25:61" x14ac:dyDescent="0.2">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25:61" x14ac:dyDescent="0.2">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25:61" x14ac:dyDescent="0.2">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25:61" x14ac:dyDescent="0.2">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5:61" x14ac:dyDescent="0.2">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5:61" x14ac:dyDescent="0.2">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5:61" x14ac:dyDescent="0.2">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5:61" x14ac:dyDescent="0.2">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5:61" x14ac:dyDescent="0.2">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5:61" x14ac:dyDescent="0.2">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5:61" x14ac:dyDescent="0.2">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5:61" x14ac:dyDescent="0.2">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5:61" x14ac:dyDescent="0.2">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r="138" spans="25:61" x14ac:dyDescent="0.2">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r="139" spans="25:61" x14ac:dyDescent="0.2">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r="140" spans="25:61" x14ac:dyDescent="0.2">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r="141" spans="25:61" x14ac:dyDescent="0.2">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r="142" spans="25:61" x14ac:dyDescent="0.2">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r="143" spans="25:61" x14ac:dyDescent="0.2">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25:61" x14ac:dyDescent="0.2">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r="145" spans="25:61" x14ac:dyDescent="0.2">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r="146" spans="25:61" x14ac:dyDescent="0.2">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r="147" spans="25:61" x14ac:dyDescent="0.2">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r="148" spans="25:61" x14ac:dyDescent="0.2">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r="149" spans="25:61" x14ac:dyDescent="0.2">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r="150" spans="25:61" x14ac:dyDescent="0.2">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r="151" spans="25:61" x14ac:dyDescent="0.2">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r="152" spans="25:61" x14ac:dyDescent="0.2">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r="153" spans="25:61" x14ac:dyDescent="0.2">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25:61" x14ac:dyDescent="0.2">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r="155" spans="25:61" x14ac:dyDescent="0.2">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r="156" spans="25:61" x14ac:dyDescent="0.2">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r="157" spans="25:61" x14ac:dyDescent="0.2">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r="158" spans="25:61" x14ac:dyDescent="0.2">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r="159" spans="25:61" x14ac:dyDescent="0.2">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r="160" spans="25:61" x14ac:dyDescent="0.2">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r="161" spans="25:61" x14ac:dyDescent="0.2">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r="162" spans="25:61" x14ac:dyDescent="0.2">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r="163" spans="25:61" x14ac:dyDescent="0.2">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r="164" spans="25:61" x14ac:dyDescent="0.2">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r="165" spans="25:61" x14ac:dyDescent="0.2">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r="166" spans="25:61" x14ac:dyDescent="0.2">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r="167" spans="25:61" x14ac:dyDescent="0.2">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r="168" spans="25:61" x14ac:dyDescent="0.2">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r="169" spans="25:61" x14ac:dyDescent="0.2">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r="170" spans="25:61" x14ac:dyDescent="0.2">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r="171" spans="25:61" x14ac:dyDescent="0.2">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r="172" spans="25:61" x14ac:dyDescent="0.2">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r="173" spans="25:61" x14ac:dyDescent="0.2">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r="174" spans="25:61" x14ac:dyDescent="0.2">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r="175" spans="25:61" x14ac:dyDescent="0.2">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r="176" spans="25:61" x14ac:dyDescent="0.2">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r="177" spans="25:61" x14ac:dyDescent="0.2">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r="178" spans="25:61" x14ac:dyDescent="0.2">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r="179" spans="25:61" x14ac:dyDescent="0.2">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r="180" spans="25:61" x14ac:dyDescent="0.2">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r="181" spans="25:61" x14ac:dyDescent="0.2">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r="182" spans="25:61" x14ac:dyDescent="0.2">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r="183" spans="25:61" x14ac:dyDescent="0.2">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r="184" spans="25:61" x14ac:dyDescent="0.2">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r="185" spans="25:61" x14ac:dyDescent="0.2">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r="186" spans="25:61" x14ac:dyDescent="0.2">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r="187" spans="25:61" x14ac:dyDescent="0.2">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r="188" spans="25:61" x14ac:dyDescent="0.2">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r="189" spans="25:61" x14ac:dyDescent="0.2">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r="190" spans="25:61" x14ac:dyDescent="0.2">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r="191" spans="25:61" x14ac:dyDescent="0.2">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r="192" spans="25:61" x14ac:dyDescent="0.2">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r="193" spans="25:61" x14ac:dyDescent="0.2">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r="194" spans="25:61" x14ac:dyDescent="0.2">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r="195" spans="25:61" x14ac:dyDescent="0.2">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r="196" spans="25:61" x14ac:dyDescent="0.2">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r="197" spans="25:61" x14ac:dyDescent="0.2">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r="198" spans="25:61" x14ac:dyDescent="0.2">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r="199" spans="25:61" x14ac:dyDescent="0.2">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25:61" x14ac:dyDescent="0.2">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r="201" spans="25:61" x14ac:dyDescent="0.2">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r="202" spans="25:61" x14ac:dyDescent="0.2">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r="203" spans="25:61" x14ac:dyDescent="0.2">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r="204" spans="25:61" x14ac:dyDescent="0.2">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r="205" spans="25:61" x14ac:dyDescent="0.2">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r="206" spans="25:61" x14ac:dyDescent="0.2">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r="207" spans="25:61" x14ac:dyDescent="0.2">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r="208" spans="25:61" x14ac:dyDescent="0.2">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row>
    <row r="209" spans="25:61" x14ac:dyDescent="0.2">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r="210" spans="25:61" x14ac:dyDescent="0.2">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r="211" spans="25:61" x14ac:dyDescent="0.2">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r="212" spans="25:61" x14ac:dyDescent="0.2">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r="213" spans="25:61" x14ac:dyDescent="0.2">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r="214" spans="25:61" x14ac:dyDescent="0.2">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r="215" spans="25:61" x14ac:dyDescent="0.2">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25:61" x14ac:dyDescent="0.2">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25:61" x14ac:dyDescent="0.2">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25:61" x14ac:dyDescent="0.2">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r="219" spans="25:61" x14ac:dyDescent="0.2">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r="220" spans="25:61" x14ac:dyDescent="0.2">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r="221" spans="25:61" x14ac:dyDescent="0.2">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r="222" spans="25:61" x14ac:dyDescent="0.2">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r="223" spans="25:61" x14ac:dyDescent="0.2">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25:61" x14ac:dyDescent="0.2">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25:61" x14ac:dyDescent="0.2">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25:61" x14ac:dyDescent="0.2">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25:61" x14ac:dyDescent="0.2">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r="228" spans="25:61" x14ac:dyDescent="0.2">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r="229" spans="25:61" x14ac:dyDescent="0.2">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25:61" x14ac:dyDescent="0.2">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25:61" x14ac:dyDescent="0.2">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25:61" x14ac:dyDescent="0.2">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25:61" x14ac:dyDescent="0.2">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25:61" x14ac:dyDescent="0.2">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25:61" x14ac:dyDescent="0.2">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25:61" x14ac:dyDescent="0.2">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25:61" x14ac:dyDescent="0.2">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25:61" x14ac:dyDescent="0.2">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r="239" spans="25:61" x14ac:dyDescent="0.2">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r="240" spans="25:61" x14ac:dyDescent="0.2">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r="241" spans="25:61" x14ac:dyDescent="0.2">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r="242" spans="25:61" x14ac:dyDescent="0.2">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r="243" spans="25:61" x14ac:dyDescent="0.2">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r="244" spans="25:61" x14ac:dyDescent="0.2">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r="245" spans="25:61" x14ac:dyDescent="0.2">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25:61" x14ac:dyDescent="0.2">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25:61" x14ac:dyDescent="0.2">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25:61" x14ac:dyDescent="0.2">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25:61" x14ac:dyDescent="0.2">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25:61" x14ac:dyDescent="0.2">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25:61" x14ac:dyDescent="0.2">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25:61" x14ac:dyDescent="0.2">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25:61" x14ac:dyDescent="0.2">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25:61" x14ac:dyDescent="0.2">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25:61" x14ac:dyDescent="0.2">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25:61" x14ac:dyDescent="0.2">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25:61" x14ac:dyDescent="0.2">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25:61" x14ac:dyDescent="0.2">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25:61" x14ac:dyDescent="0.2">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25:61" x14ac:dyDescent="0.2">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25:61" x14ac:dyDescent="0.2">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25:61" x14ac:dyDescent="0.2">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25:61" x14ac:dyDescent="0.2">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25:61" x14ac:dyDescent="0.2">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25:61" x14ac:dyDescent="0.2">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25:61" x14ac:dyDescent="0.2">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25:61" x14ac:dyDescent="0.2">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25:61" x14ac:dyDescent="0.2">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25:61" x14ac:dyDescent="0.2">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25:61" x14ac:dyDescent="0.2">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25:61" x14ac:dyDescent="0.2">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25:61" x14ac:dyDescent="0.2">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25:61" x14ac:dyDescent="0.2">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25:61" x14ac:dyDescent="0.2">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25:61" x14ac:dyDescent="0.2">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25:61" x14ac:dyDescent="0.2">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25:61" x14ac:dyDescent="0.2">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r="278" spans="25:61" x14ac:dyDescent="0.2">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r="279" spans="25:61" x14ac:dyDescent="0.2">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r="280" spans="25:61" x14ac:dyDescent="0.2">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r="281" spans="25:61" x14ac:dyDescent="0.2">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r="282" spans="25:61" x14ac:dyDescent="0.2">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r="283" spans="25:61" x14ac:dyDescent="0.2">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r="284" spans="25:61" x14ac:dyDescent="0.2">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25:61" x14ac:dyDescent="0.2">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25:61" x14ac:dyDescent="0.2">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25:61" x14ac:dyDescent="0.2">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25:61" x14ac:dyDescent="0.2">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25:61" x14ac:dyDescent="0.2">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25:61" x14ac:dyDescent="0.2">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25:61" x14ac:dyDescent="0.2">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25:61" x14ac:dyDescent="0.2">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25:61" x14ac:dyDescent="0.2">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25:61" x14ac:dyDescent="0.2">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25:61" x14ac:dyDescent="0.2">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25:61" x14ac:dyDescent="0.2">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25:61" x14ac:dyDescent="0.2">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25:61" x14ac:dyDescent="0.2">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25:61" x14ac:dyDescent="0.2">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25:61" x14ac:dyDescent="0.2">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25:61" x14ac:dyDescent="0.2">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25:61" x14ac:dyDescent="0.2">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25:61" x14ac:dyDescent="0.2">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25:61" x14ac:dyDescent="0.2">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25:61" x14ac:dyDescent="0.2">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25:61" x14ac:dyDescent="0.2">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25:61" x14ac:dyDescent="0.2">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25:61" x14ac:dyDescent="0.2">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25:61" x14ac:dyDescent="0.2">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25:61" x14ac:dyDescent="0.2">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25:61" x14ac:dyDescent="0.2">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25:61" x14ac:dyDescent="0.2">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25:61" x14ac:dyDescent="0.2">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25:61" x14ac:dyDescent="0.2">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25:61" x14ac:dyDescent="0.2">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25:61" x14ac:dyDescent="0.2">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25:61" x14ac:dyDescent="0.2">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r="318" spans="25:61" x14ac:dyDescent="0.2">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r="319" spans="25:61" x14ac:dyDescent="0.2">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r="320" spans="25:61" x14ac:dyDescent="0.2">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r="321" spans="25:61" x14ac:dyDescent="0.2">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25:61" x14ac:dyDescent="0.2">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25:61" x14ac:dyDescent="0.2">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25:61" x14ac:dyDescent="0.2">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25:61" x14ac:dyDescent="0.2">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25:61" x14ac:dyDescent="0.2">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25:61" x14ac:dyDescent="0.2">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25:61" x14ac:dyDescent="0.2">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25:61" x14ac:dyDescent="0.2">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25:61" x14ac:dyDescent="0.2">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25:61" x14ac:dyDescent="0.2">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25:61" x14ac:dyDescent="0.2">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25:61" x14ac:dyDescent="0.2">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25:61" x14ac:dyDescent="0.2">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25:61" x14ac:dyDescent="0.2">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25:61" x14ac:dyDescent="0.2">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25:61" x14ac:dyDescent="0.2">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25:61" x14ac:dyDescent="0.2">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25:61" x14ac:dyDescent="0.2">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25:61" x14ac:dyDescent="0.2">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25:61" x14ac:dyDescent="0.2">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25:61" x14ac:dyDescent="0.2">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25:61" x14ac:dyDescent="0.2">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25:61" x14ac:dyDescent="0.2">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25:61" x14ac:dyDescent="0.2">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25:61" x14ac:dyDescent="0.2">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25:61" x14ac:dyDescent="0.2">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25:61" x14ac:dyDescent="0.2">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25:61" x14ac:dyDescent="0.2">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25:61" x14ac:dyDescent="0.2">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25:61" x14ac:dyDescent="0.2">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25:61" x14ac:dyDescent="0.2">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25:61" x14ac:dyDescent="0.2">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25:61" x14ac:dyDescent="0.2">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25:61" x14ac:dyDescent="0.2">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25:61" x14ac:dyDescent="0.2">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25:61" x14ac:dyDescent="0.2">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r="358" spans="25:61" x14ac:dyDescent="0.2">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r="359" spans="25:61" x14ac:dyDescent="0.2">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r="360" spans="25:61" x14ac:dyDescent="0.2">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r="361" spans="25:61" x14ac:dyDescent="0.2">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r="362" spans="25:61" x14ac:dyDescent="0.2">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25:61" x14ac:dyDescent="0.2">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25:61" x14ac:dyDescent="0.2">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25:61" x14ac:dyDescent="0.2">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25:61" x14ac:dyDescent="0.2">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25:61" x14ac:dyDescent="0.2">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25:61" x14ac:dyDescent="0.2">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25:61" x14ac:dyDescent="0.2">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25:61" x14ac:dyDescent="0.2">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25:61" x14ac:dyDescent="0.2">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25:61" x14ac:dyDescent="0.2">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25:61" x14ac:dyDescent="0.2">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25:61" x14ac:dyDescent="0.2">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25:61" x14ac:dyDescent="0.2">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25:61" x14ac:dyDescent="0.2">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25:61" x14ac:dyDescent="0.2">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25:61" x14ac:dyDescent="0.2">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25:61" x14ac:dyDescent="0.2">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25:61" x14ac:dyDescent="0.2">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25:61" x14ac:dyDescent="0.2">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25:61" x14ac:dyDescent="0.2">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25:61" x14ac:dyDescent="0.2">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25:61" x14ac:dyDescent="0.2">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25:61" x14ac:dyDescent="0.2">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25:61" x14ac:dyDescent="0.2">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25:61" x14ac:dyDescent="0.2">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25:61" x14ac:dyDescent="0.2">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25:61" x14ac:dyDescent="0.2">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25:61" x14ac:dyDescent="0.2">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25:61" x14ac:dyDescent="0.2">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25:61" x14ac:dyDescent="0.2">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25:61" x14ac:dyDescent="0.2">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25:61" x14ac:dyDescent="0.2">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25:61" x14ac:dyDescent="0.2">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25:61" x14ac:dyDescent="0.2">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25:61" x14ac:dyDescent="0.2">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r="398" spans="25:61" x14ac:dyDescent="0.2">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r="399" spans="25:61" x14ac:dyDescent="0.2">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r="400" spans="25:61" x14ac:dyDescent="0.2">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r="401" spans="25:61" x14ac:dyDescent="0.2">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25:61" x14ac:dyDescent="0.2">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25:61" x14ac:dyDescent="0.2">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25:61" x14ac:dyDescent="0.2">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r="405" spans="25:61" x14ac:dyDescent="0.2">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r="406" spans="25:61" x14ac:dyDescent="0.2">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25:61" x14ac:dyDescent="0.2">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25:61" x14ac:dyDescent="0.2">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25:61" x14ac:dyDescent="0.2">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25:61" x14ac:dyDescent="0.2">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25:61" x14ac:dyDescent="0.2">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25:61" x14ac:dyDescent="0.2">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25:61" x14ac:dyDescent="0.2">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25:61" x14ac:dyDescent="0.2">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25:61" x14ac:dyDescent="0.2">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25:61" x14ac:dyDescent="0.2">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25:61" x14ac:dyDescent="0.2">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25:61" x14ac:dyDescent="0.2">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25:61" x14ac:dyDescent="0.2">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25:61" x14ac:dyDescent="0.2">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25:61" x14ac:dyDescent="0.2">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25:61" x14ac:dyDescent="0.2">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25:61" x14ac:dyDescent="0.2">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25:61" x14ac:dyDescent="0.2">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25:61" x14ac:dyDescent="0.2">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25:61" x14ac:dyDescent="0.2">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25:61" x14ac:dyDescent="0.2">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25:61" x14ac:dyDescent="0.2">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25:61" x14ac:dyDescent="0.2">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25:61" x14ac:dyDescent="0.2">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25:61" x14ac:dyDescent="0.2">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25:61" x14ac:dyDescent="0.2">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25:61" x14ac:dyDescent="0.2">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25:61" x14ac:dyDescent="0.2">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25:61" x14ac:dyDescent="0.2">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25:61" x14ac:dyDescent="0.2">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25:61" x14ac:dyDescent="0.2">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r="438" spans="25:61" x14ac:dyDescent="0.2">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r="439" spans="25:61" x14ac:dyDescent="0.2">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r="440" spans="25:61" x14ac:dyDescent="0.2">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25:61" x14ac:dyDescent="0.2">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25:61" x14ac:dyDescent="0.2">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25:61" x14ac:dyDescent="0.2">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r="444" spans="25:61" x14ac:dyDescent="0.2">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r="445" spans="25:61" x14ac:dyDescent="0.2">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r="446" spans="25:61" x14ac:dyDescent="0.2">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25:61" x14ac:dyDescent="0.2">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25:61" x14ac:dyDescent="0.2">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25:61" x14ac:dyDescent="0.2">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25:61" x14ac:dyDescent="0.2">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25:61" x14ac:dyDescent="0.2">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25:61" x14ac:dyDescent="0.2">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25:61" x14ac:dyDescent="0.2">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25:61" x14ac:dyDescent="0.2">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25:61" x14ac:dyDescent="0.2">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25:61" x14ac:dyDescent="0.2">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25:61" x14ac:dyDescent="0.2">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25:61" x14ac:dyDescent="0.2">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25:61" x14ac:dyDescent="0.2">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25:61" x14ac:dyDescent="0.2">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25:61" x14ac:dyDescent="0.2">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25:61" x14ac:dyDescent="0.2">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25:61" x14ac:dyDescent="0.2">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25:61" x14ac:dyDescent="0.2">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25:61" x14ac:dyDescent="0.2">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25:61" x14ac:dyDescent="0.2">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25:61" x14ac:dyDescent="0.2">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25:61" x14ac:dyDescent="0.2">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25:61" x14ac:dyDescent="0.2">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25:61" x14ac:dyDescent="0.2">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25:61" x14ac:dyDescent="0.2">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25:61" x14ac:dyDescent="0.2">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25:61" x14ac:dyDescent="0.2">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25:61" x14ac:dyDescent="0.2">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25:61" x14ac:dyDescent="0.2">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25:61" x14ac:dyDescent="0.2">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25:61" x14ac:dyDescent="0.2">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r="478" spans="25:61" x14ac:dyDescent="0.2">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r="479" spans="25:61" x14ac:dyDescent="0.2">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r="480" spans="25:61" x14ac:dyDescent="0.2">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r="481" spans="25:61" x14ac:dyDescent="0.2">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r="482" spans="25:61" x14ac:dyDescent="0.2">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r="483" spans="25:61" x14ac:dyDescent="0.2">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r="484" spans="25:61" x14ac:dyDescent="0.2">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r="485" spans="25:61" x14ac:dyDescent="0.2">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r="486" spans="25:61" x14ac:dyDescent="0.2">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25:61" x14ac:dyDescent="0.2">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25:61" x14ac:dyDescent="0.2">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25:61" x14ac:dyDescent="0.2">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25:61" x14ac:dyDescent="0.2">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25:61" x14ac:dyDescent="0.2">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25:61" x14ac:dyDescent="0.2">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25:61" x14ac:dyDescent="0.2">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25:61" x14ac:dyDescent="0.2">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25:61" x14ac:dyDescent="0.2">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25:61" x14ac:dyDescent="0.2">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25:61" x14ac:dyDescent="0.2">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25:61" x14ac:dyDescent="0.2">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25:61" x14ac:dyDescent="0.2">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25:61" x14ac:dyDescent="0.2">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25:61" x14ac:dyDescent="0.2">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25:61" x14ac:dyDescent="0.2">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25:61" x14ac:dyDescent="0.2">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25:61" x14ac:dyDescent="0.2">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25:61" x14ac:dyDescent="0.2">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25:61" x14ac:dyDescent="0.2">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25:61" x14ac:dyDescent="0.2">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25:61" x14ac:dyDescent="0.2">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25:61" x14ac:dyDescent="0.2">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25:61" x14ac:dyDescent="0.2">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25:61" x14ac:dyDescent="0.2">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25:61" x14ac:dyDescent="0.2">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25:61" x14ac:dyDescent="0.2">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25:61" x14ac:dyDescent="0.2">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25:61" x14ac:dyDescent="0.2">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25:61" x14ac:dyDescent="0.2">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25:61" x14ac:dyDescent="0.2">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25:61" x14ac:dyDescent="0.2">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25:61" x14ac:dyDescent="0.2">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25:61" x14ac:dyDescent="0.2">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25:61" x14ac:dyDescent="0.2">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25:61" x14ac:dyDescent="0.2">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25:61" x14ac:dyDescent="0.2">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25:61" x14ac:dyDescent="0.2">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25:61" x14ac:dyDescent="0.2">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25:61" x14ac:dyDescent="0.2">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25:61" x14ac:dyDescent="0.2">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25:61" x14ac:dyDescent="0.2">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25:61" x14ac:dyDescent="0.2">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25:61" x14ac:dyDescent="0.2">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25:61" x14ac:dyDescent="0.2">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25:61" x14ac:dyDescent="0.2">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25:61" x14ac:dyDescent="0.2">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25:61" x14ac:dyDescent="0.2">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25:61" x14ac:dyDescent="0.2">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25:61" x14ac:dyDescent="0.2">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25:61" x14ac:dyDescent="0.2">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25:61" x14ac:dyDescent="0.2">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25:61" x14ac:dyDescent="0.2">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25:61" x14ac:dyDescent="0.2">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25:61" x14ac:dyDescent="0.2">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25:61" x14ac:dyDescent="0.2">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25:61" x14ac:dyDescent="0.2">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25:61" x14ac:dyDescent="0.2">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25:61" x14ac:dyDescent="0.2">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25:61" x14ac:dyDescent="0.2">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25:61" x14ac:dyDescent="0.2">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25:61" x14ac:dyDescent="0.2">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25:61" x14ac:dyDescent="0.2">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25:61" x14ac:dyDescent="0.2">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25:61" x14ac:dyDescent="0.2">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25:61" x14ac:dyDescent="0.2">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25:61" x14ac:dyDescent="0.2">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25:61" x14ac:dyDescent="0.2">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25:61" x14ac:dyDescent="0.2">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25:61" x14ac:dyDescent="0.2">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25:61" x14ac:dyDescent="0.2">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25:61" x14ac:dyDescent="0.2">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25:61" x14ac:dyDescent="0.2">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25:61" x14ac:dyDescent="0.2">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25:61" x14ac:dyDescent="0.2">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25:61" x14ac:dyDescent="0.2">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25:61" x14ac:dyDescent="0.2">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25:61" x14ac:dyDescent="0.2">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25:61" x14ac:dyDescent="0.2">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25:61" x14ac:dyDescent="0.2">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25:61" x14ac:dyDescent="0.2">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25:61" x14ac:dyDescent="0.2">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25:61" x14ac:dyDescent="0.2">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25:61" x14ac:dyDescent="0.2">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25:61" x14ac:dyDescent="0.2">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25:61" x14ac:dyDescent="0.2">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25:61" x14ac:dyDescent="0.2">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25:61" x14ac:dyDescent="0.2">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25:61" x14ac:dyDescent="0.2">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25:61" x14ac:dyDescent="0.2">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25:61" x14ac:dyDescent="0.2">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25:61" x14ac:dyDescent="0.2">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25:61" x14ac:dyDescent="0.2">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25:61" x14ac:dyDescent="0.2">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25:61" x14ac:dyDescent="0.2">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25:61" x14ac:dyDescent="0.2">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25:61" x14ac:dyDescent="0.2">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25:61" x14ac:dyDescent="0.2">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25:61" x14ac:dyDescent="0.2">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25:61" x14ac:dyDescent="0.2">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25:61" x14ac:dyDescent="0.2">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25:61" x14ac:dyDescent="0.2">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25:61" x14ac:dyDescent="0.2">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25:61" x14ac:dyDescent="0.2">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25:61" x14ac:dyDescent="0.2">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25:61" x14ac:dyDescent="0.2">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25:61" x14ac:dyDescent="0.2">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25:61" x14ac:dyDescent="0.2">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25:61" x14ac:dyDescent="0.2">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25:61" x14ac:dyDescent="0.2">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25:61" x14ac:dyDescent="0.2">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25:61" x14ac:dyDescent="0.2">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25:61" x14ac:dyDescent="0.2">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25:61" x14ac:dyDescent="0.2">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25:61" x14ac:dyDescent="0.2">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25:61" x14ac:dyDescent="0.2">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25:61" x14ac:dyDescent="0.2">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25:61" x14ac:dyDescent="0.2">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25:61" x14ac:dyDescent="0.2">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25:61" x14ac:dyDescent="0.2">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25:61" x14ac:dyDescent="0.2">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25:61" x14ac:dyDescent="0.2">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25:61" x14ac:dyDescent="0.2">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25:61" x14ac:dyDescent="0.2">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25:61" x14ac:dyDescent="0.2">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25:61" x14ac:dyDescent="0.2">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25:61" x14ac:dyDescent="0.2">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25:61" x14ac:dyDescent="0.2">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25:61" x14ac:dyDescent="0.2">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25:61" x14ac:dyDescent="0.2">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25:61" x14ac:dyDescent="0.2">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25:61" x14ac:dyDescent="0.2">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25:61" x14ac:dyDescent="0.2">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25:61" x14ac:dyDescent="0.2">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25:61" x14ac:dyDescent="0.2">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25:61" x14ac:dyDescent="0.2">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25:61" x14ac:dyDescent="0.2">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25:61" x14ac:dyDescent="0.2">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25:61" x14ac:dyDescent="0.2">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25:61" x14ac:dyDescent="0.2">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25:61" x14ac:dyDescent="0.2">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25:61" x14ac:dyDescent="0.2">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25:61" x14ac:dyDescent="0.2">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25:61" x14ac:dyDescent="0.2">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25:61" x14ac:dyDescent="0.2">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25:61" x14ac:dyDescent="0.2">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25:61" x14ac:dyDescent="0.2">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25:61" x14ac:dyDescent="0.2">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25:61" x14ac:dyDescent="0.2">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25:61" x14ac:dyDescent="0.2">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25:61" x14ac:dyDescent="0.2">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25:61" x14ac:dyDescent="0.2">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25:61" x14ac:dyDescent="0.2">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25:61" x14ac:dyDescent="0.2">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25:61" x14ac:dyDescent="0.2">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25:61" x14ac:dyDescent="0.2">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25:61" x14ac:dyDescent="0.2">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25:61" x14ac:dyDescent="0.2">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25:61" x14ac:dyDescent="0.2">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25:61" x14ac:dyDescent="0.2">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25:61" x14ac:dyDescent="0.2">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25:61" x14ac:dyDescent="0.2">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25:61" x14ac:dyDescent="0.2">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25:61" x14ac:dyDescent="0.2">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25:61" x14ac:dyDescent="0.2">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25:61" x14ac:dyDescent="0.2">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25:61" x14ac:dyDescent="0.2">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25:61" x14ac:dyDescent="0.2">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25:61" x14ac:dyDescent="0.2">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25:61" x14ac:dyDescent="0.2">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25:61" x14ac:dyDescent="0.2">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25:61" x14ac:dyDescent="0.2">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25:61" x14ac:dyDescent="0.2">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25:61" x14ac:dyDescent="0.2">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25:61" x14ac:dyDescent="0.2">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25:61" x14ac:dyDescent="0.2">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25:61" x14ac:dyDescent="0.2">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25:61" x14ac:dyDescent="0.2">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25:61" x14ac:dyDescent="0.2">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25:61" x14ac:dyDescent="0.2">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25:61" x14ac:dyDescent="0.2">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25:61" x14ac:dyDescent="0.2">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25:61" x14ac:dyDescent="0.2">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25:61" x14ac:dyDescent="0.2">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25:61" x14ac:dyDescent="0.2">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25:61" x14ac:dyDescent="0.2">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25:61" x14ac:dyDescent="0.2">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25:61" x14ac:dyDescent="0.2">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25:61" x14ac:dyDescent="0.2">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25:61" x14ac:dyDescent="0.2">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25:61" x14ac:dyDescent="0.2">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25:61" x14ac:dyDescent="0.2">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25:61" x14ac:dyDescent="0.2">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25:61" x14ac:dyDescent="0.2">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25:61" x14ac:dyDescent="0.2">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25:61" x14ac:dyDescent="0.2">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25:61" x14ac:dyDescent="0.2">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25:61" x14ac:dyDescent="0.2">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25:61" x14ac:dyDescent="0.2">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25:61" x14ac:dyDescent="0.2">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25:61" x14ac:dyDescent="0.2">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25:61" x14ac:dyDescent="0.2">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25:61" x14ac:dyDescent="0.2">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25:61" x14ac:dyDescent="0.2">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25:61" x14ac:dyDescent="0.2">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25:61" x14ac:dyDescent="0.2">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25:61" x14ac:dyDescent="0.2">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25:61" x14ac:dyDescent="0.2">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25:61" x14ac:dyDescent="0.2">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25:61" x14ac:dyDescent="0.2">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25:61" x14ac:dyDescent="0.2">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25:61" x14ac:dyDescent="0.2">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25:61" x14ac:dyDescent="0.2">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25:61" x14ac:dyDescent="0.2">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25:61" x14ac:dyDescent="0.2">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25:61" x14ac:dyDescent="0.2">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25:61" x14ac:dyDescent="0.2">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25:61" x14ac:dyDescent="0.2">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25:61" x14ac:dyDescent="0.2">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25:61" x14ac:dyDescent="0.2">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25:61" x14ac:dyDescent="0.2">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25:61" x14ac:dyDescent="0.2">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25:61" x14ac:dyDescent="0.2">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25:61" x14ac:dyDescent="0.2">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25:61" x14ac:dyDescent="0.2">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25:61" x14ac:dyDescent="0.2">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25:61" x14ac:dyDescent="0.2">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25:61" x14ac:dyDescent="0.2">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25:61" x14ac:dyDescent="0.2">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25:61" x14ac:dyDescent="0.2">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25:61" x14ac:dyDescent="0.2">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25:61" x14ac:dyDescent="0.2">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25:61" x14ac:dyDescent="0.2">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25:61" x14ac:dyDescent="0.2">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25:61" x14ac:dyDescent="0.2">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25:61" x14ac:dyDescent="0.2">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25:61" x14ac:dyDescent="0.2">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25:61" x14ac:dyDescent="0.2">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25:61" x14ac:dyDescent="0.2">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25:61" x14ac:dyDescent="0.2">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25:61" x14ac:dyDescent="0.2">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25:61" x14ac:dyDescent="0.2">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25:61" x14ac:dyDescent="0.2">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25:61" x14ac:dyDescent="0.2">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25:61" x14ac:dyDescent="0.2">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25:61" x14ac:dyDescent="0.2">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25:61" x14ac:dyDescent="0.2">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25:61" x14ac:dyDescent="0.2">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25:61" x14ac:dyDescent="0.2">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25:61" x14ac:dyDescent="0.2">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25:61" x14ac:dyDescent="0.2">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25:61" x14ac:dyDescent="0.2">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25:61" x14ac:dyDescent="0.2">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25:61" x14ac:dyDescent="0.2">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25:61" x14ac:dyDescent="0.2">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25:61" x14ac:dyDescent="0.2">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25:61" x14ac:dyDescent="0.2">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25:61" x14ac:dyDescent="0.2">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25:61" x14ac:dyDescent="0.2">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25:61" x14ac:dyDescent="0.2">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25:61" x14ac:dyDescent="0.2">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25:61" x14ac:dyDescent="0.2">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25:61" x14ac:dyDescent="0.2">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25:61" x14ac:dyDescent="0.2">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25:61" x14ac:dyDescent="0.2">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25:61" x14ac:dyDescent="0.2">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25:61" x14ac:dyDescent="0.2">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25:61" x14ac:dyDescent="0.2">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25:61" x14ac:dyDescent="0.2">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25:61" x14ac:dyDescent="0.2">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25:61" x14ac:dyDescent="0.2">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25:61" x14ac:dyDescent="0.2">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25:61" x14ac:dyDescent="0.2">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25:61" x14ac:dyDescent="0.2">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25:61" x14ac:dyDescent="0.2">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25:61" x14ac:dyDescent="0.2">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25:61" x14ac:dyDescent="0.2">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25:61" x14ac:dyDescent="0.2">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25:61" x14ac:dyDescent="0.2">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25:61" x14ac:dyDescent="0.2">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25:61" x14ac:dyDescent="0.2">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25:61" x14ac:dyDescent="0.2">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25:61" x14ac:dyDescent="0.2">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25:61" x14ac:dyDescent="0.2">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25:61" x14ac:dyDescent="0.2">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25:61" x14ac:dyDescent="0.2">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25:61" x14ac:dyDescent="0.2">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25:61" x14ac:dyDescent="0.2">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25:61" x14ac:dyDescent="0.2">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25:61" x14ac:dyDescent="0.2">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25:61" x14ac:dyDescent="0.2">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25:61" x14ac:dyDescent="0.2">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25:61" x14ac:dyDescent="0.2">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25:61" x14ac:dyDescent="0.2">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25:61" x14ac:dyDescent="0.2">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25:61" x14ac:dyDescent="0.2">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25:61" x14ac:dyDescent="0.2">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25:61" x14ac:dyDescent="0.2">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25:61" x14ac:dyDescent="0.2">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25:61" x14ac:dyDescent="0.2">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25:61" x14ac:dyDescent="0.2">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25:61" x14ac:dyDescent="0.2">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25:61" x14ac:dyDescent="0.2">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25:61" x14ac:dyDescent="0.2">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25:61" x14ac:dyDescent="0.2">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25:61" x14ac:dyDescent="0.2">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25:61" x14ac:dyDescent="0.2">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25:61" x14ac:dyDescent="0.2">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25:61" x14ac:dyDescent="0.2">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25:61" x14ac:dyDescent="0.2">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25:61" x14ac:dyDescent="0.2">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25:61" x14ac:dyDescent="0.2">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25:61" x14ac:dyDescent="0.2">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25:61" x14ac:dyDescent="0.2">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25:61" x14ac:dyDescent="0.2">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25:61" x14ac:dyDescent="0.2">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25:61" x14ac:dyDescent="0.2">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25:61" x14ac:dyDescent="0.2">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25:61" x14ac:dyDescent="0.2">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25:61" x14ac:dyDescent="0.2">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25:61" x14ac:dyDescent="0.2">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25:61" x14ac:dyDescent="0.2">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25:61" x14ac:dyDescent="0.2">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25:61" x14ac:dyDescent="0.2">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25:61" x14ac:dyDescent="0.2">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25:61" x14ac:dyDescent="0.2">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25:61" x14ac:dyDescent="0.2">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25:61" x14ac:dyDescent="0.2">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25:61" x14ac:dyDescent="0.2">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25:61" x14ac:dyDescent="0.2">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25:61" x14ac:dyDescent="0.2">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25:61" x14ac:dyDescent="0.2">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25:61" x14ac:dyDescent="0.2">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25:61" x14ac:dyDescent="0.2">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25:61" x14ac:dyDescent="0.2">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25:61" x14ac:dyDescent="0.2">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25:61" x14ac:dyDescent="0.2">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25:61" x14ac:dyDescent="0.2">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25:61" x14ac:dyDescent="0.2">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25:61" x14ac:dyDescent="0.2">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25:61" x14ac:dyDescent="0.2">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25:61" x14ac:dyDescent="0.2">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25:61" x14ac:dyDescent="0.2">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25:61" x14ac:dyDescent="0.2">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25:61" x14ac:dyDescent="0.2">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25:61" x14ac:dyDescent="0.2">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25:61" x14ac:dyDescent="0.2">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25:61" x14ac:dyDescent="0.2">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25:61" x14ac:dyDescent="0.2">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25:61" x14ac:dyDescent="0.2">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25:61" x14ac:dyDescent="0.2">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25:61" x14ac:dyDescent="0.2">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25:61" x14ac:dyDescent="0.2">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25:61" x14ac:dyDescent="0.2">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25:61" x14ac:dyDescent="0.2">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25:61" x14ac:dyDescent="0.2">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25:61" x14ac:dyDescent="0.2">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25:61" x14ac:dyDescent="0.2">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25:61" x14ac:dyDescent="0.2">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25:61" x14ac:dyDescent="0.2">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25:61" x14ac:dyDescent="0.2">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25:61" x14ac:dyDescent="0.2">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25:61" x14ac:dyDescent="0.2">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25:61" x14ac:dyDescent="0.2">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25:61" x14ac:dyDescent="0.2">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25:61" x14ac:dyDescent="0.2">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25:61" x14ac:dyDescent="0.2">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25:61" x14ac:dyDescent="0.2">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25:61" x14ac:dyDescent="0.2">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25:61" x14ac:dyDescent="0.2">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25:61" x14ac:dyDescent="0.2">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25:61" x14ac:dyDescent="0.2">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25:61" x14ac:dyDescent="0.2">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25:61" x14ac:dyDescent="0.2">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25:61" x14ac:dyDescent="0.2">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25:61" x14ac:dyDescent="0.2">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25:61" x14ac:dyDescent="0.2">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25:61" x14ac:dyDescent="0.2">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25:61" x14ac:dyDescent="0.2">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25:61" x14ac:dyDescent="0.2">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25:61" x14ac:dyDescent="0.2">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25:61" x14ac:dyDescent="0.2">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25:61" x14ac:dyDescent="0.2">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25:61" x14ac:dyDescent="0.2">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25:61" x14ac:dyDescent="0.2">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25:61" x14ac:dyDescent="0.2">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25:61" x14ac:dyDescent="0.2">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25:61" x14ac:dyDescent="0.2">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25:61" x14ac:dyDescent="0.2">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25:61" x14ac:dyDescent="0.2">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25:61" x14ac:dyDescent="0.2">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25:61" x14ac:dyDescent="0.2">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25:61" x14ac:dyDescent="0.2">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25:61" x14ac:dyDescent="0.2">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25:61" x14ac:dyDescent="0.2">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25:61" x14ac:dyDescent="0.2">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25:61" x14ac:dyDescent="0.2">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25:61" x14ac:dyDescent="0.2">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25:61" x14ac:dyDescent="0.2">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25:61" x14ac:dyDescent="0.2">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25:61" x14ac:dyDescent="0.2">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25:61" x14ac:dyDescent="0.2">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25:61" x14ac:dyDescent="0.2">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25:61" x14ac:dyDescent="0.2">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25:61" x14ac:dyDescent="0.2">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25:61" x14ac:dyDescent="0.2">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25:61" x14ac:dyDescent="0.2">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25:61" x14ac:dyDescent="0.2">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25:61" x14ac:dyDescent="0.2">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25:61" x14ac:dyDescent="0.2">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25:61" x14ac:dyDescent="0.2">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25:61" x14ac:dyDescent="0.2">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25:61" x14ac:dyDescent="0.2">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25:61" x14ac:dyDescent="0.2">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25:61" x14ac:dyDescent="0.2">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25:61" x14ac:dyDescent="0.2">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25:61" x14ac:dyDescent="0.2">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25:61" x14ac:dyDescent="0.2">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25:61" x14ac:dyDescent="0.2">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25:61" x14ac:dyDescent="0.2">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25:61" x14ac:dyDescent="0.2">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25:61" x14ac:dyDescent="0.2">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25:61" x14ac:dyDescent="0.2">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25:61" x14ac:dyDescent="0.2">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25:61" x14ac:dyDescent="0.2">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25:61" x14ac:dyDescent="0.2">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25:61" x14ac:dyDescent="0.2">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25:61" x14ac:dyDescent="0.2">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25:61" x14ac:dyDescent="0.2">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25:61" x14ac:dyDescent="0.2">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25:61" x14ac:dyDescent="0.2">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25:61" x14ac:dyDescent="0.2">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25:61" x14ac:dyDescent="0.2">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25:61" x14ac:dyDescent="0.2">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25:61" x14ac:dyDescent="0.2">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25:61" x14ac:dyDescent="0.2">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25:61" x14ac:dyDescent="0.2">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25:61" x14ac:dyDescent="0.2">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25:61" x14ac:dyDescent="0.2">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25:61" x14ac:dyDescent="0.2">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25:61" x14ac:dyDescent="0.2">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25:61" x14ac:dyDescent="0.2">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25:61" x14ac:dyDescent="0.2">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25:61" x14ac:dyDescent="0.2">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25:61" x14ac:dyDescent="0.2">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25:61" x14ac:dyDescent="0.2">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25:61" x14ac:dyDescent="0.2">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25:61" x14ac:dyDescent="0.2">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25:61" x14ac:dyDescent="0.2">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25:61" x14ac:dyDescent="0.2">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25:61" x14ac:dyDescent="0.2">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r="938" spans="25:61" x14ac:dyDescent="0.2">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r="939" spans="25:61" x14ac:dyDescent="0.2">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r="940" spans="25:61" x14ac:dyDescent="0.2">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r="941" spans="25:61" x14ac:dyDescent="0.2">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r="942" spans="25:61" x14ac:dyDescent="0.2">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r="943" spans="25:61" x14ac:dyDescent="0.2">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SD_SI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2017-12-08T17:21:04Z</dcterms:created>
  <dcterms:modified xsi:type="dcterms:W3CDTF">2022-03-17T19:19:26Z</dcterms:modified>
</cp:coreProperties>
</file>