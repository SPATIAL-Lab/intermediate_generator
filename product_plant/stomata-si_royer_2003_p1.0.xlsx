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8BACE2A8-1F23-584C-B0F1-2018DE3862EB}" xr6:coauthVersionLast="47" xr6:coauthVersionMax="47" xr10:uidLastSave="{00000000-0000-0000-0000-000000000000}"/>
  <bookViews>
    <workbookView xWindow="620" yWindow="1140" windowWidth="28180" windowHeight="16320" tabRatio="500" xr2:uid="{00000000-000D-0000-FFFF-FFFF00000000}"/>
  </bookViews>
  <sheets>
    <sheet name="stomatal index"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FV"/>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L4" i="1" l="1"/>
  <c r="K4" i="1"/>
  <c r="J4" i="1"/>
  <c r="F4" i="1"/>
  <c r="AH4" i="1"/>
  <c r="I4" i="1" s="1"/>
  <c r="G4" i="1" l="1"/>
  <c r="H4" i="1"/>
</calcChain>
</file>

<file path=xl/sharedStrings.xml><?xml version="1.0" encoding="utf-8"?>
<sst xmlns="http://schemas.openxmlformats.org/spreadsheetml/2006/main" count="96" uniqueCount="92">
  <si>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</si>
  <si>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</si>
  <si>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</si>
  <si>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</si>
  <si>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</si>
  <si>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</si>
  <si>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</si>
  <si>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</si>
  <si>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</si>
  <si>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</si>
  <si>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</si>
  <si>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</si>
  <si>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</si>
  <si>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</si>
  <si>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</si>
  <si>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</si>
  <si>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</si>
  <si>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</si>
  <si>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</si>
  <si>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</si>
  <si>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</si>
  <si>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</si>
  <si>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</si>
  <si>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</si>
  <si>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</si>
  <si>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</si>
  <si>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</si>
  <si>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</si>
  <si>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</si>
  <si>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</si>
  <si>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</si>
  <si>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</si>
  <si>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</si>
  <si>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Dana L. Royer</t>
  </si>
  <si>
    <t>Ginkgoaceae</t>
  </si>
  <si>
    <t>Ginkgo</t>
  </si>
  <si>
    <t>adiantoides</t>
  </si>
  <si>
    <t>microscope</t>
  </si>
  <si>
    <t>0.1795 mm2</t>
  </si>
  <si>
    <t>fields-of-view were partly comprised of non-stomatal-bearing areas (for example, over top major veins); the field-of-view fraction that was usable was not measured; as such, the measured stomatal densities are not particularly useful.</t>
  </si>
  <si>
    <t>Ginkgo biloba</t>
  </si>
  <si>
    <t>Royer, 2003</t>
  </si>
  <si>
    <t>10.1130/0-8137-2369-8.79</t>
  </si>
  <si>
    <t>?</t>
  </si>
  <si>
    <t>DMNH 2644 site</t>
  </si>
  <si>
    <t>Denver Museum of Nature and Science</t>
  </si>
  <si>
    <t>Hanna (Hanna Basin)</t>
  </si>
  <si>
    <t>Torrejonian-Tiffanian NALMA (Dunn, 2003 MS thesis from Univ of Wyoming: "Correlation of Leaf Megafossil and Palynological Data with North American Land Mammal Ages from Paleocene-aged Strata of the Ferris and Hanna Formations, Hanna Basin, South-central Wyoming")</t>
  </si>
  <si>
    <t>biostratigraphy (Torrejonian-Tiffanian)</t>
  </si>
  <si>
    <t>Royer (2003)</t>
  </si>
  <si>
    <t>Uncertainties only in the calibration function are included</t>
  </si>
  <si>
    <t>mean</t>
  </si>
  <si>
    <t>95% confidence intervals</t>
  </si>
  <si>
    <t>slightly right skewed</t>
  </si>
  <si>
    <t>this is the original estimate; it has been updated with more rigorous error propagation by Beerling et al. (2009); see above for revised estimate</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</si>
  <si>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</si>
  <si>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</si>
  <si>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</si>
  <si>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</si>
  <si>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</si>
  <si>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</si>
  <si>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</si>
  <si>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</si>
  <si>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</si>
  <si>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</si>
  <si>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stomata-SI</t>
  </si>
  <si>
    <t>Royer</t>
  </si>
  <si>
    <t>droyer@wesleyan.edu</t>
  </si>
  <si>
    <t>10.2475/09.2009.01</t>
  </si>
  <si>
    <t>Estimate updated by Beerling et al. (2009)</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</si>
  <si>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</si>
  <si>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</si>
  <si>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</si>
  <si>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</si>
  <si>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</si>
  <si>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</si>
  <si>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</si>
  <si>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</si>
  <si>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</si>
  <si>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</si>
  <si>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</si>
  <si>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Reference of the data product</t>
  </si>
  <si>
    <t>doi link to reference</t>
  </si>
  <si>
    <t>Modern Latitude (decimal degree, south negative)</t>
  </si>
  <si>
    <t>Modern Longtitude (decimal degree, west negative)</t>
  </si>
  <si>
    <t>CO2_uncertainty_neg_ppm</t>
  </si>
  <si>
    <t>Paleo Latitude (decimal degree, south negative)</t>
  </si>
  <si>
    <t>Paleo Longitude (decimal degree, west negative)</t>
  </si>
  <si>
    <t>GTS2020</t>
  </si>
  <si>
    <t>Biostratigraphy updated to GTS2020</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</si>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</sst>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Calibri"/>
      <family val="2"/>
      <scheme val="minor"/>
    </font>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sz val="11"/>
      <color rgb="FF000000"/>
      <name val="Calibri"/>
      <family val="2"/>
      <charset val="1"/>
    </font>
    <font>
      <b/>
      <sz val="12"/>
      <name val="Calibri"/>
      <family val="2"/>
      <scheme val="minor"/>
    </font>
  </fonts>
  <fills count="2">
    <fill>
      <patternFill patternType="none"/>
    </fill>
    <fill>
      <patternFill patternType="gray125"/>
    </fill>
  </fills>
  <borders count="5">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1" fillId="0" borderId="0"/>
  </cellStyleXfs>
  <cellXfs count="26">
    <xf numFmtId="0" fontId="0" fillId="0" borderId="0" xfId="0"/>
    <xf numFmtId="0" fontId="0" fillId="0" borderId="0" xfId="0" applyBorder="1" applyAlignment="1"/>
    <xf numFmtId="0" fontId="2" fillId="0" borderId="0" xfId="0" applyFont="1" applyAlignment="1">
      <alignment wrapText="1"/>
    </xf>
    <xf numFmtId="0" fontId="0" fillId="0" borderId="0" xfId="0" applyFill="1" applyBorder="1" applyAlignment="1"/>
    <xf numFmtId="0" fontId="0" fillId="0" borderId="0" xfId="0" applyFill="1" applyBorder="1" applyAlignment="1">
      <alignment horizontal="right"/>
    </xf>
    <xf numFmtId="0" fontId="0" fillId="0" borderId="0" xfId="0" applyFill="1"/>
    <xf numFmtId="0" fontId="0" fillId="0" borderId="2" xfId="0" applyFont="1" applyFill="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4" fillId="0" borderId="0" xfId="0" applyFont="1" applyFill="1" applyBorder="1" applyAlignment="1">
      <alignment vertical="top" wrapText="1"/>
    </xf>
    <xf numFmtId="0" fontId="2" fillId="0" borderId="0" xfId="0" applyFont="1" applyFill="1" applyBorder="1" applyAlignment="1">
      <alignment horizontal="center" vertical="top" wrapText="1"/>
    </xf>
    <xf numFmtId="2" fontId="2" fillId="0" borderId="0" xfId="0" applyNumberFormat="1" applyFont="1" applyFill="1" applyBorder="1" applyAlignment="1">
      <alignment horizontal="center" vertical="top" wrapText="1"/>
    </xf>
    <xf numFmtId="0" fontId="6" fillId="0" borderId="0" xfId="0" applyFont="1" applyFill="1" applyBorder="1" applyAlignment="1">
      <alignment horizontal="center" vertical="top" wrapText="1"/>
    </xf>
    <xf numFmtId="164" fontId="0" fillId="0" borderId="0" xfId="0" applyNumberFormat="1" applyFill="1" applyBorder="1" applyAlignment="1">
      <alignment horizontal="right"/>
    </xf>
    <xf numFmtId="1" fontId="0" fillId="0" borderId="0" xfId="0" applyNumberFormat="1"/>
    <xf numFmtId="0" fontId="0" fillId="0" borderId="2" xfId="0" applyBorder="1" applyAlignment="1">
      <alignment wrapText="1"/>
    </xf>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946"/>
  <sheetViews>
    <sheetView tabSelected="1" topLeftCell="B1" workbookViewId="0">
      <pane ySplit="3" topLeftCell="A4" activePane="bottomLeft" state="frozen"/>
      <selection pane="bottomLeft" activeCell="N3" sqref="N3:O3"/>
    </sheetView>
  </sheetViews>
  <sheetFormatPr baseColWidth="10" defaultColWidth="11" defaultRowHeight="16" x14ac:dyDescent="0.2"/>
  <cols>
    <col min="33" max="33" width="12.1640625" customWidth="1"/>
    <col min="35" max="35" width="12.6640625" customWidth="1"/>
    <col min="36" max="36" width="12.1640625" customWidth="1"/>
    <col min="38" max="38" width="12.6640625" customWidth="1"/>
    <col min="43" max="43" width="12.1640625" customWidth="1"/>
    <col min="44" max="44" width="12.5" customWidth="1"/>
    <col min="50" max="50" width="13.6640625" customWidth="1"/>
    <col min="61" max="61" width="16.1640625" customWidth="1"/>
  </cols>
  <sheetData>
    <row r="3" spans="1:62" s="2" customFormat="1" ht="409.6" x14ac:dyDescent="0.2">
      <c r="A3" s="10" t="s">
        <v>55</v>
      </c>
      <c r="B3" s="11" t="s">
        <v>56</v>
      </c>
      <c r="C3" s="12" t="s">
        <v>57</v>
      </c>
      <c r="D3" s="13" t="s">
        <v>58</v>
      </c>
      <c r="E3" s="13" t="s">
        <v>59</v>
      </c>
      <c r="F3" s="14" t="s">
        <v>1</v>
      </c>
      <c r="G3" s="14" t="s">
        <v>60</v>
      </c>
      <c r="H3" s="15" t="s">
        <v>61</v>
      </c>
      <c r="I3" s="15" t="s">
        <v>62</v>
      </c>
      <c r="J3" s="13" t="s">
        <v>70</v>
      </c>
      <c r="K3" s="15" t="s">
        <v>71</v>
      </c>
      <c r="L3" s="16" t="s">
        <v>85</v>
      </c>
      <c r="M3" s="6" t="s">
        <v>72</v>
      </c>
      <c r="N3" s="25" t="s">
        <v>90</v>
      </c>
      <c r="O3" s="25" t="s">
        <v>91</v>
      </c>
      <c r="P3" s="6" t="s">
        <v>73</v>
      </c>
      <c r="Q3" s="7" t="s">
        <v>74</v>
      </c>
      <c r="R3" s="8" t="s">
        <v>75</v>
      </c>
      <c r="S3" s="9" t="s">
        <v>76</v>
      </c>
      <c r="T3" s="6" t="s">
        <v>77</v>
      </c>
      <c r="U3" s="6" t="s">
        <v>63</v>
      </c>
      <c r="V3" s="6" t="s">
        <v>78</v>
      </c>
      <c r="W3" s="17" t="s">
        <v>79</v>
      </c>
      <c r="X3" s="18" t="s">
        <v>64</v>
      </c>
      <c r="Y3" s="19" t="s">
        <v>81</v>
      </c>
      <c r="Z3" s="19" t="s">
        <v>82</v>
      </c>
      <c r="AA3" s="19" t="s">
        <v>2</v>
      </c>
      <c r="AB3" s="19" t="s">
        <v>3</v>
      </c>
      <c r="AC3" s="19" t="s">
        <v>4</v>
      </c>
      <c r="AD3" s="19" t="s">
        <v>5</v>
      </c>
      <c r="AE3" s="19" t="s">
        <v>6</v>
      </c>
      <c r="AF3" s="19" t="s">
        <v>7</v>
      </c>
      <c r="AG3" s="20" t="s">
        <v>8</v>
      </c>
      <c r="AH3" s="19" t="s">
        <v>9</v>
      </c>
      <c r="AI3" s="19" t="s">
        <v>10</v>
      </c>
      <c r="AJ3" s="19" t="s">
        <v>11</v>
      </c>
      <c r="AK3" s="19" t="s">
        <v>12</v>
      </c>
      <c r="AL3" s="19" t="s">
        <v>13</v>
      </c>
      <c r="AM3" s="19" t="s">
        <v>83</v>
      </c>
      <c r="AN3" s="19" t="s">
        <v>84</v>
      </c>
      <c r="AO3" s="22" t="s">
        <v>86</v>
      </c>
      <c r="AP3" s="22" t="s">
        <v>87</v>
      </c>
      <c r="AQ3" s="20" t="s">
        <v>14</v>
      </c>
      <c r="AR3" s="20" t="s">
        <v>15</v>
      </c>
      <c r="AS3" s="20" t="s">
        <v>16</v>
      </c>
      <c r="AT3" s="20" t="s">
        <v>17</v>
      </c>
      <c r="AU3" s="21" t="s">
        <v>18</v>
      </c>
      <c r="AV3" s="21" t="s">
        <v>19</v>
      </c>
      <c r="AW3" s="20" t="s">
        <v>20</v>
      </c>
      <c r="AX3" s="20" t="s">
        <v>21</v>
      </c>
      <c r="AY3" s="21" t="s">
        <v>22</v>
      </c>
      <c r="AZ3" s="21" t="s">
        <v>23</v>
      </c>
      <c r="BA3" s="20" t="s">
        <v>24</v>
      </c>
      <c r="BB3" s="20" t="s">
        <v>25</v>
      </c>
      <c r="BC3" s="20" t="s">
        <v>26</v>
      </c>
      <c r="BD3" s="20" t="s">
        <v>27</v>
      </c>
      <c r="BE3" s="19" t="s">
        <v>28</v>
      </c>
      <c r="BF3" s="20" t="s">
        <v>29</v>
      </c>
      <c r="BG3" s="20" t="s">
        <v>30</v>
      </c>
      <c r="BH3" s="19" t="s">
        <v>31</v>
      </c>
      <c r="BI3" s="19" t="s">
        <v>32</v>
      </c>
      <c r="BJ3" s="19" t="s">
        <v>0</v>
      </c>
    </row>
    <row r="4" spans="1:62" x14ac:dyDescent="0.2">
      <c r="A4" t="s">
        <v>33</v>
      </c>
      <c r="B4" t="s">
        <v>67</v>
      </c>
      <c r="C4" t="s">
        <v>65</v>
      </c>
      <c r="D4" t="s">
        <v>66</v>
      </c>
      <c r="E4">
        <v>2003</v>
      </c>
      <c r="F4" s="1" t="str">
        <f>Z4</f>
        <v>10.1130/0-8137-2369-8.79</v>
      </c>
      <c r="G4">
        <f>AH4*1000</f>
        <v>61025</v>
      </c>
      <c r="H4">
        <f>(AI4-AH4)*1000</f>
        <v>3725.0000000000014</v>
      </c>
      <c r="I4">
        <f>(AH4-AJ4)*1000</f>
        <v>3725.0000000000014</v>
      </c>
      <c r="J4">
        <f>BD4</f>
        <v>313</v>
      </c>
      <c r="K4" s="24">
        <f>BG4-BD4</f>
        <v>2</v>
      </c>
      <c r="L4" s="24">
        <f>BD4-BF4</f>
        <v>3</v>
      </c>
      <c r="M4" t="b">
        <v>1</v>
      </c>
      <c r="N4">
        <v>3</v>
      </c>
      <c r="O4" t="s">
        <v>69</v>
      </c>
      <c r="P4" s="3" t="s">
        <v>68</v>
      </c>
      <c r="Q4" t="b">
        <v>0</v>
      </c>
      <c r="R4" t="s">
        <v>80</v>
      </c>
      <c r="S4" s="5" t="b">
        <v>0</v>
      </c>
      <c r="T4" t="b">
        <v>0</v>
      </c>
      <c r="U4" t="s">
        <v>80</v>
      </c>
      <c r="V4" t="s">
        <v>68</v>
      </c>
      <c r="W4" t="b">
        <v>1</v>
      </c>
      <c r="X4" t="s">
        <v>89</v>
      </c>
      <c r="Y4" s="3" t="s">
        <v>41</v>
      </c>
      <c r="Z4" s="3" t="s">
        <v>42</v>
      </c>
      <c r="AA4" s="3" t="s">
        <v>44</v>
      </c>
      <c r="AB4" s="3" t="s">
        <v>34</v>
      </c>
      <c r="AC4" s="3" t="s">
        <v>35</v>
      </c>
      <c r="AD4" s="3" t="s">
        <v>36</v>
      </c>
      <c r="AE4" s="3" t="s">
        <v>45</v>
      </c>
      <c r="AF4" s="3" t="s">
        <v>46</v>
      </c>
      <c r="AG4" s="3" t="s">
        <v>47</v>
      </c>
      <c r="AH4" s="23">
        <f>AVERAGE(AI4:AJ4)</f>
        <v>61.024999999999999</v>
      </c>
      <c r="AI4" s="4">
        <v>64.75</v>
      </c>
      <c r="AJ4" s="4">
        <v>57.3</v>
      </c>
      <c r="AK4" s="3" t="s">
        <v>88</v>
      </c>
      <c r="AL4" s="3" t="s">
        <v>48</v>
      </c>
      <c r="AM4" s="4">
        <v>42.5</v>
      </c>
      <c r="AN4" s="3" t="s">
        <v>43</v>
      </c>
      <c r="AO4" s="4" t="s">
        <v>80</v>
      </c>
      <c r="AP4" s="4" t="s">
        <v>80</v>
      </c>
      <c r="AQ4" s="4">
        <v>3</v>
      </c>
      <c r="AR4" s="4">
        <v>5</v>
      </c>
      <c r="AS4" s="3" t="s">
        <v>37</v>
      </c>
      <c r="AT4" s="3" t="s">
        <v>38</v>
      </c>
      <c r="AU4" s="3"/>
      <c r="AV4" s="3"/>
      <c r="AW4" s="3" t="s">
        <v>39</v>
      </c>
      <c r="AX4" s="4">
        <v>10.93</v>
      </c>
      <c r="AY4" s="3"/>
      <c r="AZ4" s="4">
        <v>1.28</v>
      </c>
      <c r="BA4" s="3" t="s">
        <v>40</v>
      </c>
      <c r="BB4" s="3" t="s">
        <v>49</v>
      </c>
      <c r="BC4" s="3" t="s">
        <v>50</v>
      </c>
      <c r="BD4" s="4">
        <v>313</v>
      </c>
      <c r="BE4" s="3" t="s">
        <v>51</v>
      </c>
      <c r="BF4" s="4">
        <v>310</v>
      </c>
      <c r="BG4" s="4">
        <v>315</v>
      </c>
      <c r="BH4" s="3" t="s">
        <v>52</v>
      </c>
      <c r="BI4" s="3" t="s">
        <v>53</v>
      </c>
      <c r="BJ4" s="3" t="s">
        <v>54</v>
      </c>
    </row>
    <row r="5" spans="1:62" x14ac:dyDescent="0.2">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row>
    <row r="6" spans="1:62" x14ac:dyDescent="0.2">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row>
    <row r="7" spans="1:62" x14ac:dyDescent="0.2">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row>
    <row r="8" spans="1:62" x14ac:dyDescent="0.2">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row>
    <row r="9" spans="1:62" x14ac:dyDescent="0.2">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row>
    <row r="10" spans="1:62" x14ac:dyDescent="0.2">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row>
    <row r="11" spans="1:62" x14ac:dyDescent="0.2">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row>
    <row r="12" spans="1:62" x14ac:dyDescent="0.2">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row>
    <row r="13" spans="1:62" x14ac:dyDescent="0.2">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row>
    <row r="14" spans="1:62" x14ac:dyDescent="0.2">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row>
    <row r="15" spans="1:62" x14ac:dyDescent="0.2">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row>
    <row r="16" spans="1:62" x14ac:dyDescent="0.2">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row>
    <row r="17" spans="25:61" x14ac:dyDescent="0.2">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row>
    <row r="18" spans="25:61" x14ac:dyDescent="0.2">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row>
    <row r="19" spans="25:61" x14ac:dyDescent="0.2">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row>
    <row r="20" spans="25:61" x14ac:dyDescent="0.2">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row>
    <row r="21" spans="25:61" x14ac:dyDescent="0.2">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row>
    <row r="22" spans="25:61" x14ac:dyDescent="0.2">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row>
    <row r="23" spans="25:61" x14ac:dyDescent="0.2">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row>
    <row r="24" spans="25:61" x14ac:dyDescent="0.2">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row>
    <row r="25" spans="25:61" x14ac:dyDescent="0.2">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row>
    <row r="26" spans="25:61" x14ac:dyDescent="0.2">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row>
    <row r="27" spans="25:61" x14ac:dyDescent="0.2">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row>
    <row r="28" spans="25:61" x14ac:dyDescent="0.2">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row>
    <row r="29" spans="25:61" x14ac:dyDescent="0.2">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row>
    <row r="30" spans="25:61" x14ac:dyDescent="0.2">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row>
    <row r="31" spans="25:61" x14ac:dyDescent="0.2">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row>
    <row r="32" spans="25:61" x14ac:dyDescent="0.2">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row>
    <row r="33" spans="25:61" x14ac:dyDescent="0.2">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row>
    <row r="34" spans="25:61" x14ac:dyDescent="0.2">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row>
    <row r="35" spans="25:61" x14ac:dyDescent="0.2">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row>
    <row r="36" spans="25:61" x14ac:dyDescent="0.2">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row>
    <row r="37" spans="25:61" x14ac:dyDescent="0.2">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row>
    <row r="38" spans="25:61" x14ac:dyDescent="0.2">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row>
    <row r="39" spans="25:61" x14ac:dyDescent="0.2">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row>
    <row r="40" spans="25:61" x14ac:dyDescent="0.2">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row>
    <row r="41" spans="25:61" x14ac:dyDescent="0.2">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row>
    <row r="42" spans="25:61" x14ac:dyDescent="0.2">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row>
    <row r="43" spans="25:61" x14ac:dyDescent="0.2">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row>
    <row r="44" spans="25:61" x14ac:dyDescent="0.2">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row>
    <row r="45" spans="25:61" x14ac:dyDescent="0.2">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row>
    <row r="46" spans="25:61" x14ac:dyDescent="0.2">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row>
    <row r="47" spans="25:61" x14ac:dyDescent="0.2">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row>
    <row r="48" spans="25:61" x14ac:dyDescent="0.2">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row>
    <row r="49" spans="25:61" x14ac:dyDescent="0.2">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row>
    <row r="50" spans="25:61" x14ac:dyDescent="0.2">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row>
    <row r="51" spans="25:61" x14ac:dyDescent="0.2">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row>
    <row r="52" spans="25:61" x14ac:dyDescent="0.2">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row>
    <row r="53" spans="25:61" x14ac:dyDescent="0.2">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row>
    <row r="54" spans="25:61" x14ac:dyDescent="0.2">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row>
    <row r="55" spans="25:61" x14ac:dyDescent="0.2">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row>
    <row r="56" spans="25:61" x14ac:dyDescent="0.2">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row>
    <row r="57" spans="25:61" x14ac:dyDescent="0.2">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row>
    <row r="58" spans="25:61" x14ac:dyDescent="0.2">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row>
    <row r="59" spans="25:61" x14ac:dyDescent="0.2">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row>
    <row r="60" spans="25:61" x14ac:dyDescent="0.2">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row>
    <row r="61" spans="25:61" x14ac:dyDescent="0.2">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row>
    <row r="62" spans="25:61" x14ac:dyDescent="0.2">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row>
    <row r="63" spans="25:61" x14ac:dyDescent="0.2">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row>
    <row r="64" spans="25:61" x14ac:dyDescent="0.2">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row>
    <row r="65" spans="25:61" x14ac:dyDescent="0.2">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row>
    <row r="66" spans="25:61" x14ac:dyDescent="0.2">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row>
    <row r="67" spans="25:61" x14ac:dyDescent="0.2">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row>
    <row r="68" spans="25:61" x14ac:dyDescent="0.2">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row>
    <row r="69" spans="25:61" x14ac:dyDescent="0.2">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row>
    <row r="70" spans="25:61" x14ac:dyDescent="0.2">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row>
    <row r="71" spans="25:61" x14ac:dyDescent="0.2">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row>
    <row r="72" spans="25:61" x14ac:dyDescent="0.2">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row>
    <row r="73" spans="25:61" x14ac:dyDescent="0.2">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row>
    <row r="74" spans="25:61" x14ac:dyDescent="0.2">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row>
    <row r="75" spans="25:61" x14ac:dyDescent="0.2">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row>
    <row r="76" spans="25:61" x14ac:dyDescent="0.2">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row>
    <row r="77" spans="25:61" x14ac:dyDescent="0.2">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row>
    <row r="78" spans="25:61" x14ac:dyDescent="0.2">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row>
    <row r="79" spans="25:61" x14ac:dyDescent="0.2">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row>
    <row r="80" spans="25:61" x14ac:dyDescent="0.2">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row>
    <row r="81" spans="25:61" x14ac:dyDescent="0.2">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row>
    <row r="82" spans="25:61" x14ac:dyDescent="0.2">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row>
    <row r="83" spans="25:61" x14ac:dyDescent="0.2">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row>
    <row r="84" spans="25:61" x14ac:dyDescent="0.2">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row>
    <row r="85" spans="25:61" x14ac:dyDescent="0.2">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25:61" x14ac:dyDescent="0.2">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row>
    <row r="87" spans="25:61" x14ac:dyDescent="0.2">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row>
    <row r="88" spans="25:61" x14ac:dyDescent="0.2">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row>
    <row r="89" spans="25:61" x14ac:dyDescent="0.2">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row>
    <row r="90" spans="25:61" x14ac:dyDescent="0.2">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row>
    <row r="91" spans="25:61" x14ac:dyDescent="0.2">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row>
    <row r="92" spans="25:61" x14ac:dyDescent="0.2">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row>
    <row r="93" spans="25:61" x14ac:dyDescent="0.2">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row>
    <row r="94" spans="25:61" x14ac:dyDescent="0.2">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row>
    <row r="95" spans="25:61" x14ac:dyDescent="0.2">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row>
    <row r="96" spans="25:61" x14ac:dyDescent="0.2">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row>
    <row r="97" spans="25:61" x14ac:dyDescent="0.2">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row>
    <row r="98" spans="25:61" x14ac:dyDescent="0.2">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row>
    <row r="99" spans="25:61" x14ac:dyDescent="0.2">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row>
    <row r="100" spans="25:61" x14ac:dyDescent="0.2">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row>
    <row r="101" spans="25:61" x14ac:dyDescent="0.2">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row>
    <row r="102" spans="25:61" x14ac:dyDescent="0.2">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row>
    <row r="103" spans="25:61" x14ac:dyDescent="0.2">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row>
    <row r="104" spans="25:61" x14ac:dyDescent="0.2">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row>
    <row r="105" spans="25:61" x14ac:dyDescent="0.2">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row>
    <row r="106" spans="25:61" x14ac:dyDescent="0.2">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row>
    <row r="107" spans="25:61" x14ac:dyDescent="0.2">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row>
    <row r="108" spans="25:61" x14ac:dyDescent="0.2">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row>
    <row r="109" spans="25:61" x14ac:dyDescent="0.2">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row>
    <row r="110" spans="25:61" x14ac:dyDescent="0.2">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row>
    <row r="111" spans="25:61" x14ac:dyDescent="0.2">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row>
    <row r="112" spans="25:61" x14ac:dyDescent="0.2">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row>
    <row r="113" spans="25:61" x14ac:dyDescent="0.2">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row>
    <row r="114" spans="25:61" x14ac:dyDescent="0.2">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row>
    <row r="115" spans="25:61" x14ac:dyDescent="0.2">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row>
    <row r="116" spans="25:61" x14ac:dyDescent="0.2">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row>
    <row r="117" spans="25:61" x14ac:dyDescent="0.2">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row>
    <row r="118" spans="25:61" x14ac:dyDescent="0.2">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row>
    <row r="119" spans="25:61" x14ac:dyDescent="0.2">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row>
    <row r="120" spans="25:61" x14ac:dyDescent="0.2">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row>
    <row r="121" spans="25:61" x14ac:dyDescent="0.2">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row>
    <row r="122" spans="25:61" x14ac:dyDescent="0.2">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row>
    <row r="123" spans="25:61" x14ac:dyDescent="0.2">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row>
    <row r="124" spans="25:61" x14ac:dyDescent="0.2">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25:61" x14ac:dyDescent="0.2">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25:61" x14ac:dyDescent="0.2">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row>
    <row r="127" spans="25:61" x14ac:dyDescent="0.2">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row>
    <row r="128" spans="25:61" x14ac:dyDescent="0.2">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row>
    <row r="129" spans="25:61" x14ac:dyDescent="0.2">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row>
    <row r="130" spans="25:61" x14ac:dyDescent="0.2">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row>
    <row r="131" spans="25:61" x14ac:dyDescent="0.2">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row>
    <row r="132" spans="25:61" x14ac:dyDescent="0.2">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row>
    <row r="133" spans="25:61" x14ac:dyDescent="0.2">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row>
    <row r="134" spans="25:61" x14ac:dyDescent="0.2">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row>
    <row r="135" spans="25:61" x14ac:dyDescent="0.2">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row>
    <row r="136" spans="25:61" x14ac:dyDescent="0.2">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row>
    <row r="137" spans="25:61" x14ac:dyDescent="0.2">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row>
    <row r="138" spans="25:61" x14ac:dyDescent="0.2">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row>
    <row r="139" spans="25:61" x14ac:dyDescent="0.2">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row>
    <row r="140" spans="25:61" x14ac:dyDescent="0.2">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row>
    <row r="141" spans="25:61" x14ac:dyDescent="0.2">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row>
    <row r="142" spans="25:61" x14ac:dyDescent="0.2">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row>
    <row r="143" spans="25:61" x14ac:dyDescent="0.2">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25:61" x14ac:dyDescent="0.2">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row>
    <row r="145" spans="25:61" x14ac:dyDescent="0.2">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row>
    <row r="146" spans="25:61" x14ac:dyDescent="0.2">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row>
    <row r="147" spans="25:61" x14ac:dyDescent="0.2">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row>
    <row r="148" spans="25:61" x14ac:dyDescent="0.2">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row>
    <row r="149" spans="25:61" x14ac:dyDescent="0.2">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row>
    <row r="150" spans="25:61" x14ac:dyDescent="0.2">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row>
    <row r="151" spans="25:61" x14ac:dyDescent="0.2">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row>
    <row r="152" spans="25:61" x14ac:dyDescent="0.2">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row>
    <row r="153" spans="25:61" x14ac:dyDescent="0.2">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25:61" x14ac:dyDescent="0.2">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row>
    <row r="155" spans="25:61" x14ac:dyDescent="0.2">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row>
    <row r="156" spans="25:61" x14ac:dyDescent="0.2">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row>
    <row r="157" spans="25:61" x14ac:dyDescent="0.2">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row>
    <row r="158" spans="25:61" x14ac:dyDescent="0.2">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row>
    <row r="159" spans="25:61" x14ac:dyDescent="0.2">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row>
    <row r="160" spans="25:61" x14ac:dyDescent="0.2">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row>
    <row r="161" spans="25:61" x14ac:dyDescent="0.2">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row>
    <row r="162" spans="25:61" x14ac:dyDescent="0.2">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row>
    <row r="163" spans="25:61" x14ac:dyDescent="0.2">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row>
    <row r="164" spans="25:61" x14ac:dyDescent="0.2">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row>
    <row r="165" spans="25:61" x14ac:dyDescent="0.2">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row>
    <row r="166" spans="25:61" x14ac:dyDescent="0.2">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row>
    <row r="167" spans="25:61" x14ac:dyDescent="0.2">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row>
    <row r="168" spans="25:61" x14ac:dyDescent="0.2">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row>
    <row r="169" spans="25:61" x14ac:dyDescent="0.2">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row>
    <row r="170" spans="25:61" x14ac:dyDescent="0.2">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row>
    <row r="171" spans="25:61" x14ac:dyDescent="0.2">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row>
    <row r="172" spans="25:61" x14ac:dyDescent="0.2">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row>
    <row r="173" spans="25:61" x14ac:dyDescent="0.2">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row>
    <row r="174" spans="25:61" x14ac:dyDescent="0.2">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row>
    <row r="175" spans="25:61" x14ac:dyDescent="0.2">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row>
    <row r="176" spans="25:61" x14ac:dyDescent="0.2">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row>
    <row r="177" spans="25:61" x14ac:dyDescent="0.2">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row>
    <row r="178" spans="25:61" x14ac:dyDescent="0.2">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row>
    <row r="179" spans="25:61" x14ac:dyDescent="0.2">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row>
    <row r="180" spans="25:61" x14ac:dyDescent="0.2">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row r="181" spans="25:61" x14ac:dyDescent="0.2">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row>
    <row r="182" spans="25:61" x14ac:dyDescent="0.2">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row>
    <row r="183" spans="25:61" x14ac:dyDescent="0.2">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row>
    <row r="184" spans="25:61" x14ac:dyDescent="0.2">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row>
    <row r="185" spans="25:61" x14ac:dyDescent="0.2">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row>
    <row r="186" spans="25:61" x14ac:dyDescent="0.2">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row>
    <row r="187" spans="25:61" x14ac:dyDescent="0.2">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row>
    <row r="188" spans="25:61" x14ac:dyDescent="0.2">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row>
    <row r="189" spans="25:61" x14ac:dyDescent="0.2">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row>
    <row r="190" spans="25:61" x14ac:dyDescent="0.2">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row>
    <row r="191" spans="25:61" x14ac:dyDescent="0.2">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row>
    <row r="192" spans="25:61" x14ac:dyDescent="0.2">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row>
    <row r="193" spans="25:61" x14ac:dyDescent="0.2">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row>
    <row r="194" spans="25:61" x14ac:dyDescent="0.2">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row>
    <row r="195" spans="25:61" x14ac:dyDescent="0.2">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row>
    <row r="196" spans="25:61" x14ac:dyDescent="0.2">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row>
    <row r="197" spans="25:61" x14ac:dyDescent="0.2">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row>
    <row r="198" spans="25:61" x14ac:dyDescent="0.2">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row>
    <row r="199" spans="25:61" x14ac:dyDescent="0.2">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25:61" x14ac:dyDescent="0.2">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row>
    <row r="201" spans="25:61" x14ac:dyDescent="0.2">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row>
    <row r="202" spans="25:61" x14ac:dyDescent="0.2">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row>
    <row r="203" spans="25:61" x14ac:dyDescent="0.2">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row>
    <row r="204" spans="25:61" x14ac:dyDescent="0.2">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row>
    <row r="205" spans="25:61" x14ac:dyDescent="0.2">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row>
    <row r="206" spans="25:61" x14ac:dyDescent="0.2">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row>
    <row r="207" spans="25:61" x14ac:dyDescent="0.2">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row>
    <row r="208" spans="25:61" x14ac:dyDescent="0.2">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row>
    <row r="209" spans="25:61" x14ac:dyDescent="0.2">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row>
    <row r="210" spans="25:61" x14ac:dyDescent="0.2">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row>
    <row r="211" spans="25:61" x14ac:dyDescent="0.2">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row>
    <row r="212" spans="25:61" x14ac:dyDescent="0.2">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row>
    <row r="213" spans="25:61" x14ac:dyDescent="0.2">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row>
    <row r="214" spans="25:61" x14ac:dyDescent="0.2">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row>
    <row r="215" spans="25:61" x14ac:dyDescent="0.2">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25:61" x14ac:dyDescent="0.2">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25:61" x14ac:dyDescent="0.2">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25:61" x14ac:dyDescent="0.2">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row>
    <row r="219" spans="25:61" x14ac:dyDescent="0.2">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row>
    <row r="220" spans="25:61" x14ac:dyDescent="0.2">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row>
    <row r="221" spans="25:61" x14ac:dyDescent="0.2">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row>
    <row r="222" spans="25:61" x14ac:dyDescent="0.2">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row>
    <row r="223" spans="25:61" x14ac:dyDescent="0.2">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25:61" x14ac:dyDescent="0.2">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25:61" x14ac:dyDescent="0.2">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25:61" x14ac:dyDescent="0.2">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25:61" x14ac:dyDescent="0.2">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row>
    <row r="228" spans="25:61" x14ac:dyDescent="0.2">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row>
    <row r="229" spans="25:61" x14ac:dyDescent="0.2">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25:61" x14ac:dyDescent="0.2">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25:61" x14ac:dyDescent="0.2">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25:61" x14ac:dyDescent="0.2">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25:61" x14ac:dyDescent="0.2">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25:61" x14ac:dyDescent="0.2">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25:61" x14ac:dyDescent="0.2">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25:61" x14ac:dyDescent="0.2">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25:61" x14ac:dyDescent="0.2">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25:61" x14ac:dyDescent="0.2">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row>
    <row r="239" spans="25:61" x14ac:dyDescent="0.2">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row>
    <row r="240" spans="25:61" x14ac:dyDescent="0.2">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row>
    <row r="241" spans="25:61" x14ac:dyDescent="0.2">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row>
    <row r="242" spans="25:61" x14ac:dyDescent="0.2">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row>
    <row r="243" spans="25:61" x14ac:dyDescent="0.2">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row>
    <row r="244" spans="25:61" x14ac:dyDescent="0.2">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row>
    <row r="245" spans="25:61" x14ac:dyDescent="0.2">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25:61" x14ac:dyDescent="0.2">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25:61" x14ac:dyDescent="0.2">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25:61" x14ac:dyDescent="0.2">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25:61" x14ac:dyDescent="0.2">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25:61" x14ac:dyDescent="0.2">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25:61" x14ac:dyDescent="0.2">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25:61" x14ac:dyDescent="0.2">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25:61" x14ac:dyDescent="0.2">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25:61" x14ac:dyDescent="0.2">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25:61" x14ac:dyDescent="0.2">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25:61" x14ac:dyDescent="0.2">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25:61" x14ac:dyDescent="0.2">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25:61" x14ac:dyDescent="0.2">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25:61" x14ac:dyDescent="0.2">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25:61" x14ac:dyDescent="0.2">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25:61" x14ac:dyDescent="0.2">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25:61" x14ac:dyDescent="0.2">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25:61" x14ac:dyDescent="0.2">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25:61" x14ac:dyDescent="0.2">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25:61" x14ac:dyDescent="0.2">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25:61" x14ac:dyDescent="0.2">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25:61" x14ac:dyDescent="0.2">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25:61" x14ac:dyDescent="0.2">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25:61" x14ac:dyDescent="0.2">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25:61" x14ac:dyDescent="0.2">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25:61" x14ac:dyDescent="0.2">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25:61" x14ac:dyDescent="0.2">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25:61" x14ac:dyDescent="0.2">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25:61" x14ac:dyDescent="0.2">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25:61" x14ac:dyDescent="0.2">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25:61" x14ac:dyDescent="0.2">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25:61" x14ac:dyDescent="0.2">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row>
    <row r="278" spans="25:61" x14ac:dyDescent="0.2">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row>
    <row r="279" spans="25:61" x14ac:dyDescent="0.2">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row>
    <row r="280" spans="25:61" x14ac:dyDescent="0.2">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row>
    <row r="281" spans="25:61" x14ac:dyDescent="0.2">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row>
    <row r="282" spans="25:61" x14ac:dyDescent="0.2">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row>
    <row r="283" spans="25:61" x14ac:dyDescent="0.2">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row>
    <row r="284" spans="25:61" x14ac:dyDescent="0.2">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25:61" x14ac:dyDescent="0.2">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25:61" x14ac:dyDescent="0.2">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25:61" x14ac:dyDescent="0.2">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25:61" x14ac:dyDescent="0.2">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25:61" x14ac:dyDescent="0.2">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25:61" x14ac:dyDescent="0.2">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25:61" x14ac:dyDescent="0.2">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25:61" x14ac:dyDescent="0.2">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25:61" x14ac:dyDescent="0.2">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25:61" x14ac:dyDescent="0.2">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25:61" x14ac:dyDescent="0.2">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25:61" x14ac:dyDescent="0.2">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25:61" x14ac:dyDescent="0.2">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25:61" x14ac:dyDescent="0.2">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25:61" x14ac:dyDescent="0.2">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25:61" x14ac:dyDescent="0.2">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25:61" x14ac:dyDescent="0.2">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25:61" x14ac:dyDescent="0.2">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25:61" x14ac:dyDescent="0.2">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25:61" x14ac:dyDescent="0.2">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25:61" x14ac:dyDescent="0.2">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25:61" x14ac:dyDescent="0.2">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25:61" x14ac:dyDescent="0.2">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25:61" x14ac:dyDescent="0.2">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25:61" x14ac:dyDescent="0.2">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25:61" x14ac:dyDescent="0.2">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25:61" x14ac:dyDescent="0.2">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25:61" x14ac:dyDescent="0.2">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25:61" x14ac:dyDescent="0.2">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25:61" x14ac:dyDescent="0.2">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25:61" x14ac:dyDescent="0.2">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25:61" x14ac:dyDescent="0.2">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25:61" x14ac:dyDescent="0.2">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row>
    <row r="318" spans="25:61" x14ac:dyDescent="0.2">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row>
    <row r="319" spans="25:61" x14ac:dyDescent="0.2">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row>
    <row r="320" spans="25:61" x14ac:dyDescent="0.2">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row>
    <row r="321" spans="25:61" x14ac:dyDescent="0.2">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row>
    <row r="322" spans="25:61" x14ac:dyDescent="0.2">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row>
    <row r="323" spans="25:61" x14ac:dyDescent="0.2">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25:61" x14ac:dyDescent="0.2">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25:61" x14ac:dyDescent="0.2">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25:61" x14ac:dyDescent="0.2">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25:61" x14ac:dyDescent="0.2">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25:61" x14ac:dyDescent="0.2">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25:61" x14ac:dyDescent="0.2">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25:61" x14ac:dyDescent="0.2">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25:61" x14ac:dyDescent="0.2">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25:61" x14ac:dyDescent="0.2">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25:61" x14ac:dyDescent="0.2">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25:61" x14ac:dyDescent="0.2">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25:61" x14ac:dyDescent="0.2">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25:61" x14ac:dyDescent="0.2">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25:61" x14ac:dyDescent="0.2">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25:61" x14ac:dyDescent="0.2">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25:61" x14ac:dyDescent="0.2">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25:61" x14ac:dyDescent="0.2">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25:61" x14ac:dyDescent="0.2">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25:61" x14ac:dyDescent="0.2">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25:61" x14ac:dyDescent="0.2">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25:61" x14ac:dyDescent="0.2">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25:61" x14ac:dyDescent="0.2">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25:61" x14ac:dyDescent="0.2">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25:61" x14ac:dyDescent="0.2">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25:61" x14ac:dyDescent="0.2">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25:61" x14ac:dyDescent="0.2">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25:61" x14ac:dyDescent="0.2">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25:61" x14ac:dyDescent="0.2">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25:61" x14ac:dyDescent="0.2">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25:61" x14ac:dyDescent="0.2">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25:61" x14ac:dyDescent="0.2">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25:61" x14ac:dyDescent="0.2">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25:61" x14ac:dyDescent="0.2">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25:61" x14ac:dyDescent="0.2">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row>
    <row r="358" spans="25:61" x14ac:dyDescent="0.2">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row>
    <row r="359" spans="25:61" x14ac:dyDescent="0.2">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row>
    <row r="360" spans="25:61" x14ac:dyDescent="0.2">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row>
    <row r="361" spans="25:61" x14ac:dyDescent="0.2">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row>
    <row r="362" spans="25:61" x14ac:dyDescent="0.2">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25:61" x14ac:dyDescent="0.2">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25:61" x14ac:dyDescent="0.2">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25:61" x14ac:dyDescent="0.2">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25:61" x14ac:dyDescent="0.2">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25:61" x14ac:dyDescent="0.2">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25:61" x14ac:dyDescent="0.2">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25:61" x14ac:dyDescent="0.2">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25:61" x14ac:dyDescent="0.2">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25:61" x14ac:dyDescent="0.2">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25:61" x14ac:dyDescent="0.2">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25:61" x14ac:dyDescent="0.2">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25:61" x14ac:dyDescent="0.2">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25:61" x14ac:dyDescent="0.2">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25:61" x14ac:dyDescent="0.2">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25:61" x14ac:dyDescent="0.2">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25:61" x14ac:dyDescent="0.2">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25:61" x14ac:dyDescent="0.2">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25:61" x14ac:dyDescent="0.2">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25:61" x14ac:dyDescent="0.2">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25:61" x14ac:dyDescent="0.2">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25:61" x14ac:dyDescent="0.2">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25:61" x14ac:dyDescent="0.2">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25:61" x14ac:dyDescent="0.2">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25:61" x14ac:dyDescent="0.2">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25:61" x14ac:dyDescent="0.2">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25:61" x14ac:dyDescent="0.2">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25:61" x14ac:dyDescent="0.2">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25:61" x14ac:dyDescent="0.2">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25:61" x14ac:dyDescent="0.2">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25:61" x14ac:dyDescent="0.2">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25:61" x14ac:dyDescent="0.2">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25:61" x14ac:dyDescent="0.2">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25:61" x14ac:dyDescent="0.2">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25:61" x14ac:dyDescent="0.2">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25:61" x14ac:dyDescent="0.2">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row>
    <row r="398" spans="25:61" x14ac:dyDescent="0.2">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row>
    <row r="399" spans="25:61" x14ac:dyDescent="0.2">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row>
    <row r="400" spans="25:61" x14ac:dyDescent="0.2">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row>
    <row r="401" spans="25:61" x14ac:dyDescent="0.2">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25:61" x14ac:dyDescent="0.2">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25:61" x14ac:dyDescent="0.2">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25:61" x14ac:dyDescent="0.2">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row>
    <row r="405" spans="25:61" x14ac:dyDescent="0.2">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row>
    <row r="406" spans="25:61" x14ac:dyDescent="0.2">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25:61" x14ac:dyDescent="0.2">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25:61" x14ac:dyDescent="0.2">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25:61" x14ac:dyDescent="0.2">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25:61" x14ac:dyDescent="0.2">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25:61" x14ac:dyDescent="0.2">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25:61" x14ac:dyDescent="0.2">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25:61" x14ac:dyDescent="0.2">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25:61" x14ac:dyDescent="0.2">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25:61" x14ac:dyDescent="0.2">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25:61" x14ac:dyDescent="0.2">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25:61" x14ac:dyDescent="0.2">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25:61" x14ac:dyDescent="0.2">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25:61" x14ac:dyDescent="0.2">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25:61" x14ac:dyDescent="0.2">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25:61" x14ac:dyDescent="0.2">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25:61" x14ac:dyDescent="0.2">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25:61" x14ac:dyDescent="0.2">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25:61" x14ac:dyDescent="0.2">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25:61" x14ac:dyDescent="0.2">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25:61" x14ac:dyDescent="0.2">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25:61" x14ac:dyDescent="0.2">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25:61" x14ac:dyDescent="0.2">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25:61" x14ac:dyDescent="0.2">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25:61" x14ac:dyDescent="0.2">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25:61" x14ac:dyDescent="0.2">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25:61" x14ac:dyDescent="0.2">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25:61" x14ac:dyDescent="0.2">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25:61" x14ac:dyDescent="0.2">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25:61" x14ac:dyDescent="0.2">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25:61" x14ac:dyDescent="0.2">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25:61" x14ac:dyDescent="0.2">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row>
    <row r="438" spans="25:61" x14ac:dyDescent="0.2">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row>
    <row r="439" spans="25:61" x14ac:dyDescent="0.2">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row>
    <row r="440" spans="25:61" x14ac:dyDescent="0.2">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25:61" x14ac:dyDescent="0.2">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25:61" x14ac:dyDescent="0.2">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25:61" x14ac:dyDescent="0.2">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row>
    <row r="444" spans="25:61" x14ac:dyDescent="0.2">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row>
    <row r="445" spans="25:61" x14ac:dyDescent="0.2">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row>
    <row r="446" spans="25:61" x14ac:dyDescent="0.2">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25:61" x14ac:dyDescent="0.2">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25:61" x14ac:dyDescent="0.2">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25:61" x14ac:dyDescent="0.2">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25:61" x14ac:dyDescent="0.2">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25:61" x14ac:dyDescent="0.2">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25:61" x14ac:dyDescent="0.2">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25:61" x14ac:dyDescent="0.2">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25:61" x14ac:dyDescent="0.2">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25:61" x14ac:dyDescent="0.2">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25:61" x14ac:dyDescent="0.2">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25:61" x14ac:dyDescent="0.2">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25:61" x14ac:dyDescent="0.2">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25:61" x14ac:dyDescent="0.2">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25:61" x14ac:dyDescent="0.2">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25:61" x14ac:dyDescent="0.2">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25:61" x14ac:dyDescent="0.2">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25:61" x14ac:dyDescent="0.2">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25:61" x14ac:dyDescent="0.2">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25:61" x14ac:dyDescent="0.2">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25:61" x14ac:dyDescent="0.2">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25:61" x14ac:dyDescent="0.2">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25:61" x14ac:dyDescent="0.2">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25:61" x14ac:dyDescent="0.2">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25:61" x14ac:dyDescent="0.2">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25:61" x14ac:dyDescent="0.2">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25:61" x14ac:dyDescent="0.2">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25:61" x14ac:dyDescent="0.2">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25:61" x14ac:dyDescent="0.2">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25:61" x14ac:dyDescent="0.2">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25:61" x14ac:dyDescent="0.2">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25:61" x14ac:dyDescent="0.2">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row>
    <row r="478" spans="25:61" x14ac:dyDescent="0.2">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row>
    <row r="479" spans="25:61" x14ac:dyDescent="0.2">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row>
    <row r="480" spans="25:61" x14ac:dyDescent="0.2">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row>
    <row r="481" spans="25:61" x14ac:dyDescent="0.2">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row>
    <row r="482" spans="25:61" x14ac:dyDescent="0.2">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row>
    <row r="483" spans="25:61" x14ac:dyDescent="0.2">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row>
    <row r="484" spans="25:61" x14ac:dyDescent="0.2">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row>
    <row r="485" spans="25:61" x14ac:dyDescent="0.2">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row>
    <row r="486" spans="25:61" x14ac:dyDescent="0.2">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25:61" x14ac:dyDescent="0.2">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25:61" x14ac:dyDescent="0.2">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25:61" x14ac:dyDescent="0.2">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25:61" x14ac:dyDescent="0.2">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25:61" x14ac:dyDescent="0.2">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25:61" x14ac:dyDescent="0.2">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25:61" x14ac:dyDescent="0.2">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25:61" x14ac:dyDescent="0.2">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25:61" x14ac:dyDescent="0.2">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25:61" x14ac:dyDescent="0.2">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25:61" x14ac:dyDescent="0.2">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25:61" x14ac:dyDescent="0.2">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25:61" x14ac:dyDescent="0.2">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25:61" x14ac:dyDescent="0.2">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25:61" x14ac:dyDescent="0.2">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25:61" x14ac:dyDescent="0.2">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25:61" x14ac:dyDescent="0.2">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25:61" x14ac:dyDescent="0.2">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25:61" x14ac:dyDescent="0.2">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25:61" x14ac:dyDescent="0.2">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25:61" x14ac:dyDescent="0.2">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25:61" x14ac:dyDescent="0.2">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25:61" x14ac:dyDescent="0.2">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25:61" x14ac:dyDescent="0.2">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25:61" x14ac:dyDescent="0.2">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25:61" x14ac:dyDescent="0.2">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25:61" x14ac:dyDescent="0.2">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25:61" x14ac:dyDescent="0.2">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25:61" x14ac:dyDescent="0.2">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25:61" x14ac:dyDescent="0.2">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25:61" x14ac:dyDescent="0.2">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25:61" x14ac:dyDescent="0.2">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25:61" x14ac:dyDescent="0.2">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25:61" x14ac:dyDescent="0.2">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25:61" x14ac:dyDescent="0.2">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25:61" x14ac:dyDescent="0.2">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25:61" x14ac:dyDescent="0.2">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25:61" x14ac:dyDescent="0.2">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25:61" x14ac:dyDescent="0.2">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25:61" x14ac:dyDescent="0.2">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25:61" x14ac:dyDescent="0.2">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25:61" x14ac:dyDescent="0.2">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25:61" x14ac:dyDescent="0.2">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25:61" x14ac:dyDescent="0.2">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25:61" x14ac:dyDescent="0.2">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25:61" x14ac:dyDescent="0.2">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25:61" x14ac:dyDescent="0.2">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25:61" x14ac:dyDescent="0.2">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25:61" x14ac:dyDescent="0.2">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25:61" x14ac:dyDescent="0.2">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25:61" x14ac:dyDescent="0.2">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25:61" x14ac:dyDescent="0.2">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25:61" x14ac:dyDescent="0.2">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25:61" x14ac:dyDescent="0.2">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25:61" x14ac:dyDescent="0.2">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25:61" x14ac:dyDescent="0.2">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25:61" x14ac:dyDescent="0.2">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25:61" x14ac:dyDescent="0.2">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25:61" x14ac:dyDescent="0.2">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25:61" x14ac:dyDescent="0.2">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25:61" x14ac:dyDescent="0.2">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25:61" x14ac:dyDescent="0.2">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25:61" x14ac:dyDescent="0.2">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25:61" x14ac:dyDescent="0.2">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25:61" x14ac:dyDescent="0.2">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25:61" x14ac:dyDescent="0.2">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25:61" x14ac:dyDescent="0.2">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25:61" x14ac:dyDescent="0.2">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25:61" x14ac:dyDescent="0.2">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25:61" x14ac:dyDescent="0.2">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25:61" x14ac:dyDescent="0.2">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25:61" x14ac:dyDescent="0.2">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25:61" x14ac:dyDescent="0.2">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25:61" x14ac:dyDescent="0.2">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25:61" x14ac:dyDescent="0.2">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25:61" x14ac:dyDescent="0.2">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25:61" x14ac:dyDescent="0.2">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25:61" x14ac:dyDescent="0.2">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25:61" x14ac:dyDescent="0.2">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25:61" x14ac:dyDescent="0.2">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25:61" x14ac:dyDescent="0.2">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25:61" x14ac:dyDescent="0.2">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25:61" x14ac:dyDescent="0.2">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25:61" x14ac:dyDescent="0.2">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25:61" x14ac:dyDescent="0.2">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25:61" x14ac:dyDescent="0.2">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25:61" x14ac:dyDescent="0.2">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25:61" x14ac:dyDescent="0.2">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25:61" x14ac:dyDescent="0.2">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25:61" x14ac:dyDescent="0.2">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25:61" x14ac:dyDescent="0.2">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25:61" x14ac:dyDescent="0.2">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25:61" x14ac:dyDescent="0.2">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25:61" x14ac:dyDescent="0.2">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25:61" x14ac:dyDescent="0.2">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25:61" x14ac:dyDescent="0.2">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25:61" x14ac:dyDescent="0.2">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25:61" x14ac:dyDescent="0.2">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25:61" x14ac:dyDescent="0.2">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25:61" x14ac:dyDescent="0.2">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25:61" x14ac:dyDescent="0.2">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25:61" x14ac:dyDescent="0.2">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25:61" x14ac:dyDescent="0.2">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25:61" x14ac:dyDescent="0.2">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25:61" x14ac:dyDescent="0.2">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25:61" x14ac:dyDescent="0.2">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25:61" x14ac:dyDescent="0.2">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25:61" x14ac:dyDescent="0.2">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25:61" x14ac:dyDescent="0.2">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25:61" x14ac:dyDescent="0.2">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25:61" x14ac:dyDescent="0.2">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25:61" x14ac:dyDescent="0.2">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25:61" x14ac:dyDescent="0.2">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25:61" x14ac:dyDescent="0.2">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25:61" x14ac:dyDescent="0.2">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25:61" x14ac:dyDescent="0.2">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25:61" x14ac:dyDescent="0.2">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25:61" x14ac:dyDescent="0.2">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25:61" x14ac:dyDescent="0.2">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25:61" x14ac:dyDescent="0.2">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25:61" x14ac:dyDescent="0.2">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25:61" x14ac:dyDescent="0.2">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25:61" x14ac:dyDescent="0.2">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25:61" x14ac:dyDescent="0.2">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25:61" x14ac:dyDescent="0.2">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25:61" x14ac:dyDescent="0.2">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25:61" x14ac:dyDescent="0.2">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25:61" x14ac:dyDescent="0.2">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25:61" x14ac:dyDescent="0.2">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25:61" x14ac:dyDescent="0.2">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25:61" x14ac:dyDescent="0.2">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25:61" x14ac:dyDescent="0.2">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25:61" x14ac:dyDescent="0.2">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25:61" x14ac:dyDescent="0.2">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25:61" x14ac:dyDescent="0.2">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25:61" x14ac:dyDescent="0.2">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25:61" x14ac:dyDescent="0.2">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25:61" x14ac:dyDescent="0.2">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25:61" x14ac:dyDescent="0.2">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25:61" x14ac:dyDescent="0.2">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25:61" x14ac:dyDescent="0.2">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25:61" x14ac:dyDescent="0.2">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25:61" x14ac:dyDescent="0.2">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25:61" x14ac:dyDescent="0.2">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25:61" x14ac:dyDescent="0.2">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25:61" x14ac:dyDescent="0.2">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25:61" x14ac:dyDescent="0.2">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25:61" x14ac:dyDescent="0.2">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25:61" x14ac:dyDescent="0.2">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25:61" x14ac:dyDescent="0.2">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25:61" x14ac:dyDescent="0.2">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25:61" x14ac:dyDescent="0.2">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25:61" x14ac:dyDescent="0.2">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25:61" x14ac:dyDescent="0.2">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25:61" x14ac:dyDescent="0.2">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25:61" x14ac:dyDescent="0.2">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25:61" x14ac:dyDescent="0.2">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25:61" x14ac:dyDescent="0.2">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25:61" x14ac:dyDescent="0.2">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25:61" x14ac:dyDescent="0.2">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25:61" x14ac:dyDescent="0.2">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25:61" x14ac:dyDescent="0.2">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25:61" x14ac:dyDescent="0.2">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25:61" x14ac:dyDescent="0.2">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25:61" x14ac:dyDescent="0.2">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25:61" x14ac:dyDescent="0.2">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25:61" x14ac:dyDescent="0.2">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25:61" x14ac:dyDescent="0.2">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25:61" x14ac:dyDescent="0.2">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25:61" x14ac:dyDescent="0.2">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row>
    <row r="657" spans="25:61" x14ac:dyDescent="0.2">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row>
    <row r="658" spans="25:61" x14ac:dyDescent="0.2">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row>
    <row r="659" spans="25:61" x14ac:dyDescent="0.2">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row>
    <row r="660" spans="25:61" x14ac:dyDescent="0.2">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row>
    <row r="661" spans="25:61" x14ac:dyDescent="0.2">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row>
    <row r="662" spans="25:61" x14ac:dyDescent="0.2">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row>
    <row r="663" spans="25:61" x14ac:dyDescent="0.2">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row>
    <row r="664" spans="25:61" x14ac:dyDescent="0.2">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row>
    <row r="665" spans="25:61" x14ac:dyDescent="0.2">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row>
    <row r="666" spans="25:61" x14ac:dyDescent="0.2">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row>
    <row r="667" spans="25:61" x14ac:dyDescent="0.2">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row>
    <row r="668" spans="25:61" x14ac:dyDescent="0.2">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row>
    <row r="669" spans="25:61" x14ac:dyDescent="0.2">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row>
    <row r="670" spans="25:61" x14ac:dyDescent="0.2">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row>
    <row r="671" spans="25:61" x14ac:dyDescent="0.2">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row>
    <row r="672" spans="25:61" x14ac:dyDescent="0.2">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row>
    <row r="673" spans="25:61" x14ac:dyDescent="0.2">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row>
    <row r="674" spans="25:61" x14ac:dyDescent="0.2">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row>
    <row r="675" spans="25:61" x14ac:dyDescent="0.2">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row>
    <row r="676" spans="25:61" x14ac:dyDescent="0.2">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row>
    <row r="677" spans="25:61" x14ac:dyDescent="0.2">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row>
    <row r="678" spans="25:61" x14ac:dyDescent="0.2">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row>
    <row r="679" spans="25:61" x14ac:dyDescent="0.2">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row>
    <row r="680" spans="25:61" x14ac:dyDescent="0.2">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row>
    <row r="681" spans="25:61" x14ac:dyDescent="0.2">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row>
    <row r="682" spans="25:61" x14ac:dyDescent="0.2">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row>
    <row r="683" spans="25:61" x14ac:dyDescent="0.2">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row>
    <row r="684" spans="25:61" x14ac:dyDescent="0.2">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row>
    <row r="685" spans="25:61" x14ac:dyDescent="0.2">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row>
    <row r="686" spans="25:61" x14ac:dyDescent="0.2">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row>
    <row r="687" spans="25:61" x14ac:dyDescent="0.2">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row>
    <row r="688" spans="25:61" x14ac:dyDescent="0.2">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row>
    <row r="689" spans="25:61" x14ac:dyDescent="0.2">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row>
    <row r="690" spans="25:61" x14ac:dyDescent="0.2">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row>
    <row r="691" spans="25:61" x14ac:dyDescent="0.2">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row>
    <row r="692" spans="25:61" x14ac:dyDescent="0.2">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row>
    <row r="693" spans="25:61" x14ac:dyDescent="0.2">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row>
    <row r="694" spans="25:61" x14ac:dyDescent="0.2">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row>
    <row r="695" spans="25:61" x14ac:dyDescent="0.2">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row>
    <row r="696" spans="25:61" x14ac:dyDescent="0.2">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row>
    <row r="697" spans="25:61" x14ac:dyDescent="0.2">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row>
    <row r="698" spans="25:61" x14ac:dyDescent="0.2">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row>
    <row r="699" spans="25:61" x14ac:dyDescent="0.2">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row>
    <row r="700" spans="25:61" x14ac:dyDescent="0.2">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row>
    <row r="701" spans="25:61" x14ac:dyDescent="0.2">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row>
    <row r="702" spans="25:61" x14ac:dyDescent="0.2">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row>
    <row r="703" spans="25:61" x14ac:dyDescent="0.2">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row>
    <row r="704" spans="25:61" x14ac:dyDescent="0.2">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row>
    <row r="705" spans="25:61" x14ac:dyDescent="0.2">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row>
    <row r="706" spans="25:61" x14ac:dyDescent="0.2">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row>
    <row r="707" spans="25:61" x14ac:dyDescent="0.2">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row>
    <row r="708" spans="25:61" x14ac:dyDescent="0.2">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row>
    <row r="709" spans="25:61" x14ac:dyDescent="0.2">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row>
    <row r="710" spans="25:61" x14ac:dyDescent="0.2">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row>
    <row r="711" spans="25:61" x14ac:dyDescent="0.2">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row>
    <row r="712" spans="25:61" x14ac:dyDescent="0.2">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row>
    <row r="713" spans="25:61" x14ac:dyDescent="0.2">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row>
    <row r="714" spans="25:61" x14ac:dyDescent="0.2">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row>
    <row r="715" spans="25:61" x14ac:dyDescent="0.2">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row>
    <row r="716" spans="25:61" x14ac:dyDescent="0.2">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row>
    <row r="717" spans="25:61" x14ac:dyDescent="0.2">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row>
    <row r="718" spans="25:61" x14ac:dyDescent="0.2">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row>
    <row r="719" spans="25:61" x14ac:dyDescent="0.2">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row>
    <row r="720" spans="25:61" x14ac:dyDescent="0.2">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row>
    <row r="721" spans="25:61" x14ac:dyDescent="0.2">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row>
    <row r="722" spans="25:61" x14ac:dyDescent="0.2">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row>
    <row r="723" spans="25:61" x14ac:dyDescent="0.2">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row>
    <row r="724" spans="25:61" x14ac:dyDescent="0.2">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row>
    <row r="725" spans="25:61" x14ac:dyDescent="0.2">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row>
    <row r="726" spans="25:61" x14ac:dyDescent="0.2">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row>
    <row r="727" spans="25:61" x14ac:dyDescent="0.2">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row>
    <row r="728" spans="25:61" x14ac:dyDescent="0.2">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row>
    <row r="729" spans="25:61" x14ac:dyDescent="0.2">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row>
    <row r="730" spans="25:61" x14ac:dyDescent="0.2">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row>
    <row r="731" spans="25:61" x14ac:dyDescent="0.2">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row>
    <row r="732" spans="25:61" x14ac:dyDescent="0.2">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row>
    <row r="733" spans="25:61" x14ac:dyDescent="0.2">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row>
    <row r="734" spans="25:61" x14ac:dyDescent="0.2">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row>
    <row r="735" spans="25:61" x14ac:dyDescent="0.2">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row>
    <row r="736" spans="25:61" x14ac:dyDescent="0.2">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row>
    <row r="737" spans="25:61" x14ac:dyDescent="0.2">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row>
    <row r="738" spans="25:61" x14ac:dyDescent="0.2">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row>
    <row r="739" spans="25:61" x14ac:dyDescent="0.2">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row>
    <row r="740" spans="25:61" x14ac:dyDescent="0.2">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row>
    <row r="741" spans="25:61" x14ac:dyDescent="0.2">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row>
    <row r="742" spans="25:61" x14ac:dyDescent="0.2">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row>
    <row r="743" spans="25:61" x14ac:dyDescent="0.2">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row>
    <row r="744" spans="25:61" x14ac:dyDescent="0.2">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row>
    <row r="745" spans="25:61" x14ac:dyDescent="0.2">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row>
    <row r="746" spans="25:61" x14ac:dyDescent="0.2">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row>
    <row r="747" spans="25:61" x14ac:dyDescent="0.2">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row>
    <row r="748" spans="25:61" x14ac:dyDescent="0.2">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row>
    <row r="749" spans="25:61" x14ac:dyDescent="0.2">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row>
    <row r="750" spans="25:61" x14ac:dyDescent="0.2">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row>
    <row r="751" spans="25:61" x14ac:dyDescent="0.2">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row>
    <row r="752" spans="25:61" x14ac:dyDescent="0.2">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row>
    <row r="753" spans="25:61" x14ac:dyDescent="0.2">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row>
    <row r="754" spans="25:61" x14ac:dyDescent="0.2">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row>
    <row r="755" spans="25:61" x14ac:dyDescent="0.2">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row>
    <row r="756" spans="25:61" x14ac:dyDescent="0.2">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row>
    <row r="757" spans="25:61" x14ac:dyDescent="0.2">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row>
    <row r="758" spans="25:61" x14ac:dyDescent="0.2">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row>
    <row r="759" spans="25:61" x14ac:dyDescent="0.2">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row>
    <row r="760" spans="25:61" x14ac:dyDescent="0.2">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row>
    <row r="761" spans="25:61" x14ac:dyDescent="0.2">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row>
    <row r="762" spans="25:61" x14ac:dyDescent="0.2">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row>
    <row r="763" spans="25:61" x14ac:dyDescent="0.2">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row>
    <row r="764" spans="25:61" x14ac:dyDescent="0.2">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row>
    <row r="765" spans="25:61" x14ac:dyDescent="0.2">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row>
    <row r="766" spans="25:61" x14ac:dyDescent="0.2">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row>
    <row r="767" spans="25:61" x14ac:dyDescent="0.2">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row>
    <row r="768" spans="25:61" x14ac:dyDescent="0.2">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row>
    <row r="769" spans="25:61" x14ac:dyDescent="0.2">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row>
    <row r="770" spans="25:61" x14ac:dyDescent="0.2">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row>
    <row r="771" spans="25:61" x14ac:dyDescent="0.2">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row>
    <row r="772" spans="25:61" x14ac:dyDescent="0.2">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row>
    <row r="773" spans="25:61" x14ac:dyDescent="0.2">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row>
    <row r="774" spans="25:61" x14ac:dyDescent="0.2">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row>
    <row r="775" spans="25:61" x14ac:dyDescent="0.2">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row>
    <row r="776" spans="25:61" x14ac:dyDescent="0.2">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row>
    <row r="777" spans="25:61" x14ac:dyDescent="0.2">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row>
    <row r="778" spans="25:61" x14ac:dyDescent="0.2">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row>
    <row r="779" spans="25:61" x14ac:dyDescent="0.2">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row>
    <row r="780" spans="25:61" x14ac:dyDescent="0.2">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row>
    <row r="781" spans="25:61" x14ac:dyDescent="0.2">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row>
    <row r="782" spans="25:61" x14ac:dyDescent="0.2">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row>
    <row r="783" spans="25:61" x14ac:dyDescent="0.2">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row>
    <row r="784" spans="25:61" x14ac:dyDescent="0.2">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row>
    <row r="785" spans="25:61" x14ac:dyDescent="0.2">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row>
    <row r="786" spans="25:61" x14ac:dyDescent="0.2">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row>
    <row r="787" spans="25:61" x14ac:dyDescent="0.2">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row>
    <row r="788" spans="25:61" x14ac:dyDescent="0.2">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row>
    <row r="789" spans="25:61" x14ac:dyDescent="0.2">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row>
    <row r="790" spans="25:61" x14ac:dyDescent="0.2">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row>
    <row r="791" spans="25:61" x14ac:dyDescent="0.2">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row>
    <row r="792" spans="25:61" x14ac:dyDescent="0.2">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row>
    <row r="793" spans="25:61" x14ac:dyDescent="0.2">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row>
    <row r="794" spans="25:61" x14ac:dyDescent="0.2">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row>
    <row r="795" spans="25:61" x14ac:dyDescent="0.2">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row>
    <row r="796" spans="25:61" x14ac:dyDescent="0.2">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row>
    <row r="797" spans="25:61" x14ac:dyDescent="0.2">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row>
    <row r="798" spans="25:61" x14ac:dyDescent="0.2">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row>
    <row r="799" spans="25:61" x14ac:dyDescent="0.2">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row>
    <row r="800" spans="25:61" x14ac:dyDescent="0.2">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row>
    <row r="801" spans="25:61" x14ac:dyDescent="0.2">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row>
    <row r="802" spans="25:61" x14ac:dyDescent="0.2">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row>
    <row r="803" spans="25:61" x14ac:dyDescent="0.2">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row>
    <row r="804" spans="25:61" x14ac:dyDescent="0.2">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row>
    <row r="805" spans="25:61" x14ac:dyDescent="0.2">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row>
    <row r="806" spans="25:61" x14ac:dyDescent="0.2">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row>
    <row r="807" spans="25:61" x14ac:dyDescent="0.2">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row>
    <row r="808" spans="25:61" x14ac:dyDescent="0.2">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row>
    <row r="809" spans="25:61" x14ac:dyDescent="0.2">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row>
    <row r="810" spans="25:61" x14ac:dyDescent="0.2">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row>
    <row r="811" spans="25:61" x14ac:dyDescent="0.2">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row>
    <row r="812" spans="25:61" x14ac:dyDescent="0.2">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row>
    <row r="813" spans="25:61" x14ac:dyDescent="0.2">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row>
    <row r="814" spans="25:61" x14ac:dyDescent="0.2">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row>
    <row r="815" spans="25:61" x14ac:dyDescent="0.2">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row>
    <row r="816" spans="25:61" x14ac:dyDescent="0.2">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row>
    <row r="817" spans="25:61" x14ac:dyDescent="0.2">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row>
    <row r="818" spans="25:61" x14ac:dyDescent="0.2">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row>
    <row r="819" spans="25:61" x14ac:dyDescent="0.2">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row>
    <row r="820" spans="25:61" x14ac:dyDescent="0.2">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row>
    <row r="821" spans="25:61" x14ac:dyDescent="0.2">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row>
    <row r="822" spans="25:61" x14ac:dyDescent="0.2">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row>
    <row r="823" spans="25:61" x14ac:dyDescent="0.2">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row>
    <row r="824" spans="25:61" x14ac:dyDescent="0.2">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row>
    <row r="825" spans="25:61" x14ac:dyDescent="0.2">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row>
    <row r="826" spans="25:61" x14ac:dyDescent="0.2">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row>
    <row r="827" spans="25:61" x14ac:dyDescent="0.2">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row>
    <row r="828" spans="25:61" x14ac:dyDescent="0.2">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row>
    <row r="829" spans="25:61" x14ac:dyDescent="0.2">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row>
    <row r="830" spans="25:61" x14ac:dyDescent="0.2">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row>
    <row r="831" spans="25:61" x14ac:dyDescent="0.2">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row>
    <row r="832" spans="25:61" x14ac:dyDescent="0.2">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row>
    <row r="833" spans="25:61" x14ac:dyDescent="0.2">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row>
    <row r="834" spans="25:61" x14ac:dyDescent="0.2">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row>
    <row r="835" spans="25:61" x14ac:dyDescent="0.2">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row>
    <row r="836" spans="25:61" x14ac:dyDescent="0.2">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row>
    <row r="837" spans="25:61" x14ac:dyDescent="0.2">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row>
    <row r="838" spans="25:61" x14ac:dyDescent="0.2">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row>
    <row r="839" spans="25:61" x14ac:dyDescent="0.2">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row>
    <row r="840" spans="25:61" x14ac:dyDescent="0.2">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row>
    <row r="841" spans="25:61" x14ac:dyDescent="0.2">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row>
    <row r="842" spans="25:61" x14ac:dyDescent="0.2">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row>
    <row r="843" spans="25:61" x14ac:dyDescent="0.2">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row>
    <row r="844" spans="25:61" x14ac:dyDescent="0.2">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row>
    <row r="845" spans="25:61" x14ac:dyDescent="0.2">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row>
    <row r="846" spans="25:61" x14ac:dyDescent="0.2">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row>
    <row r="847" spans="25:61" x14ac:dyDescent="0.2">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row>
    <row r="848" spans="25:61" x14ac:dyDescent="0.2">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row>
    <row r="849" spans="25:61" x14ac:dyDescent="0.2">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row>
    <row r="850" spans="25:61" x14ac:dyDescent="0.2">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row>
    <row r="851" spans="25:61" x14ac:dyDescent="0.2">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row>
    <row r="852" spans="25:61" x14ac:dyDescent="0.2">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row>
    <row r="853" spans="25:61" x14ac:dyDescent="0.2">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row>
    <row r="854" spans="25:61" x14ac:dyDescent="0.2">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row>
    <row r="855" spans="25:61" x14ac:dyDescent="0.2">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row>
    <row r="856" spans="25:61" x14ac:dyDescent="0.2">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row>
    <row r="857" spans="25:61" x14ac:dyDescent="0.2">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row>
    <row r="858" spans="25:61" x14ac:dyDescent="0.2">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row>
    <row r="859" spans="25:61" x14ac:dyDescent="0.2">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row>
    <row r="860" spans="25:61" x14ac:dyDescent="0.2">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row>
    <row r="861" spans="25:61" x14ac:dyDescent="0.2">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row>
    <row r="862" spans="25:61" x14ac:dyDescent="0.2">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row>
    <row r="863" spans="25:61" x14ac:dyDescent="0.2">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row>
    <row r="864" spans="25:61" x14ac:dyDescent="0.2">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row>
    <row r="865" spans="25:61" x14ac:dyDescent="0.2">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row>
    <row r="866" spans="25:61" x14ac:dyDescent="0.2">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row>
    <row r="867" spans="25:61" x14ac:dyDescent="0.2">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row>
    <row r="868" spans="25:61" x14ac:dyDescent="0.2">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row>
    <row r="869" spans="25:61" x14ac:dyDescent="0.2">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row>
    <row r="870" spans="25:61" x14ac:dyDescent="0.2">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row>
    <row r="871" spans="25:61" x14ac:dyDescent="0.2">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row>
    <row r="872" spans="25:61" x14ac:dyDescent="0.2">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row>
    <row r="873" spans="25:61" x14ac:dyDescent="0.2">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row>
    <row r="874" spans="25:61" x14ac:dyDescent="0.2">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row>
    <row r="875" spans="25:61" x14ac:dyDescent="0.2">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row>
    <row r="876" spans="25:61" x14ac:dyDescent="0.2">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row>
    <row r="877" spans="25:61" x14ac:dyDescent="0.2">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row>
    <row r="878" spans="25:61" x14ac:dyDescent="0.2">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row>
    <row r="879" spans="25:61" x14ac:dyDescent="0.2">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row>
    <row r="880" spans="25:61" x14ac:dyDescent="0.2">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row>
    <row r="881" spans="25:61" x14ac:dyDescent="0.2">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row>
    <row r="882" spans="25:61" x14ac:dyDescent="0.2">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row>
    <row r="883" spans="25:61" x14ac:dyDescent="0.2">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row>
    <row r="884" spans="25:61" x14ac:dyDescent="0.2">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row>
    <row r="885" spans="25:61" x14ac:dyDescent="0.2">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row>
    <row r="886" spans="25:61" x14ac:dyDescent="0.2">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row>
    <row r="887" spans="25:61" x14ac:dyDescent="0.2">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row>
    <row r="888" spans="25:61" x14ac:dyDescent="0.2">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row>
    <row r="889" spans="25:61" x14ac:dyDescent="0.2">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row>
    <row r="890" spans="25:61" x14ac:dyDescent="0.2">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row>
    <row r="891" spans="25:61" x14ac:dyDescent="0.2">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row>
    <row r="892" spans="25:61" x14ac:dyDescent="0.2">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row>
    <row r="893" spans="25:61" x14ac:dyDescent="0.2">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row>
    <row r="894" spans="25:61" x14ac:dyDescent="0.2">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row>
    <row r="895" spans="25:61" x14ac:dyDescent="0.2">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row>
    <row r="896" spans="25:61" x14ac:dyDescent="0.2">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row>
    <row r="897" spans="25:61" x14ac:dyDescent="0.2">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row>
    <row r="898" spans="25:61" x14ac:dyDescent="0.2">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row>
    <row r="899" spans="25:61" x14ac:dyDescent="0.2">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row>
    <row r="900" spans="25:61" x14ac:dyDescent="0.2">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row>
    <row r="901" spans="25:61" x14ac:dyDescent="0.2">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row>
    <row r="902" spans="25:61" x14ac:dyDescent="0.2">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row>
    <row r="903" spans="25:61" x14ac:dyDescent="0.2">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row>
    <row r="904" spans="25:61" x14ac:dyDescent="0.2">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row>
    <row r="905" spans="25:61" x14ac:dyDescent="0.2">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row>
    <row r="906" spans="25:61" x14ac:dyDescent="0.2">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row>
    <row r="907" spans="25:61" x14ac:dyDescent="0.2">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row>
    <row r="908" spans="25:61" x14ac:dyDescent="0.2">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row>
    <row r="909" spans="25:61" x14ac:dyDescent="0.2">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row>
    <row r="910" spans="25:61" x14ac:dyDescent="0.2">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row>
    <row r="911" spans="25:61" x14ac:dyDescent="0.2">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row>
    <row r="912" spans="25:61" x14ac:dyDescent="0.2">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row>
    <row r="913" spans="25:61" x14ac:dyDescent="0.2">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row>
    <row r="914" spans="25:61" x14ac:dyDescent="0.2">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row>
    <row r="915" spans="25:61" x14ac:dyDescent="0.2">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row>
    <row r="916" spans="25:61" x14ac:dyDescent="0.2">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row>
    <row r="917" spans="25:61" x14ac:dyDescent="0.2">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row>
    <row r="918" spans="25:61" x14ac:dyDescent="0.2">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row>
    <row r="919" spans="25:61" x14ac:dyDescent="0.2">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row>
    <row r="920" spans="25:61" x14ac:dyDescent="0.2">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row>
    <row r="921" spans="25:61" x14ac:dyDescent="0.2">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row>
    <row r="922" spans="25:61" x14ac:dyDescent="0.2">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row>
    <row r="923" spans="25:61" x14ac:dyDescent="0.2">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row>
    <row r="924" spans="25:61" x14ac:dyDescent="0.2">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row>
    <row r="925" spans="25:61" x14ac:dyDescent="0.2">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row>
    <row r="926" spans="25:61" x14ac:dyDescent="0.2">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row>
    <row r="927" spans="25:61" x14ac:dyDescent="0.2">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row>
    <row r="928" spans="25:61" x14ac:dyDescent="0.2">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row>
    <row r="929" spans="25:61" x14ac:dyDescent="0.2">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row>
    <row r="930" spans="25:61" x14ac:dyDescent="0.2">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row>
    <row r="931" spans="25:61" x14ac:dyDescent="0.2">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row>
    <row r="932" spans="25:61" x14ac:dyDescent="0.2">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row>
    <row r="933" spans="25:61" x14ac:dyDescent="0.2">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row>
    <row r="934" spans="25:61" x14ac:dyDescent="0.2">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row>
    <row r="935" spans="25:61" x14ac:dyDescent="0.2">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row>
    <row r="936" spans="25:61" x14ac:dyDescent="0.2">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row>
    <row r="937" spans="25:61" x14ac:dyDescent="0.2">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row>
    <row r="938" spans="25:61" x14ac:dyDescent="0.2">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row>
    <row r="939" spans="25:61" x14ac:dyDescent="0.2">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row>
    <row r="940" spans="25:61" x14ac:dyDescent="0.2">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row>
    <row r="941" spans="25:61" x14ac:dyDescent="0.2">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row>
    <row r="942" spans="25:61" x14ac:dyDescent="0.2">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row>
    <row r="943" spans="25:61" x14ac:dyDescent="0.2">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row>
    <row r="944" spans="25:61" x14ac:dyDescent="0.2">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row>
    <row r="945" spans="25:61" x14ac:dyDescent="0.2">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row>
    <row r="946" spans="25:61" x14ac:dyDescent="0.2">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2017-12-08T17:21:04Z</dcterms:created>
  <dcterms:modified xsi:type="dcterms:W3CDTF">2022-03-17T19:24:22Z</dcterms:modified>
</cp:coreProperties>
</file>