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12D52644-582E-4FE7-8E70-2EC1DAC8503A}" xr6:coauthVersionLast="45" xr6:coauthVersionMax="47" xr10:uidLastSave="{00000000-0000-0000-0000-000000000000}"/>
  <bookViews>
    <workbookView xWindow="45" yWindow="4335" windowWidth="28725" windowHeight="11265"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B4" i="1" l="1"/>
  <c r="BA4" i="1"/>
  <c r="AX4" i="1"/>
  <c r="AW4" i="1"/>
  <c r="L4" i="1" l="1"/>
  <c r="K4" i="1"/>
  <c r="J4" i="1"/>
  <c r="F4" i="1"/>
  <c r="AH4" i="1" l="1"/>
  <c r="H4" i="1" l="1"/>
  <c r="G4" i="1"/>
  <c r="I4" i="1"/>
</calcChain>
</file>

<file path=xl/sharedStrings.xml><?xml version="1.0" encoding="utf-8"?>
<sst xmlns="http://schemas.openxmlformats.org/spreadsheetml/2006/main" count="121" uniqueCount="103">
  <si>
    <t>NHM London</t>
    <phoneticPr fontId="3" type="noConversion"/>
  </si>
  <si>
    <t>various sp.</t>
    <phoneticPr fontId="3" type="noConversion"/>
  </si>
  <si>
    <t>Litsea, Lindera various sp.</t>
    <phoneticPr fontId="3" type="noConversion"/>
  </si>
  <si>
    <t>3--16</t>
    <phoneticPr fontId="3" type="noConversion"/>
  </si>
  <si>
    <t>10.1098/rstb.1998.0193</t>
  </si>
  <si>
    <t>Lutetian</t>
    <phoneticPr fontId="3" type="noConversion"/>
  </si>
  <si>
    <t>Bournemouth</t>
    <phoneticPr fontId="3" type="noConversion"/>
  </si>
  <si>
    <t>Litsea, Lindera</t>
    <phoneticPr fontId="3" type="noConversion"/>
  </si>
  <si>
    <t>Branksome Sand Formation</t>
    <phoneticPr fontId="3" type="noConversion"/>
  </si>
  <si>
    <t>Modern</t>
    <phoneticPr fontId="3" type="noConversion"/>
  </si>
  <si>
    <t>Number of leaves/leaf fragments</t>
    <phoneticPr fontId="3" type="noConversion"/>
  </si>
  <si>
    <t>NLE 
SD/SI 
value</t>
    <phoneticPr fontId="3" type="noConversion"/>
  </si>
  <si>
    <t>Standardization (Modern or Carboniferous)</t>
    <phoneticPr fontId="3" type="noConversion"/>
  </si>
  <si>
    <t>Remarks</t>
    <phoneticPr fontId="3" type="noConversion"/>
  </si>
  <si>
    <t>Lauraceae</t>
    <phoneticPr fontId="3" type="noConversion"/>
  </si>
  <si>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</si>
  <si>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</si>
  <si>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</si>
  <si>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</si>
  <si>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</si>
  <si>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</si>
  <si>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</si>
  <si>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</si>
  <si>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</si>
  <si>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</si>
  <si>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</si>
  <si>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</si>
  <si>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</si>
  <si>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</si>
  <si>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</si>
  <si>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</si>
  <si>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</si>
  <si>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</si>
  <si>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What is the uncertainty range?</t>
  </si>
  <si>
    <t>Microscope</t>
    <phoneticPr fontId="3" type="noConversion"/>
  </si>
  <si>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</si>
  <si>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</si>
  <si>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</si>
  <si>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</si>
  <si>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</si>
  <si>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</si>
  <si>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</si>
  <si>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</si>
  <si>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</si>
  <si>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</si>
  <si>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droyer@wesleyan.edu</t>
  </si>
  <si>
    <t>Age described in "How was age determined?" column updated to GTS 2012</t>
  </si>
  <si>
    <t>stomata-SR</t>
  </si>
  <si>
    <t>Dana L. Royer</t>
  </si>
  <si>
    <t>McElwain</t>
  </si>
  <si>
    <t>multiple</t>
  </si>
  <si>
    <t>range of stomatal ratios across the measured species (1.61 to 2.54, multiplied by 1.2x300 to estimate CO2)</t>
  </si>
  <si>
    <t>McElwain, J. C., 1998, Do fossil plants signal palaeoatmospheric CO2 concentration in the geological past?: Philosophical Transactions of the Royal Society London B, v. 353, p. 83-96.</t>
  </si>
  <si>
    <t>Estimates of CO2 (and their associated uncertainties) are "semi-quantitative" (see original papers by McElwain and Chaloner) and thus shouldn't be included in a fully quantitative, cross-species CO2 compilation with shared error analysis.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</si>
  <si>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</si>
  <si>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</si>
  <si>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</si>
  <si>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</si>
  <si>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</si>
  <si>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</si>
  <si>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</si>
  <si>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</si>
  <si>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</si>
  <si>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</si>
  <si>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</si>
  <si>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</si>
  <si>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CO2_uncertainty_neg_ppm</t>
  </si>
  <si>
    <t>Modern Longitude (decimal degree, west negative)</t>
  </si>
  <si>
    <t>Paleo Latitude (decimal degree, south negative)</t>
  </si>
  <si>
    <t>Paleo Longitude (decimal degree, west negative)</t>
  </si>
  <si>
    <t>Biostratigraphy (Lutetian)</t>
  </si>
  <si>
    <t>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</si>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</sst>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u/>
      <sz val="12"/>
      <color indexed="12"/>
      <name val="Calibri"/>
      <family val="2"/>
    </font>
    <font>
      <i/>
      <sz val="12"/>
      <color indexed="8"/>
      <name val="Calibri"/>
      <family val="2"/>
    </font>
    <font>
      <sz val="12"/>
      <color rgb="FF000000"/>
      <name val="Calibri"/>
      <family val="2"/>
      <scheme val="minor"/>
    </font>
    <font>
      <b/>
      <sz val="12"/>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7" fillId="0" borderId="0" applyNumberFormat="0" applyFill="0" applyBorder="0" applyAlignment="0" applyProtection="0">
      <alignment vertical="top"/>
      <protection locked="0"/>
    </xf>
  </cellStyleXfs>
  <cellXfs count="32">
    <xf numFmtId="0" fontId="0" fillId="0" borderId="0" xfId="0"/>
    <xf numFmtId="0" fontId="5" fillId="0" borderId="0" xfId="3" applyFont="1" applyAlignment="1" applyProtection="1"/>
    <xf numFmtId="0" fontId="4" fillId="0" borderId="0" xfId="0" applyFont="1"/>
    <xf numFmtId="17" fontId="4" fillId="0" borderId="0" xfId="0" applyNumberFormat="1" applyFont="1"/>
    <xf numFmtId="0" fontId="8" fillId="0" borderId="0" xfId="0" applyFont="1"/>
    <xf numFmtId="0" fontId="0" fillId="0" borderId="0" xfId="0" applyFill="1"/>
    <xf numFmtId="1" fontId="0" fillId="0" borderId="0" xfId="0" applyNumberFormat="1"/>
    <xf numFmtId="0" fontId="4" fillId="0" borderId="0" xfId="0" applyFont="1" applyFill="1"/>
    <xf numFmtId="0" fontId="0" fillId="0" borderId="0" xfId="0" applyFill="1" applyBorder="1" applyAlignment="1">
      <alignment horizontal="right"/>
    </xf>
    <xf numFmtId="0" fontId="6" fillId="2" borderId="0" xfId="0" applyFont="1" applyFill="1" applyAlignment="1">
      <alignment vertical="top" wrapText="1"/>
    </xf>
    <xf numFmtId="0" fontId="10" fillId="3" borderId="5" xfId="0" applyFont="1" applyFill="1" applyBorder="1" applyAlignment="1">
      <alignment horizontal="center" vertical="top" wrapText="1"/>
    </xf>
    <xf numFmtId="0" fontId="6" fillId="2" borderId="0" xfId="0" applyFont="1" applyFill="1" applyAlignment="1">
      <alignment horizontal="center" vertical="top" wrapText="1"/>
    </xf>
    <xf numFmtId="0" fontId="11" fillId="2" borderId="0" xfId="0" applyFont="1" applyFill="1" applyAlignment="1">
      <alignment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9" fillId="0" borderId="1" xfId="0" applyFont="1" applyBorder="1" applyAlignment="1">
      <alignment vertical="top" wrapText="1"/>
    </xf>
    <xf numFmtId="0" fontId="9" fillId="0" borderId="2" xfId="0" applyFont="1" applyBorder="1" applyAlignment="1">
      <alignment vertical="top" wrapText="1"/>
    </xf>
    <xf numFmtId="0" fontId="9" fillId="0" borderId="2" xfId="0" applyFont="1" applyBorder="1" applyAlignment="1">
      <alignment vertical="top"/>
    </xf>
    <xf numFmtId="0" fontId="0" fillId="0" borderId="2" xfId="0" applyFont="1" applyBorder="1" applyAlignment="1">
      <alignment vertical="top" wrapText="1"/>
    </xf>
    <xf numFmtId="0" fontId="0" fillId="0" borderId="2" xfId="0" applyFont="1" applyBorder="1" applyAlignment="1">
      <alignment vertical="top"/>
    </xf>
    <xf numFmtId="0" fontId="0" fillId="0" borderId="2" xfId="0" quotePrefix="1" applyFont="1" applyBorder="1" applyAlignment="1">
      <alignment vertical="top" wrapText="1"/>
    </xf>
    <xf numFmtId="0" fontId="0" fillId="0" borderId="3" xfId="0" quotePrefix="1" applyFont="1" applyBorder="1" applyAlignment="1">
      <alignment vertical="top" wrapText="1"/>
    </xf>
    <xf numFmtId="0" fontId="0" fillId="0" borderId="2" xfId="0" applyFont="1" applyFill="1" applyBorder="1" applyAlignment="1">
      <alignment vertical="top" wrapText="1"/>
    </xf>
    <xf numFmtId="0" fontId="0" fillId="0" borderId="2" xfId="0"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6" fillId="0" borderId="0" xfId="0" applyFont="1" applyBorder="1" applyAlignment="1">
      <alignment vertical="top"/>
    </xf>
    <xf numFmtId="164" fontId="4" fillId="0" borderId="0" xfId="0" applyNumberFormat="1" applyFont="1"/>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98/rstb.1998.01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5"/>
  <sheetViews>
    <sheetView tabSelected="1" topLeftCell="M1" workbookViewId="0">
      <pane ySplit="3" topLeftCell="A4" activePane="bottomLeft" state="frozen"/>
      <selection pane="bottomLeft" activeCell="M2" sqref="M2"/>
    </sheetView>
  </sheetViews>
  <sheetFormatPr defaultColWidth="8.875" defaultRowHeight="15.75" x14ac:dyDescent="0.25"/>
  <cols>
    <col min="1" max="2" width="8.875" style="2"/>
    <col min="3" max="3" width="10.375" style="2" customWidth="1"/>
    <col min="4" max="11" width="8.875" style="2"/>
    <col min="12" max="12" width="10.125" style="2" customWidth="1"/>
    <col min="13" max="13" width="8.875" style="2"/>
    <col min="14" max="14" width="11" style="2" customWidth="1"/>
    <col min="15" max="15" width="10.125" style="2" customWidth="1"/>
    <col min="16" max="16" width="11.625" style="2" customWidth="1"/>
    <col min="17" max="17" width="14.625" style="2" customWidth="1"/>
    <col min="18" max="18" width="11.375" style="2" customWidth="1"/>
    <col min="19" max="19" width="10.625" style="2" customWidth="1"/>
    <col min="20" max="20" width="8.875" style="2"/>
    <col min="21" max="21" width="11" style="2" customWidth="1"/>
    <col min="22" max="22" width="12.875" style="2" customWidth="1"/>
    <col min="23" max="23" width="14.5" style="2" customWidth="1"/>
    <col min="24" max="24" width="8.875" style="2"/>
    <col min="25" max="25" width="25.125" style="2" customWidth="1"/>
    <col min="26" max="26" width="8.875" style="2"/>
    <col min="27" max="27" width="11.625" style="2" customWidth="1"/>
    <col min="28" max="28" width="12.5" style="2" customWidth="1"/>
    <col min="29" max="29" width="15.125" style="2" customWidth="1"/>
    <col min="30" max="30" width="13" style="2" customWidth="1"/>
    <col min="31" max="31" width="13.5" style="2" customWidth="1"/>
    <col min="32" max="32" width="10.5" style="2" customWidth="1"/>
    <col min="33" max="33" width="12" style="2" customWidth="1"/>
    <col min="34" max="34" width="8.875" style="2"/>
    <col min="35" max="35" width="10.875" style="2" customWidth="1"/>
    <col min="36" max="36" width="12.25" style="2" customWidth="1"/>
    <col min="37" max="37" width="10.125" style="2" customWidth="1"/>
    <col min="38" max="38" width="11.5" style="2" customWidth="1"/>
    <col min="39" max="39" width="10.625" style="2" customWidth="1"/>
    <col min="40" max="40" width="11.625" style="2" customWidth="1"/>
    <col min="41" max="43" width="11.125" style="2" customWidth="1"/>
    <col min="44" max="44" width="10.375" style="2" customWidth="1"/>
    <col min="45" max="45" width="12.25" style="2" customWidth="1"/>
    <col min="46" max="46" width="12.125" style="2" customWidth="1"/>
    <col min="47" max="47" width="8.875" style="2"/>
    <col min="48" max="48" width="10.375" style="2" customWidth="1"/>
    <col min="49" max="50" width="8.875" style="2"/>
    <col min="51" max="51" width="9.875" style="2" customWidth="1"/>
    <col min="52" max="54" width="8.875" style="2"/>
    <col min="55" max="55" width="16" style="2" customWidth="1"/>
    <col min="56" max="56" width="13" style="2" customWidth="1"/>
    <col min="57" max="57" width="16" style="2" customWidth="1"/>
    <col min="58" max="58" width="10" style="2" customWidth="1"/>
    <col min="59" max="60" width="13" style="2" customWidth="1"/>
    <col min="61" max="61" width="12.375" style="2" customWidth="1"/>
    <col min="62" max="62" width="15.5" style="2" customWidth="1"/>
    <col min="63" max="16384" width="8.875" style="2"/>
  </cols>
  <sheetData>
    <row r="2" spans="1:62" s="13" customFormat="1" ht="63.75" customHeight="1" x14ac:dyDescent="0.25">
      <c r="Y2" s="14" t="s">
        <v>74</v>
      </c>
      <c r="Z2" s="14"/>
      <c r="AA2" s="14" t="s">
        <v>75</v>
      </c>
      <c r="AB2" s="14"/>
      <c r="AC2" s="14"/>
      <c r="AD2" s="14"/>
      <c r="AE2" s="14" t="s">
        <v>76</v>
      </c>
      <c r="AF2" s="14"/>
      <c r="AG2" s="14" t="s">
        <v>77</v>
      </c>
      <c r="AH2" s="14"/>
      <c r="AI2" s="14" t="s">
        <v>78</v>
      </c>
      <c r="AJ2" s="14" t="s">
        <v>78</v>
      </c>
      <c r="AK2" s="14" t="s">
        <v>79</v>
      </c>
      <c r="AL2" s="14" t="s">
        <v>80</v>
      </c>
      <c r="AM2" s="14"/>
      <c r="AN2" s="14"/>
      <c r="AO2" s="15"/>
      <c r="AP2" s="14" t="s">
        <v>81</v>
      </c>
      <c r="AQ2" s="14" t="s">
        <v>81</v>
      </c>
      <c r="AR2" s="14" t="s">
        <v>82</v>
      </c>
      <c r="AS2" s="14" t="s">
        <v>83</v>
      </c>
      <c r="AT2" s="14" t="s">
        <v>84</v>
      </c>
      <c r="AU2" s="15"/>
      <c r="AV2" s="15"/>
      <c r="AW2" s="15"/>
      <c r="AX2" s="15" t="s">
        <v>85</v>
      </c>
      <c r="AY2" s="15"/>
      <c r="AZ2" s="15" t="s">
        <v>85</v>
      </c>
      <c r="BA2" s="15"/>
      <c r="BB2" s="15" t="s">
        <v>85</v>
      </c>
      <c r="BC2" s="15" t="s">
        <v>86</v>
      </c>
      <c r="BD2" s="15" t="s">
        <v>87</v>
      </c>
      <c r="BE2" s="15" t="s">
        <v>88</v>
      </c>
      <c r="BF2" s="15"/>
      <c r="BG2" s="14" t="s">
        <v>89</v>
      </c>
      <c r="BH2" s="14" t="s">
        <v>89</v>
      </c>
      <c r="BI2" s="14" t="s">
        <v>90</v>
      </c>
      <c r="BJ2" s="14" t="s">
        <v>91</v>
      </c>
    </row>
    <row r="3" spans="1:62" s="30" customFormat="1" ht="66.75" customHeight="1" x14ac:dyDescent="0.25">
      <c r="A3" s="16" t="s">
        <v>35</v>
      </c>
      <c r="B3" s="17" t="s">
        <v>36</v>
      </c>
      <c r="C3" s="18" t="s">
        <v>37</v>
      </c>
      <c r="D3" s="19" t="s">
        <v>38</v>
      </c>
      <c r="E3" s="19" t="s">
        <v>39</v>
      </c>
      <c r="F3" s="20" t="s">
        <v>15</v>
      </c>
      <c r="G3" s="20" t="s">
        <v>40</v>
      </c>
      <c r="H3" s="21" t="s">
        <v>41</v>
      </c>
      <c r="I3" s="21" t="s">
        <v>42</v>
      </c>
      <c r="J3" s="19" t="s">
        <v>54</v>
      </c>
      <c r="K3" s="21" t="s">
        <v>55</v>
      </c>
      <c r="L3" s="22" t="s">
        <v>66</v>
      </c>
      <c r="M3" s="23" t="s">
        <v>56</v>
      </c>
      <c r="N3" s="24" t="s">
        <v>72</v>
      </c>
      <c r="O3" s="24" t="s">
        <v>73</v>
      </c>
      <c r="P3" s="23" t="s">
        <v>57</v>
      </c>
      <c r="Q3" s="25" t="s">
        <v>58</v>
      </c>
      <c r="R3" s="26" t="s">
        <v>59</v>
      </c>
      <c r="S3" s="27" t="s">
        <v>60</v>
      </c>
      <c r="T3" s="23" t="s">
        <v>61</v>
      </c>
      <c r="U3" s="23" t="s">
        <v>43</v>
      </c>
      <c r="V3" s="23" t="s">
        <v>62</v>
      </c>
      <c r="W3" s="28" t="s">
        <v>63</v>
      </c>
      <c r="X3" s="29" t="s">
        <v>44</v>
      </c>
      <c r="Y3" s="9" t="s">
        <v>92</v>
      </c>
      <c r="Z3" s="9" t="s">
        <v>15</v>
      </c>
      <c r="AA3" s="9" t="s">
        <v>16</v>
      </c>
      <c r="AB3" s="9" t="s">
        <v>17</v>
      </c>
      <c r="AC3" s="9" t="s">
        <v>18</v>
      </c>
      <c r="AD3" s="9" t="s">
        <v>19</v>
      </c>
      <c r="AE3" s="9" t="s">
        <v>20</v>
      </c>
      <c r="AF3" s="9" t="s">
        <v>21</v>
      </c>
      <c r="AG3" s="9" t="s">
        <v>22</v>
      </c>
      <c r="AH3" s="9" t="s">
        <v>23</v>
      </c>
      <c r="AI3" s="9" t="s">
        <v>24</v>
      </c>
      <c r="AJ3" s="9" t="s">
        <v>25</v>
      </c>
      <c r="AK3" s="9" t="s">
        <v>26</v>
      </c>
      <c r="AL3" s="9" t="s">
        <v>27</v>
      </c>
      <c r="AM3" s="9" t="s">
        <v>10</v>
      </c>
      <c r="AN3" s="9" t="s">
        <v>65</v>
      </c>
      <c r="AO3" s="9" t="s">
        <v>67</v>
      </c>
      <c r="AP3" s="10" t="s">
        <v>68</v>
      </c>
      <c r="AQ3" s="10" t="s">
        <v>69</v>
      </c>
      <c r="AR3" s="11" t="s">
        <v>28</v>
      </c>
      <c r="AS3" s="11" t="s">
        <v>93</v>
      </c>
      <c r="AT3" s="11" t="s">
        <v>29</v>
      </c>
      <c r="AU3" s="11" t="s">
        <v>30</v>
      </c>
      <c r="AV3" s="11" t="s">
        <v>31</v>
      </c>
      <c r="AW3" s="12" t="s">
        <v>94</v>
      </c>
      <c r="AX3" s="9" t="s">
        <v>95</v>
      </c>
      <c r="AY3" s="12" t="s">
        <v>96</v>
      </c>
      <c r="AZ3" s="9" t="s">
        <v>97</v>
      </c>
      <c r="BA3" s="9" t="s">
        <v>98</v>
      </c>
      <c r="BB3" s="9" t="s">
        <v>99</v>
      </c>
      <c r="BC3" s="9" t="s">
        <v>32</v>
      </c>
      <c r="BD3" s="9" t="s">
        <v>11</v>
      </c>
      <c r="BE3" s="9" t="s">
        <v>12</v>
      </c>
      <c r="BF3" s="11" t="s">
        <v>100</v>
      </c>
      <c r="BG3" s="11" t="s">
        <v>101</v>
      </c>
      <c r="BH3" s="11" t="s">
        <v>102</v>
      </c>
      <c r="BI3" s="9" t="s">
        <v>33</v>
      </c>
      <c r="BJ3" s="9" t="s">
        <v>13</v>
      </c>
    </row>
    <row r="4" spans="1:62" x14ac:dyDescent="0.25">
      <c r="A4" t="s">
        <v>48</v>
      </c>
      <c r="B4" t="s">
        <v>45</v>
      </c>
      <c r="C4" t="s">
        <v>47</v>
      </c>
      <c r="D4" t="s">
        <v>49</v>
      </c>
      <c r="E4">
        <v>1998</v>
      </c>
      <c r="F4" t="str">
        <f>Z4</f>
        <v>10.1098/rstb.1998.0193</v>
      </c>
      <c r="G4">
        <f>AH4*1000</f>
        <v>44550</v>
      </c>
      <c r="H4">
        <f>(AI4-AH4)*1000</f>
        <v>3520.0000000000032</v>
      </c>
      <c r="I4">
        <f>(AH4-AJ4)*1000</f>
        <v>3519.9999999999959</v>
      </c>
      <c r="J4" s="6">
        <f>BF4</f>
        <v>768</v>
      </c>
      <c r="K4">
        <f>(BH4-BF4)</f>
        <v>256</v>
      </c>
      <c r="L4">
        <f>(BF4-BG4)</f>
        <v>256</v>
      </c>
      <c r="M4" t="b">
        <v>1</v>
      </c>
      <c r="N4">
        <v>2</v>
      </c>
      <c r="O4" s="5" t="s">
        <v>53</v>
      </c>
      <c r="P4" t="s">
        <v>64</v>
      </c>
      <c r="Q4" t="b">
        <v>0</v>
      </c>
      <c r="R4" t="s">
        <v>64</v>
      </c>
      <c r="S4" t="b">
        <v>0</v>
      </c>
      <c r="T4" t="b">
        <v>0</v>
      </c>
      <c r="U4" t="s">
        <v>64</v>
      </c>
      <c r="V4" t="s">
        <v>64</v>
      </c>
      <c r="W4" t="b">
        <v>1</v>
      </c>
      <c r="X4" s="5" t="s">
        <v>46</v>
      </c>
      <c r="Y4" s="2" t="s">
        <v>52</v>
      </c>
      <c r="Z4" s="1" t="s">
        <v>4</v>
      </c>
      <c r="AA4" s="2" t="s">
        <v>6</v>
      </c>
      <c r="AB4" s="2" t="s">
        <v>14</v>
      </c>
      <c r="AC4" s="4" t="s">
        <v>7</v>
      </c>
      <c r="AD4" s="2" t="s">
        <v>1</v>
      </c>
      <c r="AE4" s="2" t="s">
        <v>0</v>
      </c>
      <c r="AF4" s="2" t="s">
        <v>8</v>
      </c>
      <c r="AG4" s="2" t="s">
        <v>5</v>
      </c>
      <c r="AH4" s="2">
        <f>AVERAGE(AI4:AJ4)</f>
        <v>44.55</v>
      </c>
      <c r="AI4" s="2">
        <v>48.07</v>
      </c>
      <c r="AJ4" s="2">
        <v>41.03</v>
      </c>
      <c r="AK4" s="2" t="s">
        <v>71</v>
      </c>
      <c r="AL4" s="2" t="s">
        <v>70</v>
      </c>
      <c r="AM4" s="2">
        <v>27</v>
      </c>
      <c r="AN4" s="2" t="s">
        <v>64</v>
      </c>
      <c r="AO4" s="2" t="s">
        <v>64</v>
      </c>
      <c r="AP4" s="8" t="s">
        <v>64</v>
      </c>
      <c r="AQ4" s="8" t="s">
        <v>64</v>
      </c>
      <c r="AR4" s="3" t="s">
        <v>3</v>
      </c>
      <c r="AS4" s="2" t="s">
        <v>34</v>
      </c>
      <c r="AT4" s="2" t="s">
        <v>64</v>
      </c>
      <c r="AU4" s="2" t="s">
        <v>64</v>
      </c>
      <c r="AV4" s="2" t="s">
        <v>64</v>
      </c>
      <c r="AW4" s="31">
        <f>AVERAGE(315.1,337.5,271.3,183,322)</f>
        <v>285.78000000000003</v>
      </c>
      <c r="AX4" s="2">
        <f>AVERAGE(5,0.8,4.7,5.2,7)</f>
        <v>4.54</v>
      </c>
      <c r="AY4" s="2" t="s">
        <v>64</v>
      </c>
      <c r="AZ4" s="2" t="s">
        <v>64</v>
      </c>
      <c r="BA4" s="2">
        <f>AVERAGE(10.7,10.7,10.4,7.1,10.9)</f>
        <v>9.9599999999999991</v>
      </c>
      <c r="BB4" s="2">
        <f>AVERAGE(0.3,0.4,1.4,0.4,0.4)</f>
        <v>0.57999999999999985</v>
      </c>
      <c r="BC4" s="4" t="s">
        <v>2</v>
      </c>
      <c r="BD4" s="2" t="s">
        <v>50</v>
      </c>
      <c r="BE4" s="2" t="s">
        <v>9</v>
      </c>
      <c r="BF4" s="2">
        <v>768</v>
      </c>
      <c r="BG4" s="2">
        <v>512</v>
      </c>
      <c r="BH4" s="2">
        <v>1024</v>
      </c>
      <c r="BI4" s="2" t="s">
        <v>51</v>
      </c>
      <c r="BJ4" s="7"/>
    </row>
    <row r="5" spans="1:62" x14ac:dyDescent="0.25">
      <c r="F5"/>
      <c r="G5"/>
      <c r="H5"/>
      <c r="I5"/>
      <c r="J5" s="6"/>
      <c r="K5"/>
      <c r="L5"/>
    </row>
  </sheetData>
  <phoneticPr fontId="3" type="noConversion"/>
  <hyperlinks>
    <hyperlink ref="Z4" r:id="rId1" xr:uid="{00000000-0004-0000-0000-000000000000}"/>
  </hyperlinks>
  <pageMargins left="0.7" right="0.7" top="0.75" bottom="0.75" header="0.3" footer="0.3"/>
  <pageSetup paperSize="0"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2022-06-27T13:09:00Z</dcterms:modified>
</cp:coreProperties>
</file>