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231"/>
  <workbookPr autoCompressPictures="0"/>
  <mc:AlternateContent xmlns:mc="http://schemas.openxmlformats.org/markup-compatibility/2006">
    <mc:Choice Requires="x15">
      <x15ac:absPath xmlns:x15ac="http://schemas.microsoft.com/office/spreadsheetml/2010/11/ac" url="C:\Users\droyer\Desktop\New folder (2)\"/>
    </mc:Choice>
  </mc:AlternateContent>
  <xr:revisionPtr revIDLastSave="0" documentId="13_ncr:1_{E2891FDB-C6E9-4890-9D84-EE83CEC71D41}" xr6:coauthVersionLast="45" xr6:coauthVersionMax="47" xr10:uidLastSave="{00000000-0000-0000-0000-000000000000}"/>
  <bookViews>
    <workbookView xWindow="-30" yWindow="0" windowWidth="28605" windowHeight="7980" tabRatio="500" xr2:uid="{00000000-000D-0000-FFFF-FFFF00000000}"/>
  </bookViews>
  <sheets>
    <sheet name="stomatal ratio" sheetId="1" r:id="rId1"/>
  </sheets>
  <calcPr calcId="191029"/>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http://schemas.microsoft.com/office/mac/excel/2008/main">
      <mx:ArchID Flags="2"/>
    </ext>
  </extLst>
</workbook>
</file>

<file path=xl/calcChain.xml><?xml version="1.0" encoding="utf-8"?>
<calcChain xmlns="http://schemas.openxmlformats.org/spreadsheetml/2006/main">
  <c r="BA5" i="1" l="1"/>
  <c r="AX5" i="1"/>
  <c r="AW5" i="1"/>
  <c r="F5" i="1" l="1"/>
  <c r="K5" i="1"/>
  <c r="L5" i="1"/>
  <c r="L4" i="1"/>
  <c r="K4" i="1"/>
  <c r="J4" i="1"/>
  <c r="F4" i="1"/>
  <c r="BF5" i="1" l="1"/>
  <c r="J5" i="1" s="1"/>
  <c r="AH5" i="1"/>
  <c r="AH4" i="1"/>
  <c r="I4" i="1" l="1"/>
  <c r="G4" i="1"/>
  <c r="H4" i="1"/>
  <c r="H5" i="1"/>
  <c r="I5" i="1"/>
  <c r="G5" i="1"/>
</calcChain>
</file>

<file path=xl/sharedStrings.xml><?xml version="1.0" encoding="utf-8"?>
<sst xmlns="http://schemas.openxmlformats.org/spreadsheetml/2006/main" count="151" uniqueCount="103">
  <si>
    <t>Microscope</t>
    <phoneticPr fontId="3" type="noConversion"/>
  </si>
  <si>
    <t>Modern</t>
    <phoneticPr fontId="3" type="noConversion"/>
  </si>
  <si>
    <t>Modern</t>
    <phoneticPr fontId="3" type="noConversion"/>
  </si>
  <si>
    <t>Number of leaves/leaf fragments</t>
    <phoneticPr fontId="3" type="noConversion"/>
  </si>
  <si>
    <t>NLE 
SD/SI 
value</t>
    <phoneticPr fontId="3" type="noConversion"/>
  </si>
  <si>
    <t>Standardization (Modern or Carboniferous)</t>
    <phoneticPr fontId="3" type="noConversion"/>
  </si>
  <si>
    <t>Remarks</t>
    <phoneticPr fontId="3" type="noConversion"/>
  </si>
  <si>
    <t>doi</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</si>
  <si>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</si>
  <si>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</si>
  <si>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</si>
  <si>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</si>
  <si>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</si>
  <si>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</si>
  <si>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</si>
  <si>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</si>
  <si>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</si>
  <si>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</si>
  <si>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</si>
  <si>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</si>
  <si>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stomatal counts per leaf sample</t>
  </si>
  <si>
    <t>Counting box dimensions
(µm × µm)</t>
  </si>
  <si>
    <t># Stomata</t>
  </si>
  <si>
    <t># Epidermal Cells</t>
  </si>
  <si>
    <t>Nearest 
Living
Equivalent
species</t>
  </si>
  <si>
    <t>What is the uncertainty range?</t>
  </si>
  <si>
    <t>Microscope</t>
    <phoneticPr fontId="3" type="noConversion"/>
  </si>
  <si>
    <t>10.5194/cp-12-241-2016</t>
  </si>
  <si>
    <t>MMJ1-001</t>
  </si>
  <si>
    <t>MMJ2-003, MMJ2-004, MMJ3-003a</t>
  </si>
  <si>
    <t>Podocarpaceae</t>
  </si>
  <si>
    <t>Nageia</t>
  </si>
  <si>
    <t>maomingensis</t>
  </si>
  <si>
    <t>Museum of Biology of Sun Yat-sen University (Guangzhou, China)</t>
  </si>
  <si>
    <t>Youganwo</t>
  </si>
  <si>
    <t>Huangniuling</t>
  </si>
  <si>
    <t>late Eocene</t>
  </si>
  <si>
    <t>400x</t>
  </si>
  <si>
    <t>Nageia motleyi</t>
  </si>
  <si>
    <t>proxy</t>
  </si>
  <si>
    <t>first_author_last_name</t>
  </si>
  <si>
    <t>publication_year</t>
  </si>
  <si>
    <t>age_ka</t>
  </si>
  <si>
    <t>Age_uncertainty_pos_ka</t>
  </si>
  <si>
    <t>Age_uncertainty_neg_ka</t>
  </si>
  <si>
    <t>stomata-SR</t>
  </si>
  <si>
    <t>Liu</t>
  </si>
  <si>
    <t>name of person entering product data</t>
  </si>
  <si>
    <t>email of person entering product data</t>
  </si>
  <si>
    <t>specify reason for quarantine</t>
  </si>
  <si>
    <t>specify reason for age revision</t>
  </si>
  <si>
    <t>droyer@wesleyan.edu</t>
  </si>
  <si>
    <t>Liu, X. Y., Gao, Q., Han, M., and Jin, J. H., 2016, Estimates of late middle Eocene pCO2 based on stomatal density of modern and fossil Nageia leaves: Climate of the Past, v. 12, p. 241-253.</t>
  </si>
  <si>
    <t>1) Estimates of CO2 (and their associated uncertainties) are "semi-quantitative" (see original papers by McElwain and Chaloner) and thus shouldn't be included in a fully quantitative, cross-species CO2 compilation with shared error analysis. 2) Estimates are based on measurements of stomatal density, which is usually more affected by more non-CO2 environmental factors than stomatal index; 2) CO2 estimate is based on one leaf</t>
  </si>
  <si>
    <t>CO2_ppm</t>
  </si>
  <si>
    <t>CO2_uncertainty_pos_ppm</t>
  </si>
  <si>
    <t>CO2 data as originally published (TRUE or FALSE)</t>
  </si>
  <si>
    <t>CO2 data superseded by (please list doi if TRUE, otherwise FALSE)</t>
  </si>
  <si>
    <t>CO2 recalculated by paleo-CO2.org (TRUE or FALSE)</t>
  </si>
  <si>
    <t>specify reason for CO2 revision</t>
  </si>
  <si>
    <t>age data as originally published (TRUE or FALSE)</t>
  </si>
  <si>
    <t>age data quarantined (TRUE of FALSE)</t>
  </si>
  <si>
    <t>age data superseded by (please list doi if TRUE, otherwise FALSE)</t>
  </si>
  <si>
    <t>age recalculated by paleo-CO2.org (TRUE or FALSE)</t>
  </si>
  <si>
    <t>NA</t>
  </si>
  <si>
    <t>Modern Latitude (decimal degree, south negative)</t>
  </si>
  <si>
    <t>Modern Longitude (decimal degree, west negative)</t>
  </si>
  <si>
    <t>CO2_uncertainty_neg_ppm</t>
  </si>
  <si>
    <t>Dana Royer</t>
  </si>
  <si>
    <t>Paleo Latitude (decimal degree, south negative)</t>
  </si>
  <si>
    <t>Paleo Longitude (decimal degree, west negative)</t>
  </si>
  <si>
    <t>biostratigraphy (not described well in paper)</t>
  </si>
  <si>
    <t>proxy category: enter (1) if  data are of high quality and uncertainty estimation is fully developed, (2) if data are of high quality but uncertainty estimation is not yet fully constrained, or (3) if data collection method is outdated and/or uncertainty estimation is not fully quantifiable</t>
  </si>
  <si>
    <t>specify reason for choice of category</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</si>
  <si>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</si>
  <si>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</si>
  <si>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</si>
  <si>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</si>
  <si>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</si>
  <si>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</si>
  <si>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</si>
  <si>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</si>
  <si>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</si>
  <si>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</si>
  <si>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</si>
  <si>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</si>
  <si>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</si>
  <si>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</si>
  <si>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</si>
  <si>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</si>
  <si>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</si>
  <si>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</si>
  <si>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Reference of the data product</t>
  </si>
  <si>
    <t>Counting Method
(microscope, published image)</t>
  </si>
  <si>
    <r>
      <t>Mean stomatal density (n/mm</t>
    </r>
    <r>
      <rPr>
        <b/>
        <vertAlign val="superscript"/>
        <sz val="12"/>
        <color theme="1"/>
        <rFont val="Calibri"/>
        <family val="2"/>
      </rPr>
      <t>2</t>
    </r>
    <r>
      <rPr>
        <b/>
        <sz val="12"/>
        <color theme="1"/>
        <rFont val="Calibri"/>
        <family val="2"/>
      </rPr>
      <t>)</t>
    </r>
  </si>
  <si>
    <t>SD error (+/- 1 s.e.m.)</t>
  </si>
  <si>
    <r>
      <t>Mean epidermal density (n/mm</t>
    </r>
    <r>
      <rPr>
        <b/>
        <vertAlign val="superscript"/>
        <sz val="12"/>
        <color theme="1"/>
        <rFont val="Calibri"/>
        <family val="2"/>
      </rPr>
      <t>2</t>
    </r>
    <r>
      <rPr>
        <b/>
        <sz val="12"/>
        <color theme="1"/>
        <rFont val="Calibri"/>
        <family val="2"/>
      </rPr>
      <t>)</t>
    </r>
  </si>
  <si>
    <t>ED error (+/- 1 s.e.m.)</t>
  </si>
  <si>
    <t>Mean stomatal index (%)</t>
  </si>
  <si>
    <t>SI error (+/- 1 s.e.m.)</t>
  </si>
  <si>
    <r>
      <t>Reported mean CO</t>
    </r>
    <r>
      <rPr>
        <b/>
        <vertAlign val="subscript"/>
        <sz val="12"/>
        <color rgb="FF000000"/>
        <rFont val="Calibri"/>
        <family val="2"/>
      </rPr>
      <t>2</t>
    </r>
    <r>
      <rPr>
        <b/>
        <sz val="12"/>
        <color indexed="8"/>
        <rFont val="Calibri"/>
        <family val="2"/>
      </rPr>
      <t xml:space="preserve"> (ppm)</t>
    </r>
  </si>
  <si>
    <r>
      <t>Reported CO</t>
    </r>
    <r>
      <rPr>
        <b/>
        <vertAlign val="subscript"/>
        <sz val="12"/>
        <color rgb="FF000000"/>
        <rFont val="Calibri"/>
        <family val="2"/>
      </rPr>
      <t>2</t>
    </r>
    <r>
      <rPr>
        <b/>
        <sz val="12"/>
        <color indexed="8"/>
        <rFont val="Calibri"/>
        <family val="2"/>
      </rPr>
      <t xml:space="preserve"> Uncertainty (Low)</t>
    </r>
  </si>
  <si>
    <r>
      <t>Reported CO</t>
    </r>
    <r>
      <rPr>
        <b/>
        <vertAlign val="subscript"/>
        <sz val="12"/>
        <color rgb="FF000000"/>
        <rFont val="Calibri"/>
        <family val="2"/>
      </rPr>
      <t>2</t>
    </r>
    <r>
      <rPr>
        <b/>
        <sz val="12"/>
        <color indexed="8"/>
        <rFont val="Calibri"/>
        <family val="2"/>
      </rPr>
      <t xml:space="preserve"> Uncertainty (High)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</si>
</sst>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2"/>
      <color theme="1"/>
      <name val="Calibri"/>
      <family val="2"/>
      <scheme val="minor"/>
    </font>
    <font>
      <sz val="12"/>
      <color theme="1"/>
      <name val="Calibri"/>
      <family val="2"/>
      <scheme val="minor"/>
    </font>
    <font>
      <sz val="11"/>
      <color indexed="8"/>
      <name val="Calibri"/>
      <family val="2"/>
      <charset val="1"/>
    </font>
    <font>
      <sz val="8"/>
      <name val="Verdana"/>
      <family val="2"/>
    </font>
    <font>
      <sz val="12"/>
      <color indexed="8"/>
      <name val="Calibri"/>
      <family val="2"/>
    </font>
    <font>
      <sz val="12"/>
      <name val="Calibri"/>
      <family val="2"/>
    </font>
    <font>
      <b/>
      <sz val="12"/>
      <color indexed="8"/>
      <name val="Calibri"/>
      <family val="2"/>
    </font>
    <font>
      <u/>
      <sz val="12"/>
      <color indexed="12"/>
      <name val="Calibri"/>
      <family val="2"/>
    </font>
    <font>
      <sz val="12"/>
      <color rgb="FF000000"/>
      <name val="Calibri"/>
      <family val="2"/>
      <scheme val="minor"/>
    </font>
    <font>
      <b/>
      <sz val="12"/>
      <name val="Calibri"/>
      <family val="2"/>
      <scheme val="minor"/>
    </font>
    <font>
      <b/>
      <sz val="12"/>
      <color theme="1"/>
      <name val="Calibri"/>
      <family val="2"/>
    </font>
    <font>
      <b/>
      <vertAlign val="superscript"/>
      <sz val="12"/>
      <color theme="1"/>
      <name val="Calibri"/>
      <family val="2"/>
    </font>
    <font>
      <b/>
      <vertAlign val="subscript"/>
      <sz val="12"/>
      <color rgb="FF000000"/>
      <name val="Calibri"/>
      <family val="2"/>
    </font>
  </fonts>
  <fills count="4">
    <fill>
      <patternFill patternType="none"/>
    </fill>
    <fill>
      <patternFill patternType="gray125"/>
    </fill>
    <fill>
      <patternFill patternType="solid">
        <fgColor indexed="42"/>
        <bgColor indexed="64"/>
      </patternFill>
    </fill>
    <fill>
      <patternFill patternType="solid">
        <fgColor rgb="FFCDFFCD"/>
        <bgColor indexed="64"/>
      </patternFill>
    </fill>
  </fills>
  <borders count="6">
    <border>
      <left/>
      <right/>
      <top/>
      <bottom/>
      <diagonal/>
    </border>
    <border>
      <left style="thin">
        <color indexed="64"/>
      </left>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2" fillId="0" borderId="0"/>
    <xf numFmtId="0" fontId="1" fillId="0" borderId="0"/>
    <xf numFmtId="0" fontId="7" fillId="0" borderId="0" applyNumberFormat="0" applyFill="0" applyBorder="0" applyAlignment="0" applyProtection="0">
      <alignment vertical="top"/>
      <protection locked="0"/>
    </xf>
  </cellStyleXfs>
  <cellXfs count="31">
    <xf numFmtId="0" fontId="0" fillId="0" borderId="0" xfId="0"/>
    <xf numFmtId="0" fontId="5" fillId="0" borderId="0" xfId="3" applyFont="1" applyAlignment="1" applyProtection="1"/>
    <xf numFmtId="0" fontId="4" fillId="0" borderId="0" xfId="0" applyFont="1"/>
    <xf numFmtId="0" fontId="4" fillId="0" borderId="0" xfId="0" applyFont="1" applyFill="1"/>
    <xf numFmtId="164" fontId="4" fillId="0" borderId="0" xfId="0" applyNumberFormat="1" applyFont="1"/>
    <xf numFmtId="1" fontId="4" fillId="0" borderId="0" xfId="0" applyNumberFormat="1" applyFont="1"/>
    <xf numFmtId="1" fontId="4" fillId="0" borderId="0" xfId="0" applyNumberFormat="1" applyFont="1" applyFill="1"/>
    <xf numFmtId="1" fontId="0" fillId="0" borderId="0" xfId="0" applyNumberFormat="1"/>
    <xf numFmtId="0" fontId="0" fillId="0" borderId="0" xfId="0" applyFill="1" applyBorder="1" applyAlignment="1">
      <alignment horizontal="right"/>
    </xf>
    <xf numFmtId="0" fontId="8" fillId="0" borderId="1" xfId="0" applyFont="1" applyBorder="1" applyAlignment="1">
      <alignment vertical="top" wrapText="1"/>
    </xf>
    <xf numFmtId="0" fontId="8" fillId="0" borderId="2" xfId="0" applyFont="1" applyBorder="1" applyAlignment="1">
      <alignment vertical="top" wrapText="1"/>
    </xf>
    <xf numFmtId="0" fontId="8" fillId="0" borderId="2" xfId="0" applyFont="1" applyBorder="1" applyAlignment="1">
      <alignment vertical="top"/>
    </xf>
    <xf numFmtId="0" fontId="0" fillId="0" borderId="2" xfId="0" applyFont="1" applyBorder="1" applyAlignment="1">
      <alignment vertical="top" wrapText="1"/>
    </xf>
    <xf numFmtId="0" fontId="0" fillId="0" borderId="2" xfId="0" applyFont="1" applyBorder="1" applyAlignment="1">
      <alignment vertical="top"/>
    </xf>
    <xf numFmtId="0" fontId="0" fillId="0" borderId="2" xfId="0" quotePrefix="1" applyFont="1" applyBorder="1" applyAlignment="1">
      <alignment vertical="top" wrapText="1"/>
    </xf>
    <xf numFmtId="0" fontId="0" fillId="0" borderId="3" xfId="0" quotePrefix="1" applyFont="1" applyBorder="1" applyAlignment="1">
      <alignment vertical="top" wrapText="1"/>
    </xf>
    <xf numFmtId="0" fontId="0" fillId="0" borderId="2" xfId="0" applyFont="1" applyFill="1" applyBorder="1" applyAlignment="1">
      <alignment vertical="top" wrapText="1"/>
    </xf>
    <xf numFmtId="0" fontId="0" fillId="0" borderId="2" xfId="0" applyBorder="1" applyAlignment="1">
      <alignment vertical="top" wrapText="1"/>
    </xf>
    <xf numFmtId="0" fontId="0" fillId="0" borderId="3" xfId="0" applyFont="1" applyFill="1" applyBorder="1" applyAlignment="1">
      <alignment vertical="top" wrapText="1"/>
    </xf>
    <xf numFmtId="0" fontId="0" fillId="0" borderId="4" xfId="0" applyFont="1" applyFill="1" applyBorder="1" applyAlignment="1">
      <alignment vertical="top" wrapText="1"/>
    </xf>
    <xf numFmtId="0" fontId="0" fillId="0" borderId="1" xfId="0" applyFont="1" applyFill="1" applyBorder="1" applyAlignment="1">
      <alignment vertical="top" wrapText="1"/>
    </xf>
    <xf numFmtId="0" fontId="8" fillId="0" borderId="3" xfId="0" applyFont="1" applyBorder="1" applyAlignment="1">
      <alignment vertical="top" wrapText="1"/>
    </xf>
    <xf numFmtId="0" fontId="8" fillId="0" borderId="4" xfId="0" applyFont="1" applyBorder="1" applyAlignment="1">
      <alignment vertical="top" wrapText="1"/>
    </xf>
    <xf numFmtId="0" fontId="6" fillId="0" borderId="0" xfId="0" applyFont="1" applyBorder="1" applyAlignment="1">
      <alignment vertical="top"/>
    </xf>
    <xf numFmtId="0" fontId="6" fillId="2" borderId="0" xfId="0" applyFont="1" applyFill="1" applyAlignment="1">
      <alignment vertical="top" wrapText="1"/>
    </xf>
    <xf numFmtId="0" fontId="9" fillId="3" borderId="5" xfId="0" applyFont="1" applyFill="1" applyBorder="1" applyAlignment="1">
      <alignment horizontal="center" vertical="top" wrapText="1"/>
    </xf>
    <xf numFmtId="0" fontId="6" fillId="2" borderId="0" xfId="0" applyFont="1" applyFill="1" applyAlignment="1">
      <alignment horizontal="center" vertical="top" wrapText="1"/>
    </xf>
    <xf numFmtId="0" fontId="10" fillId="2" borderId="0" xfId="0" applyFont="1" applyFill="1" applyAlignment="1">
      <alignment vertical="top" wrapText="1"/>
    </xf>
    <xf numFmtId="0" fontId="4" fillId="0" borderId="0" xfId="0" applyFont="1" applyAlignment="1">
      <alignment vertical="top"/>
    </xf>
    <xf numFmtId="0" fontId="0" fillId="0" borderId="0" xfId="0" applyAlignment="1">
      <alignment vertical="top" wrapText="1"/>
    </xf>
    <xf numFmtId="0" fontId="4" fillId="0" borderId="0" xfId="0" applyFont="1" applyAlignment="1">
      <alignment vertical="top" wrapText="1"/>
    </xf>
  </cellXfs>
  <cellStyles count="4">
    <cellStyle name="Hyperlink" xfId="3" builtinId="8"/>
    <cellStyle name="Normal" xfId="0" builtinId="0"/>
    <cellStyle name="Normal 3" xfId="1" xr:uid="{00000000-0005-0000-0000-000002000000}"/>
    <cellStyle name="Normal 4" xfId="2" xr:uid="{00000000-0005-0000-0000-000003000000}"/>
  </cellStyles>
  <dxfs count="0"/>
  <tableStyles count="0" defaultTableStyle="TableStyleMedium9"/>
  <colors>
    <mruColors>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i.org/10.1098/rstb.1998.0193" TargetMode="External"/><Relationship Id="rId1" Type="http://schemas.openxmlformats.org/officeDocument/2006/relationships/hyperlink" Target="https://doi.org/10.1098/rstb.1998.019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J5"/>
  <sheetViews>
    <sheetView tabSelected="1" workbookViewId="0">
      <pane ySplit="3" topLeftCell="A4" activePane="bottomLeft" state="frozen"/>
      <selection pane="bottomLeft" activeCell="G2" sqref="G2"/>
    </sheetView>
  </sheetViews>
  <sheetFormatPr defaultColWidth="8.875" defaultRowHeight="15.75" x14ac:dyDescent="0.25"/>
  <cols>
    <col min="1" max="24" width="8.875" style="2"/>
    <col min="25" max="25" width="25.125" style="2" customWidth="1"/>
    <col min="26" max="26" width="8.875" style="2"/>
    <col min="27" max="27" width="11.625" style="2" customWidth="1"/>
    <col min="28" max="28" width="12.5" style="2" customWidth="1"/>
    <col min="29" max="29" width="15.125" style="2" customWidth="1"/>
    <col min="30" max="30" width="13" style="2" customWidth="1"/>
    <col min="31" max="31" width="13.5" style="2" customWidth="1"/>
    <col min="32" max="32" width="9.75" style="2" customWidth="1"/>
    <col min="33" max="33" width="12" style="2" customWidth="1"/>
    <col min="34" max="34" width="8.875" style="2"/>
    <col min="35" max="35" width="12.125" style="2" customWidth="1"/>
    <col min="36" max="36" width="11.875" style="2" customWidth="1"/>
    <col min="37" max="37" width="10.375" style="2" customWidth="1"/>
    <col min="38" max="38" width="12.375" style="2" customWidth="1"/>
    <col min="39" max="39" width="10.625" style="2" customWidth="1"/>
    <col min="40" max="40" width="11.625" style="2" customWidth="1"/>
    <col min="41" max="43" width="11.125" style="2" customWidth="1"/>
    <col min="44" max="44" width="10.375" style="2" customWidth="1"/>
    <col min="45" max="45" width="12.25" style="2" customWidth="1"/>
    <col min="46" max="46" width="11" style="2" customWidth="1"/>
    <col min="47" max="47" width="8.875" style="2"/>
    <col min="48" max="48" width="9.75" style="2" customWidth="1"/>
    <col min="49" max="54" width="8.875" style="2"/>
    <col min="55" max="55" width="16" style="2" customWidth="1"/>
    <col min="56" max="56" width="13" style="2" customWidth="1"/>
    <col min="57" max="57" width="16" style="2" customWidth="1"/>
    <col min="58" max="58" width="8.875" style="2"/>
    <col min="59" max="60" width="13" style="2" customWidth="1"/>
    <col min="61" max="61" width="12.375" style="2" customWidth="1"/>
    <col min="62" max="62" width="15.5" style="2" customWidth="1"/>
    <col min="63" max="16384" width="8.875" style="2"/>
  </cols>
  <sheetData>
    <row r="2" spans="1:62" s="28" customFormat="1" ht="62.25" customHeight="1" x14ac:dyDescent="0.25">
      <c r="Y2" s="29" t="s">
        <v>74</v>
      </c>
      <c r="Z2" s="29"/>
      <c r="AA2" s="29" t="s">
        <v>75</v>
      </c>
      <c r="AB2" s="29"/>
      <c r="AC2" s="29"/>
      <c r="AD2" s="29"/>
      <c r="AE2" s="29" t="s">
        <v>76</v>
      </c>
      <c r="AF2" s="29"/>
      <c r="AG2" s="29" t="s">
        <v>77</v>
      </c>
      <c r="AH2" s="29"/>
      <c r="AI2" s="29" t="s">
        <v>78</v>
      </c>
      <c r="AJ2" s="29" t="s">
        <v>78</v>
      </c>
      <c r="AK2" s="29" t="s">
        <v>79</v>
      </c>
      <c r="AL2" s="29" t="s">
        <v>80</v>
      </c>
      <c r="AM2" s="29"/>
      <c r="AN2" s="29"/>
      <c r="AO2" s="30"/>
      <c r="AP2" s="29" t="s">
        <v>81</v>
      </c>
      <c r="AQ2" s="29" t="s">
        <v>81</v>
      </c>
      <c r="AR2" s="29" t="s">
        <v>82</v>
      </c>
      <c r="AS2" s="29" t="s">
        <v>83</v>
      </c>
      <c r="AT2" s="29" t="s">
        <v>84</v>
      </c>
      <c r="AU2" s="30"/>
      <c r="AV2" s="30"/>
      <c r="AW2" s="30"/>
      <c r="AX2" s="30" t="s">
        <v>85</v>
      </c>
      <c r="AY2" s="30"/>
      <c r="AZ2" s="30" t="s">
        <v>85</v>
      </c>
      <c r="BA2" s="30"/>
      <c r="BB2" s="30" t="s">
        <v>85</v>
      </c>
      <c r="BC2" s="30" t="s">
        <v>86</v>
      </c>
      <c r="BD2" s="30" t="s">
        <v>87</v>
      </c>
      <c r="BE2" s="30" t="s">
        <v>88</v>
      </c>
      <c r="BF2" s="30"/>
      <c r="BG2" s="29" t="s">
        <v>89</v>
      </c>
      <c r="BH2" s="29" t="s">
        <v>89</v>
      </c>
      <c r="BI2" s="29" t="s">
        <v>90</v>
      </c>
      <c r="BJ2" s="29" t="s">
        <v>91</v>
      </c>
    </row>
    <row r="3" spans="1:62" s="23" customFormat="1" ht="66" customHeight="1" x14ac:dyDescent="0.25">
      <c r="A3" s="9" t="s">
        <v>47</v>
      </c>
      <c r="B3" s="10" t="s">
        <v>48</v>
      </c>
      <c r="C3" s="11" t="s">
        <v>39</v>
      </c>
      <c r="D3" s="12" t="s">
        <v>40</v>
      </c>
      <c r="E3" s="12" t="s">
        <v>41</v>
      </c>
      <c r="F3" s="13" t="s">
        <v>7</v>
      </c>
      <c r="G3" s="13" t="s">
        <v>42</v>
      </c>
      <c r="H3" s="14" t="s">
        <v>43</v>
      </c>
      <c r="I3" s="14" t="s">
        <v>44</v>
      </c>
      <c r="J3" s="12" t="s">
        <v>54</v>
      </c>
      <c r="K3" s="14" t="s">
        <v>55</v>
      </c>
      <c r="L3" s="15" t="s">
        <v>67</v>
      </c>
      <c r="M3" s="16" t="s">
        <v>56</v>
      </c>
      <c r="N3" s="17" t="s">
        <v>72</v>
      </c>
      <c r="O3" s="17" t="s">
        <v>73</v>
      </c>
      <c r="P3" s="16" t="s">
        <v>57</v>
      </c>
      <c r="Q3" s="18" t="s">
        <v>58</v>
      </c>
      <c r="R3" s="19" t="s">
        <v>59</v>
      </c>
      <c r="S3" s="20" t="s">
        <v>60</v>
      </c>
      <c r="T3" s="16" t="s">
        <v>61</v>
      </c>
      <c r="U3" s="16" t="s">
        <v>49</v>
      </c>
      <c r="V3" s="16" t="s">
        <v>62</v>
      </c>
      <c r="W3" s="21" t="s">
        <v>63</v>
      </c>
      <c r="X3" s="22" t="s">
        <v>50</v>
      </c>
      <c r="Y3" s="24" t="s">
        <v>92</v>
      </c>
      <c r="Z3" s="24" t="s">
        <v>7</v>
      </c>
      <c r="AA3" s="24" t="s">
        <v>8</v>
      </c>
      <c r="AB3" s="24" t="s">
        <v>9</v>
      </c>
      <c r="AC3" s="24" t="s">
        <v>10</v>
      </c>
      <c r="AD3" s="24" t="s">
        <v>11</v>
      </c>
      <c r="AE3" s="24" t="s">
        <v>12</v>
      </c>
      <c r="AF3" s="24" t="s">
        <v>13</v>
      </c>
      <c r="AG3" s="24" t="s">
        <v>14</v>
      </c>
      <c r="AH3" s="24" t="s">
        <v>15</v>
      </c>
      <c r="AI3" s="24" t="s">
        <v>16</v>
      </c>
      <c r="AJ3" s="24" t="s">
        <v>17</v>
      </c>
      <c r="AK3" s="24" t="s">
        <v>18</v>
      </c>
      <c r="AL3" s="24" t="s">
        <v>19</v>
      </c>
      <c r="AM3" s="24" t="s">
        <v>3</v>
      </c>
      <c r="AN3" s="24" t="s">
        <v>65</v>
      </c>
      <c r="AO3" s="24" t="s">
        <v>66</v>
      </c>
      <c r="AP3" s="25" t="s">
        <v>69</v>
      </c>
      <c r="AQ3" s="25" t="s">
        <v>70</v>
      </c>
      <c r="AR3" s="26" t="s">
        <v>20</v>
      </c>
      <c r="AS3" s="26" t="s">
        <v>93</v>
      </c>
      <c r="AT3" s="26" t="s">
        <v>21</v>
      </c>
      <c r="AU3" s="26" t="s">
        <v>22</v>
      </c>
      <c r="AV3" s="26" t="s">
        <v>23</v>
      </c>
      <c r="AW3" s="27" t="s">
        <v>94</v>
      </c>
      <c r="AX3" s="24" t="s">
        <v>95</v>
      </c>
      <c r="AY3" s="27" t="s">
        <v>96</v>
      </c>
      <c r="AZ3" s="24" t="s">
        <v>97</v>
      </c>
      <c r="BA3" s="24" t="s">
        <v>98</v>
      </c>
      <c r="BB3" s="24" t="s">
        <v>99</v>
      </c>
      <c r="BC3" s="24" t="s">
        <v>24</v>
      </c>
      <c r="BD3" s="24" t="s">
        <v>4</v>
      </c>
      <c r="BE3" s="24" t="s">
        <v>5</v>
      </c>
      <c r="BF3" s="26" t="s">
        <v>100</v>
      </c>
      <c r="BG3" s="26" t="s">
        <v>101</v>
      </c>
      <c r="BH3" s="26" t="s">
        <v>102</v>
      </c>
      <c r="BI3" s="24" t="s">
        <v>25</v>
      </c>
      <c r="BJ3" s="24" t="s">
        <v>6</v>
      </c>
    </row>
    <row r="4" spans="1:62" x14ac:dyDescent="0.25">
      <c r="A4" t="s">
        <v>68</v>
      </c>
      <c r="B4" t="s">
        <v>51</v>
      </c>
      <c r="C4" t="s">
        <v>45</v>
      </c>
      <c r="D4" t="s">
        <v>46</v>
      </c>
      <c r="E4">
        <v>2016</v>
      </c>
      <c r="F4" t="str">
        <f>Z4</f>
        <v>10.5194/cp-12-241-2016</v>
      </c>
      <c r="G4">
        <f>AH4*1000</f>
        <v>40250</v>
      </c>
      <c r="H4">
        <f>(AI4-AH4)*1000</f>
        <v>1750</v>
      </c>
      <c r="I4">
        <f>(AH4-AJ4)*1000</f>
        <v>1750</v>
      </c>
      <c r="J4" s="7">
        <f>BF4</f>
        <v>428.7</v>
      </c>
      <c r="K4">
        <f>BH4</f>
        <v>55</v>
      </c>
      <c r="L4">
        <f>BG4</f>
        <v>55</v>
      </c>
      <c r="M4" t="b">
        <v>1</v>
      </c>
      <c r="N4">
        <v>3</v>
      </c>
      <c r="O4" t="s">
        <v>53</v>
      </c>
      <c r="P4" t="s">
        <v>64</v>
      </c>
      <c r="Q4" t="b">
        <v>0</v>
      </c>
      <c r="R4" t="s">
        <v>64</v>
      </c>
      <c r="S4" t="b">
        <v>1</v>
      </c>
      <c r="T4" t="b">
        <v>0</v>
      </c>
      <c r="U4" t="s">
        <v>64</v>
      </c>
      <c r="V4" t="s">
        <v>64</v>
      </c>
      <c r="W4" t="b">
        <v>0</v>
      </c>
      <c r="X4" t="s">
        <v>64</v>
      </c>
      <c r="Y4" s="2" t="s">
        <v>52</v>
      </c>
      <c r="Z4" s="1" t="s">
        <v>27</v>
      </c>
      <c r="AA4" s="2" t="s">
        <v>28</v>
      </c>
      <c r="AB4" s="2" t="s">
        <v>30</v>
      </c>
      <c r="AC4" s="2" t="s">
        <v>31</v>
      </c>
      <c r="AD4" s="2" t="s">
        <v>32</v>
      </c>
      <c r="AE4" s="2" t="s">
        <v>33</v>
      </c>
      <c r="AF4" s="2" t="s">
        <v>34</v>
      </c>
      <c r="AG4" s="2" t="s">
        <v>36</v>
      </c>
      <c r="AH4" s="4">
        <f>AVERAGE(AI4:AJ4)</f>
        <v>40.25</v>
      </c>
      <c r="AI4" s="2">
        <v>42</v>
      </c>
      <c r="AJ4" s="2">
        <v>38.5</v>
      </c>
      <c r="AK4" s="2" t="s">
        <v>64</v>
      </c>
      <c r="AL4" s="2" t="s">
        <v>71</v>
      </c>
      <c r="AM4" s="2">
        <v>1</v>
      </c>
      <c r="AN4" s="2">
        <v>21.709199999999999</v>
      </c>
      <c r="AO4" s="2">
        <v>110.88872000000001</v>
      </c>
      <c r="AP4" s="8" t="s">
        <v>64</v>
      </c>
      <c r="AQ4" s="8" t="s">
        <v>64</v>
      </c>
      <c r="AR4" s="2">
        <v>30</v>
      </c>
      <c r="AS4" s="2" t="s">
        <v>26</v>
      </c>
      <c r="AT4" s="2" t="s">
        <v>37</v>
      </c>
      <c r="AU4" s="2" t="s">
        <v>64</v>
      </c>
      <c r="AV4" s="2" t="s">
        <v>64</v>
      </c>
      <c r="AW4" s="2">
        <v>50.1</v>
      </c>
      <c r="AX4" s="2">
        <v>2.2999999999999998</v>
      </c>
      <c r="AY4" s="2" t="s">
        <v>64</v>
      </c>
      <c r="AZ4" s="2" t="s">
        <v>64</v>
      </c>
      <c r="BA4" s="2">
        <v>2.09</v>
      </c>
      <c r="BB4" s="2">
        <v>0.1</v>
      </c>
      <c r="BC4" s="2" t="s">
        <v>38</v>
      </c>
      <c r="BD4" s="2" t="s">
        <v>64</v>
      </c>
      <c r="BE4" s="2" t="s">
        <v>2</v>
      </c>
      <c r="BF4" s="5">
        <v>428.7</v>
      </c>
      <c r="BG4" s="2">
        <v>55</v>
      </c>
      <c r="BH4" s="2">
        <v>55</v>
      </c>
      <c r="BI4" s="2" t="s">
        <v>64</v>
      </c>
      <c r="BJ4" s="3"/>
    </row>
    <row r="5" spans="1:62" x14ac:dyDescent="0.25">
      <c r="A5" t="s">
        <v>68</v>
      </c>
      <c r="B5" t="s">
        <v>51</v>
      </c>
      <c r="C5" t="s">
        <v>45</v>
      </c>
      <c r="D5" t="s">
        <v>46</v>
      </c>
      <c r="E5">
        <v>2016</v>
      </c>
      <c r="F5" t="str">
        <f>Z5</f>
        <v>10.5194/cp-12-241-2016</v>
      </c>
      <c r="G5">
        <f>AH5*1000</f>
        <v>40250</v>
      </c>
      <c r="H5">
        <f>(AI5-AH5)*1000</f>
        <v>1750</v>
      </c>
      <c r="I5">
        <f>(AH5-AJ5)*1000</f>
        <v>1750</v>
      </c>
      <c r="J5" s="7">
        <f>BF5</f>
        <v>573.76666666666665</v>
      </c>
      <c r="K5">
        <f>BH5</f>
        <v>55</v>
      </c>
      <c r="L5">
        <f>BG5</f>
        <v>55</v>
      </c>
      <c r="M5" t="b">
        <v>1</v>
      </c>
      <c r="N5">
        <v>3</v>
      </c>
      <c r="O5" t="s">
        <v>53</v>
      </c>
      <c r="P5" t="s">
        <v>64</v>
      </c>
      <c r="Q5" t="b">
        <v>0</v>
      </c>
      <c r="R5" t="s">
        <v>64</v>
      </c>
      <c r="S5" t="b">
        <v>1</v>
      </c>
      <c r="T5" t="b">
        <v>0</v>
      </c>
      <c r="U5" t="s">
        <v>64</v>
      </c>
      <c r="V5" t="s">
        <v>64</v>
      </c>
      <c r="W5" t="b">
        <v>0</v>
      </c>
      <c r="X5" t="s">
        <v>64</v>
      </c>
      <c r="Y5" s="2" t="s">
        <v>52</v>
      </c>
      <c r="Z5" s="1" t="s">
        <v>27</v>
      </c>
      <c r="AA5" s="2" t="s">
        <v>29</v>
      </c>
      <c r="AB5" s="2" t="s">
        <v>30</v>
      </c>
      <c r="AC5" s="2" t="s">
        <v>31</v>
      </c>
      <c r="AD5" s="2" t="s">
        <v>32</v>
      </c>
      <c r="AE5" s="2" t="s">
        <v>33</v>
      </c>
      <c r="AF5" s="2" t="s">
        <v>35</v>
      </c>
      <c r="AG5" s="2" t="s">
        <v>36</v>
      </c>
      <c r="AH5" s="4">
        <f>AVERAGE(AI5:AJ5)</f>
        <v>40.25</v>
      </c>
      <c r="AI5" s="2">
        <v>42</v>
      </c>
      <c r="AJ5" s="2">
        <v>38.5</v>
      </c>
      <c r="AK5" s="2" t="s">
        <v>64</v>
      </c>
      <c r="AL5" s="2" t="s">
        <v>71</v>
      </c>
      <c r="AM5" s="2">
        <v>3</v>
      </c>
      <c r="AN5" s="2">
        <v>21.709199999999999</v>
      </c>
      <c r="AO5" s="2">
        <v>110.88872000000001</v>
      </c>
      <c r="AP5" s="8" t="s">
        <v>64</v>
      </c>
      <c r="AQ5" s="8" t="s">
        <v>64</v>
      </c>
      <c r="AR5" s="2">
        <v>30</v>
      </c>
      <c r="AS5" s="2" t="s">
        <v>0</v>
      </c>
      <c r="AT5" s="2" t="s">
        <v>37</v>
      </c>
      <c r="AU5" s="2" t="s">
        <v>64</v>
      </c>
      <c r="AV5" s="2" t="s">
        <v>64</v>
      </c>
      <c r="AW5" s="4">
        <f>AVERAGE(46.5,44,45.6)</f>
        <v>45.366666666666667</v>
      </c>
      <c r="AX5" s="2">
        <f>AVERAGE(1.96,1.9,1.75)</f>
        <v>1.8699999999999999</v>
      </c>
      <c r="AY5" s="2" t="s">
        <v>64</v>
      </c>
      <c r="AZ5" s="2" t="s">
        <v>64</v>
      </c>
      <c r="BA5" s="2">
        <f>AVERAGE(1.96,1.9,1.75)</f>
        <v>1.8699999999999999</v>
      </c>
      <c r="BB5" s="2">
        <v>0.1</v>
      </c>
      <c r="BC5" s="2" t="s">
        <v>38</v>
      </c>
      <c r="BD5" s="2" t="s">
        <v>64</v>
      </c>
      <c r="BE5" s="2" t="s">
        <v>1</v>
      </c>
      <c r="BF5" s="6">
        <f>AVERAGE(557.6,576.5,587.2)</f>
        <v>573.76666666666665</v>
      </c>
      <c r="BG5" s="2">
        <v>55</v>
      </c>
      <c r="BH5" s="2">
        <v>55</v>
      </c>
      <c r="BI5" s="2" t="s">
        <v>64</v>
      </c>
      <c r="BJ5" s="3"/>
    </row>
  </sheetData>
  <phoneticPr fontId="3" type="noConversion"/>
  <hyperlinks>
    <hyperlink ref="Z5" r:id="rId1" display="10.1098/rstb.1998.0193" xr:uid="{00000000-0004-0000-0000-000001000000}"/>
    <hyperlink ref="Z4" r:id="rId2" display="10.1098/rstb.1998.0193" xr:uid="{00000000-0004-0000-0000-000000000000}"/>
  </hyperlinks>
  <pageMargins left="0.7" right="0.7" top="0.75" bottom="0.75" header="0.3" footer="0.3"/>
  <pageSetup orientation="portrait" horizontalDpi="4294967292" verticalDpi="4294967292" r:id="rId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stomatal ratio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Dana Royer</cp:lastModifiedBy>
  <dcterms:created xsi:type="dcterms:W3CDTF">2017-12-08T17:22:00Z</dcterms:created>
  <dcterms:modified xsi:type="dcterms:W3CDTF">2022-06-27T13:05:05Z</dcterms:modified>
</cp:coreProperties>
</file>