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Daphnia/Desktop/"/>
    </mc:Choice>
  </mc:AlternateContent>
  <xr:revisionPtr revIDLastSave="0" documentId="13_ncr:1_{18F63BC8-605C-664B-9567-BFBA324E72BB}" xr6:coauthVersionLast="47" xr6:coauthVersionMax="47" xr10:uidLastSave="{00000000-0000-0000-0000-000000000000}"/>
  <bookViews>
    <workbookView xWindow="0" yWindow="2720" windowWidth="28800" windowHeight="14780" tabRatio="500" xr2:uid="{00000000-000D-0000-FFFF-FFFF00000000}"/>
  </bookViews>
  <sheets>
    <sheet name="stomatal index"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J27" i="1" l="1"/>
  <c r="AI27" i="1"/>
  <c r="AJ26" i="1"/>
  <c r="AI26" i="1"/>
  <c r="AJ25" i="1"/>
  <c r="AI25" i="1"/>
  <c r="F5" i="1" l="1"/>
  <c r="I5" i="1"/>
  <c r="J5" i="1"/>
  <c r="K5" i="1"/>
  <c r="L5" i="1"/>
  <c r="F6" i="1"/>
  <c r="J6" i="1"/>
  <c r="K6" i="1"/>
  <c r="L6" i="1"/>
  <c r="F7" i="1"/>
  <c r="J7" i="1"/>
  <c r="K7" i="1"/>
  <c r="L7" i="1"/>
  <c r="F8" i="1"/>
  <c r="J8" i="1"/>
  <c r="K8" i="1"/>
  <c r="L8" i="1"/>
  <c r="F9" i="1"/>
  <c r="G9" i="1"/>
  <c r="H9" i="1"/>
  <c r="J9" i="1"/>
  <c r="K9" i="1"/>
  <c r="L9" i="1"/>
  <c r="F10" i="1"/>
  <c r="I10" i="1"/>
  <c r="J10" i="1"/>
  <c r="K10" i="1"/>
  <c r="L10" i="1"/>
  <c r="F11" i="1"/>
  <c r="J11" i="1"/>
  <c r="K11" i="1"/>
  <c r="L11" i="1"/>
  <c r="F12" i="1"/>
  <c r="J12" i="1"/>
  <c r="K12" i="1"/>
  <c r="L12" i="1"/>
  <c r="F13" i="1"/>
  <c r="I13" i="1"/>
  <c r="J13" i="1"/>
  <c r="K13" i="1"/>
  <c r="L13" i="1"/>
  <c r="F14" i="1"/>
  <c r="J14" i="1"/>
  <c r="K14" i="1"/>
  <c r="L14" i="1"/>
  <c r="F15" i="1"/>
  <c r="G15" i="1"/>
  <c r="J15" i="1"/>
  <c r="K15" i="1"/>
  <c r="L15" i="1"/>
  <c r="F16" i="1"/>
  <c r="J16" i="1"/>
  <c r="K16" i="1"/>
  <c r="L16" i="1"/>
  <c r="F17" i="1"/>
  <c r="I17" i="1"/>
  <c r="J17" i="1"/>
  <c r="K17" i="1"/>
  <c r="L17" i="1"/>
  <c r="F18" i="1"/>
  <c r="I18" i="1"/>
  <c r="J18" i="1"/>
  <c r="K18" i="1"/>
  <c r="L18" i="1"/>
  <c r="F19" i="1"/>
  <c r="G19" i="1"/>
  <c r="J19" i="1"/>
  <c r="K19" i="1"/>
  <c r="L19" i="1"/>
  <c r="F20" i="1"/>
  <c r="J20" i="1"/>
  <c r="K20" i="1"/>
  <c r="L20" i="1"/>
  <c r="F21" i="1"/>
  <c r="G21" i="1"/>
  <c r="H21" i="1"/>
  <c r="I21" i="1"/>
  <c r="J21" i="1"/>
  <c r="K21" i="1"/>
  <c r="L21" i="1"/>
  <c r="F22" i="1"/>
  <c r="J22" i="1"/>
  <c r="K22" i="1"/>
  <c r="L22" i="1"/>
  <c r="F23" i="1"/>
  <c r="J23" i="1"/>
  <c r="K23" i="1"/>
  <c r="L23" i="1"/>
  <c r="F24" i="1"/>
  <c r="J24" i="1"/>
  <c r="K24" i="1"/>
  <c r="L24" i="1"/>
  <c r="F25" i="1"/>
  <c r="G25" i="1"/>
  <c r="H25" i="1"/>
  <c r="I25" i="1"/>
  <c r="J25" i="1"/>
  <c r="K25" i="1"/>
  <c r="L25" i="1"/>
  <c r="F26" i="1"/>
  <c r="G26" i="1"/>
  <c r="H26" i="1"/>
  <c r="I26" i="1"/>
  <c r="J26" i="1"/>
  <c r="K26" i="1"/>
  <c r="L26" i="1"/>
  <c r="F27" i="1"/>
  <c r="G27" i="1"/>
  <c r="H27" i="1"/>
  <c r="I27" i="1"/>
  <c r="J27" i="1"/>
  <c r="K27" i="1"/>
  <c r="L27" i="1"/>
  <c r="L4" i="1"/>
  <c r="K4" i="1"/>
  <c r="J4" i="1"/>
  <c r="H4" i="1"/>
  <c r="G4" i="1"/>
  <c r="F4" i="1"/>
  <c r="AH5" i="1"/>
  <c r="G5" i="1" s="1"/>
  <c r="AH6" i="1"/>
  <c r="G6" i="1" s="1"/>
  <c r="AH7" i="1"/>
  <c r="H7" i="1" s="1"/>
  <c r="AH8" i="1"/>
  <c r="I8" i="1" s="1"/>
  <c r="AH9" i="1"/>
  <c r="I9" i="1" s="1"/>
  <c r="AH10" i="1"/>
  <c r="G10" i="1" s="1"/>
  <c r="AH11" i="1"/>
  <c r="H11" i="1" s="1"/>
  <c r="AH12" i="1"/>
  <c r="I12" i="1" s="1"/>
  <c r="AH13" i="1"/>
  <c r="H13" i="1" s="1"/>
  <c r="AH14" i="1"/>
  <c r="G14" i="1" s="1"/>
  <c r="AH15" i="1"/>
  <c r="H15" i="1" s="1"/>
  <c r="AH16" i="1"/>
  <c r="I16" i="1" s="1"/>
  <c r="AH17" i="1"/>
  <c r="G17" i="1" s="1"/>
  <c r="AH18" i="1"/>
  <c r="G18" i="1" s="1"/>
  <c r="AH19" i="1"/>
  <c r="H19" i="1" s="1"/>
  <c r="AH20" i="1"/>
  <c r="I20" i="1" s="1"/>
  <c r="AH21" i="1"/>
  <c r="AH22" i="1"/>
  <c r="G22" i="1" s="1"/>
  <c r="AH23" i="1"/>
  <c r="H23" i="1" s="1"/>
  <c r="AH24" i="1"/>
  <c r="I24" i="1" s="1"/>
  <c r="AH4" i="1"/>
  <c r="I4" i="1" s="1"/>
  <c r="G7" i="1" l="1"/>
  <c r="I22" i="1"/>
  <c r="H5" i="1"/>
  <c r="G13" i="1"/>
  <c r="G23" i="1"/>
  <c r="H17" i="1"/>
  <c r="I14" i="1"/>
  <c r="G11" i="1"/>
  <c r="I6" i="1"/>
  <c r="H24" i="1"/>
  <c r="H20" i="1"/>
  <c r="H16" i="1"/>
  <c r="H12" i="1"/>
  <c r="H8" i="1"/>
  <c r="G24" i="1"/>
  <c r="G20" i="1"/>
  <c r="G16" i="1"/>
  <c r="G12" i="1"/>
  <c r="G8" i="1"/>
  <c r="I23" i="1"/>
  <c r="H22" i="1"/>
  <c r="I19" i="1"/>
  <c r="H18" i="1"/>
  <c r="I15" i="1"/>
  <c r="H14" i="1"/>
  <c r="I11" i="1"/>
  <c r="H10" i="1"/>
  <c r="I7" i="1"/>
  <c r="H6" i="1"/>
</calcChain>
</file>

<file path=xl/sharedStrings.xml><?xml version="1.0" encoding="utf-8"?>
<sst xmlns="http://schemas.openxmlformats.org/spreadsheetml/2006/main" count="862" uniqueCount="178">
  <si>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</si>
  <si>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</si>
  <si>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</si>
  <si>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</si>
  <si>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</si>
  <si>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</si>
  <si>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</si>
  <si>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</si>
  <si>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</si>
  <si>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</si>
  <si>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</si>
  <si>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</si>
  <si>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</si>
  <si>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</si>
  <si>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</si>
  <si>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</si>
  <si>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</si>
  <si>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</si>
  <si>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</si>
  <si>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</si>
  <si>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</si>
  <si>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</si>
  <si>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</si>
  <si>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</si>
  <si>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</si>
  <si>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</si>
  <si>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</si>
  <si>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</si>
  <si>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</si>
  <si>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</si>
  <si>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</si>
  <si>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</si>
  <si>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</si>
  <si>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Dana L. Royer</t>
  </si>
  <si>
    <t>Ginkgoaceae</t>
  </si>
  <si>
    <t>Ginkgo</t>
  </si>
  <si>
    <t>adiantoides</t>
  </si>
  <si>
    <t>Fort Union (Bighorn Basin)</t>
  </si>
  <si>
    <t>microscope</t>
  </si>
  <si>
    <t>0.1795 mm2</t>
  </si>
  <si>
    <t>fields-of-view were partly comprised of non-stomatal-bearing areas (for example, over top major veins); the field-of-view fraction that was usable was not measured; as such, the measured stomatal densities are not particularly useful.</t>
  </si>
  <si>
    <t>Ginkgo biloba</t>
  </si>
  <si>
    <t>?</t>
  </si>
  <si>
    <t>Royer et al. 2001</t>
  </si>
  <si>
    <t>10.1126/science.292.5525.2310</t>
  </si>
  <si>
    <t>Burbank site</t>
  </si>
  <si>
    <t>University of Alberta (dlr 00129-00135)</t>
  </si>
  <si>
    <t>Paskapoo</t>
  </si>
  <si>
    <t>Ti-3 NALMA</t>
  </si>
  <si>
    <t>biostratigraphy (middle Tiffanian, Ti-3)</t>
  </si>
  <si>
    <t>Joffre Bridge site</t>
  </si>
  <si>
    <t>University of Alberta (dlr 00136-00140)</t>
  </si>
  <si>
    <t>SLW 0025 site</t>
  </si>
  <si>
    <t>Smithsonian Museum of Natural History (USNM 519351-519357)</t>
  </si>
  <si>
    <t>Ti-5 NALMA</t>
  </si>
  <si>
    <t>2.1 Myrs before the PETM (Age Model 2 in Wing et al., 2000, which uses measured sections, biostratigraphy, the PETM carbon isotope excursion, and one Ar/Ar radiometric date; see Royer 2003 for details and for Wing citation)</t>
  </si>
  <si>
    <t>LJH 7132 site</t>
  </si>
  <si>
    <t>Yale Peabody Museum (USNM 511364, YPM 45196-45198, YPM 45914)</t>
  </si>
  <si>
    <t>Ti-6/Cf-1 NALMA</t>
  </si>
  <si>
    <t>1.2 Myrs before the PETM (Age Model 2 in Wing et al., 2000, which uses measured sections, biostratigraphy, the PETM carbon isotope excursion, and one Ar/Ar radiometric date; see Royer 2003 for details and for Wing citation)</t>
  </si>
  <si>
    <t>SLW 993 site</t>
  </si>
  <si>
    <t>Smithsonian Museum of Natural History (USNM 516616-516622)</t>
  </si>
  <si>
    <t>~1195 m above the KPg boundary</t>
  </si>
  <si>
    <t>0.7 Myrs before the PETM (Age Model 2 in Wing et al., 2000, which uses measured sections, biostratigraphy, the PETM carbon isotope excursion, and one Ar/Ar radiometric date; see Royer 2003 for details and for Wing citation)</t>
  </si>
  <si>
    <t>SLW 992 site</t>
  </si>
  <si>
    <t>Smithsonian Museum of Natural History (USNM 519363, USNM 519367)</t>
  </si>
  <si>
    <t>SLW 991 site</t>
  </si>
  <si>
    <t>Smithsonian Museum of Natural History (USNM 519358-519362)</t>
  </si>
  <si>
    <t>LJH 72141-1 site</t>
  </si>
  <si>
    <t>Smithsonian Museum of Natural History and Yale Peabody Museum (YPM 45129-45130)</t>
  </si>
  <si>
    <t>Cf2 NALMA</t>
  </si>
  <si>
    <t>0.6 Myrs before the PETM (Age Model 2 in Wing et al., 2000, which uses measured sections, biostratigraphy, the PETM carbon isotope excursion, and one Ar/Ar radiometric date; see Royer 2003 for details and for Wing citation)</t>
  </si>
  <si>
    <t>SLW 9155 site</t>
  </si>
  <si>
    <t>Smithsonian Museum of Natural History (USNM 519368-519377)</t>
  </si>
  <si>
    <t>~100 m below Wa-0 NALMA (Cf2/Cf3)</t>
  </si>
  <si>
    <t>0.5 Myrs before the PETM (Age Model 2 in Wing et al., 2000, which uses measured sections, biostratigraphy, the PETM carbon isotope excursion, and one Ar/Ar radiometric date; see Royer 2003 for details and for Wing citation)</t>
  </si>
  <si>
    <t>SLW 9411 site</t>
  </si>
  <si>
    <t>Smithsonian Museum of Natural History (USNM 519378-519385)</t>
  </si>
  <si>
    <t>~50 m below Wa-0 NALMA</t>
  </si>
  <si>
    <t>0.4 Myrs before the PETM (Age Model 2 in Wing et al., 2000, which uses measured sections, biostratigraphy, the PETM carbon isotope excursion, and one Ar/Ar radiometric date; see Royer 2003 for details and for Wing citation)</t>
  </si>
  <si>
    <t>SLW 9434 site</t>
  </si>
  <si>
    <t>Smithsonian Museum of Natural History (USNM 519386-519392)</t>
  </si>
  <si>
    <t>~30 m below Wa-0 NALMA</t>
  </si>
  <si>
    <t>0.2 Myrs before the PETM (Age Model 2 in Wing et al., 2000, which uses measured sections, biostratigraphy, the PETM carbon isotope excursion, and one Ar/Ar radiometric date; see Royer 2003 for details and for Wing citation)</t>
  </si>
  <si>
    <t>SLW 9715 site</t>
  </si>
  <si>
    <t>Smithsonian Museum of Natural History (dlr 0071-0075, 0081-0085, 00100-00101)</t>
  </si>
  <si>
    <t>~1470 m above the KPg boundary</t>
  </si>
  <si>
    <t>0.1 Myrs before the PETM (Age Model 2 in Wing et al., 2000, which uses measured sections, biostratigraphy, the PETM carbon isotope excursion, and one Ar/Ar radiometric date; see Royer 2003 for details and for Wing citation)</t>
  </si>
  <si>
    <t>SLW 9050 site</t>
  </si>
  <si>
    <t>Smithsonian Museum of Natural History (dlr 00110-00114)</t>
  </si>
  <si>
    <t>~25 m below Wa-0 NALMA</t>
  </si>
  <si>
    <t>SLW 9936 site</t>
  </si>
  <si>
    <t>Smithsonian Museum of Natural History (dlr 9960-9964, dlr 9939-9942, dlr 9955-9959)</t>
  </si>
  <si>
    <t>SLW 8612 site</t>
  </si>
  <si>
    <t>Smithsonian Museum of Natural History (dlr 9947-9951, dlr 9943-9944)</t>
  </si>
  <si>
    <t>~15 m below Wa-0 NALMA</t>
  </si>
  <si>
    <t>SLW 9812 site</t>
  </si>
  <si>
    <t>Smithsonian Museum of Natural History (dlr 0076-0080, dlr 0086-0099, dlr 00102-00104)</t>
  </si>
  <si>
    <t>Willwood (Bighorn Basin)</t>
  </si>
  <si>
    <t>~1570 m above the KPg boundary</t>
  </si>
  <si>
    <t>0.1 Myrs after the PETM (Age Model 2 in Wing et al., 2000, which uses measured sections, biostratigraphy, the PETM carbon isotope excursion, and one Ar/Ar radiometric date; see Royer 2003 for details and for Wing citation)</t>
  </si>
  <si>
    <t>SLW 9915 site</t>
  </si>
  <si>
    <t>Smithsonian Museum of Natural History (USNM 519393-519398)</t>
  </si>
  <si>
    <t>~1720 m above the KPg boundary</t>
  </si>
  <si>
    <t>0.4 Myrs after the PETM (Age Model 2 in Wing et al., 2000, which uses measured sections, biostratigraphy, the PETM carbon isotope excursion, and one Ar/Ar radiometric date; see Royer 2003 for details and for Wing citation)</t>
  </si>
  <si>
    <t>SLW LB site</t>
  </si>
  <si>
    <t>Smithsonian Museum of Natural History (USNM 519399-519403)</t>
  </si>
  <si>
    <t>~311 m above the Wa-0 NALMA</t>
  </si>
  <si>
    <t>1.3 Myrs after the PETM (Age Model 2 in Wing et al., 2000, which uses measured sections, biostratigraphy, the PETM carbon isotope excursion, and one Ar/Ar radiometric date; see Royer 2003 for details and for Wing citation)</t>
  </si>
  <si>
    <t>SLW H site</t>
  </si>
  <si>
    <t>Smithsonian Museum of Natural History (USNM 519404-519412)</t>
  </si>
  <si>
    <t>~420 m above the Wa-0 NALMA</t>
  </si>
  <si>
    <t>1.7 Myrs after the PETM (Age Model 2 in Wing et al., 2000, which uses measured sections, biostratigraphy, the PETM carbon isotope excursion, and one Ar/Ar radiometric date; see Royer 2003 for details and for Wing citation)</t>
  </si>
  <si>
    <t>LJH 9915 site</t>
  </si>
  <si>
    <t>Yale Peabody Museum (YPM 48029, YPM 48002, YPM 40776, YPM 40777, YPM 40778, YPM 47747, YPM 47754, YPM 47780, YPM 47753, YPM 47802, YPM 47833, YPM 47942, YPM 47971, YPM 47939)</t>
  </si>
  <si>
    <t>~429 m above the Wa-0 NALMA</t>
  </si>
  <si>
    <t>1.8 Myrs after the PETM (Age Model 2 in Wing et al., 2000, which uses measured sections, biostratigraphy, the PETM carbon isotope excursion, and one Ar/Ar radiometric date; see Royer 2003 for details and for Wing citation)</t>
  </si>
  <si>
    <t>Juliaetta site (P6)</t>
  </si>
  <si>
    <t>Yale Peabody Museum (YPM 45174-45185)</t>
  </si>
  <si>
    <t>Latah</t>
  </si>
  <si>
    <t>radiometric constraints (Reidel &amp; Fecht, 1987; 10.1130/0016-7606(1987)98&lt;664:thfeos&gt;2.0.co;2)</t>
  </si>
  <si>
    <t>Clarkia site (P33a)</t>
  </si>
  <si>
    <t>Cupressaceae</t>
  </si>
  <si>
    <t>Metasequoia</t>
  </si>
  <si>
    <t>occidentalis</t>
  </si>
  <si>
    <t>Yale Peabody Museum (YPM 45186-45188)</t>
  </si>
  <si>
    <t>Metasequoia glyptostroboides</t>
  </si>
  <si>
    <t>Clarkia site (P33b)</t>
  </si>
  <si>
    <t>Yale Peabody Museum (YPM 45193-45195)</t>
  </si>
  <si>
    <t>Emerald Creek site (P37a)</t>
  </si>
  <si>
    <t>Yale Peabody Museum (YPM 45189-45192)</t>
  </si>
  <si>
    <t>Royer (2003)</t>
  </si>
  <si>
    <t>Uncertainties only in the calibration function are included</t>
  </si>
  <si>
    <t>mean</t>
  </si>
  <si>
    <t>95% confidence intervals</t>
  </si>
  <si>
    <t>slightly right skewed</t>
  </si>
  <si>
    <t>this is the original estimate; it has been updated with more rigorous error propagation by Beerling et al. (2009); see above for revised estimate</t>
  </si>
  <si>
    <t>name of person entering product data</t>
  </si>
  <si>
    <t>email of person entering product data</t>
  </si>
  <si>
    <t>proxy</t>
  </si>
  <si>
    <t>first_author_last_name</t>
  </si>
  <si>
    <t>publication_year</t>
  </si>
  <si>
    <t>age_ka</t>
  </si>
  <si>
    <t>Age_uncertainty_pos_ka</t>
  </si>
  <si>
    <t>Age_uncertainty_neg_ka</t>
  </si>
  <si>
    <t>specify reason for quarantine</t>
  </si>
  <si>
    <t>specify reason for age revision</t>
  </si>
  <si>
    <t>stomata-SI</t>
  </si>
  <si>
    <t>Royer</t>
  </si>
  <si>
    <t>droyer@wesleyan.edu</t>
  </si>
  <si>
    <t>10.2475/09.2009.01</t>
  </si>
  <si>
    <t>Estimate updated by Beerling et al. (2009)</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</si>
  <si>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</si>
  <si>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</si>
  <si>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</si>
  <si>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</si>
  <si>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</si>
  <si>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</si>
  <si>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</si>
  <si>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</si>
  <si>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</si>
  <si>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</si>
  <si>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</si>
  <si>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</si>
  <si>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</si>
  <si>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</si>
  <si>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</si>
  <si>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Longtitude (decimal degree, west negative)</t>
  </si>
  <si>
    <t>Paleo Latitude (decimal degree, south negative)</t>
  </si>
  <si>
    <t>Paleo Longitude (decimal degree, west negative)</t>
  </si>
  <si>
    <t>GTS2020</t>
  </si>
  <si>
    <t>Biostratigraphy updated to GTS2020</t>
  </si>
  <si>
    <t>10.1029/2020PA003900</t>
  </si>
  <si>
    <t>New radiometric constraints; see summary in Steinthorsdottir et al. (2020: 10.1029/2020PA003900)</t>
  </si>
  <si>
    <t>U-Pb zircon ages from interbedded volcanic ashes at the P-33 type locality; reported in Hofig et al., 2021, Geology, 
https://doi.org/10.1130/G48901.1; this age supercedes the age reported in Royer et al., 2001 (15.3 Ma)</t>
  </si>
  <si>
    <t>U-Pb zircon ages from interbedded volcanic ashes at the P-33 type locality; reported in Hofig et al., 2021, Geology, 
https://doi.org/10.1130/G48901.1; this age supercedes the age reported in Royer et al., 2001 (15.2 Ma)</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</si>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</sst>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charset val="1"/>
    </font>
    <font>
      <b/>
      <sz val="12"/>
      <name val="Calibri"/>
      <family val="2"/>
      <scheme val="minor"/>
    </font>
    <font>
      <sz val="8"/>
      <name val="Calibri"/>
      <family val="2"/>
      <scheme val="minor"/>
    </font>
  </fonts>
  <fills count="3">
    <fill>
      <patternFill patternType="none"/>
    </fill>
    <fill>
      <patternFill patternType="gray125"/>
    </fill>
    <fill>
      <patternFill patternType="solid">
        <fgColor theme="9" tint="0.79998168889431442"/>
        <bgColor indexed="64"/>
      </patternFill>
    </fill>
  </fills>
  <borders count="5">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xf numFmtId="0" fontId="1" fillId="0" borderId="0"/>
  </cellStyleXfs>
  <cellXfs count="26">
    <xf numFmtId="0" fontId="0" fillId="0" borderId="0" xfId="0"/>
    <xf numFmtId="0" fontId="2" fillId="0" borderId="0" xfId="0" applyFont="1" applyAlignment="1">
      <alignment wrapText="1"/>
    </xf>
    <xf numFmtId="0" fontId="0" fillId="0" borderId="0" xfId="0" applyAlignment="1">
      <alignment horizontal="right"/>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1" xfId="0" applyBorder="1" applyAlignment="1">
      <alignment wrapText="1"/>
    </xf>
    <xf numFmtId="0" fontId="3" fillId="0" borderId="1" xfId="0" applyFont="1" applyBorder="1" applyAlignment="1">
      <alignment wrapText="1"/>
    </xf>
    <xf numFmtId="0" fontId="3" fillId="0" borderId="2" xfId="0" applyFont="1" applyBorder="1" applyAlignment="1">
      <alignment wrapText="1"/>
    </xf>
    <xf numFmtId="0" fontId="3" fillId="0" borderId="2" xfId="0" applyFont="1" applyBorder="1"/>
    <xf numFmtId="0" fontId="0" fillId="0" borderId="2" xfId="0" applyBorder="1"/>
    <xf numFmtId="0" fontId="0" fillId="0" borderId="2" xfId="0" quotePrefix="1" applyBorder="1" applyAlignment="1">
      <alignment wrapText="1"/>
    </xf>
    <xf numFmtId="0" fontId="0" fillId="0" borderId="3" xfId="0" quotePrefix="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4" fillId="0" borderId="0" xfId="0" applyFont="1" applyAlignment="1">
      <alignment vertical="top" wrapText="1"/>
    </xf>
    <xf numFmtId="0" fontId="2" fillId="0" borderId="0" xfId="0" applyFont="1" applyAlignment="1">
      <alignment horizontal="center" vertical="top" wrapText="1"/>
    </xf>
    <xf numFmtId="2" fontId="2" fillId="0" borderId="0" xfId="0" applyNumberFormat="1" applyFont="1" applyAlignment="1">
      <alignment horizontal="center" vertical="top" wrapText="1"/>
    </xf>
    <xf numFmtId="0" fontId="4" fillId="2" borderId="0" xfId="0" applyFont="1" applyFill="1" applyAlignment="1">
      <alignment vertical="top" wrapText="1"/>
    </xf>
    <xf numFmtId="0" fontId="2" fillId="2" borderId="0" xfId="0" applyFont="1" applyFill="1" applyAlignment="1">
      <alignment horizontal="center" vertical="top" wrapText="1"/>
    </xf>
    <xf numFmtId="0" fontId="6" fillId="2" borderId="0" xfId="0" applyFont="1" applyFill="1" applyAlignment="1">
      <alignment horizontal="center" vertical="top" wrapText="1"/>
    </xf>
    <xf numFmtId="164" fontId="0" fillId="0" borderId="0" xfId="0" applyNumberFormat="1" applyAlignment="1">
      <alignment horizontal="right"/>
    </xf>
    <xf numFmtId="1" fontId="0" fillId="0" borderId="0" xfId="0" applyNumberFormat="1"/>
    <xf numFmtId="2" fontId="3" fillId="0" borderId="0" xfId="0" applyNumberFormat="1" applyFont="1" applyAlignment="1">
      <alignment horizontal="right" vertical="top"/>
    </xf>
    <xf numFmtId="0" fontId="1" fillId="0" borderId="0" xfId="0" applyFont="1"/>
    <xf numFmtId="0" fontId="3" fillId="0" borderId="0" xfId="0" applyFont="1"/>
  </cellXfs>
  <cellStyles count="3">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27"/>
  <sheetViews>
    <sheetView tabSelected="1" workbookViewId="0">
      <pane ySplit="3" topLeftCell="A4" activePane="bottomLeft" state="frozen"/>
      <selection pane="bottomLeft" activeCell="N4" sqref="N4:N27"/>
    </sheetView>
  </sheetViews>
  <sheetFormatPr baseColWidth="10" defaultColWidth="11" defaultRowHeight="16" x14ac:dyDescent="0.2"/>
  <cols>
    <col min="33" max="33" width="12.1640625" customWidth="1"/>
    <col min="35" max="35" width="12.6640625" customWidth="1"/>
    <col min="36" max="36" width="12.1640625" customWidth="1"/>
    <col min="38" max="38" width="12.6640625" customWidth="1"/>
    <col min="43" max="43" width="12.1640625" customWidth="1"/>
    <col min="44" max="44" width="12.5" customWidth="1"/>
    <col min="50" max="50" width="13.6640625" customWidth="1"/>
    <col min="61" max="61" width="16.1640625" customWidth="1"/>
  </cols>
  <sheetData>
    <row r="3" spans="1:62" s="1" customFormat="1" ht="251" customHeight="1" x14ac:dyDescent="0.2">
      <c r="A3" s="7" t="s">
        <v>137</v>
      </c>
      <c r="B3" s="8" t="s">
        <v>138</v>
      </c>
      <c r="C3" s="9" t="s">
        <v>139</v>
      </c>
      <c r="D3" s="3" t="s">
        <v>140</v>
      </c>
      <c r="E3" s="3" t="s">
        <v>141</v>
      </c>
      <c r="F3" s="10" t="s">
        <v>1</v>
      </c>
      <c r="G3" s="10" t="s">
        <v>142</v>
      </c>
      <c r="H3" s="11" t="s">
        <v>143</v>
      </c>
      <c r="I3" s="11" t="s">
        <v>144</v>
      </c>
      <c r="J3" s="3" t="s">
        <v>152</v>
      </c>
      <c r="K3" s="11" t="s">
        <v>153</v>
      </c>
      <c r="L3" s="12" t="s">
        <v>163</v>
      </c>
      <c r="M3" s="3" t="s">
        <v>154</v>
      </c>
      <c r="N3" s="3" t="s">
        <v>176</v>
      </c>
      <c r="O3" s="3" t="s">
        <v>177</v>
      </c>
      <c r="P3" s="3" t="s">
        <v>155</v>
      </c>
      <c r="Q3" s="4" t="s">
        <v>156</v>
      </c>
      <c r="R3" s="5" t="s">
        <v>157</v>
      </c>
      <c r="S3" s="6" t="s">
        <v>158</v>
      </c>
      <c r="T3" s="3" t="s">
        <v>159</v>
      </c>
      <c r="U3" s="3" t="s">
        <v>145</v>
      </c>
      <c r="V3" s="3" t="s">
        <v>160</v>
      </c>
      <c r="W3" s="13" t="s">
        <v>161</v>
      </c>
      <c r="X3" s="14" t="s">
        <v>146</v>
      </c>
      <c r="Y3" s="18" t="s">
        <v>164</v>
      </c>
      <c r="Z3" s="18" t="s">
        <v>165</v>
      </c>
      <c r="AA3" s="18" t="s">
        <v>2</v>
      </c>
      <c r="AB3" s="18" t="s">
        <v>3</v>
      </c>
      <c r="AC3" s="18" t="s">
        <v>4</v>
      </c>
      <c r="AD3" s="18" t="s">
        <v>5</v>
      </c>
      <c r="AE3" s="18" t="s">
        <v>6</v>
      </c>
      <c r="AF3" s="18" t="s">
        <v>7</v>
      </c>
      <c r="AG3" s="19" t="s">
        <v>8</v>
      </c>
      <c r="AH3" s="18" t="s">
        <v>9</v>
      </c>
      <c r="AI3" s="18" t="s">
        <v>10</v>
      </c>
      <c r="AJ3" s="18" t="s">
        <v>11</v>
      </c>
      <c r="AK3" s="18" t="s">
        <v>12</v>
      </c>
      <c r="AL3" s="18" t="s">
        <v>13</v>
      </c>
      <c r="AM3" s="18" t="s">
        <v>166</v>
      </c>
      <c r="AN3" s="18" t="s">
        <v>167</v>
      </c>
      <c r="AO3" s="20" t="s">
        <v>168</v>
      </c>
      <c r="AP3" s="20" t="s">
        <v>169</v>
      </c>
      <c r="AQ3" s="16" t="s">
        <v>14</v>
      </c>
      <c r="AR3" s="16" t="s">
        <v>15</v>
      </c>
      <c r="AS3" s="16" t="s">
        <v>16</v>
      </c>
      <c r="AT3" s="16" t="s">
        <v>17</v>
      </c>
      <c r="AU3" s="17" t="s">
        <v>18</v>
      </c>
      <c r="AV3" s="17" t="s">
        <v>19</v>
      </c>
      <c r="AW3" s="16" t="s">
        <v>20</v>
      </c>
      <c r="AX3" s="16" t="s">
        <v>21</v>
      </c>
      <c r="AY3" s="17" t="s">
        <v>22</v>
      </c>
      <c r="AZ3" s="17" t="s">
        <v>23</v>
      </c>
      <c r="BA3" s="16" t="s">
        <v>24</v>
      </c>
      <c r="BB3" s="16" t="s">
        <v>25</v>
      </c>
      <c r="BC3" s="16" t="s">
        <v>26</v>
      </c>
      <c r="BD3" s="16" t="s">
        <v>27</v>
      </c>
      <c r="BE3" s="15" t="s">
        <v>28</v>
      </c>
      <c r="BF3" s="16" t="s">
        <v>29</v>
      </c>
      <c r="BG3" s="16" t="s">
        <v>30</v>
      </c>
      <c r="BH3" s="15" t="s">
        <v>31</v>
      </c>
      <c r="BI3" s="15" t="s">
        <v>32</v>
      </c>
      <c r="BJ3" s="15" t="s">
        <v>0</v>
      </c>
    </row>
    <row r="4" spans="1:62" x14ac:dyDescent="0.2">
      <c r="A4" t="s">
        <v>33</v>
      </c>
      <c r="B4" t="s">
        <v>149</v>
      </c>
      <c r="C4" t="s">
        <v>147</v>
      </c>
      <c r="D4" t="s">
        <v>148</v>
      </c>
      <c r="E4">
        <v>2001</v>
      </c>
      <c r="F4" t="str">
        <f>Z4</f>
        <v>10.1126/science.292.5525.2310</v>
      </c>
      <c r="G4">
        <f>AH4*1000</f>
        <v>60375</v>
      </c>
      <c r="H4">
        <f>(AI4-AH4)*1000</f>
        <v>375</v>
      </c>
      <c r="I4">
        <f>(AH4-AJ4)*1000</f>
        <v>375</v>
      </c>
      <c r="J4">
        <f>BD4</f>
        <v>451</v>
      </c>
      <c r="K4" s="22">
        <f>BG4-BD4</f>
        <v>68</v>
      </c>
      <c r="L4" s="22">
        <f>BD4-BF4</f>
        <v>30</v>
      </c>
      <c r="M4" t="b">
        <v>1</v>
      </c>
      <c r="N4">
        <v>3</v>
      </c>
      <c r="O4" t="s">
        <v>151</v>
      </c>
      <c r="P4" t="s">
        <v>150</v>
      </c>
      <c r="Q4" t="b">
        <v>0</v>
      </c>
      <c r="R4" t="s">
        <v>162</v>
      </c>
      <c r="S4" t="b">
        <v>0</v>
      </c>
      <c r="T4" t="b">
        <v>0</v>
      </c>
      <c r="U4" t="s">
        <v>162</v>
      </c>
      <c r="V4" t="s">
        <v>150</v>
      </c>
      <c r="W4" t="b">
        <v>1</v>
      </c>
      <c r="X4" t="s">
        <v>171</v>
      </c>
      <c r="Y4" t="s">
        <v>43</v>
      </c>
      <c r="Z4" t="s">
        <v>44</v>
      </c>
      <c r="AA4" t="s">
        <v>45</v>
      </c>
      <c r="AB4" t="s">
        <v>34</v>
      </c>
      <c r="AC4" t="s">
        <v>35</v>
      </c>
      <c r="AD4" t="s">
        <v>36</v>
      </c>
      <c r="AE4" t="s">
        <v>46</v>
      </c>
      <c r="AF4" t="s">
        <v>47</v>
      </c>
      <c r="AG4" t="s">
        <v>48</v>
      </c>
      <c r="AH4" s="21">
        <f>AVERAGE(AI4:AJ4)</f>
        <v>60.375</v>
      </c>
      <c r="AI4" s="21">
        <v>60.75</v>
      </c>
      <c r="AJ4" s="21">
        <v>60</v>
      </c>
      <c r="AK4" t="s">
        <v>170</v>
      </c>
      <c r="AL4" t="s">
        <v>49</v>
      </c>
      <c r="AM4" s="2">
        <v>52.25</v>
      </c>
      <c r="AN4" t="s">
        <v>42</v>
      </c>
      <c r="AO4" s="2" t="s">
        <v>162</v>
      </c>
      <c r="AP4" s="2" t="s">
        <v>162</v>
      </c>
      <c r="AQ4" s="2">
        <v>3</v>
      </c>
      <c r="AR4" s="2">
        <v>7</v>
      </c>
      <c r="AS4" t="s">
        <v>38</v>
      </c>
      <c r="AT4" t="s">
        <v>39</v>
      </c>
      <c r="AW4" t="s">
        <v>40</v>
      </c>
      <c r="AX4" s="2">
        <v>7.55</v>
      </c>
      <c r="AZ4" s="2">
        <v>0.82</v>
      </c>
      <c r="BA4" t="s">
        <v>41</v>
      </c>
      <c r="BB4" t="s">
        <v>131</v>
      </c>
      <c r="BC4" t="s">
        <v>132</v>
      </c>
      <c r="BD4" s="2">
        <v>451</v>
      </c>
      <c r="BE4" t="s">
        <v>133</v>
      </c>
      <c r="BF4" s="2">
        <v>421</v>
      </c>
      <c r="BG4" s="2">
        <v>519</v>
      </c>
      <c r="BH4" t="s">
        <v>134</v>
      </c>
      <c r="BI4" t="s">
        <v>135</v>
      </c>
      <c r="BJ4" t="s">
        <v>136</v>
      </c>
    </row>
    <row r="5" spans="1:62" x14ac:dyDescent="0.2">
      <c r="A5" t="s">
        <v>33</v>
      </c>
      <c r="B5" t="s">
        <v>149</v>
      </c>
      <c r="C5" t="s">
        <v>147</v>
      </c>
      <c r="D5" t="s">
        <v>148</v>
      </c>
      <c r="E5">
        <v>2001</v>
      </c>
      <c r="F5" t="str">
        <f t="shared" ref="F5:F27" si="0">Z5</f>
        <v>10.1126/science.292.5525.2310</v>
      </c>
      <c r="G5">
        <f t="shared" ref="G5:G27" si="1">AH5*1000</f>
        <v>60375</v>
      </c>
      <c r="H5">
        <f t="shared" ref="H5:H27" si="2">(AI5-AH5)*1000</f>
        <v>375</v>
      </c>
      <c r="I5">
        <f t="shared" ref="I5:I27" si="3">(AH5-AJ5)*1000</f>
        <v>375</v>
      </c>
      <c r="J5">
        <f t="shared" ref="J5:J27" si="4">BD5</f>
        <v>409</v>
      </c>
      <c r="K5" s="22">
        <f t="shared" ref="K5:K27" si="5">BG5-BD5</f>
        <v>38</v>
      </c>
      <c r="L5" s="22">
        <f t="shared" ref="L5:L27" si="6">BD5-BF5</f>
        <v>21</v>
      </c>
      <c r="M5" t="b">
        <v>1</v>
      </c>
      <c r="N5">
        <v>3</v>
      </c>
      <c r="O5" t="s">
        <v>151</v>
      </c>
      <c r="P5" t="s">
        <v>150</v>
      </c>
      <c r="Q5" t="b">
        <v>0</v>
      </c>
      <c r="R5" t="s">
        <v>162</v>
      </c>
      <c r="S5" t="b">
        <v>0</v>
      </c>
      <c r="T5" t="b">
        <v>0</v>
      </c>
      <c r="U5" t="s">
        <v>162</v>
      </c>
      <c r="V5" t="s">
        <v>150</v>
      </c>
      <c r="W5" t="b">
        <v>1</v>
      </c>
      <c r="X5" t="s">
        <v>171</v>
      </c>
      <c r="Y5" t="s">
        <v>43</v>
      </c>
      <c r="Z5" t="s">
        <v>44</v>
      </c>
      <c r="AA5" t="s">
        <v>50</v>
      </c>
      <c r="AB5" t="s">
        <v>34</v>
      </c>
      <c r="AC5" t="s">
        <v>35</v>
      </c>
      <c r="AD5" t="s">
        <v>36</v>
      </c>
      <c r="AE5" t="s">
        <v>51</v>
      </c>
      <c r="AF5" t="s">
        <v>47</v>
      </c>
      <c r="AG5" t="s">
        <v>48</v>
      </c>
      <c r="AH5" s="21">
        <f t="shared" ref="AH5:AH24" si="7">AVERAGE(AI5:AJ5)</f>
        <v>60.375</v>
      </c>
      <c r="AI5" s="21">
        <v>60.75</v>
      </c>
      <c r="AJ5" s="21">
        <v>60</v>
      </c>
      <c r="AK5" t="s">
        <v>170</v>
      </c>
      <c r="AL5" t="s">
        <v>49</v>
      </c>
      <c r="AM5" s="2">
        <v>52.25</v>
      </c>
      <c r="AN5" t="s">
        <v>162</v>
      </c>
      <c r="AO5" s="2" t="s">
        <v>162</v>
      </c>
      <c r="AP5" s="2" t="s">
        <v>162</v>
      </c>
      <c r="AQ5" s="2">
        <v>3</v>
      </c>
      <c r="AR5" s="2">
        <v>5</v>
      </c>
      <c r="AS5" t="s">
        <v>38</v>
      </c>
      <c r="AT5" t="s">
        <v>39</v>
      </c>
      <c r="AW5" t="s">
        <v>40</v>
      </c>
      <c r="AX5" s="2">
        <v>7.96</v>
      </c>
      <c r="AZ5" s="2">
        <v>0.84</v>
      </c>
      <c r="BA5" t="s">
        <v>41</v>
      </c>
      <c r="BB5" t="s">
        <v>131</v>
      </c>
      <c r="BC5" t="s">
        <v>132</v>
      </c>
      <c r="BD5" s="2">
        <v>409</v>
      </c>
      <c r="BE5" t="s">
        <v>133</v>
      </c>
      <c r="BF5" s="2">
        <v>388</v>
      </c>
      <c r="BG5" s="2">
        <v>447</v>
      </c>
      <c r="BH5" t="s">
        <v>134</v>
      </c>
      <c r="BI5" t="s">
        <v>135</v>
      </c>
      <c r="BJ5" t="s">
        <v>136</v>
      </c>
    </row>
    <row r="6" spans="1:62" x14ac:dyDescent="0.2">
      <c r="A6" t="s">
        <v>33</v>
      </c>
      <c r="B6" t="s">
        <v>149</v>
      </c>
      <c r="C6" t="s">
        <v>147</v>
      </c>
      <c r="D6" t="s">
        <v>148</v>
      </c>
      <c r="E6">
        <v>2001</v>
      </c>
      <c r="F6" t="str">
        <f t="shared" si="0"/>
        <v>10.1126/science.292.5525.2310</v>
      </c>
      <c r="G6">
        <f t="shared" si="1"/>
        <v>58136</v>
      </c>
      <c r="H6">
        <f t="shared" si="2"/>
        <v>299.99999999999716</v>
      </c>
      <c r="I6">
        <f t="shared" si="3"/>
        <v>299.99999999999716</v>
      </c>
      <c r="J6">
        <f t="shared" si="4"/>
        <v>353</v>
      </c>
      <c r="K6" s="22">
        <f t="shared" si="5"/>
        <v>8</v>
      </c>
      <c r="L6" s="22">
        <f t="shared" si="6"/>
        <v>6</v>
      </c>
      <c r="M6" t="b">
        <v>1</v>
      </c>
      <c r="N6">
        <v>3</v>
      </c>
      <c r="O6" t="s">
        <v>151</v>
      </c>
      <c r="P6" t="s">
        <v>150</v>
      </c>
      <c r="Q6" t="b">
        <v>0</v>
      </c>
      <c r="R6" t="s">
        <v>162</v>
      </c>
      <c r="S6" t="b">
        <v>0</v>
      </c>
      <c r="T6" t="b">
        <v>0</v>
      </c>
      <c r="U6" t="s">
        <v>162</v>
      </c>
      <c r="V6" t="s">
        <v>150</v>
      </c>
      <c r="W6" t="b">
        <v>1</v>
      </c>
      <c r="X6" t="s">
        <v>171</v>
      </c>
      <c r="Y6" t="s">
        <v>43</v>
      </c>
      <c r="Z6" t="s">
        <v>44</v>
      </c>
      <c r="AA6" t="s">
        <v>52</v>
      </c>
      <c r="AB6" t="s">
        <v>34</v>
      </c>
      <c r="AC6" t="s">
        <v>35</v>
      </c>
      <c r="AD6" t="s">
        <v>36</v>
      </c>
      <c r="AE6" t="s">
        <v>53</v>
      </c>
      <c r="AF6" t="s">
        <v>37</v>
      </c>
      <c r="AG6" t="s">
        <v>54</v>
      </c>
      <c r="AH6" s="21">
        <f t="shared" si="7"/>
        <v>58.136000000000003</v>
      </c>
      <c r="AI6" s="21">
        <v>58.436</v>
      </c>
      <c r="AJ6" s="21">
        <v>57.836000000000006</v>
      </c>
      <c r="AK6" t="s">
        <v>170</v>
      </c>
      <c r="AL6" t="s">
        <v>55</v>
      </c>
      <c r="AM6" s="2">
        <v>44.86</v>
      </c>
      <c r="AN6" s="2">
        <v>-108.88</v>
      </c>
      <c r="AO6" s="2" t="s">
        <v>162</v>
      </c>
      <c r="AP6" s="2" t="s">
        <v>162</v>
      </c>
      <c r="AQ6" s="2">
        <v>3</v>
      </c>
      <c r="AR6" s="2">
        <v>7</v>
      </c>
      <c r="AS6" t="s">
        <v>38</v>
      </c>
      <c r="AT6" t="s">
        <v>39</v>
      </c>
      <c r="AW6" t="s">
        <v>40</v>
      </c>
      <c r="AX6" s="2">
        <v>9.01</v>
      </c>
      <c r="AZ6" s="2">
        <v>0.71</v>
      </c>
      <c r="BA6" t="s">
        <v>41</v>
      </c>
      <c r="BB6" t="s">
        <v>131</v>
      </c>
      <c r="BC6" t="s">
        <v>132</v>
      </c>
      <c r="BD6" s="2">
        <v>353</v>
      </c>
      <c r="BE6" t="s">
        <v>133</v>
      </c>
      <c r="BF6" s="2">
        <v>347</v>
      </c>
      <c r="BG6" s="2">
        <v>361</v>
      </c>
      <c r="BH6" t="s">
        <v>134</v>
      </c>
      <c r="BI6" t="s">
        <v>135</v>
      </c>
      <c r="BJ6" t="s">
        <v>136</v>
      </c>
    </row>
    <row r="7" spans="1:62" x14ac:dyDescent="0.2">
      <c r="A7" t="s">
        <v>33</v>
      </c>
      <c r="B7" t="s">
        <v>149</v>
      </c>
      <c r="C7" t="s">
        <v>147</v>
      </c>
      <c r="D7" t="s">
        <v>148</v>
      </c>
      <c r="E7">
        <v>2001</v>
      </c>
      <c r="F7" t="str">
        <f t="shared" si="0"/>
        <v>10.1126/science.292.5525.2310</v>
      </c>
      <c r="G7">
        <f t="shared" si="1"/>
        <v>57154</v>
      </c>
      <c r="H7">
        <f t="shared" si="2"/>
        <v>200.00000000000284</v>
      </c>
      <c r="I7">
        <f t="shared" si="3"/>
        <v>200.00000000000284</v>
      </c>
      <c r="J7">
        <f t="shared" si="4"/>
        <v>363</v>
      </c>
      <c r="K7" s="22">
        <f t="shared" si="5"/>
        <v>13</v>
      </c>
      <c r="L7" s="22">
        <f t="shared" si="6"/>
        <v>9</v>
      </c>
      <c r="M7" t="b">
        <v>1</v>
      </c>
      <c r="N7">
        <v>3</v>
      </c>
      <c r="O7" t="s">
        <v>151</v>
      </c>
      <c r="P7" t="s">
        <v>150</v>
      </c>
      <c r="Q7" t="b">
        <v>0</v>
      </c>
      <c r="R7" t="s">
        <v>162</v>
      </c>
      <c r="S7" t="b">
        <v>0</v>
      </c>
      <c r="T7" t="b">
        <v>0</v>
      </c>
      <c r="U7" t="s">
        <v>162</v>
      </c>
      <c r="V7" t="s">
        <v>150</v>
      </c>
      <c r="W7" t="b">
        <v>1</v>
      </c>
      <c r="X7" t="s">
        <v>171</v>
      </c>
      <c r="Y7" t="s">
        <v>43</v>
      </c>
      <c r="Z7" t="s">
        <v>44</v>
      </c>
      <c r="AA7" t="s">
        <v>56</v>
      </c>
      <c r="AB7" t="s">
        <v>34</v>
      </c>
      <c r="AC7" t="s">
        <v>35</v>
      </c>
      <c r="AD7" t="s">
        <v>36</v>
      </c>
      <c r="AE7" t="s">
        <v>57</v>
      </c>
      <c r="AF7" t="s">
        <v>37</v>
      </c>
      <c r="AG7" t="s">
        <v>58</v>
      </c>
      <c r="AH7" s="21">
        <f t="shared" si="7"/>
        <v>57.154000000000003</v>
      </c>
      <c r="AI7" s="21">
        <v>57.354000000000006</v>
      </c>
      <c r="AJ7" s="21">
        <v>56.954000000000001</v>
      </c>
      <c r="AK7" t="s">
        <v>170</v>
      </c>
      <c r="AL7" t="s">
        <v>59</v>
      </c>
      <c r="AM7" s="2">
        <v>45.03</v>
      </c>
      <c r="AN7" s="2">
        <v>-109.08</v>
      </c>
      <c r="AO7" s="2" t="s">
        <v>162</v>
      </c>
      <c r="AP7" s="2" t="s">
        <v>162</v>
      </c>
      <c r="AQ7" s="2">
        <v>3</v>
      </c>
      <c r="AR7" s="2">
        <v>5</v>
      </c>
      <c r="AS7" t="s">
        <v>38</v>
      </c>
      <c r="AT7" t="s">
        <v>39</v>
      </c>
      <c r="AW7" t="s">
        <v>40</v>
      </c>
      <c r="AX7" s="2">
        <v>8.75</v>
      </c>
      <c r="AZ7" s="2">
        <v>0.92</v>
      </c>
      <c r="BA7" t="s">
        <v>41</v>
      </c>
      <c r="BB7" t="s">
        <v>131</v>
      </c>
      <c r="BC7" t="s">
        <v>132</v>
      </c>
      <c r="BD7" s="2">
        <v>363</v>
      </c>
      <c r="BE7" t="s">
        <v>133</v>
      </c>
      <c r="BF7" s="2">
        <v>354</v>
      </c>
      <c r="BG7" s="2">
        <v>376</v>
      </c>
      <c r="BH7" t="s">
        <v>134</v>
      </c>
      <c r="BI7" t="s">
        <v>135</v>
      </c>
      <c r="BJ7" t="s">
        <v>136</v>
      </c>
    </row>
    <row r="8" spans="1:62" x14ac:dyDescent="0.2">
      <c r="A8" t="s">
        <v>33</v>
      </c>
      <c r="B8" t="s">
        <v>149</v>
      </c>
      <c r="C8" t="s">
        <v>147</v>
      </c>
      <c r="D8" t="s">
        <v>148</v>
      </c>
      <c r="E8">
        <v>2001</v>
      </c>
      <c r="F8" t="str">
        <f t="shared" si="0"/>
        <v>10.1126/science.292.5525.2310</v>
      </c>
      <c r="G8">
        <f t="shared" si="1"/>
        <v>56743</v>
      </c>
      <c r="H8">
        <f t="shared" si="2"/>
        <v>200.00000000000284</v>
      </c>
      <c r="I8">
        <f t="shared" si="3"/>
        <v>200.00000000000284</v>
      </c>
      <c r="J8">
        <f t="shared" si="4"/>
        <v>312</v>
      </c>
      <c r="K8" s="22">
        <f t="shared" si="5"/>
        <v>2</v>
      </c>
      <c r="L8" s="22">
        <f t="shared" si="6"/>
        <v>3</v>
      </c>
      <c r="M8" t="b">
        <v>1</v>
      </c>
      <c r="N8">
        <v>3</v>
      </c>
      <c r="O8" t="s">
        <v>151</v>
      </c>
      <c r="P8" t="s">
        <v>150</v>
      </c>
      <c r="Q8" t="b">
        <v>0</v>
      </c>
      <c r="R8" t="s">
        <v>162</v>
      </c>
      <c r="S8" t="b">
        <v>0</v>
      </c>
      <c r="T8" t="b">
        <v>0</v>
      </c>
      <c r="U8" t="s">
        <v>162</v>
      </c>
      <c r="V8" t="s">
        <v>150</v>
      </c>
      <c r="W8" t="b">
        <v>1</v>
      </c>
      <c r="X8" t="s">
        <v>171</v>
      </c>
      <c r="Y8" t="s">
        <v>43</v>
      </c>
      <c r="Z8" t="s">
        <v>44</v>
      </c>
      <c r="AA8" t="s">
        <v>60</v>
      </c>
      <c r="AB8" t="s">
        <v>34</v>
      </c>
      <c r="AC8" t="s">
        <v>35</v>
      </c>
      <c r="AD8" t="s">
        <v>36</v>
      </c>
      <c r="AE8" t="s">
        <v>61</v>
      </c>
      <c r="AF8" t="s">
        <v>37</v>
      </c>
      <c r="AG8" t="s">
        <v>62</v>
      </c>
      <c r="AH8" s="21">
        <f t="shared" si="7"/>
        <v>56.743000000000002</v>
      </c>
      <c r="AI8" s="21">
        <v>56.943000000000005</v>
      </c>
      <c r="AJ8" s="21">
        <v>56.542999999999999</v>
      </c>
      <c r="AK8" t="s">
        <v>170</v>
      </c>
      <c r="AL8" t="s">
        <v>63</v>
      </c>
      <c r="AM8" s="2">
        <v>44.8</v>
      </c>
      <c r="AN8" t="s">
        <v>162</v>
      </c>
      <c r="AO8" s="2" t="s">
        <v>162</v>
      </c>
      <c r="AP8" s="2" t="s">
        <v>162</v>
      </c>
      <c r="AQ8" s="2">
        <v>3</v>
      </c>
      <c r="AR8" s="2">
        <v>8</v>
      </c>
      <c r="AS8" t="s">
        <v>38</v>
      </c>
      <c r="AT8" t="s">
        <v>39</v>
      </c>
      <c r="AW8" t="s">
        <v>40</v>
      </c>
      <c r="AX8" s="2">
        <v>11.43</v>
      </c>
      <c r="AZ8" s="2">
        <v>1.27</v>
      </c>
      <c r="BA8" t="s">
        <v>41</v>
      </c>
      <c r="BB8" t="s">
        <v>131</v>
      </c>
      <c r="BC8" t="s">
        <v>132</v>
      </c>
      <c r="BD8" s="2">
        <v>312</v>
      </c>
      <c r="BE8" t="s">
        <v>133</v>
      </c>
      <c r="BF8" s="2">
        <v>309</v>
      </c>
      <c r="BG8" s="2">
        <v>314</v>
      </c>
      <c r="BH8" t="s">
        <v>134</v>
      </c>
      <c r="BI8" t="s">
        <v>135</v>
      </c>
      <c r="BJ8" t="s">
        <v>136</v>
      </c>
    </row>
    <row r="9" spans="1:62" x14ac:dyDescent="0.2">
      <c r="A9" t="s">
        <v>33</v>
      </c>
      <c r="B9" t="s">
        <v>149</v>
      </c>
      <c r="C9" t="s">
        <v>147</v>
      </c>
      <c r="D9" t="s">
        <v>148</v>
      </c>
      <c r="E9">
        <v>2001</v>
      </c>
      <c r="F9" t="str">
        <f t="shared" si="0"/>
        <v>10.1126/science.292.5525.2310</v>
      </c>
      <c r="G9">
        <f t="shared" si="1"/>
        <v>56743</v>
      </c>
      <c r="H9">
        <f t="shared" si="2"/>
        <v>200.00000000000284</v>
      </c>
      <c r="I9">
        <f t="shared" si="3"/>
        <v>200.00000000000284</v>
      </c>
      <c r="J9">
        <f t="shared" si="4"/>
        <v>314</v>
      </c>
      <c r="K9" s="22">
        <f t="shared" si="5"/>
        <v>2</v>
      </c>
      <c r="L9" s="22">
        <f t="shared" si="6"/>
        <v>2</v>
      </c>
      <c r="M9" t="b">
        <v>1</v>
      </c>
      <c r="N9">
        <v>3</v>
      </c>
      <c r="O9" t="s">
        <v>151</v>
      </c>
      <c r="P9" t="s">
        <v>150</v>
      </c>
      <c r="Q9" t="b">
        <v>0</v>
      </c>
      <c r="R9" t="s">
        <v>162</v>
      </c>
      <c r="S9" t="b">
        <v>0</v>
      </c>
      <c r="T9" t="b">
        <v>0</v>
      </c>
      <c r="U9" t="s">
        <v>162</v>
      </c>
      <c r="V9" t="s">
        <v>150</v>
      </c>
      <c r="W9" t="b">
        <v>1</v>
      </c>
      <c r="X9" t="s">
        <v>171</v>
      </c>
      <c r="Y9" t="s">
        <v>43</v>
      </c>
      <c r="Z9" t="s">
        <v>44</v>
      </c>
      <c r="AA9" t="s">
        <v>64</v>
      </c>
      <c r="AB9" t="s">
        <v>34</v>
      </c>
      <c r="AC9" t="s">
        <v>35</v>
      </c>
      <c r="AD9" t="s">
        <v>36</v>
      </c>
      <c r="AE9" t="s">
        <v>65</v>
      </c>
      <c r="AF9" t="s">
        <v>37</v>
      </c>
      <c r="AG9" t="s">
        <v>62</v>
      </c>
      <c r="AH9" s="21">
        <f t="shared" si="7"/>
        <v>56.743000000000002</v>
      </c>
      <c r="AI9" s="21">
        <v>56.943000000000005</v>
      </c>
      <c r="AJ9" s="21">
        <v>56.542999999999999</v>
      </c>
      <c r="AK9" t="s">
        <v>170</v>
      </c>
      <c r="AL9" t="s">
        <v>63</v>
      </c>
      <c r="AM9" s="2">
        <v>44.8</v>
      </c>
      <c r="AN9" t="s">
        <v>162</v>
      </c>
      <c r="AO9" s="2" t="s">
        <v>162</v>
      </c>
      <c r="AP9" s="2" t="s">
        <v>162</v>
      </c>
      <c r="AQ9" s="2">
        <v>3</v>
      </c>
      <c r="AR9" s="2">
        <v>8</v>
      </c>
      <c r="AS9" t="s">
        <v>38</v>
      </c>
      <c r="AT9" t="s">
        <v>39</v>
      </c>
      <c r="AW9" t="s">
        <v>40</v>
      </c>
      <c r="AX9" s="2">
        <v>10.8</v>
      </c>
      <c r="AZ9" s="2">
        <v>0.96</v>
      </c>
      <c r="BA9" t="s">
        <v>41</v>
      </c>
      <c r="BB9" t="s">
        <v>131</v>
      </c>
      <c r="BC9" t="s">
        <v>132</v>
      </c>
      <c r="BD9" s="2">
        <v>314</v>
      </c>
      <c r="BE9" t="s">
        <v>133</v>
      </c>
      <c r="BF9" s="2">
        <v>312</v>
      </c>
      <c r="BG9" s="2">
        <v>316</v>
      </c>
      <c r="BH9" t="s">
        <v>134</v>
      </c>
      <c r="BI9" t="s">
        <v>135</v>
      </c>
      <c r="BJ9" t="s">
        <v>136</v>
      </c>
    </row>
    <row r="10" spans="1:62" x14ac:dyDescent="0.2">
      <c r="A10" t="s">
        <v>33</v>
      </c>
      <c r="B10" t="s">
        <v>149</v>
      </c>
      <c r="C10" t="s">
        <v>147</v>
      </c>
      <c r="D10" t="s">
        <v>148</v>
      </c>
      <c r="E10">
        <v>2001</v>
      </c>
      <c r="F10" t="str">
        <f t="shared" si="0"/>
        <v>10.1126/science.292.5525.2310</v>
      </c>
      <c r="G10">
        <f t="shared" si="1"/>
        <v>56743</v>
      </c>
      <c r="H10">
        <f t="shared" si="2"/>
        <v>200.00000000000284</v>
      </c>
      <c r="I10">
        <f t="shared" si="3"/>
        <v>200.00000000000284</v>
      </c>
      <c r="J10">
        <f t="shared" si="4"/>
        <v>307</v>
      </c>
      <c r="K10" s="22">
        <f t="shared" si="5"/>
        <v>1</v>
      </c>
      <c r="L10" s="22">
        <f t="shared" si="6"/>
        <v>2</v>
      </c>
      <c r="M10" t="b">
        <v>1</v>
      </c>
      <c r="N10">
        <v>3</v>
      </c>
      <c r="O10" t="s">
        <v>151</v>
      </c>
      <c r="P10" t="s">
        <v>150</v>
      </c>
      <c r="Q10" t="b">
        <v>0</v>
      </c>
      <c r="R10" t="s">
        <v>162</v>
      </c>
      <c r="S10" t="b">
        <v>0</v>
      </c>
      <c r="T10" t="b">
        <v>0</v>
      </c>
      <c r="U10" t="s">
        <v>162</v>
      </c>
      <c r="V10" t="s">
        <v>150</v>
      </c>
      <c r="W10" t="b">
        <v>1</v>
      </c>
      <c r="X10" t="s">
        <v>171</v>
      </c>
      <c r="Y10" t="s">
        <v>43</v>
      </c>
      <c r="Z10" t="s">
        <v>44</v>
      </c>
      <c r="AA10" t="s">
        <v>66</v>
      </c>
      <c r="AB10" t="s">
        <v>34</v>
      </c>
      <c r="AC10" t="s">
        <v>35</v>
      </c>
      <c r="AD10" t="s">
        <v>36</v>
      </c>
      <c r="AE10" t="s">
        <v>67</v>
      </c>
      <c r="AF10" t="s">
        <v>37</v>
      </c>
      <c r="AG10" t="s">
        <v>62</v>
      </c>
      <c r="AH10" s="21">
        <f t="shared" si="7"/>
        <v>56.743000000000002</v>
      </c>
      <c r="AI10" s="21">
        <v>56.943000000000005</v>
      </c>
      <c r="AJ10" s="21">
        <v>56.542999999999999</v>
      </c>
      <c r="AK10" t="s">
        <v>170</v>
      </c>
      <c r="AL10" t="s">
        <v>63</v>
      </c>
      <c r="AM10" s="2">
        <v>44.8</v>
      </c>
      <c r="AN10" t="s">
        <v>162</v>
      </c>
      <c r="AO10" s="2" t="s">
        <v>162</v>
      </c>
      <c r="AP10" s="2" t="s">
        <v>162</v>
      </c>
      <c r="AQ10" s="2">
        <v>3</v>
      </c>
      <c r="AR10" s="2">
        <v>5</v>
      </c>
      <c r="AS10" t="s">
        <v>38</v>
      </c>
      <c r="AT10" t="s">
        <v>39</v>
      </c>
      <c r="AW10" t="s">
        <v>40</v>
      </c>
      <c r="AX10" s="2">
        <v>10.97</v>
      </c>
      <c r="AZ10" s="2">
        <v>0.62</v>
      </c>
      <c r="BA10" t="s">
        <v>41</v>
      </c>
      <c r="BB10" t="s">
        <v>131</v>
      </c>
      <c r="BC10" t="s">
        <v>132</v>
      </c>
      <c r="BD10" s="2">
        <v>307</v>
      </c>
      <c r="BE10" t="s">
        <v>133</v>
      </c>
      <c r="BF10" s="2">
        <v>305</v>
      </c>
      <c r="BG10" s="2">
        <v>308</v>
      </c>
      <c r="BH10" t="s">
        <v>134</v>
      </c>
      <c r="BI10" t="s">
        <v>135</v>
      </c>
      <c r="BJ10" t="s">
        <v>136</v>
      </c>
    </row>
    <row r="11" spans="1:62" x14ac:dyDescent="0.2">
      <c r="A11" t="s">
        <v>33</v>
      </c>
      <c r="B11" t="s">
        <v>149</v>
      </c>
      <c r="C11" t="s">
        <v>147</v>
      </c>
      <c r="D11" t="s">
        <v>148</v>
      </c>
      <c r="E11">
        <v>2001</v>
      </c>
      <c r="F11" t="str">
        <f t="shared" si="0"/>
        <v>10.1126/science.292.5525.2310</v>
      </c>
      <c r="G11">
        <f t="shared" si="1"/>
        <v>56607</v>
      </c>
      <c r="H11">
        <f t="shared" si="2"/>
        <v>100.00000000000142</v>
      </c>
      <c r="I11">
        <f t="shared" si="3"/>
        <v>100.00000000000142</v>
      </c>
      <c r="J11">
        <f t="shared" si="4"/>
        <v>317</v>
      </c>
      <c r="K11" s="22">
        <f t="shared" si="5"/>
        <v>1</v>
      </c>
      <c r="L11" s="22">
        <f t="shared" si="6"/>
        <v>2</v>
      </c>
      <c r="M11" t="b">
        <v>1</v>
      </c>
      <c r="N11">
        <v>3</v>
      </c>
      <c r="O11" t="s">
        <v>151</v>
      </c>
      <c r="P11" t="s">
        <v>150</v>
      </c>
      <c r="Q11" t="b">
        <v>0</v>
      </c>
      <c r="R11" t="s">
        <v>162</v>
      </c>
      <c r="S11" t="b">
        <v>0</v>
      </c>
      <c r="T11" t="b">
        <v>0</v>
      </c>
      <c r="U11" t="s">
        <v>162</v>
      </c>
      <c r="V11" t="s">
        <v>150</v>
      </c>
      <c r="W11" t="b">
        <v>1</v>
      </c>
      <c r="X11" t="s">
        <v>171</v>
      </c>
      <c r="Y11" t="s">
        <v>43</v>
      </c>
      <c r="Z11" t="s">
        <v>44</v>
      </c>
      <c r="AA11" t="s">
        <v>68</v>
      </c>
      <c r="AB11" t="s">
        <v>34</v>
      </c>
      <c r="AC11" t="s">
        <v>35</v>
      </c>
      <c r="AD11" t="s">
        <v>36</v>
      </c>
      <c r="AE11" t="s">
        <v>69</v>
      </c>
      <c r="AF11" t="s">
        <v>37</v>
      </c>
      <c r="AG11" t="s">
        <v>70</v>
      </c>
      <c r="AH11" s="21">
        <f t="shared" si="7"/>
        <v>56.606999999999999</v>
      </c>
      <c r="AI11" s="21">
        <v>56.707000000000001</v>
      </c>
      <c r="AJ11" s="21">
        <v>56.506999999999998</v>
      </c>
      <c r="AK11" t="s">
        <v>170</v>
      </c>
      <c r="AL11" t="s">
        <v>71</v>
      </c>
      <c r="AM11" s="2">
        <v>44.73</v>
      </c>
      <c r="AN11" s="2">
        <v>-108.68</v>
      </c>
      <c r="AO11" s="2" t="s">
        <v>162</v>
      </c>
      <c r="AP11" s="2" t="s">
        <v>162</v>
      </c>
      <c r="AQ11" s="2">
        <v>3</v>
      </c>
      <c r="AR11" s="2">
        <v>12</v>
      </c>
      <c r="AS11" t="s">
        <v>38</v>
      </c>
      <c r="AT11" t="s">
        <v>39</v>
      </c>
      <c r="AW11" t="s">
        <v>40</v>
      </c>
      <c r="AX11" s="2">
        <v>10.63</v>
      </c>
      <c r="AZ11" s="2">
        <v>1.62</v>
      </c>
      <c r="BA11" t="s">
        <v>41</v>
      </c>
      <c r="BB11" t="s">
        <v>131</v>
      </c>
      <c r="BC11" t="s">
        <v>132</v>
      </c>
      <c r="BD11" s="2">
        <v>317</v>
      </c>
      <c r="BE11" t="s">
        <v>133</v>
      </c>
      <c r="BF11" s="2">
        <v>315</v>
      </c>
      <c r="BG11" s="2">
        <v>318</v>
      </c>
      <c r="BH11" t="s">
        <v>134</v>
      </c>
      <c r="BI11" t="s">
        <v>135</v>
      </c>
      <c r="BJ11" t="s">
        <v>136</v>
      </c>
    </row>
    <row r="12" spans="1:62" x14ac:dyDescent="0.2">
      <c r="A12" t="s">
        <v>33</v>
      </c>
      <c r="B12" t="s">
        <v>149</v>
      </c>
      <c r="C12" t="s">
        <v>147</v>
      </c>
      <c r="D12" t="s">
        <v>148</v>
      </c>
      <c r="E12">
        <v>2001</v>
      </c>
      <c r="F12" t="str">
        <f t="shared" si="0"/>
        <v>10.1126/science.292.5525.2310</v>
      </c>
      <c r="G12">
        <f t="shared" si="1"/>
        <v>56464.000000000007</v>
      </c>
      <c r="H12">
        <f t="shared" si="2"/>
        <v>100.00000000000142</v>
      </c>
      <c r="I12">
        <f t="shared" si="3"/>
        <v>100.00000000000142</v>
      </c>
      <c r="J12">
        <f t="shared" si="4"/>
        <v>309</v>
      </c>
      <c r="K12" s="22">
        <f t="shared" si="5"/>
        <v>2</v>
      </c>
      <c r="L12" s="22">
        <f t="shared" si="6"/>
        <v>2</v>
      </c>
      <c r="M12" t="b">
        <v>1</v>
      </c>
      <c r="N12">
        <v>3</v>
      </c>
      <c r="O12" t="s">
        <v>151</v>
      </c>
      <c r="P12" t="s">
        <v>150</v>
      </c>
      <c r="Q12" t="b">
        <v>0</v>
      </c>
      <c r="R12" t="s">
        <v>162</v>
      </c>
      <c r="S12" t="b">
        <v>0</v>
      </c>
      <c r="T12" t="b">
        <v>0</v>
      </c>
      <c r="U12" t="s">
        <v>162</v>
      </c>
      <c r="V12" t="s">
        <v>150</v>
      </c>
      <c r="W12" t="b">
        <v>1</v>
      </c>
      <c r="X12" t="s">
        <v>171</v>
      </c>
      <c r="Y12" t="s">
        <v>43</v>
      </c>
      <c r="Z12" t="s">
        <v>44</v>
      </c>
      <c r="AA12" t="s">
        <v>72</v>
      </c>
      <c r="AB12" t="s">
        <v>34</v>
      </c>
      <c r="AC12" t="s">
        <v>35</v>
      </c>
      <c r="AD12" t="s">
        <v>36</v>
      </c>
      <c r="AE12" t="s">
        <v>73</v>
      </c>
      <c r="AF12" t="s">
        <v>37</v>
      </c>
      <c r="AG12" t="s">
        <v>74</v>
      </c>
      <c r="AH12" s="21">
        <f t="shared" si="7"/>
        <v>56.464000000000006</v>
      </c>
      <c r="AI12" s="21">
        <v>56.564000000000007</v>
      </c>
      <c r="AJ12" s="21">
        <v>56.364000000000004</v>
      </c>
      <c r="AK12" t="s">
        <v>170</v>
      </c>
      <c r="AL12" t="s">
        <v>75</v>
      </c>
      <c r="AM12" s="2">
        <v>44.05</v>
      </c>
      <c r="AN12" s="2">
        <v>-107.77</v>
      </c>
      <c r="AO12" s="2" t="s">
        <v>162</v>
      </c>
      <c r="AP12" s="2" t="s">
        <v>162</v>
      </c>
      <c r="AQ12" s="2">
        <v>3</v>
      </c>
      <c r="AR12" s="2">
        <v>10</v>
      </c>
      <c r="AS12" t="s">
        <v>38</v>
      </c>
      <c r="AT12" t="s">
        <v>39</v>
      </c>
      <c r="AW12" t="s">
        <v>40</v>
      </c>
      <c r="AX12" s="2">
        <v>11.21</v>
      </c>
      <c r="AZ12" s="2">
        <v>1.1499999999999999</v>
      </c>
      <c r="BA12" t="s">
        <v>41</v>
      </c>
      <c r="BB12" t="s">
        <v>131</v>
      </c>
      <c r="BC12" t="s">
        <v>132</v>
      </c>
      <c r="BD12" s="2">
        <v>309</v>
      </c>
      <c r="BE12" t="s">
        <v>133</v>
      </c>
      <c r="BF12" s="2">
        <v>307</v>
      </c>
      <c r="BG12" s="2">
        <v>311</v>
      </c>
      <c r="BH12" t="s">
        <v>134</v>
      </c>
      <c r="BI12" t="s">
        <v>135</v>
      </c>
      <c r="BJ12" t="s">
        <v>136</v>
      </c>
    </row>
    <row r="13" spans="1:62" x14ac:dyDescent="0.2">
      <c r="A13" t="s">
        <v>33</v>
      </c>
      <c r="B13" t="s">
        <v>149</v>
      </c>
      <c r="C13" t="s">
        <v>147</v>
      </c>
      <c r="D13" t="s">
        <v>148</v>
      </c>
      <c r="E13">
        <v>2001</v>
      </c>
      <c r="F13" t="str">
        <f t="shared" si="0"/>
        <v>10.1126/science.292.5525.2310</v>
      </c>
      <c r="G13">
        <f t="shared" si="1"/>
        <v>56400.000000000007</v>
      </c>
      <c r="H13">
        <f t="shared" si="2"/>
        <v>100.00000000000142</v>
      </c>
      <c r="I13">
        <f t="shared" si="3"/>
        <v>100.00000000000142</v>
      </c>
      <c r="J13">
        <f t="shared" si="4"/>
        <v>306</v>
      </c>
      <c r="K13" s="22">
        <f t="shared" si="5"/>
        <v>2</v>
      </c>
      <c r="L13" s="22">
        <f t="shared" si="6"/>
        <v>2</v>
      </c>
      <c r="M13" t="b">
        <v>1</v>
      </c>
      <c r="N13">
        <v>3</v>
      </c>
      <c r="O13" t="s">
        <v>151</v>
      </c>
      <c r="P13" t="s">
        <v>150</v>
      </c>
      <c r="Q13" t="b">
        <v>0</v>
      </c>
      <c r="R13" t="s">
        <v>162</v>
      </c>
      <c r="S13" t="b">
        <v>0</v>
      </c>
      <c r="T13" t="b">
        <v>0</v>
      </c>
      <c r="U13" t="s">
        <v>162</v>
      </c>
      <c r="V13" t="s">
        <v>150</v>
      </c>
      <c r="W13" t="b">
        <v>1</v>
      </c>
      <c r="X13" t="s">
        <v>171</v>
      </c>
      <c r="Y13" t="s">
        <v>43</v>
      </c>
      <c r="Z13" t="s">
        <v>44</v>
      </c>
      <c r="AA13" t="s">
        <v>76</v>
      </c>
      <c r="AB13" t="s">
        <v>34</v>
      </c>
      <c r="AC13" t="s">
        <v>35</v>
      </c>
      <c r="AD13" t="s">
        <v>36</v>
      </c>
      <c r="AE13" t="s">
        <v>77</v>
      </c>
      <c r="AF13" t="s">
        <v>37</v>
      </c>
      <c r="AG13" t="s">
        <v>78</v>
      </c>
      <c r="AH13" s="21">
        <f t="shared" si="7"/>
        <v>56.400000000000006</v>
      </c>
      <c r="AI13" s="21">
        <v>56.500000000000007</v>
      </c>
      <c r="AJ13" s="21">
        <v>56.300000000000004</v>
      </c>
      <c r="AK13" t="s">
        <v>170</v>
      </c>
      <c r="AL13" t="s">
        <v>79</v>
      </c>
      <c r="AM13" s="2">
        <v>43.95</v>
      </c>
      <c r="AN13" s="2">
        <v>-107.56</v>
      </c>
      <c r="AO13" s="2" t="s">
        <v>162</v>
      </c>
      <c r="AP13" s="2" t="s">
        <v>162</v>
      </c>
      <c r="AQ13" s="2">
        <v>3</v>
      </c>
      <c r="AR13" s="2">
        <v>8</v>
      </c>
      <c r="AS13" t="s">
        <v>38</v>
      </c>
      <c r="AT13" t="s">
        <v>39</v>
      </c>
      <c r="AW13" t="s">
        <v>40</v>
      </c>
      <c r="AX13" s="2">
        <v>11.5</v>
      </c>
      <c r="AZ13" s="2">
        <v>1.05</v>
      </c>
      <c r="BA13" t="s">
        <v>41</v>
      </c>
      <c r="BB13" t="s">
        <v>131</v>
      </c>
      <c r="BC13" t="s">
        <v>132</v>
      </c>
      <c r="BD13" s="2">
        <v>306</v>
      </c>
      <c r="BE13" t="s">
        <v>133</v>
      </c>
      <c r="BF13" s="2">
        <v>304</v>
      </c>
      <c r="BG13" s="2">
        <v>308</v>
      </c>
      <c r="BH13" t="s">
        <v>134</v>
      </c>
      <c r="BI13" t="s">
        <v>135</v>
      </c>
      <c r="BJ13" t="s">
        <v>136</v>
      </c>
    </row>
    <row r="14" spans="1:62" x14ac:dyDescent="0.2">
      <c r="A14" t="s">
        <v>33</v>
      </c>
      <c r="B14" t="s">
        <v>149</v>
      </c>
      <c r="C14" t="s">
        <v>147</v>
      </c>
      <c r="D14" t="s">
        <v>148</v>
      </c>
      <c r="E14">
        <v>2001</v>
      </c>
      <c r="F14" t="str">
        <f t="shared" si="0"/>
        <v>10.1126/science.292.5525.2310</v>
      </c>
      <c r="G14">
        <f t="shared" si="1"/>
        <v>56163.000000000007</v>
      </c>
      <c r="H14">
        <f t="shared" si="2"/>
        <v>100.00000000000142</v>
      </c>
      <c r="I14">
        <f t="shared" si="3"/>
        <v>100.00000000000142</v>
      </c>
      <c r="J14">
        <f t="shared" si="4"/>
        <v>299</v>
      </c>
      <c r="K14" s="22">
        <f t="shared" si="5"/>
        <v>2</v>
      </c>
      <c r="L14" s="22">
        <f t="shared" si="6"/>
        <v>2</v>
      </c>
      <c r="M14" t="b">
        <v>1</v>
      </c>
      <c r="N14">
        <v>3</v>
      </c>
      <c r="O14" t="s">
        <v>151</v>
      </c>
      <c r="P14" t="s">
        <v>150</v>
      </c>
      <c r="Q14" t="b">
        <v>0</v>
      </c>
      <c r="R14" t="s">
        <v>162</v>
      </c>
      <c r="S14" t="b">
        <v>0</v>
      </c>
      <c r="T14" t="b">
        <v>0</v>
      </c>
      <c r="U14" t="s">
        <v>162</v>
      </c>
      <c r="V14" t="s">
        <v>150</v>
      </c>
      <c r="W14" t="b">
        <v>1</v>
      </c>
      <c r="X14" t="s">
        <v>171</v>
      </c>
      <c r="Y14" t="s">
        <v>43</v>
      </c>
      <c r="Z14" t="s">
        <v>44</v>
      </c>
      <c r="AA14" t="s">
        <v>80</v>
      </c>
      <c r="AB14" t="s">
        <v>34</v>
      </c>
      <c r="AC14" t="s">
        <v>35</v>
      </c>
      <c r="AD14" t="s">
        <v>36</v>
      </c>
      <c r="AE14" t="s">
        <v>81</v>
      </c>
      <c r="AF14" t="s">
        <v>37</v>
      </c>
      <c r="AG14" t="s">
        <v>82</v>
      </c>
      <c r="AH14" s="21">
        <f t="shared" si="7"/>
        <v>56.163000000000004</v>
      </c>
      <c r="AI14" s="21">
        <v>56.263000000000005</v>
      </c>
      <c r="AJ14" s="21">
        <v>56.063000000000002</v>
      </c>
      <c r="AK14" t="s">
        <v>170</v>
      </c>
      <c r="AL14" t="s">
        <v>83</v>
      </c>
      <c r="AM14" s="2">
        <v>44.16</v>
      </c>
      <c r="AN14" s="2">
        <v>-107.85</v>
      </c>
      <c r="AO14" s="2" t="s">
        <v>162</v>
      </c>
      <c r="AP14" s="2" t="s">
        <v>162</v>
      </c>
      <c r="AQ14" s="2">
        <v>3</v>
      </c>
      <c r="AR14" s="2">
        <v>7</v>
      </c>
      <c r="AS14" t="s">
        <v>38</v>
      </c>
      <c r="AT14" t="s">
        <v>39</v>
      </c>
      <c r="AW14" t="s">
        <v>40</v>
      </c>
      <c r="AX14" s="2">
        <v>12.23</v>
      </c>
      <c r="AZ14" s="2">
        <v>1.54</v>
      </c>
      <c r="BA14" t="s">
        <v>41</v>
      </c>
      <c r="BB14" t="s">
        <v>131</v>
      </c>
      <c r="BC14" t="s">
        <v>132</v>
      </c>
      <c r="BD14" s="2">
        <v>299</v>
      </c>
      <c r="BE14" t="s">
        <v>133</v>
      </c>
      <c r="BF14" s="2">
        <v>297</v>
      </c>
      <c r="BG14" s="2">
        <v>301</v>
      </c>
      <c r="BH14" t="s">
        <v>134</v>
      </c>
      <c r="BI14" t="s">
        <v>135</v>
      </c>
      <c r="BJ14" t="s">
        <v>136</v>
      </c>
    </row>
    <row r="15" spans="1:62" x14ac:dyDescent="0.2">
      <c r="A15" t="s">
        <v>33</v>
      </c>
      <c r="B15" t="s">
        <v>149</v>
      </c>
      <c r="C15" t="s">
        <v>147</v>
      </c>
      <c r="D15" t="s">
        <v>148</v>
      </c>
      <c r="E15">
        <v>2001</v>
      </c>
      <c r="F15" t="str">
        <f t="shared" si="0"/>
        <v>10.1126/science.292.5525.2310</v>
      </c>
      <c r="G15">
        <f t="shared" si="1"/>
        <v>56143</v>
      </c>
      <c r="H15">
        <f t="shared" si="2"/>
        <v>100.00000000000142</v>
      </c>
      <c r="I15">
        <f t="shared" si="3"/>
        <v>100.00000000000142</v>
      </c>
      <c r="J15">
        <f t="shared" si="4"/>
        <v>390</v>
      </c>
      <c r="K15" s="22">
        <f t="shared" si="5"/>
        <v>16</v>
      </c>
      <c r="L15" s="22">
        <f t="shared" si="6"/>
        <v>10</v>
      </c>
      <c r="M15" t="b">
        <v>1</v>
      </c>
      <c r="N15">
        <v>3</v>
      </c>
      <c r="O15" t="s">
        <v>151</v>
      </c>
      <c r="P15" t="s">
        <v>150</v>
      </c>
      <c r="Q15" t="b">
        <v>0</v>
      </c>
      <c r="R15" t="s">
        <v>162</v>
      </c>
      <c r="S15" t="b">
        <v>0</v>
      </c>
      <c r="T15" t="b">
        <v>0</v>
      </c>
      <c r="U15" t="s">
        <v>162</v>
      </c>
      <c r="V15" t="s">
        <v>150</v>
      </c>
      <c r="W15" t="b">
        <v>1</v>
      </c>
      <c r="X15" t="s">
        <v>171</v>
      </c>
      <c r="Y15" t="s">
        <v>43</v>
      </c>
      <c r="Z15" t="s">
        <v>44</v>
      </c>
      <c r="AA15" t="s">
        <v>84</v>
      </c>
      <c r="AB15" t="s">
        <v>34</v>
      </c>
      <c r="AC15" t="s">
        <v>35</v>
      </c>
      <c r="AD15" t="s">
        <v>36</v>
      </c>
      <c r="AE15" t="s">
        <v>85</v>
      </c>
      <c r="AF15" t="s">
        <v>37</v>
      </c>
      <c r="AG15" t="s">
        <v>86</v>
      </c>
      <c r="AH15" s="21">
        <f t="shared" si="7"/>
        <v>56.143000000000001</v>
      </c>
      <c r="AI15" s="21">
        <v>56.243000000000002</v>
      </c>
      <c r="AJ15" s="21">
        <v>56.042999999999999</v>
      </c>
      <c r="AK15" t="s">
        <v>170</v>
      </c>
      <c r="AL15" t="s">
        <v>87</v>
      </c>
      <c r="AM15" s="2">
        <v>44.8</v>
      </c>
      <c r="AN15" t="s">
        <v>162</v>
      </c>
      <c r="AO15" s="2" t="s">
        <v>162</v>
      </c>
      <c r="AP15" s="2" t="s">
        <v>162</v>
      </c>
      <c r="AQ15" s="2">
        <v>3</v>
      </c>
      <c r="AR15" s="2">
        <v>12</v>
      </c>
      <c r="AS15" t="s">
        <v>38</v>
      </c>
      <c r="AT15" t="s">
        <v>39</v>
      </c>
      <c r="AW15" t="s">
        <v>40</v>
      </c>
      <c r="AX15" s="2">
        <v>8.23</v>
      </c>
      <c r="AZ15" s="2">
        <v>0.84</v>
      </c>
      <c r="BA15" t="s">
        <v>41</v>
      </c>
      <c r="BB15" t="s">
        <v>131</v>
      </c>
      <c r="BC15" t="s">
        <v>132</v>
      </c>
      <c r="BD15" s="2">
        <v>390</v>
      </c>
      <c r="BE15" t="s">
        <v>133</v>
      </c>
      <c r="BF15" s="2">
        <v>380</v>
      </c>
      <c r="BG15" s="2">
        <v>406</v>
      </c>
      <c r="BH15" t="s">
        <v>134</v>
      </c>
      <c r="BI15" t="s">
        <v>135</v>
      </c>
      <c r="BJ15" t="s">
        <v>136</v>
      </c>
    </row>
    <row r="16" spans="1:62" x14ac:dyDescent="0.2">
      <c r="A16" t="s">
        <v>33</v>
      </c>
      <c r="B16" t="s">
        <v>149</v>
      </c>
      <c r="C16" t="s">
        <v>147</v>
      </c>
      <c r="D16" t="s">
        <v>148</v>
      </c>
      <c r="E16">
        <v>2001</v>
      </c>
      <c r="F16" t="str">
        <f t="shared" si="0"/>
        <v>10.1126/science.292.5525.2310</v>
      </c>
      <c r="G16">
        <f t="shared" si="1"/>
        <v>56141.000000000007</v>
      </c>
      <c r="H16">
        <f t="shared" si="2"/>
        <v>100.00000000000142</v>
      </c>
      <c r="I16">
        <f t="shared" si="3"/>
        <v>100.00000000000142</v>
      </c>
      <c r="J16">
        <f t="shared" si="4"/>
        <v>300</v>
      </c>
      <c r="K16" s="22">
        <f t="shared" si="5"/>
        <v>2</v>
      </c>
      <c r="L16" s="22">
        <f t="shared" si="6"/>
        <v>3</v>
      </c>
      <c r="M16" t="b">
        <v>1</v>
      </c>
      <c r="N16">
        <v>3</v>
      </c>
      <c r="O16" t="s">
        <v>151</v>
      </c>
      <c r="P16" t="s">
        <v>150</v>
      </c>
      <c r="Q16" t="b">
        <v>0</v>
      </c>
      <c r="R16" t="s">
        <v>162</v>
      </c>
      <c r="S16" t="b">
        <v>0</v>
      </c>
      <c r="T16" t="b">
        <v>0</v>
      </c>
      <c r="U16" t="s">
        <v>162</v>
      </c>
      <c r="V16" t="s">
        <v>150</v>
      </c>
      <c r="W16" t="b">
        <v>1</v>
      </c>
      <c r="X16" t="s">
        <v>171</v>
      </c>
      <c r="Y16" t="s">
        <v>43</v>
      </c>
      <c r="Z16" t="s">
        <v>44</v>
      </c>
      <c r="AA16" t="s">
        <v>88</v>
      </c>
      <c r="AB16" t="s">
        <v>34</v>
      </c>
      <c r="AC16" t="s">
        <v>35</v>
      </c>
      <c r="AD16" t="s">
        <v>36</v>
      </c>
      <c r="AE16" t="s">
        <v>89</v>
      </c>
      <c r="AF16" t="s">
        <v>37</v>
      </c>
      <c r="AG16" t="s">
        <v>90</v>
      </c>
      <c r="AH16" s="21">
        <f t="shared" si="7"/>
        <v>56.141000000000005</v>
      </c>
      <c r="AI16" s="21">
        <v>56.241000000000007</v>
      </c>
      <c r="AJ16" s="21">
        <v>56.041000000000004</v>
      </c>
      <c r="AK16" t="s">
        <v>170</v>
      </c>
      <c r="AL16" t="s">
        <v>87</v>
      </c>
      <c r="AM16" s="2">
        <v>43.95</v>
      </c>
      <c r="AN16" t="s">
        <v>162</v>
      </c>
      <c r="AO16" s="2" t="s">
        <v>162</v>
      </c>
      <c r="AP16" s="2" t="s">
        <v>162</v>
      </c>
      <c r="AQ16" s="2">
        <v>3</v>
      </c>
      <c r="AR16" s="2">
        <v>5</v>
      </c>
      <c r="AS16" t="s">
        <v>38</v>
      </c>
      <c r="AT16" t="s">
        <v>39</v>
      </c>
      <c r="AW16" t="s">
        <v>40</v>
      </c>
      <c r="AX16" s="2">
        <v>12.18</v>
      </c>
      <c r="AZ16" s="2">
        <v>1.3</v>
      </c>
      <c r="BA16" t="s">
        <v>41</v>
      </c>
      <c r="BB16" t="s">
        <v>131</v>
      </c>
      <c r="BC16" t="s">
        <v>132</v>
      </c>
      <c r="BD16" s="2">
        <v>300</v>
      </c>
      <c r="BE16" t="s">
        <v>133</v>
      </c>
      <c r="BF16" s="2">
        <v>297</v>
      </c>
      <c r="BG16" s="2">
        <v>302</v>
      </c>
      <c r="BH16" t="s">
        <v>134</v>
      </c>
      <c r="BI16" t="s">
        <v>135</v>
      </c>
      <c r="BJ16" t="s">
        <v>136</v>
      </c>
    </row>
    <row r="17" spans="1:62" x14ac:dyDescent="0.2">
      <c r="A17" t="s">
        <v>33</v>
      </c>
      <c r="B17" t="s">
        <v>149</v>
      </c>
      <c r="C17" t="s">
        <v>147</v>
      </c>
      <c r="D17" t="s">
        <v>148</v>
      </c>
      <c r="E17">
        <v>2001</v>
      </c>
      <c r="F17" t="str">
        <f t="shared" si="0"/>
        <v>10.1126/science.292.5525.2310</v>
      </c>
      <c r="G17">
        <f t="shared" si="1"/>
        <v>56100</v>
      </c>
      <c r="H17">
        <f t="shared" si="2"/>
        <v>100.00000000000142</v>
      </c>
      <c r="I17">
        <f t="shared" si="3"/>
        <v>100.00000000000142</v>
      </c>
      <c r="J17">
        <f t="shared" si="4"/>
        <v>303</v>
      </c>
      <c r="K17" s="22">
        <f t="shared" si="5"/>
        <v>1</v>
      </c>
      <c r="L17" s="22">
        <f t="shared" si="6"/>
        <v>1</v>
      </c>
      <c r="M17" t="b">
        <v>1</v>
      </c>
      <c r="N17">
        <v>3</v>
      </c>
      <c r="O17" t="s">
        <v>151</v>
      </c>
      <c r="P17" t="s">
        <v>150</v>
      </c>
      <c r="Q17" t="b">
        <v>0</v>
      </c>
      <c r="R17" t="s">
        <v>162</v>
      </c>
      <c r="S17" t="b">
        <v>0</v>
      </c>
      <c r="T17" t="b">
        <v>0</v>
      </c>
      <c r="U17" t="s">
        <v>162</v>
      </c>
      <c r="V17" t="s">
        <v>150</v>
      </c>
      <c r="W17" t="b">
        <v>1</v>
      </c>
      <c r="X17" t="s">
        <v>171</v>
      </c>
      <c r="Y17" t="s">
        <v>43</v>
      </c>
      <c r="Z17" t="s">
        <v>44</v>
      </c>
      <c r="AA17" t="s">
        <v>91</v>
      </c>
      <c r="AB17" t="s">
        <v>34</v>
      </c>
      <c r="AC17" t="s">
        <v>35</v>
      </c>
      <c r="AD17" t="s">
        <v>36</v>
      </c>
      <c r="AE17" t="s">
        <v>92</v>
      </c>
      <c r="AF17" t="s">
        <v>37</v>
      </c>
      <c r="AG17" t="s">
        <v>82</v>
      </c>
      <c r="AH17" s="21">
        <f t="shared" si="7"/>
        <v>56.1</v>
      </c>
      <c r="AI17" s="21">
        <v>56.2</v>
      </c>
      <c r="AJ17" s="21">
        <v>56</v>
      </c>
      <c r="AK17" t="s">
        <v>170</v>
      </c>
      <c r="AL17" t="s">
        <v>87</v>
      </c>
      <c r="AM17" s="2">
        <v>43.95</v>
      </c>
      <c r="AN17" t="s">
        <v>162</v>
      </c>
      <c r="AO17" s="2" t="s">
        <v>162</v>
      </c>
      <c r="AP17" s="2" t="s">
        <v>162</v>
      </c>
      <c r="AQ17" s="2">
        <v>3</v>
      </c>
      <c r="AR17" s="2">
        <v>15</v>
      </c>
      <c r="AS17" t="s">
        <v>38</v>
      </c>
      <c r="AT17" t="s">
        <v>39</v>
      </c>
      <c r="AW17" t="s">
        <v>40</v>
      </c>
      <c r="AX17" s="2">
        <v>11.77</v>
      </c>
      <c r="AZ17" s="2">
        <v>0.91</v>
      </c>
      <c r="BA17" t="s">
        <v>41</v>
      </c>
      <c r="BB17" t="s">
        <v>131</v>
      </c>
      <c r="BC17" t="s">
        <v>132</v>
      </c>
      <c r="BD17" s="2">
        <v>303</v>
      </c>
      <c r="BE17" t="s">
        <v>133</v>
      </c>
      <c r="BF17" s="2">
        <v>302</v>
      </c>
      <c r="BG17" s="2">
        <v>304</v>
      </c>
      <c r="BH17" t="s">
        <v>134</v>
      </c>
      <c r="BI17" t="s">
        <v>135</v>
      </c>
      <c r="BJ17" t="s">
        <v>136</v>
      </c>
    </row>
    <row r="18" spans="1:62" x14ac:dyDescent="0.2">
      <c r="A18" t="s">
        <v>33</v>
      </c>
      <c r="B18" t="s">
        <v>149</v>
      </c>
      <c r="C18" t="s">
        <v>147</v>
      </c>
      <c r="D18" t="s">
        <v>148</v>
      </c>
      <c r="E18">
        <v>2001</v>
      </c>
      <c r="F18" t="str">
        <f t="shared" si="0"/>
        <v>10.1126/science.292.5525.2310</v>
      </c>
      <c r="G18">
        <f t="shared" si="1"/>
        <v>56100</v>
      </c>
      <c r="H18">
        <f t="shared" si="2"/>
        <v>100.00000000000142</v>
      </c>
      <c r="I18">
        <f t="shared" si="3"/>
        <v>100.00000000000142</v>
      </c>
      <c r="J18">
        <f t="shared" si="4"/>
        <v>298</v>
      </c>
      <c r="K18" s="22">
        <f t="shared" si="5"/>
        <v>2</v>
      </c>
      <c r="L18" s="22">
        <f t="shared" si="6"/>
        <v>2</v>
      </c>
      <c r="M18" t="b">
        <v>1</v>
      </c>
      <c r="N18">
        <v>3</v>
      </c>
      <c r="O18" t="s">
        <v>151</v>
      </c>
      <c r="P18" t="s">
        <v>150</v>
      </c>
      <c r="Q18" t="b">
        <v>0</v>
      </c>
      <c r="R18" t="s">
        <v>162</v>
      </c>
      <c r="S18" t="b">
        <v>0</v>
      </c>
      <c r="T18" t="b">
        <v>0</v>
      </c>
      <c r="U18" t="s">
        <v>162</v>
      </c>
      <c r="V18" t="s">
        <v>150</v>
      </c>
      <c r="W18" t="b">
        <v>1</v>
      </c>
      <c r="X18" t="s">
        <v>171</v>
      </c>
      <c r="Y18" t="s">
        <v>43</v>
      </c>
      <c r="Z18" t="s">
        <v>44</v>
      </c>
      <c r="AA18" t="s">
        <v>93</v>
      </c>
      <c r="AB18" t="s">
        <v>34</v>
      </c>
      <c r="AC18" t="s">
        <v>35</v>
      </c>
      <c r="AD18" t="s">
        <v>36</v>
      </c>
      <c r="AE18" t="s">
        <v>94</v>
      </c>
      <c r="AF18" t="s">
        <v>37</v>
      </c>
      <c r="AG18" t="s">
        <v>95</v>
      </c>
      <c r="AH18" s="21">
        <f t="shared" si="7"/>
        <v>56.1</v>
      </c>
      <c r="AI18" s="21">
        <v>56.2</v>
      </c>
      <c r="AJ18" s="21">
        <v>56</v>
      </c>
      <c r="AK18" t="s">
        <v>170</v>
      </c>
      <c r="AL18" t="s">
        <v>87</v>
      </c>
      <c r="AM18" s="2">
        <v>44.15</v>
      </c>
      <c r="AN18" t="s">
        <v>162</v>
      </c>
      <c r="AO18" s="2" t="s">
        <v>162</v>
      </c>
      <c r="AP18" s="2" t="s">
        <v>162</v>
      </c>
      <c r="AQ18" s="2">
        <v>3</v>
      </c>
      <c r="AR18" s="2">
        <v>7</v>
      </c>
      <c r="AS18" t="s">
        <v>38</v>
      </c>
      <c r="AT18" t="s">
        <v>39</v>
      </c>
      <c r="AW18" t="s">
        <v>40</v>
      </c>
      <c r="AX18" s="2">
        <v>12.41</v>
      </c>
      <c r="AZ18" s="2">
        <v>0.88</v>
      </c>
      <c r="BA18" t="s">
        <v>41</v>
      </c>
      <c r="BB18" t="s">
        <v>131</v>
      </c>
      <c r="BC18" t="s">
        <v>132</v>
      </c>
      <c r="BD18" s="2">
        <v>298</v>
      </c>
      <c r="BE18" t="s">
        <v>133</v>
      </c>
      <c r="BF18" s="2">
        <v>296</v>
      </c>
      <c r="BG18" s="2">
        <v>300</v>
      </c>
      <c r="BH18" t="s">
        <v>134</v>
      </c>
      <c r="BI18" t="s">
        <v>135</v>
      </c>
      <c r="BJ18" t="s">
        <v>136</v>
      </c>
    </row>
    <row r="19" spans="1:62" x14ac:dyDescent="0.2">
      <c r="A19" t="s">
        <v>33</v>
      </c>
      <c r="B19" t="s">
        <v>149</v>
      </c>
      <c r="C19" t="s">
        <v>147</v>
      </c>
      <c r="D19" t="s">
        <v>148</v>
      </c>
      <c r="E19">
        <v>2001</v>
      </c>
      <c r="F19" t="str">
        <f t="shared" si="0"/>
        <v>10.1126/science.292.5525.2310</v>
      </c>
      <c r="G19">
        <f t="shared" si="1"/>
        <v>55900</v>
      </c>
      <c r="H19">
        <f t="shared" si="2"/>
        <v>3000</v>
      </c>
      <c r="I19">
        <f t="shared" si="3"/>
        <v>3000</v>
      </c>
      <c r="J19">
        <f t="shared" si="4"/>
        <v>373</v>
      </c>
      <c r="K19" s="22">
        <f t="shared" si="5"/>
        <v>8</v>
      </c>
      <c r="L19" s="22">
        <f t="shared" si="6"/>
        <v>5</v>
      </c>
      <c r="M19" t="b">
        <v>1</v>
      </c>
      <c r="N19">
        <v>3</v>
      </c>
      <c r="O19" t="s">
        <v>151</v>
      </c>
      <c r="P19" t="s">
        <v>150</v>
      </c>
      <c r="Q19" t="b">
        <v>0</v>
      </c>
      <c r="R19" t="s">
        <v>162</v>
      </c>
      <c r="S19" t="b">
        <v>0</v>
      </c>
      <c r="T19" t="b">
        <v>0</v>
      </c>
      <c r="U19" t="s">
        <v>162</v>
      </c>
      <c r="V19" t="s">
        <v>150</v>
      </c>
      <c r="W19" t="b">
        <v>1</v>
      </c>
      <c r="X19" t="s">
        <v>171</v>
      </c>
      <c r="Y19" t="s">
        <v>43</v>
      </c>
      <c r="Z19" t="s">
        <v>44</v>
      </c>
      <c r="AA19" t="s">
        <v>96</v>
      </c>
      <c r="AB19" t="s">
        <v>34</v>
      </c>
      <c r="AC19" t="s">
        <v>35</v>
      </c>
      <c r="AD19" t="s">
        <v>36</v>
      </c>
      <c r="AE19" t="s">
        <v>97</v>
      </c>
      <c r="AF19" t="s">
        <v>98</v>
      </c>
      <c r="AG19" t="s">
        <v>99</v>
      </c>
      <c r="AH19" s="21">
        <f t="shared" si="7"/>
        <v>55.9</v>
      </c>
      <c r="AI19" s="21">
        <v>58.9</v>
      </c>
      <c r="AJ19" s="21">
        <v>52.9</v>
      </c>
      <c r="AK19" t="s">
        <v>170</v>
      </c>
      <c r="AL19" t="s">
        <v>100</v>
      </c>
      <c r="AM19" s="2">
        <v>44.8</v>
      </c>
      <c r="AN19" t="s">
        <v>162</v>
      </c>
      <c r="AO19" s="2" t="s">
        <v>162</v>
      </c>
      <c r="AP19" s="2" t="s">
        <v>162</v>
      </c>
      <c r="AQ19" s="2">
        <v>3</v>
      </c>
      <c r="AR19" s="2">
        <v>22</v>
      </c>
      <c r="AS19" t="s">
        <v>38</v>
      </c>
      <c r="AT19" t="s">
        <v>39</v>
      </c>
      <c r="AW19" t="s">
        <v>40</v>
      </c>
      <c r="AX19" s="2">
        <v>8.5299999999999994</v>
      </c>
      <c r="AZ19" s="2">
        <v>0.73</v>
      </c>
      <c r="BA19" t="s">
        <v>41</v>
      </c>
      <c r="BB19" t="s">
        <v>131</v>
      </c>
      <c r="BC19" t="s">
        <v>132</v>
      </c>
      <c r="BD19" s="2">
        <v>373</v>
      </c>
      <c r="BE19" t="s">
        <v>133</v>
      </c>
      <c r="BF19" s="2">
        <v>368</v>
      </c>
      <c r="BG19" s="2">
        <v>381</v>
      </c>
      <c r="BH19" t="s">
        <v>134</v>
      </c>
      <c r="BI19" t="s">
        <v>135</v>
      </c>
      <c r="BJ19" t="s">
        <v>136</v>
      </c>
    </row>
    <row r="20" spans="1:62" x14ac:dyDescent="0.2">
      <c r="A20" t="s">
        <v>33</v>
      </c>
      <c r="B20" t="s">
        <v>149</v>
      </c>
      <c r="C20" t="s">
        <v>147</v>
      </c>
      <c r="D20" t="s">
        <v>148</v>
      </c>
      <c r="E20">
        <v>2001</v>
      </c>
      <c r="F20" t="str">
        <f t="shared" si="0"/>
        <v>10.1126/science.292.5525.2310</v>
      </c>
      <c r="G20">
        <f t="shared" si="1"/>
        <v>55600</v>
      </c>
      <c r="H20">
        <f t="shared" si="2"/>
        <v>100.00000000000142</v>
      </c>
      <c r="I20">
        <f t="shared" si="3"/>
        <v>100.00000000000142</v>
      </c>
      <c r="J20">
        <f t="shared" si="4"/>
        <v>360</v>
      </c>
      <c r="K20" s="22">
        <f t="shared" si="5"/>
        <v>9</v>
      </c>
      <c r="L20" s="22">
        <f t="shared" si="6"/>
        <v>7</v>
      </c>
      <c r="M20" t="b">
        <v>1</v>
      </c>
      <c r="N20">
        <v>3</v>
      </c>
      <c r="O20" t="s">
        <v>151</v>
      </c>
      <c r="P20" t="s">
        <v>150</v>
      </c>
      <c r="Q20" t="b">
        <v>0</v>
      </c>
      <c r="R20" t="s">
        <v>162</v>
      </c>
      <c r="S20" t="b">
        <v>0</v>
      </c>
      <c r="T20" t="b">
        <v>0</v>
      </c>
      <c r="U20" t="s">
        <v>162</v>
      </c>
      <c r="V20" t="s">
        <v>150</v>
      </c>
      <c r="W20" t="b">
        <v>1</v>
      </c>
      <c r="X20" t="s">
        <v>171</v>
      </c>
      <c r="Y20" t="s">
        <v>43</v>
      </c>
      <c r="Z20" t="s">
        <v>44</v>
      </c>
      <c r="AA20" t="s">
        <v>101</v>
      </c>
      <c r="AB20" t="s">
        <v>34</v>
      </c>
      <c r="AC20" t="s">
        <v>35</v>
      </c>
      <c r="AD20" t="s">
        <v>36</v>
      </c>
      <c r="AE20" t="s">
        <v>102</v>
      </c>
      <c r="AF20" t="s">
        <v>98</v>
      </c>
      <c r="AG20" t="s">
        <v>103</v>
      </c>
      <c r="AH20" s="21">
        <f t="shared" si="7"/>
        <v>55.6</v>
      </c>
      <c r="AI20" s="21">
        <v>55.7</v>
      </c>
      <c r="AJ20" s="21">
        <v>55.5</v>
      </c>
      <c r="AK20" t="s">
        <v>170</v>
      </c>
      <c r="AL20" t="s">
        <v>104</v>
      </c>
      <c r="AM20" s="2">
        <v>44.35</v>
      </c>
      <c r="AN20" s="2">
        <v>-108.39</v>
      </c>
      <c r="AO20" s="2" t="s">
        <v>162</v>
      </c>
      <c r="AP20" s="2" t="s">
        <v>162</v>
      </c>
      <c r="AQ20" s="2">
        <v>3</v>
      </c>
      <c r="AR20" s="2">
        <v>8</v>
      </c>
      <c r="AS20" t="s">
        <v>38</v>
      </c>
      <c r="AT20" t="s">
        <v>39</v>
      </c>
      <c r="AW20" t="s">
        <v>40</v>
      </c>
      <c r="AX20" s="2">
        <v>8.83</v>
      </c>
      <c r="AZ20" s="2">
        <v>0.85</v>
      </c>
      <c r="BA20" t="s">
        <v>41</v>
      </c>
      <c r="BB20" t="s">
        <v>131</v>
      </c>
      <c r="BC20" t="s">
        <v>132</v>
      </c>
      <c r="BD20" s="2">
        <v>360</v>
      </c>
      <c r="BE20" t="s">
        <v>133</v>
      </c>
      <c r="BF20" s="2">
        <v>353</v>
      </c>
      <c r="BG20" s="2">
        <v>369</v>
      </c>
      <c r="BH20" t="s">
        <v>134</v>
      </c>
      <c r="BI20" t="s">
        <v>135</v>
      </c>
      <c r="BJ20" t="s">
        <v>136</v>
      </c>
    </row>
    <row r="21" spans="1:62" x14ac:dyDescent="0.2">
      <c r="A21" t="s">
        <v>33</v>
      </c>
      <c r="B21" t="s">
        <v>149</v>
      </c>
      <c r="C21" t="s">
        <v>147</v>
      </c>
      <c r="D21" t="s">
        <v>148</v>
      </c>
      <c r="E21">
        <v>2001</v>
      </c>
      <c r="F21" t="str">
        <f t="shared" si="0"/>
        <v>10.1126/science.292.5525.2310</v>
      </c>
      <c r="G21">
        <f t="shared" si="1"/>
        <v>54700</v>
      </c>
      <c r="H21">
        <f t="shared" si="2"/>
        <v>100.00000000000142</v>
      </c>
      <c r="I21">
        <f t="shared" si="3"/>
        <v>100.00000000000142</v>
      </c>
      <c r="J21">
        <f t="shared" si="4"/>
        <v>345</v>
      </c>
      <c r="K21" s="22">
        <f t="shared" si="5"/>
        <v>7</v>
      </c>
      <c r="L21" s="22">
        <f t="shared" si="6"/>
        <v>6</v>
      </c>
      <c r="M21" t="b">
        <v>1</v>
      </c>
      <c r="N21">
        <v>3</v>
      </c>
      <c r="O21" t="s">
        <v>151</v>
      </c>
      <c r="P21" t="s">
        <v>150</v>
      </c>
      <c r="Q21" t="b">
        <v>0</v>
      </c>
      <c r="R21" t="s">
        <v>162</v>
      </c>
      <c r="S21" t="b">
        <v>0</v>
      </c>
      <c r="T21" t="b">
        <v>0</v>
      </c>
      <c r="U21" t="s">
        <v>162</v>
      </c>
      <c r="V21" t="s">
        <v>150</v>
      </c>
      <c r="W21" t="b">
        <v>1</v>
      </c>
      <c r="X21" t="s">
        <v>171</v>
      </c>
      <c r="Y21" t="s">
        <v>43</v>
      </c>
      <c r="Z21" t="s">
        <v>44</v>
      </c>
      <c r="AA21" t="s">
        <v>105</v>
      </c>
      <c r="AB21" t="s">
        <v>34</v>
      </c>
      <c r="AC21" t="s">
        <v>35</v>
      </c>
      <c r="AD21" t="s">
        <v>36</v>
      </c>
      <c r="AE21" t="s">
        <v>106</v>
      </c>
      <c r="AF21" t="s">
        <v>98</v>
      </c>
      <c r="AG21" t="s">
        <v>107</v>
      </c>
      <c r="AH21" s="21">
        <f t="shared" si="7"/>
        <v>54.7</v>
      </c>
      <c r="AI21" s="21">
        <v>54.800000000000004</v>
      </c>
      <c r="AJ21" s="21">
        <v>54.6</v>
      </c>
      <c r="AK21" t="s">
        <v>170</v>
      </c>
      <c r="AL21" t="s">
        <v>108</v>
      </c>
      <c r="AM21" s="2">
        <v>44.17</v>
      </c>
      <c r="AN21" s="2">
        <v>-108.13</v>
      </c>
      <c r="AO21" s="2" t="s">
        <v>162</v>
      </c>
      <c r="AP21" s="2" t="s">
        <v>162</v>
      </c>
      <c r="AQ21" s="2">
        <v>3</v>
      </c>
      <c r="AR21" s="2">
        <v>5</v>
      </c>
      <c r="AS21" t="s">
        <v>38</v>
      </c>
      <c r="AT21" t="s">
        <v>39</v>
      </c>
      <c r="AW21" t="s">
        <v>40</v>
      </c>
      <c r="AX21" s="2">
        <v>9.2899999999999991</v>
      </c>
      <c r="AZ21" s="2">
        <v>0.79</v>
      </c>
      <c r="BA21" t="s">
        <v>41</v>
      </c>
      <c r="BB21" t="s">
        <v>131</v>
      </c>
      <c r="BC21" t="s">
        <v>132</v>
      </c>
      <c r="BD21" s="2">
        <v>345</v>
      </c>
      <c r="BE21" t="s">
        <v>133</v>
      </c>
      <c r="BF21" s="2">
        <v>339</v>
      </c>
      <c r="BG21" s="2">
        <v>352</v>
      </c>
      <c r="BH21" t="s">
        <v>134</v>
      </c>
      <c r="BI21" t="s">
        <v>135</v>
      </c>
      <c r="BJ21" t="s">
        <v>136</v>
      </c>
    </row>
    <row r="22" spans="1:62" x14ac:dyDescent="0.2">
      <c r="A22" t="s">
        <v>33</v>
      </c>
      <c r="B22" t="s">
        <v>149</v>
      </c>
      <c r="C22" t="s">
        <v>147</v>
      </c>
      <c r="D22" t="s">
        <v>148</v>
      </c>
      <c r="E22">
        <v>2001</v>
      </c>
      <c r="F22" t="str">
        <f t="shared" si="0"/>
        <v>10.1126/science.292.5525.2310</v>
      </c>
      <c r="G22">
        <f t="shared" si="1"/>
        <v>54290.000000000007</v>
      </c>
      <c r="H22">
        <f t="shared" si="2"/>
        <v>100.00000000000142</v>
      </c>
      <c r="I22">
        <f t="shared" si="3"/>
        <v>100.00000000000142</v>
      </c>
      <c r="J22">
        <f t="shared" si="4"/>
        <v>323</v>
      </c>
      <c r="K22" s="22">
        <f t="shared" si="5"/>
        <v>3</v>
      </c>
      <c r="L22" s="22">
        <f t="shared" si="6"/>
        <v>2</v>
      </c>
      <c r="M22" t="b">
        <v>1</v>
      </c>
      <c r="N22">
        <v>3</v>
      </c>
      <c r="O22" t="s">
        <v>151</v>
      </c>
      <c r="P22" t="s">
        <v>150</v>
      </c>
      <c r="Q22" t="b">
        <v>0</v>
      </c>
      <c r="R22" t="s">
        <v>162</v>
      </c>
      <c r="S22" t="b">
        <v>0</v>
      </c>
      <c r="T22" t="b">
        <v>0</v>
      </c>
      <c r="U22" t="s">
        <v>162</v>
      </c>
      <c r="V22" t="s">
        <v>150</v>
      </c>
      <c r="W22" t="b">
        <v>1</v>
      </c>
      <c r="X22" t="s">
        <v>171</v>
      </c>
      <c r="Y22" t="s">
        <v>43</v>
      </c>
      <c r="Z22" t="s">
        <v>44</v>
      </c>
      <c r="AA22" t="s">
        <v>109</v>
      </c>
      <c r="AB22" t="s">
        <v>34</v>
      </c>
      <c r="AC22" t="s">
        <v>35</v>
      </c>
      <c r="AD22" t="s">
        <v>36</v>
      </c>
      <c r="AE22" t="s">
        <v>110</v>
      </c>
      <c r="AF22" t="s">
        <v>98</v>
      </c>
      <c r="AG22" t="s">
        <v>111</v>
      </c>
      <c r="AH22" s="21">
        <f t="shared" si="7"/>
        <v>54.290000000000006</v>
      </c>
      <c r="AI22" s="21">
        <v>54.390000000000008</v>
      </c>
      <c r="AJ22" s="21">
        <v>54.190000000000005</v>
      </c>
      <c r="AK22" t="s">
        <v>170</v>
      </c>
      <c r="AL22" t="s">
        <v>112</v>
      </c>
      <c r="AM22" s="2">
        <v>44.3</v>
      </c>
      <c r="AN22" t="s">
        <v>162</v>
      </c>
      <c r="AO22" s="2" t="s">
        <v>162</v>
      </c>
      <c r="AP22" s="2" t="s">
        <v>162</v>
      </c>
      <c r="AQ22" s="2">
        <v>3</v>
      </c>
      <c r="AR22" s="2">
        <v>9</v>
      </c>
      <c r="AS22" t="s">
        <v>38</v>
      </c>
      <c r="AT22" t="s">
        <v>39</v>
      </c>
      <c r="AW22" t="s">
        <v>40</v>
      </c>
      <c r="AX22" s="2">
        <v>10.220000000000001</v>
      </c>
      <c r="AZ22" s="2">
        <v>1.07</v>
      </c>
      <c r="BA22" t="s">
        <v>41</v>
      </c>
      <c r="BB22" t="s">
        <v>131</v>
      </c>
      <c r="BC22" t="s">
        <v>132</v>
      </c>
      <c r="BD22" s="2">
        <v>323</v>
      </c>
      <c r="BE22" t="s">
        <v>133</v>
      </c>
      <c r="BF22" s="2">
        <v>321</v>
      </c>
      <c r="BG22" s="2">
        <v>326</v>
      </c>
      <c r="BH22" t="s">
        <v>134</v>
      </c>
      <c r="BI22" t="s">
        <v>135</v>
      </c>
      <c r="BJ22" t="s">
        <v>136</v>
      </c>
    </row>
    <row r="23" spans="1:62" x14ac:dyDescent="0.2">
      <c r="A23" t="s">
        <v>33</v>
      </c>
      <c r="B23" t="s">
        <v>149</v>
      </c>
      <c r="C23" t="s">
        <v>147</v>
      </c>
      <c r="D23" t="s">
        <v>148</v>
      </c>
      <c r="E23">
        <v>2001</v>
      </c>
      <c r="F23" t="str">
        <f t="shared" si="0"/>
        <v>10.1126/science.292.5525.2310</v>
      </c>
      <c r="G23">
        <f t="shared" si="1"/>
        <v>54233.000000000007</v>
      </c>
      <c r="H23">
        <f t="shared" si="2"/>
        <v>100.00000000000142</v>
      </c>
      <c r="I23">
        <f t="shared" si="3"/>
        <v>100.00000000000142</v>
      </c>
      <c r="J23">
        <f t="shared" si="4"/>
        <v>342</v>
      </c>
      <c r="K23" s="22">
        <f t="shared" si="5"/>
        <v>4</v>
      </c>
      <c r="L23" s="22">
        <f t="shared" si="6"/>
        <v>3</v>
      </c>
      <c r="M23" t="b">
        <v>1</v>
      </c>
      <c r="N23">
        <v>3</v>
      </c>
      <c r="O23" t="s">
        <v>151</v>
      </c>
      <c r="P23" t="s">
        <v>150</v>
      </c>
      <c r="Q23" t="b">
        <v>0</v>
      </c>
      <c r="R23" t="s">
        <v>162</v>
      </c>
      <c r="S23" t="b">
        <v>0</v>
      </c>
      <c r="T23" t="b">
        <v>0</v>
      </c>
      <c r="U23" t="s">
        <v>162</v>
      </c>
      <c r="V23" t="s">
        <v>150</v>
      </c>
      <c r="W23" t="b">
        <v>1</v>
      </c>
      <c r="X23" t="s">
        <v>171</v>
      </c>
      <c r="Y23" t="s">
        <v>43</v>
      </c>
      <c r="Z23" t="s">
        <v>44</v>
      </c>
      <c r="AA23" t="s">
        <v>113</v>
      </c>
      <c r="AB23" t="s">
        <v>34</v>
      </c>
      <c r="AC23" t="s">
        <v>35</v>
      </c>
      <c r="AD23" t="s">
        <v>36</v>
      </c>
      <c r="AE23" t="s">
        <v>114</v>
      </c>
      <c r="AF23" t="s">
        <v>98</v>
      </c>
      <c r="AG23" t="s">
        <v>115</v>
      </c>
      <c r="AH23" s="21">
        <f t="shared" si="7"/>
        <v>54.233000000000004</v>
      </c>
      <c r="AI23" s="21">
        <v>54.333000000000006</v>
      </c>
      <c r="AJ23" s="21">
        <v>54.133000000000003</v>
      </c>
      <c r="AK23" t="s">
        <v>170</v>
      </c>
      <c r="AL23" t="s">
        <v>116</v>
      </c>
      <c r="AM23" s="2">
        <v>44.35</v>
      </c>
      <c r="AN23" t="s">
        <v>162</v>
      </c>
      <c r="AO23" s="2" t="s">
        <v>162</v>
      </c>
      <c r="AP23" s="2" t="s">
        <v>162</v>
      </c>
      <c r="AQ23" s="2">
        <v>3</v>
      </c>
      <c r="AR23" s="2">
        <v>15</v>
      </c>
      <c r="AS23" t="s">
        <v>38</v>
      </c>
      <c r="AT23" t="s">
        <v>39</v>
      </c>
      <c r="AW23" t="s">
        <v>40</v>
      </c>
      <c r="AX23" s="2">
        <v>9.3800000000000008</v>
      </c>
      <c r="AZ23" s="2">
        <v>0.8</v>
      </c>
      <c r="BA23" t="s">
        <v>41</v>
      </c>
      <c r="BB23" t="s">
        <v>131</v>
      </c>
      <c r="BC23" t="s">
        <v>132</v>
      </c>
      <c r="BD23" s="2">
        <v>342</v>
      </c>
      <c r="BE23" t="s">
        <v>133</v>
      </c>
      <c r="BF23" s="2">
        <v>339</v>
      </c>
      <c r="BG23" s="2">
        <v>346</v>
      </c>
      <c r="BH23" t="s">
        <v>134</v>
      </c>
      <c r="BI23" t="s">
        <v>135</v>
      </c>
      <c r="BJ23" t="s">
        <v>136</v>
      </c>
    </row>
    <row r="24" spans="1:62" x14ac:dyDescent="0.2">
      <c r="A24" t="s">
        <v>33</v>
      </c>
      <c r="B24" t="s">
        <v>149</v>
      </c>
      <c r="C24" t="s">
        <v>147</v>
      </c>
      <c r="D24" t="s">
        <v>148</v>
      </c>
      <c r="E24">
        <v>2001</v>
      </c>
      <c r="F24" t="str">
        <f t="shared" si="0"/>
        <v>10.1126/science.292.5525.2310</v>
      </c>
      <c r="G24">
        <f t="shared" si="1"/>
        <v>16500</v>
      </c>
      <c r="H24">
        <f t="shared" si="2"/>
        <v>1500</v>
      </c>
      <c r="I24">
        <f t="shared" si="3"/>
        <v>1500</v>
      </c>
      <c r="J24">
        <f t="shared" si="4"/>
        <v>396</v>
      </c>
      <c r="K24" s="22">
        <f t="shared" si="5"/>
        <v>17</v>
      </c>
      <c r="L24" s="22">
        <f t="shared" si="6"/>
        <v>11</v>
      </c>
      <c r="M24" t="b">
        <v>1</v>
      </c>
      <c r="N24">
        <v>3</v>
      </c>
      <c r="O24" t="s">
        <v>151</v>
      </c>
      <c r="P24" t="s">
        <v>150</v>
      </c>
      <c r="Q24" t="b">
        <v>0</v>
      </c>
      <c r="R24" t="s">
        <v>162</v>
      </c>
      <c r="S24" t="b">
        <v>1</v>
      </c>
      <c r="T24" t="b">
        <v>0</v>
      </c>
      <c r="U24" t="s">
        <v>162</v>
      </c>
      <c r="V24" t="s">
        <v>162</v>
      </c>
      <c r="W24" t="b">
        <v>0</v>
      </c>
      <c r="X24" t="s">
        <v>162</v>
      </c>
      <c r="Y24" t="s">
        <v>43</v>
      </c>
      <c r="Z24" t="s">
        <v>44</v>
      </c>
      <c r="AA24" t="s">
        <v>117</v>
      </c>
      <c r="AB24" t="s">
        <v>34</v>
      </c>
      <c r="AC24" t="s">
        <v>35</v>
      </c>
      <c r="AD24" t="s">
        <v>36</v>
      </c>
      <c r="AE24" t="s">
        <v>118</v>
      </c>
      <c r="AF24" t="s">
        <v>119</v>
      </c>
      <c r="AH24" s="21">
        <f t="shared" si="7"/>
        <v>16.5</v>
      </c>
      <c r="AI24" s="21">
        <v>18</v>
      </c>
      <c r="AJ24" s="21">
        <v>15</v>
      </c>
      <c r="AK24" t="s">
        <v>162</v>
      </c>
      <c r="AL24" t="s">
        <v>120</v>
      </c>
      <c r="AM24" s="2">
        <v>46.52</v>
      </c>
      <c r="AN24" s="2">
        <v>-116.75</v>
      </c>
      <c r="AO24" s="2" t="s">
        <v>162</v>
      </c>
      <c r="AP24" s="2" t="s">
        <v>162</v>
      </c>
      <c r="AQ24" s="2">
        <v>3</v>
      </c>
      <c r="AR24" s="2">
        <v>14</v>
      </c>
      <c r="AS24" t="s">
        <v>38</v>
      </c>
      <c r="AT24" t="s">
        <v>39</v>
      </c>
      <c r="AW24" t="s">
        <v>40</v>
      </c>
      <c r="AX24" s="2">
        <v>8.14</v>
      </c>
      <c r="AZ24" s="2">
        <v>0.95</v>
      </c>
      <c r="BA24" t="s">
        <v>41</v>
      </c>
      <c r="BB24" t="s">
        <v>131</v>
      </c>
      <c r="BC24" t="s">
        <v>132</v>
      </c>
      <c r="BD24" s="2">
        <v>396</v>
      </c>
      <c r="BE24" t="s">
        <v>133</v>
      </c>
      <c r="BF24" s="2">
        <v>385</v>
      </c>
      <c r="BG24" s="2">
        <v>413</v>
      </c>
      <c r="BH24" t="s">
        <v>134</v>
      </c>
      <c r="BI24" t="s">
        <v>135</v>
      </c>
      <c r="BJ24" t="s">
        <v>136</v>
      </c>
    </row>
    <row r="25" spans="1:62" x14ac:dyDescent="0.2">
      <c r="A25" t="s">
        <v>33</v>
      </c>
      <c r="B25" t="s">
        <v>149</v>
      </c>
      <c r="C25" t="s">
        <v>147</v>
      </c>
      <c r="D25" t="s">
        <v>148</v>
      </c>
      <c r="E25">
        <v>2001</v>
      </c>
      <c r="F25" t="str">
        <f t="shared" si="0"/>
        <v>10.1126/science.292.5525.2310</v>
      </c>
      <c r="G25">
        <f t="shared" si="1"/>
        <v>15780</v>
      </c>
      <c r="H25">
        <f t="shared" si="2"/>
        <v>38.999999999999702</v>
      </c>
      <c r="I25">
        <f t="shared" si="3"/>
        <v>38.999999999999702</v>
      </c>
      <c r="J25">
        <f t="shared" si="4"/>
        <v>310</v>
      </c>
      <c r="K25" s="22">
        <f t="shared" si="5"/>
        <v>3</v>
      </c>
      <c r="L25" s="22">
        <f t="shared" si="6"/>
        <v>3</v>
      </c>
      <c r="M25" t="b">
        <v>1</v>
      </c>
      <c r="N25">
        <v>3</v>
      </c>
      <c r="O25" t="s">
        <v>151</v>
      </c>
      <c r="P25" t="s">
        <v>150</v>
      </c>
      <c r="Q25" t="b">
        <v>0</v>
      </c>
      <c r="R25" t="s">
        <v>162</v>
      </c>
      <c r="S25" t="b">
        <v>0</v>
      </c>
      <c r="T25" t="b">
        <v>0</v>
      </c>
      <c r="U25" t="s">
        <v>162</v>
      </c>
      <c r="V25" t="s">
        <v>172</v>
      </c>
      <c r="W25" t="b">
        <v>0</v>
      </c>
      <c r="X25" t="s">
        <v>173</v>
      </c>
      <c r="Y25" t="s">
        <v>43</v>
      </c>
      <c r="Z25" t="s">
        <v>44</v>
      </c>
      <c r="AA25" t="s">
        <v>121</v>
      </c>
      <c r="AB25" t="s">
        <v>122</v>
      </c>
      <c r="AC25" t="s">
        <v>123</v>
      </c>
      <c r="AD25" t="s">
        <v>124</v>
      </c>
      <c r="AE25" t="s">
        <v>125</v>
      </c>
      <c r="AF25" t="s">
        <v>119</v>
      </c>
      <c r="AH25" s="23">
        <v>15.78</v>
      </c>
      <c r="AI25" s="23">
        <f t="shared" ref="AI25:AI27" si="8">AH25+0.039</f>
        <v>15.818999999999999</v>
      </c>
      <c r="AJ25" s="23">
        <f t="shared" ref="AJ25:AJ27" si="9">AH25-0.039</f>
        <v>15.741</v>
      </c>
      <c r="AK25" s="24" t="s">
        <v>162</v>
      </c>
      <c r="AL25" s="25" t="s">
        <v>174</v>
      </c>
      <c r="AM25" s="2">
        <v>46.99</v>
      </c>
      <c r="AN25" s="2">
        <v>-116.27</v>
      </c>
      <c r="AO25" s="2" t="s">
        <v>162</v>
      </c>
      <c r="AP25" s="2" t="s">
        <v>162</v>
      </c>
      <c r="AQ25" s="2">
        <v>3</v>
      </c>
      <c r="AR25" s="2">
        <v>6</v>
      </c>
      <c r="AS25" t="s">
        <v>38</v>
      </c>
      <c r="AT25" t="s">
        <v>39</v>
      </c>
      <c r="AW25" t="s">
        <v>40</v>
      </c>
      <c r="AX25" s="2">
        <v>11.59</v>
      </c>
      <c r="AZ25" s="2">
        <v>0.31</v>
      </c>
      <c r="BA25" t="s">
        <v>126</v>
      </c>
      <c r="BB25" t="s">
        <v>131</v>
      </c>
      <c r="BC25" t="s">
        <v>132</v>
      </c>
      <c r="BD25" s="2">
        <v>310</v>
      </c>
      <c r="BE25" t="s">
        <v>133</v>
      </c>
      <c r="BF25" s="2">
        <v>307</v>
      </c>
      <c r="BG25" s="2">
        <v>313</v>
      </c>
      <c r="BH25" t="s">
        <v>134</v>
      </c>
      <c r="BI25" t="s">
        <v>135</v>
      </c>
      <c r="BJ25" t="s">
        <v>136</v>
      </c>
    </row>
    <row r="26" spans="1:62" x14ac:dyDescent="0.2">
      <c r="A26" t="s">
        <v>33</v>
      </c>
      <c r="B26" t="s">
        <v>149</v>
      </c>
      <c r="C26" t="s">
        <v>147</v>
      </c>
      <c r="D26" t="s">
        <v>148</v>
      </c>
      <c r="E26">
        <v>2001</v>
      </c>
      <c r="F26" t="str">
        <f t="shared" si="0"/>
        <v>10.1126/science.292.5525.2310</v>
      </c>
      <c r="G26">
        <f t="shared" si="1"/>
        <v>15780</v>
      </c>
      <c r="H26">
        <f t="shared" si="2"/>
        <v>38.999999999999702</v>
      </c>
      <c r="I26">
        <f t="shared" si="3"/>
        <v>38.999999999999702</v>
      </c>
      <c r="J26">
        <f t="shared" si="4"/>
        <v>316</v>
      </c>
      <c r="K26" s="22">
        <f t="shared" si="5"/>
        <v>3</v>
      </c>
      <c r="L26" s="22">
        <f t="shared" si="6"/>
        <v>3</v>
      </c>
      <c r="M26" t="b">
        <v>1</v>
      </c>
      <c r="N26">
        <v>3</v>
      </c>
      <c r="O26" t="s">
        <v>151</v>
      </c>
      <c r="P26" t="s">
        <v>150</v>
      </c>
      <c r="Q26" t="b">
        <v>0</v>
      </c>
      <c r="R26" t="s">
        <v>162</v>
      </c>
      <c r="S26" t="b">
        <v>0</v>
      </c>
      <c r="T26" t="b">
        <v>0</v>
      </c>
      <c r="U26" t="s">
        <v>162</v>
      </c>
      <c r="V26" t="s">
        <v>172</v>
      </c>
      <c r="W26" t="b">
        <v>0</v>
      </c>
      <c r="X26" t="s">
        <v>173</v>
      </c>
      <c r="Y26" t="s">
        <v>43</v>
      </c>
      <c r="Z26" t="s">
        <v>44</v>
      </c>
      <c r="AA26" t="s">
        <v>127</v>
      </c>
      <c r="AB26" t="s">
        <v>122</v>
      </c>
      <c r="AC26" t="s">
        <v>123</v>
      </c>
      <c r="AD26" t="s">
        <v>124</v>
      </c>
      <c r="AE26" t="s">
        <v>128</v>
      </c>
      <c r="AF26" t="s">
        <v>119</v>
      </c>
      <c r="AH26" s="23">
        <v>15.78</v>
      </c>
      <c r="AI26" s="23">
        <f t="shared" si="8"/>
        <v>15.818999999999999</v>
      </c>
      <c r="AJ26" s="23">
        <f t="shared" si="9"/>
        <v>15.741</v>
      </c>
      <c r="AK26" s="24" t="s">
        <v>162</v>
      </c>
      <c r="AL26" s="25" t="s">
        <v>174</v>
      </c>
      <c r="AM26" s="2">
        <v>46.99</v>
      </c>
      <c r="AN26" s="2">
        <v>-116.27</v>
      </c>
      <c r="AO26" s="2" t="s">
        <v>162</v>
      </c>
      <c r="AP26" s="2" t="s">
        <v>162</v>
      </c>
      <c r="AQ26" s="2">
        <v>3</v>
      </c>
      <c r="AR26" s="2">
        <v>10</v>
      </c>
      <c r="AS26" t="s">
        <v>38</v>
      </c>
      <c r="AT26" t="s">
        <v>39</v>
      </c>
      <c r="AW26" t="s">
        <v>40</v>
      </c>
      <c r="AX26" s="2">
        <v>10.94</v>
      </c>
      <c r="AZ26" s="2">
        <v>0.33</v>
      </c>
      <c r="BA26" t="s">
        <v>126</v>
      </c>
      <c r="BB26" t="s">
        <v>131</v>
      </c>
      <c r="BC26" t="s">
        <v>132</v>
      </c>
      <c r="BD26" s="2">
        <v>316</v>
      </c>
      <c r="BE26" t="s">
        <v>133</v>
      </c>
      <c r="BF26" s="2">
        <v>313</v>
      </c>
      <c r="BG26" s="2">
        <v>319</v>
      </c>
      <c r="BH26" t="s">
        <v>134</v>
      </c>
      <c r="BI26" t="s">
        <v>135</v>
      </c>
      <c r="BJ26" t="s">
        <v>136</v>
      </c>
    </row>
    <row r="27" spans="1:62" x14ac:dyDescent="0.2">
      <c r="A27" t="s">
        <v>33</v>
      </c>
      <c r="B27" t="s">
        <v>149</v>
      </c>
      <c r="C27" t="s">
        <v>147</v>
      </c>
      <c r="D27" t="s">
        <v>148</v>
      </c>
      <c r="E27">
        <v>2001</v>
      </c>
      <c r="F27" t="str">
        <f t="shared" si="0"/>
        <v>10.1126/science.292.5525.2310</v>
      </c>
      <c r="G27">
        <f t="shared" si="1"/>
        <v>15780</v>
      </c>
      <c r="H27">
        <f t="shared" si="2"/>
        <v>38.999999999999702</v>
      </c>
      <c r="I27">
        <f t="shared" si="3"/>
        <v>38.999999999999702</v>
      </c>
      <c r="J27">
        <f t="shared" si="4"/>
        <v>316</v>
      </c>
      <c r="K27" s="22">
        <f t="shared" si="5"/>
        <v>2</v>
      </c>
      <c r="L27" s="22">
        <f t="shared" si="6"/>
        <v>3</v>
      </c>
      <c r="M27" t="b">
        <v>1</v>
      </c>
      <c r="N27">
        <v>3</v>
      </c>
      <c r="O27" t="s">
        <v>151</v>
      </c>
      <c r="P27" t="s">
        <v>150</v>
      </c>
      <c r="Q27" t="b">
        <v>0</v>
      </c>
      <c r="R27" t="s">
        <v>162</v>
      </c>
      <c r="S27" t="b">
        <v>0</v>
      </c>
      <c r="T27" t="b">
        <v>0</v>
      </c>
      <c r="U27" t="s">
        <v>162</v>
      </c>
      <c r="V27" t="s">
        <v>172</v>
      </c>
      <c r="W27" t="b">
        <v>0</v>
      </c>
      <c r="X27" t="s">
        <v>173</v>
      </c>
      <c r="Y27" t="s">
        <v>43</v>
      </c>
      <c r="Z27" t="s">
        <v>44</v>
      </c>
      <c r="AA27" t="s">
        <v>129</v>
      </c>
      <c r="AB27" t="s">
        <v>122</v>
      </c>
      <c r="AC27" t="s">
        <v>123</v>
      </c>
      <c r="AD27" t="s">
        <v>124</v>
      </c>
      <c r="AE27" t="s">
        <v>130</v>
      </c>
      <c r="AF27" t="s">
        <v>119</v>
      </c>
      <c r="AH27" s="23">
        <v>15.78</v>
      </c>
      <c r="AI27" s="23">
        <f t="shared" si="8"/>
        <v>15.818999999999999</v>
      </c>
      <c r="AJ27" s="23">
        <f t="shared" si="9"/>
        <v>15.741</v>
      </c>
      <c r="AK27" s="24" t="s">
        <v>162</v>
      </c>
      <c r="AL27" s="25" t="s">
        <v>175</v>
      </c>
      <c r="AM27" s="2">
        <v>47.03</v>
      </c>
      <c r="AN27" s="2">
        <v>-116.34</v>
      </c>
      <c r="AO27" s="2" t="s">
        <v>162</v>
      </c>
      <c r="AP27" s="2" t="s">
        <v>162</v>
      </c>
      <c r="AQ27" s="2">
        <v>3</v>
      </c>
      <c r="AR27" s="2">
        <v>10</v>
      </c>
      <c r="AS27" t="s">
        <v>38</v>
      </c>
      <c r="AT27" t="s">
        <v>39</v>
      </c>
      <c r="AW27" t="s">
        <v>40</v>
      </c>
      <c r="AX27" s="2">
        <v>10.95</v>
      </c>
      <c r="AZ27" s="2">
        <v>0.3</v>
      </c>
      <c r="BA27" t="s">
        <v>126</v>
      </c>
      <c r="BB27" t="s">
        <v>131</v>
      </c>
      <c r="BC27" t="s">
        <v>132</v>
      </c>
      <c r="BD27" s="2">
        <v>316</v>
      </c>
      <c r="BE27" t="s">
        <v>133</v>
      </c>
      <c r="BF27" s="2">
        <v>313</v>
      </c>
      <c r="BG27" s="2">
        <v>318</v>
      </c>
      <c r="BH27" t="s">
        <v>134</v>
      </c>
      <c r="BI27" t="s">
        <v>135</v>
      </c>
      <c r="BJ27" t="s">
        <v>136</v>
      </c>
    </row>
  </sheetData>
  <phoneticPr fontId="7"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2017-12-08T17:21:04Z</dcterms:created>
  <dcterms:modified xsi:type="dcterms:W3CDTF">2023-12-18T16:39:39Z</dcterms:modified>
</cp:coreProperties>
</file>