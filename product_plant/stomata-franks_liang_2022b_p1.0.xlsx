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C:\Users\droyer\Desktop\"/>
    </mc:Choice>
  </mc:AlternateContent>
  <xr:revisionPtr revIDLastSave="0" documentId="13_ncr:1_{952833BC-84B3-431E-9012-21D1B65FB515}" xr6:coauthVersionLast="47" xr6:coauthVersionMax="47" xr10:uidLastSave="{00000000-0000-0000-0000-000000000000}"/>
  <bookViews>
    <workbookView xWindow="-108" yWindow="-108" windowWidth="23256" windowHeight="12576"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T10" i="1" l="1"/>
  <c r="AS10" i="1"/>
  <c r="AQ10" i="1"/>
  <c r="AH10" i="1"/>
  <c r="AH9" i="1" l="1"/>
  <c r="AH8" i="1"/>
  <c r="AH7" i="1"/>
  <c r="AH6" i="1"/>
  <c r="AH5" i="1"/>
  <c r="AH4" i="1"/>
  <c r="J10" i="1" l="1"/>
  <c r="H10" i="1"/>
  <c r="F10" i="1"/>
  <c r="G10" i="1"/>
  <c r="I10" i="1"/>
  <c r="F6" i="1"/>
  <c r="G6" i="1"/>
  <c r="H6" i="1"/>
  <c r="I6" i="1"/>
  <c r="J6" i="1"/>
  <c r="K6" i="1"/>
  <c r="L6" i="1"/>
  <c r="F7" i="1"/>
  <c r="G7" i="1"/>
  <c r="H7" i="1"/>
  <c r="I7" i="1"/>
  <c r="J7" i="1"/>
  <c r="K7" i="1"/>
  <c r="L7" i="1"/>
  <c r="F8" i="1"/>
  <c r="G8" i="1"/>
  <c r="H8" i="1"/>
  <c r="I8" i="1"/>
  <c r="J8" i="1"/>
  <c r="K8" i="1"/>
  <c r="L8" i="1"/>
  <c r="F9" i="1"/>
  <c r="G9" i="1"/>
  <c r="H9" i="1"/>
  <c r="I9" i="1"/>
  <c r="J9" i="1"/>
  <c r="K9" i="1"/>
  <c r="L9" i="1"/>
  <c r="L5" i="1"/>
  <c r="K5" i="1"/>
  <c r="J5" i="1"/>
  <c r="I5" i="1"/>
  <c r="H5" i="1"/>
  <c r="G5" i="1"/>
  <c r="F5" i="1"/>
  <c r="L10" i="1" l="1"/>
  <c r="K10" i="1"/>
  <c r="F4" i="1"/>
  <c r="J4" i="1" l="1"/>
  <c r="L4" i="1"/>
  <c r="K4" i="1"/>
  <c r="I4" i="1"/>
  <c r="H4" i="1"/>
  <c r="G4" i="1"/>
</calcChain>
</file>

<file path=xl/sharedStrings.xml><?xml version="1.0" encoding="utf-8"?>
<sst xmlns="http://schemas.openxmlformats.org/spreadsheetml/2006/main" count="535" uniqueCount="202">
  <si>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</si>
  <si>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</si>
  <si>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</si>
  <si>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</si>
  <si>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</si>
  <si>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</si>
  <si>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</si>
  <si>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</si>
  <si>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</si>
  <si>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</si>
  <si>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</si>
  <si>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</si>
  <si>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</si>
  <si>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</si>
  <si>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</si>
  <si>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</si>
  <si>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</si>
  <si>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</si>
  <si>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</si>
  <si>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</si>
  <si>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</si>
  <si>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</si>
  <si>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</si>
  <si>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</si>
  <si>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</si>
  <si>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</si>
  <si>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</si>
  <si>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</si>
  <si>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</si>
  <si>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</si>
  <si>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</si>
  <si>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</si>
  <si>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</si>
  <si>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</si>
  <si>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</si>
  <si>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</si>
  <si>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</si>
  <si>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</si>
  <si>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</si>
  <si>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</si>
  <si>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</si>
  <si>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</si>
  <si>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</si>
  <si>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</si>
  <si>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</si>
  <si>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</si>
  <si>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</si>
  <si>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</si>
  <si>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</si>
  <si>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</si>
  <si>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</si>
  <si>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</si>
  <si>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</si>
  <si>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</si>
  <si>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</si>
  <si>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</si>
  <si>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</si>
  <si>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</si>
  <si>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</si>
  <si>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</si>
  <si>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</si>
  <si>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</si>
  <si>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</si>
  <si>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</si>
  <si>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</si>
  <si>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</si>
  <si>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</si>
  <si>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</si>
  <si>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</si>
  <si>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</si>
  <si>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</si>
  <si>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</si>
  <si>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</si>
  <si>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</si>
  <si>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</si>
  <si>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</si>
  <si>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</si>
  <si>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</si>
  <si>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</si>
  <si>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</si>
  <si>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</si>
  <si>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</si>
  <si>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</si>
  <si>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</si>
  <si>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</si>
  <si>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</si>
  <si>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</si>
  <si>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</si>
  <si>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</si>
  <si>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</si>
  <si>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</si>
  <si>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</si>
  <si>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</si>
  <si>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</si>
  <si>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</si>
  <si>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</si>
  <si>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</si>
  <si>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</si>
  <si>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</si>
  <si>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</si>
  <si>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</si>
  <si>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</si>
  <si>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</si>
  <si>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</si>
  <si>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</si>
  <si>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</si>
  <si>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</si>
  <si>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</si>
  <si>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</si>
  <si>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</si>
  <si>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</si>
  <si>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</si>
  <si>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</si>
  <si>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</si>
  <si>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</si>
  <si>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</si>
  <si>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</si>
  <si>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</si>
  <si>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</si>
  <si>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</si>
  <si>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</si>
  <si>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</si>
  <si>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</si>
  <si>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</si>
  <si>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</si>
  <si>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</si>
  <si>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</si>
  <si>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</si>
  <si>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</si>
  <si>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</si>
  <si>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</si>
  <si>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</si>
  <si>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</si>
  <si>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median</t>
  </si>
  <si>
    <t>2.5 and 97.5 percentiles</t>
  </si>
  <si>
    <t>microscope</t>
  </si>
  <si>
    <t>generic value from Franks et al. (2014); 1 sigma error is 5% of mean</t>
  </si>
  <si>
    <t>proxy</t>
  </si>
  <si>
    <t>first_author_last_name</t>
  </si>
  <si>
    <t>publication_year</t>
  </si>
  <si>
    <t>age_ka</t>
  </si>
  <si>
    <t>Age_uncertainty_pos_ka</t>
  </si>
  <si>
    <t>Age_uncertainty_neg_ka</t>
  </si>
  <si>
    <t>stomata-franks</t>
  </si>
  <si>
    <t>true/false</t>
  </si>
  <si>
    <t>name of person entering product data</t>
  </si>
  <si>
    <t>email of person entering product data</t>
  </si>
  <si>
    <t>specify reason for age revision</t>
  </si>
  <si>
    <t>droyer@wesleyan.edu</t>
  </si>
  <si>
    <t>specify reason for quarantine</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</si>
  <si>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</si>
  <si>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</si>
  <si>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</si>
  <si>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</si>
  <si>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</si>
  <si>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</si>
  <si>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</si>
  <si>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</si>
  <si>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</si>
  <si>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</si>
  <si>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</si>
  <si>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</si>
  <si>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</si>
  <si>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</si>
  <si>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</si>
  <si>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Longitude (decimal degree, west negative)</t>
  </si>
  <si>
    <t>Paleo Latitude (decimal degree, south negative)</t>
  </si>
  <si>
    <t>Paleo Longitude (decimal degree, west negative)</t>
  </si>
  <si>
    <t>Cupressaceae</t>
  </si>
  <si>
    <t>Metasequoia</t>
  </si>
  <si>
    <t>sp.</t>
  </si>
  <si>
    <t>right-skewed</t>
  </si>
  <si>
    <t>0.16 mm^2</t>
  </si>
  <si>
    <t>1 leaf</t>
  </si>
  <si>
    <t>yes</t>
  </si>
  <si>
    <t>0.04 mm^2</t>
  </si>
  <si>
    <t>0.06 mm^2</t>
  </si>
  <si>
    <t>Liang</t>
  </si>
  <si>
    <t>Metasequoia ELS-18-61</t>
  </si>
  <si>
    <t>Geological Museum at Chang’an University, Xi’an, China</t>
  </si>
  <si>
    <t xml:space="preserve">Hannuoba Formation </t>
  </si>
  <si>
    <t>Combination of radiometric ages (multiple K-Ar dates) and biostratigraphy</t>
  </si>
  <si>
    <t>Metasequoia ELS-18-181</t>
  </si>
  <si>
    <t>Metasequoia ELS-19-148</t>
  </si>
  <si>
    <t>Sequoia ELS-18-27</t>
  </si>
  <si>
    <t>Sequoia</t>
  </si>
  <si>
    <t>Sequoia ELS-18-201</t>
  </si>
  <si>
    <t>Sequoia ELS-19-87</t>
  </si>
  <si>
    <t>combined estimate from Metasequoia and Sequoia</t>
  </si>
  <si>
    <t>following the authors' method, estimates for each species are based on the means of the 2.5, 50, and 97.5 percentiles; then, for each percentile, the mean of the two species is computed</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</si>
  <si>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</si>
  <si>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Isotope model of Tipple et al. (2010; 10.1029/2009PA001851)</t>
  </si>
  <si>
    <t>from Table S1 in Kowalczyk et al. (2018) for "deciduous gymnosperms in an evergreen warm mixed forest (EWMF) biome"</t>
  </si>
  <si>
    <t>generic value from Franks et al. (2014)</t>
  </si>
  <si>
    <t>from Table S1 in Kowalczyk et al. (2018) for "evergreen gymnosperms in an evergreen warm mixed forest (EWMF) biome"</t>
  </si>
  <si>
    <t>generic value from Franks et al. (2014) and Table 3 of Reichgelt &amp; D'Andrea (2019; doi: 10.1111/nph.15914)</t>
  </si>
  <si>
    <t>specify reason for choice of category</t>
  </si>
  <si>
    <t>proxy category: enter (1) if all known sources of error have been quantified and/or sensitivity of the CO2 estimate to those sources is small, (2) if data are of high quality but uncertainty estimation is not yet fully constrained, or (3) if data collection method is outdated and/or uncertainty estimation is not fully quantifiable</t>
  </si>
  <si>
    <t>Liang, J., Leng, Q., Xiao, L., Höfig, D. F., Royer, D. L., Zhang, Y. G., and Yang, H., 2022, Early Miocene redwood fossils from Inner Mongolia: CO2 reconstructions and paleoclimate effects of a low Mongolian plateau: Review of Palaeobotany and Palynology, v. 305, p. 104743, doi: 10.1016/j.revpalbo.2022.104743.</t>
  </si>
  <si>
    <t>10.1016/j.revpalbo.2022.104743</t>
  </si>
  <si>
    <t>These are leaf-level data; also, CO2 was estimated independently with two species (Metasequoia and Sequoia); to avoid pseudo-replication, only a single combined estimate is retained (bottom row)</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</si>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</sst>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8"/>
      <name val="Calibri"/>
      <family val="2"/>
      <scheme val="minor"/>
    </font>
    <font>
      <u/>
      <sz val="12"/>
      <color theme="10"/>
      <name val="Calibri"/>
      <family val="2"/>
      <scheme val="minor"/>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41">
    <xf numFmtId="0" fontId="0" fillId="0" borderId="0" xfId="0"/>
    <xf numFmtId="0" fontId="0" fillId="2" borderId="0" xfId="0" applyFill="1" applyAlignment="1">
      <alignment vertical="top"/>
    </xf>
    <xf numFmtId="0" fontId="1" fillId="3" borderId="0" xfId="0" applyFont="1" applyFill="1"/>
    <xf numFmtId="0" fontId="1" fillId="4" borderId="0" xfId="0" applyFont="1" applyFill="1"/>
    <xf numFmtId="0" fontId="1" fillId="5" borderId="0" xfId="0" applyFont="1" applyFill="1"/>
    <xf numFmtId="0" fontId="1" fillId="2" borderId="0" xfId="0" applyFont="1" applyFill="1"/>
    <xf numFmtId="0" fontId="2" fillId="2" borderId="0" xfId="0" applyFont="1" applyFill="1" applyAlignment="1">
      <alignment vertical="top" wrapText="1"/>
    </xf>
    <xf numFmtId="0" fontId="3" fillId="2" borderId="0" xfId="0" applyFont="1" applyFill="1" applyAlignment="1">
      <alignment horizontal="center"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3" fillId="0" borderId="0" xfId="0" applyFont="1"/>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Border="1" applyAlignment="1">
      <alignment wrapText="1"/>
    </xf>
    <xf numFmtId="0" fontId="0" fillId="0" borderId="2" xfId="0" quotePrefix="1" applyBorder="1" applyAlignment="1">
      <alignment wrapText="1"/>
    </xf>
    <xf numFmtId="0" fontId="0" fillId="0" borderId="3" xfId="0" quotePrefix="1"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1" xfId="0"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0" xfId="0" applyFont="1" applyAlignment="1">
      <alignment vertical="center"/>
    </xf>
    <xf numFmtId="0" fontId="1" fillId="0" borderId="0" xfId="0" applyFont="1" applyAlignment="1">
      <alignment wrapText="1"/>
    </xf>
    <xf numFmtId="0" fontId="4" fillId="4" borderId="0" xfId="0" applyFont="1" applyFill="1" applyAlignment="1">
      <alignment horizontal="center" vertical="center" wrapText="1"/>
    </xf>
    <xf numFmtId="0" fontId="5" fillId="0" borderId="0" xfId="0" applyFont="1"/>
    <xf numFmtId="1" fontId="5" fillId="0" borderId="0" xfId="0" applyNumberFormat="1" applyFont="1"/>
    <xf numFmtId="1" fontId="0" fillId="0" borderId="0" xfId="0" applyNumberFormat="1"/>
    <xf numFmtId="0" fontId="1" fillId="0" borderId="0" xfId="0" applyFont="1" applyAlignment="1">
      <alignment vertical="top"/>
    </xf>
    <xf numFmtId="2" fontId="1" fillId="0" borderId="0" xfId="0" applyNumberFormat="1" applyFont="1" applyAlignment="1">
      <alignment horizontal="right" vertical="top"/>
    </xf>
    <xf numFmtId="0" fontId="1" fillId="0" borderId="0" xfId="0" applyFont="1" applyAlignment="1">
      <alignment horizontal="right"/>
    </xf>
    <xf numFmtId="1" fontId="1" fillId="0" borderId="0" xfId="0" applyNumberFormat="1" applyFont="1" applyAlignment="1">
      <alignment horizontal="right"/>
    </xf>
    <xf numFmtId="0" fontId="7" fillId="0" borderId="0" xfId="1"/>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doi.org/10.1016/j.revpalbo.2022.104743" TargetMode="External"/><Relationship Id="rId7" Type="http://schemas.openxmlformats.org/officeDocument/2006/relationships/hyperlink" Target="https://doi.org/10.1016/j.revpalbo.2022.104743" TargetMode="External"/><Relationship Id="rId2" Type="http://schemas.openxmlformats.org/officeDocument/2006/relationships/hyperlink" Target="https://doi.org/10.1016/j.revpalbo.2022.104743" TargetMode="External"/><Relationship Id="rId1" Type="http://schemas.openxmlformats.org/officeDocument/2006/relationships/hyperlink" Target="https://doi.org/10.1016/j.revpalbo.2022.104743" TargetMode="External"/><Relationship Id="rId6" Type="http://schemas.openxmlformats.org/officeDocument/2006/relationships/hyperlink" Target="https://doi.org/10.1016/j.revpalbo.2022.104743" TargetMode="External"/><Relationship Id="rId5" Type="http://schemas.openxmlformats.org/officeDocument/2006/relationships/hyperlink" Target="https://doi.org/10.1016/j.revpalbo.2022.104743" TargetMode="External"/><Relationship Id="rId4" Type="http://schemas.openxmlformats.org/officeDocument/2006/relationships/hyperlink" Target="https://doi.org/10.1016/j.revpalbo.2022.10474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23"/>
  <sheetViews>
    <sheetView tabSelected="1" topLeftCell="F1" workbookViewId="0">
      <pane ySplit="3" topLeftCell="A4" activePane="bottomLeft" state="frozen"/>
      <selection pane="bottomLeft" activeCell="N7" sqref="N7"/>
    </sheetView>
  </sheetViews>
  <sheetFormatPr defaultColWidth="11" defaultRowHeight="15.6" x14ac:dyDescent="0.3"/>
  <cols>
    <col min="33" max="33" width="11.59765625" customWidth="1"/>
    <col min="35" max="35" width="11.8984375" customWidth="1"/>
    <col min="36" max="36" width="12.3984375" customWidth="1"/>
    <col min="38" max="38" width="11.8984375" customWidth="1"/>
    <col min="43" max="43" width="15.3984375" customWidth="1"/>
    <col min="48" max="48" width="13.09765625" customWidth="1"/>
  </cols>
  <sheetData>
    <row r="1" spans="1:104" x14ac:dyDescent="0.3">
      <c r="F1" s="14"/>
      <c r="G1" s="14"/>
      <c r="H1" s="22"/>
      <c r="I1" s="22"/>
      <c r="J1" s="21"/>
      <c r="K1" s="22"/>
      <c r="L1" s="23"/>
      <c r="M1" s="21"/>
      <c r="N1" s="21"/>
      <c r="O1" s="21"/>
      <c r="P1" s="21"/>
      <c r="Q1" s="24"/>
      <c r="R1" s="25"/>
      <c r="S1" s="26"/>
      <c r="T1" s="21"/>
      <c r="U1" s="21"/>
      <c r="V1" s="21"/>
      <c r="W1" s="27"/>
      <c r="X1" s="28"/>
    </row>
    <row r="2" spans="1:104" x14ac:dyDescent="0.3">
      <c r="A2" s="13"/>
      <c r="B2" s="14"/>
      <c r="C2" s="14"/>
      <c r="D2" s="14"/>
      <c r="E2" s="14"/>
      <c r="F2" s="14"/>
      <c r="G2" s="14"/>
      <c r="H2" s="14"/>
      <c r="I2" s="14"/>
      <c r="J2" s="14"/>
      <c r="K2" s="14"/>
      <c r="L2" s="15"/>
      <c r="M2" s="16" t="s">
        <v>144</v>
      </c>
      <c r="N2" s="16"/>
      <c r="O2" s="16"/>
      <c r="P2" s="16"/>
      <c r="R2" s="17"/>
      <c r="S2" s="40"/>
      <c r="T2" s="40"/>
      <c r="U2" s="40"/>
      <c r="V2" s="40"/>
      <c r="W2" s="40"/>
      <c r="X2" s="17"/>
      <c r="Y2" s="1"/>
      <c r="Z2" s="1"/>
      <c r="AA2" s="1"/>
      <c r="AB2" s="1"/>
      <c r="AC2" s="1"/>
      <c r="AD2" s="1"/>
      <c r="AE2" s="1"/>
      <c r="AF2" s="1"/>
      <c r="AG2" s="1"/>
      <c r="AH2" s="1"/>
      <c r="AI2" s="1"/>
      <c r="AJ2" s="1"/>
      <c r="AK2" s="1"/>
      <c r="AL2" s="1"/>
      <c r="AM2" s="1"/>
      <c r="AN2" s="1"/>
      <c r="AO2" s="1"/>
      <c r="AP2" s="1"/>
      <c r="AQ2" s="1"/>
      <c r="AR2" s="1"/>
      <c r="AS2" s="1"/>
      <c r="AT2" s="1"/>
      <c r="AU2" s="1"/>
      <c r="AV2" s="1"/>
      <c r="AW2" s="1"/>
      <c r="AX2" s="1"/>
      <c r="AY2" s="2" t="s">
        <v>4</v>
      </c>
      <c r="AZ2" s="2" t="s">
        <v>5</v>
      </c>
      <c r="BA2" s="2" t="s">
        <v>6</v>
      </c>
      <c r="BB2" s="2" t="s">
        <v>7</v>
      </c>
      <c r="BC2" s="2" t="s">
        <v>8</v>
      </c>
      <c r="BD2" s="2" t="s">
        <v>9</v>
      </c>
      <c r="BE2" s="2" t="s">
        <v>10</v>
      </c>
      <c r="BF2" s="2" t="s">
        <v>11</v>
      </c>
      <c r="BG2" s="2" t="s">
        <v>12</v>
      </c>
      <c r="BH2" s="2" t="s">
        <v>13</v>
      </c>
      <c r="BI2" s="2" t="s">
        <v>14</v>
      </c>
      <c r="BJ2" s="2" t="s">
        <v>15</v>
      </c>
      <c r="BK2" s="2" t="s">
        <v>16</v>
      </c>
      <c r="BL2" s="2" t="s">
        <v>17</v>
      </c>
      <c r="BM2" s="2" t="s">
        <v>18</v>
      </c>
      <c r="BN2" s="2" t="s">
        <v>19</v>
      </c>
      <c r="BO2" s="2" t="s">
        <v>20</v>
      </c>
      <c r="BP2" s="2" t="s">
        <v>21</v>
      </c>
      <c r="BQ2" s="2" t="s">
        <v>22</v>
      </c>
      <c r="BR2" s="2" t="s">
        <v>23</v>
      </c>
      <c r="BS2" s="2" t="s">
        <v>24</v>
      </c>
      <c r="BT2" s="3" t="s">
        <v>25</v>
      </c>
      <c r="BU2" s="3" t="s">
        <v>26</v>
      </c>
      <c r="BV2" s="3" t="s">
        <v>27</v>
      </c>
      <c r="BW2" s="3" t="s">
        <v>28</v>
      </c>
      <c r="BX2" s="4" t="s">
        <v>29</v>
      </c>
      <c r="BY2" s="4" t="s">
        <v>30</v>
      </c>
      <c r="BZ2" s="4" t="s">
        <v>31</v>
      </c>
      <c r="CA2" s="4" t="s">
        <v>32</v>
      </c>
      <c r="CB2" s="4" t="s">
        <v>33</v>
      </c>
      <c r="CC2" s="4" t="s">
        <v>34</v>
      </c>
      <c r="CD2" s="4" t="s">
        <v>35</v>
      </c>
      <c r="CE2" s="4" t="s">
        <v>36</v>
      </c>
      <c r="CF2" s="4" t="s">
        <v>37</v>
      </c>
      <c r="CG2" s="4" t="s">
        <v>38</v>
      </c>
      <c r="CH2" s="4" t="s">
        <v>39</v>
      </c>
      <c r="CI2" s="4" t="s">
        <v>40</v>
      </c>
      <c r="CJ2" s="4" t="s">
        <v>41</v>
      </c>
      <c r="CK2" s="4" t="s">
        <v>42</v>
      </c>
      <c r="CL2" s="4" t="s">
        <v>43</v>
      </c>
      <c r="CM2" s="4" t="s">
        <v>44</v>
      </c>
      <c r="CN2" s="4" t="s">
        <v>45</v>
      </c>
      <c r="CO2" s="4" t="s">
        <v>46</v>
      </c>
      <c r="CP2" s="4" t="s">
        <v>47</v>
      </c>
      <c r="CQ2" s="4" t="s">
        <v>48</v>
      </c>
      <c r="CR2" s="4" t="s">
        <v>49</v>
      </c>
      <c r="CS2" s="4" t="s">
        <v>50</v>
      </c>
      <c r="CT2" s="4" t="s">
        <v>51</v>
      </c>
      <c r="CU2" s="4" t="s">
        <v>52</v>
      </c>
      <c r="CV2" s="5" t="s">
        <v>190</v>
      </c>
      <c r="CW2" s="5" t="s">
        <v>53</v>
      </c>
      <c r="CX2" s="5" t="s">
        <v>54</v>
      </c>
      <c r="CY2" s="4" t="s">
        <v>55</v>
      </c>
      <c r="CZ2" s="5" t="s">
        <v>56</v>
      </c>
    </row>
    <row r="3" spans="1:104" s="11" customFormat="1" ht="105" customHeight="1" x14ac:dyDescent="0.3">
      <c r="A3" s="18" t="s">
        <v>145</v>
      </c>
      <c r="B3" s="19" t="s">
        <v>146</v>
      </c>
      <c r="C3" s="20" t="s">
        <v>137</v>
      </c>
      <c r="D3" s="21" t="s">
        <v>138</v>
      </c>
      <c r="E3" s="21" t="s">
        <v>139</v>
      </c>
      <c r="F3" s="14" t="s">
        <v>57</v>
      </c>
      <c r="G3" s="14" t="s">
        <v>140</v>
      </c>
      <c r="H3" s="22" t="s">
        <v>141</v>
      </c>
      <c r="I3" s="22" t="s">
        <v>142</v>
      </c>
      <c r="J3" s="21" t="s">
        <v>150</v>
      </c>
      <c r="K3" s="22" t="s">
        <v>151</v>
      </c>
      <c r="L3" s="23" t="s">
        <v>161</v>
      </c>
      <c r="M3" s="21" t="s">
        <v>152</v>
      </c>
      <c r="N3" s="21" t="s">
        <v>197</v>
      </c>
      <c r="O3" s="21" t="s">
        <v>196</v>
      </c>
      <c r="P3" s="21" t="s">
        <v>153</v>
      </c>
      <c r="Q3" s="24" t="s">
        <v>154</v>
      </c>
      <c r="R3" s="25" t="s">
        <v>155</v>
      </c>
      <c r="S3" s="26" t="s">
        <v>156</v>
      </c>
      <c r="T3" s="21" t="s">
        <v>157</v>
      </c>
      <c r="U3" s="21" t="s">
        <v>149</v>
      </c>
      <c r="V3" s="21" t="s">
        <v>158</v>
      </c>
      <c r="W3" s="27" t="s">
        <v>159</v>
      </c>
      <c r="X3" s="28" t="s">
        <v>147</v>
      </c>
      <c r="Y3" s="6" t="s">
        <v>162</v>
      </c>
      <c r="Z3" s="6" t="s">
        <v>163</v>
      </c>
      <c r="AA3" s="6" t="s">
        <v>58</v>
      </c>
      <c r="AB3" s="6" t="s">
        <v>59</v>
      </c>
      <c r="AC3" s="6" t="s">
        <v>60</v>
      </c>
      <c r="AD3" s="6" t="s">
        <v>61</v>
      </c>
      <c r="AE3" s="6" t="s">
        <v>62</v>
      </c>
      <c r="AF3" s="6" t="s">
        <v>63</v>
      </c>
      <c r="AG3" s="6" t="s">
        <v>64</v>
      </c>
      <c r="AH3" s="6" t="s">
        <v>65</v>
      </c>
      <c r="AI3" s="6" t="s">
        <v>66</v>
      </c>
      <c r="AJ3" s="6" t="s">
        <v>67</v>
      </c>
      <c r="AK3" s="6" t="s">
        <v>68</v>
      </c>
      <c r="AL3" s="6" t="s">
        <v>69</v>
      </c>
      <c r="AM3" s="6" t="s">
        <v>164</v>
      </c>
      <c r="AN3" s="6" t="s">
        <v>165</v>
      </c>
      <c r="AO3" s="31" t="s">
        <v>166</v>
      </c>
      <c r="AP3" s="31" t="s">
        <v>167</v>
      </c>
      <c r="AQ3" s="6" t="s">
        <v>70</v>
      </c>
      <c r="AR3" s="6" t="s">
        <v>71</v>
      </c>
      <c r="AS3" s="6" t="s">
        <v>72</v>
      </c>
      <c r="AT3" s="6" t="s">
        <v>73</v>
      </c>
      <c r="AU3" s="6" t="s">
        <v>74</v>
      </c>
      <c r="AV3" s="6" t="s">
        <v>75</v>
      </c>
      <c r="AW3" s="7" t="s">
        <v>76</v>
      </c>
      <c r="AX3" s="7" t="s">
        <v>77</v>
      </c>
      <c r="AY3" s="8" t="s">
        <v>78</v>
      </c>
      <c r="AZ3" s="8" t="s">
        <v>79</v>
      </c>
      <c r="BA3" s="8" t="s">
        <v>80</v>
      </c>
      <c r="BB3" s="8" t="s">
        <v>81</v>
      </c>
      <c r="BC3" s="8" t="s">
        <v>82</v>
      </c>
      <c r="BD3" s="8" t="s">
        <v>83</v>
      </c>
      <c r="BE3" s="8" t="s">
        <v>84</v>
      </c>
      <c r="BF3" s="8" t="s">
        <v>85</v>
      </c>
      <c r="BG3" s="8" t="s">
        <v>86</v>
      </c>
      <c r="BH3" s="8" t="s">
        <v>87</v>
      </c>
      <c r="BI3" s="8" t="s">
        <v>88</v>
      </c>
      <c r="BJ3" s="8" t="s">
        <v>89</v>
      </c>
      <c r="BK3" s="8" t="s">
        <v>90</v>
      </c>
      <c r="BL3" s="8" t="s">
        <v>91</v>
      </c>
      <c r="BM3" s="8" t="s">
        <v>92</v>
      </c>
      <c r="BN3" s="8" t="s">
        <v>93</v>
      </c>
      <c r="BO3" s="8" t="s">
        <v>94</v>
      </c>
      <c r="BP3" s="8" t="s">
        <v>95</v>
      </c>
      <c r="BQ3" s="8" t="s">
        <v>96</v>
      </c>
      <c r="BR3" s="8" t="s">
        <v>97</v>
      </c>
      <c r="BS3" s="8" t="s">
        <v>98</v>
      </c>
      <c r="BT3" s="9" t="s">
        <v>99</v>
      </c>
      <c r="BU3" s="9" t="s">
        <v>100</v>
      </c>
      <c r="BV3" s="9" t="s">
        <v>101</v>
      </c>
      <c r="BW3" s="9" t="s">
        <v>102</v>
      </c>
      <c r="BX3" s="10" t="s">
        <v>103</v>
      </c>
      <c r="BY3" s="10" t="s">
        <v>104</v>
      </c>
      <c r="BZ3" s="10" t="s">
        <v>105</v>
      </c>
      <c r="CA3" s="10" t="s">
        <v>106</v>
      </c>
      <c r="CB3" s="10" t="s">
        <v>107</v>
      </c>
      <c r="CC3" s="10" t="s">
        <v>108</v>
      </c>
      <c r="CD3" s="10" t="s">
        <v>109</v>
      </c>
      <c r="CE3" s="10" t="s">
        <v>110</v>
      </c>
      <c r="CF3" s="10" t="s">
        <v>111</v>
      </c>
      <c r="CG3" s="10" t="s">
        <v>112</v>
      </c>
      <c r="CH3" s="10" t="s">
        <v>113</v>
      </c>
      <c r="CI3" s="10" t="s">
        <v>114</v>
      </c>
      <c r="CJ3" s="10" t="s">
        <v>115</v>
      </c>
      <c r="CK3" s="10" t="s">
        <v>116</v>
      </c>
      <c r="CL3" s="10" t="s">
        <v>117</v>
      </c>
      <c r="CM3" s="10" t="s">
        <v>118</v>
      </c>
      <c r="CN3" s="10" t="s">
        <v>119</v>
      </c>
      <c r="CO3" s="10" t="s">
        <v>120</v>
      </c>
      <c r="CP3" s="10" t="s">
        <v>121</v>
      </c>
      <c r="CQ3" s="10" t="s">
        <v>122</v>
      </c>
      <c r="CR3" s="10" t="s">
        <v>123</v>
      </c>
      <c r="CS3" s="10" t="s">
        <v>124</v>
      </c>
      <c r="CT3" s="10" t="s">
        <v>125</v>
      </c>
      <c r="CU3" s="10" t="s">
        <v>126</v>
      </c>
      <c r="CV3" s="6" t="s">
        <v>127</v>
      </c>
      <c r="CW3" s="6" t="s">
        <v>128</v>
      </c>
      <c r="CX3" s="6" t="s">
        <v>129</v>
      </c>
      <c r="CY3" s="10" t="s">
        <v>130</v>
      </c>
      <c r="CZ3" s="6" t="s">
        <v>131</v>
      </c>
    </row>
    <row r="4" spans="1:104" x14ac:dyDescent="0.3">
      <c r="A4" t="s">
        <v>132</v>
      </c>
      <c r="B4" t="s">
        <v>148</v>
      </c>
      <c r="C4" t="s">
        <v>143</v>
      </c>
      <c r="D4" t="s">
        <v>177</v>
      </c>
      <c r="E4">
        <v>2022</v>
      </c>
      <c r="F4" t="str">
        <f>Z4</f>
        <v>10.1016/j.revpalbo.2022.104743</v>
      </c>
      <c r="G4" s="32">
        <f t="shared" ref="G4" si="0">AH4*1000</f>
        <v>21090</v>
      </c>
      <c r="H4" s="32">
        <f t="shared" ref="H4" si="1">(AI4-AH4)*1000</f>
        <v>1739.9999999999984</v>
      </c>
      <c r="I4" s="32">
        <f t="shared" ref="I4" si="2">(AH4-AJ4)*1000</f>
        <v>1739.9999999999984</v>
      </c>
      <c r="J4" s="34">
        <f>AQ4</f>
        <v>403</v>
      </c>
      <c r="K4" s="33">
        <f>AT4-AQ4</f>
        <v>62</v>
      </c>
      <c r="L4" s="33">
        <f>AQ4-AS4</f>
        <v>56</v>
      </c>
      <c r="M4" t="b">
        <v>1</v>
      </c>
      <c r="N4">
        <v>3</v>
      </c>
      <c r="O4" t="s">
        <v>200</v>
      </c>
      <c r="P4" t="s">
        <v>160</v>
      </c>
      <c r="Q4" t="b">
        <v>0</v>
      </c>
      <c r="R4" t="s">
        <v>160</v>
      </c>
      <c r="S4" t="b">
        <v>1</v>
      </c>
      <c r="T4" t="b">
        <v>0</v>
      </c>
      <c r="U4" t="s">
        <v>160</v>
      </c>
      <c r="V4" t="s">
        <v>160</v>
      </c>
      <c r="W4" t="b">
        <v>0</v>
      </c>
      <c r="X4" t="s">
        <v>160</v>
      </c>
      <c r="Y4" s="35" t="s">
        <v>198</v>
      </c>
      <c r="Z4" s="39" t="s">
        <v>199</v>
      </c>
      <c r="AA4" s="35" t="s">
        <v>178</v>
      </c>
      <c r="AB4" t="s">
        <v>168</v>
      </c>
      <c r="AC4" t="s">
        <v>169</v>
      </c>
      <c r="AD4" t="s">
        <v>170</v>
      </c>
      <c r="AE4" t="s">
        <v>179</v>
      </c>
      <c r="AF4" s="35" t="s">
        <v>180</v>
      </c>
      <c r="AG4" t="s">
        <v>160</v>
      </c>
      <c r="AH4" s="36">
        <f>AVERAGE(AI4:AJ4)</f>
        <v>21.09</v>
      </c>
      <c r="AI4" s="36">
        <v>22.83</v>
      </c>
      <c r="AJ4" s="36">
        <v>19.350000000000001</v>
      </c>
      <c r="AK4" t="s">
        <v>160</v>
      </c>
      <c r="AL4" s="35" t="s">
        <v>181</v>
      </c>
      <c r="AM4" t="s">
        <v>160</v>
      </c>
      <c r="AN4" t="s">
        <v>160</v>
      </c>
      <c r="AO4" t="s">
        <v>160</v>
      </c>
      <c r="AP4" t="s">
        <v>160</v>
      </c>
      <c r="AQ4" s="38">
        <v>403</v>
      </c>
      <c r="AR4" s="12" t="s">
        <v>133</v>
      </c>
      <c r="AS4" s="38">
        <v>347</v>
      </c>
      <c r="AT4" s="38">
        <v>465</v>
      </c>
      <c r="AU4" s="12" t="s">
        <v>134</v>
      </c>
      <c r="AV4" s="12" t="s">
        <v>171</v>
      </c>
      <c r="AW4" t="s">
        <v>135</v>
      </c>
      <c r="AX4" t="s">
        <v>172</v>
      </c>
      <c r="AY4">
        <v>84173621.315353394</v>
      </c>
      <c r="AZ4">
        <v>0</v>
      </c>
      <c r="BA4" t="s">
        <v>173</v>
      </c>
      <c r="BB4">
        <v>0</v>
      </c>
      <c r="BC4">
        <v>0</v>
      </c>
      <c r="BD4" t="s">
        <v>173</v>
      </c>
      <c r="BE4">
        <v>5.0592280390417027E-5</v>
      </c>
      <c r="BF4">
        <v>1.0912548035224369E-6</v>
      </c>
      <c r="BG4" t="s">
        <v>173</v>
      </c>
      <c r="BH4">
        <v>0</v>
      </c>
      <c r="BI4">
        <v>0</v>
      </c>
      <c r="BJ4" t="s">
        <v>173</v>
      </c>
      <c r="BK4">
        <v>1.4650621118012424E-5</v>
      </c>
      <c r="BL4">
        <v>5.1062947622140331E-7</v>
      </c>
      <c r="BM4" t="s">
        <v>173</v>
      </c>
      <c r="BN4">
        <v>0</v>
      </c>
      <c r="BO4">
        <v>0</v>
      </c>
      <c r="BP4" t="s">
        <v>173</v>
      </c>
      <c r="BQ4">
        <v>-24.57</v>
      </c>
      <c r="BR4">
        <v>0.11408469150305366</v>
      </c>
      <c r="BS4" t="s">
        <v>173</v>
      </c>
      <c r="BT4">
        <v>-5.93</v>
      </c>
      <c r="BU4">
        <v>0.25</v>
      </c>
      <c r="BV4" s="12" t="s">
        <v>191</v>
      </c>
      <c r="BW4" t="s">
        <v>160</v>
      </c>
      <c r="BX4">
        <v>10</v>
      </c>
      <c r="BY4">
        <v>1</v>
      </c>
      <c r="BZ4" s="12" t="s">
        <v>195</v>
      </c>
      <c r="CA4">
        <v>0.64</v>
      </c>
      <c r="CB4">
        <v>0</v>
      </c>
      <c r="CC4" t="s">
        <v>192</v>
      </c>
      <c r="CD4">
        <v>2</v>
      </c>
      <c r="CE4">
        <v>0.1</v>
      </c>
      <c r="CF4" s="12" t="s">
        <v>136</v>
      </c>
      <c r="CG4">
        <v>0.6</v>
      </c>
      <c r="CH4">
        <v>0</v>
      </c>
      <c r="CI4" s="12" t="s">
        <v>193</v>
      </c>
      <c r="CJ4">
        <v>1</v>
      </c>
      <c r="CK4">
        <v>0.05</v>
      </c>
      <c r="CL4" s="12" t="s">
        <v>136</v>
      </c>
      <c r="CM4">
        <v>0.5</v>
      </c>
      <c r="CN4">
        <v>2.5000000000000001E-2</v>
      </c>
      <c r="CO4" s="12" t="s">
        <v>136</v>
      </c>
      <c r="CP4">
        <v>0.2</v>
      </c>
      <c r="CQ4">
        <v>0.01</v>
      </c>
      <c r="CR4" s="12" t="s">
        <v>136</v>
      </c>
      <c r="CS4">
        <v>1.2999999999999999E-2</v>
      </c>
      <c r="CT4">
        <v>6.4999999999999997E-4</v>
      </c>
      <c r="CU4" s="12" t="s">
        <v>136</v>
      </c>
      <c r="CV4" t="s">
        <v>174</v>
      </c>
      <c r="CW4" s="37">
        <v>30</v>
      </c>
      <c r="CX4" s="37">
        <v>9.4009599999999997E-4</v>
      </c>
      <c r="CY4" s="37">
        <v>40</v>
      </c>
      <c r="CZ4" s="37">
        <v>25</v>
      </c>
    </row>
    <row r="5" spans="1:104" x14ac:dyDescent="0.3">
      <c r="A5" t="s">
        <v>132</v>
      </c>
      <c r="B5" t="s">
        <v>148</v>
      </c>
      <c r="C5" t="s">
        <v>143</v>
      </c>
      <c r="D5" t="s">
        <v>177</v>
      </c>
      <c r="E5">
        <v>2022</v>
      </c>
      <c r="F5" t="str">
        <f>Z5</f>
        <v>10.1016/j.revpalbo.2022.104743</v>
      </c>
      <c r="G5" s="32">
        <f t="shared" ref="G5:G6" si="3">AH5*1000</f>
        <v>21090</v>
      </c>
      <c r="H5" s="32">
        <f t="shared" ref="H5:H6" si="4">(AI5-AH5)*1000</f>
        <v>1739.9999999999984</v>
      </c>
      <c r="I5" s="32">
        <f t="shared" ref="I5:I6" si="5">(AH5-AJ5)*1000</f>
        <v>1739.9999999999984</v>
      </c>
      <c r="J5" s="34">
        <f>AQ5</f>
        <v>416</v>
      </c>
      <c r="K5" s="33">
        <f>AT5-AQ5</f>
        <v>71</v>
      </c>
      <c r="L5" s="33">
        <f>AQ5-AS5</f>
        <v>61</v>
      </c>
      <c r="M5" t="b">
        <v>1</v>
      </c>
      <c r="N5">
        <v>3</v>
      </c>
      <c r="O5" t="s">
        <v>200</v>
      </c>
      <c r="P5" t="s">
        <v>160</v>
      </c>
      <c r="Q5" t="b">
        <v>0</v>
      </c>
      <c r="R5" t="s">
        <v>160</v>
      </c>
      <c r="S5" t="b">
        <v>1</v>
      </c>
      <c r="T5" t="b">
        <v>0</v>
      </c>
      <c r="U5" t="s">
        <v>160</v>
      </c>
      <c r="V5" t="s">
        <v>160</v>
      </c>
      <c r="W5" t="b">
        <v>0</v>
      </c>
      <c r="X5" t="s">
        <v>160</v>
      </c>
      <c r="Y5" s="35" t="s">
        <v>198</v>
      </c>
      <c r="Z5" s="39" t="s">
        <v>199</v>
      </c>
      <c r="AA5" t="s">
        <v>182</v>
      </c>
      <c r="AB5" t="s">
        <v>168</v>
      </c>
      <c r="AC5" t="s">
        <v>169</v>
      </c>
      <c r="AD5" t="s">
        <v>170</v>
      </c>
      <c r="AE5" t="s">
        <v>179</v>
      </c>
      <c r="AF5" s="35" t="s">
        <v>180</v>
      </c>
      <c r="AG5" t="s">
        <v>160</v>
      </c>
      <c r="AH5" s="36">
        <f t="shared" ref="AH5:AH9" si="6">AVERAGE(AI5:AJ5)</f>
        <v>21.09</v>
      </c>
      <c r="AI5" s="36">
        <v>22.83</v>
      </c>
      <c r="AJ5" s="36">
        <v>19.350000000000001</v>
      </c>
      <c r="AK5" t="s">
        <v>160</v>
      </c>
      <c r="AL5" s="35" t="s">
        <v>181</v>
      </c>
      <c r="AM5" t="s">
        <v>160</v>
      </c>
      <c r="AN5" t="s">
        <v>160</v>
      </c>
      <c r="AO5" t="s">
        <v>160</v>
      </c>
      <c r="AP5" t="s">
        <v>160</v>
      </c>
      <c r="AQ5">
        <v>416</v>
      </c>
      <c r="AR5" s="12" t="s">
        <v>133</v>
      </c>
      <c r="AS5">
        <v>355</v>
      </c>
      <c r="AT5">
        <v>487</v>
      </c>
      <c r="AU5" s="12" t="s">
        <v>134</v>
      </c>
      <c r="AV5" s="12" t="s">
        <v>171</v>
      </c>
      <c r="AW5" t="s">
        <v>135</v>
      </c>
      <c r="AX5" t="s">
        <v>175</v>
      </c>
      <c r="AY5">
        <v>114830000</v>
      </c>
      <c r="AZ5">
        <v>0</v>
      </c>
      <c r="BA5" t="s">
        <v>173</v>
      </c>
      <c r="BB5">
        <v>0</v>
      </c>
      <c r="BC5">
        <v>0</v>
      </c>
      <c r="BD5" t="s">
        <v>173</v>
      </c>
      <c r="BE5">
        <v>3.7309228039041702E-5</v>
      </c>
      <c r="BF5">
        <v>1.1247022600868848E-6</v>
      </c>
      <c r="BG5" t="s">
        <v>173</v>
      </c>
      <c r="BH5">
        <v>0</v>
      </c>
      <c r="BI5">
        <v>0</v>
      </c>
      <c r="BJ5" t="s">
        <v>173</v>
      </c>
      <c r="BK5">
        <v>1.2593167701863353E-5</v>
      </c>
      <c r="BL5">
        <v>2.6981509237956039E-7</v>
      </c>
      <c r="BM5" t="s">
        <v>173</v>
      </c>
      <c r="BN5">
        <v>0</v>
      </c>
      <c r="BO5">
        <v>0</v>
      </c>
      <c r="BP5" t="s">
        <v>173</v>
      </c>
      <c r="BQ5">
        <v>-24.57</v>
      </c>
      <c r="BR5">
        <v>0.11408469150305366</v>
      </c>
      <c r="BS5" t="s">
        <v>173</v>
      </c>
      <c r="BT5">
        <v>-5.93</v>
      </c>
      <c r="BU5">
        <v>0.25</v>
      </c>
      <c r="BV5" s="12" t="s">
        <v>191</v>
      </c>
      <c r="BW5" t="s">
        <v>160</v>
      </c>
      <c r="BX5">
        <v>10</v>
      </c>
      <c r="BY5">
        <v>1</v>
      </c>
      <c r="BZ5" s="12" t="s">
        <v>195</v>
      </c>
      <c r="CA5">
        <v>0.64</v>
      </c>
      <c r="CB5">
        <v>0</v>
      </c>
      <c r="CC5" t="s">
        <v>192</v>
      </c>
      <c r="CD5">
        <v>2</v>
      </c>
      <c r="CE5">
        <v>0.1</v>
      </c>
      <c r="CF5" s="12" t="s">
        <v>136</v>
      </c>
      <c r="CG5">
        <v>0.6</v>
      </c>
      <c r="CH5">
        <v>0</v>
      </c>
      <c r="CI5" s="12" t="s">
        <v>193</v>
      </c>
      <c r="CJ5">
        <v>1</v>
      </c>
      <c r="CK5">
        <v>0.05</v>
      </c>
      <c r="CL5" s="12" t="s">
        <v>136</v>
      </c>
      <c r="CM5">
        <v>0.5</v>
      </c>
      <c r="CN5">
        <v>2.5000000000000001E-2</v>
      </c>
      <c r="CO5" s="12" t="s">
        <v>136</v>
      </c>
      <c r="CP5">
        <v>0.2</v>
      </c>
      <c r="CQ5">
        <v>0.01</v>
      </c>
      <c r="CR5" s="12" t="s">
        <v>136</v>
      </c>
      <c r="CS5">
        <v>1.2999999999999999E-2</v>
      </c>
      <c r="CT5">
        <v>6.4999999999999997E-4</v>
      </c>
      <c r="CU5" s="12" t="s">
        <v>136</v>
      </c>
      <c r="CV5" t="s">
        <v>174</v>
      </c>
      <c r="CW5" s="37">
        <v>30</v>
      </c>
      <c r="CX5" s="37">
        <v>9.4009599999999997E-4</v>
      </c>
      <c r="CY5" s="37">
        <v>40</v>
      </c>
      <c r="CZ5" s="37">
        <v>25</v>
      </c>
    </row>
    <row r="6" spans="1:104" x14ac:dyDescent="0.3">
      <c r="A6" t="s">
        <v>132</v>
      </c>
      <c r="B6" t="s">
        <v>148</v>
      </c>
      <c r="C6" t="s">
        <v>143</v>
      </c>
      <c r="D6" t="s">
        <v>177</v>
      </c>
      <c r="E6">
        <v>2022</v>
      </c>
      <c r="F6" t="str">
        <f t="shared" ref="F6:F9" si="7">Z6</f>
        <v>10.1016/j.revpalbo.2022.104743</v>
      </c>
      <c r="G6" s="32">
        <f t="shared" si="3"/>
        <v>21090</v>
      </c>
      <c r="H6" s="32">
        <f t="shared" si="4"/>
        <v>1739.9999999999984</v>
      </c>
      <c r="I6" s="32">
        <f t="shared" si="5"/>
        <v>1739.9999999999984</v>
      </c>
      <c r="J6" s="34">
        <f t="shared" ref="J6:J9" si="8">AQ6</f>
        <v>451</v>
      </c>
      <c r="K6" s="33">
        <f t="shared" ref="K6:K9" si="9">AT6-AQ6</f>
        <v>76</v>
      </c>
      <c r="L6" s="33">
        <f t="shared" ref="L6:L9" si="10">AQ6-AS6</f>
        <v>66</v>
      </c>
      <c r="M6" t="b">
        <v>1</v>
      </c>
      <c r="N6">
        <v>3</v>
      </c>
      <c r="O6" t="s">
        <v>200</v>
      </c>
      <c r="P6" t="s">
        <v>160</v>
      </c>
      <c r="Q6" t="b">
        <v>0</v>
      </c>
      <c r="R6" t="s">
        <v>160</v>
      </c>
      <c r="S6" t="b">
        <v>1</v>
      </c>
      <c r="T6" t="b">
        <v>0</v>
      </c>
      <c r="U6" t="s">
        <v>160</v>
      </c>
      <c r="V6" t="s">
        <v>160</v>
      </c>
      <c r="W6" t="b">
        <v>0</v>
      </c>
      <c r="X6" t="s">
        <v>160</v>
      </c>
      <c r="Y6" s="35" t="s">
        <v>198</v>
      </c>
      <c r="Z6" s="39" t="s">
        <v>199</v>
      </c>
      <c r="AA6" t="s">
        <v>183</v>
      </c>
      <c r="AB6" t="s">
        <v>168</v>
      </c>
      <c r="AC6" t="s">
        <v>169</v>
      </c>
      <c r="AD6" t="s">
        <v>170</v>
      </c>
      <c r="AE6" t="s">
        <v>179</v>
      </c>
      <c r="AF6" s="35" t="s">
        <v>180</v>
      </c>
      <c r="AG6" t="s">
        <v>160</v>
      </c>
      <c r="AH6" s="36">
        <f t="shared" si="6"/>
        <v>21.09</v>
      </c>
      <c r="AI6" s="36">
        <v>22.83</v>
      </c>
      <c r="AJ6" s="36">
        <v>19.350000000000001</v>
      </c>
      <c r="AK6" t="s">
        <v>160</v>
      </c>
      <c r="AL6" s="35" t="s">
        <v>181</v>
      </c>
      <c r="AM6" t="s">
        <v>160</v>
      </c>
      <c r="AN6" t="s">
        <v>160</v>
      </c>
      <c r="AO6" t="s">
        <v>160</v>
      </c>
      <c r="AP6" t="s">
        <v>160</v>
      </c>
      <c r="AQ6">
        <v>451</v>
      </c>
      <c r="AR6" s="12" t="s">
        <v>133</v>
      </c>
      <c r="AS6">
        <v>385</v>
      </c>
      <c r="AT6">
        <v>527</v>
      </c>
      <c r="AU6" s="12" t="s">
        <v>134</v>
      </c>
      <c r="AV6" s="12" t="s">
        <v>171</v>
      </c>
      <c r="AW6" t="s">
        <v>135</v>
      </c>
      <c r="AX6" t="s">
        <v>176</v>
      </c>
      <c r="AY6">
        <v>80767500</v>
      </c>
      <c r="AZ6">
        <v>0</v>
      </c>
      <c r="BA6" t="s">
        <v>173</v>
      </c>
      <c r="BB6">
        <v>0</v>
      </c>
      <c r="BC6">
        <v>0</v>
      </c>
      <c r="BD6" t="s">
        <v>173</v>
      </c>
      <c r="BE6">
        <v>4.8893861892583109E-5</v>
      </c>
      <c r="BF6">
        <v>6.913266531119468E-7</v>
      </c>
      <c r="BG6" t="s">
        <v>173</v>
      </c>
      <c r="BH6">
        <v>0</v>
      </c>
      <c r="BI6">
        <v>0</v>
      </c>
      <c r="BJ6" t="s">
        <v>173</v>
      </c>
      <c r="BK6">
        <v>1.8730818414322252E-5</v>
      </c>
      <c r="BL6">
        <v>3.2608227910573044E-7</v>
      </c>
      <c r="BM6" t="s">
        <v>173</v>
      </c>
      <c r="BN6">
        <v>0</v>
      </c>
      <c r="BO6">
        <v>0</v>
      </c>
      <c r="BP6" t="s">
        <v>173</v>
      </c>
      <c r="BQ6">
        <v>-24.57</v>
      </c>
      <c r="BR6">
        <v>0.11408469150305366</v>
      </c>
      <c r="BS6" t="s">
        <v>173</v>
      </c>
      <c r="BT6">
        <v>-5.93</v>
      </c>
      <c r="BU6">
        <v>0.25</v>
      </c>
      <c r="BV6" s="12" t="s">
        <v>191</v>
      </c>
      <c r="BW6" t="s">
        <v>160</v>
      </c>
      <c r="BX6">
        <v>10</v>
      </c>
      <c r="BY6">
        <v>1</v>
      </c>
      <c r="BZ6" s="12" t="s">
        <v>195</v>
      </c>
      <c r="CA6">
        <v>0.64</v>
      </c>
      <c r="CB6">
        <v>0</v>
      </c>
      <c r="CC6" t="s">
        <v>192</v>
      </c>
      <c r="CD6">
        <v>2</v>
      </c>
      <c r="CE6">
        <v>0.1</v>
      </c>
      <c r="CF6" s="12" t="s">
        <v>136</v>
      </c>
      <c r="CG6">
        <v>0.6</v>
      </c>
      <c r="CH6">
        <v>0</v>
      </c>
      <c r="CI6" s="12" t="s">
        <v>193</v>
      </c>
      <c r="CJ6">
        <v>1</v>
      </c>
      <c r="CK6">
        <v>0.05</v>
      </c>
      <c r="CL6" s="12" t="s">
        <v>136</v>
      </c>
      <c r="CM6">
        <v>0.5</v>
      </c>
      <c r="CN6">
        <v>2.5000000000000001E-2</v>
      </c>
      <c r="CO6" s="12" t="s">
        <v>136</v>
      </c>
      <c r="CP6">
        <v>0.2</v>
      </c>
      <c r="CQ6">
        <v>0.01</v>
      </c>
      <c r="CR6" s="12" t="s">
        <v>136</v>
      </c>
      <c r="CS6">
        <v>1.2999999999999999E-2</v>
      </c>
      <c r="CT6">
        <v>6.4999999999999997E-4</v>
      </c>
      <c r="CU6" s="12" t="s">
        <v>136</v>
      </c>
      <c r="CV6" t="s">
        <v>174</v>
      </c>
      <c r="CW6" s="37">
        <v>30</v>
      </c>
      <c r="CX6" s="37">
        <v>9.4009599999999997E-4</v>
      </c>
      <c r="CY6" s="37">
        <v>40</v>
      </c>
      <c r="CZ6" s="37">
        <v>25</v>
      </c>
    </row>
    <row r="7" spans="1:104" x14ac:dyDescent="0.3">
      <c r="A7" t="s">
        <v>132</v>
      </c>
      <c r="B7" t="s">
        <v>148</v>
      </c>
      <c r="C7" t="s">
        <v>143</v>
      </c>
      <c r="D7" t="s">
        <v>177</v>
      </c>
      <c r="E7">
        <v>2022</v>
      </c>
      <c r="F7" t="str">
        <f t="shared" si="7"/>
        <v>10.1016/j.revpalbo.2022.104743</v>
      </c>
      <c r="G7" s="32">
        <f t="shared" ref="G7:G9" si="11">AH7*1000</f>
        <v>21090</v>
      </c>
      <c r="H7" s="32">
        <f t="shared" ref="H7:H9" si="12">(AI7-AH7)*1000</f>
        <v>1739.9999999999984</v>
      </c>
      <c r="I7" s="32">
        <f t="shared" ref="I7:I9" si="13">(AH7-AJ7)*1000</f>
        <v>1739.9999999999984</v>
      </c>
      <c r="J7" s="34">
        <f t="shared" si="8"/>
        <v>452</v>
      </c>
      <c r="K7" s="33">
        <f t="shared" si="9"/>
        <v>89</v>
      </c>
      <c r="L7" s="33">
        <f t="shared" si="10"/>
        <v>73</v>
      </c>
      <c r="M7" t="b">
        <v>1</v>
      </c>
      <c r="N7">
        <v>3</v>
      </c>
      <c r="O7" t="s">
        <v>200</v>
      </c>
      <c r="P7" t="s">
        <v>160</v>
      </c>
      <c r="Q7" t="b">
        <v>0</v>
      </c>
      <c r="R7" t="s">
        <v>160</v>
      </c>
      <c r="S7" t="b">
        <v>1</v>
      </c>
      <c r="T7" t="b">
        <v>0</v>
      </c>
      <c r="U7" t="s">
        <v>160</v>
      </c>
      <c r="V7" t="s">
        <v>160</v>
      </c>
      <c r="W7" t="b">
        <v>0</v>
      </c>
      <c r="X7" t="s">
        <v>160</v>
      </c>
      <c r="Y7" s="35" t="s">
        <v>198</v>
      </c>
      <c r="Z7" s="39" t="s">
        <v>199</v>
      </c>
      <c r="AA7" t="s">
        <v>184</v>
      </c>
      <c r="AB7" t="s">
        <v>168</v>
      </c>
      <c r="AC7" t="s">
        <v>185</v>
      </c>
      <c r="AD7" t="s">
        <v>170</v>
      </c>
      <c r="AE7" t="s">
        <v>179</v>
      </c>
      <c r="AF7" s="35" t="s">
        <v>180</v>
      </c>
      <c r="AG7" t="s">
        <v>160</v>
      </c>
      <c r="AH7" s="36">
        <f t="shared" si="6"/>
        <v>21.09</v>
      </c>
      <c r="AI7" s="36">
        <v>22.83</v>
      </c>
      <c r="AJ7" s="36">
        <v>19.350000000000001</v>
      </c>
      <c r="AK7" t="s">
        <v>160</v>
      </c>
      <c r="AL7" s="35" t="s">
        <v>181</v>
      </c>
      <c r="AM7" t="s">
        <v>160</v>
      </c>
      <c r="AN7" t="s">
        <v>160</v>
      </c>
      <c r="AO7" t="s">
        <v>160</v>
      </c>
      <c r="AP7" t="s">
        <v>160</v>
      </c>
      <c r="AQ7" s="34">
        <v>452</v>
      </c>
      <c r="AR7" s="12" t="s">
        <v>133</v>
      </c>
      <c r="AS7" s="34">
        <v>379</v>
      </c>
      <c r="AT7" s="34">
        <v>541</v>
      </c>
      <c r="AU7" s="12" t="s">
        <v>134</v>
      </c>
      <c r="AV7" s="12" t="s">
        <v>171</v>
      </c>
      <c r="AW7" t="s">
        <v>135</v>
      </c>
      <c r="AX7" t="s">
        <v>160</v>
      </c>
      <c r="AY7">
        <v>83103930</v>
      </c>
      <c r="AZ7">
        <v>0</v>
      </c>
      <c r="BA7" t="s">
        <v>173</v>
      </c>
      <c r="BB7">
        <v>0</v>
      </c>
      <c r="BC7">
        <v>0</v>
      </c>
      <c r="BD7" t="s">
        <v>173</v>
      </c>
      <c r="BE7">
        <v>5.2989999999999999E-5</v>
      </c>
      <c r="BF7">
        <v>1.6700290929703351E-6</v>
      </c>
      <c r="BG7" t="s">
        <v>173</v>
      </c>
      <c r="BH7">
        <v>0</v>
      </c>
      <c r="BI7">
        <v>0</v>
      </c>
      <c r="BJ7" t="s">
        <v>173</v>
      </c>
      <c r="BK7">
        <v>1.9036404416839198E-5</v>
      </c>
      <c r="BL7">
        <v>7.1400722167507256E-7</v>
      </c>
      <c r="BM7" t="s">
        <v>173</v>
      </c>
      <c r="BN7">
        <v>0</v>
      </c>
      <c r="BO7">
        <v>0</v>
      </c>
      <c r="BP7" t="s">
        <v>173</v>
      </c>
      <c r="BQ7">
        <v>-25.39</v>
      </c>
      <c r="BR7">
        <v>0.4</v>
      </c>
      <c r="BS7" t="s">
        <v>173</v>
      </c>
      <c r="BT7">
        <v>-5.93</v>
      </c>
      <c r="BU7">
        <v>0.25</v>
      </c>
      <c r="BV7" s="12" t="s">
        <v>191</v>
      </c>
      <c r="BW7" t="s">
        <v>160</v>
      </c>
      <c r="BX7">
        <v>10</v>
      </c>
      <c r="BY7">
        <v>1</v>
      </c>
      <c r="BZ7" s="12" t="s">
        <v>195</v>
      </c>
      <c r="CA7">
        <v>0.66</v>
      </c>
      <c r="CB7">
        <v>0</v>
      </c>
      <c r="CC7" t="s">
        <v>194</v>
      </c>
      <c r="CD7">
        <v>2</v>
      </c>
      <c r="CE7">
        <v>0.1</v>
      </c>
      <c r="CF7" s="12" t="s">
        <v>136</v>
      </c>
      <c r="CG7">
        <v>0.6</v>
      </c>
      <c r="CH7">
        <v>0</v>
      </c>
      <c r="CI7" s="12" t="s">
        <v>193</v>
      </c>
      <c r="CJ7">
        <v>1</v>
      </c>
      <c r="CK7">
        <v>0.05</v>
      </c>
      <c r="CL7" s="12" t="s">
        <v>136</v>
      </c>
      <c r="CM7">
        <v>0.5</v>
      </c>
      <c r="CN7">
        <v>2.5000000000000001E-2</v>
      </c>
      <c r="CO7" s="12" t="s">
        <v>136</v>
      </c>
      <c r="CP7">
        <v>0.2</v>
      </c>
      <c r="CQ7">
        <v>0.01</v>
      </c>
      <c r="CR7" s="12" t="s">
        <v>136</v>
      </c>
      <c r="CS7">
        <v>1.2999999999999999E-2</v>
      </c>
      <c r="CT7">
        <v>6.4999999999999997E-4</v>
      </c>
      <c r="CU7" s="12" t="s">
        <v>136</v>
      </c>
      <c r="CV7" t="s">
        <v>174</v>
      </c>
      <c r="CW7" s="37">
        <v>30</v>
      </c>
      <c r="CX7" s="37">
        <v>9.4009599999999997E-4</v>
      </c>
      <c r="CY7" s="37">
        <v>40</v>
      </c>
      <c r="CZ7" s="37">
        <v>25</v>
      </c>
    </row>
    <row r="8" spans="1:104" x14ac:dyDescent="0.3">
      <c r="A8" t="s">
        <v>132</v>
      </c>
      <c r="B8" t="s">
        <v>148</v>
      </c>
      <c r="C8" t="s">
        <v>143</v>
      </c>
      <c r="D8" t="s">
        <v>177</v>
      </c>
      <c r="E8">
        <v>2022</v>
      </c>
      <c r="F8" t="str">
        <f t="shared" si="7"/>
        <v>10.1016/j.revpalbo.2022.104743</v>
      </c>
      <c r="G8" s="32">
        <f t="shared" si="11"/>
        <v>21090</v>
      </c>
      <c r="H8" s="32">
        <f t="shared" si="12"/>
        <v>1739.9999999999984</v>
      </c>
      <c r="I8" s="32">
        <f t="shared" si="13"/>
        <v>1739.9999999999984</v>
      </c>
      <c r="J8" s="34">
        <f t="shared" si="8"/>
        <v>381</v>
      </c>
      <c r="K8" s="33">
        <f t="shared" si="9"/>
        <v>66</v>
      </c>
      <c r="L8" s="33">
        <f t="shared" si="10"/>
        <v>55</v>
      </c>
      <c r="M8" t="b">
        <v>1</v>
      </c>
      <c r="N8">
        <v>3</v>
      </c>
      <c r="O8" t="s">
        <v>200</v>
      </c>
      <c r="P8" t="s">
        <v>160</v>
      </c>
      <c r="Q8" t="b">
        <v>0</v>
      </c>
      <c r="R8" t="s">
        <v>160</v>
      </c>
      <c r="S8" t="b">
        <v>1</v>
      </c>
      <c r="T8" t="b">
        <v>0</v>
      </c>
      <c r="U8" t="s">
        <v>160</v>
      </c>
      <c r="V8" t="s">
        <v>160</v>
      </c>
      <c r="W8" t="b">
        <v>0</v>
      </c>
      <c r="X8" t="s">
        <v>160</v>
      </c>
      <c r="Y8" s="35" t="s">
        <v>198</v>
      </c>
      <c r="Z8" s="39" t="s">
        <v>199</v>
      </c>
      <c r="AA8" t="s">
        <v>186</v>
      </c>
      <c r="AB8" t="s">
        <v>168</v>
      </c>
      <c r="AC8" t="s">
        <v>185</v>
      </c>
      <c r="AD8" t="s">
        <v>170</v>
      </c>
      <c r="AE8" t="s">
        <v>179</v>
      </c>
      <c r="AF8" s="35" t="s">
        <v>180</v>
      </c>
      <c r="AG8" t="s">
        <v>160</v>
      </c>
      <c r="AH8" s="36">
        <f t="shared" si="6"/>
        <v>21.09</v>
      </c>
      <c r="AI8" s="36">
        <v>22.83</v>
      </c>
      <c r="AJ8" s="36">
        <v>19.350000000000001</v>
      </c>
      <c r="AK8" t="s">
        <v>160</v>
      </c>
      <c r="AL8" s="35" t="s">
        <v>181</v>
      </c>
      <c r="AM8" t="s">
        <v>160</v>
      </c>
      <c r="AN8" t="s">
        <v>160</v>
      </c>
      <c r="AO8" t="s">
        <v>160</v>
      </c>
      <c r="AP8" t="s">
        <v>160</v>
      </c>
      <c r="AQ8">
        <v>381</v>
      </c>
      <c r="AR8" s="12" t="s">
        <v>133</v>
      </c>
      <c r="AS8">
        <v>326</v>
      </c>
      <c r="AT8">
        <v>447</v>
      </c>
      <c r="AU8" s="12" t="s">
        <v>134</v>
      </c>
      <c r="AV8" s="12" t="s">
        <v>171</v>
      </c>
      <c r="AW8" t="s">
        <v>135</v>
      </c>
      <c r="AX8" t="s">
        <v>160</v>
      </c>
      <c r="AY8">
        <v>95937660</v>
      </c>
      <c r="AZ8">
        <v>0</v>
      </c>
      <c r="BA8" t="s">
        <v>173</v>
      </c>
      <c r="BB8">
        <v>0</v>
      </c>
      <c r="BC8">
        <v>0</v>
      </c>
      <c r="BD8" t="s">
        <v>173</v>
      </c>
      <c r="BE8">
        <v>5.7023070097604261E-5</v>
      </c>
      <c r="BF8">
        <v>9.2988350419724641E-7</v>
      </c>
      <c r="BG8" t="s">
        <v>173</v>
      </c>
      <c r="BH8">
        <v>0</v>
      </c>
      <c r="BI8">
        <v>0</v>
      </c>
      <c r="BJ8" t="s">
        <v>173</v>
      </c>
      <c r="BK8">
        <v>1.5719554125998226E-5</v>
      </c>
      <c r="BL8">
        <v>2.6626896510870431E-7</v>
      </c>
      <c r="BM8" t="s">
        <v>173</v>
      </c>
      <c r="BN8">
        <v>0</v>
      </c>
      <c r="BO8">
        <v>0</v>
      </c>
      <c r="BP8" t="s">
        <v>173</v>
      </c>
      <c r="BQ8">
        <v>-25.39</v>
      </c>
      <c r="BR8">
        <v>0.4</v>
      </c>
      <c r="BS8" t="s">
        <v>173</v>
      </c>
      <c r="BT8">
        <v>-5.93</v>
      </c>
      <c r="BU8">
        <v>0.25</v>
      </c>
      <c r="BV8" s="12" t="s">
        <v>191</v>
      </c>
      <c r="BW8" t="s">
        <v>160</v>
      </c>
      <c r="BX8">
        <v>10</v>
      </c>
      <c r="BY8">
        <v>1</v>
      </c>
      <c r="BZ8" s="12" t="s">
        <v>195</v>
      </c>
      <c r="CA8">
        <v>0.66</v>
      </c>
      <c r="CB8">
        <v>0</v>
      </c>
      <c r="CC8" t="s">
        <v>194</v>
      </c>
      <c r="CD8">
        <v>2</v>
      </c>
      <c r="CE8">
        <v>0.1</v>
      </c>
      <c r="CF8" s="12" t="s">
        <v>136</v>
      </c>
      <c r="CG8">
        <v>0.6</v>
      </c>
      <c r="CH8">
        <v>0</v>
      </c>
      <c r="CI8" s="12" t="s">
        <v>193</v>
      </c>
      <c r="CJ8">
        <v>1</v>
      </c>
      <c r="CK8">
        <v>0.05</v>
      </c>
      <c r="CL8" s="12" t="s">
        <v>136</v>
      </c>
      <c r="CM8">
        <v>0.5</v>
      </c>
      <c r="CN8">
        <v>2.5000000000000001E-2</v>
      </c>
      <c r="CO8" s="12" t="s">
        <v>136</v>
      </c>
      <c r="CP8">
        <v>0.2</v>
      </c>
      <c r="CQ8">
        <v>0.01</v>
      </c>
      <c r="CR8" s="12" t="s">
        <v>136</v>
      </c>
      <c r="CS8">
        <v>1.2999999999999999E-2</v>
      </c>
      <c r="CT8">
        <v>6.4999999999999997E-4</v>
      </c>
      <c r="CU8" s="12" t="s">
        <v>136</v>
      </c>
      <c r="CV8" t="s">
        <v>174</v>
      </c>
      <c r="CW8" s="37">
        <v>30</v>
      </c>
      <c r="CX8" s="37">
        <v>9.4009599999999997E-4</v>
      </c>
      <c r="CY8" s="37">
        <v>40</v>
      </c>
      <c r="CZ8" s="37">
        <v>25</v>
      </c>
    </row>
    <row r="9" spans="1:104" x14ac:dyDescent="0.3">
      <c r="A9" t="s">
        <v>132</v>
      </c>
      <c r="B9" t="s">
        <v>148</v>
      </c>
      <c r="C9" t="s">
        <v>143</v>
      </c>
      <c r="D9" t="s">
        <v>177</v>
      </c>
      <c r="E9">
        <v>2022</v>
      </c>
      <c r="F9" t="str">
        <f t="shared" si="7"/>
        <v>10.1016/j.revpalbo.2022.104743</v>
      </c>
      <c r="G9" s="32">
        <f t="shared" si="11"/>
        <v>21090</v>
      </c>
      <c r="H9" s="32">
        <f t="shared" si="12"/>
        <v>1739.9999999999984</v>
      </c>
      <c r="I9" s="32">
        <f t="shared" si="13"/>
        <v>1739.9999999999984</v>
      </c>
      <c r="J9" s="34">
        <f t="shared" si="8"/>
        <v>343</v>
      </c>
      <c r="K9" s="33">
        <f t="shared" si="9"/>
        <v>57</v>
      </c>
      <c r="L9" s="33">
        <f t="shared" si="10"/>
        <v>47</v>
      </c>
      <c r="M9" t="b">
        <v>1</v>
      </c>
      <c r="N9">
        <v>3</v>
      </c>
      <c r="O9" t="s">
        <v>200</v>
      </c>
      <c r="P9" t="s">
        <v>160</v>
      </c>
      <c r="Q9" t="b">
        <v>0</v>
      </c>
      <c r="R9" t="s">
        <v>160</v>
      </c>
      <c r="S9" t="b">
        <v>1</v>
      </c>
      <c r="T9" t="b">
        <v>0</v>
      </c>
      <c r="U9" t="s">
        <v>160</v>
      </c>
      <c r="V9" t="s">
        <v>160</v>
      </c>
      <c r="W9" t="b">
        <v>0</v>
      </c>
      <c r="X9" t="s">
        <v>160</v>
      </c>
      <c r="Y9" s="35" t="s">
        <v>198</v>
      </c>
      <c r="Z9" s="39" t="s">
        <v>199</v>
      </c>
      <c r="AA9" t="s">
        <v>187</v>
      </c>
      <c r="AB9" t="s">
        <v>168</v>
      </c>
      <c r="AC9" t="s">
        <v>185</v>
      </c>
      <c r="AD9" t="s">
        <v>170</v>
      </c>
      <c r="AE9" t="s">
        <v>179</v>
      </c>
      <c r="AF9" s="35" t="s">
        <v>180</v>
      </c>
      <c r="AG9" t="s">
        <v>160</v>
      </c>
      <c r="AH9" s="36">
        <f t="shared" si="6"/>
        <v>21.09</v>
      </c>
      <c r="AI9" s="36">
        <v>22.83</v>
      </c>
      <c r="AJ9" s="36">
        <v>19.350000000000001</v>
      </c>
      <c r="AK9" t="s">
        <v>160</v>
      </c>
      <c r="AL9" s="35" t="s">
        <v>181</v>
      </c>
      <c r="AM9" t="s">
        <v>160</v>
      </c>
      <c r="AN9" t="s">
        <v>160</v>
      </c>
      <c r="AO9" t="s">
        <v>160</v>
      </c>
      <c r="AP9" t="s">
        <v>160</v>
      </c>
      <c r="AQ9">
        <v>343</v>
      </c>
      <c r="AR9" s="12" t="s">
        <v>133</v>
      </c>
      <c r="AS9">
        <v>296</v>
      </c>
      <c r="AT9">
        <v>400</v>
      </c>
      <c r="AU9" s="12" t="s">
        <v>134</v>
      </c>
      <c r="AV9" s="12" t="s">
        <v>171</v>
      </c>
      <c r="AW9" t="s">
        <v>135</v>
      </c>
      <c r="AX9" t="s">
        <v>160</v>
      </c>
      <c r="AY9">
        <v>65465199.999999993</v>
      </c>
      <c r="AZ9">
        <v>0</v>
      </c>
      <c r="BA9" t="s">
        <v>173</v>
      </c>
      <c r="BB9">
        <v>63265060</v>
      </c>
      <c r="BC9">
        <v>0</v>
      </c>
      <c r="BD9" t="s">
        <v>173</v>
      </c>
      <c r="BE9">
        <v>5.3788819875776395E-5</v>
      </c>
      <c r="BF9">
        <v>1.3921297955567941E-6</v>
      </c>
      <c r="BG9" t="s">
        <v>173</v>
      </c>
      <c r="BH9">
        <v>4.9043478260869565E-5</v>
      </c>
      <c r="BI9">
        <v>1.0635016685729553E-6</v>
      </c>
      <c r="BJ9" t="s">
        <v>173</v>
      </c>
      <c r="BK9">
        <v>1.3956521739130433E-5</v>
      </c>
      <c r="BL9">
        <v>3.5331006642163797E-7</v>
      </c>
      <c r="BM9" t="s">
        <v>173</v>
      </c>
      <c r="BN9">
        <v>1.3876507124588967E-5</v>
      </c>
      <c r="BO9">
        <v>2.844978963665331E-7</v>
      </c>
      <c r="BP9" t="s">
        <v>173</v>
      </c>
      <c r="BQ9">
        <v>-25.39</v>
      </c>
      <c r="BR9">
        <v>0.4</v>
      </c>
      <c r="BS9" t="s">
        <v>173</v>
      </c>
      <c r="BT9">
        <v>-5.93</v>
      </c>
      <c r="BU9">
        <v>0.25</v>
      </c>
      <c r="BV9" s="12" t="s">
        <v>191</v>
      </c>
      <c r="BW9" t="s">
        <v>160</v>
      </c>
      <c r="BX9">
        <v>10</v>
      </c>
      <c r="BY9">
        <v>1</v>
      </c>
      <c r="BZ9" s="12" t="s">
        <v>195</v>
      </c>
      <c r="CA9">
        <v>0.66</v>
      </c>
      <c r="CB9">
        <v>0</v>
      </c>
      <c r="CC9" t="s">
        <v>194</v>
      </c>
      <c r="CD9">
        <v>2</v>
      </c>
      <c r="CE9">
        <v>0.1</v>
      </c>
      <c r="CF9" s="12" t="s">
        <v>136</v>
      </c>
      <c r="CG9">
        <v>0.6</v>
      </c>
      <c r="CH9">
        <v>0</v>
      </c>
      <c r="CI9" s="12" t="s">
        <v>193</v>
      </c>
      <c r="CJ9">
        <v>1</v>
      </c>
      <c r="CK9">
        <v>0.05</v>
      </c>
      <c r="CL9" s="12" t="s">
        <v>136</v>
      </c>
      <c r="CM9">
        <v>0.5</v>
      </c>
      <c r="CN9">
        <v>2.5000000000000001E-2</v>
      </c>
      <c r="CO9" s="12" t="s">
        <v>136</v>
      </c>
      <c r="CP9">
        <v>0.2</v>
      </c>
      <c r="CQ9">
        <v>0.01</v>
      </c>
      <c r="CR9" s="12" t="s">
        <v>136</v>
      </c>
      <c r="CS9">
        <v>1.2999999999999999E-2</v>
      </c>
      <c r="CT9">
        <v>6.4999999999999997E-4</v>
      </c>
      <c r="CU9" s="12" t="s">
        <v>136</v>
      </c>
      <c r="CV9" t="s">
        <v>174</v>
      </c>
      <c r="CW9" s="37">
        <v>30</v>
      </c>
      <c r="CX9" s="37">
        <v>9.4009599999999997E-4</v>
      </c>
      <c r="CY9" s="37">
        <v>40</v>
      </c>
      <c r="CZ9" s="37">
        <v>25</v>
      </c>
    </row>
    <row r="10" spans="1:104" x14ac:dyDescent="0.3">
      <c r="A10" t="s">
        <v>132</v>
      </c>
      <c r="B10" t="s">
        <v>148</v>
      </c>
      <c r="C10" t="s">
        <v>143</v>
      </c>
      <c r="D10" t="s">
        <v>177</v>
      </c>
      <c r="E10">
        <v>2022</v>
      </c>
      <c r="F10" t="str">
        <f t="shared" ref="F10" si="14">Z10</f>
        <v>10.1016/j.revpalbo.2022.104743</v>
      </c>
      <c r="G10" s="32">
        <f t="shared" ref="G10" si="15">AH10*1000</f>
        <v>21090</v>
      </c>
      <c r="H10" s="32">
        <f t="shared" ref="H10" si="16">(AI10-AH10)*1000</f>
        <v>1739.9999999999984</v>
      </c>
      <c r="I10" s="32">
        <f t="shared" ref="I10" si="17">(AH10-AJ10)*1000</f>
        <v>1739.9999999999984</v>
      </c>
      <c r="J10" s="34">
        <f t="shared" ref="J10" si="18">AQ10</f>
        <v>407.66666666666663</v>
      </c>
      <c r="K10" s="33">
        <f t="shared" ref="K10" si="19">AT10-AQ10</f>
        <v>70.166666666666742</v>
      </c>
      <c r="L10" s="33">
        <f t="shared" ref="L10" si="20">AQ10-AS10</f>
        <v>59.666666666666629</v>
      </c>
      <c r="M10" t="b">
        <v>1</v>
      </c>
      <c r="N10">
        <v>1</v>
      </c>
      <c r="O10" t="s">
        <v>201</v>
      </c>
      <c r="P10" t="s">
        <v>160</v>
      </c>
      <c r="Q10" t="b">
        <v>0</v>
      </c>
      <c r="R10" t="s">
        <v>160</v>
      </c>
      <c r="S10" t="b">
        <v>1</v>
      </c>
      <c r="T10" t="b">
        <v>0</v>
      </c>
      <c r="U10" t="s">
        <v>160</v>
      </c>
      <c r="V10" t="s">
        <v>160</v>
      </c>
      <c r="W10" t="b">
        <v>0</v>
      </c>
      <c r="X10" t="s">
        <v>160</v>
      </c>
      <c r="Y10" s="35" t="s">
        <v>198</v>
      </c>
      <c r="Z10" s="39" t="s">
        <v>199</v>
      </c>
      <c r="AA10" t="s">
        <v>160</v>
      </c>
      <c r="AB10" t="s">
        <v>168</v>
      </c>
      <c r="AC10" t="s">
        <v>188</v>
      </c>
      <c r="AD10" t="s">
        <v>160</v>
      </c>
      <c r="AE10" t="s">
        <v>179</v>
      </c>
      <c r="AF10" s="35" t="s">
        <v>180</v>
      </c>
      <c r="AG10" t="s">
        <v>160</v>
      </c>
      <c r="AH10" s="36">
        <f t="shared" ref="AH10" si="21">AVERAGE(AI10:AJ10)</f>
        <v>21.09</v>
      </c>
      <c r="AI10" s="36">
        <v>22.83</v>
      </c>
      <c r="AJ10" s="36">
        <v>19.350000000000001</v>
      </c>
      <c r="AK10" t="s">
        <v>160</v>
      </c>
      <c r="AL10" s="35" t="s">
        <v>181</v>
      </c>
      <c r="AM10" t="s">
        <v>160</v>
      </c>
      <c r="AN10" t="s">
        <v>160</v>
      </c>
      <c r="AO10" t="s">
        <v>160</v>
      </c>
      <c r="AP10" t="s">
        <v>160</v>
      </c>
      <c r="AQ10" s="34">
        <f>AVERAGE(AVERAGE(AQ4:AQ6),AVERAGE(AQ7:AQ9))</f>
        <v>407.66666666666663</v>
      </c>
      <c r="AR10" s="12" t="s">
        <v>189</v>
      </c>
      <c r="AS10" s="34">
        <f>AVERAGE(AVERAGE(AS4:AS6),AVERAGE(AS7:AS9))</f>
        <v>348</v>
      </c>
      <c r="AT10" s="34">
        <f>AVERAGE(AVERAGE(AT4:AT6),AVERAGE(AT7:AT9))</f>
        <v>477.83333333333337</v>
      </c>
      <c r="AU10" s="12" t="s">
        <v>134</v>
      </c>
      <c r="AV10" s="12" t="s">
        <v>171</v>
      </c>
      <c r="AW10" s="12" t="s">
        <v>160</v>
      </c>
      <c r="AX10" s="12" t="s">
        <v>160</v>
      </c>
      <c r="AY10" s="12" t="s">
        <v>160</v>
      </c>
      <c r="AZ10" s="12" t="s">
        <v>160</v>
      </c>
      <c r="BA10" s="12" t="s">
        <v>160</v>
      </c>
      <c r="BB10" s="12" t="s">
        <v>160</v>
      </c>
      <c r="BC10" s="12" t="s">
        <v>160</v>
      </c>
      <c r="BD10" s="12" t="s">
        <v>160</v>
      </c>
      <c r="BE10" s="12" t="s">
        <v>160</v>
      </c>
      <c r="BF10" s="12" t="s">
        <v>160</v>
      </c>
      <c r="BG10" s="12" t="s">
        <v>160</v>
      </c>
      <c r="BH10" s="12" t="s">
        <v>160</v>
      </c>
      <c r="BI10" s="12" t="s">
        <v>160</v>
      </c>
      <c r="BJ10" s="12" t="s">
        <v>160</v>
      </c>
      <c r="BK10" s="12" t="s">
        <v>160</v>
      </c>
      <c r="BL10" s="12" t="s">
        <v>160</v>
      </c>
      <c r="BM10" s="12" t="s">
        <v>160</v>
      </c>
      <c r="BN10" s="12" t="s">
        <v>160</v>
      </c>
      <c r="BO10" s="12" t="s">
        <v>160</v>
      </c>
      <c r="BP10" s="12" t="s">
        <v>160</v>
      </c>
      <c r="BQ10" s="12" t="s">
        <v>160</v>
      </c>
      <c r="BR10" s="12" t="s">
        <v>160</v>
      </c>
      <c r="BS10" s="12" t="s">
        <v>160</v>
      </c>
      <c r="BT10" s="12" t="s">
        <v>160</v>
      </c>
      <c r="BU10" s="12" t="s">
        <v>160</v>
      </c>
      <c r="BV10" s="12" t="s">
        <v>160</v>
      </c>
      <c r="BW10" s="12" t="s">
        <v>160</v>
      </c>
      <c r="BX10" s="12" t="s">
        <v>160</v>
      </c>
      <c r="BY10" s="12" t="s">
        <v>160</v>
      </c>
      <c r="BZ10" s="12" t="s">
        <v>160</v>
      </c>
      <c r="CA10" s="12" t="s">
        <v>160</v>
      </c>
      <c r="CB10" s="12" t="s">
        <v>160</v>
      </c>
      <c r="CC10" s="12" t="s">
        <v>160</v>
      </c>
      <c r="CD10" s="12" t="s">
        <v>160</v>
      </c>
      <c r="CE10" s="12" t="s">
        <v>160</v>
      </c>
      <c r="CF10" s="12" t="s">
        <v>160</v>
      </c>
      <c r="CG10" s="12" t="s">
        <v>160</v>
      </c>
      <c r="CH10" s="12" t="s">
        <v>160</v>
      </c>
      <c r="CI10" s="12" t="s">
        <v>160</v>
      </c>
      <c r="CJ10" s="12" t="s">
        <v>160</v>
      </c>
      <c r="CK10" s="12" t="s">
        <v>160</v>
      </c>
      <c r="CL10" s="12" t="s">
        <v>160</v>
      </c>
      <c r="CM10" s="12" t="s">
        <v>160</v>
      </c>
      <c r="CN10" s="12" t="s">
        <v>160</v>
      </c>
      <c r="CO10" s="12" t="s">
        <v>160</v>
      </c>
      <c r="CP10" s="12" t="s">
        <v>160</v>
      </c>
      <c r="CQ10" s="12" t="s">
        <v>160</v>
      </c>
      <c r="CR10" s="12" t="s">
        <v>160</v>
      </c>
      <c r="CS10" s="12" t="s">
        <v>160</v>
      </c>
      <c r="CT10" s="12" t="s">
        <v>160</v>
      </c>
      <c r="CU10" s="12" t="s">
        <v>160</v>
      </c>
      <c r="CV10" s="12" t="s">
        <v>160</v>
      </c>
      <c r="CW10" s="12" t="s">
        <v>160</v>
      </c>
      <c r="CX10" s="12" t="s">
        <v>160</v>
      </c>
      <c r="CY10" s="12" t="s">
        <v>160</v>
      </c>
      <c r="CZ10" s="12" t="s">
        <v>160</v>
      </c>
    </row>
    <row r="17" customFormat="1" x14ac:dyDescent="0.3"/>
    <row r="18" customFormat="1" x14ac:dyDescent="0.3"/>
    <row r="19" customFormat="1" x14ac:dyDescent="0.3"/>
    <row r="20" customFormat="1" x14ac:dyDescent="0.3"/>
    <row r="21" customFormat="1" x14ac:dyDescent="0.3"/>
    <row r="22" customFormat="1" x14ac:dyDescent="0.3"/>
    <row r="23" customFormat="1" x14ac:dyDescent="0.3"/>
  </sheetData>
  <mergeCells count="1">
    <mergeCell ref="S2:W2"/>
  </mergeCells>
  <phoneticPr fontId="6" type="noConversion"/>
  <hyperlinks>
    <hyperlink ref="Z4" r:id="rId1" tooltip="Persistent link using digital object identifier" display="https://doi.org/10.1016/j.revpalbo.2022.104743" xr:uid="{8D5E786A-31F7-4EEF-8BBE-D6427D83CD1F}"/>
    <hyperlink ref="Z5" r:id="rId2" tooltip="Persistent link using digital object identifier" display="https://doi.org/10.1016/j.revpalbo.2022.104743" xr:uid="{94C6FEAE-C816-4005-A83A-CD3FECFF6877}"/>
    <hyperlink ref="Z6" r:id="rId3" tooltip="Persistent link using digital object identifier" display="https://doi.org/10.1016/j.revpalbo.2022.104743" xr:uid="{AD67F2FE-7EA3-48D3-8835-5DC80A461D47}"/>
    <hyperlink ref="Z8" r:id="rId4" tooltip="Persistent link using digital object identifier" display="https://doi.org/10.1016/j.revpalbo.2022.104743" xr:uid="{461C1D27-B41F-4B39-8BE7-E5FD4998BDE1}"/>
    <hyperlink ref="Z10" r:id="rId5" tooltip="Persistent link using digital object identifier" display="https://doi.org/10.1016/j.revpalbo.2022.104743" xr:uid="{1186A929-2D38-4059-AFC8-B5048C965272}"/>
    <hyperlink ref="Z7" r:id="rId6" tooltip="Persistent link using digital object identifier" display="https://doi.org/10.1016/j.revpalbo.2022.104743" xr:uid="{EF36BB66-369E-42DB-B21D-3B843321544F}"/>
    <hyperlink ref="Z9" r:id="rId7" tooltip="Persistent link using digital object identifier" display="https://doi.org/10.1016/j.revpalbo.2022.104743" xr:uid="{B1373176-3F7D-470F-8377-02209886DE90}"/>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defaultColWidth="11" defaultRowHeight="15.6" x14ac:dyDescent="0.3"/>
  <sheetData>
    <row r="1" spans="1:1" x14ac:dyDescent="0.3">
      <c r="A1" s="29" t="s">
        <v>0</v>
      </c>
    </row>
    <row r="2" spans="1:1" x14ac:dyDescent="0.3">
      <c r="A2" s="30" t="s">
        <v>1</v>
      </c>
    </row>
    <row r="3" spans="1:1" x14ac:dyDescent="0.3">
      <c r="A3" s="29" t="s">
        <v>2</v>
      </c>
    </row>
    <row r="4" spans="1:1" x14ac:dyDescent="0.3">
      <c r="A4" s="29"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Dana Royer</cp:lastModifiedBy>
  <dcterms:created xsi:type="dcterms:W3CDTF">2019-02-07T19:27:24Z</dcterms:created>
  <dcterms:modified xsi:type="dcterms:W3CDTF">2023-09-01T17:37:39Z</dcterms:modified>
</cp:coreProperties>
</file>