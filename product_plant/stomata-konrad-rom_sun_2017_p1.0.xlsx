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13"/>
  <workbookPr/>
  <mc:AlternateContent xmlns:mc="http://schemas.openxmlformats.org/markup-compatibility/2006">
    <mc:Choice Requires="x15">
      <x15ac:absPath xmlns:x15ac="http://schemas.microsoft.com/office/spreadsheetml/2010/11/ac" url="/Users/Daphnia/Desktop/paleo-CO2 data base/product/product March 2022/"/>
    </mc:Choice>
  </mc:AlternateContent>
  <xr:revisionPtr revIDLastSave="0" documentId="13_ncr:1_{8DCE9A8F-7621-934B-98ED-064D149591DB}" xr6:coauthVersionLast="47" xr6:coauthVersionMax="47" xr10:uidLastSave="{00000000-0000-0000-0000-000000000000}"/>
  <bookViews>
    <workbookView xWindow="0" yWindow="1580" windowWidth="28800" windowHeight="15880" tabRatio="500" xr2:uid="{00000000-000D-0000-FFFF-FFFF00000000}"/>
  </bookViews>
  <sheets>
    <sheet name="leaf gas-exchange_ROM" sheetId="1" r:id="rId1"/>
    <sheet name="Specifications and References" sheetId="2" r:id="rId2"/>
  </sheets>
  <calcPr calcId="191029"/>
  <extLst>
    <ext xmlns:xcalcf="http://schemas.microsoft.com/office/spreadsheetml/2018/calcfeatures" uri="{B58B0392-4F1F-4190-BB64-5DF3571DCE5F}">
      <xcalcf:calcFeatures>
        <xcalcf:feature name="microsoft.com:RD"/>
        <xcalcf:feature name="microsoft.com:FV"/>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AL7" i="1" l="1"/>
  <c r="AK7" i="1"/>
  <c r="CF7" i="1"/>
  <c r="L7" i="1" s="1"/>
  <c r="CG7" i="1"/>
  <c r="CE7" i="1"/>
  <c r="I7" i="1"/>
  <c r="H7" i="1"/>
  <c r="G7" i="1"/>
  <c r="F7" i="1"/>
  <c r="F5" i="1"/>
  <c r="G5" i="1"/>
  <c r="H5" i="1"/>
  <c r="I5" i="1"/>
  <c r="J5" i="1"/>
  <c r="K5" i="1"/>
  <c r="L5" i="1"/>
  <c r="F6" i="1"/>
  <c r="G6" i="1"/>
  <c r="H6" i="1"/>
  <c r="I6" i="1"/>
  <c r="J6" i="1"/>
  <c r="K6" i="1"/>
  <c r="L6" i="1"/>
  <c r="L4" i="1"/>
  <c r="K4" i="1"/>
  <c r="J4" i="1"/>
  <c r="I4" i="1"/>
  <c r="H4" i="1"/>
  <c r="G4" i="1"/>
  <c r="F4" i="1"/>
  <c r="K7" i="1" l="1"/>
  <c r="J7" i="1"/>
  <c r="BA6" i="1"/>
  <c r="AL6" i="1"/>
  <c r="AK6" i="1"/>
  <c r="BA5" i="1"/>
  <c r="AL5" i="1"/>
  <c r="AK5" i="1"/>
  <c r="BA4" i="1"/>
  <c r="AL4" i="1"/>
  <c r="AK4" i="1"/>
</calcChain>
</file>

<file path=xl/sharedStrings.xml><?xml version="1.0" encoding="utf-8"?>
<sst xmlns="http://schemas.openxmlformats.org/spreadsheetml/2006/main" count="289" uniqueCount="137">
  <si>
    <t>Specifications:</t>
  </si>
  <si>
    <t>this spreadsheet is devised for the full optimality approach for stomatal conductance (FOM), see references below</t>
  </si>
  <si>
    <r>
      <rPr>
        <vertAlign val="superscript"/>
        <sz val="12"/>
        <color theme="1"/>
        <rFont val="Calibri"/>
        <family val="2"/>
        <scheme val="minor"/>
      </rPr>
      <t>a</t>
    </r>
    <r>
      <rPr>
        <sz val="12"/>
        <color theme="1"/>
        <rFont val="Calibri"/>
        <family val="2"/>
        <scheme val="minor"/>
      </rPr>
      <t xml:space="preserve"> Sample unit is a single leaf</t>
    </r>
  </si>
  <si>
    <r>
      <rPr>
        <vertAlign val="superscript"/>
        <sz val="12"/>
        <color theme="1"/>
        <rFont val="Calibri"/>
        <family val="2"/>
        <scheme val="minor"/>
      </rPr>
      <t>b</t>
    </r>
    <r>
      <rPr>
        <sz val="12"/>
        <color theme="1"/>
        <rFont val="Calibri"/>
        <family val="2"/>
        <scheme val="minor"/>
      </rPr>
      <t xml:space="preserve"> data to be obtained from extant relative species</t>
    </r>
  </si>
  <si>
    <t>References</t>
  </si>
  <si>
    <t>Konrad, W; Roth-Nebelsick, A; Grein, M; 2008, Modelling of stomatal density response to atmospheric CO2,Journal of Theoretical Biology,253,4,638-658</t>
  </si>
  <si>
    <t>Grein, M; Konrad, W; Wilde, V; Utescher, T; Roth-Nebelsick, A; 2011,  Reconstruction of atmospheric CO 2 during the early middle Eocene by application of a gas exchange model to fossil plants from the Messel Formation, Germany, Palaeogeography, Palaeoclimatology, Palaeoecology,309,3,383-391</t>
  </si>
  <si>
    <t>SAMPLE IDENTIFICATION</t>
  </si>
  <si>
    <t>AGE CONSTRAINTS</t>
  </si>
  <si>
    <t>TAXONOMIC INFORMATION</t>
  </si>
  <si>
    <t>COUNTING</t>
  </si>
  <si>
    <t>STOMATAL AND OTHER ANATOMICAL DATA</t>
  </si>
  <si>
    <t>d13C DATA</t>
  </si>
  <si>
    <t>BIOCHEMICAL DATA FROM EXTANT RELATIVE SPECIES</t>
  </si>
  <si>
    <t>PALEOCLIMATE INPUT DATA</t>
  </si>
  <si>
    <t>RESULTS</t>
  </si>
  <si>
    <t>Reference of the data product</t>
  </si>
  <si>
    <t>DOI link to reference</t>
  </si>
  <si>
    <t>Sample
Repository</t>
  </si>
  <si>
    <t>Location</t>
  </si>
  <si>
    <t>Geologic
Formation</t>
  </si>
  <si>
    <t>Stratigraphic level</t>
  </si>
  <si>
    <t>Age (Ma)</t>
  </si>
  <si>
    <t>Age uncertainty, old (Ma)</t>
  </si>
  <si>
    <t>Age uncertainty, young (Ma)</t>
  </si>
  <si>
    <t>Age scale (GTS20XX)</t>
  </si>
  <si>
    <t>How was age determined?</t>
  </si>
  <si>
    <t>Family</t>
  </si>
  <si>
    <t>Genus</t>
  </si>
  <si>
    <t>Species</t>
  </si>
  <si>
    <t>Counting Method
(Image, microscope)</t>
  </si>
  <si>
    <t>Counting box dimensions
(µm × µm)</t>
  </si>
  <si>
    <t>Stomatal pore length SL [µm]</t>
  </si>
  <si>
    <t>Stomatal pore depth  [µm] (derived from guard cell width)</t>
  </si>
  <si>
    <t>Maximum aperture width [µm] derived from pore length/2</t>
  </si>
  <si>
    <t>Reference for thickness of assimilating tissue</t>
  </si>
  <si>
    <t>Reference for porosity of leaf tissue</t>
  </si>
  <si>
    <t>Reference for tortuosity of leaf tissue</t>
  </si>
  <si>
    <t>Leaf length estimated [mm]</t>
  </si>
  <si>
    <t>Min q (=Vcmax) [µmol*m-2*s-1]</t>
  </si>
  <si>
    <t>Max q (=Vcmax) [µmol*m-2*s-1]</t>
  </si>
  <si>
    <t>References for q</t>
  </si>
  <si>
    <t>Reference for Rd25</t>
  </si>
  <si>
    <t>Paleoclimate reconstruction used for estimating air temperature range during vegetation period</t>
  </si>
  <si>
    <t>Reference for method for estimating air temperature range during vegetation period</t>
  </si>
  <si>
    <t>Mean T of vegetation period [°C] range of values as derived from paleoclimate reconstruction</t>
  </si>
  <si>
    <t>Min T of vegetation period [°C]</t>
  </si>
  <si>
    <t>Max T of vegetation period [°C]</t>
  </si>
  <si>
    <t>Wind speed [m/s] Estimation</t>
  </si>
  <si>
    <t>O2 of air [ppm]</t>
  </si>
  <si>
    <t>Reference for O2</t>
  </si>
  <si>
    <t>Min CO2 [ppm]</t>
  </si>
  <si>
    <t>Max CO2 [ppm]</t>
  </si>
  <si>
    <t>microscope</t>
  </si>
  <si>
    <t>Evaluation of error margin:</t>
  </si>
  <si>
    <t xml:space="preserve">With the introduction of the model approach (Konrad et al. 2008, Journal of Theoretical Biology 253, 638-658), the most “critical“ input parameters were identified. </t>
  </si>
  <si>
    <t>These are</t>
  </si>
  <si>
    <t xml:space="preserve">relative humidity </t>
  </si>
  <si>
    <t>temperature T (of growing season))</t>
  </si>
  <si>
    <t>q</t>
  </si>
  <si>
    <t xml:space="preserve">Ci/Ca </t>
  </si>
  <si>
    <t>Environmental parameters are obtained by paleoclimate reconstruction, via coexistence approach and/or leaf margin analysis. The results are ranges.</t>
  </si>
  <si>
    <t>q is obtained by measurement and literature values of extant relatives of the fossil taxon. Here, also ranges are the result.</t>
  </si>
  <si>
    <t>Ci/Ca is calculated from carbon isotopes of the fossil material. The result is a mean with standard deviation.</t>
  </si>
  <si>
    <t xml:space="preserve">To approximate the error margin, the critical parameters were varied systematically: for each, the lowest and the highest value was inserted. </t>
  </si>
  <si>
    <t xml:space="preserve">While for q and environment this corresponds to the lower and upper end of the ranges, it is for Ci/Ca the mean plus and minus standard deviation. </t>
  </si>
  <si>
    <t xml:space="preserve">Critical parameters have the widest uncertainty ranges and the strongest influence on the results. </t>
  </si>
  <si>
    <t>proxy</t>
  </si>
  <si>
    <t>first_author_last_name</t>
  </si>
  <si>
    <t>publication_year</t>
  </si>
  <si>
    <t>doi</t>
  </si>
  <si>
    <t>age_ka</t>
  </si>
  <si>
    <t>Age_uncertainty_pos_ka</t>
  </si>
  <si>
    <t>Age_uncertainty_neg_ka</t>
  </si>
  <si>
    <t>name of person entering product data</t>
  </si>
  <si>
    <t>email of person entering product data</t>
  </si>
  <si>
    <t>specify reason for age revision</t>
  </si>
  <si>
    <t>droyer@wesleyan.edu</t>
  </si>
  <si>
    <t>Dana L Royer</t>
  </si>
  <si>
    <t>specify reason for quarantine</t>
  </si>
  <si>
    <t>Grein et al., 2011 (10.1016/j.palaeo.2011.07.008)</t>
  </si>
  <si>
    <t>Konrad, W; Katul, G; Roth-Nebelsick, A; Grein, M; 2017, A reduced order model to analytically infer atmospheric CO2 concentration from stomatal and climate data,Advances in Water Resources, ,104,145-157</t>
  </si>
  <si>
    <t>Sample name (a)</t>
  </si>
  <si>
    <t>Number of counts (a)</t>
  </si>
  <si>
    <t xml:space="preserve">Stomatal density SD [1/mm2] </t>
  </si>
  <si>
    <t>2s uncertainty</t>
  </si>
  <si>
    <t>Thickness of assimilating tissue  [µm] own measurements or estimation from literature (b)</t>
  </si>
  <si>
    <t>if own measurements: 2s uncertainty</t>
  </si>
  <si>
    <t>Porosity of leaf tissue (b) [-]</t>
  </si>
  <si>
    <t>Tortuosity of leaf tissue (b) [-]</t>
  </si>
  <si>
    <t xml:space="preserve"> d13C atmosphere calculated from marine carbonates [‰]</t>
  </si>
  <si>
    <t xml:space="preserve"> Reference for d13C atmosphere calculated from marine carbonates</t>
  </si>
  <si>
    <t>d13C plant material [‰]</t>
  </si>
  <si>
    <t>Ci/Ca from d13C [-]</t>
  </si>
  <si>
    <t>Mean q (=Vcmax) [µmol*m-2*s-1] range of values as derived from literature (b)</t>
  </si>
  <si>
    <t>Rd25 [µmol*m-2*s-1] as derived from literature (b)</t>
  </si>
  <si>
    <t>CO2 mean from resulting CO2  [ppm]</t>
  </si>
  <si>
    <t xml:space="preserve">10.1016/j.palaeo.2016.09.015 </t>
  </si>
  <si>
    <t xml:space="preserve">Institute of PalaeontologyandStratigraphy(LDGSW)ofLanzhouUniversity, China </t>
  </si>
  <si>
    <t>Guangxi, China</t>
  </si>
  <si>
    <t>Oligocene</t>
  </si>
  <si>
    <t>Ningming Formation</t>
  </si>
  <si>
    <t xml:space="preserve">Buxus </t>
  </si>
  <si>
    <t xml:space="preserve">ningmingensis </t>
  </si>
  <si>
    <t>0.015*q</t>
  </si>
  <si>
    <t>coexistence approach</t>
  </si>
  <si>
    <t xml:space="preserve">Utescher, T., Bruch, A.A., Erdei, B., François, L., Ivanov, D., Jacques, F.M.B., Kern, A.K., Liu, Utescher, T., Bruch, A.A., Erdei, B., François, L., Ivanov, D., Jacques, F.M.B., Kern, A.K., Liu ,Y.S.(.C.)., Mosbrugger, V., Spicer, R.A., 2014. The Coexistence Approach − theoretical background and practical considerations of using plant fossils for climate quantificasils for climate  quantification. Palaeogeogr. Palaeoclimatol. Palaeoecol. 410, 58–73.
</t>
  </si>
  <si>
    <t>Cephalotaxus</t>
  </si>
  <si>
    <t>Chuniophoenix</t>
  </si>
  <si>
    <t>slenderifolius</t>
  </si>
  <si>
    <t>stomata-konrad-ROM</t>
  </si>
  <si>
    <t>Sun</t>
  </si>
  <si>
    <t>Sun, B.-N., Wang, Q.-J., Konrad, W., Ma, F.-J., Dong, J.-L., and Wang, Z.-X., 2017, Reconstruction of atmospheric CO2 during the Oligocene based on leaf fossils from the Ningming Formation in Guangxi, China: Palaeogeography, Palaeoclimatology, Palaeoecology, v. 467, p. 5-15.</t>
  </si>
  <si>
    <t>CO2_ppm</t>
  </si>
  <si>
    <t>CO2_uncertainty_pos_ppm</t>
  </si>
  <si>
    <t>CO2 data as originally published (TRUE or FALSE)</t>
  </si>
  <si>
    <t>CO2 data superseded by (please list doi if TRUE, otherwise FALSE)</t>
  </si>
  <si>
    <t>CO2 recalculated by paleo-CO2.org (TRUE or FALSE)</t>
  </si>
  <si>
    <t>specify reason for CO2 revision</t>
  </si>
  <si>
    <t>age data as originally published (TRUE or FALSE)</t>
  </si>
  <si>
    <t>age data quarantined (TRUE of FALSE)</t>
  </si>
  <si>
    <t>age data superseded by (please list doi if TRUE, otherwise FALSE)</t>
  </si>
  <si>
    <t>age recalculated by paleo-CO2.org (TRUE or FALSE)</t>
  </si>
  <si>
    <t>NA</t>
  </si>
  <si>
    <t>Modern Latitude (decimal degree, south negative)</t>
  </si>
  <si>
    <t>Modern Longitude (decimal degree, west negative)</t>
  </si>
  <si>
    <t>CO2_uncertainty_neg_ppm</t>
  </si>
  <si>
    <t>Paleo Latitude (decimal degree, south negative)</t>
  </si>
  <si>
    <t>Paleo Longitude (decimal degree, west negative)</t>
  </si>
  <si>
    <t>palynostratigraphy and lithostratigraphy (Oligocene)</t>
  </si>
  <si>
    <t>GTS2020</t>
  </si>
  <si>
    <t>Biostratigraphy updated to GTS2020</t>
  </si>
  <si>
    <t>This is a new CO2 estimate based on combining the published estimates for the three species; the uncertainties span the 2.5 to 97.5 percentiles of the simulations, where the mean of each set of three resamples was first computed</t>
  </si>
  <si>
    <t>CO2 was estimated independently from three species; to avoid pseudo-replication, only the combined CO2 estimate is retained</t>
  </si>
  <si>
    <t>proxy category: enter (1) if  data are of high quality and uncertainty estimation is fully developed, (2) if data are of high quality but uncertainty estimation is not yet fully constrained, or (3) if data collection method is outdated and/or uncertainty estimation is not fully quantifiable</t>
  </si>
  <si>
    <t>specify reason for choice of category</t>
  </si>
  <si>
    <t>all known sources of error have been quantified and/or sensitivity of the CO2 estimate to those sources is small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</si>
</sst>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2"/>
      <color theme="1"/>
      <name val="Calibri"/>
      <family val="2"/>
      <scheme val="minor"/>
    </font>
    <font>
      <b/>
      <sz val="12"/>
      <color theme="1"/>
      <name val="Calibri"/>
      <family val="2"/>
      <scheme val="minor"/>
    </font>
    <font>
      <b/>
      <sz val="12"/>
      <color theme="1"/>
      <name val="Verdana"/>
      <family val="2"/>
    </font>
    <font>
      <vertAlign val="superscript"/>
      <sz val="12"/>
      <color theme="1"/>
      <name val="Calibri"/>
      <family val="2"/>
      <scheme val="minor"/>
    </font>
    <font>
      <sz val="14"/>
      <name val="Calibri"/>
      <family val="2"/>
      <scheme val="minor"/>
    </font>
    <font>
      <sz val="12"/>
      <color theme="1"/>
      <name val="Verdana"/>
      <family val="2"/>
    </font>
    <font>
      <sz val="11"/>
      <name val="Calibri"/>
      <family val="2"/>
      <scheme val="minor"/>
    </font>
    <font>
      <sz val="11"/>
      <color rgb="FF000000"/>
      <name val="Calibri"/>
      <family val="2"/>
      <charset val="1"/>
    </font>
    <font>
      <sz val="11"/>
      <color rgb="FF000000"/>
      <name val="Calibri"/>
      <family val="2"/>
      <scheme val="minor"/>
    </font>
    <font>
      <sz val="12"/>
      <color rgb="FF000000"/>
      <name val="Calibri"/>
      <family val="2"/>
      <scheme val="minor"/>
    </font>
    <font>
      <sz val="11"/>
      <name val="Calibri"/>
      <family val="2"/>
    </font>
    <font>
      <sz val="11"/>
      <color rgb="FF000000"/>
      <name val="Calibri"/>
      <family val="2"/>
    </font>
    <font>
      <b/>
      <sz val="12"/>
      <name val="Calibri"/>
      <family val="2"/>
      <scheme val="minor"/>
    </font>
    <font>
      <sz val="13"/>
      <color rgb="FF000000"/>
      <name val="Helvetica"/>
      <family val="2"/>
    </font>
  </fonts>
  <fills count="11">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9" tint="0.39997558519241921"/>
        <bgColor indexed="64"/>
      </patternFill>
    </fill>
    <fill>
      <patternFill patternType="solid">
        <fgColor theme="8"/>
        <bgColor indexed="64"/>
      </patternFill>
    </fill>
    <fill>
      <patternFill patternType="solid">
        <fgColor theme="2" tint="-0.249977111117893"/>
        <bgColor indexed="64"/>
      </patternFill>
    </fill>
    <fill>
      <patternFill patternType="solid">
        <fgColor theme="8" tint="0.59999389629810485"/>
        <bgColor indexed="64"/>
      </patternFill>
    </fill>
    <fill>
      <patternFill patternType="solid">
        <fgColor rgb="FF996633"/>
        <bgColor indexed="64"/>
      </patternFill>
    </fill>
    <fill>
      <patternFill patternType="solid">
        <fgColor rgb="FF00B050"/>
        <bgColor indexed="64"/>
      </patternFill>
    </fill>
    <fill>
      <patternFill patternType="solid">
        <fgColor theme="7" tint="0.39997558519241921"/>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indexed="64"/>
      </left>
      <right/>
      <top style="thin">
        <color indexed="64"/>
      </top>
      <bottom style="thin">
        <color indexed="64"/>
      </bottom>
      <diagonal/>
    </border>
    <border>
      <left/>
      <right/>
      <top style="thin">
        <color auto="1"/>
      </top>
      <bottom style="thin">
        <color auto="1"/>
      </bottom>
      <diagonal/>
    </border>
    <border>
      <left/>
      <right style="thin">
        <color auto="1"/>
      </right>
      <top style="thin">
        <color auto="1"/>
      </top>
      <bottom style="thin">
        <color auto="1"/>
      </bottom>
      <diagonal/>
    </border>
  </borders>
  <cellStyleXfs count="3">
    <xf numFmtId="0" fontId="0" fillId="0" borderId="0"/>
    <xf numFmtId="0" fontId="11" fillId="0" borderId="0"/>
    <xf numFmtId="0" fontId="4" fillId="0" borderId="0"/>
  </cellStyleXfs>
  <cellXfs count="49">
    <xf numFmtId="0" fontId="0" fillId="0" borderId="0" xfId="0"/>
    <xf numFmtId="0" fontId="6" fillId="0" borderId="0" xfId="0" applyFont="1"/>
    <xf numFmtId="0" fontId="8" fillId="0" borderId="0" xfId="0" applyFont="1"/>
    <xf numFmtId="0" fontId="5" fillId="0" borderId="1" xfId="0" applyFont="1" applyBorder="1" applyAlignment="1">
      <alignment vertical="top"/>
    </xf>
    <xf numFmtId="0" fontId="5" fillId="0" borderId="1" xfId="0" applyFont="1" applyBorder="1" applyAlignment="1">
      <alignment vertical="top" wrapText="1"/>
    </xf>
    <xf numFmtId="0" fontId="5" fillId="0" borderId="0" xfId="0" applyFont="1" applyAlignment="1">
      <alignment vertical="top"/>
    </xf>
    <xf numFmtId="0" fontId="9" fillId="2" borderId="1" xfId="0" applyFont="1" applyFill="1" applyBorder="1" applyAlignment="1">
      <alignment horizontal="center" vertical="top" wrapText="1"/>
    </xf>
    <xf numFmtId="0" fontId="0" fillId="3" borderId="1" xfId="0" applyFont="1" applyFill="1" applyBorder="1" applyAlignment="1">
      <alignment vertical="top" wrapText="1"/>
    </xf>
    <xf numFmtId="0" fontId="0" fillId="3" borderId="1" xfId="0" applyFill="1" applyBorder="1" applyAlignment="1">
      <alignment vertical="top"/>
    </xf>
    <xf numFmtId="0" fontId="10" fillId="3" borderId="1" xfId="0" applyFont="1" applyFill="1" applyBorder="1" applyAlignment="1">
      <alignment horizontal="center" vertical="top" wrapText="1"/>
    </xf>
    <xf numFmtId="0" fontId="0" fillId="4" borderId="1" xfId="0" applyFont="1" applyFill="1" applyBorder="1" applyAlignment="1">
      <alignment vertical="top" wrapText="1"/>
    </xf>
    <xf numFmtId="0" fontId="0" fillId="5" borderId="1" xfId="0" applyFont="1" applyFill="1" applyBorder="1" applyAlignment="1">
      <alignment vertical="top" wrapText="1"/>
    </xf>
    <xf numFmtId="0" fontId="10" fillId="6" borderId="1" xfId="0" applyFont="1" applyFill="1" applyBorder="1" applyAlignment="1">
      <alignment horizontal="center" vertical="top" wrapText="1"/>
    </xf>
    <xf numFmtId="0" fontId="10" fillId="6" borderId="1" xfId="0" applyFont="1" applyFill="1" applyBorder="1" applyAlignment="1">
      <alignment horizontal="left" vertical="top" wrapText="1"/>
    </xf>
    <xf numFmtId="0" fontId="12" fillId="7" borderId="1" xfId="1" applyFont="1" applyFill="1" applyBorder="1" applyAlignment="1">
      <alignment vertical="top" wrapText="1"/>
    </xf>
    <xf numFmtId="0" fontId="12" fillId="8" borderId="1" xfId="1" applyFont="1" applyFill="1" applyBorder="1" applyAlignment="1">
      <alignment vertical="top" wrapText="1"/>
    </xf>
    <xf numFmtId="0" fontId="12" fillId="9" borderId="1" xfId="1" applyFont="1" applyFill="1" applyBorder="1" applyAlignment="1">
      <alignment vertical="top" wrapText="1"/>
    </xf>
    <xf numFmtId="0" fontId="12" fillId="10" borderId="1" xfId="1" applyFont="1" applyFill="1" applyBorder="1" applyAlignment="1">
      <alignment vertical="top" wrapText="1"/>
    </xf>
    <xf numFmtId="0" fontId="0" fillId="0" borderId="0" xfId="0" applyAlignment="1"/>
    <xf numFmtId="0" fontId="12" fillId="0" borderId="0" xfId="1" applyFont="1" applyBorder="1" applyAlignment="1"/>
    <xf numFmtId="0" fontId="0" fillId="0" borderId="0" xfId="0" applyNumberFormat="1"/>
    <xf numFmtId="0" fontId="13" fillId="0" borderId="2" xfId="0" applyFont="1" applyBorder="1" applyAlignment="1">
      <alignment wrapText="1"/>
    </xf>
    <xf numFmtId="0" fontId="13" fillId="0" borderId="3" xfId="0" applyFont="1" applyBorder="1" applyAlignment="1">
      <alignment wrapText="1"/>
    </xf>
    <xf numFmtId="0" fontId="13" fillId="0" borderId="3" xfId="0" applyFont="1" applyBorder="1"/>
    <xf numFmtId="0" fontId="0" fillId="0" borderId="3" xfId="0" applyFont="1" applyBorder="1" applyAlignment="1">
      <alignment wrapText="1"/>
    </xf>
    <xf numFmtId="0" fontId="0" fillId="0" borderId="3" xfId="0" applyFont="1" applyBorder="1"/>
    <xf numFmtId="0" fontId="0" fillId="0" borderId="3" xfId="0" quotePrefix="1" applyFont="1" applyBorder="1" applyAlignment="1">
      <alignment wrapText="1"/>
    </xf>
    <xf numFmtId="0" fontId="0" fillId="0" borderId="4" xfId="0" quotePrefix="1" applyFont="1" applyBorder="1" applyAlignment="1">
      <alignment wrapText="1"/>
    </xf>
    <xf numFmtId="0" fontId="0" fillId="0" borderId="3" xfId="0" applyFont="1" applyFill="1" applyBorder="1" applyAlignment="1">
      <alignment wrapText="1"/>
    </xf>
    <xf numFmtId="0" fontId="0" fillId="0" borderId="4" xfId="0" applyFont="1" applyFill="1" applyBorder="1" applyAlignment="1">
      <alignment wrapText="1"/>
    </xf>
    <xf numFmtId="0" fontId="0" fillId="0" borderId="1" xfId="0" applyFont="1" applyFill="1" applyBorder="1" applyAlignment="1">
      <alignment wrapText="1"/>
    </xf>
    <xf numFmtId="0" fontId="0" fillId="0" borderId="2" xfId="0" applyFont="1" applyFill="1" applyBorder="1" applyAlignment="1">
      <alignment wrapText="1"/>
    </xf>
    <xf numFmtId="0" fontId="13" fillId="0" borderId="4" xfId="0" applyFont="1" applyBorder="1" applyAlignment="1">
      <alignment wrapText="1"/>
    </xf>
    <xf numFmtId="0" fontId="13" fillId="0" borderId="1" xfId="0" applyFont="1" applyBorder="1" applyAlignment="1">
      <alignment wrapText="1"/>
    </xf>
    <xf numFmtId="0" fontId="3" fillId="0" borderId="0" xfId="0" applyFont="1"/>
    <xf numFmtId="0" fontId="3" fillId="0" borderId="0" xfId="0" applyFont="1" applyAlignment="1"/>
    <xf numFmtId="2" fontId="3" fillId="0" borderId="0" xfId="0" applyNumberFormat="1" applyFont="1" applyAlignment="1"/>
    <xf numFmtId="0" fontId="14" fillId="0" borderId="0" xfId="0" applyFont="1" applyAlignment="1"/>
    <xf numFmtId="0" fontId="15" fillId="0" borderId="0" xfId="0" applyFont="1" applyAlignment="1"/>
    <xf numFmtId="0" fontId="3" fillId="0" borderId="0" xfId="0" applyFont="1" applyFill="1" applyBorder="1" applyAlignment="1"/>
    <xf numFmtId="0" fontId="2" fillId="0" borderId="0" xfId="0" applyFont="1"/>
    <xf numFmtId="0" fontId="2" fillId="0" borderId="0" xfId="0" applyFont="1" applyAlignment="1">
      <alignment vertical="center"/>
    </xf>
    <xf numFmtId="0" fontId="16" fillId="4" borderId="1" xfId="0" applyFont="1" applyFill="1" applyBorder="1" applyAlignment="1">
      <alignment horizontal="center" vertical="top" wrapText="1"/>
    </xf>
    <xf numFmtId="0" fontId="1" fillId="0" borderId="0" xfId="0" applyFont="1"/>
    <xf numFmtId="1" fontId="1" fillId="0" borderId="0" xfId="0" applyNumberFormat="1" applyFont="1"/>
    <xf numFmtId="1" fontId="12" fillId="0" borderId="0" xfId="1" applyNumberFormat="1" applyFont="1" applyBorder="1" applyAlignment="1"/>
    <xf numFmtId="0" fontId="1" fillId="0" borderId="0" xfId="0" applyFont="1" applyAlignment="1"/>
    <xf numFmtId="0" fontId="0" fillId="0" borderId="3" xfId="0" applyBorder="1" applyAlignment="1">
      <alignment wrapText="1"/>
    </xf>
    <xf numFmtId="0" fontId="17" fillId="0" borderId="0" xfId="0" applyFont="1"/>
  </cellXfs>
  <cellStyles count="3">
    <cellStyle name="Normal" xfId="0" builtinId="0"/>
    <cellStyle name="Normal 3" xfId="1" xr:uid="{00000000-0005-0000-0000-000001000000}"/>
    <cellStyle name="Normal 4" xfId="2" xr:uid="{00000000-0005-0000-0000-00000200000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CG7"/>
  <sheetViews>
    <sheetView tabSelected="1" topLeftCell="F1" workbookViewId="0">
      <selection activeCell="O7" sqref="O7"/>
    </sheetView>
  </sheetViews>
  <sheetFormatPr baseColWidth="10" defaultColWidth="11" defaultRowHeight="16" x14ac:dyDescent="0.2"/>
  <cols>
    <col min="3" max="3" width="17.6640625" bestFit="1" customWidth="1"/>
    <col min="37" max="40" width="11" style="20"/>
  </cols>
  <sheetData>
    <row r="2" spans="1:85" s="5" customFormat="1" x14ac:dyDescent="0.2">
      <c r="Y2" s="3"/>
      <c r="Z2" s="3"/>
      <c r="AA2" s="3" t="s">
        <v>7</v>
      </c>
      <c r="AB2" s="3"/>
      <c r="AC2" s="3"/>
      <c r="AD2" s="3"/>
      <c r="AE2" s="3"/>
      <c r="AF2" s="3" t="s">
        <v>8</v>
      </c>
      <c r="AG2" s="3"/>
      <c r="AH2" s="3"/>
      <c r="AI2" s="3"/>
      <c r="AJ2" s="3"/>
      <c r="AK2" s="3"/>
      <c r="AL2" s="3"/>
      <c r="AM2" s="3"/>
      <c r="AN2" s="3"/>
      <c r="AO2" s="3" t="s">
        <v>9</v>
      </c>
      <c r="AP2" s="3"/>
      <c r="AQ2" s="3"/>
      <c r="AR2" s="3" t="s">
        <v>10</v>
      </c>
      <c r="AS2" s="3"/>
      <c r="AT2" s="4"/>
      <c r="AU2" s="3" t="s">
        <v>11</v>
      </c>
      <c r="AV2" s="3"/>
      <c r="AW2" s="3"/>
      <c r="AX2" s="3"/>
      <c r="AY2" s="3"/>
      <c r="AZ2" s="3"/>
      <c r="BA2" s="3"/>
      <c r="BB2" s="3"/>
      <c r="BC2" s="3"/>
      <c r="BD2" s="3"/>
      <c r="BE2" s="3"/>
      <c r="BF2" s="3"/>
      <c r="BG2" s="3"/>
      <c r="BH2" s="3"/>
      <c r="BI2" s="3"/>
      <c r="BJ2" s="3"/>
      <c r="BK2" s="3" t="s">
        <v>12</v>
      </c>
      <c r="BL2" s="3"/>
      <c r="BM2" s="3"/>
      <c r="BN2" s="3"/>
      <c r="BO2" s="3"/>
      <c r="BP2" s="3"/>
      <c r="BQ2" s="3" t="s">
        <v>13</v>
      </c>
      <c r="BR2" s="3"/>
      <c r="BS2" s="3"/>
      <c r="BT2" s="3"/>
      <c r="BU2" s="3"/>
      <c r="BV2" s="3"/>
      <c r="BW2" s="3" t="s">
        <v>14</v>
      </c>
      <c r="BX2" s="3"/>
      <c r="BY2" s="3"/>
      <c r="BZ2" s="3"/>
      <c r="CA2" s="3"/>
      <c r="CB2" s="3"/>
      <c r="CC2" s="3"/>
      <c r="CD2" s="3"/>
      <c r="CE2" s="3" t="s">
        <v>15</v>
      </c>
      <c r="CF2" s="3"/>
      <c r="CG2" s="3"/>
    </row>
    <row r="3" spans="1:85" ht="409.6" x14ac:dyDescent="0.2">
      <c r="A3" s="21" t="s">
        <v>74</v>
      </c>
      <c r="B3" s="22" t="s">
        <v>75</v>
      </c>
      <c r="C3" s="23" t="s">
        <v>67</v>
      </c>
      <c r="D3" s="24" t="s">
        <v>68</v>
      </c>
      <c r="E3" s="24" t="s">
        <v>69</v>
      </c>
      <c r="F3" s="25" t="s">
        <v>70</v>
      </c>
      <c r="G3" s="25" t="s">
        <v>71</v>
      </c>
      <c r="H3" s="26" t="s">
        <v>72</v>
      </c>
      <c r="I3" s="26" t="s">
        <v>73</v>
      </c>
      <c r="J3" s="24" t="s">
        <v>113</v>
      </c>
      <c r="K3" s="26" t="s">
        <v>114</v>
      </c>
      <c r="L3" s="27" t="s">
        <v>126</v>
      </c>
      <c r="M3" s="28" t="s">
        <v>115</v>
      </c>
      <c r="N3" s="47" t="s">
        <v>134</v>
      </c>
      <c r="O3" s="47" t="s">
        <v>135</v>
      </c>
      <c r="P3" s="28" t="s">
        <v>116</v>
      </c>
      <c r="Q3" s="29" t="s">
        <v>117</v>
      </c>
      <c r="R3" s="30" t="s">
        <v>118</v>
      </c>
      <c r="S3" s="31" t="s">
        <v>119</v>
      </c>
      <c r="T3" s="28" t="s">
        <v>120</v>
      </c>
      <c r="U3" s="28" t="s">
        <v>79</v>
      </c>
      <c r="V3" s="28" t="s">
        <v>121</v>
      </c>
      <c r="W3" s="32" t="s">
        <v>122</v>
      </c>
      <c r="X3" s="33" t="s">
        <v>76</v>
      </c>
      <c r="Y3" s="6" t="s">
        <v>16</v>
      </c>
      <c r="Z3" s="6" t="s">
        <v>17</v>
      </c>
      <c r="AA3" s="7" t="s">
        <v>82</v>
      </c>
      <c r="AB3" s="7" t="s">
        <v>18</v>
      </c>
      <c r="AC3" s="8" t="s">
        <v>19</v>
      </c>
      <c r="AD3" s="7" t="s">
        <v>20</v>
      </c>
      <c r="AE3" s="9" t="s">
        <v>21</v>
      </c>
      <c r="AF3" s="10" t="s">
        <v>22</v>
      </c>
      <c r="AG3" s="10" t="s">
        <v>23</v>
      </c>
      <c r="AH3" s="10" t="s">
        <v>24</v>
      </c>
      <c r="AI3" s="10" t="s">
        <v>25</v>
      </c>
      <c r="AJ3" s="10" t="s">
        <v>26</v>
      </c>
      <c r="AK3" s="10" t="s">
        <v>124</v>
      </c>
      <c r="AL3" s="10" t="s">
        <v>125</v>
      </c>
      <c r="AM3" s="42" t="s">
        <v>127</v>
      </c>
      <c r="AN3" s="42" t="s">
        <v>128</v>
      </c>
      <c r="AO3" s="11" t="s">
        <v>27</v>
      </c>
      <c r="AP3" s="11" t="s">
        <v>28</v>
      </c>
      <c r="AQ3" s="11" t="s">
        <v>29</v>
      </c>
      <c r="AR3" s="12" t="s">
        <v>30</v>
      </c>
      <c r="AS3" s="12" t="s">
        <v>31</v>
      </c>
      <c r="AT3" s="13" t="s">
        <v>83</v>
      </c>
      <c r="AU3" s="14" t="s">
        <v>84</v>
      </c>
      <c r="AV3" s="14" t="s">
        <v>85</v>
      </c>
      <c r="AW3" s="14" t="s">
        <v>32</v>
      </c>
      <c r="AX3" s="14" t="s">
        <v>85</v>
      </c>
      <c r="AY3" s="14" t="s">
        <v>33</v>
      </c>
      <c r="AZ3" s="14" t="s">
        <v>85</v>
      </c>
      <c r="BA3" s="14" t="s">
        <v>34</v>
      </c>
      <c r="BB3" s="14" t="s">
        <v>85</v>
      </c>
      <c r="BC3" s="14" t="s">
        <v>86</v>
      </c>
      <c r="BD3" s="14" t="s">
        <v>87</v>
      </c>
      <c r="BE3" s="14" t="s">
        <v>35</v>
      </c>
      <c r="BF3" s="14" t="s">
        <v>88</v>
      </c>
      <c r="BG3" s="14" t="s">
        <v>36</v>
      </c>
      <c r="BH3" s="14" t="s">
        <v>89</v>
      </c>
      <c r="BI3" s="14" t="s">
        <v>37</v>
      </c>
      <c r="BJ3" s="14" t="s">
        <v>38</v>
      </c>
      <c r="BK3" s="15" t="s">
        <v>90</v>
      </c>
      <c r="BL3" s="15" t="s">
        <v>91</v>
      </c>
      <c r="BM3" s="15" t="s">
        <v>92</v>
      </c>
      <c r="BN3" s="15" t="s">
        <v>85</v>
      </c>
      <c r="BO3" s="15" t="s">
        <v>93</v>
      </c>
      <c r="BP3" s="15" t="s">
        <v>85</v>
      </c>
      <c r="BQ3" s="16" t="s">
        <v>94</v>
      </c>
      <c r="BR3" s="16" t="s">
        <v>39</v>
      </c>
      <c r="BS3" s="16" t="s">
        <v>40</v>
      </c>
      <c r="BT3" s="16" t="s">
        <v>41</v>
      </c>
      <c r="BU3" s="16" t="s">
        <v>95</v>
      </c>
      <c r="BV3" s="16" t="s">
        <v>42</v>
      </c>
      <c r="BW3" s="17" t="s">
        <v>43</v>
      </c>
      <c r="BX3" s="17" t="s">
        <v>44</v>
      </c>
      <c r="BY3" s="17" t="s">
        <v>45</v>
      </c>
      <c r="BZ3" s="17" t="s">
        <v>46</v>
      </c>
      <c r="CA3" s="17" t="s">
        <v>47</v>
      </c>
      <c r="CB3" s="17" t="s">
        <v>48</v>
      </c>
      <c r="CC3" s="17" t="s">
        <v>49</v>
      </c>
      <c r="CD3" s="17" t="s">
        <v>50</v>
      </c>
      <c r="CE3" s="17" t="s">
        <v>96</v>
      </c>
      <c r="CF3" s="17" t="s">
        <v>51</v>
      </c>
      <c r="CG3" s="17" t="s">
        <v>52</v>
      </c>
    </row>
    <row r="4" spans="1:85" s="35" customFormat="1" ht="15" x14ac:dyDescent="0.2">
      <c r="A4" s="34" t="s">
        <v>78</v>
      </c>
      <c r="B4" s="34" t="s">
        <v>77</v>
      </c>
      <c r="C4" s="34" t="s">
        <v>110</v>
      </c>
      <c r="D4" s="34" t="s">
        <v>111</v>
      </c>
      <c r="E4" s="34">
        <v>2017</v>
      </c>
      <c r="F4" s="43" t="str">
        <f>Z4</f>
        <v xml:space="preserve">10.1016/j.palaeo.2016.09.015 </v>
      </c>
      <c r="G4" s="43">
        <f>AF4*1000</f>
        <v>28500</v>
      </c>
      <c r="H4" s="43">
        <f>(AG4-AF4)*1000</f>
        <v>5399.9999999999982</v>
      </c>
      <c r="I4" s="43">
        <f>(AF4-AH4)*1000</f>
        <v>5460.0000000000009</v>
      </c>
      <c r="J4" s="44">
        <f>CE4</f>
        <v>439</v>
      </c>
      <c r="K4" s="44">
        <f>CG4-CE4</f>
        <v>533</v>
      </c>
      <c r="L4" s="44">
        <f>CE4-CF4</f>
        <v>176</v>
      </c>
      <c r="M4" s="34" t="b">
        <v>1</v>
      </c>
      <c r="N4" s="34">
        <v>3</v>
      </c>
      <c r="O4" s="43" t="s">
        <v>133</v>
      </c>
      <c r="P4" s="40" t="s">
        <v>123</v>
      </c>
      <c r="Q4" s="34" t="b">
        <v>0</v>
      </c>
      <c r="R4" s="40" t="s">
        <v>123</v>
      </c>
      <c r="S4" s="34" t="b">
        <v>0</v>
      </c>
      <c r="T4" s="34" t="b">
        <v>0</v>
      </c>
      <c r="U4" s="40" t="s">
        <v>123</v>
      </c>
      <c r="V4" s="40" t="s">
        <v>123</v>
      </c>
      <c r="W4" s="34" t="b">
        <v>1</v>
      </c>
      <c r="X4" s="43" t="s">
        <v>131</v>
      </c>
      <c r="Y4" s="35" t="s">
        <v>112</v>
      </c>
      <c r="Z4" s="37" t="s">
        <v>97</v>
      </c>
      <c r="AA4" s="40" t="s">
        <v>123</v>
      </c>
      <c r="AB4" s="19" t="s">
        <v>98</v>
      </c>
      <c r="AC4" s="35" t="s">
        <v>99</v>
      </c>
      <c r="AD4" s="19" t="s">
        <v>100</v>
      </c>
      <c r="AE4" s="19" t="s">
        <v>101</v>
      </c>
      <c r="AF4" s="35">
        <v>28.5</v>
      </c>
      <c r="AG4" s="35">
        <v>33.9</v>
      </c>
      <c r="AH4" s="35">
        <v>23.04</v>
      </c>
      <c r="AI4" s="19" t="s">
        <v>130</v>
      </c>
      <c r="AJ4" s="38" t="s">
        <v>129</v>
      </c>
      <c r="AK4" s="35">
        <f>22+9/60</f>
        <v>22.15</v>
      </c>
      <c r="AL4" s="36">
        <f>107+1/60</f>
        <v>107.01666666666667</v>
      </c>
      <c r="AM4" s="40" t="s">
        <v>123</v>
      </c>
      <c r="AN4" s="40" t="s">
        <v>123</v>
      </c>
      <c r="AO4" s="40" t="s">
        <v>123</v>
      </c>
      <c r="AP4" s="35" t="s">
        <v>102</v>
      </c>
      <c r="AQ4" s="35" t="s">
        <v>103</v>
      </c>
      <c r="AR4" s="35" t="s">
        <v>53</v>
      </c>
      <c r="AS4" s="19">
        <v>30000</v>
      </c>
      <c r="AT4" s="38">
        <v>8</v>
      </c>
      <c r="AU4" s="35">
        <v>136</v>
      </c>
      <c r="AV4" s="19">
        <v>43</v>
      </c>
      <c r="AW4" s="35">
        <v>16.399999999999999</v>
      </c>
      <c r="AX4" s="19">
        <v>2.6</v>
      </c>
      <c r="AY4" s="35">
        <v>11.6</v>
      </c>
      <c r="AZ4" s="19">
        <v>2.4</v>
      </c>
      <c r="BA4" s="35">
        <f>AW4/2</f>
        <v>8.1999999999999993</v>
      </c>
      <c r="BB4" s="40" t="s">
        <v>123</v>
      </c>
      <c r="BC4" s="35">
        <v>118</v>
      </c>
      <c r="BD4" s="19">
        <v>10</v>
      </c>
      <c r="BE4" s="40" t="s">
        <v>123</v>
      </c>
      <c r="BF4" s="35">
        <v>0.33</v>
      </c>
      <c r="BG4" s="35" t="s">
        <v>80</v>
      </c>
      <c r="BH4" s="35">
        <v>1.57</v>
      </c>
      <c r="BI4" s="35" t="s">
        <v>80</v>
      </c>
      <c r="BJ4" s="19">
        <v>25</v>
      </c>
      <c r="BK4" s="19">
        <v>-6.2</v>
      </c>
      <c r="BL4" s="40" t="s">
        <v>123</v>
      </c>
      <c r="BM4" s="19">
        <v>-29</v>
      </c>
      <c r="BN4" s="19">
        <v>0.69</v>
      </c>
      <c r="BO4" s="35">
        <v>0.84</v>
      </c>
      <c r="BP4" s="19">
        <v>0.35</v>
      </c>
      <c r="BQ4" s="38">
        <v>16.29</v>
      </c>
      <c r="BR4" s="19">
        <v>15.26</v>
      </c>
      <c r="BS4" s="35">
        <v>17.309999999999999</v>
      </c>
      <c r="BT4" s="40" t="s">
        <v>123</v>
      </c>
      <c r="BU4" s="35" t="s">
        <v>104</v>
      </c>
      <c r="BV4" s="19" t="s">
        <v>81</v>
      </c>
      <c r="BW4" s="38" t="s">
        <v>105</v>
      </c>
      <c r="BX4" s="19" t="s">
        <v>106</v>
      </c>
      <c r="BY4" s="35">
        <v>20.7</v>
      </c>
      <c r="BZ4" s="35">
        <v>20.7</v>
      </c>
      <c r="CA4" s="35">
        <v>24.3</v>
      </c>
      <c r="CB4" s="35">
        <v>1</v>
      </c>
      <c r="CC4" s="40" t="s">
        <v>123</v>
      </c>
      <c r="CD4" s="40" t="s">
        <v>123</v>
      </c>
      <c r="CE4" s="35">
        <v>439</v>
      </c>
      <c r="CF4" s="35">
        <v>263</v>
      </c>
      <c r="CG4" s="35">
        <v>972</v>
      </c>
    </row>
    <row r="5" spans="1:85" s="35" customFormat="1" ht="15" x14ac:dyDescent="0.2">
      <c r="A5" s="34" t="s">
        <v>78</v>
      </c>
      <c r="B5" s="34" t="s">
        <v>77</v>
      </c>
      <c r="C5" s="34" t="s">
        <v>110</v>
      </c>
      <c r="D5" s="34" t="s">
        <v>111</v>
      </c>
      <c r="E5" s="34">
        <v>2017</v>
      </c>
      <c r="F5" s="43" t="str">
        <f t="shared" ref="F5:F6" si="0">Z5</f>
        <v xml:space="preserve">10.1016/j.palaeo.2016.09.015 </v>
      </c>
      <c r="G5" s="43">
        <f t="shared" ref="G5:G6" si="1">AF5*1000</f>
        <v>28500</v>
      </c>
      <c r="H5" s="43">
        <f t="shared" ref="H5:H6" si="2">(AG5-AF5)*1000</f>
        <v>5399.9999999999982</v>
      </c>
      <c r="I5" s="43">
        <f t="shared" ref="I5:I6" si="3">(AF5-AH5)*1000</f>
        <v>5460.0000000000009</v>
      </c>
      <c r="J5" s="44">
        <f t="shared" ref="J5:J6" si="4">CE5</f>
        <v>360</v>
      </c>
      <c r="K5" s="44">
        <f t="shared" ref="K5:K6" si="5">CG5-CE5</f>
        <v>236</v>
      </c>
      <c r="L5" s="44">
        <f t="shared" ref="L5:L6" si="6">CE5-CF5</f>
        <v>84</v>
      </c>
      <c r="M5" s="34" t="b">
        <v>1</v>
      </c>
      <c r="N5" s="34">
        <v>3</v>
      </c>
      <c r="O5" s="43" t="s">
        <v>133</v>
      </c>
      <c r="P5" s="40" t="s">
        <v>123</v>
      </c>
      <c r="Q5" s="34" t="b">
        <v>0</v>
      </c>
      <c r="R5" s="40" t="s">
        <v>123</v>
      </c>
      <c r="S5" s="34" t="b">
        <v>0</v>
      </c>
      <c r="T5" s="34" t="b">
        <v>0</v>
      </c>
      <c r="U5" s="40" t="s">
        <v>123</v>
      </c>
      <c r="V5" s="40" t="s">
        <v>123</v>
      </c>
      <c r="W5" s="34" t="b">
        <v>1</v>
      </c>
      <c r="X5" s="43" t="s">
        <v>131</v>
      </c>
      <c r="Y5" s="35" t="s">
        <v>112</v>
      </c>
      <c r="Z5" s="37" t="s">
        <v>97</v>
      </c>
      <c r="AA5" s="40" t="s">
        <v>123</v>
      </c>
      <c r="AB5" s="19" t="s">
        <v>98</v>
      </c>
      <c r="AC5" s="35" t="s">
        <v>99</v>
      </c>
      <c r="AD5" s="19" t="s">
        <v>100</v>
      </c>
      <c r="AE5" s="19" t="s">
        <v>101</v>
      </c>
      <c r="AF5" s="35">
        <v>28.5</v>
      </c>
      <c r="AG5" s="35">
        <v>33.9</v>
      </c>
      <c r="AH5" s="35">
        <v>23.04</v>
      </c>
      <c r="AI5" s="19" t="s">
        <v>130</v>
      </c>
      <c r="AJ5" s="38" t="s">
        <v>129</v>
      </c>
      <c r="AK5" s="35">
        <f>22+9/60</f>
        <v>22.15</v>
      </c>
      <c r="AL5" s="36">
        <f>107+1/60</f>
        <v>107.01666666666667</v>
      </c>
      <c r="AM5" s="40" t="s">
        <v>123</v>
      </c>
      <c r="AN5" s="40" t="s">
        <v>123</v>
      </c>
      <c r="AO5" s="40" t="s">
        <v>123</v>
      </c>
      <c r="AP5" s="35" t="s">
        <v>107</v>
      </c>
      <c r="AQ5" s="35" t="s">
        <v>103</v>
      </c>
      <c r="AR5" s="35" t="s">
        <v>53</v>
      </c>
      <c r="AS5" s="19">
        <v>30000</v>
      </c>
      <c r="AT5" s="38">
        <v>6</v>
      </c>
      <c r="AU5" s="39">
        <v>417</v>
      </c>
      <c r="AV5" s="19">
        <v>69</v>
      </c>
      <c r="AW5" s="35">
        <v>18.2</v>
      </c>
      <c r="AX5" s="19">
        <v>3.1</v>
      </c>
      <c r="AY5" s="35">
        <v>11.3</v>
      </c>
      <c r="AZ5" s="19">
        <v>2.5</v>
      </c>
      <c r="BA5" s="35">
        <f>AW5/2</f>
        <v>9.1</v>
      </c>
      <c r="BB5" s="40" t="s">
        <v>123</v>
      </c>
      <c r="BC5" s="35">
        <v>129</v>
      </c>
      <c r="BD5" s="19">
        <v>32</v>
      </c>
      <c r="BE5" s="40" t="s">
        <v>123</v>
      </c>
      <c r="BF5" s="35">
        <v>0.33</v>
      </c>
      <c r="BG5" s="38" t="s">
        <v>80</v>
      </c>
      <c r="BH5" s="35">
        <v>1.57</v>
      </c>
      <c r="BI5" s="35" t="s">
        <v>80</v>
      </c>
      <c r="BJ5" s="19">
        <v>14.5</v>
      </c>
      <c r="BK5" s="19">
        <v>-6.2</v>
      </c>
      <c r="BL5" s="40" t="s">
        <v>123</v>
      </c>
      <c r="BM5" s="19">
        <v>-28</v>
      </c>
      <c r="BN5" s="19">
        <v>0.56000000000000005</v>
      </c>
      <c r="BO5" s="35">
        <v>0.8</v>
      </c>
      <c r="BP5" s="19">
        <v>0.25</v>
      </c>
      <c r="BQ5" s="35">
        <v>28</v>
      </c>
      <c r="BR5" s="19">
        <v>27.48</v>
      </c>
      <c r="BS5" s="35">
        <v>28.51</v>
      </c>
      <c r="BT5" s="40" t="s">
        <v>123</v>
      </c>
      <c r="BU5" s="35" t="s">
        <v>104</v>
      </c>
      <c r="BV5" s="19" t="s">
        <v>81</v>
      </c>
      <c r="BW5" s="35" t="s">
        <v>105</v>
      </c>
      <c r="BX5" s="19" t="s">
        <v>106</v>
      </c>
      <c r="BY5" s="35">
        <v>20.7</v>
      </c>
      <c r="BZ5" s="35">
        <v>20.7</v>
      </c>
      <c r="CA5" s="35">
        <v>24.3</v>
      </c>
      <c r="CB5" s="35">
        <v>1</v>
      </c>
      <c r="CC5" s="40" t="s">
        <v>123</v>
      </c>
      <c r="CD5" s="40" t="s">
        <v>123</v>
      </c>
      <c r="CE5" s="35">
        <v>360</v>
      </c>
      <c r="CF5" s="35">
        <v>276</v>
      </c>
      <c r="CG5" s="35">
        <v>596</v>
      </c>
    </row>
    <row r="6" spans="1:85" s="35" customFormat="1" ht="15" x14ac:dyDescent="0.2">
      <c r="A6" s="34" t="s">
        <v>78</v>
      </c>
      <c r="B6" s="34" t="s">
        <v>77</v>
      </c>
      <c r="C6" s="34" t="s">
        <v>110</v>
      </c>
      <c r="D6" s="34" t="s">
        <v>111</v>
      </c>
      <c r="E6" s="34">
        <v>2017</v>
      </c>
      <c r="F6" s="43" t="str">
        <f t="shared" si="0"/>
        <v xml:space="preserve">10.1016/j.palaeo.2016.09.015 </v>
      </c>
      <c r="G6" s="43">
        <f t="shared" si="1"/>
        <v>28500</v>
      </c>
      <c r="H6" s="43">
        <f t="shared" si="2"/>
        <v>5399.9999999999982</v>
      </c>
      <c r="I6" s="43">
        <f t="shared" si="3"/>
        <v>5460.0000000000009</v>
      </c>
      <c r="J6" s="44">
        <f t="shared" si="4"/>
        <v>371</v>
      </c>
      <c r="K6" s="44">
        <f t="shared" si="5"/>
        <v>237</v>
      </c>
      <c r="L6" s="44">
        <f t="shared" si="6"/>
        <v>116</v>
      </c>
      <c r="M6" s="34" t="b">
        <v>1</v>
      </c>
      <c r="N6" s="34">
        <v>3</v>
      </c>
      <c r="O6" s="43" t="s">
        <v>133</v>
      </c>
      <c r="P6" s="40" t="s">
        <v>123</v>
      </c>
      <c r="Q6" s="34" t="b">
        <v>0</v>
      </c>
      <c r="R6" s="40" t="s">
        <v>123</v>
      </c>
      <c r="S6" s="34" t="b">
        <v>0</v>
      </c>
      <c r="T6" s="34" t="b">
        <v>0</v>
      </c>
      <c r="U6" s="40" t="s">
        <v>123</v>
      </c>
      <c r="V6" s="40" t="s">
        <v>123</v>
      </c>
      <c r="W6" s="34" t="b">
        <v>1</v>
      </c>
      <c r="X6" s="43" t="s">
        <v>131</v>
      </c>
      <c r="Y6" s="35" t="s">
        <v>112</v>
      </c>
      <c r="Z6" s="37" t="s">
        <v>97</v>
      </c>
      <c r="AA6" s="40" t="s">
        <v>123</v>
      </c>
      <c r="AB6" s="19" t="s">
        <v>98</v>
      </c>
      <c r="AC6" s="35" t="s">
        <v>99</v>
      </c>
      <c r="AD6" s="19" t="s">
        <v>100</v>
      </c>
      <c r="AE6" s="19" t="s">
        <v>101</v>
      </c>
      <c r="AF6" s="35">
        <v>28.5</v>
      </c>
      <c r="AG6" s="35">
        <v>33.9</v>
      </c>
      <c r="AH6" s="35">
        <v>23.04</v>
      </c>
      <c r="AI6" s="19" t="s">
        <v>130</v>
      </c>
      <c r="AJ6" s="38" t="s">
        <v>129</v>
      </c>
      <c r="AK6" s="35">
        <f>22+9/60</f>
        <v>22.15</v>
      </c>
      <c r="AL6" s="36">
        <f>107+1/60</f>
        <v>107.01666666666667</v>
      </c>
      <c r="AM6" s="40" t="s">
        <v>123</v>
      </c>
      <c r="AN6" s="40" t="s">
        <v>123</v>
      </c>
      <c r="AO6" s="40" t="s">
        <v>123</v>
      </c>
      <c r="AP6" s="35" t="s">
        <v>108</v>
      </c>
      <c r="AQ6" s="35" t="s">
        <v>109</v>
      </c>
      <c r="AR6" s="35" t="s">
        <v>53</v>
      </c>
      <c r="AS6" s="19">
        <v>30000</v>
      </c>
      <c r="AT6" s="38">
        <v>5</v>
      </c>
      <c r="AU6" s="39">
        <v>399</v>
      </c>
      <c r="AV6" s="19">
        <v>29</v>
      </c>
      <c r="AW6" s="35">
        <v>12.2</v>
      </c>
      <c r="AX6" s="19">
        <v>0.9</v>
      </c>
      <c r="AY6" s="35">
        <v>4.5</v>
      </c>
      <c r="AZ6" s="19">
        <v>0.7</v>
      </c>
      <c r="BA6" s="35">
        <f>AW6/2</f>
        <v>6.1</v>
      </c>
      <c r="BB6" s="40" t="s">
        <v>123</v>
      </c>
      <c r="BC6" s="35">
        <v>135</v>
      </c>
      <c r="BD6" s="19">
        <v>14</v>
      </c>
      <c r="BE6" s="40" t="s">
        <v>123</v>
      </c>
      <c r="BF6" s="35">
        <v>0.33</v>
      </c>
      <c r="BG6" s="35" t="s">
        <v>80</v>
      </c>
      <c r="BH6" s="35">
        <v>1.57</v>
      </c>
      <c r="BI6" s="35" t="s">
        <v>80</v>
      </c>
      <c r="BJ6" s="19">
        <v>50</v>
      </c>
      <c r="BK6" s="19">
        <v>-6.2</v>
      </c>
      <c r="BL6" s="40" t="s">
        <v>123</v>
      </c>
      <c r="BM6" s="19">
        <v>-28.3</v>
      </c>
      <c r="BN6" s="19">
        <v>0.44</v>
      </c>
      <c r="BO6" s="35">
        <v>0.81</v>
      </c>
      <c r="BP6" s="19">
        <v>0.15</v>
      </c>
      <c r="BQ6" s="35">
        <v>24.56</v>
      </c>
      <c r="BR6" s="19">
        <v>23.97</v>
      </c>
      <c r="BS6" s="35">
        <v>25.15</v>
      </c>
      <c r="BT6" s="40" t="s">
        <v>123</v>
      </c>
      <c r="BU6" s="35" t="s">
        <v>104</v>
      </c>
      <c r="BV6" s="19" t="s">
        <v>81</v>
      </c>
      <c r="BW6" s="35" t="s">
        <v>105</v>
      </c>
      <c r="BX6" s="19" t="s">
        <v>106</v>
      </c>
      <c r="BY6" s="35">
        <v>20.7</v>
      </c>
      <c r="BZ6" s="35">
        <v>20.7</v>
      </c>
      <c r="CA6" s="35">
        <v>24.3</v>
      </c>
      <c r="CB6" s="35">
        <v>1</v>
      </c>
      <c r="CC6" s="40" t="s">
        <v>123</v>
      </c>
      <c r="CD6" s="40" t="s">
        <v>123</v>
      </c>
      <c r="CE6" s="35">
        <v>371</v>
      </c>
      <c r="CF6" s="35">
        <v>255</v>
      </c>
      <c r="CG6" s="35">
        <v>608</v>
      </c>
    </row>
    <row r="7" spans="1:85" s="18" customFormat="1" ht="17" x14ac:dyDescent="0.2">
      <c r="A7" s="34" t="s">
        <v>78</v>
      </c>
      <c r="B7" s="34" t="s">
        <v>77</v>
      </c>
      <c r="C7" s="34" t="s">
        <v>110</v>
      </c>
      <c r="D7" s="34" t="s">
        <v>111</v>
      </c>
      <c r="E7" s="34">
        <v>2017</v>
      </c>
      <c r="F7" s="43" t="str">
        <f t="shared" ref="F7" si="7">Z7</f>
        <v xml:space="preserve">10.1016/j.palaeo.2016.09.015 </v>
      </c>
      <c r="G7" s="43">
        <f t="shared" ref="G7" si="8">AF7*1000</f>
        <v>28500</v>
      </c>
      <c r="H7" s="43">
        <f t="shared" ref="H7" si="9">(AG7-AF7)*1000</f>
        <v>5399.9999999999982</v>
      </c>
      <c r="I7" s="43">
        <f t="shared" ref="I7" si="10">(AF7-AH7)*1000</f>
        <v>5460.0000000000009</v>
      </c>
      <c r="J7" s="44">
        <f t="shared" ref="J7" si="11">CE7</f>
        <v>390</v>
      </c>
      <c r="K7" s="44">
        <f t="shared" ref="K7" si="12">CG7-CE7</f>
        <v>335.33333333333337</v>
      </c>
      <c r="L7" s="44">
        <f t="shared" ref="L7" si="13">CE7-CF7</f>
        <v>125.33333333333331</v>
      </c>
      <c r="M7" s="43" t="s">
        <v>123</v>
      </c>
      <c r="N7" s="43">
        <v>1</v>
      </c>
      <c r="O7" s="48" t="s">
        <v>136</v>
      </c>
      <c r="P7" s="43" t="s">
        <v>123</v>
      </c>
      <c r="Q7" s="46" t="b">
        <v>1</v>
      </c>
      <c r="R7" s="46" t="s">
        <v>132</v>
      </c>
      <c r="S7" s="34" t="b">
        <v>0</v>
      </c>
      <c r="T7" s="34" t="b">
        <v>0</v>
      </c>
      <c r="U7" s="40" t="s">
        <v>123</v>
      </c>
      <c r="V7" s="40" t="s">
        <v>123</v>
      </c>
      <c r="W7" s="34" t="b">
        <v>1</v>
      </c>
      <c r="X7" s="43" t="s">
        <v>131</v>
      </c>
      <c r="Y7" s="35" t="s">
        <v>112</v>
      </c>
      <c r="Z7" s="37" t="s">
        <v>97</v>
      </c>
      <c r="AA7" s="40" t="s">
        <v>123</v>
      </c>
      <c r="AB7" s="19" t="s">
        <v>98</v>
      </c>
      <c r="AC7" s="35" t="s">
        <v>99</v>
      </c>
      <c r="AD7" s="19" t="s">
        <v>100</v>
      </c>
      <c r="AE7" s="19" t="s">
        <v>101</v>
      </c>
      <c r="AF7" s="35">
        <v>28.5</v>
      </c>
      <c r="AG7" s="35">
        <v>33.9</v>
      </c>
      <c r="AH7" s="35">
        <v>23.04</v>
      </c>
      <c r="AI7" s="19" t="s">
        <v>130</v>
      </c>
      <c r="AJ7" s="38" t="s">
        <v>129</v>
      </c>
      <c r="AK7" s="35">
        <f>22+9/60</f>
        <v>22.15</v>
      </c>
      <c r="AL7" s="36">
        <f>107+1/60</f>
        <v>107.01666666666667</v>
      </c>
      <c r="AM7" s="40" t="s">
        <v>123</v>
      </c>
      <c r="AN7" s="40" t="s">
        <v>123</v>
      </c>
      <c r="AO7" s="40" t="s">
        <v>123</v>
      </c>
      <c r="AP7" s="40" t="s">
        <v>123</v>
      </c>
      <c r="AQ7" s="40" t="s">
        <v>123</v>
      </c>
      <c r="AR7" s="40" t="s">
        <v>123</v>
      </c>
      <c r="AS7" s="40" t="s">
        <v>123</v>
      </c>
      <c r="AT7" s="40" t="s">
        <v>123</v>
      </c>
      <c r="AU7" s="40" t="s">
        <v>123</v>
      </c>
      <c r="AV7" s="40" t="s">
        <v>123</v>
      </c>
      <c r="AW7" s="40" t="s">
        <v>123</v>
      </c>
      <c r="AX7" s="40" t="s">
        <v>123</v>
      </c>
      <c r="AY7" s="40" t="s">
        <v>123</v>
      </c>
      <c r="AZ7" s="40" t="s">
        <v>123</v>
      </c>
      <c r="BA7" s="40" t="s">
        <v>123</v>
      </c>
      <c r="BB7" s="40" t="s">
        <v>123</v>
      </c>
      <c r="BC7" s="40" t="s">
        <v>123</v>
      </c>
      <c r="BD7" s="40" t="s">
        <v>123</v>
      </c>
      <c r="BE7" s="40" t="s">
        <v>123</v>
      </c>
      <c r="BF7" s="40" t="s">
        <v>123</v>
      </c>
      <c r="BG7" s="40" t="s">
        <v>123</v>
      </c>
      <c r="BH7" s="40" t="s">
        <v>123</v>
      </c>
      <c r="BI7" s="40" t="s">
        <v>123</v>
      </c>
      <c r="BJ7" s="40" t="s">
        <v>123</v>
      </c>
      <c r="BK7" s="40" t="s">
        <v>123</v>
      </c>
      <c r="BL7" s="40" t="s">
        <v>123</v>
      </c>
      <c r="BM7" s="40" t="s">
        <v>123</v>
      </c>
      <c r="BN7" s="40" t="s">
        <v>123</v>
      </c>
      <c r="BO7" s="40" t="s">
        <v>123</v>
      </c>
      <c r="BP7" s="40" t="s">
        <v>123</v>
      </c>
      <c r="BQ7" s="40" t="s">
        <v>123</v>
      </c>
      <c r="BR7" s="40" t="s">
        <v>123</v>
      </c>
      <c r="BS7" s="40" t="s">
        <v>123</v>
      </c>
      <c r="BT7" s="40" t="s">
        <v>123</v>
      </c>
      <c r="BU7" s="40" t="s">
        <v>123</v>
      </c>
      <c r="BV7" s="40" t="s">
        <v>123</v>
      </c>
      <c r="BW7" s="40" t="s">
        <v>123</v>
      </c>
      <c r="BX7" s="40" t="s">
        <v>123</v>
      </c>
      <c r="BY7" s="40" t="s">
        <v>123</v>
      </c>
      <c r="BZ7" s="40" t="s">
        <v>123</v>
      </c>
      <c r="CA7" s="40" t="s">
        <v>123</v>
      </c>
      <c r="CB7" s="40" t="s">
        <v>123</v>
      </c>
      <c r="CC7" s="40" t="s">
        <v>123</v>
      </c>
      <c r="CD7" s="40" t="s">
        <v>123</v>
      </c>
      <c r="CE7" s="45">
        <f>AVERAGE(CE4:CE6)</f>
        <v>390</v>
      </c>
      <c r="CF7" s="45">
        <f t="shared" ref="CF7:CG7" si="14">AVERAGE(CF4:CF6)</f>
        <v>264.66666666666669</v>
      </c>
      <c r="CG7" s="45">
        <f t="shared" si="14"/>
        <v>725.33333333333337</v>
      </c>
    </row>
  </sheetData>
  <pageMargins left="0.7" right="0.7" top="0.75" bottom="0.75" header="0.3" footer="0.3"/>
  <pageSetup paperSize="9" orientation="portrait" horizontalDpi="429496729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2"/>
  <sheetViews>
    <sheetView workbookViewId="0">
      <selection sqref="A1:A24"/>
    </sheetView>
  </sheetViews>
  <sheetFormatPr baseColWidth="10" defaultColWidth="11" defaultRowHeight="16" x14ac:dyDescent="0.2"/>
  <sheetData>
    <row r="1" spans="1:1" x14ac:dyDescent="0.2">
      <c r="A1" s="1" t="s">
        <v>0</v>
      </c>
    </row>
    <row r="2" spans="1:1" x14ac:dyDescent="0.2">
      <c r="A2" t="s">
        <v>1</v>
      </c>
    </row>
    <row r="3" spans="1:1" ht="19" x14ac:dyDescent="0.2">
      <c r="A3" t="s">
        <v>2</v>
      </c>
    </row>
    <row r="4" spans="1:1" ht="19" x14ac:dyDescent="0.2">
      <c r="A4" t="s">
        <v>3</v>
      </c>
    </row>
    <row r="6" spans="1:1" ht="19" x14ac:dyDescent="0.25">
      <c r="A6" s="2" t="s">
        <v>4</v>
      </c>
    </row>
    <row r="7" spans="1:1" ht="19" x14ac:dyDescent="0.25">
      <c r="A7" s="2" t="s">
        <v>5</v>
      </c>
    </row>
    <row r="8" spans="1:1" ht="19" x14ac:dyDescent="0.25">
      <c r="A8" s="2" t="s">
        <v>6</v>
      </c>
    </row>
    <row r="10" spans="1:1" x14ac:dyDescent="0.2">
      <c r="A10" s="41" t="s">
        <v>54</v>
      </c>
    </row>
    <row r="11" spans="1:1" x14ac:dyDescent="0.2">
      <c r="A11" s="41" t="s">
        <v>55</v>
      </c>
    </row>
    <row r="12" spans="1:1" x14ac:dyDescent="0.2">
      <c r="A12" s="41" t="s">
        <v>66</v>
      </c>
    </row>
    <row r="13" spans="1:1" x14ac:dyDescent="0.2">
      <c r="A13" s="41" t="s">
        <v>56</v>
      </c>
    </row>
    <row r="14" spans="1:1" x14ac:dyDescent="0.2">
      <c r="A14" s="41" t="s">
        <v>57</v>
      </c>
    </row>
    <row r="15" spans="1:1" x14ac:dyDescent="0.2">
      <c r="A15" s="41" t="s">
        <v>58</v>
      </c>
    </row>
    <row r="16" spans="1:1" x14ac:dyDescent="0.2">
      <c r="A16" s="41" t="s">
        <v>59</v>
      </c>
    </row>
    <row r="17" spans="1:1" x14ac:dyDescent="0.2">
      <c r="A17" s="41" t="s">
        <v>60</v>
      </c>
    </row>
    <row r="18" spans="1:1" x14ac:dyDescent="0.2">
      <c r="A18" s="41" t="s">
        <v>61</v>
      </c>
    </row>
    <row r="19" spans="1:1" x14ac:dyDescent="0.2">
      <c r="A19" s="41" t="s">
        <v>62</v>
      </c>
    </row>
    <row r="20" spans="1:1" x14ac:dyDescent="0.2">
      <c r="A20" s="41" t="s">
        <v>63</v>
      </c>
    </row>
    <row r="21" spans="1:1" x14ac:dyDescent="0.2">
      <c r="A21" s="41" t="s">
        <v>64</v>
      </c>
    </row>
    <row r="22" spans="1:1" x14ac:dyDescent="0.2">
      <c r="A22" t="s">
        <v>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leaf gas-exchange_ROM</vt:lpstr>
      <vt:lpstr>Specifications and References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Bärbel Hönisch</cp:lastModifiedBy>
  <dcterms:created xsi:type="dcterms:W3CDTF">2017-12-08T17:20:22Z</dcterms:created>
  <dcterms:modified xsi:type="dcterms:W3CDTF">2022-03-17T19:19:07Z</dcterms:modified>
</cp:coreProperties>
</file>