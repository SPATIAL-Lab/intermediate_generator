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19"/>
  <workbookPr/>
  <mc:AlternateContent xmlns:mc="http://schemas.openxmlformats.org/markup-compatibility/2006">
    <mc:Choice Requires="x15">
      <x15ac:absPath xmlns:x15ac="http://schemas.microsoft.com/office/spreadsheetml/2010/11/ac" url="/Users/Daphnia/Desktop/paleo-CO2 data base/product/product August 2023/"/>
    </mc:Choice>
  </mc:AlternateContent>
  <xr:revisionPtr revIDLastSave="0" documentId="13_ncr:1_{253DA847-504A-0943-B01F-7027B08E4AA0}" xr6:coauthVersionLast="47" xr6:coauthVersionMax="47" xr10:uidLastSave="{00000000-0000-0000-0000-000000000000}"/>
  <bookViews>
    <workbookView xWindow="1040" yWindow="1340" windowWidth="27580" windowHeight="13960" tabRatio="500" xr2:uid="{00000000-000D-0000-FFFF-FFFF00000000}"/>
  </bookViews>
  <sheets>
    <sheet name="stomatal index" sheetId="1" r:id="rId1"/>
  </sheet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4" i="1" l="1"/>
  <c r="L4" i="1"/>
  <c r="K4" i="1"/>
  <c r="J4" i="1"/>
</calcChain>
</file>

<file path=xl/sharedStrings.xml><?xml version="1.0" encoding="utf-8"?>
<sst xmlns="http://schemas.openxmlformats.org/spreadsheetml/2006/main" count="97" uniqueCount="89">
  <si>
    <t>general notes</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</si>
  <si>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</si>
  <si>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</si>
  <si>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</si>
  <si>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</si>
  <si>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</si>
  <si>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</si>
  <si>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</si>
  <si>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</si>
  <si>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</si>
  <si>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</si>
  <si>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</si>
  <si>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</si>
  <si>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</si>
  <si>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t>
  </si>
  <si>
    <t>Number of leaves comprising CO2 estimate</t>
  </si>
  <si>
    <t>Counting Method
(Image, microscope)</t>
  </si>
  <si>
    <t>Counting box dimensions
(µm × µm)</t>
  </si>
  <si>
    <t># Stomata</t>
  </si>
  <si>
    <t># Epidermal Cells</t>
  </si>
  <si>
    <t>Sample mean stomatal density
(SD, mm-2)</t>
  </si>
  <si>
    <t>Sample
mean stomatal index
(SI, %)</t>
  </si>
  <si>
    <t>SD error (+/- 1 s.e.m.)</t>
  </si>
  <si>
    <t>SI error (+/- 1 s.e.m.)</t>
  </si>
  <si>
    <t>Modern Calibration species</t>
  </si>
  <si>
    <t xml:space="preserve">Modern Calibration Regression Equation
</t>
  </si>
  <si>
    <r>
      <t xml:space="preserve">Calibration
</t>
    </r>
    <r>
      <rPr>
        <b/>
        <sz val="12"/>
        <color rgb="FF000000"/>
        <rFont val="Calibri"/>
        <family val="2"/>
        <scheme val="minor"/>
      </rPr>
      <t>Error</t>
    </r>
    <r>
      <rPr>
        <b/>
        <sz val="12"/>
        <color theme="1"/>
        <rFont val="Calibri"/>
        <family val="2"/>
        <scheme val="minor"/>
      </rPr>
      <t xml:space="preserve">
</t>
    </r>
  </si>
  <si>
    <t>Reported mean CO2</t>
  </si>
  <si>
    <t>CO2 type</t>
  </si>
  <si>
    <t>Reported
CO2 Uncertainty (Low)</t>
  </si>
  <si>
    <t>Reported
CO2 Uncertainty (High)</t>
  </si>
  <si>
    <t>What is the uncertainty range?</t>
  </si>
  <si>
    <t>What is the distribution of the uncertainties?</t>
  </si>
  <si>
    <t>microscope</t>
  </si>
  <si>
    <t>Cupressaceae</t>
  </si>
  <si>
    <t>Metasequoia</t>
  </si>
  <si>
    <t>occidentalis</t>
  </si>
  <si>
    <t>95% confidence intervals</t>
  </si>
  <si>
    <t>Metasequoia occidentalis</t>
  </si>
  <si>
    <t>Wesleyan University</t>
  </si>
  <si>
    <t>median</t>
  </si>
  <si>
    <t>Giraffe kimberlite locality</t>
  </si>
  <si>
    <t>varying; but maxium of 0.1336 mm2</t>
  </si>
  <si>
    <t>5.18-12.72 meters above tephra located at 70.88 meters</t>
  </si>
  <si>
    <t>Uncertainties following the resampling procedure in Beerling et al. (2009); considers both the regression and fossil variance</t>
  </si>
  <si>
    <t>proxy</t>
  </si>
  <si>
    <t>first_author_last_name</t>
  </si>
  <si>
    <t>publication_year</t>
  </si>
  <si>
    <t>age_ka</t>
  </si>
  <si>
    <t>Age_uncertainty_pos_ka</t>
  </si>
  <si>
    <t>Age_uncertainty_neg_ka</t>
  </si>
  <si>
    <t>Doria</t>
  </si>
  <si>
    <t>slightly right skewed</t>
  </si>
  <si>
    <t>means of SI and straigraphic level were taken from Table DR4 of Wolfe et al. (2017)</t>
  </si>
  <si>
    <t>twice differentiated monotonic function based on the method of Beerling et al. (2009); calibration data are presented in Doria et al. (2011)</t>
  </si>
  <si>
    <t>stomata-SI</t>
  </si>
  <si>
    <t>name of person entering product data</t>
  </si>
  <si>
    <t>email of person entering product data</t>
  </si>
  <si>
    <t>specify reason for quarantine</t>
  </si>
  <si>
    <t>specify reason for age revision</t>
  </si>
  <si>
    <t>droyer@wesleyan.edu</t>
  </si>
  <si>
    <t>Dana L. Royer</t>
  </si>
  <si>
    <t>Doria, G., Royer, D. L., Wolfe, A. P., Fox, A., Westgate, J. A., and Beerling, D. J., 2011, Declining atmospheric CO2 during the late Middle Eocene climate transition: American Journal of Science, v. 311, p. 63-75.</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</si>
  <si>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</si>
  <si>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</si>
  <si>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</si>
  <si>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</si>
  <si>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</si>
  <si>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</si>
  <si>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</si>
  <si>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</si>
  <si>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</si>
  <si>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</si>
  <si>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NA</t>
  </si>
  <si>
    <t>CO2_uncertainty_neg_ppm</t>
  </si>
  <si>
    <t>Reference of the data product</t>
  </si>
  <si>
    <t>doi link to reference</t>
  </si>
  <si>
    <t>Modern Latitude (decimal degree, south negative)</t>
  </si>
  <si>
    <t>Modern Longtitude (decimal degree, west negative)</t>
  </si>
  <si>
    <t>Paleo Latitude (decimal degree, south negative)</t>
  </si>
  <si>
    <t>Paleo Longitude (decimal degree, west negative)</t>
  </si>
  <si>
    <t>10.2475/01.2011.03</t>
  </si>
  <si>
    <t>The age of the peat has been updated substantially with U-PB geochronology. See: Reyes A, Andersen B, Bolton M, Buryak SD, Madsen F, Davies JHFL, Koppelhus EV, Royer DL, Siver PA, Tierney J. 2020. Prospects, pitfalls, and pratfalls of high latitude paleoenvironmental reconstruction from the post-eruptive sedimentary fill of kimberlite pipes in northern Canada. GSA Abstracts with Programs, 52(6): Paper 11-4, doi: 10.1130/abs/2020AM-358957. The studied peat section (7.54 m) represents ~104 yrs assuming a similar accumulation rate as the peat-to-lignite grade.</t>
  </si>
  <si>
    <t>10.1130/abs/2020AM-358957</t>
  </si>
  <si>
    <t>The updated age (~48 Ma) is substantially older than the published age (~38 Ma), but the updated age is based on a conference abstract and does not include uncertainties in the mean age</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</si>
  <si>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</si>
  <si>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</si>
  <si>
    <t>all known sources of error have been quantified and/or sensitivity of the CO2 estimate to those sources is small</t>
  </si>
  <si>
    <t>The age of the peat has been updated substantially with U-PB geochronology. The uncertainty is an assumed placeholder value until the actual value becomes published.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</si>
</sst>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scheme val="minor"/>
    </font>
    <font>
      <sz val="12"/>
      <color theme="1"/>
      <name val="Calibri"/>
      <family val="2"/>
      <scheme val="minor"/>
    </font>
    <font>
      <b/>
      <sz val="12"/>
      <color theme="1"/>
      <name val="Calibri"/>
      <family val="2"/>
      <scheme val="minor"/>
    </font>
    <font>
      <sz val="12"/>
      <color rgb="FF000000"/>
      <name val="Calibri"/>
      <family val="2"/>
      <scheme val="minor"/>
    </font>
    <font>
      <b/>
      <sz val="12"/>
      <color rgb="FF000000"/>
      <name val="Calibri"/>
      <family val="2"/>
      <scheme val="minor"/>
    </font>
    <font>
      <sz val="11"/>
      <color rgb="FF000000"/>
      <name val="Calibri"/>
      <family val="2"/>
      <charset val="1"/>
    </font>
    <font>
      <b/>
      <sz val="12"/>
      <name val="Calibri"/>
      <family val="2"/>
      <scheme val="minor"/>
    </font>
    <font>
      <sz val="13"/>
      <color rgb="FF000000"/>
      <name val="Helvetica"/>
      <family val="2"/>
    </font>
  </fonts>
  <fills count="3">
    <fill>
      <patternFill patternType="none"/>
    </fill>
    <fill>
      <patternFill patternType="gray125"/>
    </fill>
    <fill>
      <patternFill patternType="solid">
        <fgColor rgb="FFE2EFD9"/>
        <bgColor indexed="64"/>
      </patternFill>
    </fill>
  </fills>
  <borders count="5">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5" fillId="0" borderId="0"/>
    <xf numFmtId="0" fontId="1" fillId="0" borderId="0"/>
  </cellStyleXfs>
  <cellXfs count="23">
    <xf numFmtId="0" fontId="0" fillId="0" borderId="0" xfId="0"/>
    <xf numFmtId="0" fontId="4" fillId="2" borderId="0" xfId="0" applyFont="1" applyFill="1" applyAlignment="1">
      <alignment vertical="top" wrapText="1"/>
    </xf>
    <xf numFmtId="0" fontId="2" fillId="2" borderId="0" xfId="0" applyFont="1" applyFill="1" applyAlignment="1">
      <alignment horizontal="center" vertical="top" wrapText="1"/>
    </xf>
    <xf numFmtId="0" fontId="2" fillId="0" borderId="0" xfId="0" applyFont="1" applyAlignment="1">
      <alignment wrapText="1"/>
    </xf>
    <xf numFmtId="0" fontId="0" fillId="0" borderId="0" xfId="0" applyAlignment="1">
      <alignment horizontal="right"/>
    </xf>
    <xf numFmtId="0" fontId="3" fillId="0" borderId="0" xfId="0" applyFont="1"/>
    <xf numFmtId="0" fontId="3" fillId="0" borderId="1" xfId="0" applyFont="1" applyBorder="1" applyAlignment="1">
      <alignment wrapText="1"/>
    </xf>
    <xf numFmtId="0" fontId="3" fillId="0" borderId="2" xfId="0" applyFont="1" applyBorder="1" applyAlignment="1">
      <alignment wrapText="1"/>
    </xf>
    <xf numFmtId="0" fontId="3" fillId="0" borderId="2" xfId="0" applyFont="1" applyBorder="1"/>
    <xf numFmtId="0" fontId="0" fillId="0" borderId="2" xfId="0" applyBorder="1" applyAlignment="1">
      <alignment wrapText="1"/>
    </xf>
    <xf numFmtId="0" fontId="0" fillId="0" borderId="2" xfId="0" applyBorder="1"/>
    <xf numFmtId="0" fontId="0" fillId="0" borderId="2" xfId="0" quotePrefix="1" applyBorder="1" applyAlignment="1">
      <alignment wrapText="1"/>
    </xf>
    <xf numFmtId="0" fontId="0" fillId="0" borderId="3" xfId="0" quotePrefix="1" applyBorder="1" applyAlignment="1">
      <alignment wrapText="1"/>
    </xf>
    <xf numFmtId="0" fontId="0" fillId="0" borderId="3" xfId="0" applyBorder="1" applyAlignment="1">
      <alignment wrapText="1"/>
    </xf>
    <xf numFmtId="0" fontId="0" fillId="0" borderId="4" xfId="0" applyBorder="1" applyAlignment="1">
      <alignment wrapText="1"/>
    </xf>
    <xf numFmtId="0" fontId="0" fillId="0" borderId="1" xfId="0" applyBorder="1" applyAlignment="1">
      <alignment wrapText="1"/>
    </xf>
    <xf numFmtId="0" fontId="3" fillId="0" borderId="3" xfId="0" applyFont="1" applyBorder="1" applyAlignment="1">
      <alignment wrapText="1"/>
    </xf>
    <xf numFmtId="0" fontId="3" fillId="0" borderId="4" xfId="0" applyFont="1" applyBorder="1" applyAlignment="1">
      <alignment wrapText="1"/>
    </xf>
    <xf numFmtId="0" fontId="4" fillId="0" borderId="0" xfId="0" applyFont="1" applyAlignment="1">
      <alignment vertical="top" wrapText="1"/>
    </xf>
    <xf numFmtId="0" fontId="2" fillId="0" borderId="0" xfId="0" applyFont="1" applyAlignment="1">
      <alignment horizontal="center" vertical="top" wrapText="1"/>
    </xf>
    <xf numFmtId="0" fontId="6" fillId="0" borderId="0" xfId="0" applyFont="1" applyAlignment="1">
      <alignment horizontal="center" vertical="top" wrapText="1"/>
    </xf>
    <xf numFmtId="1" fontId="0" fillId="0" borderId="0" xfId="0" applyNumberFormat="1"/>
    <xf numFmtId="0" fontId="7" fillId="0" borderId="0" xfId="0" applyFont="1"/>
  </cellXfs>
  <cellStyles count="3">
    <cellStyle name="Normal" xfId="0" builtinId="0"/>
    <cellStyle name="Normal 3" xfId="1" xr:uid="{00000000-0005-0000-0000-000001000000}"/>
    <cellStyle name="Normal 4" xfId="2" xr:uid="{00000000-0005-0000-0000-00000200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J5"/>
  <sheetViews>
    <sheetView tabSelected="1" topLeftCell="E3" zoomScaleNormal="100" workbookViewId="0">
      <selection activeCell="T3" sqref="T3"/>
    </sheetView>
  </sheetViews>
  <sheetFormatPr baseColWidth="10" defaultColWidth="11" defaultRowHeight="16" x14ac:dyDescent="0.2"/>
  <cols>
    <col min="33" max="33" width="12.1640625" customWidth="1"/>
    <col min="35" max="35" width="12.6640625" customWidth="1"/>
    <col min="36" max="36" width="12.1640625" customWidth="1"/>
    <col min="38" max="38" width="12.6640625" customWidth="1"/>
    <col min="43" max="43" width="12.1640625" customWidth="1"/>
    <col min="44" max="44" width="12.5" customWidth="1"/>
    <col min="50" max="50" width="13.6640625" customWidth="1"/>
    <col min="61" max="61" width="16.1640625" customWidth="1"/>
  </cols>
  <sheetData>
    <row r="3" spans="1:62" s="3" customFormat="1" ht="409.6" x14ac:dyDescent="0.2">
      <c r="A3" s="6" t="s">
        <v>56</v>
      </c>
      <c r="B3" s="7" t="s">
        <v>57</v>
      </c>
      <c r="C3" s="8" t="s">
        <v>45</v>
      </c>
      <c r="D3" s="9" t="s">
        <v>46</v>
      </c>
      <c r="E3" s="9" t="s">
        <v>47</v>
      </c>
      <c r="F3" s="10" t="s">
        <v>1</v>
      </c>
      <c r="G3" s="10" t="s">
        <v>48</v>
      </c>
      <c r="H3" s="11" t="s">
        <v>49</v>
      </c>
      <c r="I3" s="11" t="s">
        <v>50</v>
      </c>
      <c r="J3" s="9" t="s">
        <v>63</v>
      </c>
      <c r="K3" s="11" t="s">
        <v>64</v>
      </c>
      <c r="L3" s="12" t="s">
        <v>74</v>
      </c>
      <c r="M3" s="9" t="s">
        <v>65</v>
      </c>
      <c r="N3" s="9" t="s">
        <v>85</v>
      </c>
      <c r="O3" s="9" t="s">
        <v>86</v>
      </c>
      <c r="P3" s="9" t="s">
        <v>66</v>
      </c>
      <c r="Q3" s="13" t="s">
        <v>67</v>
      </c>
      <c r="R3" s="14" t="s">
        <v>68</v>
      </c>
      <c r="S3" s="15" t="s">
        <v>69</v>
      </c>
      <c r="T3" s="9" t="s">
        <v>70</v>
      </c>
      <c r="U3" s="9" t="s">
        <v>58</v>
      </c>
      <c r="V3" s="9" t="s">
        <v>71</v>
      </c>
      <c r="W3" s="16" t="s">
        <v>72</v>
      </c>
      <c r="X3" s="17" t="s">
        <v>59</v>
      </c>
      <c r="Y3" s="18" t="s">
        <v>75</v>
      </c>
      <c r="Z3" s="18" t="s">
        <v>76</v>
      </c>
      <c r="AA3" s="18" t="s">
        <v>2</v>
      </c>
      <c r="AB3" s="18" t="s">
        <v>3</v>
      </c>
      <c r="AC3" s="18" t="s">
        <v>4</v>
      </c>
      <c r="AD3" s="18" t="s">
        <v>5</v>
      </c>
      <c r="AE3" s="18" t="s">
        <v>6</v>
      </c>
      <c r="AF3" s="18" t="s">
        <v>7</v>
      </c>
      <c r="AG3" s="19" t="s">
        <v>8</v>
      </c>
      <c r="AH3" s="18" t="s">
        <v>9</v>
      </c>
      <c r="AI3" s="18" t="s">
        <v>10</v>
      </c>
      <c r="AJ3" s="18" t="s">
        <v>11</v>
      </c>
      <c r="AK3" s="18" t="s">
        <v>12</v>
      </c>
      <c r="AL3" s="18" t="s">
        <v>13</v>
      </c>
      <c r="AM3" s="18" t="s">
        <v>77</v>
      </c>
      <c r="AN3" s="18" t="s">
        <v>78</v>
      </c>
      <c r="AO3" s="20" t="s">
        <v>79</v>
      </c>
      <c r="AP3" s="20" t="s">
        <v>80</v>
      </c>
      <c r="AQ3" s="2" t="s">
        <v>14</v>
      </c>
      <c r="AR3" s="2" t="s">
        <v>15</v>
      </c>
      <c r="AS3" s="2" t="s">
        <v>16</v>
      </c>
      <c r="AT3" s="2" t="s">
        <v>17</v>
      </c>
      <c r="AU3" s="2" t="s">
        <v>18</v>
      </c>
      <c r="AV3" s="2" t="s">
        <v>19</v>
      </c>
      <c r="AW3" s="2" t="s">
        <v>20</v>
      </c>
      <c r="AX3" s="2" t="s">
        <v>21</v>
      </c>
      <c r="AY3" s="2" t="s">
        <v>22</v>
      </c>
      <c r="AZ3" s="2" t="s">
        <v>23</v>
      </c>
      <c r="BA3" s="2" t="s">
        <v>24</v>
      </c>
      <c r="BB3" s="2" t="s">
        <v>25</v>
      </c>
      <c r="BC3" s="2" t="s">
        <v>26</v>
      </c>
      <c r="BD3" s="2" t="s">
        <v>27</v>
      </c>
      <c r="BE3" s="1" t="s">
        <v>28</v>
      </c>
      <c r="BF3" s="2" t="s">
        <v>29</v>
      </c>
      <c r="BG3" s="2" t="s">
        <v>30</v>
      </c>
      <c r="BH3" s="1" t="s">
        <v>31</v>
      </c>
      <c r="BI3" s="1" t="s">
        <v>32</v>
      </c>
      <c r="BJ3" s="1" t="s">
        <v>0</v>
      </c>
    </row>
    <row r="4" spans="1:62" ht="17" x14ac:dyDescent="0.2">
      <c r="A4" t="s">
        <v>61</v>
      </c>
      <c r="B4" t="s">
        <v>60</v>
      </c>
      <c r="C4" t="s">
        <v>55</v>
      </c>
      <c r="D4" t="s">
        <v>51</v>
      </c>
      <c r="E4">
        <v>2011</v>
      </c>
      <c r="F4" t="s">
        <v>81</v>
      </c>
      <c r="G4">
        <f>AH4*1000</f>
        <v>48000</v>
      </c>
      <c r="H4">
        <v>0.5</v>
      </c>
      <c r="I4">
        <v>0.5</v>
      </c>
      <c r="J4">
        <f>BD4</f>
        <v>634</v>
      </c>
      <c r="K4" s="21">
        <f>BG4-BD4</f>
        <v>490</v>
      </c>
      <c r="L4" s="21">
        <f>BD4-BF4</f>
        <v>201</v>
      </c>
      <c r="M4" t="b">
        <v>1</v>
      </c>
      <c r="N4">
        <v>1</v>
      </c>
      <c r="O4" s="22" t="s">
        <v>87</v>
      </c>
      <c r="P4" t="s">
        <v>73</v>
      </c>
      <c r="Q4" t="b">
        <v>0</v>
      </c>
      <c r="R4" t="s">
        <v>73</v>
      </c>
      <c r="S4" t="b">
        <v>0</v>
      </c>
      <c r="T4" t="b">
        <v>1</v>
      </c>
      <c r="U4" t="s">
        <v>84</v>
      </c>
      <c r="V4" t="s">
        <v>83</v>
      </c>
      <c r="W4" t="b">
        <v>0</v>
      </c>
      <c r="X4" t="s">
        <v>88</v>
      </c>
      <c r="Y4" s="5" t="s">
        <v>62</v>
      </c>
      <c r="Z4" t="s">
        <v>81</v>
      </c>
      <c r="AA4" t="s">
        <v>38</v>
      </c>
      <c r="AB4" t="s">
        <v>34</v>
      </c>
      <c r="AC4" t="s">
        <v>35</v>
      </c>
      <c r="AD4" t="s">
        <v>36</v>
      </c>
      <c r="AE4" t="s">
        <v>39</v>
      </c>
      <c r="AF4" t="s">
        <v>41</v>
      </c>
      <c r="AG4" t="s">
        <v>43</v>
      </c>
      <c r="AH4">
        <v>48</v>
      </c>
      <c r="AI4" s="4" t="s">
        <v>73</v>
      </c>
      <c r="AJ4" s="4" t="s">
        <v>73</v>
      </c>
      <c r="AK4" t="s">
        <v>73</v>
      </c>
      <c r="AL4" t="s">
        <v>82</v>
      </c>
      <c r="AM4" s="4">
        <v>64.8</v>
      </c>
      <c r="AN4" s="4">
        <v>-101.066667</v>
      </c>
      <c r="AO4" s="4" t="s">
        <v>73</v>
      </c>
      <c r="AP4" s="4" t="s">
        <v>73</v>
      </c>
      <c r="AQ4" s="4">
        <v>4</v>
      </c>
      <c r="AR4" s="4">
        <v>5</v>
      </c>
      <c r="AS4" s="5" t="s">
        <v>33</v>
      </c>
      <c r="AT4" t="s">
        <v>42</v>
      </c>
      <c r="AU4" s="4">
        <v>16.309999999999999</v>
      </c>
      <c r="AV4" s="4">
        <v>165.06</v>
      </c>
      <c r="AW4" s="4">
        <v>174</v>
      </c>
      <c r="AX4" s="4">
        <v>9.01</v>
      </c>
      <c r="AY4" s="4">
        <v>6.18</v>
      </c>
      <c r="AZ4" s="4">
        <v>0.59</v>
      </c>
      <c r="BA4" t="s">
        <v>38</v>
      </c>
      <c r="BB4" t="s">
        <v>54</v>
      </c>
      <c r="BC4" t="s">
        <v>44</v>
      </c>
      <c r="BD4" s="4">
        <v>634</v>
      </c>
      <c r="BE4" t="s">
        <v>40</v>
      </c>
      <c r="BF4" s="4">
        <v>433</v>
      </c>
      <c r="BG4" s="4">
        <v>1124</v>
      </c>
      <c r="BH4" t="s">
        <v>37</v>
      </c>
      <c r="BI4" t="s">
        <v>52</v>
      </c>
      <c r="BJ4" t="s">
        <v>53</v>
      </c>
    </row>
    <row r="5" spans="1:62" x14ac:dyDescent="0.2">
      <c r="AO5" s="4"/>
      <c r="AP5" s="4"/>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stomatal 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Baerbel Hoenisch</cp:lastModifiedBy>
  <dcterms:created xsi:type="dcterms:W3CDTF">2017-12-08T17:21:04Z</dcterms:created>
  <dcterms:modified xsi:type="dcterms:W3CDTF">2023-09-06T14:50:51Z</dcterms:modified>
</cp:coreProperties>
</file>