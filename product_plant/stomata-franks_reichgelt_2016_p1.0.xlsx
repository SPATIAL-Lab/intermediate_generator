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254ABDFC-53CE-E046-80C8-A67DB82451C2}" xr6:coauthVersionLast="47" xr6:coauthVersionMax="47" xr10:uidLastSave="{00000000-0000-0000-0000-000000000000}"/>
  <bookViews>
    <workbookView xWindow="0" yWindow="2760" windowWidth="28800" windowHeight="1702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5" i="1" l="1"/>
  <c r="L5" i="1"/>
  <c r="K6" i="1"/>
  <c r="L6" i="1"/>
  <c r="L4" i="1"/>
  <c r="K4" i="1"/>
  <c r="AT6" i="1"/>
  <c r="AT5" i="1"/>
  <c r="AT4" i="1"/>
  <c r="AS4" i="1"/>
  <c r="AS6" i="1"/>
  <c r="AS5" i="1"/>
  <c r="G5" i="1"/>
  <c r="H5" i="1"/>
  <c r="I5" i="1"/>
  <c r="J5" i="1"/>
  <c r="G6" i="1"/>
  <c r="H6" i="1"/>
  <c r="I6" i="1"/>
  <c r="J6" i="1"/>
  <c r="J4" i="1"/>
  <c r="I4" i="1"/>
  <c r="H4" i="1"/>
  <c r="G4" i="1"/>
  <c r="AH6" i="1" l="1"/>
  <c r="AH5" i="1"/>
  <c r="AH4" i="1"/>
</calcChain>
</file>

<file path=xl/sharedStrings.xml><?xml version="1.0" encoding="utf-8"?>
<sst xmlns="http://schemas.openxmlformats.org/spreadsheetml/2006/main" count="299" uniqueCount="198">
  <si>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</si>
  <si>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</si>
  <si>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</si>
  <si>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</si>
  <si>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</si>
  <si>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</si>
  <si>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</si>
  <si>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</si>
  <si>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</si>
  <si>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</si>
  <si>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</si>
  <si>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</si>
  <si>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</si>
  <si>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</si>
  <si>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</si>
  <si>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</si>
  <si>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</si>
  <si>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</si>
  <si>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</si>
  <si>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</si>
  <si>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</si>
  <si>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</si>
  <si>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</si>
  <si>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</si>
  <si>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</si>
  <si>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</si>
  <si>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</si>
  <si>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</si>
  <si>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</si>
  <si>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</si>
  <si>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</si>
  <si>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</si>
  <si>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</si>
  <si>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</si>
  <si>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</si>
  <si>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</si>
  <si>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</si>
  <si>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</si>
  <si>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</si>
  <si>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</si>
  <si>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</si>
  <si>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</si>
  <si>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</si>
  <si>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</si>
  <si>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</si>
  <si>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</si>
  <si>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</si>
  <si>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</si>
  <si>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</si>
  <si>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</si>
  <si>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</si>
  <si>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</si>
  <si>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</si>
  <si>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</si>
  <si>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</si>
  <si>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</si>
  <si>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</si>
  <si>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</si>
  <si>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</si>
  <si>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</si>
  <si>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</si>
  <si>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</si>
  <si>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</si>
  <si>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</si>
  <si>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</si>
  <si>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</si>
  <si>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</si>
  <si>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</si>
  <si>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</si>
  <si>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</si>
  <si>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</si>
  <si>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</si>
  <si>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</si>
  <si>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</si>
  <si>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</si>
  <si>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</si>
  <si>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</si>
  <si>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</si>
  <si>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</si>
  <si>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</si>
  <si>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</si>
  <si>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</si>
  <si>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</si>
  <si>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</si>
  <si>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</si>
  <si>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</si>
  <si>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</si>
  <si>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</si>
  <si>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</si>
  <si>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</si>
  <si>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</si>
  <si>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</si>
  <si>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</si>
  <si>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</si>
  <si>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</si>
  <si>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</si>
  <si>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</si>
  <si>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</si>
  <si>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</si>
  <si>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</si>
  <si>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</si>
  <si>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</si>
  <si>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</si>
  <si>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</si>
  <si>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</si>
  <si>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</si>
  <si>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</si>
  <si>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</si>
  <si>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</si>
  <si>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</si>
  <si>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</si>
  <si>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</si>
  <si>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</si>
  <si>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</si>
  <si>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</si>
  <si>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</si>
  <si>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</si>
  <si>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</si>
  <si>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</si>
  <si>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</si>
  <si>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</si>
  <si>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</si>
  <si>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</si>
  <si>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</si>
  <si>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</si>
  <si>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</si>
  <si>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</si>
  <si>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</si>
  <si>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</si>
  <si>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</si>
  <si>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</si>
  <si>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</si>
  <si>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</si>
  <si>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Lauraceae</t>
  </si>
  <si>
    <t>microscope</t>
  </si>
  <si>
    <t>4 leaves</t>
  </si>
  <si>
    <t>age model of Tipple et al. (2010; 10.1029/2009PA001851)</t>
  </si>
  <si>
    <t>generic value from Franks et al. (2014); 1 sigma error is 5% of mean</t>
  </si>
  <si>
    <t>pore length was measured directly, so this scalar has no error</t>
  </si>
  <si>
    <t>no</t>
  </si>
  <si>
    <t>10.1016/j.epsl.2016.09.026</t>
  </si>
  <si>
    <t>C2-78, FM13, 81, 101</t>
  </si>
  <si>
    <t>Litsea</t>
  </si>
  <si>
    <t>calicarioides</t>
  </si>
  <si>
    <t>Lamont-Doherty Earth Observatory</t>
  </si>
  <si>
    <t>Waipiata Volcanic Group</t>
  </si>
  <si>
    <t>Foulden Maar Diatomite</t>
  </si>
  <si>
    <t>Ar/Ar, Paleomag, varve counts</t>
  </si>
  <si>
    <t>mode</t>
  </si>
  <si>
    <t>right-skewed</t>
  </si>
  <si>
    <t>400 × 400</t>
  </si>
  <si>
    <t>leaf wax</t>
  </si>
  <si>
    <t>calculated from 27 modern living Litsea calicaris</t>
  </si>
  <si>
    <t>recalculated from other Lauraceae (Laurus nobilis and Cinnamomum camphorum, listed in Niinemets et al. 2009; DOI:10.1093/jxb/erp037)</t>
  </si>
  <si>
    <t>10.1016/j.epsl.2016.09.027</t>
  </si>
  <si>
    <t>FHC2-54, FM12, 8, 6, 40-93</t>
  </si>
  <si>
    <t>8 leaves</t>
  </si>
  <si>
    <t>10.1016/j.epsl.2016.09.028</t>
  </si>
  <si>
    <t>44 leaves</t>
  </si>
  <si>
    <t>proxy</t>
  </si>
  <si>
    <t>first_author_last_name</t>
  </si>
  <si>
    <t>publication_year</t>
  </si>
  <si>
    <t>age_ka</t>
  </si>
  <si>
    <t>Age_uncertainty_pos_ka</t>
  </si>
  <si>
    <t>Age_uncertainty_neg_ka</t>
  </si>
  <si>
    <t>stomata-franks</t>
  </si>
  <si>
    <t>Reichgelt</t>
  </si>
  <si>
    <t>name of person entering product data</t>
  </si>
  <si>
    <t>email of person entering product data</t>
  </si>
  <si>
    <t>specify reason for age revision</t>
  </si>
  <si>
    <t>droyer@wesleyan.edu</t>
  </si>
  <si>
    <t>specify reason for quarantine</t>
  </si>
  <si>
    <t>Reichgelt, T., D'Andrea, W. J., and Fox, B. R. S., 2016, Abrupt plant physiological changes in southern New Zealand at the termination of the Mi-1 event reflect shifts in hydroclimate and pCO2: Earth and Planetary Science Letters, v. 455, p. 115-124.</t>
  </si>
  <si>
    <t>CO2_ppm</t>
  </si>
  <si>
    <t>CO2_uncertainty_pos_ppm</t>
  </si>
  <si>
    <t>NA</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</si>
  <si>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</si>
  <si>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</si>
  <si>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</si>
  <si>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</si>
  <si>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</si>
  <si>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</si>
  <si>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</si>
  <si>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</si>
  <si>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 uncertainties doubled to approximate 95% confidence</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</si>
  <si>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</si>
  <si>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</si>
  <si>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</si>
  <si>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</si>
  <si>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</si>
  <si>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</si>
  <si>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</si>
  <si>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Dana Royer</t>
  </si>
  <si>
    <t>10.5194/cp-16-1509-2020</t>
  </si>
  <si>
    <t>Estimates use the d13C from leaf waxes, whereas whole-leaf d13C is preferred; also, this study was expanded upon and superseded by Reichgelt et al. 2020 (10.5194/cp-16-1509-2020)</t>
  </si>
  <si>
    <t>2σ (1σ values are reported; 2σ estimated by doubling the 1σ uncertainties)</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</si>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</sst>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
  </numFmts>
  <fonts count="7"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color rgb="FF000000"/>
      <name val="Calibri"/>
      <family val="2"/>
    </font>
    <font>
      <b/>
      <sz val="12"/>
      <name val="Calibri"/>
      <family val="2"/>
      <scheme val="minor"/>
    </font>
    <font>
      <sz val="12"/>
      <color theme="1"/>
      <name val="Calibri"/>
      <family val="2"/>
      <scheme val="minor"/>
    </font>
  </fonts>
  <fills count="7">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
      <patternFill patternType="solid">
        <fgColor rgb="FFFFFF0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9">
    <xf numFmtId="0" fontId="0" fillId="0" borderId="0" xfId="0"/>
    <xf numFmtId="0" fontId="0" fillId="0" borderId="0" xfId="0" applyBorder="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11" fontId="0" fillId="0" borderId="0" xfId="0" applyNumberFormat="1" applyBorder="1" applyAlignment="1"/>
    <xf numFmtId="2" fontId="0" fillId="0" borderId="0" xfId="0" applyNumberFormat="1" applyBorder="1" applyAlignment="1"/>
    <xf numFmtId="0" fontId="0" fillId="0" borderId="0" xfId="0" applyFill="1" applyBorder="1" applyAlignment="1"/>
    <xf numFmtId="2" fontId="1" fillId="0" borderId="0" xfId="0" applyNumberFormat="1" applyFont="1" applyFill="1" applyBorder="1" applyAlignment="1">
      <alignment horizontal="right" vertical="top"/>
    </xf>
    <xf numFmtId="11" fontId="1" fillId="0" borderId="0" xfId="0" applyNumberFormat="1" applyFont="1" applyFill="1" applyBorder="1" applyAlignment="1">
      <alignment horizontal="right"/>
    </xf>
    <xf numFmtId="164" fontId="0" fillId="0" borderId="0" xfId="0" applyNumberFormat="1" applyBorder="1" applyAlignment="1"/>
    <xf numFmtId="165" fontId="0" fillId="0" borderId="0" xfId="0" applyNumberFormat="1" applyBorder="1" applyAlignment="1"/>
    <xf numFmtId="166" fontId="0" fillId="0" borderId="0" xfId="0" applyNumberFormat="1" applyBorder="1" applyAlignment="1"/>
    <xf numFmtId="1" fontId="0" fillId="0" borderId="0" xfId="0" applyNumberForma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Fill="1" applyBorder="1" applyAlignment="1">
      <alignment vertical="center"/>
    </xf>
    <xf numFmtId="0" fontId="1" fillId="0" borderId="0" xfId="0" applyFont="1" applyFill="1" applyBorder="1" applyAlignment="1">
      <alignment wrapText="1"/>
    </xf>
    <xf numFmtId="0" fontId="5" fillId="4" borderId="0" xfId="0" applyFont="1" applyFill="1" applyBorder="1" applyAlignment="1">
      <alignment horizontal="center" vertical="center" wrapText="1"/>
    </xf>
    <xf numFmtId="0" fontId="0" fillId="0" borderId="0" xfId="0" applyFill="1" applyBorder="1" applyAlignment="1">
      <alignment horizontal="right"/>
    </xf>
    <xf numFmtId="0" fontId="1" fillId="0" borderId="0" xfId="0" applyFont="1" applyFill="1" applyBorder="1" applyAlignment="1">
      <alignment horizontal="left" vertical="top"/>
    </xf>
    <xf numFmtId="0" fontId="0" fillId="6" borderId="0" xfId="0" applyFill="1" applyBorder="1" applyAlignment="1">
      <alignment horizontal="left"/>
    </xf>
    <xf numFmtId="1" fontId="0" fillId="0" borderId="0" xfId="0" applyNumberFormat="1"/>
    <xf numFmtId="0" fontId="0" fillId="0" borderId="0" xfId="0" applyFont="1" applyBorder="1" applyAlignment="1" applyProtection="1">
      <protection locked="0"/>
    </xf>
    <xf numFmtId="0" fontId="6" fillId="0" borderId="0" xfId="0" applyFont="1"/>
    <xf numFmtId="1" fontId="6" fillId="0" borderId="0" xfId="0" applyNumberFormat="1" applyFont="1"/>
    <xf numFmtId="1" fontId="1" fillId="0" borderId="0" xfId="0" applyNumberFormat="1" applyFont="1" applyFill="1" applyBorder="1" applyAlignment="1">
      <alignment horizontal="right"/>
    </xf>
    <xf numFmtId="0" fontId="4" fillId="0" borderId="0" xfId="0" applyFont="1" applyFill="1" applyBorder="1" applyAlignment="1"/>
    <xf numFmtId="0" fontId="0" fillId="0" borderId="0" xfId="0" applyAlignment="1">
      <alignment horizontal="center"/>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2"/>
  <sheetViews>
    <sheetView tabSelected="1" topLeftCell="E1" workbookViewId="0">
      <pane ySplit="3" topLeftCell="A4" activePane="bottomLeft" state="frozen"/>
      <selection pane="bottomLeft" activeCell="N3" sqref="N3:O3"/>
    </sheetView>
  </sheetViews>
  <sheetFormatPr baseColWidth="10" defaultColWidth="11" defaultRowHeight="16" x14ac:dyDescent="0.2"/>
  <cols>
    <col min="1" max="32" width="11" style="1"/>
    <col min="33" max="33" width="11.6640625" style="1" customWidth="1"/>
    <col min="34" max="34" width="11" style="1"/>
    <col min="35" max="35" width="11.83203125" style="1" customWidth="1"/>
    <col min="36" max="36" width="12.33203125" style="1" customWidth="1"/>
    <col min="37" max="37" width="11" style="1"/>
    <col min="38" max="38" width="11.83203125" style="1" customWidth="1"/>
    <col min="39" max="42" width="11" style="1"/>
    <col min="43" max="43" width="15.33203125" style="1" customWidth="1"/>
    <col min="44" max="47" width="11" style="1"/>
    <col min="48" max="48" width="13.1640625" style="1" customWidth="1"/>
    <col min="49" max="16384" width="11" style="1"/>
  </cols>
  <sheetData>
    <row r="2" spans="1:104" s="7" customFormat="1" x14ac:dyDescent="0.2">
      <c r="A2" s="27"/>
      <c r="B2" s="28"/>
      <c r="C2" s="28"/>
      <c r="D2" s="28"/>
      <c r="E2" s="28"/>
      <c r="F2" s="28"/>
      <c r="G2" s="28"/>
      <c r="H2" s="28"/>
      <c r="I2" s="28"/>
      <c r="J2" s="28"/>
      <c r="K2" s="28"/>
      <c r="L2" s="29"/>
      <c r="M2" s="30"/>
      <c r="N2" s="30"/>
      <c r="O2" s="30"/>
      <c r="P2" s="30"/>
      <c r="Q2"/>
      <c r="R2" s="31"/>
      <c r="S2" s="57"/>
      <c r="T2" s="57"/>
      <c r="U2" s="57"/>
      <c r="V2" s="57"/>
      <c r="W2" s="57"/>
      <c r="X2" s="31"/>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4" s="13" customFormat="1" ht="81.75" customHeight="1" x14ac:dyDescent="0.2">
      <c r="A3" s="32" t="s">
        <v>167</v>
      </c>
      <c r="B3" s="33" t="s">
        <v>168</v>
      </c>
      <c r="C3" s="34" t="s">
        <v>159</v>
      </c>
      <c r="D3" s="35" t="s">
        <v>160</v>
      </c>
      <c r="E3" s="35" t="s">
        <v>161</v>
      </c>
      <c r="F3" s="36" t="s">
        <v>58</v>
      </c>
      <c r="G3" s="36" t="s">
        <v>162</v>
      </c>
      <c r="H3" s="37" t="s">
        <v>163</v>
      </c>
      <c r="I3" s="37" t="s">
        <v>164</v>
      </c>
      <c r="J3" s="35" t="s">
        <v>173</v>
      </c>
      <c r="K3" s="37" t="s">
        <v>174</v>
      </c>
      <c r="L3" s="38" t="s">
        <v>185</v>
      </c>
      <c r="M3" s="39" t="s">
        <v>176</v>
      </c>
      <c r="N3" s="58" t="s">
        <v>196</v>
      </c>
      <c r="O3" s="58" t="s">
        <v>197</v>
      </c>
      <c r="P3" s="39" t="s">
        <v>177</v>
      </c>
      <c r="Q3" s="40" t="s">
        <v>178</v>
      </c>
      <c r="R3" s="41" t="s">
        <v>179</v>
      </c>
      <c r="S3" s="42" t="s">
        <v>180</v>
      </c>
      <c r="T3" s="39" t="s">
        <v>181</v>
      </c>
      <c r="U3" s="39" t="s">
        <v>171</v>
      </c>
      <c r="V3" s="39" t="s">
        <v>182</v>
      </c>
      <c r="W3" s="43" t="s">
        <v>183</v>
      </c>
      <c r="X3" s="44" t="s">
        <v>169</v>
      </c>
      <c r="Y3" s="8" t="s">
        <v>186</v>
      </c>
      <c r="Z3" s="8" t="s">
        <v>187</v>
      </c>
      <c r="AA3" s="8" t="s">
        <v>59</v>
      </c>
      <c r="AB3" s="8" t="s">
        <v>60</v>
      </c>
      <c r="AC3" s="8" t="s">
        <v>61</v>
      </c>
      <c r="AD3" s="8" t="s">
        <v>62</v>
      </c>
      <c r="AE3" s="8" t="s">
        <v>63</v>
      </c>
      <c r="AF3" s="8" t="s">
        <v>64</v>
      </c>
      <c r="AG3" s="8" t="s">
        <v>65</v>
      </c>
      <c r="AH3" s="8" t="s">
        <v>66</v>
      </c>
      <c r="AI3" s="8" t="s">
        <v>67</v>
      </c>
      <c r="AJ3" s="8" t="s">
        <v>68</v>
      </c>
      <c r="AK3" s="8" t="s">
        <v>69</v>
      </c>
      <c r="AL3" s="8" t="s">
        <v>70</v>
      </c>
      <c r="AM3" s="8" t="s">
        <v>188</v>
      </c>
      <c r="AN3" s="8" t="s">
        <v>189</v>
      </c>
      <c r="AO3" s="47" t="s">
        <v>190</v>
      </c>
      <c r="AP3" s="47" t="s">
        <v>191</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row>
    <row r="4" spans="1:104" s="7" customFormat="1" x14ac:dyDescent="0.2">
      <c r="A4" t="s">
        <v>192</v>
      </c>
      <c r="B4" t="s">
        <v>170</v>
      </c>
      <c r="C4" t="s">
        <v>165</v>
      </c>
      <c r="D4" t="s">
        <v>166</v>
      </c>
      <c r="E4">
        <v>2016</v>
      </c>
      <c r="F4" t="s">
        <v>140</v>
      </c>
      <c r="G4" s="53">
        <f t="shared" ref="G4" si="0">AH4*1000</f>
        <v>23023</v>
      </c>
      <c r="H4" s="53">
        <f t="shared" ref="H4" si="1">(AI4-AH4)*1000</f>
        <v>7.0000000000014495</v>
      </c>
      <c r="I4" s="53">
        <f t="shared" ref="I4" si="2">(AH4-AJ4)*1000</f>
        <v>7.0000000000014495</v>
      </c>
      <c r="J4" s="51">
        <f>AQ4</f>
        <v>516</v>
      </c>
      <c r="K4" s="54">
        <f>AT4-AQ4</f>
        <v>552</v>
      </c>
      <c r="L4" s="54">
        <f>AQ4-AS4</f>
        <v>376</v>
      </c>
      <c r="M4" t="b">
        <v>0</v>
      </c>
      <c r="N4">
        <v>3</v>
      </c>
      <c r="O4" t="s">
        <v>194</v>
      </c>
      <c r="P4" s="52" t="s">
        <v>193</v>
      </c>
      <c r="Q4" t="b">
        <v>1</v>
      </c>
      <c r="R4" t="s">
        <v>184</v>
      </c>
      <c r="S4" t="b">
        <v>1</v>
      </c>
      <c r="T4" t="b">
        <v>0</v>
      </c>
      <c r="U4" t="s">
        <v>175</v>
      </c>
      <c r="V4" t="s">
        <v>175</v>
      </c>
      <c r="W4" t="b">
        <v>0</v>
      </c>
      <c r="X4" t="s">
        <v>175</v>
      </c>
      <c r="Y4" s="16" t="s">
        <v>172</v>
      </c>
      <c r="Z4" s="7" t="s">
        <v>140</v>
      </c>
      <c r="AA4" s="49" t="s">
        <v>141</v>
      </c>
      <c r="AB4" s="7" t="s">
        <v>133</v>
      </c>
      <c r="AC4" s="16" t="s">
        <v>142</v>
      </c>
      <c r="AD4" s="20" t="s">
        <v>143</v>
      </c>
      <c r="AE4" s="16" t="s">
        <v>144</v>
      </c>
      <c r="AF4" s="16" t="s">
        <v>145</v>
      </c>
      <c r="AG4" s="16" t="s">
        <v>146</v>
      </c>
      <c r="AH4" s="21">
        <f>AVERAGE(AI4:AJ4)</f>
        <v>23.023</v>
      </c>
      <c r="AI4" s="21">
        <v>23.03</v>
      </c>
      <c r="AJ4" s="21">
        <v>23.015999999999998</v>
      </c>
      <c r="AK4" s="7" t="s">
        <v>175</v>
      </c>
      <c r="AL4" s="15" t="s">
        <v>147</v>
      </c>
      <c r="AM4" s="17">
        <v>-45.53</v>
      </c>
      <c r="AN4" s="17">
        <v>170.22</v>
      </c>
      <c r="AO4" s="48" t="s">
        <v>175</v>
      </c>
      <c r="AP4" s="48" t="s">
        <v>175</v>
      </c>
      <c r="AQ4" s="17">
        <v>516</v>
      </c>
      <c r="AR4" s="15" t="s">
        <v>148</v>
      </c>
      <c r="AS4" s="17">
        <f>AQ4-(AQ4-328)*2</f>
        <v>140</v>
      </c>
      <c r="AT4" s="17">
        <f>AQ4+(792-AQ4)*2</f>
        <v>1068</v>
      </c>
      <c r="AU4" s="56" t="s">
        <v>195</v>
      </c>
      <c r="AV4" s="15" t="s">
        <v>149</v>
      </c>
      <c r="AW4" s="15" t="s">
        <v>134</v>
      </c>
      <c r="AX4" s="15" t="s">
        <v>150</v>
      </c>
      <c r="AY4" s="18">
        <v>195425287.35632181</v>
      </c>
      <c r="AZ4" s="18">
        <v>48333310.016100481</v>
      </c>
      <c r="BA4" s="15" t="s">
        <v>135</v>
      </c>
      <c r="BB4" s="22">
        <v>0</v>
      </c>
      <c r="BC4" s="22">
        <v>0</v>
      </c>
      <c r="BD4" s="15" t="s">
        <v>135</v>
      </c>
      <c r="BE4" s="7">
        <v>1.054500862068965E-5</v>
      </c>
      <c r="BF4" s="7">
        <v>1.5618687552482411E-6</v>
      </c>
      <c r="BG4" s="15" t="s">
        <v>135</v>
      </c>
      <c r="BH4" s="22">
        <v>0</v>
      </c>
      <c r="BI4" s="22">
        <v>0</v>
      </c>
      <c r="BJ4" s="7" t="s">
        <v>135</v>
      </c>
      <c r="BK4" s="7">
        <v>5.0527370689655186E-6</v>
      </c>
      <c r="BL4" s="7">
        <v>1.177366131876602E-6</v>
      </c>
      <c r="BM4" s="15" t="s">
        <v>135</v>
      </c>
      <c r="BN4" s="22">
        <v>0</v>
      </c>
      <c r="BO4" s="22">
        <v>0</v>
      </c>
      <c r="BP4" s="15" t="s">
        <v>135</v>
      </c>
      <c r="BQ4" s="19">
        <v>-28.852999999999998</v>
      </c>
      <c r="BR4" s="19">
        <v>0.318</v>
      </c>
      <c r="BS4" s="15" t="s">
        <v>151</v>
      </c>
      <c r="BT4" s="7">
        <v>-6</v>
      </c>
      <c r="BU4" s="7">
        <v>0.7</v>
      </c>
      <c r="BV4" s="14" t="s">
        <v>136</v>
      </c>
      <c r="BW4" s="7">
        <v>353.2</v>
      </c>
      <c r="BX4" s="7">
        <v>4.13</v>
      </c>
      <c r="BY4" s="7">
        <v>1.03</v>
      </c>
      <c r="BZ4" s="15" t="s">
        <v>152</v>
      </c>
      <c r="CA4" s="19">
        <v>0.70050995441889274</v>
      </c>
      <c r="CB4" s="23">
        <v>6.376316688666378E-2</v>
      </c>
      <c r="CC4" s="15" t="s">
        <v>152</v>
      </c>
      <c r="CD4" s="17">
        <v>2</v>
      </c>
      <c r="CE4" s="17">
        <v>0.1</v>
      </c>
      <c r="CF4" s="14" t="s">
        <v>137</v>
      </c>
      <c r="CG4" s="17">
        <v>1</v>
      </c>
      <c r="CH4" s="17">
        <v>0</v>
      </c>
      <c r="CI4" s="14" t="s">
        <v>138</v>
      </c>
      <c r="CJ4" s="7">
        <v>1</v>
      </c>
      <c r="CK4" s="7">
        <v>0.05</v>
      </c>
      <c r="CL4" s="14" t="s">
        <v>137</v>
      </c>
      <c r="CM4" s="7">
        <v>1</v>
      </c>
      <c r="CN4" s="7">
        <v>0.05</v>
      </c>
      <c r="CO4" s="14" t="s">
        <v>137</v>
      </c>
      <c r="CP4" s="7">
        <v>0.2</v>
      </c>
      <c r="CQ4" s="7">
        <v>0.01</v>
      </c>
      <c r="CR4" s="14" t="s">
        <v>137</v>
      </c>
      <c r="CS4" s="23">
        <v>1.4541929E-2</v>
      </c>
      <c r="CT4" s="24">
        <v>4.3030209999999998E-3</v>
      </c>
      <c r="CU4" s="15" t="s">
        <v>153</v>
      </c>
      <c r="CV4" s="15" t="s">
        <v>139</v>
      </c>
      <c r="CW4" s="17">
        <v>29</v>
      </c>
      <c r="CX4" s="25">
        <v>7.1428571428571429E-4</v>
      </c>
      <c r="CY4" s="17">
        <v>40</v>
      </c>
      <c r="CZ4" s="17">
        <v>20</v>
      </c>
    </row>
    <row r="5" spans="1:104" s="7" customFormat="1" x14ac:dyDescent="0.2">
      <c r="A5" t="s">
        <v>192</v>
      </c>
      <c r="B5" t="s">
        <v>170</v>
      </c>
      <c r="C5" t="s">
        <v>165</v>
      </c>
      <c r="D5" t="s">
        <v>166</v>
      </c>
      <c r="E5">
        <v>2016</v>
      </c>
      <c r="F5" t="s">
        <v>154</v>
      </c>
      <c r="G5" s="53">
        <f t="shared" ref="G5:G6" si="3">AH5*1000</f>
        <v>23001.5</v>
      </c>
      <c r="H5" s="53">
        <f t="shared" ref="H5:H6" si="4">(AI5-AH5)*1000</f>
        <v>10.500000000000398</v>
      </c>
      <c r="I5" s="53">
        <f t="shared" ref="I5:I6" si="5">(AH5-AJ5)*1000</f>
        <v>10.500000000000398</v>
      </c>
      <c r="J5" s="51">
        <f t="shared" ref="J5:J6" si="6">AQ5</f>
        <v>1144</v>
      </c>
      <c r="K5" s="54">
        <f t="shared" ref="K5:K6" si="7">AT5-AQ5</f>
        <v>1212</v>
      </c>
      <c r="L5" s="54">
        <f t="shared" ref="L5:L6" si="8">AQ5-AS5</f>
        <v>924</v>
      </c>
      <c r="M5" t="b">
        <v>0</v>
      </c>
      <c r="N5">
        <v>3</v>
      </c>
      <c r="O5" t="s">
        <v>194</v>
      </c>
      <c r="P5" s="52" t="s">
        <v>193</v>
      </c>
      <c r="Q5" t="b">
        <v>1</v>
      </c>
      <c r="R5" t="s">
        <v>184</v>
      </c>
      <c r="S5" t="b">
        <v>1</v>
      </c>
      <c r="T5" t="b">
        <v>0</v>
      </c>
      <c r="U5" t="s">
        <v>175</v>
      </c>
      <c r="V5" t="s">
        <v>175</v>
      </c>
      <c r="W5" t="b">
        <v>0</v>
      </c>
      <c r="X5" t="s">
        <v>175</v>
      </c>
      <c r="Y5" s="16" t="s">
        <v>172</v>
      </c>
      <c r="Z5" s="7" t="s">
        <v>154</v>
      </c>
      <c r="AA5" s="49" t="s">
        <v>155</v>
      </c>
      <c r="AB5" s="7" t="s">
        <v>133</v>
      </c>
      <c r="AC5" s="16" t="s">
        <v>142</v>
      </c>
      <c r="AD5" s="20" t="s">
        <v>143</v>
      </c>
      <c r="AE5" s="16" t="s">
        <v>144</v>
      </c>
      <c r="AF5" s="16" t="s">
        <v>145</v>
      </c>
      <c r="AG5" s="16" t="s">
        <v>146</v>
      </c>
      <c r="AH5" s="21">
        <f t="shared" ref="AH5:AH6" si="9">AVERAGE(AI5:AJ5)</f>
        <v>23.0015</v>
      </c>
      <c r="AI5" s="21">
        <v>23.012</v>
      </c>
      <c r="AJ5" s="21">
        <v>22.991</v>
      </c>
      <c r="AK5" s="7" t="s">
        <v>175</v>
      </c>
      <c r="AL5" s="15" t="s">
        <v>147</v>
      </c>
      <c r="AM5" s="17">
        <v>-45.53</v>
      </c>
      <c r="AN5" s="17">
        <v>170.22</v>
      </c>
      <c r="AO5" s="48" t="s">
        <v>175</v>
      </c>
      <c r="AP5" s="48" t="s">
        <v>175</v>
      </c>
      <c r="AQ5" s="7">
        <v>1144</v>
      </c>
      <c r="AR5" s="15" t="s">
        <v>148</v>
      </c>
      <c r="AS5" s="17">
        <f>AQ5-(AQ5-682)*2</f>
        <v>220</v>
      </c>
      <c r="AT5" s="17">
        <f>AQ5+(1750-AQ5)*2</f>
        <v>2356</v>
      </c>
      <c r="AU5" s="56" t="s">
        <v>195</v>
      </c>
      <c r="AV5" s="15" t="s">
        <v>149</v>
      </c>
      <c r="AW5" s="15" t="s">
        <v>134</v>
      </c>
      <c r="AX5" s="15" t="s">
        <v>150</v>
      </c>
      <c r="AY5" s="18">
        <v>139567264.52263147</v>
      </c>
      <c r="AZ5" s="18">
        <v>77631779.62792109</v>
      </c>
      <c r="BA5" s="15" t="s">
        <v>156</v>
      </c>
      <c r="BB5" s="22">
        <v>0</v>
      </c>
      <c r="BC5" s="22">
        <v>0</v>
      </c>
      <c r="BD5" s="15" t="s">
        <v>156</v>
      </c>
      <c r="BE5" s="7">
        <v>1.1285493749999998E-5</v>
      </c>
      <c r="BF5" s="7">
        <v>1.8581016924086155E-6</v>
      </c>
      <c r="BG5" s="15" t="s">
        <v>156</v>
      </c>
      <c r="BH5" s="22">
        <v>0</v>
      </c>
      <c r="BI5" s="22">
        <v>0</v>
      </c>
      <c r="BJ5" s="15" t="s">
        <v>156</v>
      </c>
      <c r="BK5" s="7">
        <v>4.9153406250000005E-6</v>
      </c>
      <c r="BL5" s="7">
        <v>1.2996764172543125E-6</v>
      </c>
      <c r="BM5" s="15" t="s">
        <v>156</v>
      </c>
      <c r="BN5" s="22">
        <v>0</v>
      </c>
      <c r="BO5" s="22">
        <v>0</v>
      </c>
      <c r="BP5" s="15" t="s">
        <v>156</v>
      </c>
      <c r="BQ5" s="19">
        <v>-31.856999999999992</v>
      </c>
      <c r="BR5" s="19">
        <v>0.87099999999999977</v>
      </c>
      <c r="BS5" s="15" t="s">
        <v>151</v>
      </c>
      <c r="BT5" s="7">
        <v>-6</v>
      </c>
      <c r="BU5" s="7">
        <v>0.7</v>
      </c>
      <c r="BV5" s="14" t="s">
        <v>136</v>
      </c>
      <c r="BW5" s="7">
        <v>353.2</v>
      </c>
      <c r="BX5" s="7">
        <v>4.13</v>
      </c>
      <c r="BY5" s="7">
        <v>1.03</v>
      </c>
      <c r="BZ5" s="15" t="s">
        <v>152</v>
      </c>
      <c r="CA5" s="19">
        <v>0.70050995441889274</v>
      </c>
      <c r="CB5" s="23">
        <v>6.376316688666378E-2</v>
      </c>
      <c r="CC5" s="15" t="s">
        <v>152</v>
      </c>
      <c r="CD5" s="17">
        <v>2</v>
      </c>
      <c r="CE5" s="17">
        <v>0.1</v>
      </c>
      <c r="CF5" s="14" t="s">
        <v>137</v>
      </c>
      <c r="CG5" s="17">
        <v>1</v>
      </c>
      <c r="CH5" s="17">
        <v>0</v>
      </c>
      <c r="CI5" s="14" t="s">
        <v>138</v>
      </c>
      <c r="CJ5" s="7">
        <v>1</v>
      </c>
      <c r="CK5" s="7">
        <v>0.05</v>
      </c>
      <c r="CL5" s="14" t="s">
        <v>137</v>
      </c>
      <c r="CM5" s="7">
        <v>1</v>
      </c>
      <c r="CN5" s="7">
        <v>0.05</v>
      </c>
      <c r="CO5" s="14" t="s">
        <v>137</v>
      </c>
      <c r="CP5" s="7">
        <v>0.2</v>
      </c>
      <c r="CQ5" s="7">
        <v>0.01</v>
      </c>
      <c r="CR5" s="14" t="s">
        <v>137</v>
      </c>
      <c r="CS5" s="23">
        <v>1.4541929E-2</v>
      </c>
      <c r="CT5" s="24">
        <v>4.3030209999999998E-3</v>
      </c>
      <c r="CU5" s="15" t="s">
        <v>153</v>
      </c>
      <c r="CV5" s="15" t="s">
        <v>139</v>
      </c>
      <c r="CW5" s="17">
        <v>29</v>
      </c>
      <c r="CX5" s="25">
        <v>7.1428571428571429E-4</v>
      </c>
      <c r="CY5" s="17">
        <v>40</v>
      </c>
      <c r="CZ5" s="17">
        <v>20</v>
      </c>
    </row>
    <row r="6" spans="1:104" s="7" customFormat="1" x14ac:dyDescent="0.2">
      <c r="A6" t="s">
        <v>192</v>
      </c>
      <c r="B6" t="s">
        <v>170</v>
      </c>
      <c r="C6" t="s">
        <v>165</v>
      </c>
      <c r="D6" t="s">
        <v>166</v>
      </c>
      <c r="E6">
        <v>2016</v>
      </c>
      <c r="F6" t="s">
        <v>157</v>
      </c>
      <c r="G6" s="53">
        <f t="shared" si="3"/>
        <v>22960.500000000004</v>
      </c>
      <c r="H6" s="53">
        <f t="shared" si="4"/>
        <v>23.499999999998522</v>
      </c>
      <c r="I6" s="53">
        <f t="shared" si="5"/>
        <v>23.500000000002075</v>
      </c>
      <c r="J6" s="51">
        <f t="shared" si="6"/>
        <v>425.90909090909093</v>
      </c>
      <c r="K6" s="54">
        <f t="shared" si="7"/>
        <v>668.18181818181802</v>
      </c>
      <c r="L6" s="54">
        <f t="shared" si="8"/>
        <v>311.81818181818187</v>
      </c>
      <c r="M6" t="b">
        <v>0</v>
      </c>
      <c r="N6">
        <v>3</v>
      </c>
      <c r="O6" t="s">
        <v>194</v>
      </c>
      <c r="P6" s="52" t="s">
        <v>193</v>
      </c>
      <c r="Q6" t="b">
        <v>1</v>
      </c>
      <c r="R6" t="s">
        <v>184</v>
      </c>
      <c r="S6" t="b">
        <v>1</v>
      </c>
      <c r="T6" t="b">
        <v>0</v>
      </c>
      <c r="U6" t="s">
        <v>175</v>
      </c>
      <c r="V6" t="s">
        <v>175</v>
      </c>
      <c r="W6" t="b">
        <v>0</v>
      </c>
      <c r="X6" t="s">
        <v>175</v>
      </c>
      <c r="Y6" s="16" t="s">
        <v>172</v>
      </c>
      <c r="Z6" s="7" t="s">
        <v>157</v>
      </c>
      <c r="AA6" s="50"/>
      <c r="AB6" s="7" t="s">
        <v>133</v>
      </c>
      <c r="AC6" s="16" t="s">
        <v>142</v>
      </c>
      <c r="AD6" s="20" t="s">
        <v>143</v>
      </c>
      <c r="AE6" s="16" t="s">
        <v>144</v>
      </c>
      <c r="AF6" s="16" t="s">
        <v>145</v>
      </c>
      <c r="AG6" s="16" t="s">
        <v>146</v>
      </c>
      <c r="AH6" s="21">
        <f t="shared" si="9"/>
        <v>22.960500000000003</v>
      </c>
      <c r="AI6" s="21">
        <v>22.984000000000002</v>
      </c>
      <c r="AJ6" s="21">
        <v>22.937000000000001</v>
      </c>
      <c r="AK6" s="7" t="s">
        <v>175</v>
      </c>
      <c r="AL6" s="15" t="s">
        <v>147</v>
      </c>
      <c r="AM6" s="17">
        <v>-45.53</v>
      </c>
      <c r="AN6" s="17">
        <v>170.22</v>
      </c>
      <c r="AO6" s="48" t="s">
        <v>175</v>
      </c>
      <c r="AP6" s="48" t="s">
        <v>175</v>
      </c>
      <c r="AQ6" s="26">
        <v>425.90909090909093</v>
      </c>
      <c r="AR6" s="15" t="s">
        <v>148</v>
      </c>
      <c r="AS6" s="55">
        <f>AQ6-(AQ6-270)*2</f>
        <v>114.09090909090907</v>
      </c>
      <c r="AT6" s="55">
        <f>AQ6+(760-AQ6)*2</f>
        <v>1094.090909090909</v>
      </c>
      <c r="AU6" s="56" t="s">
        <v>195</v>
      </c>
      <c r="AV6" s="15" t="s">
        <v>149</v>
      </c>
      <c r="AW6" s="15" t="s">
        <v>134</v>
      </c>
      <c r="AX6" s="15" t="s">
        <v>150</v>
      </c>
      <c r="AY6" s="18">
        <v>245222341.44015262</v>
      </c>
      <c r="AZ6" s="18">
        <v>71849496.581138045</v>
      </c>
      <c r="BA6" s="15" t="s">
        <v>158</v>
      </c>
      <c r="BB6" s="22">
        <v>0</v>
      </c>
      <c r="BC6" s="22">
        <v>0</v>
      </c>
      <c r="BD6" s="15" t="s">
        <v>158</v>
      </c>
      <c r="BE6" s="7">
        <v>1.0563674892703855E-5</v>
      </c>
      <c r="BF6" s="7">
        <v>1.6083137464021946E-6</v>
      </c>
      <c r="BG6" s="15" t="s">
        <v>158</v>
      </c>
      <c r="BH6" s="22">
        <v>0</v>
      </c>
      <c r="BI6" s="22">
        <v>0</v>
      </c>
      <c r="BJ6" s="15" t="s">
        <v>158</v>
      </c>
      <c r="BK6" s="7">
        <v>5.0179763948497881E-6</v>
      </c>
      <c r="BL6" s="7">
        <v>1.8121044362569102E-6</v>
      </c>
      <c r="BM6" s="15" t="s">
        <v>158</v>
      </c>
      <c r="BN6" s="22">
        <v>0</v>
      </c>
      <c r="BO6" s="22">
        <v>0</v>
      </c>
      <c r="BP6" s="15" t="s">
        <v>158</v>
      </c>
      <c r="BQ6" s="19">
        <v>-29.012954545454537</v>
      </c>
      <c r="BR6" s="19">
        <v>0.91181818181818175</v>
      </c>
      <c r="BS6" s="15" t="s">
        <v>151</v>
      </c>
      <c r="BT6" s="7">
        <v>-6</v>
      </c>
      <c r="BU6" s="7">
        <v>0.7</v>
      </c>
      <c r="BV6" s="14" t="s">
        <v>136</v>
      </c>
      <c r="BW6" s="7">
        <v>353.2</v>
      </c>
      <c r="BX6" s="7">
        <v>4.13</v>
      </c>
      <c r="BY6" s="7">
        <v>1.03</v>
      </c>
      <c r="BZ6" s="15" t="s">
        <v>152</v>
      </c>
      <c r="CA6" s="19">
        <v>0.70050995441889274</v>
      </c>
      <c r="CB6" s="23">
        <v>6.376316688666378E-2</v>
      </c>
      <c r="CC6" s="15" t="s">
        <v>152</v>
      </c>
      <c r="CD6" s="17">
        <v>2</v>
      </c>
      <c r="CE6" s="17">
        <v>0.1</v>
      </c>
      <c r="CF6" s="14" t="s">
        <v>137</v>
      </c>
      <c r="CG6" s="17">
        <v>1</v>
      </c>
      <c r="CH6" s="17">
        <v>0</v>
      </c>
      <c r="CI6" s="14" t="s">
        <v>138</v>
      </c>
      <c r="CJ6" s="7">
        <v>1</v>
      </c>
      <c r="CK6" s="7">
        <v>0.05</v>
      </c>
      <c r="CL6" s="14" t="s">
        <v>137</v>
      </c>
      <c r="CM6" s="7">
        <v>1</v>
      </c>
      <c r="CN6" s="7">
        <v>0.05</v>
      </c>
      <c r="CO6" s="14" t="s">
        <v>137</v>
      </c>
      <c r="CP6" s="7">
        <v>0.2</v>
      </c>
      <c r="CQ6" s="7">
        <v>0.01</v>
      </c>
      <c r="CR6" s="14" t="s">
        <v>137</v>
      </c>
      <c r="CS6" s="23">
        <v>1.4541929E-2</v>
      </c>
      <c r="CT6" s="24">
        <v>4.3030209999999998E-3</v>
      </c>
      <c r="CU6" s="15" t="s">
        <v>153</v>
      </c>
      <c r="CV6" s="15" t="s">
        <v>139</v>
      </c>
      <c r="CW6" s="17">
        <v>29</v>
      </c>
      <c r="CX6" s="25">
        <v>7.1428571428571429E-4</v>
      </c>
      <c r="CY6" s="17">
        <v>40</v>
      </c>
      <c r="CZ6" s="17">
        <v>20</v>
      </c>
    </row>
    <row r="7" spans="1:104" s="7" customFormat="1" x14ac:dyDescent="0.2">
      <c r="AY7" s="18"/>
      <c r="AZ7" s="18"/>
      <c r="BB7" s="18"/>
      <c r="BC7" s="18"/>
      <c r="BE7" s="18"/>
      <c r="BF7" s="18"/>
      <c r="BH7" s="18"/>
      <c r="BI7" s="18"/>
      <c r="BK7" s="18"/>
      <c r="BL7" s="18"/>
      <c r="BN7" s="18"/>
      <c r="BO7" s="18"/>
    </row>
    <row r="8" spans="1:104" s="7" customFormat="1" x14ac:dyDescent="0.2">
      <c r="AY8" s="18"/>
      <c r="AZ8" s="18"/>
      <c r="BB8" s="18"/>
      <c r="BC8" s="18"/>
      <c r="BE8" s="18"/>
      <c r="BF8" s="18"/>
      <c r="BH8" s="18"/>
      <c r="BI8" s="18"/>
      <c r="BK8" s="18"/>
      <c r="BL8" s="18"/>
      <c r="BN8" s="18"/>
      <c r="BO8" s="18"/>
    </row>
    <row r="9" spans="1:104" s="7" customFormat="1" x14ac:dyDescent="0.2">
      <c r="L9" s="26"/>
      <c r="M9" s="26"/>
      <c r="AY9" s="18"/>
      <c r="AZ9" s="18"/>
      <c r="BE9" s="18"/>
      <c r="BF9" s="18"/>
      <c r="BH9" s="18"/>
      <c r="BI9" s="18"/>
      <c r="BK9" s="18"/>
      <c r="BL9" s="18"/>
      <c r="BN9" s="18"/>
      <c r="BO9" s="18"/>
    </row>
    <row r="10" spans="1:104" s="7" customFormat="1" x14ac:dyDescent="0.2">
      <c r="L10" s="26"/>
      <c r="M10" s="26"/>
    </row>
    <row r="11" spans="1:104" s="7" customFormat="1" x14ac:dyDescent="0.2">
      <c r="L11" s="26"/>
      <c r="M11" s="26"/>
    </row>
    <row r="12" spans="1:104" s="7" customFormat="1" x14ac:dyDescent="0.2"/>
    <row r="13" spans="1:104" s="7" customFormat="1" x14ac:dyDescent="0.2">
      <c r="J13" s="26"/>
    </row>
    <row r="14" spans="1:104" s="7" customFormat="1" x14ac:dyDescent="0.2"/>
    <row r="15" spans="1:104" s="7" customFormat="1" x14ac:dyDescent="0.2"/>
    <row r="16" spans="1:104" s="7" customFormat="1" x14ac:dyDescent="0.2"/>
    <row r="17" s="7" customFormat="1" x14ac:dyDescent="0.2"/>
    <row r="18" s="7" customFormat="1" x14ac:dyDescent="0.2"/>
    <row r="19" s="7" customFormat="1" x14ac:dyDescent="0.2"/>
    <row r="20" s="7" customFormat="1" x14ac:dyDescent="0.2"/>
    <row r="21" s="7" customFormat="1" x14ac:dyDescent="0.2"/>
    <row r="22" s="7" customFormat="1" x14ac:dyDescent="0.2"/>
    <row r="23" s="7" customFormat="1" x14ac:dyDescent="0.2"/>
    <row r="24" s="7" customFormat="1" x14ac:dyDescent="0.2"/>
    <row r="25" s="7" customFormat="1" x14ac:dyDescent="0.2"/>
    <row r="26" s="7" customFormat="1" x14ac:dyDescent="0.2"/>
    <row r="27" s="7" customFormat="1" x14ac:dyDescent="0.2"/>
    <row r="28" s="7" customFormat="1" x14ac:dyDescent="0.2"/>
    <row r="29" s="7" customFormat="1" x14ac:dyDescent="0.2"/>
    <row r="30" s="7" customFormat="1" x14ac:dyDescent="0.2"/>
    <row r="31" s="7" customFormat="1" x14ac:dyDescent="0.2"/>
    <row r="32" s="7" customFormat="1" x14ac:dyDescent="0.2"/>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row r="41" s="7" customFormat="1" x14ac:dyDescent="0.2"/>
    <row r="42" s="7" customFormat="1" x14ac:dyDescent="0.2"/>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45" t="s">
        <v>0</v>
      </c>
    </row>
    <row r="2" spans="1:1" ht="17" x14ac:dyDescent="0.2">
      <c r="A2" s="46" t="s">
        <v>1</v>
      </c>
    </row>
    <row r="3" spans="1:1" x14ac:dyDescent="0.2">
      <c r="A3" s="45" t="s">
        <v>2</v>
      </c>
    </row>
    <row r="4" spans="1:1" x14ac:dyDescent="0.2">
      <c r="A4" s="4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2019-02-07T19:33:46Z</dcterms:created>
  <dcterms:modified xsi:type="dcterms:W3CDTF">2022-03-17T19:04:16Z</dcterms:modified>
</cp:coreProperties>
</file>