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2"/>
  <workbookPr/>
  <mc:AlternateContent xmlns:mc="http://schemas.openxmlformats.org/markup-compatibility/2006">
    <mc:Choice Requires="x15">
      <x15ac:absPath xmlns:x15ac="http://schemas.microsoft.com/office/spreadsheetml/2010/11/ac" url="/Users/Daphnia/Desktop/"/>
    </mc:Choice>
  </mc:AlternateContent>
  <xr:revisionPtr revIDLastSave="0" documentId="13_ncr:1_{0EEC9F66-A294-AC4B-9966-6AEB74261A33}" xr6:coauthVersionLast="47" xr6:coauthVersionMax="47" xr10:uidLastSave="{00000000-0000-0000-0000-000000000000}"/>
  <bookViews>
    <workbookView xWindow="0" yWindow="3820" windowWidth="28800" windowHeight="13180" xr2:uid="{00000000-000D-0000-FFFF-FFFF00000000}"/>
  </bookViews>
  <sheets>
    <sheet name="leaf gas-exchange_Franks" sheetId="1" r:id="rId1"/>
    <sheet name="Input Parameters and Referen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5" i="1" l="1"/>
  <c r="G5" i="1"/>
  <c r="H5" i="1"/>
  <c r="I5" i="1"/>
  <c r="J5" i="1"/>
  <c r="K5" i="1"/>
  <c r="L5" i="1"/>
  <c r="F6" i="1"/>
  <c r="G6" i="1"/>
  <c r="H6" i="1"/>
  <c r="I6" i="1"/>
  <c r="J6" i="1"/>
  <c r="K6" i="1"/>
  <c r="L6" i="1"/>
  <c r="F7" i="1"/>
  <c r="G7" i="1"/>
  <c r="H7" i="1"/>
  <c r="I7" i="1"/>
  <c r="J7" i="1"/>
  <c r="K7" i="1"/>
  <c r="L7" i="1"/>
  <c r="F8" i="1"/>
  <c r="G8" i="1"/>
  <c r="H8" i="1"/>
  <c r="I8" i="1"/>
  <c r="J8" i="1"/>
  <c r="K8" i="1"/>
  <c r="L8" i="1"/>
  <c r="F9" i="1"/>
  <c r="G9" i="1"/>
  <c r="H9" i="1"/>
  <c r="I9" i="1"/>
  <c r="J9" i="1"/>
  <c r="K9" i="1"/>
  <c r="L9" i="1"/>
  <c r="F10" i="1"/>
  <c r="G10" i="1"/>
  <c r="H10" i="1"/>
  <c r="I10" i="1"/>
  <c r="J10" i="1"/>
  <c r="K10" i="1"/>
  <c r="L10" i="1"/>
  <c r="F11" i="1"/>
  <c r="G11" i="1"/>
  <c r="H11" i="1"/>
  <c r="I11" i="1"/>
  <c r="J11" i="1"/>
  <c r="K11" i="1"/>
  <c r="L11" i="1"/>
  <c r="F12" i="1"/>
  <c r="G12" i="1"/>
  <c r="H12" i="1"/>
  <c r="I12" i="1"/>
  <c r="J12" i="1"/>
  <c r="K12" i="1"/>
  <c r="L12" i="1"/>
  <c r="F13" i="1"/>
  <c r="G13" i="1"/>
  <c r="H13" i="1"/>
  <c r="I13" i="1"/>
  <c r="J13" i="1"/>
  <c r="K13" i="1"/>
  <c r="L13" i="1"/>
  <c r="AJ13" i="1"/>
  <c r="AI13" i="1"/>
  <c r="AJ12" i="1"/>
  <c r="AI12" i="1"/>
  <c r="AJ11" i="1"/>
  <c r="AI11" i="1"/>
  <c r="AJ10" i="1"/>
  <c r="AI10" i="1"/>
  <c r="AJ9" i="1"/>
  <c r="AI9" i="1"/>
  <c r="AJ8" i="1"/>
  <c r="AI8" i="1"/>
  <c r="AJ7" i="1"/>
  <c r="AI7" i="1"/>
  <c r="AJ6" i="1"/>
  <c r="AI6" i="1"/>
  <c r="AJ5" i="1"/>
  <c r="AI5" i="1"/>
  <c r="AJ4" i="1"/>
  <c r="AI4" i="1"/>
  <c r="F4" i="1" l="1"/>
  <c r="J4" i="1" l="1"/>
  <c r="L4" i="1"/>
  <c r="K4" i="1"/>
  <c r="I4" i="1"/>
  <c r="H4" i="1"/>
  <c r="G4" i="1"/>
</calcChain>
</file>

<file path=xl/sharedStrings.xml><?xml version="1.0" encoding="utf-8"?>
<sst xmlns="http://schemas.openxmlformats.org/spreadsheetml/2006/main" count="603" uniqueCount="216">
  <si>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</si>
  <si>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</si>
  <si>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</si>
  <si>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</si>
  <si>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</si>
  <si>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</si>
  <si>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</si>
  <si>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</si>
  <si>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</si>
  <si>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</si>
  <si>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</si>
  <si>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</si>
  <si>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</si>
  <si>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</si>
  <si>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</si>
  <si>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</si>
  <si>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</si>
  <si>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</si>
  <si>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</si>
  <si>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</si>
  <si>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</si>
  <si>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</si>
  <si>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</si>
  <si>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</si>
  <si>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</si>
  <si>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</si>
  <si>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</si>
  <si>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</si>
  <si>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</si>
  <si>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</si>
  <si>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</si>
  <si>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</si>
  <si>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</si>
  <si>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</si>
  <si>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</si>
  <si>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</si>
  <si>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</si>
  <si>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</si>
  <si>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</si>
  <si>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</si>
  <si>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</si>
  <si>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</si>
  <si>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</si>
  <si>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</si>
  <si>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</si>
  <si>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</si>
  <si>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</si>
  <si>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</si>
  <si>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</si>
  <si>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</si>
  <si>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</si>
  <si>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</si>
  <si>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</si>
  <si>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(in prep.).</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</si>
  <si>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</si>
  <si>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</si>
  <si>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</si>
  <si>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</si>
  <si>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</si>
  <si>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</si>
  <si>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</si>
  <si>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</si>
  <si>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</si>
  <si>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</si>
  <si>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</si>
  <si>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</si>
  <si>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</si>
  <si>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</si>
  <si>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</si>
  <si>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</si>
  <si>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</si>
  <si>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</si>
  <si>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</si>
  <si>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</si>
  <si>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</si>
  <si>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</si>
  <si>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</si>
  <si>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</si>
  <si>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</si>
  <si>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</si>
  <si>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</si>
  <si>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</si>
  <si>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</si>
  <si>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</si>
  <si>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</si>
  <si>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</si>
  <si>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</si>
  <si>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</si>
  <si>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</si>
  <si>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</si>
  <si>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</si>
  <si>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</si>
  <si>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</si>
  <si>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</si>
  <si>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</si>
  <si>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</si>
  <si>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</si>
  <si>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</si>
  <si>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</si>
  <si>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</si>
  <si>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</si>
  <si>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</si>
  <si>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</si>
  <si>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</si>
  <si>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</si>
  <si>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</si>
  <si>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</si>
  <si>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</si>
  <si>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</si>
  <si>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</si>
  <si>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</si>
  <si>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</si>
  <si>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</si>
  <si>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</si>
  <si>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</si>
  <si>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</si>
  <si>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</si>
  <si>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</si>
  <si>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</si>
  <si>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</si>
  <si>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</si>
  <si>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</si>
  <si>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</si>
  <si>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</si>
  <si>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</si>
  <si>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</si>
  <si>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</si>
  <si>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</si>
  <si>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</si>
  <si>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</si>
  <si>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</si>
  <si>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</si>
  <si>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</si>
  <si>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Dana L. Royer</t>
  </si>
  <si>
    <t>median</t>
  </si>
  <si>
    <t>microscope</t>
  </si>
  <si>
    <t>age model of Tipple et al. (2010; 10.1029/2009PA001851)</t>
  </si>
  <si>
    <t>generic value from Franks et al. (2014); 1 sigma error is 5% of mean</t>
  </si>
  <si>
    <t>no</t>
  </si>
  <si>
    <t>proxy</t>
  </si>
  <si>
    <t>first_author_last_name</t>
  </si>
  <si>
    <t>publication_year</t>
  </si>
  <si>
    <t>age_ka</t>
  </si>
  <si>
    <t>Age_uncertainty_pos_ka</t>
  </si>
  <si>
    <t>Age_uncertainty_neg_ka</t>
  </si>
  <si>
    <t>stomata-franks</t>
  </si>
  <si>
    <t>true/false</t>
  </si>
  <si>
    <t>name of person entering product data</t>
  </si>
  <si>
    <t>email of person entering product data</t>
  </si>
  <si>
    <t>specify reason for age revision</t>
  </si>
  <si>
    <t>droyer@wesleyan.edu</t>
  </si>
  <si>
    <t>specify reason for quarantine</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</si>
  <si>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</si>
  <si>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</si>
  <si>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</si>
  <si>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</si>
  <si>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</si>
  <si>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</si>
  <si>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</si>
  <si>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</si>
  <si>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</si>
  <si>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</si>
  <si>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</si>
  <si>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</si>
  <si>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</si>
  <si>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</si>
  <si>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</si>
  <si>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Longitude (decimal degree, west negative)</t>
  </si>
  <si>
    <t>Paleo Latitude (decimal degree, south negative)</t>
  </si>
  <si>
    <t>Paleo Longitude (decimal degree, west negative)</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</si>
  <si>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</si>
  <si>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</si>
  <si>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Wolfe</t>
  </si>
  <si>
    <t>Wolfe, A. P., Reyes, A. V., Royer, D. L., Greenwood, D. R., Doria, G., Gagen, M. H., Siver, P. A., and Westgate, J. A., 2017, Middle Eocene CO2 and climate reconstructed from the sediment fill of a subarctic kimberlite maar: Geology, v. 45, p. 619-622, doi: 10.1130/g39002.1.</t>
  </si>
  <si>
    <t>10.1130/g39002.1</t>
  </si>
  <si>
    <t>Giraffe 58.16</t>
  </si>
  <si>
    <t>Cupressaceae</t>
  </si>
  <si>
    <t>Metasequoia</t>
  </si>
  <si>
    <t>occidentalis</t>
  </si>
  <si>
    <t>University of Calgery</t>
  </si>
  <si>
    <t>Giraffe kimberlite locality</t>
  </si>
  <si>
    <t>58.16 vertical equivalent depth (m)</t>
  </si>
  <si>
    <t>The age of the peat is constrained by three fission-track dates from two calcalkaline rhyolitic tephra beds at the base of the peat (fig. 2; Wolfe and others, 2006) using both diameter-corrected (n = 2) and isothermal-plateau (n = 1) techniques (Westgate and others, 2006), which produce a weighted-mean age model of 37.84 Ma. The studied peat section (7.54 m) represents ~104 yrs assuming a similar accumulation rate as the peat-to-lignite grade.</t>
  </si>
  <si>
    <t>16th and 84th percentile</t>
  </si>
  <si>
    <t>right-skewed</t>
  </si>
  <si>
    <t>varying; but maxium of 0.1336 mm2</t>
  </si>
  <si>
    <t>5 leaves (5 fields-of-view from each leaf)</t>
  </si>
  <si>
    <t>5 leaves (multiple stomata per leaf)</t>
  </si>
  <si>
    <t>This is based on a scaling in living Metasequoia between the "inner rectangular length" and single guard cell width (s1 * GCLab to get pore length, then 0.7 * pore length to get single guard cell width); see Table DR4 in Wolfe et al. (2017) for details</t>
  </si>
  <si>
    <t>1 leaf (different from leaves measured for stomatal dimensions)</t>
  </si>
  <si>
    <t>mean of 12 leaves from the living Metasequoia glyptostroboides (Maxbauer et al., 2014)</t>
  </si>
  <si>
    <t>mean of 10 leaves from the living Metasequoia glyptostroboides (Maxbauer et al., 2014)</t>
  </si>
  <si>
    <t>pore length was scaled from "inner rectangular length" based on the scaling of leaves from living Metasequoia glyptostroboides</t>
  </si>
  <si>
    <t>based on measurements of 7 leaves from living Metasequoia glyptostroboides (Maxbauer et al., 2014)</t>
  </si>
  <si>
    <t>Giraffe 58.50</t>
  </si>
  <si>
    <t>58.50 vertical equivalent depth (m)</t>
  </si>
  <si>
    <t>Giraffe 58.73</t>
  </si>
  <si>
    <t>58.73 vertical equivalent depth (m)</t>
  </si>
  <si>
    <t>Giraffe 59.20</t>
  </si>
  <si>
    <t>59.20 vertical equivalent depth (m)</t>
  </si>
  <si>
    <t>Giraffe 59.24</t>
  </si>
  <si>
    <t>59.24 vertical equivalent depth (m)</t>
  </si>
  <si>
    <t>Giraffe 62.06</t>
  </si>
  <si>
    <t>62.06 vertical equivalent depth (m)</t>
  </si>
  <si>
    <t>Giraffe 64.46</t>
  </si>
  <si>
    <t>64.46 vertical equivalent depth (m)</t>
  </si>
  <si>
    <t>Giraffe 65.69</t>
  </si>
  <si>
    <t>65.69 vertical equivalent depth (m)</t>
  </si>
  <si>
    <t>Giraffe 65.7</t>
  </si>
  <si>
    <t>65.70 vertical equivalent depth (m)</t>
  </si>
  <si>
    <t>Giraffe combined</t>
  </si>
  <si>
    <t>combine all levels</t>
  </si>
  <si>
    <t>CO2 was estimated at nine close stratigraphic levels within a maar lake; to avoid pseudo-replication, only the combined estimate is retained</t>
  </si>
  <si>
    <t>The updated age (~48 Ma) is substantially older than the published age (~38 Ma), but the updated age is based on a conference abstract and does not include uncertainties in the mean age</t>
  </si>
  <si>
    <t>10.1130/abs/2020AM-358957</t>
  </si>
  <si>
    <t>1) guard cell width was not directly measured, it was scaled based on observations in living Metasequoia; this is problematic; 2) leaf d13C was measured on different leaves than what was measured for stomatal morphology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</si>
</sst>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b/>
      <sz val="12"/>
      <name val="Calibri"/>
      <family val="2"/>
      <scheme val="minor"/>
    </font>
    <font>
      <sz val="12"/>
      <color theme="1"/>
      <name val="Calibri"/>
      <family val="2"/>
      <scheme val="minor"/>
    </font>
    <font>
      <sz val="11"/>
      <color rgb="FF000000"/>
      <name val="Calibri"/>
      <family val="2"/>
      <charset val="1"/>
    </font>
    <font>
      <sz val="8"/>
      <name val="Calibri"/>
      <family val="2"/>
      <scheme val="minor"/>
    </font>
  </fonts>
  <fills count="6">
    <fill>
      <patternFill patternType="none"/>
    </fill>
    <fill>
      <patternFill patternType="gray125"/>
    </fill>
    <fill>
      <patternFill patternType="solid">
        <fgColor rgb="FFE2EFD9"/>
        <bgColor indexed="64"/>
      </patternFill>
    </fill>
    <fill>
      <patternFill patternType="solid">
        <fgColor rgb="FFCC99FF"/>
        <bgColor indexed="64"/>
      </patternFill>
    </fill>
    <fill>
      <patternFill patternType="solid">
        <fgColor theme="9" tint="0.79998168889431442"/>
        <bgColor indexed="64"/>
      </patternFill>
    </fill>
    <fill>
      <patternFill patternType="solid">
        <fgColor rgb="FFFFCC66"/>
        <bgColor indexed="64"/>
      </patternFill>
    </fill>
  </fills>
  <borders count="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cellStyleXfs>
  <cellXfs count="39">
    <xf numFmtId="0" fontId="0" fillId="0" borderId="0" xfId="0"/>
    <xf numFmtId="0" fontId="0" fillId="2" borderId="0" xfId="0" applyFill="1" applyAlignment="1">
      <alignment vertical="top"/>
    </xf>
    <xf numFmtId="0" fontId="1" fillId="3" borderId="0" xfId="0" applyFont="1" applyFill="1"/>
    <xf numFmtId="0" fontId="1" fillId="4" borderId="0" xfId="0" applyFont="1" applyFill="1"/>
    <xf numFmtId="0" fontId="1" fillId="5" borderId="0" xfId="0" applyFont="1" applyFill="1"/>
    <xf numFmtId="0" fontId="1" fillId="2" borderId="0" xfId="0" applyFont="1" applyFill="1"/>
    <xf numFmtId="0" fontId="2" fillId="2" borderId="0" xfId="0" applyFont="1" applyFill="1" applyAlignment="1">
      <alignment vertical="top" wrapText="1"/>
    </xf>
    <xf numFmtId="0" fontId="3" fillId="2" borderId="0" xfId="0" applyFont="1" applyFill="1" applyAlignment="1">
      <alignment horizontal="center"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3"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Border="1" applyAlignment="1">
      <alignment wrapText="1"/>
    </xf>
    <xf numFmtId="0" fontId="0" fillId="0" borderId="2" xfId="0" quotePrefix="1" applyBorder="1" applyAlignment="1">
      <alignment wrapText="1"/>
    </xf>
    <xf numFmtId="0" fontId="0" fillId="0" borderId="3" xfId="0" quotePrefix="1" applyBorder="1" applyAlignment="1">
      <alignment wrapText="1"/>
    </xf>
    <xf numFmtId="0" fontId="0" fillId="0" borderId="3" xfId="0" applyBorder="1" applyAlignment="1">
      <alignment wrapText="1"/>
    </xf>
    <xf numFmtId="0" fontId="0" fillId="0" borderId="5" xfId="0" applyBorder="1" applyAlignment="1">
      <alignment wrapText="1"/>
    </xf>
    <xf numFmtId="0" fontId="0" fillId="0" borderId="1" xfId="0"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1" fillId="0" borderId="0" xfId="0" applyFont="1" applyAlignment="1">
      <alignment vertical="center"/>
    </xf>
    <xf numFmtId="0" fontId="1" fillId="0" borderId="0" xfId="0" applyFont="1" applyAlignment="1">
      <alignment wrapText="1"/>
    </xf>
    <xf numFmtId="0" fontId="4" fillId="4" borderId="0" xfId="0" applyFont="1" applyFill="1" applyAlignment="1">
      <alignment horizontal="center" vertical="center" wrapText="1"/>
    </xf>
    <xf numFmtId="0" fontId="5" fillId="0" borderId="0" xfId="0" applyFont="1"/>
    <xf numFmtId="1" fontId="5" fillId="0" borderId="0" xfId="0" applyNumberFormat="1" applyFont="1"/>
    <xf numFmtId="1" fontId="0" fillId="0" borderId="0" xfId="0" applyNumberFormat="1"/>
    <xf numFmtId="0" fontId="0" fillId="0" borderId="0" xfId="0" applyAlignment="1">
      <alignment horizontal="right"/>
    </xf>
    <xf numFmtId="0" fontId="1" fillId="0" borderId="0" xfId="0" applyFont="1"/>
    <xf numFmtId="11" fontId="0" fillId="0" borderId="0" xfId="0" applyNumberFormat="1"/>
    <xf numFmtId="0" fontId="1" fillId="0" borderId="0" xfId="0" applyFont="1" applyAlignment="1">
      <alignment horizontal="right"/>
    </xf>
    <xf numFmtId="0" fontId="0" fillId="0" borderId="0" xfId="0" applyAlignment="1">
      <alignment horizontal="center"/>
    </xf>
  </cellXfs>
  <cellStyles count="2">
    <cellStyle name="Normal" xfId="0" builtinId="0"/>
    <cellStyle name="Normal 3" xfId="1" xr:uid="{05A43056-29F5-41FB-9DB9-44AECE95A5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Z40"/>
  <sheetViews>
    <sheetView tabSelected="1" topLeftCell="CM1" workbookViewId="0">
      <pane ySplit="3" topLeftCell="A4" activePane="bottomLeft" state="frozen"/>
      <selection pane="bottomLeft" activeCell="AX8" sqref="AX8"/>
    </sheetView>
  </sheetViews>
  <sheetFormatPr baseColWidth="10" defaultColWidth="11" defaultRowHeight="16" x14ac:dyDescent="0.2"/>
  <cols>
    <col min="33" max="33" width="11.6640625" customWidth="1"/>
    <col min="35" max="35" width="11.83203125" customWidth="1"/>
    <col min="36" max="36" width="12.33203125" customWidth="1"/>
    <col min="38" max="38" width="11.83203125" customWidth="1"/>
    <col min="43" max="43" width="15.33203125" customWidth="1"/>
    <col min="48" max="48" width="13.1640625" customWidth="1"/>
  </cols>
  <sheetData>
    <row r="2" spans="1:104" x14ac:dyDescent="0.2">
      <c r="A2" s="12"/>
      <c r="B2" s="13"/>
      <c r="C2" s="13"/>
      <c r="D2" s="13"/>
      <c r="E2" s="13"/>
      <c r="F2" s="13"/>
      <c r="G2" s="13"/>
      <c r="H2" s="13"/>
      <c r="I2" s="13"/>
      <c r="J2" s="13"/>
      <c r="K2" s="13"/>
      <c r="L2" s="14"/>
      <c r="M2" s="15" t="s">
        <v>146</v>
      </c>
      <c r="N2" s="15"/>
      <c r="O2" s="15"/>
      <c r="P2" s="15"/>
      <c r="R2" s="16"/>
      <c r="S2" s="38"/>
      <c r="T2" s="38"/>
      <c r="U2" s="38"/>
      <c r="V2" s="38"/>
      <c r="W2" s="38"/>
      <c r="X2" s="16"/>
      <c r="Y2" s="1"/>
      <c r="Z2" s="1"/>
      <c r="AA2" s="1"/>
      <c r="AB2" s="1"/>
      <c r="AC2" s="1"/>
      <c r="AD2" s="1"/>
      <c r="AE2" s="1"/>
      <c r="AF2" s="1"/>
      <c r="AG2" s="1"/>
      <c r="AH2" s="1"/>
      <c r="AI2" s="1"/>
      <c r="AJ2" s="1"/>
      <c r="AK2" s="1"/>
      <c r="AL2" s="1"/>
      <c r="AM2" s="1"/>
      <c r="AN2" s="1"/>
      <c r="AO2" s="1"/>
      <c r="AP2" s="1"/>
      <c r="AQ2" s="1"/>
      <c r="AR2" s="1"/>
      <c r="AS2" s="1"/>
      <c r="AT2" s="1"/>
      <c r="AU2" s="1"/>
      <c r="AV2" s="1"/>
      <c r="AW2" s="1"/>
      <c r="AX2" s="1"/>
      <c r="AY2" s="2" t="s">
        <v>4</v>
      </c>
      <c r="AZ2" s="2" t="s">
        <v>5</v>
      </c>
      <c r="BA2" s="2" t="s">
        <v>6</v>
      </c>
      <c r="BB2" s="2" t="s">
        <v>7</v>
      </c>
      <c r="BC2" s="2" t="s">
        <v>8</v>
      </c>
      <c r="BD2" s="2" t="s">
        <v>9</v>
      </c>
      <c r="BE2" s="2" t="s">
        <v>10</v>
      </c>
      <c r="BF2" s="2" t="s">
        <v>11</v>
      </c>
      <c r="BG2" s="2" t="s">
        <v>12</v>
      </c>
      <c r="BH2" s="2" t="s">
        <v>13</v>
      </c>
      <c r="BI2" s="2" t="s">
        <v>14</v>
      </c>
      <c r="BJ2" s="2" t="s">
        <v>15</v>
      </c>
      <c r="BK2" s="2" t="s">
        <v>16</v>
      </c>
      <c r="BL2" s="2" t="s">
        <v>17</v>
      </c>
      <c r="BM2" s="2" t="s">
        <v>18</v>
      </c>
      <c r="BN2" s="2" t="s">
        <v>19</v>
      </c>
      <c r="BO2" s="2" t="s">
        <v>20</v>
      </c>
      <c r="BP2" s="2" t="s">
        <v>21</v>
      </c>
      <c r="BQ2" s="2" t="s">
        <v>22</v>
      </c>
      <c r="BR2" s="2" t="s">
        <v>23</v>
      </c>
      <c r="BS2" s="2" t="s">
        <v>24</v>
      </c>
      <c r="BT2" s="3" t="s">
        <v>25</v>
      </c>
      <c r="BU2" s="3" t="s">
        <v>26</v>
      </c>
      <c r="BV2" s="3" t="s">
        <v>27</v>
      </c>
      <c r="BW2" s="3" t="s">
        <v>28</v>
      </c>
      <c r="BX2" s="4" t="s">
        <v>29</v>
      </c>
      <c r="BY2" s="4" t="s">
        <v>30</v>
      </c>
      <c r="BZ2" s="4" t="s">
        <v>31</v>
      </c>
      <c r="CA2" s="4" t="s">
        <v>32</v>
      </c>
      <c r="CB2" s="4" t="s">
        <v>33</v>
      </c>
      <c r="CC2" s="4" t="s">
        <v>34</v>
      </c>
      <c r="CD2" s="4" t="s">
        <v>35</v>
      </c>
      <c r="CE2" s="4" t="s">
        <v>36</v>
      </c>
      <c r="CF2" s="4" t="s">
        <v>37</v>
      </c>
      <c r="CG2" s="4" t="s">
        <v>38</v>
      </c>
      <c r="CH2" s="4" t="s">
        <v>39</v>
      </c>
      <c r="CI2" s="4" t="s">
        <v>40</v>
      </c>
      <c r="CJ2" s="4" t="s">
        <v>41</v>
      </c>
      <c r="CK2" s="4" t="s">
        <v>42</v>
      </c>
      <c r="CL2" s="4" t="s">
        <v>43</v>
      </c>
      <c r="CM2" s="4" t="s">
        <v>44</v>
      </c>
      <c r="CN2" s="4" t="s">
        <v>45</v>
      </c>
      <c r="CO2" s="4" t="s">
        <v>46</v>
      </c>
      <c r="CP2" s="4" t="s">
        <v>47</v>
      </c>
      <c r="CQ2" s="4" t="s">
        <v>48</v>
      </c>
      <c r="CR2" s="4" t="s">
        <v>49</v>
      </c>
      <c r="CS2" s="4" t="s">
        <v>50</v>
      </c>
      <c r="CT2" s="4" t="s">
        <v>51</v>
      </c>
      <c r="CU2" s="4" t="s">
        <v>52</v>
      </c>
      <c r="CV2" s="5" t="s">
        <v>53</v>
      </c>
      <c r="CW2" s="5" t="s">
        <v>54</v>
      </c>
      <c r="CX2" s="5" t="s">
        <v>55</v>
      </c>
      <c r="CY2" s="4" t="s">
        <v>56</v>
      </c>
      <c r="CZ2" s="5" t="s">
        <v>57</v>
      </c>
    </row>
    <row r="3" spans="1:104" s="11" customFormat="1" ht="83.25" customHeight="1" x14ac:dyDescent="0.2">
      <c r="A3" s="17" t="s">
        <v>147</v>
      </c>
      <c r="B3" s="18" t="s">
        <v>148</v>
      </c>
      <c r="C3" s="19" t="s">
        <v>139</v>
      </c>
      <c r="D3" s="20" t="s">
        <v>140</v>
      </c>
      <c r="E3" s="20" t="s">
        <v>141</v>
      </c>
      <c r="F3" s="13" t="s">
        <v>58</v>
      </c>
      <c r="G3" s="13" t="s">
        <v>142</v>
      </c>
      <c r="H3" s="21" t="s">
        <v>143</v>
      </c>
      <c r="I3" s="21" t="s">
        <v>144</v>
      </c>
      <c r="J3" s="20" t="s">
        <v>152</v>
      </c>
      <c r="K3" s="21" t="s">
        <v>153</v>
      </c>
      <c r="L3" s="22" t="s">
        <v>163</v>
      </c>
      <c r="M3" s="20" t="s">
        <v>154</v>
      </c>
      <c r="N3" s="20" t="s">
        <v>170</v>
      </c>
      <c r="O3" s="20" t="s">
        <v>171</v>
      </c>
      <c r="P3" s="20" t="s">
        <v>155</v>
      </c>
      <c r="Q3" s="23" t="s">
        <v>156</v>
      </c>
      <c r="R3" s="24" t="s">
        <v>157</v>
      </c>
      <c r="S3" s="25" t="s">
        <v>158</v>
      </c>
      <c r="T3" s="20" t="s">
        <v>159</v>
      </c>
      <c r="U3" s="20" t="s">
        <v>151</v>
      </c>
      <c r="V3" s="20" t="s">
        <v>160</v>
      </c>
      <c r="W3" s="26" t="s">
        <v>161</v>
      </c>
      <c r="X3" s="27" t="s">
        <v>149</v>
      </c>
      <c r="Y3" s="6" t="s">
        <v>164</v>
      </c>
      <c r="Z3" s="6" t="s">
        <v>165</v>
      </c>
      <c r="AA3" s="6" t="s">
        <v>59</v>
      </c>
      <c r="AB3" s="6" t="s">
        <v>60</v>
      </c>
      <c r="AC3" s="6" t="s">
        <v>61</v>
      </c>
      <c r="AD3" s="6" t="s">
        <v>62</v>
      </c>
      <c r="AE3" s="6" t="s">
        <v>63</v>
      </c>
      <c r="AF3" s="6" t="s">
        <v>64</v>
      </c>
      <c r="AG3" s="6" t="s">
        <v>65</v>
      </c>
      <c r="AH3" s="6" t="s">
        <v>66</v>
      </c>
      <c r="AI3" s="6" t="s">
        <v>67</v>
      </c>
      <c r="AJ3" s="6" t="s">
        <v>68</v>
      </c>
      <c r="AK3" s="6" t="s">
        <v>69</v>
      </c>
      <c r="AL3" s="6" t="s">
        <v>70</v>
      </c>
      <c r="AM3" s="6" t="s">
        <v>166</v>
      </c>
      <c r="AN3" s="6" t="s">
        <v>167</v>
      </c>
      <c r="AO3" s="30" t="s">
        <v>168</v>
      </c>
      <c r="AP3" s="30" t="s">
        <v>169</v>
      </c>
      <c r="AQ3" s="6" t="s">
        <v>71</v>
      </c>
      <c r="AR3" s="6" t="s">
        <v>72</v>
      </c>
      <c r="AS3" s="6" t="s">
        <v>73</v>
      </c>
      <c r="AT3" s="6" t="s">
        <v>74</v>
      </c>
      <c r="AU3" s="6" t="s">
        <v>75</v>
      </c>
      <c r="AV3" s="6" t="s">
        <v>76</v>
      </c>
      <c r="AW3" s="7" t="s">
        <v>77</v>
      </c>
      <c r="AX3" s="7" t="s">
        <v>78</v>
      </c>
      <c r="AY3" s="8" t="s">
        <v>79</v>
      </c>
      <c r="AZ3" s="8" t="s">
        <v>80</v>
      </c>
      <c r="BA3" s="8" t="s">
        <v>81</v>
      </c>
      <c r="BB3" s="8" t="s">
        <v>82</v>
      </c>
      <c r="BC3" s="8" t="s">
        <v>83</v>
      </c>
      <c r="BD3" s="8" t="s">
        <v>84</v>
      </c>
      <c r="BE3" s="8" t="s">
        <v>85</v>
      </c>
      <c r="BF3" s="8" t="s">
        <v>86</v>
      </c>
      <c r="BG3" s="8" t="s">
        <v>87</v>
      </c>
      <c r="BH3" s="8" t="s">
        <v>88</v>
      </c>
      <c r="BI3" s="8" t="s">
        <v>89</v>
      </c>
      <c r="BJ3" s="8" t="s">
        <v>90</v>
      </c>
      <c r="BK3" s="8" t="s">
        <v>91</v>
      </c>
      <c r="BL3" s="8" t="s">
        <v>92</v>
      </c>
      <c r="BM3" s="8" t="s">
        <v>93</v>
      </c>
      <c r="BN3" s="8" t="s">
        <v>94</v>
      </c>
      <c r="BO3" s="8" t="s">
        <v>95</v>
      </c>
      <c r="BP3" s="8" t="s">
        <v>96</v>
      </c>
      <c r="BQ3" s="8" t="s">
        <v>97</v>
      </c>
      <c r="BR3" s="8" t="s">
        <v>98</v>
      </c>
      <c r="BS3" s="8" t="s">
        <v>99</v>
      </c>
      <c r="BT3" s="9" t="s">
        <v>100</v>
      </c>
      <c r="BU3" s="9" t="s">
        <v>101</v>
      </c>
      <c r="BV3" s="9" t="s">
        <v>102</v>
      </c>
      <c r="BW3" s="9" t="s">
        <v>103</v>
      </c>
      <c r="BX3" s="10" t="s">
        <v>104</v>
      </c>
      <c r="BY3" s="10" t="s">
        <v>105</v>
      </c>
      <c r="BZ3" s="10" t="s">
        <v>106</v>
      </c>
      <c r="CA3" s="10" t="s">
        <v>107</v>
      </c>
      <c r="CB3" s="10" t="s">
        <v>108</v>
      </c>
      <c r="CC3" s="10" t="s">
        <v>109</v>
      </c>
      <c r="CD3" s="10" t="s">
        <v>110</v>
      </c>
      <c r="CE3" s="10" t="s">
        <v>111</v>
      </c>
      <c r="CF3" s="10" t="s">
        <v>112</v>
      </c>
      <c r="CG3" s="10" t="s">
        <v>113</v>
      </c>
      <c r="CH3" s="10" t="s">
        <v>114</v>
      </c>
      <c r="CI3" s="10" t="s">
        <v>115</v>
      </c>
      <c r="CJ3" s="10" t="s">
        <v>116</v>
      </c>
      <c r="CK3" s="10" t="s">
        <v>117</v>
      </c>
      <c r="CL3" s="10" t="s">
        <v>118</v>
      </c>
      <c r="CM3" s="10" t="s">
        <v>119</v>
      </c>
      <c r="CN3" s="10" t="s">
        <v>120</v>
      </c>
      <c r="CO3" s="10" t="s">
        <v>121</v>
      </c>
      <c r="CP3" s="10" t="s">
        <v>122</v>
      </c>
      <c r="CQ3" s="10" t="s">
        <v>123</v>
      </c>
      <c r="CR3" s="10" t="s">
        <v>124</v>
      </c>
      <c r="CS3" s="10" t="s">
        <v>125</v>
      </c>
      <c r="CT3" s="10" t="s">
        <v>126</v>
      </c>
      <c r="CU3" s="10" t="s">
        <v>127</v>
      </c>
      <c r="CV3" s="6" t="s">
        <v>128</v>
      </c>
      <c r="CW3" s="6" t="s">
        <v>129</v>
      </c>
      <c r="CX3" s="6" t="s">
        <v>130</v>
      </c>
      <c r="CY3" s="10" t="s">
        <v>131</v>
      </c>
      <c r="CZ3" s="6" t="s">
        <v>132</v>
      </c>
    </row>
    <row r="4" spans="1:104" x14ac:dyDescent="0.2">
      <c r="A4" t="s">
        <v>133</v>
      </c>
      <c r="B4" t="s">
        <v>150</v>
      </c>
      <c r="C4" t="s">
        <v>145</v>
      </c>
      <c r="D4" t="s">
        <v>172</v>
      </c>
      <c r="E4">
        <v>2017</v>
      </c>
      <c r="F4" t="str">
        <f>Z4</f>
        <v>10.1130/g39002.1</v>
      </c>
      <c r="G4" s="31">
        <f t="shared" ref="G4" si="0">AH4*1000</f>
        <v>37840</v>
      </c>
      <c r="H4" s="31">
        <f t="shared" ref="H4" si="1">(AI4-AH4)*1000</f>
        <v>1990.000000000002</v>
      </c>
      <c r="I4" s="31">
        <f t="shared" ref="I4" si="2">(AH4-AJ4)*1000</f>
        <v>1990.000000000002</v>
      </c>
      <c r="J4" s="33">
        <f>AQ4</f>
        <v>341</v>
      </c>
      <c r="K4" s="32">
        <f>AT4-AQ4</f>
        <v>46</v>
      </c>
      <c r="L4" s="32">
        <f>AQ4-AS4</f>
        <v>39</v>
      </c>
      <c r="M4" t="b">
        <v>1</v>
      </c>
      <c r="N4">
        <v>3</v>
      </c>
      <c r="O4" t="s">
        <v>212</v>
      </c>
      <c r="P4" t="b">
        <v>0</v>
      </c>
      <c r="Q4" t="b">
        <v>0</v>
      </c>
      <c r="R4" t="s">
        <v>162</v>
      </c>
      <c r="S4" t="b">
        <v>1</v>
      </c>
      <c r="T4" t="b">
        <v>1</v>
      </c>
      <c r="U4" t="s">
        <v>213</v>
      </c>
      <c r="V4" t="s">
        <v>214</v>
      </c>
      <c r="W4" t="b">
        <v>0</v>
      </c>
      <c r="X4" t="s">
        <v>162</v>
      </c>
      <c r="Y4" t="s">
        <v>173</v>
      </c>
      <c r="Z4" t="s">
        <v>174</v>
      </c>
      <c r="AA4" t="s">
        <v>175</v>
      </c>
      <c r="AB4" t="s">
        <v>176</v>
      </c>
      <c r="AC4" t="s">
        <v>177</v>
      </c>
      <c r="AD4" t="s">
        <v>178</v>
      </c>
      <c r="AE4" t="s">
        <v>179</v>
      </c>
      <c r="AF4" t="s">
        <v>180</v>
      </c>
      <c r="AG4" t="s">
        <v>181</v>
      </c>
      <c r="AH4">
        <v>37.840000000000003</v>
      </c>
      <c r="AI4" s="34">
        <f>AH4+1.99</f>
        <v>39.830000000000005</v>
      </c>
      <c r="AJ4" s="34">
        <f>AH4-1.99</f>
        <v>35.85</v>
      </c>
      <c r="AK4" t="s">
        <v>162</v>
      </c>
      <c r="AL4" t="s">
        <v>182</v>
      </c>
      <c r="AM4" s="34">
        <v>64.8</v>
      </c>
      <c r="AN4" s="34">
        <v>-101.066667</v>
      </c>
      <c r="AO4" t="s">
        <v>162</v>
      </c>
      <c r="AP4" t="s">
        <v>162</v>
      </c>
      <c r="AQ4">
        <v>341</v>
      </c>
      <c r="AR4" t="s">
        <v>134</v>
      </c>
      <c r="AS4">
        <v>302</v>
      </c>
      <c r="AT4">
        <v>387</v>
      </c>
      <c r="AU4" t="s">
        <v>183</v>
      </c>
      <c r="AV4" s="35" t="s">
        <v>184</v>
      </c>
      <c r="AW4" s="35" t="s">
        <v>135</v>
      </c>
      <c r="AX4" t="s">
        <v>185</v>
      </c>
      <c r="AY4" s="36">
        <v>57600000</v>
      </c>
      <c r="AZ4" s="36">
        <v>4460000</v>
      </c>
      <c r="BA4" t="s">
        <v>186</v>
      </c>
      <c r="BB4">
        <v>0</v>
      </c>
      <c r="BC4">
        <v>0</v>
      </c>
      <c r="BD4" t="s">
        <v>162</v>
      </c>
      <c r="BE4" s="36">
        <v>3.4499999999999998E-5</v>
      </c>
      <c r="BF4" s="36">
        <v>1.99E-6</v>
      </c>
      <c r="BG4" t="s">
        <v>187</v>
      </c>
      <c r="BH4">
        <v>0</v>
      </c>
      <c r="BI4">
        <v>0</v>
      </c>
      <c r="BJ4" t="s">
        <v>162</v>
      </c>
      <c r="BK4" s="36">
        <v>2.0299999999999999E-5</v>
      </c>
      <c r="BL4" s="36">
        <v>2.3000000000000001E-8</v>
      </c>
      <c r="BM4" t="s">
        <v>188</v>
      </c>
      <c r="BN4">
        <v>0</v>
      </c>
      <c r="BO4">
        <v>0</v>
      </c>
      <c r="BP4" t="s">
        <v>162</v>
      </c>
      <c r="BQ4">
        <v>-24.879335000000001</v>
      </c>
      <c r="BR4">
        <v>0.2</v>
      </c>
      <c r="BS4" t="s">
        <v>189</v>
      </c>
      <c r="BT4">
        <v>-6</v>
      </c>
      <c r="BU4">
        <v>0.7</v>
      </c>
      <c r="BV4" s="35" t="s">
        <v>136</v>
      </c>
      <c r="BW4">
        <v>396</v>
      </c>
      <c r="BX4">
        <v>6.67</v>
      </c>
      <c r="BY4">
        <v>0.39</v>
      </c>
      <c r="BZ4" s="35" t="s">
        <v>190</v>
      </c>
      <c r="CA4">
        <v>0.63</v>
      </c>
      <c r="CB4">
        <v>7.0000000000000001E-3</v>
      </c>
      <c r="CC4" s="35" t="s">
        <v>191</v>
      </c>
      <c r="CD4">
        <v>2</v>
      </c>
      <c r="CE4">
        <v>0.1</v>
      </c>
      <c r="CF4" s="35" t="s">
        <v>137</v>
      </c>
      <c r="CG4">
        <v>0.84</v>
      </c>
      <c r="CH4">
        <v>1.6500000000000001E-2</v>
      </c>
      <c r="CI4" s="35" t="s">
        <v>192</v>
      </c>
      <c r="CJ4">
        <v>1</v>
      </c>
      <c r="CK4">
        <v>0.05</v>
      </c>
      <c r="CL4" s="35" t="s">
        <v>137</v>
      </c>
      <c r="CM4">
        <v>0.5</v>
      </c>
      <c r="CN4">
        <v>2.5000000000000001E-2</v>
      </c>
      <c r="CO4" s="35" t="s">
        <v>137</v>
      </c>
      <c r="CP4">
        <v>0.34</v>
      </c>
      <c r="CQ4">
        <v>3.7999999999999999E-2</v>
      </c>
      <c r="CR4" s="35" t="s">
        <v>193</v>
      </c>
      <c r="CS4">
        <v>1.2999999999999999E-2</v>
      </c>
      <c r="CT4">
        <v>6.4999999999999997E-4</v>
      </c>
      <c r="CU4" s="35" t="s">
        <v>137</v>
      </c>
      <c r="CV4" t="s">
        <v>138</v>
      </c>
      <c r="CW4" s="37">
        <v>30</v>
      </c>
      <c r="CX4" s="37">
        <v>9.4009599999999997E-4</v>
      </c>
      <c r="CY4" s="37">
        <v>40</v>
      </c>
      <c r="CZ4" s="37">
        <v>25</v>
      </c>
    </row>
    <row r="5" spans="1:104" x14ac:dyDescent="0.2">
      <c r="A5" t="s">
        <v>133</v>
      </c>
      <c r="B5" t="s">
        <v>150</v>
      </c>
      <c r="C5" t="s">
        <v>145</v>
      </c>
      <c r="D5" t="s">
        <v>172</v>
      </c>
      <c r="E5">
        <v>2017</v>
      </c>
      <c r="F5" t="str">
        <f t="shared" ref="F5:F13" si="3">Z5</f>
        <v>10.1130/g39002.1</v>
      </c>
      <c r="G5" s="31">
        <f t="shared" ref="G5:G13" si="4">AH5*1000</f>
        <v>37840</v>
      </c>
      <c r="H5" s="31">
        <f t="shared" ref="H5:H13" si="5">(AI5-AH5)*1000</f>
        <v>1990.000000000002</v>
      </c>
      <c r="I5" s="31">
        <f t="shared" ref="I5:I13" si="6">(AH5-AJ5)*1000</f>
        <v>1990.000000000002</v>
      </c>
      <c r="J5" s="33">
        <f t="shared" ref="J5:J13" si="7">AQ5</f>
        <v>425</v>
      </c>
      <c r="K5" s="32">
        <f t="shared" ref="K5:K13" si="8">AT5-AQ5</f>
        <v>64</v>
      </c>
      <c r="L5" s="32">
        <f t="shared" ref="L5:L13" si="9">AQ5-AS5</f>
        <v>52</v>
      </c>
      <c r="M5" t="b">
        <v>1</v>
      </c>
      <c r="N5">
        <v>3</v>
      </c>
      <c r="O5" t="s">
        <v>212</v>
      </c>
      <c r="P5" t="b">
        <v>0</v>
      </c>
      <c r="Q5" t="b">
        <v>0</v>
      </c>
      <c r="R5" t="s">
        <v>162</v>
      </c>
      <c r="S5" t="b">
        <v>1</v>
      </c>
      <c r="T5" t="b">
        <v>1</v>
      </c>
      <c r="U5" t="s">
        <v>213</v>
      </c>
      <c r="V5" t="s">
        <v>214</v>
      </c>
      <c r="W5" t="b">
        <v>0</v>
      </c>
      <c r="X5" t="s">
        <v>162</v>
      </c>
      <c r="Y5" t="s">
        <v>173</v>
      </c>
      <c r="Z5" t="s">
        <v>174</v>
      </c>
      <c r="AA5" t="s">
        <v>194</v>
      </c>
      <c r="AB5" t="s">
        <v>176</v>
      </c>
      <c r="AC5" t="s">
        <v>177</v>
      </c>
      <c r="AD5" t="s">
        <v>178</v>
      </c>
      <c r="AE5" t="s">
        <v>179</v>
      </c>
      <c r="AF5" t="s">
        <v>180</v>
      </c>
      <c r="AG5" t="s">
        <v>195</v>
      </c>
      <c r="AH5">
        <v>37.840000000000003</v>
      </c>
      <c r="AI5" s="34">
        <f>AH5+1.99</f>
        <v>39.830000000000005</v>
      </c>
      <c r="AJ5" s="34">
        <f>AH5-1.99</f>
        <v>35.85</v>
      </c>
      <c r="AK5" t="s">
        <v>162</v>
      </c>
      <c r="AL5" t="s">
        <v>182</v>
      </c>
      <c r="AM5" s="34">
        <v>64.8</v>
      </c>
      <c r="AN5" s="34">
        <v>-101.066667</v>
      </c>
      <c r="AO5" t="s">
        <v>162</v>
      </c>
      <c r="AP5" t="s">
        <v>162</v>
      </c>
      <c r="AQ5">
        <v>425</v>
      </c>
      <c r="AR5" t="s">
        <v>134</v>
      </c>
      <c r="AS5">
        <v>373</v>
      </c>
      <c r="AT5">
        <v>489</v>
      </c>
      <c r="AU5" t="s">
        <v>183</v>
      </c>
      <c r="AV5" s="35" t="s">
        <v>184</v>
      </c>
      <c r="AW5" s="35" t="s">
        <v>135</v>
      </c>
      <c r="AX5" t="s">
        <v>185</v>
      </c>
      <c r="AY5" s="36">
        <v>58100000</v>
      </c>
      <c r="AZ5" s="36">
        <v>4480000</v>
      </c>
      <c r="BA5" t="s">
        <v>186</v>
      </c>
      <c r="BB5">
        <v>0</v>
      </c>
      <c r="BC5">
        <v>0</v>
      </c>
      <c r="BD5" t="s">
        <v>162</v>
      </c>
      <c r="BE5" s="36">
        <v>3.0700000000000001E-5</v>
      </c>
      <c r="BF5" s="36">
        <v>2.43E-6</v>
      </c>
      <c r="BG5" t="s">
        <v>187</v>
      </c>
      <c r="BH5">
        <v>0</v>
      </c>
      <c r="BI5">
        <v>0</v>
      </c>
      <c r="BJ5" t="s">
        <v>162</v>
      </c>
      <c r="BK5" s="36">
        <v>1.8099999999999999E-5</v>
      </c>
      <c r="BL5" s="36">
        <v>2.81E-8</v>
      </c>
      <c r="BM5" t="s">
        <v>188</v>
      </c>
      <c r="BN5">
        <v>0</v>
      </c>
      <c r="BO5">
        <v>0</v>
      </c>
      <c r="BP5" t="s">
        <v>162</v>
      </c>
      <c r="BQ5">
        <v>-26.176874000000002</v>
      </c>
      <c r="BR5">
        <v>0.2</v>
      </c>
      <c r="BS5" t="s">
        <v>189</v>
      </c>
      <c r="BT5">
        <v>-6</v>
      </c>
      <c r="BU5">
        <v>0.7</v>
      </c>
      <c r="BV5" s="35" t="s">
        <v>136</v>
      </c>
      <c r="BW5">
        <v>396</v>
      </c>
      <c r="BX5">
        <v>6.67</v>
      </c>
      <c r="BY5">
        <v>0.39</v>
      </c>
      <c r="BZ5" s="35" t="s">
        <v>190</v>
      </c>
      <c r="CA5">
        <v>0.63</v>
      </c>
      <c r="CB5">
        <v>7.0000000000000001E-3</v>
      </c>
      <c r="CC5" s="35" t="s">
        <v>191</v>
      </c>
      <c r="CD5">
        <v>2</v>
      </c>
      <c r="CE5">
        <v>0.1</v>
      </c>
      <c r="CF5" s="35" t="s">
        <v>137</v>
      </c>
      <c r="CG5">
        <v>0.84</v>
      </c>
      <c r="CH5">
        <v>1.6500000000000001E-2</v>
      </c>
      <c r="CI5" s="35" t="s">
        <v>192</v>
      </c>
      <c r="CJ5">
        <v>1</v>
      </c>
      <c r="CK5">
        <v>0.05</v>
      </c>
      <c r="CL5" s="35" t="s">
        <v>137</v>
      </c>
      <c r="CM5">
        <v>0.5</v>
      </c>
      <c r="CN5">
        <v>2.5000000000000001E-2</v>
      </c>
      <c r="CO5" s="35" t="s">
        <v>137</v>
      </c>
      <c r="CP5">
        <v>0.34</v>
      </c>
      <c r="CQ5">
        <v>3.7999999999999999E-2</v>
      </c>
      <c r="CR5" s="35" t="s">
        <v>193</v>
      </c>
      <c r="CS5">
        <v>1.2999999999999999E-2</v>
      </c>
      <c r="CT5">
        <v>6.4999999999999997E-4</v>
      </c>
      <c r="CU5" s="35" t="s">
        <v>137</v>
      </c>
      <c r="CV5" t="s">
        <v>138</v>
      </c>
      <c r="CW5" s="37">
        <v>30</v>
      </c>
      <c r="CX5" s="37">
        <v>9.4009599999999997E-4</v>
      </c>
      <c r="CY5" s="37">
        <v>40</v>
      </c>
      <c r="CZ5" s="37">
        <v>25</v>
      </c>
    </row>
    <row r="6" spans="1:104" x14ac:dyDescent="0.2">
      <c r="A6" t="s">
        <v>133</v>
      </c>
      <c r="B6" t="s">
        <v>150</v>
      </c>
      <c r="C6" t="s">
        <v>145</v>
      </c>
      <c r="D6" t="s">
        <v>172</v>
      </c>
      <c r="E6">
        <v>2017</v>
      </c>
      <c r="F6" t="str">
        <f t="shared" si="3"/>
        <v>10.1130/g39002.1</v>
      </c>
      <c r="G6" s="31">
        <f t="shared" si="4"/>
        <v>37840</v>
      </c>
      <c r="H6" s="31">
        <f t="shared" si="5"/>
        <v>1990.000000000002</v>
      </c>
      <c r="I6" s="31">
        <f t="shared" si="6"/>
        <v>1990.000000000002</v>
      </c>
      <c r="J6" s="33">
        <f t="shared" si="7"/>
        <v>452</v>
      </c>
      <c r="K6" s="32">
        <f t="shared" si="8"/>
        <v>73</v>
      </c>
      <c r="L6" s="32">
        <f t="shared" si="9"/>
        <v>59</v>
      </c>
      <c r="M6" t="b">
        <v>1</v>
      </c>
      <c r="N6">
        <v>3</v>
      </c>
      <c r="O6" t="s">
        <v>212</v>
      </c>
      <c r="P6" t="b">
        <v>0</v>
      </c>
      <c r="Q6" t="b">
        <v>0</v>
      </c>
      <c r="R6" t="s">
        <v>162</v>
      </c>
      <c r="S6" t="b">
        <v>1</v>
      </c>
      <c r="T6" t="b">
        <v>1</v>
      </c>
      <c r="U6" t="s">
        <v>213</v>
      </c>
      <c r="V6" t="s">
        <v>214</v>
      </c>
      <c r="W6" t="b">
        <v>0</v>
      </c>
      <c r="X6" t="s">
        <v>162</v>
      </c>
      <c r="Y6" t="s">
        <v>173</v>
      </c>
      <c r="Z6" t="s">
        <v>174</v>
      </c>
      <c r="AA6" t="s">
        <v>196</v>
      </c>
      <c r="AB6" t="s">
        <v>176</v>
      </c>
      <c r="AC6" t="s">
        <v>177</v>
      </c>
      <c r="AD6" t="s">
        <v>178</v>
      </c>
      <c r="AE6" t="s">
        <v>179</v>
      </c>
      <c r="AF6" t="s">
        <v>180</v>
      </c>
      <c r="AG6" t="s">
        <v>197</v>
      </c>
      <c r="AH6">
        <v>37.840000000000003</v>
      </c>
      <c r="AI6" s="34">
        <f t="shared" ref="AI6:AI13" si="10">AH6+1.99</f>
        <v>39.830000000000005</v>
      </c>
      <c r="AJ6" s="34">
        <f t="shared" ref="AJ6:AJ13" si="11">AH6-1.99</f>
        <v>35.85</v>
      </c>
      <c r="AK6" t="s">
        <v>162</v>
      </c>
      <c r="AL6" t="s">
        <v>182</v>
      </c>
      <c r="AM6" s="34">
        <v>64.8</v>
      </c>
      <c r="AN6" s="34">
        <v>-101.066667</v>
      </c>
      <c r="AO6" t="s">
        <v>162</v>
      </c>
      <c r="AP6" t="s">
        <v>162</v>
      </c>
      <c r="AQ6">
        <v>452</v>
      </c>
      <c r="AR6" t="s">
        <v>134</v>
      </c>
      <c r="AS6">
        <v>393</v>
      </c>
      <c r="AT6">
        <v>525</v>
      </c>
      <c r="AU6" t="s">
        <v>183</v>
      </c>
      <c r="AV6" s="35" t="s">
        <v>184</v>
      </c>
      <c r="AW6" s="35" t="s">
        <v>135</v>
      </c>
      <c r="AX6" t="s">
        <v>185</v>
      </c>
      <c r="AY6" s="36">
        <v>62700000</v>
      </c>
      <c r="AZ6" s="36">
        <v>4650000</v>
      </c>
      <c r="BA6" t="s">
        <v>186</v>
      </c>
      <c r="BB6">
        <v>0</v>
      </c>
      <c r="BC6">
        <v>0</v>
      </c>
      <c r="BD6" t="s">
        <v>162</v>
      </c>
      <c r="BE6" s="36">
        <v>2.9200000000000002E-5</v>
      </c>
      <c r="BF6" s="36">
        <v>3.0000000000000001E-6</v>
      </c>
      <c r="BG6" t="s">
        <v>187</v>
      </c>
      <c r="BH6">
        <v>0</v>
      </c>
      <c r="BI6">
        <v>0</v>
      </c>
      <c r="BJ6" t="s">
        <v>162</v>
      </c>
      <c r="BK6" s="36">
        <v>1.7200000000000001E-5</v>
      </c>
      <c r="BL6" s="36">
        <v>3.47E-8</v>
      </c>
      <c r="BM6" t="s">
        <v>188</v>
      </c>
      <c r="BN6">
        <v>0</v>
      </c>
      <c r="BO6">
        <v>0</v>
      </c>
      <c r="BP6" t="s">
        <v>162</v>
      </c>
      <c r="BQ6">
        <v>-26.73808</v>
      </c>
      <c r="BR6">
        <v>0.2</v>
      </c>
      <c r="BS6" t="s">
        <v>189</v>
      </c>
      <c r="BT6">
        <v>-6</v>
      </c>
      <c r="BU6">
        <v>0.7</v>
      </c>
      <c r="BV6" s="35" t="s">
        <v>136</v>
      </c>
      <c r="BW6">
        <v>396</v>
      </c>
      <c r="BX6">
        <v>6.67</v>
      </c>
      <c r="BY6">
        <v>0.39</v>
      </c>
      <c r="BZ6" s="35" t="s">
        <v>190</v>
      </c>
      <c r="CA6">
        <v>0.63</v>
      </c>
      <c r="CB6">
        <v>7.0000000000000001E-3</v>
      </c>
      <c r="CC6" s="35" t="s">
        <v>191</v>
      </c>
      <c r="CD6">
        <v>2</v>
      </c>
      <c r="CE6">
        <v>0.1</v>
      </c>
      <c r="CF6" s="35" t="s">
        <v>137</v>
      </c>
      <c r="CG6">
        <v>0.84</v>
      </c>
      <c r="CH6">
        <v>1.6500000000000001E-2</v>
      </c>
      <c r="CI6" s="35" t="s">
        <v>192</v>
      </c>
      <c r="CJ6">
        <v>1</v>
      </c>
      <c r="CK6">
        <v>0.05</v>
      </c>
      <c r="CL6" s="35" t="s">
        <v>137</v>
      </c>
      <c r="CM6">
        <v>0.5</v>
      </c>
      <c r="CN6">
        <v>2.5000000000000001E-2</v>
      </c>
      <c r="CO6" s="35" t="s">
        <v>137</v>
      </c>
      <c r="CP6">
        <v>0.34</v>
      </c>
      <c r="CQ6">
        <v>3.7999999999999999E-2</v>
      </c>
      <c r="CR6" s="35" t="s">
        <v>193</v>
      </c>
      <c r="CS6">
        <v>1.2999999999999999E-2</v>
      </c>
      <c r="CT6">
        <v>6.4999999999999997E-4</v>
      </c>
      <c r="CU6" s="35" t="s">
        <v>137</v>
      </c>
      <c r="CV6" t="s">
        <v>138</v>
      </c>
      <c r="CW6" s="37">
        <v>30</v>
      </c>
      <c r="CX6" s="37">
        <v>9.4009599999999997E-4</v>
      </c>
      <c r="CY6" s="37">
        <v>40</v>
      </c>
      <c r="CZ6" s="37">
        <v>25</v>
      </c>
    </row>
    <row r="7" spans="1:104" x14ac:dyDescent="0.2">
      <c r="A7" t="s">
        <v>133</v>
      </c>
      <c r="B7" t="s">
        <v>150</v>
      </c>
      <c r="C7" t="s">
        <v>145</v>
      </c>
      <c r="D7" t="s">
        <v>172</v>
      </c>
      <c r="E7">
        <v>2017</v>
      </c>
      <c r="F7" t="str">
        <f t="shared" si="3"/>
        <v>10.1130/g39002.1</v>
      </c>
      <c r="G7" s="31">
        <f t="shared" si="4"/>
        <v>37840</v>
      </c>
      <c r="H7" s="31">
        <f t="shared" si="5"/>
        <v>1990.000000000002</v>
      </c>
      <c r="I7" s="31">
        <f t="shared" si="6"/>
        <v>1990.000000000002</v>
      </c>
      <c r="J7" s="33">
        <f t="shared" si="7"/>
        <v>433</v>
      </c>
      <c r="K7" s="32">
        <f t="shared" si="8"/>
        <v>66</v>
      </c>
      <c r="L7" s="32">
        <f t="shared" si="9"/>
        <v>55</v>
      </c>
      <c r="M7" t="b">
        <v>1</v>
      </c>
      <c r="N7">
        <v>3</v>
      </c>
      <c r="O7" t="s">
        <v>212</v>
      </c>
      <c r="P7" t="b">
        <v>0</v>
      </c>
      <c r="Q7" t="b">
        <v>0</v>
      </c>
      <c r="R7" t="s">
        <v>162</v>
      </c>
      <c r="S7" t="b">
        <v>1</v>
      </c>
      <c r="T7" t="b">
        <v>1</v>
      </c>
      <c r="U7" t="s">
        <v>213</v>
      </c>
      <c r="V7" t="s">
        <v>214</v>
      </c>
      <c r="W7" t="b">
        <v>0</v>
      </c>
      <c r="X7" t="s">
        <v>162</v>
      </c>
      <c r="Y7" t="s">
        <v>173</v>
      </c>
      <c r="Z7" t="s">
        <v>174</v>
      </c>
      <c r="AA7" t="s">
        <v>198</v>
      </c>
      <c r="AB7" t="s">
        <v>176</v>
      </c>
      <c r="AC7" t="s">
        <v>177</v>
      </c>
      <c r="AD7" t="s">
        <v>178</v>
      </c>
      <c r="AE7" t="s">
        <v>179</v>
      </c>
      <c r="AF7" t="s">
        <v>180</v>
      </c>
      <c r="AG7" t="s">
        <v>199</v>
      </c>
      <c r="AH7">
        <v>37.840000000000003</v>
      </c>
      <c r="AI7" s="34">
        <f t="shared" si="10"/>
        <v>39.830000000000005</v>
      </c>
      <c r="AJ7" s="34">
        <f t="shared" si="11"/>
        <v>35.85</v>
      </c>
      <c r="AK7" t="s">
        <v>162</v>
      </c>
      <c r="AL7" t="s">
        <v>182</v>
      </c>
      <c r="AM7" s="34">
        <v>64.8</v>
      </c>
      <c r="AN7" s="34">
        <v>-101.066667</v>
      </c>
      <c r="AO7" t="s">
        <v>162</v>
      </c>
      <c r="AP7" t="s">
        <v>162</v>
      </c>
      <c r="AQ7">
        <v>433</v>
      </c>
      <c r="AR7" t="s">
        <v>134</v>
      </c>
      <c r="AS7">
        <v>378</v>
      </c>
      <c r="AT7">
        <v>499</v>
      </c>
      <c r="AU7" t="s">
        <v>183</v>
      </c>
      <c r="AV7" s="35" t="s">
        <v>184</v>
      </c>
      <c r="AW7" s="35" t="s">
        <v>135</v>
      </c>
      <c r="AX7" t="s">
        <v>185</v>
      </c>
      <c r="AY7" s="36">
        <v>65900000</v>
      </c>
      <c r="AZ7" s="36">
        <v>4770000</v>
      </c>
      <c r="BA7" t="s">
        <v>186</v>
      </c>
      <c r="BB7">
        <v>0</v>
      </c>
      <c r="BC7">
        <v>0</v>
      </c>
      <c r="BD7" t="s">
        <v>162</v>
      </c>
      <c r="BE7" s="36">
        <v>2.9799999999999999E-5</v>
      </c>
      <c r="BF7" s="36">
        <v>2.96E-6</v>
      </c>
      <c r="BG7" t="s">
        <v>187</v>
      </c>
      <c r="BH7">
        <v>0</v>
      </c>
      <c r="BI7">
        <v>0</v>
      </c>
      <c r="BJ7" t="s">
        <v>162</v>
      </c>
      <c r="BK7" s="36">
        <v>1.7499999999999998E-5</v>
      </c>
      <c r="BL7" s="36">
        <v>3.4200000000000002E-8</v>
      </c>
      <c r="BM7" t="s">
        <v>188</v>
      </c>
      <c r="BN7">
        <v>0</v>
      </c>
      <c r="BO7">
        <v>0</v>
      </c>
      <c r="BP7" t="s">
        <v>162</v>
      </c>
      <c r="BQ7">
        <v>-26.691984000000001</v>
      </c>
      <c r="BR7">
        <v>0.2</v>
      </c>
      <c r="BS7" t="s">
        <v>189</v>
      </c>
      <c r="BT7">
        <v>-6</v>
      </c>
      <c r="BU7">
        <v>0.7</v>
      </c>
      <c r="BV7" s="35" t="s">
        <v>136</v>
      </c>
      <c r="BW7">
        <v>396</v>
      </c>
      <c r="BX7">
        <v>6.67</v>
      </c>
      <c r="BY7">
        <v>0.39</v>
      </c>
      <c r="BZ7" s="35" t="s">
        <v>190</v>
      </c>
      <c r="CA7">
        <v>0.63</v>
      </c>
      <c r="CB7">
        <v>7.0000000000000001E-3</v>
      </c>
      <c r="CC7" s="35" t="s">
        <v>191</v>
      </c>
      <c r="CD7">
        <v>2</v>
      </c>
      <c r="CE7">
        <v>0.1</v>
      </c>
      <c r="CF7" s="35" t="s">
        <v>137</v>
      </c>
      <c r="CG7">
        <v>0.84</v>
      </c>
      <c r="CH7">
        <v>1.6500000000000001E-2</v>
      </c>
      <c r="CI7" s="35" t="s">
        <v>192</v>
      </c>
      <c r="CJ7">
        <v>1</v>
      </c>
      <c r="CK7">
        <v>0.05</v>
      </c>
      <c r="CL7" s="35" t="s">
        <v>137</v>
      </c>
      <c r="CM7">
        <v>0.5</v>
      </c>
      <c r="CN7">
        <v>2.5000000000000001E-2</v>
      </c>
      <c r="CO7" s="35" t="s">
        <v>137</v>
      </c>
      <c r="CP7">
        <v>0.34</v>
      </c>
      <c r="CQ7">
        <v>3.7999999999999999E-2</v>
      </c>
      <c r="CR7" s="35" t="s">
        <v>193</v>
      </c>
      <c r="CS7">
        <v>1.2999999999999999E-2</v>
      </c>
      <c r="CT7">
        <v>6.4999999999999997E-4</v>
      </c>
      <c r="CU7" s="35" t="s">
        <v>137</v>
      </c>
      <c r="CV7" t="s">
        <v>138</v>
      </c>
      <c r="CW7" s="37">
        <v>30</v>
      </c>
      <c r="CX7" s="37">
        <v>9.4009599999999997E-4</v>
      </c>
      <c r="CY7" s="37">
        <v>40</v>
      </c>
      <c r="CZ7" s="37">
        <v>25</v>
      </c>
    </row>
    <row r="8" spans="1:104" x14ac:dyDescent="0.2">
      <c r="A8" t="s">
        <v>133</v>
      </c>
      <c r="B8" t="s">
        <v>150</v>
      </c>
      <c r="C8" t="s">
        <v>145</v>
      </c>
      <c r="D8" t="s">
        <v>172</v>
      </c>
      <c r="E8">
        <v>2017</v>
      </c>
      <c r="F8" t="str">
        <f t="shared" si="3"/>
        <v>10.1130/g39002.1</v>
      </c>
      <c r="G8" s="31">
        <f t="shared" si="4"/>
        <v>37840</v>
      </c>
      <c r="H8" s="31">
        <f t="shared" si="5"/>
        <v>1990.000000000002</v>
      </c>
      <c r="I8" s="31">
        <f t="shared" si="6"/>
        <v>1990.000000000002</v>
      </c>
      <c r="J8" s="33">
        <f t="shared" si="7"/>
        <v>521</v>
      </c>
      <c r="K8" s="32">
        <f t="shared" si="8"/>
        <v>95</v>
      </c>
      <c r="L8" s="32">
        <f t="shared" si="9"/>
        <v>73</v>
      </c>
      <c r="M8" t="b">
        <v>1</v>
      </c>
      <c r="N8">
        <v>3</v>
      </c>
      <c r="O8" t="s">
        <v>212</v>
      </c>
      <c r="P8" t="b">
        <v>0</v>
      </c>
      <c r="Q8" t="b">
        <v>0</v>
      </c>
      <c r="R8" t="s">
        <v>162</v>
      </c>
      <c r="S8" t="b">
        <v>1</v>
      </c>
      <c r="T8" t="b">
        <v>1</v>
      </c>
      <c r="U8" t="s">
        <v>213</v>
      </c>
      <c r="V8" t="s">
        <v>214</v>
      </c>
      <c r="W8" t="b">
        <v>0</v>
      </c>
      <c r="X8" t="s">
        <v>162</v>
      </c>
      <c r="Y8" t="s">
        <v>173</v>
      </c>
      <c r="Z8" t="s">
        <v>174</v>
      </c>
      <c r="AA8" t="s">
        <v>200</v>
      </c>
      <c r="AB8" t="s">
        <v>176</v>
      </c>
      <c r="AC8" t="s">
        <v>177</v>
      </c>
      <c r="AD8" t="s">
        <v>178</v>
      </c>
      <c r="AE8" t="s">
        <v>179</v>
      </c>
      <c r="AF8" t="s">
        <v>180</v>
      </c>
      <c r="AG8" t="s">
        <v>201</v>
      </c>
      <c r="AH8">
        <v>37.840000000000003</v>
      </c>
      <c r="AI8" s="34">
        <f t="shared" si="10"/>
        <v>39.830000000000005</v>
      </c>
      <c r="AJ8" s="34">
        <f t="shared" si="11"/>
        <v>35.85</v>
      </c>
      <c r="AK8" t="s">
        <v>162</v>
      </c>
      <c r="AL8" t="s">
        <v>182</v>
      </c>
      <c r="AM8" s="34">
        <v>64.8</v>
      </c>
      <c r="AN8" s="34">
        <v>-101.066667</v>
      </c>
      <c r="AO8" t="s">
        <v>162</v>
      </c>
      <c r="AP8" t="s">
        <v>162</v>
      </c>
      <c r="AQ8">
        <v>521</v>
      </c>
      <c r="AR8" t="s">
        <v>134</v>
      </c>
      <c r="AS8">
        <v>448</v>
      </c>
      <c r="AT8">
        <v>616</v>
      </c>
      <c r="AU8" t="s">
        <v>183</v>
      </c>
      <c r="AV8" s="35" t="s">
        <v>184</v>
      </c>
      <c r="AW8" s="35" t="s">
        <v>135</v>
      </c>
      <c r="AX8" t="s">
        <v>185</v>
      </c>
      <c r="AY8" s="36">
        <v>50300000</v>
      </c>
      <c r="AZ8" s="36">
        <v>4170000</v>
      </c>
      <c r="BA8" t="s">
        <v>186</v>
      </c>
      <c r="BB8">
        <v>0</v>
      </c>
      <c r="BC8">
        <v>0</v>
      </c>
      <c r="BD8" t="s">
        <v>162</v>
      </c>
      <c r="BE8" s="36">
        <v>2.8900000000000001E-5</v>
      </c>
      <c r="BF8" s="36">
        <v>3.2100000000000002E-6</v>
      </c>
      <c r="BG8" t="s">
        <v>187</v>
      </c>
      <c r="BH8">
        <v>0</v>
      </c>
      <c r="BI8">
        <v>0</v>
      </c>
      <c r="BJ8" t="s">
        <v>162</v>
      </c>
      <c r="BK8" s="36">
        <v>1.7E-5</v>
      </c>
      <c r="BL8" s="36">
        <v>3.7100000000000001E-8</v>
      </c>
      <c r="BM8" t="s">
        <v>188</v>
      </c>
      <c r="BN8">
        <v>0</v>
      </c>
      <c r="BO8">
        <v>0</v>
      </c>
      <c r="BP8" t="s">
        <v>162</v>
      </c>
      <c r="BQ8">
        <v>-26.80838</v>
      </c>
      <c r="BR8">
        <v>0.2</v>
      </c>
      <c r="BS8" t="s">
        <v>189</v>
      </c>
      <c r="BT8">
        <v>-6</v>
      </c>
      <c r="BU8">
        <v>0.7</v>
      </c>
      <c r="BV8" s="35" t="s">
        <v>136</v>
      </c>
      <c r="BW8">
        <v>396</v>
      </c>
      <c r="BX8">
        <v>6.67</v>
      </c>
      <c r="BY8">
        <v>0.39</v>
      </c>
      <c r="BZ8" s="35" t="s">
        <v>190</v>
      </c>
      <c r="CA8">
        <v>0.63</v>
      </c>
      <c r="CB8">
        <v>7.0000000000000001E-3</v>
      </c>
      <c r="CC8" s="35" t="s">
        <v>191</v>
      </c>
      <c r="CD8">
        <v>2</v>
      </c>
      <c r="CE8">
        <v>0.1</v>
      </c>
      <c r="CF8" s="35" t="s">
        <v>137</v>
      </c>
      <c r="CG8">
        <v>0.84</v>
      </c>
      <c r="CH8">
        <v>1.6500000000000001E-2</v>
      </c>
      <c r="CI8" s="35" t="s">
        <v>192</v>
      </c>
      <c r="CJ8">
        <v>1</v>
      </c>
      <c r="CK8">
        <v>0.05</v>
      </c>
      <c r="CL8" s="35" t="s">
        <v>137</v>
      </c>
      <c r="CM8">
        <v>0.5</v>
      </c>
      <c r="CN8">
        <v>2.5000000000000001E-2</v>
      </c>
      <c r="CO8" s="35" t="s">
        <v>137</v>
      </c>
      <c r="CP8">
        <v>0.34</v>
      </c>
      <c r="CQ8">
        <v>3.7999999999999999E-2</v>
      </c>
      <c r="CR8" s="35" t="s">
        <v>193</v>
      </c>
      <c r="CS8">
        <v>1.2999999999999999E-2</v>
      </c>
      <c r="CT8">
        <v>6.4999999999999997E-4</v>
      </c>
      <c r="CU8" s="35" t="s">
        <v>137</v>
      </c>
      <c r="CV8" t="s">
        <v>138</v>
      </c>
      <c r="CW8" s="37">
        <v>30</v>
      </c>
      <c r="CX8" s="37">
        <v>9.4009599999999997E-4</v>
      </c>
      <c r="CY8" s="37">
        <v>40</v>
      </c>
      <c r="CZ8" s="37">
        <v>25</v>
      </c>
    </row>
    <row r="9" spans="1:104" x14ac:dyDescent="0.2">
      <c r="A9" t="s">
        <v>133</v>
      </c>
      <c r="B9" t="s">
        <v>150</v>
      </c>
      <c r="C9" t="s">
        <v>145</v>
      </c>
      <c r="D9" t="s">
        <v>172</v>
      </c>
      <c r="E9">
        <v>2017</v>
      </c>
      <c r="F9" t="str">
        <f t="shared" si="3"/>
        <v>10.1130/g39002.1</v>
      </c>
      <c r="G9" s="31">
        <f t="shared" si="4"/>
        <v>37840</v>
      </c>
      <c r="H9" s="31">
        <f t="shared" si="5"/>
        <v>1990.000000000002</v>
      </c>
      <c r="I9" s="31">
        <f t="shared" si="6"/>
        <v>1990.000000000002</v>
      </c>
      <c r="J9" s="33">
        <f t="shared" si="7"/>
        <v>483</v>
      </c>
      <c r="K9" s="32">
        <f t="shared" si="8"/>
        <v>78</v>
      </c>
      <c r="L9" s="32">
        <f t="shared" si="9"/>
        <v>61</v>
      </c>
      <c r="M9" t="b">
        <v>1</v>
      </c>
      <c r="N9">
        <v>3</v>
      </c>
      <c r="O9" t="s">
        <v>212</v>
      </c>
      <c r="P9" t="b">
        <v>0</v>
      </c>
      <c r="Q9" t="b">
        <v>0</v>
      </c>
      <c r="R9" t="s">
        <v>162</v>
      </c>
      <c r="S9" t="b">
        <v>1</v>
      </c>
      <c r="T9" t="b">
        <v>1</v>
      </c>
      <c r="U9" t="s">
        <v>213</v>
      </c>
      <c r="V9" t="s">
        <v>214</v>
      </c>
      <c r="W9" t="b">
        <v>0</v>
      </c>
      <c r="X9" t="s">
        <v>162</v>
      </c>
      <c r="Y9" t="s">
        <v>173</v>
      </c>
      <c r="Z9" t="s">
        <v>174</v>
      </c>
      <c r="AA9" t="s">
        <v>202</v>
      </c>
      <c r="AB9" t="s">
        <v>176</v>
      </c>
      <c r="AC9" t="s">
        <v>177</v>
      </c>
      <c r="AD9" t="s">
        <v>178</v>
      </c>
      <c r="AE9" t="s">
        <v>179</v>
      </c>
      <c r="AF9" t="s">
        <v>180</v>
      </c>
      <c r="AG9" t="s">
        <v>203</v>
      </c>
      <c r="AH9">
        <v>37.840000000000003</v>
      </c>
      <c r="AI9" s="34">
        <f t="shared" si="10"/>
        <v>39.830000000000005</v>
      </c>
      <c r="AJ9" s="34">
        <f t="shared" si="11"/>
        <v>35.85</v>
      </c>
      <c r="AK9" t="s">
        <v>162</v>
      </c>
      <c r="AL9" t="s">
        <v>182</v>
      </c>
      <c r="AM9" s="34">
        <v>64.8</v>
      </c>
      <c r="AN9" s="34">
        <v>-101.066667</v>
      </c>
      <c r="AO9" t="s">
        <v>162</v>
      </c>
      <c r="AP9" t="s">
        <v>162</v>
      </c>
      <c r="AQ9">
        <v>483</v>
      </c>
      <c r="AR9" t="s">
        <v>134</v>
      </c>
      <c r="AS9">
        <v>422</v>
      </c>
      <c r="AT9">
        <v>561</v>
      </c>
      <c r="AU9" t="s">
        <v>183</v>
      </c>
      <c r="AV9" s="35" t="s">
        <v>184</v>
      </c>
      <c r="AW9" s="35" t="s">
        <v>135</v>
      </c>
      <c r="AX9" t="s">
        <v>185</v>
      </c>
      <c r="AY9" s="36">
        <v>55400000</v>
      </c>
      <c r="AZ9" s="36">
        <v>4370000</v>
      </c>
      <c r="BA9" t="s">
        <v>186</v>
      </c>
      <c r="BB9">
        <v>0</v>
      </c>
      <c r="BC9">
        <v>0</v>
      </c>
      <c r="BD9" t="s">
        <v>162</v>
      </c>
      <c r="BE9" s="36">
        <v>2.97E-5</v>
      </c>
      <c r="BF9" s="36">
        <v>1.5200000000000001E-6</v>
      </c>
      <c r="BG9" t="s">
        <v>187</v>
      </c>
      <c r="BH9">
        <v>0</v>
      </c>
      <c r="BI9">
        <v>0</v>
      </c>
      <c r="BJ9" t="s">
        <v>162</v>
      </c>
      <c r="BK9" s="36">
        <v>1.7499999999999998E-5</v>
      </c>
      <c r="BL9" s="36">
        <v>1.7599999999999999E-8</v>
      </c>
      <c r="BM9" t="s">
        <v>188</v>
      </c>
      <c r="BN9">
        <v>0</v>
      </c>
      <c r="BO9">
        <v>0</v>
      </c>
      <c r="BP9" t="s">
        <v>162</v>
      </c>
      <c r="BQ9">
        <v>-26.823049000000001</v>
      </c>
      <c r="BR9">
        <v>0.2</v>
      </c>
      <c r="BS9" t="s">
        <v>189</v>
      </c>
      <c r="BT9">
        <v>-6</v>
      </c>
      <c r="BU9">
        <v>0.7</v>
      </c>
      <c r="BV9" s="35" t="s">
        <v>136</v>
      </c>
      <c r="BW9">
        <v>396</v>
      </c>
      <c r="BX9">
        <v>6.67</v>
      </c>
      <c r="BY9">
        <v>0.39</v>
      </c>
      <c r="BZ9" s="35" t="s">
        <v>190</v>
      </c>
      <c r="CA9">
        <v>0.63</v>
      </c>
      <c r="CB9">
        <v>7.0000000000000001E-3</v>
      </c>
      <c r="CC9" s="35" t="s">
        <v>191</v>
      </c>
      <c r="CD9">
        <v>2</v>
      </c>
      <c r="CE9">
        <v>0.1</v>
      </c>
      <c r="CF9" s="35" t="s">
        <v>137</v>
      </c>
      <c r="CG9">
        <v>0.84</v>
      </c>
      <c r="CH9">
        <v>1.6500000000000001E-2</v>
      </c>
      <c r="CI9" s="35" t="s">
        <v>192</v>
      </c>
      <c r="CJ9">
        <v>1</v>
      </c>
      <c r="CK9">
        <v>0.05</v>
      </c>
      <c r="CL9" s="35" t="s">
        <v>137</v>
      </c>
      <c r="CM9">
        <v>0.5</v>
      </c>
      <c r="CN9">
        <v>2.5000000000000001E-2</v>
      </c>
      <c r="CO9" s="35" t="s">
        <v>137</v>
      </c>
      <c r="CP9">
        <v>0.34</v>
      </c>
      <c r="CQ9">
        <v>3.7999999999999999E-2</v>
      </c>
      <c r="CR9" s="35" t="s">
        <v>193</v>
      </c>
      <c r="CS9">
        <v>1.2999999999999999E-2</v>
      </c>
      <c r="CT9">
        <v>6.4999999999999997E-4</v>
      </c>
      <c r="CU9" s="35" t="s">
        <v>137</v>
      </c>
      <c r="CV9" t="s">
        <v>138</v>
      </c>
      <c r="CW9" s="37">
        <v>30</v>
      </c>
      <c r="CX9" s="37">
        <v>9.4009599999999997E-4</v>
      </c>
      <c r="CY9" s="37">
        <v>40</v>
      </c>
      <c r="CZ9" s="37">
        <v>25</v>
      </c>
    </row>
    <row r="10" spans="1:104" x14ac:dyDescent="0.2">
      <c r="A10" t="s">
        <v>133</v>
      </c>
      <c r="B10" t="s">
        <v>150</v>
      </c>
      <c r="C10" t="s">
        <v>145</v>
      </c>
      <c r="D10" t="s">
        <v>172</v>
      </c>
      <c r="E10">
        <v>2017</v>
      </c>
      <c r="F10" t="str">
        <f t="shared" si="3"/>
        <v>10.1130/g39002.1</v>
      </c>
      <c r="G10" s="31">
        <f t="shared" si="4"/>
        <v>37840</v>
      </c>
      <c r="H10" s="31">
        <f t="shared" si="5"/>
        <v>1990.000000000002</v>
      </c>
      <c r="I10" s="31">
        <f t="shared" si="6"/>
        <v>1990.000000000002</v>
      </c>
      <c r="J10" s="33">
        <f t="shared" si="7"/>
        <v>440</v>
      </c>
      <c r="K10" s="32">
        <f t="shared" si="8"/>
        <v>70</v>
      </c>
      <c r="L10" s="32">
        <f t="shared" si="9"/>
        <v>57</v>
      </c>
      <c r="M10" t="b">
        <v>1</v>
      </c>
      <c r="N10">
        <v>3</v>
      </c>
      <c r="O10" t="s">
        <v>212</v>
      </c>
      <c r="P10" t="b">
        <v>0</v>
      </c>
      <c r="Q10" t="b">
        <v>0</v>
      </c>
      <c r="R10" t="s">
        <v>162</v>
      </c>
      <c r="S10" t="b">
        <v>1</v>
      </c>
      <c r="T10" t="b">
        <v>1</v>
      </c>
      <c r="U10" t="s">
        <v>213</v>
      </c>
      <c r="V10" t="s">
        <v>214</v>
      </c>
      <c r="W10" t="b">
        <v>0</v>
      </c>
      <c r="X10" t="s">
        <v>162</v>
      </c>
      <c r="Y10" t="s">
        <v>173</v>
      </c>
      <c r="Z10" t="s">
        <v>174</v>
      </c>
      <c r="AA10" t="s">
        <v>204</v>
      </c>
      <c r="AB10" t="s">
        <v>176</v>
      </c>
      <c r="AC10" t="s">
        <v>177</v>
      </c>
      <c r="AD10" t="s">
        <v>178</v>
      </c>
      <c r="AE10" t="s">
        <v>179</v>
      </c>
      <c r="AF10" t="s">
        <v>180</v>
      </c>
      <c r="AG10" t="s">
        <v>205</v>
      </c>
      <c r="AH10">
        <v>37.840000000000003</v>
      </c>
      <c r="AI10" s="34">
        <f t="shared" si="10"/>
        <v>39.830000000000005</v>
      </c>
      <c r="AJ10" s="34">
        <f t="shared" si="11"/>
        <v>35.85</v>
      </c>
      <c r="AK10" t="s">
        <v>162</v>
      </c>
      <c r="AL10" t="s">
        <v>182</v>
      </c>
      <c r="AM10" s="34">
        <v>64.8</v>
      </c>
      <c r="AN10" s="34">
        <v>-101.066667</v>
      </c>
      <c r="AO10" t="s">
        <v>162</v>
      </c>
      <c r="AP10" t="s">
        <v>162</v>
      </c>
      <c r="AQ10">
        <v>440</v>
      </c>
      <c r="AR10" t="s">
        <v>134</v>
      </c>
      <c r="AS10">
        <v>383</v>
      </c>
      <c r="AT10">
        <v>510</v>
      </c>
      <c r="AU10" t="s">
        <v>183</v>
      </c>
      <c r="AV10" s="35" t="s">
        <v>184</v>
      </c>
      <c r="AW10" s="35" t="s">
        <v>135</v>
      </c>
      <c r="AX10" t="s">
        <v>185</v>
      </c>
      <c r="AY10" s="36">
        <v>53600000</v>
      </c>
      <c r="AZ10" s="36">
        <v>4300000</v>
      </c>
      <c r="BA10" t="s">
        <v>186</v>
      </c>
      <c r="BB10">
        <v>0</v>
      </c>
      <c r="BC10">
        <v>0</v>
      </c>
      <c r="BD10" t="s">
        <v>162</v>
      </c>
      <c r="BE10" s="36">
        <v>3.3000000000000003E-5</v>
      </c>
      <c r="BF10" s="36">
        <v>3.3000000000000002E-6</v>
      </c>
      <c r="BG10" t="s">
        <v>187</v>
      </c>
      <c r="BH10">
        <v>0</v>
      </c>
      <c r="BI10">
        <v>0</v>
      </c>
      <c r="BJ10" t="s">
        <v>162</v>
      </c>
      <c r="BK10" s="36">
        <v>1.9400000000000001E-5</v>
      </c>
      <c r="BL10" s="36">
        <v>3.8099999999999997E-8</v>
      </c>
      <c r="BM10" t="s">
        <v>188</v>
      </c>
      <c r="BN10">
        <v>0</v>
      </c>
      <c r="BO10">
        <v>0</v>
      </c>
      <c r="BP10" t="s">
        <v>162</v>
      </c>
      <c r="BQ10">
        <v>-26.416687</v>
      </c>
      <c r="BR10">
        <v>0.2</v>
      </c>
      <c r="BS10" t="s">
        <v>189</v>
      </c>
      <c r="BT10">
        <v>-6</v>
      </c>
      <c r="BU10">
        <v>0.7</v>
      </c>
      <c r="BV10" s="35" t="s">
        <v>136</v>
      </c>
      <c r="BW10">
        <v>396</v>
      </c>
      <c r="BX10">
        <v>6.67</v>
      </c>
      <c r="BY10">
        <v>0.39</v>
      </c>
      <c r="BZ10" s="35" t="s">
        <v>190</v>
      </c>
      <c r="CA10">
        <v>0.63</v>
      </c>
      <c r="CB10">
        <v>7.0000000000000001E-3</v>
      </c>
      <c r="CC10" s="35" t="s">
        <v>191</v>
      </c>
      <c r="CD10">
        <v>2</v>
      </c>
      <c r="CE10">
        <v>0.1</v>
      </c>
      <c r="CF10" s="35" t="s">
        <v>137</v>
      </c>
      <c r="CG10">
        <v>0.84</v>
      </c>
      <c r="CH10">
        <v>1.6500000000000001E-2</v>
      </c>
      <c r="CI10" s="35" t="s">
        <v>192</v>
      </c>
      <c r="CJ10">
        <v>1</v>
      </c>
      <c r="CK10">
        <v>0.05</v>
      </c>
      <c r="CL10" s="35" t="s">
        <v>137</v>
      </c>
      <c r="CM10">
        <v>0.5</v>
      </c>
      <c r="CN10">
        <v>2.5000000000000001E-2</v>
      </c>
      <c r="CO10" s="35" t="s">
        <v>137</v>
      </c>
      <c r="CP10">
        <v>0.34</v>
      </c>
      <c r="CQ10">
        <v>3.7999999999999999E-2</v>
      </c>
      <c r="CR10" s="35" t="s">
        <v>193</v>
      </c>
      <c r="CS10">
        <v>1.2999999999999999E-2</v>
      </c>
      <c r="CT10">
        <v>6.4999999999999997E-4</v>
      </c>
      <c r="CU10" s="35" t="s">
        <v>137</v>
      </c>
      <c r="CV10" t="s">
        <v>138</v>
      </c>
      <c r="CW10" s="37">
        <v>30</v>
      </c>
      <c r="CX10" s="37">
        <v>9.4009599999999997E-4</v>
      </c>
      <c r="CY10" s="37">
        <v>40</v>
      </c>
      <c r="CZ10" s="37">
        <v>25</v>
      </c>
    </row>
    <row r="11" spans="1:104" x14ac:dyDescent="0.2">
      <c r="A11" t="s">
        <v>133</v>
      </c>
      <c r="B11" t="s">
        <v>150</v>
      </c>
      <c r="C11" t="s">
        <v>145</v>
      </c>
      <c r="D11" t="s">
        <v>172</v>
      </c>
      <c r="E11">
        <v>2017</v>
      </c>
      <c r="F11" t="str">
        <f t="shared" si="3"/>
        <v>10.1130/g39002.1</v>
      </c>
      <c r="G11" s="31">
        <f t="shared" si="4"/>
        <v>37840</v>
      </c>
      <c r="H11" s="31">
        <f t="shared" si="5"/>
        <v>1990.000000000002</v>
      </c>
      <c r="I11" s="31">
        <f t="shared" si="6"/>
        <v>1990.000000000002</v>
      </c>
      <c r="J11" s="33">
        <f t="shared" si="7"/>
        <v>522</v>
      </c>
      <c r="K11" s="32">
        <f t="shared" si="8"/>
        <v>93</v>
      </c>
      <c r="L11" s="32">
        <f t="shared" si="9"/>
        <v>75</v>
      </c>
      <c r="M11" t="b">
        <v>1</v>
      </c>
      <c r="N11">
        <v>3</v>
      </c>
      <c r="O11" t="s">
        <v>212</v>
      </c>
      <c r="P11" t="b">
        <v>0</v>
      </c>
      <c r="Q11" t="b">
        <v>0</v>
      </c>
      <c r="R11" t="s">
        <v>162</v>
      </c>
      <c r="S11" t="b">
        <v>1</v>
      </c>
      <c r="T11" t="b">
        <v>1</v>
      </c>
      <c r="U11" t="s">
        <v>213</v>
      </c>
      <c r="V11" t="s">
        <v>214</v>
      </c>
      <c r="W11" t="b">
        <v>0</v>
      </c>
      <c r="X11" t="s">
        <v>162</v>
      </c>
      <c r="Y11" t="s">
        <v>173</v>
      </c>
      <c r="Z11" t="s">
        <v>174</v>
      </c>
      <c r="AA11" t="s">
        <v>206</v>
      </c>
      <c r="AB11" t="s">
        <v>176</v>
      </c>
      <c r="AC11" t="s">
        <v>177</v>
      </c>
      <c r="AD11" t="s">
        <v>178</v>
      </c>
      <c r="AE11" t="s">
        <v>179</v>
      </c>
      <c r="AF11" t="s">
        <v>180</v>
      </c>
      <c r="AG11" t="s">
        <v>207</v>
      </c>
      <c r="AH11">
        <v>37.840000000000003</v>
      </c>
      <c r="AI11" s="34">
        <f t="shared" si="10"/>
        <v>39.830000000000005</v>
      </c>
      <c r="AJ11" s="34">
        <f t="shared" si="11"/>
        <v>35.85</v>
      </c>
      <c r="AK11" t="s">
        <v>162</v>
      </c>
      <c r="AL11" t="s">
        <v>182</v>
      </c>
      <c r="AM11" s="34">
        <v>64.8</v>
      </c>
      <c r="AN11" s="34">
        <v>-101.066667</v>
      </c>
      <c r="AO11" t="s">
        <v>162</v>
      </c>
      <c r="AP11" t="s">
        <v>162</v>
      </c>
      <c r="AQ11">
        <v>522</v>
      </c>
      <c r="AR11" t="s">
        <v>134</v>
      </c>
      <c r="AS11">
        <v>447</v>
      </c>
      <c r="AT11">
        <v>615</v>
      </c>
      <c r="AU11" t="s">
        <v>183</v>
      </c>
      <c r="AV11" s="35" t="s">
        <v>184</v>
      </c>
      <c r="AW11" s="35" t="s">
        <v>135</v>
      </c>
      <c r="AX11" t="s">
        <v>185</v>
      </c>
      <c r="AY11" s="36">
        <v>74200000</v>
      </c>
      <c r="AZ11" s="36">
        <v>5060000</v>
      </c>
      <c r="BA11" t="s">
        <v>186</v>
      </c>
      <c r="BB11">
        <v>0</v>
      </c>
      <c r="BC11">
        <v>0</v>
      </c>
      <c r="BD11" t="s">
        <v>162</v>
      </c>
      <c r="BE11" s="36">
        <v>3.1699999999999998E-5</v>
      </c>
      <c r="BF11" s="36">
        <v>4.3900000000000003E-6</v>
      </c>
      <c r="BG11" t="s">
        <v>187</v>
      </c>
      <c r="BH11">
        <v>0</v>
      </c>
      <c r="BI11">
        <v>0</v>
      </c>
      <c r="BJ11" t="s">
        <v>162</v>
      </c>
      <c r="BK11" s="36">
        <v>1.8600000000000001E-5</v>
      </c>
      <c r="BL11" s="36">
        <v>5.0699999999999997E-8</v>
      </c>
      <c r="BM11" t="s">
        <v>188</v>
      </c>
      <c r="BN11">
        <v>0</v>
      </c>
      <c r="BO11">
        <v>0</v>
      </c>
      <c r="BP11" t="s">
        <v>162</v>
      </c>
      <c r="BQ11">
        <v>-28.474076</v>
      </c>
      <c r="BR11">
        <v>0.2</v>
      </c>
      <c r="BS11" t="s">
        <v>189</v>
      </c>
      <c r="BT11">
        <v>-6</v>
      </c>
      <c r="BU11">
        <v>0.7</v>
      </c>
      <c r="BV11" s="35" t="s">
        <v>136</v>
      </c>
      <c r="BW11">
        <v>396</v>
      </c>
      <c r="BX11">
        <v>6.67</v>
      </c>
      <c r="BY11">
        <v>0.39</v>
      </c>
      <c r="BZ11" s="35" t="s">
        <v>190</v>
      </c>
      <c r="CA11">
        <v>0.63</v>
      </c>
      <c r="CB11">
        <v>7.0000000000000001E-3</v>
      </c>
      <c r="CC11" s="35" t="s">
        <v>191</v>
      </c>
      <c r="CD11">
        <v>2</v>
      </c>
      <c r="CE11">
        <v>0.1</v>
      </c>
      <c r="CF11" s="35" t="s">
        <v>137</v>
      </c>
      <c r="CG11">
        <v>0.84</v>
      </c>
      <c r="CH11">
        <v>1.6500000000000001E-2</v>
      </c>
      <c r="CI11" s="35" t="s">
        <v>192</v>
      </c>
      <c r="CJ11">
        <v>1</v>
      </c>
      <c r="CK11">
        <v>0.05</v>
      </c>
      <c r="CL11" s="35" t="s">
        <v>137</v>
      </c>
      <c r="CM11">
        <v>0.5</v>
      </c>
      <c r="CN11">
        <v>2.5000000000000001E-2</v>
      </c>
      <c r="CO11" s="35" t="s">
        <v>137</v>
      </c>
      <c r="CP11">
        <v>0.34</v>
      </c>
      <c r="CQ11">
        <v>3.7999999999999999E-2</v>
      </c>
      <c r="CR11" s="35" t="s">
        <v>193</v>
      </c>
      <c r="CS11">
        <v>1.2999999999999999E-2</v>
      </c>
      <c r="CT11">
        <v>6.4999999999999997E-4</v>
      </c>
      <c r="CU11" s="35" t="s">
        <v>137</v>
      </c>
      <c r="CV11" t="s">
        <v>138</v>
      </c>
      <c r="CW11" s="37">
        <v>30</v>
      </c>
      <c r="CX11" s="37">
        <v>9.4009599999999997E-4</v>
      </c>
      <c r="CY11" s="37">
        <v>40</v>
      </c>
      <c r="CZ11" s="37">
        <v>25</v>
      </c>
    </row>
    <row r="12" spans="1:104" x14ac:dyDescent="0.2">
      <c r="A12" t="s">
        <v>133</v>
      </c>
      <c r="B12" t="s">
        <v>150</v>
      </c>
      <c r="C12" t="s">
        <v>145</v>
      </c>
      <c r="D12" t="s">
        <v>172</v>
      </c>
      <c r="E12">
        <v>2017</v>
      </c>
      <c r="F12" t="str">
        <f t="shared" si="3"/>
        <v>10.1130/g39002.1</v>
      </c>
      <c r="G12" s="31">
        <f t="shared" si="4"/>
        <v>37840</v>
      </c>
      <c r="H12" s="31">
        <f t="shared" si="5"/>
        <v>1990.000000000002</v>
      </c>
      <c r="I12" s="31">
        <f t="shared" si="6"/>
        <v>1990.000000000002</v>
      </c>
      <c r="J12" s="33">
        <f t="shared" si="7"/>
        <v>352</v>
      </c>
      <c r="K12" s="32">
        <f t="shared" si="8"/>
        <v>65</v>
      </c>
      <c r="L12" s="32">
        <f t="shared" si="9"/>
        <v>49</v>
      </c>
      <c r="M12" t="b">
        <v>1</v>
      </c>
      <c r="N12">
        <v>3</v>
      </c>
      <c r="O12" t="s">
        <v>212</v>
      </c>
      <c r="P12" t="b">
        <v>0</v>
      </c>
      <c r="Q12" t="b">
        <v>0</v>
      </c>
      <c r="R12" t="s">
        <v>162</v>
      </c>
      <c r="S12" t="b">
        <v>1</v>
      </c>
      <c r="T12" t="b">
        <v>1</v>
      </c>
      <c r="U12" t="s">
        <v>213</v>
      </c>
      <c r="V12" t="s">
        <v>214</v>
      </c>
      <c r="W12" t="b">
        <v>0</v>
      </c>
      <c r="X12" t="s">
        <v>162</v>
      </c>
      <c r="Y12" t="s">
        <v>173</v>
      </c>
      <c r="Z12" t="s">
        <v>174</v>
      </c>
      <c r="AA12" t="s">
        <v>208</v>
      </c>
      <c r="AB12" t="s">
        <v>176</v>
      </c>
      <c r="AC12" t="s">
        <v>177</v>
      </c>
      <c r="AD12" t="s">
        <v>178</v>
      </c>
      <c r="AE12" t="s">
        <v>179</v>
      </c>
      <c r="AF12" t="s">
        <v>180</v>
      </c>
      <c r="AG12" t="s">
        <v>209</v>
      </c>
      <c r="AH12">
        <v>37.840000000000003</v>
      </c>
      <c r="AI12" s="34">
        <f t="shared" si="10"/>
        <v>39.830000000000005</v>
      </c>
      <c r="AJ12" s="34">
        <f t="shared" si="11"/>
        <v>35.85</v>
      </c>
      <c r="AK12" t="s">
        <v>162</v>
      </c>
      <c r="AL12" t="s">
        <v>182</v>
      </c>
      <c r="AM12" s="34">
        <v>64.8</v>
      </c>
      <c r="AN12" s="34">
        <v>-101.066667</v>
      </c>
      <c r="AO12" t="s">
        <v>162</v>
      </c>
      <c r="AP12" t="s">
        <v>162</v>
      </c>
      <c r="AQ12">
        <v>352</v>
      </c>
      <c r="AR12" t="s">
        <v>134</v>
      </c>
      <c r="AS12">
        <v>303</v>
      </c>
      <c r="AT12">
        <v>417</v>
      </c>
      <c r="AU12" t="s">
        <v>183</v>
      </c>
      <c r="AV12" s="35" t="s">
        <v>184</v>
      </c>
      <c r="AW12" s="35" t="s">
        <v>135</v>
      </c>
      <c r="AX12" t="s">
        <v>185</v>
      </c>
      <c r="AY12" s="36">
        <v>61800000</v>
      </c>
      <c r="AZ12" s="36">
        <v>4620000</v>
      </c>
      <c r="BA12" t="s">
        <v>186</v>
      </c>
      <c r="BB12">
        <v>0</v>
      </c>
      <c r="BC12">
        <v>0</v>
      </c>
      <c r="BD12" t="s">
        <v>162</v>
      </c>
      <c r="BE12" s="36">
        <v>2.8900000000000001E-5</v>
      </c>
      <c r="BF12" s="36">
        <v>5.3399999999999997E-6</v>
      </c>
      <c r="BG12" t="s">
        <v>187</v>
      </c>
      <c r="BH12">
        <v>0</v>
      </c>
      <c r="BI12">
        <v>0</v>
      </c>
      <c r="BJ12" t="s">
        <v>162</v>
      </c>
      <c r="BK12" s="36">
        <v>1.7E-5</v>
      </c>
      <c r="BL12" s="36">
        <v>6.1700000000000003E-8</v>
      </c>
      <c r="BM12" t="s">
        <v>188</v>
      </c>
      <c r="BN12">
        <v>0</v>
      </c>
      <c r="BO12">
        <v>0</v>
      </c>
      <c r="BP12" t="s">
        <v>162</v>
      </c>
      <c r="BQ12">
        <v>-24.583898000000001</v>
      </c>
      <c r="BR12">
        <v>0.2</v>
      </c>
      <c r="BS12" t="s">
        <v>189</v>
      </c>
      <c r="BT12">
        <v>-6</v>
      </c>
      <c r="BU12">
        <v>0.7</v>
      </c>
      <c r="BV12" s="35" t="s">
        <v>136</v>
      </c>
      <c r="BW12">
        <v>396</v>
      </c>
      <c r="BX12">
        <v>6.67</v>
      </c>
      <c r="BY12">
        <v>0.39</v>
      </c>
      <c r="BZ12" s="35" t="s">
        <v>190</v>
      </c>
      <c r="CA12">
        <v>0.63</v>
      </c>
      <c r="CB12">
        <v>7.0000000000000001E-3</v>
      </c>
      <c r="CC12" s="35" t="s">
        <v>191</v>
      </c>
      <c r="CD12">
        <v>2</v>
      </c>
      <c r="CE12">
        <v>0.1</v>
      </c>
      <c r="CF12" s="35" t="s">
        <v>137</v>
      </c>
      <c r="CG12">
        <v>0.84</v>
      </c>
      <c r="CH12">
        <v>1.6500000000000001E-2</v>
      </c>
      <c r="CI12" s="35" t="s">
        <v>192</v>
      </c>
      <c r="CJ12">
        <v>1</v>
      </c>
      <c r="CK12">
        <v>0.05</v>
      </c>
      <c r="CL12" s="35" t="s">
        <v>137</v>
      </c>
      <c r="CM12">
        <v>0.5</v>
      </c>
      <c r="CN12">
        <v>2.5000000000000001E-2</v>
      </c>
      <c r="CO12" s="35" t="s">
        <v>137</v>
      </c>
      <c r="CP12">
        <v>0.34</v>
      </c>
      <c r="CQ12">
        <v>3.7999999999999999E-2</v>
      </c>
      <c r="CR12" s="35" t="s">
        <v>193</v>
      </c>
      <c r="CS12">
        <v>1.2999999999999999E-2</v>
      </c>
      <c r="CT12">
        <v>6.4999999999999997E-4</v>
      </c>
      <c r="CU12" s="35" t="s">
        <v>137</v>
      </c>
      <c r="CV12" t="s">
        <v>138</v>
      </c>
      <c r="CW12" s="37">
        <v>30</v>
      </c>
      <c r="CX12" s="37">
        <v>9.4009599999999997E-4</v>
      </c>
      <c r="CY12" s="37">
        <v>40</v>
      </c>
      <c r="CZ12" s="37">
        <v>25</v>
      </c>
    </row>
    <row r="13" spans="1:104" x14ac:dyDescent="0.2">
      <c r="A13" t="s">
        <v>133</v>
      </c>
      <c r="B13" t="s">
        <v>150</v>
      </c>
      <c r="C13" t="s">
        <v>145</v>
      </c>
      <c r="D13" t="s">
        <v>172</v>
      </c>
      <c r="E13">
        <v>2017</v>
      </c>
      <c r="F13" t="str">
        <f t="shared" si="3"/>
        <v>10.1130/g39002.1</v>
      </c>
      <c r="G13" s="31">
        <f t="shared" si="4"/>
        <v>37840</v>
      </c>
      <c r="H13" s="31">
        <f t="shared" si="5"/>
        <v>1990.000000000002</v>
      </c>
      <c r="I13" s="31">
        <f t="shared" si="6"/>
        <v>1990.000000000002</v>
      </c>
      <c r="J13" s="33">
        <f t="shared" si="7"/>
        <v>432</v>
      </c>
      <c r="K13" s="32">
        <f t="shared" si="8"/>
        <v>106</v>
      </c>
      <c r="L13" s="32">
        <f t="shared" si="9"/>
        <v>79</v>
      </c>
      <c r="M13" t="b">
        <v>1</v>
      </c>
      <c r="N13">
        <v>3</v>
      </c>
      <c r="O13" t="s">
        <v>215</v>
      </c>
      <c r="P13" t="b">
        <v>0</v>
      </c>
      <c r="Q13" t="b">
        <v>0</v>
      </c>
      <c r="R13" t="s">
        <v>162</v>
      </c>
      <c r="S13" t="b">
        <v>1</v>
      </c>
      <c r="T13" t="b">
        <v>1</v>
      </c>
      <c r="U13" t="s">
        <v>213</v>
      </c>
      <c r="V13" t="s">
        <v>214</v>
      </c>
      <c r="W13" t="b">
        <v>0</v>
      </c>
      <c r="X13" t="s">
        <v>162</v>
      </c>
      <c r="Y13" t="s">
        <v>173</v>
      </c>
      <c r="Z13" t="s">
        <v>174</v>
      </c>
      <c r="AA13" t="s">
        <v>210</v>
      </c>
      <c r="AB13" t="s">
        <v>176</v>
      </c>
      <c r="AC13" t="s">
        <v>177</v>
      </c>
      <c r="AD13" t="s">
        <v>178</v>
      </c>
      <c r="AE13" t="s">
        <v>179</v>
      </c>
      <c r="AF13" t="s">
        <v>180</v>
      </c>
      <c r="AG13" t="s">
        <v>211</v>
      </c>
      <c r="AH13">
        <v>37.840000000000003</v>
      </c>
      <c r="AI13" s="34">
        <f t="shared" si="10"/>
        <v>39.830000000000005</v>
      </c>
      <c r="AJ13" s="34">
        <f t="shared" si="11"/>
        <v>35.85</v>
      </c>
      <c r="AK13" t="s">
        <v>162</v>
      </c>
      <c r="AL13" t="s">
        <v>182</v>
      </c>
      <c r="AM13" s="34">
        <v>64.8</v>
      </c>
      <c r="AN13" s="34">
        <v>-101.066667</v>
      </c>
      <c r="AO13" t="s">
        <v>162</v>
      </c>
      <c r="AP13" t="s">
        <v>162</v>
      </c>
      <c r="AQ13">
        <v>432</v>
      </c>
      <c r="AR13" t="s">
        <v>134</v>
      </c>
      <c r="AS13">
        <v>353</v>
      </c>
      <c r="AT13">
        <v>538</v>
      </c>
      <c r="AU13" t="s">
        <v>183</v>
      </c>
      <c r="AV13" s="35" t="s">
        <v>184</v>
      </c>
      <c r="AW13" s="35" t="s">
        <v>135</v>
      </c>
      <c r="AX13" t="s">
        <v>185</v>
      </c>
      <c r="AY13" s="36">
        <v>60000000</v>
      </c>
      <c r="AZ13" s="36">
        <v>7180000</v>
      </c>
      <c r="BA13" t="s">
        <v>186</v>
      </c>
      <c r="BB13">
        <v>0</v>
      </c>
      <c r="BC13">
        <v>0</v>
      </c>
      <c r="BD13" t="s">
        <v>162</v>
      </c>
      <c r="BE13" s="36">
        <v>3.0700000000000001E-5</v>
      </c>
      <c r="BF13" s="36">
        <v>1.9800000000000001E-6</v>
      </c>
      <c r="BG13" t="s">
        <v>187</v>
      </c>
      <c r="BH13">
        <v>0</v>
      </c>
      <c r="BI13">
        <v>0</v>
      </c>
      <c r="BJ13" t="s">
        <v>162</v>
      </c>
      <c r="BK13" s="36">
        <v>1.8099999999999999E-5</v>
      </c>
      <c r="BL13" s="36">
        <v>2.29E-8</v>
      </c>
      <c r="BM13" t="s">
        <v>188</v>
      </c>
      <c r="BN13">
        <v>0</v>
      </c>
      <c r="BO13">
        <v>0</v>
      </c>
      <c r="BP13" t="s">
        <v>162</v>
      </c>
      <c r="BQ13">
        <v>-26.399151440000001</v>
      </c>
      <c r="BR13">
        <v>1.1499999999999999</v>
      </c>
      <c r="BS13" t="s">
        <v>189</v>
      </c>
      <c r="BT13">
        <v>-6</v>
      </c>
      <c r="BU13">
        <v>0.7</v>
      </c>
      <c r="BV13" s="35" t="s">
        <v>136</v>
      </c>
      <c r="BW13">
        <v>396</v>
      </c>
      <c r="BX13">
        <v>6.67</v>
      </c>
      <c r="BY13">
        <v>0.39</v>
      </c>
      <c r="BZ13" s="35" t="s">
        <v>190</v>
      </c>
      <c r="CA13">
        <v>0.63</v>
      </c>
      <c r="CB13">
        <v>7.0000000000000001E-3</v>
      </c>
      <c r="CC13" s="35" t="s">
        <v>191</v>
      </c>
      <c r="CD13">
        <v>2</v>
      </c>
      <c r="CE13">
        <v>0.1</v>
      </c>
      <c r="CF13" s="35" t="s">
        <v>137</v>
      </c>
      <c r="CG13">
        <v>0.84</v>
      </c>
      <c r="CH13">
        <v>1.6500000000000001E-2</v>
      </c>
      <c r="CI13" s="35" t="s">
        <v>192</v>
      </c>
      <c r="CJ13">
        <v>1</v>
      </c>
      <c r="CK13">
        <v>0.05</v>
      </c>
      <c r="CL13" s="35" t="s">
        <v>137</v>
      </c>
      <c r="CM13">
        <v>0.5</v>
      </c>
      <c r="CN13">
        <v>2.5000000000000001E-2</v>
      </c>
      <c r="CO13" s="35" t="s">
        <v>137</v>
      </c>
      <c r="CP13">
        <v>0.34</v>
      </c>
      <c r="CQ13">
        <v>3.7999999999999999E-2</v>
      </c>
      <c r="CR13" s="35" t="s">
        <v>193</v>
      </c>
      <c r="CS13">
        <v>1.2999999999999999E-2</v>
      </c>
      <c r="CT13">
        <v>6.4999999999999997E-4</v>
      </c>
      <c r="CU13" s="35" t="s">
        <v>137</v>
      </c>
      <c r="CV13" t="s">
        <v>138</v>
      </c>
      <c r="CW13" s="37">
        <v>30</v>
      </c>
      <c r="CX13" s="37">
        <v>9.4009599999999997E-4</v>
      </c>
      <c r="CY13" s="37">
        <v>40</v>
      </c>
      <c r="CZ13" s="37">
        <v>25</v>
      </c>
    </row>
    <row r="17" customFormat="1" x14ac:dyDescent="0.2"/>
    <row r="18" customFormat="1" x14ac:dyDescent="0.2"/>
    <row r="19" customFormat="1" x14ac:dyDescent="0.2"/>
    <row r="20" customFormat="1" x14ac:dyDescent="0.2"/>
    <row r="21" customFormat="1" x14ac:dyDescent="0.2"/>
    <row r="22" customFormat="1" x14ac:dyDescent="0.2"/>
    <row r="23" customFormat="1" x14ac:dyDescent="0.2"/>
    <row r="24" customFormat="1" x14ac:dyDescent="0.2"/>
    <row r="25" customFormat="1" x14ac:dyDescent="0.2"/>
    <row r="26" customFormat="1" x14ac:dyDescent="0.2"/>
    <row r="27" customFormat="1" x14ac:dyDescent="0.2"/>
    <row r="28" customFormat="1" x14ac:dyDescent="0.2"/>
    <row r="29" customFormat="1" x14ac:dyDescent="0.2"/>
    <row r="30" customFormat="1" x14ac:dyDescent="0.2"/>
    <row r="31" customFormat="1" x14ac:dyDescent="0.2"/>
    <row r="32" customFormat="1" x14ac:dyDescent="0.2"/>
    <row r="33" customFormat="1" x14ac:dyDescent="0.2"/>
    <row r="34" customFormat="1" x14ac:dyDescent="0.2"/>
    <row r="35" customFormat="1" x14ac:dyDescent="0.2"/>
    <row r="36" customFormat="1" x14ac:dyDescent="0.2"/>
    <row r="37" customFormat="1" x14ac:dyDescent="0.2"/>
    <row r="38" customFormat="1" x14ac:dyDescent="0.2"/>
    <row r="39" customFormat="1" x14ac:dyDescent="0.2"/>
    <row r="40" customFormat="1" x14ac:dyDescent="0.2"/>
  </sheetData>
  <mergeCells count="1">
    <mergeCell ref="S2:W2"/>
  </mergeCells>
  <phoneticPr fontId="7"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sqref="A1:A4"/>
    </sheetView>
  </sheetViews>
  <sheetFormatPr baseColWidth="10" defaultColWidth="11" defaultRowHeight="16" x14ac:dyDescent="0.2"/>
  <sheetData>
    <row r="1" spans="1:1" x14ac:dyDescent="0.2">
      <c r="A1" s="28" t="s">
        <v>0</v>
      </c>
    </row>
    <row r="2" spans="1:1" ht="17" x14ac:dyDescent="0.2">
      <c r="A2" s="29" t="s">
        <v>1</v>
      </c>
    </row>
    <row r="3" spans="1:1" x14ac:dyDescent="0.2">
      <c r="A3" s="28" t="s">
        <v>2</v>
      </c>
    </row>
    <row r="4" spans="1:1" x14ac:dyDescent="0.2">
      <c r="A4" s="28"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Royer, Dana</dc:creator>
  <cp:lastModifiedBy>Bärbel Hönisch</cp:lastModifiedBy>
  <dcterms:created xsi:type="dcterms:W3CDTF">2019-02-07T19:27:24Z</dcterms:created>
  <dcterms:modified xsi:type="dcterms:W3CDTF">2023-02-28T18:11:53Z</dcterms:modified>
</cp:coreProperties>
</file>