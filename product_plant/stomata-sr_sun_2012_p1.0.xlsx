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271D65E5-8180-486E-AE9F-05F4A310F607}" xr6:coauthVersionLast="45" xr6:coauthVersionMax="47" xr10:uidLastSave="{00000000-0000-0000-0000-000000000000}"/>
  <bookViews>
    <workbookView xWindow="60" yWindow="60" windowWidth="28845" windowHeight="12180"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B5" i="1" l="1"/>
  <c r="BA5" i="1"/>
  <c r="AZ5" i="1"/>
  <c r="AY5" i="1"/>
  <c r="AX5" i="1"/>
  <c r="AW5" i="1"/>
  <c r="BB4" i="1"/>
  <c r="BA4" i="1"/>
  <c r="AZ4" i="1"/>
  <c r="AY4" i="1"/>
  <c r="AX4" i="1"/>
  <c r="AW4" i="1"/>
  <c r="BH6" i="1" l="1"/>
  <c r="BG6" i="1"/>
  <c r="BF5" i="1" l="1"/>
  <c r="K5" i="1" s="1"/>
  <c r="BF4" i="1"/>
  <c r="BF6" i="1" s="1"/>
  <c r="L6" i="1" s="1"/>
  <c r="AO5" i="1"/>
  <c r="AN5" i="1"/>
  <c r="AO4" i="1"/>
  <c r="AN4" i="1"/>
  <c r="AH6" i="1"/>
  <c r="G6" i="1" s="1"/>
  <c r="AH5" i="1"/>
  <c r="G5" i="1" s="1"/>
  <c r="AH4" i="1"/>
  <c r="J6" i="1"/>
  <c r="F6" i="1"/>
  <c r="F5" i="1"/>
  <c r="K6" i="1" l="1"/>
  <c r="J5" i="1"/>
  <c r="L5" i="1"/>
  <c r="I6" i="1"/>
  <c r="H6" i="1"/>
  <c r="I5" i="1"/>
  <c r="H5" i="1"/>
  <c r="L4" i="1"/>
  <c r="K4" i="1"/>
  <c r="J4" i="1"/>
  <c r="F4" i="1"/>
  <c r="I4" i="1" l="1"/>
  <c r="H4" i="1"/>
  <c r="G4" i="1"/>
</calcChain>
</file>

<file path=xl/sharedStrings.xml><?xml version="1.0" encoding="utf-8"?>
<sst xmlns="http://schemas.openxmlformats.org/spreadsheetml/2006/main" count="192" uniqueCount="107">
  <si>
    <t>Modern</t>
    <phoneticPr fontId="3" type="noConversion"/>
  </si>
  <si>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</si>
  <si>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</si>
  <si>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</si>
  <si>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</si>
  <si>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</si>
  <si>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</si>
  <si>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</si>
  <si>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</si>
  <si>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</si>
  <si>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</si>
  <si>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</si>
  <si>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</si>
  <si>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</si>
  <si>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</si>
  <si>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</si>
  <si>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</si>
  <si>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</si>
  <si>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</si>
  <si>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</si>
  <si>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Microscope</t>
    <phoneticPr fontId="3" type="noConversion"/>
  </si>
  <si>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</si>
  <si>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</si>
  <si>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</si>
  <si>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</si>
  <si>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</si>
  <si>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</si>
  <si>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</si>
  <si>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</si>
  <si>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</si>
  <si>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</si>
  <si>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droyer@wesleyan.edu</t>
  </si>
  <si>
    <t>stomata-SR</t>
  </si>
  <si>
    <t>Dana L. Royer</t>
  </si>
  <si>
    <t>Estimates of CO2 (and their associated uncertainties) are "semi-quantitative" (see original papers by McElwain and Chaloner) and thus shouldn't be included in a fully quantitative, cross-species CO2 compilation with shared error analysis.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</si>
  <si>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</si>
  <si>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</si>
  <si>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</si>
  <si>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</si>
  <si>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</si>
  <si>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</si>
  <si>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</si>
  <si>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</si>
  <si>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</si>
  <si>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</si>
  <si>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</si>
  <si>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</si>
  <si>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CO2_uncertainty_neg_ppm</t>
  </si>
  <si>
    <t>Modern Longitude (decimal degree, west negative)</t>
  </si>
  <si>
    <t>Paleo Latitude (decimal degree, south negative)</t>
  </si>
  <si>
    <t>Paleo Longitude (decimal degree, west negative)</t>
  </si>
  <si>
    <t>GTS2020</t>
  </si>
  <si>
    <t>Sun</t>
  </si>
  <si>
    <r>
      <t>Sun, B.-N., Ding, S.-T., Wu, J.-Y., Dong, C., Xie, S., and Lin, Z.-C., 2012, Carbon isotope and stomatal data of late Pliocene Betulaceae leaves from SW China: implications for palaeoatmospheric CO</t>
    </r>
    <r>
      <rPr>
        <vertAlign val="subscript"/>
        <sz val="12"/>
        <color rgb="FF000000"/>
        <rFont val="Calibri"/>
        <family val="2"/>
      </rPr>
      <t>2</t>
    </r>
    <r>
      <rPr>
        <sz val="12"/>
        <color indexed="8"/>
        <rFont val="Calibri"/>
        <family val="2"/>
      </rPr>
      <t>-levels: Turkish Journal of Earth Sciences, v. 21, p. 237-250.</t>
    </r>
  </si>
  <si>
    <t>10.3906/yer-1003-42</t>
  </si>
  <si>
    <t>Betulaceae</t>
  </si>
  <si>
    <t>mioluminifera</t>
  </si>
  <si>
    <t>Betula</t>
  </si>
  <si>
    <t>Carpinus</t>
  </si>
  <si>
    <t>miofangiana</t>
  </si>
  <si>
    <t>Institute of Palaeontology and Stratigraphy, Lanzhou University, China (LUP)</t>
  </si>
  <si>
    <t>Mangbang Formation</t>
  </si>
  <si>
    <t>Bounded by two radiometric dates of 3.297 +/- 0.040 Ma and 2.322 +/- 0.036 Ma; fossils come from a 42 m thick section, which is estimated based on sedimentation rates to represent ~0.47 Myrs. From these arguments, the authors argue for a "Late Pliocene age (3.30-2.83 Ma). Following GTS 2020 and the older radiometric constraint, the "Late Pliocene" (Piacenzian) spans 3.297 - 2.59 Ma.</t>
  </si>
  <si>
    <t>42 m thick section in the upper unit of the Mangang Formation</t>
  </si>
  <si>
    <t>8?</t>
  </si>
  <si>
    <t>Betula luminifera</t>
  </si>
  <si>
    <t>Carpinus fangiana</t>
  </si>
  <si>
    <t>see remarks (column BM)</t>
  </si>
  <si>
    <t>Fossils come from 12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t>
  </si>
  <si>
    <t>Fossils come from 16 different beds; modern leaves come from collections spanning 8 different years from 1959 to 2009; befitting the semi-quantitative nature of the stomatal ratio proxy, the authors have combined all of this fossil and extant information into a range of plausible paleo-CO2 estimates (columns BI-BJ)</t>
  </si>
  <si>
    <t>CO2 was estimated independently with two species; to avoid pseudo-replication, only the combined estimate is retained (final row of data)</t>
  </si>
  <si>
    <t>Age updated to GTS 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</si>
  <si>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</si>
  <si>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</si>
  <si>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</si>
  <si>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</si>
  <si>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</si>
  <si>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</si>
  <si>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</si>
  <si>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</si>
  <si>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</si>
  <si>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</si>
  <si>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</si>
  <si>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</si>
  <si>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</si>
  <si>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</si>
  <si>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</si>
  <si>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</si>
  <si>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</si>
  <si>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</si>
  <si>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</si>
  <si>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</si>
  <si>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</si>
  <si>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Number of leaves/leaf fragments</t>
    <phoneticPr fontId="2" type="noConversion"/>
  </si>
  <si>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</si>
  <si>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</si>
  <si>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</si>
  <si>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</si>
  <si>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</si>
  <si>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</si>
  <si>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</si>
  <si>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NLE 
SD/SI 
value</t>
    <phoneticPr fontId="2" type="noConversion"/>
  </si>
  <si>
    <t>Standardization (Modern or Carboniferous)</t>
    <phoneticPr fontId="2" type="noConversion"/>
  </si>
  <si>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</si>
  <si>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</si>
  <si>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</si>
  <si>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t>Remarks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</si>
</sst>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i/>
      <sz val="12"/>
      <color indexed="8"/>
      <name val="Calibri"/>
      <family val="2"/>
    </font>
    <font>
      <sz val="12"/>
      <color rgb="FF000000"/>
      <name val="Calibri"/>
      <family val="2"/>
      <scheme val="minor"/>
    </font>
    <font>
      <b/>
      <sz val="12"/>
      <name val="Calibri"/>
      <family val="2"/>
      <scheme val="minor"/>
    </font>
    <font>
      <vertAlign val="subscript"/>
      <sz val="12"/>
      <color rgb="FF000000"/>
      <name val="Calibri"/>
      <family val="2"/>
    </font>
    <font>
      <i/>
      <sz val="12"/>
      <color rgb="FF000000"/>
      <name val="Calibri"/>
      <family val="2"/>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2" fillId="0" borderId="0"/>
    <xf numFmtId="0" fontId="1" fillId="0" borderId="0"/>
  </cellStyleXfs>
  <cellXfs count="32">
    <xf numFmtId="0" fontId="0" fillId="0" borderId="0" xfId="0"/>
    <xf numFmtId="0" fontId="4" fillId="0" borderId="0" xfId="0" applyFont="1"/>
    <xf numFmtId="17" fontId="4" fillId="0" borderId="0" xfId="0" applyNumberFormat="1" applyFont="1"/>
    <xf numFmtId="0" fontId="6" fillId="0" borderId="0" xfId="0" applyFont="1"/>
    <xf numFmtId="0" fontId="0" fillId="0" borderId="0" xfId="0" applyFill="1"/>
    <xf numFmtId="1" fontId="0" fillId="0" borderId="0" xfId="0" applyNumberFormat="1"/>
    <xf numFmtId="0" fontId="4" fillId="0" borderId="0" xfId="0" applyFont="1" applyFill="1"/>
    <xf numFmtId="0" fontId="10" fillId="0" borderId="0" xfId="0" applyFont="1"/>
    <xf numFmtId="2" fontId="4" fillId="0" borderId="0" xfId="0" applyNumberFormat="1" applyFont="1"/>
    <xf numFmtId="1" fontId="4" fillId="0" borderId="0" xfId="0" applyNumberFormat="1" applyFont="1"/>
    <xf numFmtId="0" fontId="8" fillId="3" borderId="5" xfId="0" applyFont="1" applyFill="1" applyBorder="1" applyAlignment="1">
      <alignment horizontal="center" vertical="top" wrapText="1"/>
    </xf>
    <xf numFmtId="0" fontId="5" fillId="2" borderId="0" xfId="0" applyFont="1" applyFill="1" applyAlignment="1">
      <alignment horizontal="center"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2" xfId="0" applyFont="1" applyBorder="1" applyAlignment="1">
      <alignment horizontal="center" vertical="top"/>
    </xf>
    <xf numFmtId="0" fontId="0" fillId="0" borderId="2" xfId="0" applyFont="1" applyBorder="1" applyAlignment="1">
      <alignment horizontal="center" vertical="top" wrapText="1"/>
    </xf>
    <xf numFmtId="0" fontId="0" fillId="0" borderId="2" xfId="0" applyFont="1" applyBorder="1" applyAlignment="1">
      <alignment horizontal="center" vertical="top"/>
    </xf>
    <xf numFmtId="0" fontId="0" fillId="0" borderId="2" xfId="0" quotePrefix="1" applyFont="1" applyBorder="1" applyAlignment="1">
      <alignment horizontal="center" vertical="top" wrapText="1"/>
    </xf>
    <xf numFmtId="0" fontId="0" fillId="0" borderId="3" xfId="0" quotePrefix="1" applyFont="1" applyBorder="1" applyAlignment="1">
      <alignment horizontal="center" vertical="top" wrapText="1"/>
    </xf>
    <xf numFmtId="0" fontId="0" fillId="0" borderId="2" xfId="0" applyFont="1" applyFill="1" applyBorder="1" applyAlignment="1">
      <alignment horizontal="center" vertical="top" wrapText="1"/>
    </xf>
    <xf numFmtId="0" fontId="0" fillId="0" borderId="2" xfId="0" applyBorder="1" applyAlignment="1">
      <alignment horizontal="center" vertical="top" wrapText="1"/>
    </xf>
    <xf numFmtId="0" fontId="0" fillId="0" borderId="3" xfId="0" applyFont="1" applyFill="1" applyBorder="1" applyAlignment="1">
      <alignment horizontal="center" vertical="top" wrapText="1"/>
    </xf>
    <xf numFmtId="0" fontId="0" fillId="0" borderId="4" xfId="0" applyFont="1" applyFill="1" applyBorder="1" applyAlignment="1">
      <alignment horizontal="center" vertical="top" wrapText="1"/>
    </xf>
    <xf numFmtId="0" fontId="0" fillId="0" borderId="1" xfId="0" applyFont="1" applyFill="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11" fillId="2" borderId="0" xfId="0" applyFont="1" applyFill="1" applyAlignment="1">
      <alignment horizontal="center" vertical="top" wrapText="1"/>
    </xf>
    <xf numFmtId="0" fontId="5" fillId="0" borderId="0" xfId="0" applyFont="1" applyBorder="1" applyAlignment="1">
      <alignment horizontal="center" vertical="top"/>
    </xf>
    <xf numFmtId="164" fontId="4" fillId="0" borderId="0" xfId="0" applyNumberFormat="1" applyFont="1"/>
  </cellXfs>
  <cellStyles count="3">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6"/>
  <sheetViews>
    <sheetView tabSelected="1" workbookViewId="0">
      <pane ySplit="3" topLeftCell="A4" activePane="bottomLeft" state="frozen"/>
      <selection pane="bottomLeft"/>
    </sheetView>
  </sheetViews>
  <sheetFormatPr defaultColWidth="8.875" defaultRowHeight="15.75" x14ac:dyDescent="0.25"/>
  <cols>
    <col min="1" max="2" width="8.875" style="1"/>
    <col min="3" max="3" width="10.375" style="1" customWidth="1"/>
    <col min="4" max="11" width="8.875" style="1"/>
    <col min="12" max="12" width="10.125" style="1" customWidth="1"/>
    <col min="13" max="13" width="8.875" style="1"/>
    <col min="14" max="14" width="11" style="1" customWidth="1"/>
    <col min="15" max="15" width="10.125" style="1" customWidth="1"/>
    <col min="16" max="16" width="11.625" style="1" customWidth="1"/>
    <col min="17" max="17" width="14.625" style="1" customWidth="1"/>
    <col min="18" max="18" width="11.375" style="1" customWidth="1"/>
    <col min="19" max="19" width="10.625" style="1" customWidth="1"/>
    <col min="20" max="20" width="8.875" style="1"/>
    <col min="21" max="21" width="11" style="1" customWidth="1"/>
    <col min="22" max="22" width="12.875" style="1" customWidth="1"/>
    <col min="23" max="23" width="14.5" style="1" customWidth="1"/>
    <col min="24" max="24" width="8.875" style="1"/>
    <col min="25" max="25" width="25.125" style="1" customWidth="1"/>
    <col min="26" max="26" width="8.875" style="1"/>
    <col min="27" max="27" width="11.625" style="1" customWidth="1"/>
    <col min="28" max="28" width="12.5" style="1" customWidth="1"/>
    <col min="29" max="29" width="15.125" style="1" customWidth="1"/>
    <col min="30" max="30" width="13" style="1" customWidth="1"/>
    <col min="31" max="31" width="13.5" style="1" customWidth="1"/>
    <col min="32" max="32" width="10.5" style="1" customWidth="1"/>
    <col min="33" max="33" width="12" style="1" customWidth="1"/>
    <col min="34" max="34" width="8.875" style="1"/>
    <col min="35" max="36" width="13" style="1" customWidth="1"/>
    <col min="37" max="37" width="10.125" style="1" customWidth="1"/>
    <col min="38" max="38" width="12.625" style="1" customWidth="1"/>
    <col min="39" max="39" width="10.625" style="1" customWidth="1"/>
    <col min="40" max="40" width="11.625" style="1" customWidth="1"/>
    <col min="41" max="43" width="11.125" style="1" customWidth="1"/>
    <col min="44" max="44" width="10.375" style="1" customWidth="1"/>
    <col min="45" max="45" width="12.5" style="1" customWidth="1"/>
    <col min="46" max="46" width="11" style="1" customWidth="1"/>
    <col min="47" max="47" width="8.875" style="1"/>
    <col min="48" max="48" width="11.125" style="1" customWidth="1"/>
    <col min="49" max="50" width="8.875" style="1"/>
    <col min="51" max="51" width="11.375" style="1" customWidth="1"/>
    <col min="52" max="54" width="8.875" style="1"/>
    <col min="55" max="55" width="16" style="1" customWidth="1"/>
    <col min="56" max="56" width="13" style="1" customWidth="1"/>
    <col min="57" max="57" width="16" style="1" customWidth="1"/>
    <col min="58" max="58" width="11.625" style="1" customWidth="1"/>
    <col min="59" max="60" width="13" style="1" customWidth="1"/>
    <col min="61" max="61" width="12.375" style="1" customWidth="1"/>
    <col min="62" max="62" width="15.5" style="1" customWidth="1"/>
    <col min="63" max="16384" width="8.875" style="1"/>
  </cols>
  <sheetData>
    <row r="2" spans="1:62" s="12" customFormat="1" ht="62.25" customHeight="1" x14ac:dyDescent="0.25">
      <c r="Y2" s="13" t="s">
        <v>74</v>
      </c>
      <c r="Z2" s="13"/>
      <c r="AA2" s="13" t="s">
        <v>75</v>
      </c>
      <c r="AB2" s="13"/>
      <c r="AC2" s="13"/>
      <c r="AD2" s="13"/>
      <c r="AE2" s="13" t="s">
        <v>76</v>
      </c>
      <c r="AF2" s="13"/>
      <c r="AG2" s="13" t="s">
        <v>77</v>
      </c>
      <c r="AH2" s="13"/>
      <c r="AI2" s="13" t="s">
        <v>78</v>
      </c>
      <c r="AJ2" s="13" t="s">
        <v>78</v>
      </c>
      <c r="AK2" s="13" t="s">
        <v>79</v>
      </c>
      <c r="AL2" s="13" t="s">
        <v>80</v>
      </c>
      <c r="AM2" s="13"/>
      <c r="AN2" s="13"/>
      <c r="AO2" s="14"/>
      <c r="AP2" s="13" t="s">
        <v>81</v>
      </c>
      <c r="AQ2" s="13" t="s">
        <v>81</v>
      </c>
      <c r="AR2" s="13" t="s">
        <v>82</v>
      </c>
      <c r="AS2" s="13" t="s">
        <v>83</v>
      </c>
      <c r="AT2" s="13" t="s">
        <v>84</v>
      </c>
      <c r="AU2" s="14"/>
      <c r="AV2" s="14"/>
      <c r="AW2" s="14"/>
      <c r="AX2" s="14" t="s">
        <v>85</v>
      </c>
      <c r="AY2" s="14"/>
      <c r="AZ2" s="14" t="s">
        <v>85</v>
      </c>
      <c r="BA2" s="14"/>
      <c r="BB2" s="14" t="s">
        <v>85</v>
      </c>
      <c r="BC2" s="14" t="s">
        <v>86</v>
      </c>
      <c r="BD2" s="14" t="s">
        <v>87</v>
      </c>
      <c r="BE2" s="14" t="s">
        <v>88</v>
      </c>
      <c r="BF2" s="14"/>
      <c r="BG2" s="13" t="s">
        <v>89</v>
      </c>
      <c r="BH2" s="13" t="s">
        <v>89</v>
      </c>
      <c r="BI2" s="13" t="s">
        <v>90</v>
      </c>
      <c r="BJ2" s="13" t="s">
        <v>91</v>
      </c>
    </row>
    <row r="3" spans="1:62" s="30" customFormat="1" ht="66.75" customHeight="1" x14ac:dyDescent="0.25">
      <c r="A3" s="15" t="s">
        <v>21</v>
      </c>
      <c r="B3" s="16" t="s">
        <v>22</v>
      </c>
      <c r="C3" s="17" t="s">
        <v>23</v>
      </c>
      <c r="D3" s="18" t="s">
        <v>24</v>
      </c>
      <c r="E3" s="18" t="s">
        <v>25</v>
      </c>
      <c r="F3" s="19" t="s">
        <v>1</v>
      </c>
      <c r="G3" s="19" t="s">
        <v>26</v>
      </c>
      <c r="H3" s="20" t="s">
        <v>27</v>
      </c>
      <c r="I3" s="20" t="s">
        <v>28</v>
      </c>
      <c r="J3" s="18" t="s">
        <v>35</v>
      </c>
      <c r="K3" s="20" t="s">
        <v>36</v>
      </c>
      <c r="L3" s="21" t="s">
        <v>47</v>
      </c>
      <c r="M3" s="22" t="s">
        <v>37</v>
      </c>
      <c r="N3" s="23" t="s">
        <v>72</v>
      </c>
      <c r="O3" s="23" t="s">
        <v>73</v>
      </c>
      <c r="P3" s="22" t="s">
        <v>38</v>
      </c>
      <c r="Q3" s="24" t="s">
        <v>39</v>
      </c>
      <c r="R3" s="25" t="s">
        <v>40</v>
      </c>
      <c r="S3" s="26" t="s">
        <v>41</v>
      </c>
      <c r="T3" s="22" t="s">
        <v>42</v>
      </c>
      <c r="U3" s="22" t="s">
        <v>29</v>
      </c>
      <c r="V3" s="22" t="s">
        <v>43</v>
      </c>
      <c r="W3" s="27" t="s">
        <v>44</v>
      </c>
      <c r="X3" s="28" t="s">
        <v>30</v>
      </c>
      <c r="Y3" s="11" t="s">
        <v>92</v>
      </c>
      <c r="Z3" s="11" t="s">
        <v>1</v>
      </c>
      <c r="AA3" s="11" t="s">
        <v>2</v>
      </c>
      <c r="AB3" s="11" t="s">
        <v>3</v>
      </c>
      <c r="AC3" s="11" t="s">
        <v>4</v>
      </c>
      <c r="AD3" s="11" t="s">
        <v>5</v>
      </c>
      <c r="AE3" s="11" t="s">
        <v>6</v>
      </c>
      <c r="AF3" s="11" t="s">
        <v>7</v>
      </c>
      <c r="AG3" s="11" t="s">
        <v>8</v>
      </c>
      <c r="AH3" s="11" t="s">
        <v>9</v>
      </c>
      <c r="AI3" s="11" t="s">
        <v>10</v>
      </c>
      <c r="AJ3" s="11" t="s">
        <v>11</v>
      </c>
      <c r="AK3" s="11" t="s">
        <v>12</v>
      </c>
      <c r="AL3" s="11" t="s">
        <v>13</v>
      </c>
      <c r="AM3" s="11" t="s">
        <v>93</v>
      </c>
      <c r="AN3" s="11" t="s">
        <v>46</v>
      </c>
      <c r="AO3" s="11" t="s">
        <v>48</v>
      </c>
      <c r="AP3" s="10" t="s">
        <v>49</v>
      </c>
      <c r="AQ3" s="10" t="s">
        <v>50</v>
      </c>
      <c r="AR3" s="11" t="s">
        <v>14</v>
      </c>
      <c r="AS3" s="11" t="s">
        <v>94</v>
      </c>
      <c r="AT3" s="11" t="s">
        <v>15</v>
      </c>
      <c r="AU3" s="11" t="s">
        <v>16</v>
      </c>
      <c r="AV3" s="11" t="s">
        <v>17</v>
      </c>
      <c r="AW3" s="29" t="s">
        <v>95</v>
      </c>
      <c r="AX3" s="11" t="s">
        <v>96</v>
      </c>
      <c r="AY3" s="29" t="s">
        <v>97</v>
      </c>
      <c r="AZ3" s="11" t="s">
        <v>98</v>
      </c>
      <c r="BA3" s="11" t="s">
        <v>99</v>
      </c>
      <c r="BB3" s="11" t="s">
        <v>100</v>
      </c>
      <c r="BC3" s="11" t="s">
        <v>18</v>
      </c>
      <c r="BD3" s="11" t="s">
        <v>101</v>
      </c>
      <c r="BE3" s="11" t="s">
        <v>102</v>
      </c>
      <c r="BF3" s="11" t="s">
        <v>103</v>
      </c>
      <c r="BG3" s="11" t="s">
        <v>104</v>
      </c>
      <c r="BH3" s="11" t="s">
        <v>105</v>
      </c>
      <c r="BI3" s="11" t="s">
        <v>19</v>
      </c>
      <c r="BJ3" s="11" t="s">
        <v>106</v>
      </c>
    </row>
    <row r="4" spans="1:62" ht="18.75" x14ac:dyDescent="0.35">
      <c r="A4" t="s">
        <v>33</v>
      </c>
      <c r="B4" t="s">
        <v>31</v>
      </c>
      <c r="C4" t="s">
        <v>32</v>
      </c>
      <c r="D4" t="s">
        <v>52</v>
      </c>
      <c r="E4">
        <v>2012</v>
      </c>
      <c r="F4" t="str">
        <f>Z4</f>
        <v>10.3906/yer-1003-42</v>
      </c>
      <c r="G4" s="5">
        <f>AH4*1000</f>
        <v>2943.5</v>
      </c>
      <c r="H4" s="5">
        <f>(AI4-AH4)*1000</f>
        <v>353.49999999999994</v>
      </c>
      <c r="I4" s="5">
        <f>(AH4-AJ4)*1000</f>
        <v>353.50000000000034</v>
      </c>
      <c r="J4" s="5">
        <f>BF4</f>
        <v>410.45</v>
      </c>
      <c r="K4" s="5">
        <f>(BH4-BF4)</f>
        <v>28.949999999999989</v>
      </c>
      <c r="L4" s="5">
        <f>(BF4-BG4)</f>
        <v>28.949999999999989</v>
      </c>
      <c r="M4" t="b">
        <v>1</v>
      </c>
      <c r="N4">
        <v>3</v>
      </c>
      <c r="O4" t="s">
        <v>70</v>
      </c>
      <c r="P4" t="s">
        <v>45</v>
      </c>
      <c r="Q4" t="b">
        <v>0</v>
      </c>
      <c r="R4" t="s">
        <v>45</v>
      </c>
      <c r="S4" t="b">
        <v>0</v>
      </c>
      <c r="T4" t="b">
        <v>0</v>
      </c>
      <c r="U4" t="s">
        <v>45</v>
      </c>
      <c r="V4" t="s">
        <v>45</v>
      </c>
      <c r="W4" t="b">
        <v>1</v>
      </c>
      <c r="X4" s="4" t="s">
        <v>71</v>
      </c>
      <c r="Y4" s="1" t="s">
        <v>53</v>
      </c>
      <c r="Z4" t="s">
        <v>54</v>
      </c>
      <c r="AA4" s="1" t="s">
        <v>45</v>
      </c>
      <c r="AB4" s="1" t="s">
        <v>55</v>
      </c>
      <c r="AC4" s="3" t="s">
        <v>57</v>
      </c>
      <c r="AD4" s="7" t="s">
        <v>56</v>
      </c>
      <c r="AE4" s="1" t="s">
        <v>60</v>
      </c>
      <c r="AF4" s="1" t="s">
        <v>61</v>
      </c>
      <c r="AG4" s="1" t="s">
        <v>63</v>
      </c>
      <c r="AH4" s="8">
        <f>AVERAGE(AI4:AJ4)</f>
        <v>2.9435000000000002</v>
      </c>
      <c r="AI4" s="1">
        <v>3.2970000000000002</v>
      </c>
      <c r="AJ4" s="1">
        <v>2.59</v>
      </c>
      <c r="AK4" s="1" t="s">
        <v>51</v>
      </c>
      <c r="AL4" s="1" t="s">
        <v>62</v>
      </c>
      <c r="AM4" s="1">
        <v>12</v>
      </c>
      <c r="AN4" s="8">
        <f>24+41/60</f>
        <v>24.683333333333334</v>
      </c>
      <c r="AO4" s="8">
        <f>98+38/60</f>
        <v>98.63333333333334</v>
      </c>
      <c r="AP4" s="1" t="s">
        <v>45</v>
      </c>
      <c r="AQ4" s="1" t="s">
        <v>45</v>
      </c>
      <c r="AR4" s="2" t="s">
        <v>64</v>
      </c>
      <c r="AS4" s="1" t="s">
        <v>20</v>
      </c>
      <c r="AT4" s="1" t="s">
        <v>45</v>
      </c>
      <c r="AU4" s="1" t="s">
        <v>45</v>
      </c>
      <c r="AV4" s="1" t="s">
        <v>45</v>
      </c>
      <c r="AW4" s="31">
        <f>AVERAGE(239,257,257,238,245,229,251,219,209,212,205,210)</f>
        <v>230.91666666666666</v>
      </c>
      <c r="AX4" s="31">
        <f>STDEV(239,257,257,238,245,229,251,219,209,212,205,210)/SQRT(12)</f>
        <v>5.621196806317454</v>
      </c>
      <c r="AY4" s="9">
        <f>AVERAGE(2020,2278,2241,2183,2109,1907,2267,1962,1975,2090,1948,2015)</f>
        <v>2082.9166666666665</v>
      </c>
      <c r="AZ4" s="1">
        <f>STDEV(2020,2278,2241,2183,2109,1907,2267,1962,1975,2090,1948,2015)/SQRT(12)</f>
        <v>38.105606509734855</v>
      </c>
      <c r="BA4" s="8">
        <f>AVERAGE(10.6,10.1,10.3,9.8,10.4,10.7,10,10,9.6,9.2,9.5,9.4)</f>
        <v>9.9666666666666668</v>
      </c>
      <c r="BB4" s="8">
        <f>STDEV(10.6,10.1,10.3,9.8,10.4,10.7,10,10,9.6,9.2,9.5,9.4)/SQRT(12)</f>
        <v>0.13889898953170718</v>
      </c>
      <c r="BC4" s="3" t="s">
        <v>65</v>
      </c>
      <c r="BD4" s="1" t="s">
        <v>45</v>
      </c>
      <c r="BE4" s="1" t="s">
        <v>0</v>
      </c>
      <c r="BF4" s="9">
        <f>AVERAGE(BG4:BH4)</f>
        <v>410.45</v>
      </c>
      <c r="BG4" s="9">
        <v>381.5</v>
      </c>
      <c r="BH4" s="9">
        <v>439.4</v>
      </c>
      <c r="BI4" s="1" t="s">
        <v>67</v>
      </c>
      <c r="BJ4" s="6" t="s">
        <v>68</v>
      </c>
    </row>
    <row r="5" spans="1:62" ht="18.75" x14ac:dyDescent="0.35">
      <c r="A5" t="s">
        <v>33</v>
      </c>
      <c r="B5" t="s">
        <v>31</v>
      </c>
      <c r="C5" t="s">
        <v>32</v>
      </c>
      <c r="D5" t="s">
        <v>52</v>
      </c>
      <c r="E5">
        <v>2012</v>
      </c>
      <c r="F5" t="str">
        <f>Z5</f>
        <v>10.3906/yer-1003-42</v>
      </c>
      <c r="G5" s="5">
        <f t="shared" ref="G5:G6" si="0">AH5*1000</f>
        <v>2943.5</v>
      </c>
      <c r="H5" s="5">
        <f t="shared" ref="H5:H6" si="1">(AI5-AH5)*1000</f>
        <v>353.49999999999994</v>
      </c>
      <c r="I5" s="5">
        <f t="shared" ref="I5:I6" si="2">(AH5-AJ5)*1000</f>
        <v>353.50000000000034</v>
      </c>
      <c r="J5" s="5">
        <f t="shared" ref="J5:J6" si="3">BF5</f>
        <v>425.05</v>
      </c>
      <c r="K5" s="5">
        <f>(BH5-BF5)</f>
        <v>47.25</v>
      </c>
      <c r="L5" s="5">
        <f>(BF5-BG5)</f>
        <v>47.25</v>
      </c>
      <c r="M5" t="b">
        <v>1</v>
      </c>
      <c r="N5">
        <v>3</v>
      </c>
      <c r="O5" t="s">
        <v>70</v>
      </c>
      <c r="P5" t="s">
        <v>45</v>
      </c>
      <c r="Q5" t="b">
        <v>0</v>
      </c>
      <c r="R5" t="s">
        <v>45</v>
      </c>
      <c r="S5" t="b">
        <v>0</v>
      </c>
      <c r="T5" t="b">
        <v>0</v>
      </c>
      <c r="U5" t="s">
        <v>45</v>
      </c>
      <c r="V5" t="s">
        <v>45</v>
      </c>
      <c r="W5" t="b">
        <v>1</v>
      </c>
      <c r="X5" s="4" t="s">
        <v>71</v>
      </c>
      <c r="Y5" s="1" t="s">
        <v>53</v>
      </c>
      <c r="Z5" t="s">
        <v>54</v>
      </c>
      <c r="AA5" s="1" t="s">
        <v>45</v>
      </c>
      <c r="AB5" s="1" t="s">
        <v>55</v>
      </c>
      <c r="AC5" s="3" t="s">
        <v>58</v>
      </c>
      <c r="AD5" s="3" t="s">
        <v>59</v>
      </c>
      <c r="AE5" s="1" t="s">
        <v>60</v>
      </c>
      <c r="AF5" s="1" t="s">
        <v>61</v>
      </c>
      <c r="AG5" s="1" t="s">
        <v>63</v>
      </c>
      <c r="AH5" s="8">
        <f>AVERAGE(AI5:AJ5)</f>
        <v>2.9435000000000002</v>
      </c>
      <c r="AI5" s="1">
        <v>3.2970000000000002</v>
      </c>
      <c r="AJ5" s="1">
        <v>2.59</v>
      </c>
      <c r="AK5" s="1" t="s">
        <v>51</v>
      </c>
      <c r="AL5" s="1" t="s">
        <v>62</v>
      </c>
      <c r="AM5" s="1">
        <v>16</v>
      </c>
      <c r="AN5" s="8">
        <f>24+41/60</f>
        <v>24.683333333333334</v>
      </c>
      <c r="AO5" s="8">
        <f>98+38/60</f>
        <v>98.63333333333334</v>
      </c>
      <c r="AP5" s="1" t="s">
        <v>45</v>
      </c>
      <c r="AQ5" s="1" t="s">
        <v>45</v>
      </c>
      <c r="AR5" s="2" t="s">
        <v>64</v>
      </c>
      <c r="AS5" s="1" t="s">
        <v>20</v>
      </c>
      <c r="AT5" s="1" t="s">
        <v>45</v>
      </c>
      <c r="AU5" s="1" t="s">
        <v>45</v>
      </c>
      <c r="AV5" s="1" t="s">
        <v>45</v>
      </c>
      <c r="AW5" s="31">
        <f>AVERAGE(289,293,275,284,255,269,260,245,243,248,272,260,260,242,236,238)</f>
        <v>260.5625</v>
      </c>
      <c r="AX5" s="31">
        <f>STDEV(289,293,275,284,255,269,260,245,243,248,272,260,260,242,236,238)/SQRT(16)</f>
        <v>4.5725346271697784</v>
      </c>
      <c r="AY5" s="9">
        <f>AVERAGE(2076,2044,2042,2073,2053,2003,1942,1785,1845,2019,2165,2145,2152,2112,2091,2086)</f>
        <v>2039.5625</v>
      </c>
      <c r="AZ5" s="1">
        <f>STDEV(2076,2044,2042,2073,2053,2003,1942,1785,1845,2019,2165,2145,2152,2112,2091,2086)/SQRT(16)</f>
        <v>26.309847451413827</v>
      </c>
      <c r="BA5" s="31">
        <f>AVERAGE(12.2,12.5,11.9,12.1,11.1,11.8,11.8,12.1,11.6,10.9,11.2,10.8,10.8,10.3,10.1,10.2)</f>
        <v>11.3375</v>
      </c>
      <c r="BB5" s="8">
        <f>STDEV(12.2,12.5,11.9,12.1,11.1,11.8,11.8,12.1,11.6,10.9,11.2,10.8,10.8,10.3,10.1,10.2)/SQRT(16)</f>
        <v>0.19167572442365605</v>
      </c>
      <c r="BC5" s="3" t="s">
        <v>66</v>
      </c>
      <c r="BD5" s="1" t="s">
        <v>45</v>
      </c>
      <c r="BE5" s="1" t="s">
        <v>0</v>
      </c>
      <c r="BF5" s="9">
        <f>AVERAGE(BG5:BH5)</f>
        <v>425.05</v>
      </c>
      <c r="BG5" s="9">
        <v>377.8</v>
      </c>
      <c r="BH5" s="9">
        <v>472.3</v>
      </c>
      <c r="BI5" s="1" t="s">
        <v>67</v>
      </c>
      <c r="BJ5" s="6" t="s">
        <v>69</v>
      </c>
    </row>
    <row r="6" spans="1:62" ht="18.75" x14ac:dyDescent="0.35">
      <c r="A6" t="s">
        <v>33</v>
      </c>
      <c r="B6" t="s">
        <v>31</v>
      </c>
      <c r="C6" t="s">
        <v>32</v>
      </c>
      <c r="D6" t="s">
        <v>52</v>
      </c>
      <c r="E6">
        <v>2012</v>
      </c>
      <c r="F6" t="str">
        <f>Z6</f>
        <v>10.3906/yer-1003-42</v>
      </c>
      <c r="G6" s="5">
        <f t="shared" si="0"/>
        <v>2943.5</v>
      </c>
      <c r="H6" s="5">
        <f t="shared" si="1"/>
        <v>353.49999999999994</v>
      </c>
      <c r="I6" s="5">
        <f t="shared" si="2"/>
        <v>353.50000000000034</v>
      </c>
      <c r="J6" s="5">
        <f t="shared" si="3"/>
        <v>417.75</v>
      </c>
      <c r="K6" s="5">
        <f>(BH6-BF6)</f>
        <v>38.100000000000023</v>
      </c>
      <c r="L6" s="5">
        <f>(BF6-BG6)</f>
        <v>38.100000000000023</v>
      </c>
      <c r="M6" t="b">
        <v>1</v>
      </c>
      <c r="N6">
        <v>2</v>
      </c>
      <c r="O6" s="4" t="s">
        <v>34</v>
      </c>
      <c r="P6" t="s">
        <v>45</v>
      </c>
      <c r="Q6" t="b">
        <v>0</v>
      </c>
      <c r="R6" t="s">
        <v>45</v>
      </c>
      <c r="S6" t="b">
        <v>0</v>
      </c>
      <c r="T6" t="b">
        <v>0</v>
      </c>
      <c r="U6" t="s">
        <v>45</v>
      </c>
      <c r="V6" t="s">
        <v>45</v>
      </c>
      <c r="W6" t="b">
        <v>1</v>
      </c>
      <c r="X6" s="4" t="s">
        <v>71</v>
      </c>
      <c r="Y6" s="1" t="s">
        <v>53</v>
      </c>
      <c r="Z6" t="s">
        <v>54</v>
      </c>
      <c r="AA6" s="1" t="s">
        <v>45</v>
      </c>
      <c r="AB6" s="1" t="s">
        <v>45</v>
      </c>
      <c r="AC6" s="1" t="s">
        <v>45</v>
      </c>
      <c r="AD6" s="1" t="s">
        <v>45</v>
      </c>
      <c r="AE6" s="1" t="s">
        <v>45</v>
      </c>
      <c r="AF6" s="1" t="s">
        <v>45</v>
      </c>
      <c r="AG6" s="1" t="s">
        <v>45</v>
      </c>
      <c r="AH6" s="8">
        <f>AVERAGE(AI6:AJ6)</f>
        <v>2.9435000000000002</v>
      </c>
      <c r="AI6" s="1">
        <v>3.2970000000000002</v>
      </c>
      <c r="AJ6" s="1">
        <v>2.59</v>
      </c>
      <c r="AK6" s="1" t="s">
        <v>51</v>
      </c>
      <c r="AL6" s="1" t="s">
        <v>62</v>
      </c>
      <c r="AM6" s="1" t="s">
        <v>45</v>
      </c>
      <c r="AN6" s="1" t="s">
        <v>45</v>
      </c>
      <c r="AO6" s="1" t="s">
        <v>45</v>
      </c>
      <c r="AP6" s="1" t="s">
        <v>45</v>
      </c>
      <c r="AQ6" s="1" t="s">
        <v>45</v>
      </c>
      <c r="AR6" s="1" t="s">
        <v>45</v>
      </c>
      <c r="AS6" s="1" t="s">
        <v>45</v>
      </c>
      <c r="AT6" s="1" t="s">
        <v>45</v>
      </c>
      <c r="AU6" s="1" t="s">
        <v>45</v>
      </c>
      <c r="AV6" s="1" t="s">
        <v>45</v>
      </c>
      <c r="AW6" s="1" t="s">
        <v>45</v>
      </c>
      <c r="AX6" s="1" t="s">
        <v>45</v>
      </c>
      <c r="AY6" s="1" t="s">
        <v>45</v>
      </c>
      <c r="AZ6" s="1" t="s">
        <v>45</v>
      </c>
      <c r="BA6" s="1" t="s">
        <v>45</v>
      </c>
      <c r="BB6" s="1" t="s">
        <v>45</v>
      </c>
      <c r="BC6" s="1" t="s">
        <v>45</v>
      </c>
      <c r="BD6" s="1" t="s">
        <v>45</v>
      </c>
      <c r="BE6" s="1" t="s">
        <v>45</v>
      </c>
      <c r="BF6" s="9">
        <f>AVERAGE(BF4:BF5)</f>
        <v>417.75</v>
      </c>
      <c r="BG6" s="9">
        <f>AVERAGE(BG4:BG5)</f>
        <v>379.65</v>
      </c>
      <c r="BH6" s="9">
        <f>AVERAGE(BH4:BH5)</f>
        <v>455.85</v>
      </c>
      <c r="BI6" s="1" t="s">
        <v>45</v>
      </c>
      <c r="BJ6" s="6"/>
    </row>
  </sheetData>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2022-06-27T13:26:15Z</dcterms:modified>
</cp:coreProperties>
</file>