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C:\Users\droyer\Desktop\"/>
    </mc:Choice>
  </mc:AlternateContent>
  <xr:revisionPtr revIDLastSave="0" documentId="13_ncr:1_{F8C415B9-2516-40C3-AC56-FF074A0ECA0E}" xr6:coauthVersionLast="45" xr6:coauthVersionMax="47" xr10:uidLastSave="{00000000-0000-0000-0000-000000000000}"/>
  <bookViews>
    <workbookView xWindow="375" yWindow="1080" windowWidth="26970" windowHeight="13980" tabRatio="500" xr2:uid="{00000000-000D-0000-FFFF-FFFF00000000}"/>
  </bookViews>
  <sheets>
    <sheet name="leaf gas-exchange_FOM"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6" i="1" l="1"/>
  <c r="H6" i="1"/>
  <c r="I6" i="1"/>
  <c r="J6" i="1" l="1"/>
  <c r="K6" i="1"/>
  <c r="L6" i="1"/>
  <c r="F5" i="1"/>
  <c r="G5" i="1"/>
  <c r="H5" i="1"/>
  <c r="I5" i="1"/>
  <c r="J5" i="1"/>
  <c r="K5" i="1"/>
  <c r="L5" i="1"/>
  <c r="L4" i="1"/>
  <c r="K4" i="1"/>
  <c r="J4" i="1"/>
  <c r="I4" i="1"/>
  <c r="H4" i="1"/>
  <c r="G4" i="1"/>
  <c r="F4" i="1"/>
  <c r="BO4" i="1" l="1"/>
  <c r="BO5" i="1"/>
  <c r="BN5" i="1"/>
  <c r="BN4" i="1"/>
  <c r="BD5" i="1"/>
  <c r="BD4" i="1"/>
  <c r="BA5" i="1"/>
  <c r="BA4" i="1"/>
  <c r="AZ5" i="1"/>
  <c r="AZ4" i="1"/>
  <c r="AX5" i="1"/>
  <c r="BB5" i="1" s="1"/>
  <c r="AX4" i="1"/>
  <c r="BB4" i="1" s="1"/>
  <c r="AV5" i="1"/>
  <c r="AV4" i="1"/>
</calcChain>
</file>

<file path=xl/sharedStrings.xml><?xml version="1.0" encoding="utf-8"?>
<sst xmlns="http://schemas.openxmlformats.org/spreadsheetml/2006/main" count="282" uniqueCount="162">
  <si>
    <t>Specifications:</t>
  </si>
  <si>
    <t>this spreadsheet is devised for the full optimality approach for stomatal conductance (FOM), see references below</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</si>
  <si>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</si>
  <si>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</si>
  <si>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</si>
  <si>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</si>
  <si>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</si>
  <si>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SAMPLE IDENTIFICATION</t>
  </si>
  <si>
    <t>AGE CONSTRAINTS</t>
  </si>
  <si>
    <t>TAXONOMIC INFORMATION</t>
  </si>
  <si>
    <t>COUNTING</t>
  </si>
  <si>
    <t>STOMATAL AND OTHER ANATOMICAL DATA</t>
  </si>
  <si>
    <t>d13C DATA</t>
  </si>
  <si>
    <t>BIOCHEMICAL DATA FROM EXTANT RELATIVE SPECIES</t>
  </si>
  <si>
    <t>PALEOCLIMATE INPUT DATA</t>
  </si>
  <si>
    <t>RESULTS</t>
  </si>
  <si>
    <t>Reference of the data product</t>
  </si>
  <si>
    <t>DOI link to reference</t>
  </si>
  <si>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</si>
  <si>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</si>
  <si>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</si>
  <si>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</si>
  <si>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</si>
  <si>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</si>
  <si>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</si>
  <si>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</si>
  <si>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</si>
  <si>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</si>
  <si>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</si>
  <si>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</si>
  <si>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</si>
  <si>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</si>
  <si>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r>
      <t>Number of counts</t>
    </r>
    <r>
      <rPr>
        <vertAlign val="superscript"/>
        <sz val="11"/>
        <rFont val="Calibri"/>
        <family val="2"/>
        <scheme val="minor"/>
      </rPr>
      <t>a</t>
    </r>
  </si>
  <si>
    <t>Stomatal pore length SL [µm]</t>
  </si>
  <si>
    <t>Stomatal pore depth  [µm] (derived from guard cell width)</t>
  </si>
  <si>
    <t>Maximum aperture width [µm] derived from pore length/2</t>
  </si>
  <si>
    <r>
      <t>Thickness of assimilating tissue  [µm] own measurements or estimation from literature</t>
    </r>
    <r>
      <rPr>
        <vertAlign val="superscript"/>
        <sz val="11"/>
        <color rgb="FF000000"/>
        <rFont val="Calibri"/>
        <family val="2"/>
        <scheme val="minor"/>
      </rPr>
      <t>b</t>
    </r>
  </si>
  <si>
    <t>Reference for thickness of assimilating tissue</t>
  </si>
  <si>
    <r>
      <t>Porosity of leaf tissue</t>
    </r>
    <r>
      <rPr>
        <vertAlign val="superscript"/>
        <sz val="11"/>
        <color rgb="FF000000"/>
        <rFont val="Calibri"/>
        <family val="2"/>
        <scheme val="minor"/>
      </rPr>
      <t xml:space="preserve">b </t>
    </r>
    <r>
      <rPr>
        <sz val="11"/>
        <color rgb="FF000000"/>
        <rFont val="Calibri"/>
        <family val="2"/>
        <scheme val="minor"/>
      </rPr>
      <t>[-]</t>
    </r>
  </si>
  <si>
    <t>Reference for porosity of leaf tissue</t>
  </si>
  <si>
    <r>
      <t>Tortuosity of leaf tissue</t>
    </r>
    <r>
      <rPr>
        <vertAlign val="superscript"/>
        <sz val="11"/>
        <color rgb="FF000000"/>
        <rFont val="Calibri"/>
        <family val="2"/>
        <scheme val="minor"/>
      </rPr>
      <t xml:space="preserve">b </t>
    </r>
    <r>
      <rPr>
        <sz val="11"/>
        <color rgb="FF000000"/>
        <rFont val="Calibri"/>
        <family val="2"/>
        <scheme val="minor"/>
      </rPr>
      <t>[-]</t>
    </r>
  </si>
  <si>
    <t>Reference for tortuosity of leaf tissue</t>
  </si>
  <si>
    <t>Leaf length estimated [mm]</t>
  </si>
  <si>
    <r>
      <t>Mean q (=Vcmax) [µmol*m-2*s-1] range of values as derived from literature</t>
    </r>
    <r>
      <rPr>
        <vertAlign val="superscript"/>
        <sz val="11"/>
        <color rgb="FF000000"/>
        <rFont val="Calibri"/>
        <family val="2"/>
        <scheme val="minor"/>
      </rPr>
      <t>b</t>
    </r>
  </si>
  <si>
    <t>Min q (=Vcmax) [µmol*m-2*s-1]</t>
  </si>
  <si>
    <t>Max q (=Vcmax) [µmol*m-2*s-1]</t>
  </si>
  <si>
    <t>References for q</t>
  </si>
  <si>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</si>
  <si>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</si>
  <si>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</si>
  <si>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</si>
  <si>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</si>
  <si>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</si>
  <si>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Paleoclimate reconstruction used for estimating  relative humidity during vegetation period</t>
  </si>
  <si>
    <t>Reference for relative humidity</t>
  </si>
  <si>
    <t>Mean relative humidity of vegetation period [%]</t>
  </si>
  <si>
    <t>Min relative humidity of vegetation period  [%]</t>
  </si>
  <si>
    <t>Max relative humidity of vegetation period [%]</t>
  </si>
  <si>
    <t>Wind speed [m/s] Estimation</t>
  </si>
  <si>
    <t>O2 of air [ppm]</t>
  </si>
  <si>
    <t>Reference for O2</t>
  </si>
  <si>
    <t>CO2 mean from resulting CO2 range [ppm]</t>
  </si>
  <si>
    <t>Min CO2 [ppm]</t>
  </si>
  <si>
    <t>Max CO2 [ppm]</t>
  </si>
  <si>
    <t>microscope</t>
  </si>
  <si>
    <t>Tipple et al., 2010 (10.1029/2009PA001851)</t>
  </si>
  <si>
    <t>Lauraceae</t>
  </si>
  <si>
    <r>
      <t>Grein M., Konrad W., Wilde V., Utescher T. &amp; Roth-Nebelsick A. (2011) Reconstruction of atmospheric CO</t>
    </r>
    <r>
      <rPr>
        <vertAlign val="subscript"/>
        <sz val="11"/>
        <color theme="1"/>
        <rFont val="Calibri"/>
        <family val="2"/>
        <scheme val="minor"/>
      </rPr>
      <t>2</t>
    </r>
    <r>
      <rPr>
        <sz val="11"/>
        <color theme="1"/>
        <rFont val="Calibri"/>
        <family val="2"/>
        <scheme val="minor"/>
      </rPr>
      <t xml:space="preserve"> during the early middle Eocene by application of a gas exchange model to fossil plants from the Messel Formation, Germany. </t>
    </r>
    <r>
      <rPr>
        <i/>
        <sz val="11"/>
        <color theme="1"/>
        <rFont val="Calibri"/>
        <family val="2"/>
        <scheme val="minor"/>
      </rPr>
      <t>Palaeogeography, Palaeoclimatology, Palaeoecology</t>
    </r>
    <r>
      <rPr>
        <sz val="11"/>
        <color theme="1"/>
        <rFont val="Calibri"/>
        <family val="2"/>
        <scheme val="minor"/>
      </rPr>
      <t xml:space="preserve">, </t>
    </r>
    <r>
      <rPr>
        <b/>
        <sz val="11"/>
        <color theme="1"/>
        <rFont val="Calibri"/>
        <family val="2"/>
        <scheme val="minor"/>
      </rPr>
      <t>309</t>
    </r>
    <r>
      <rPr>
        <sz val="11"/>
        <color theme="1"/>
        <rFont val="Calibri"/>
        <family val="2"/>
        <scheme val="minor"/>
      </rPr>
      <t>, 383-391</t>
    </r>
  </si>
  <si>
    <t>Evaluation of error margin:</t>
  </si>
  <si>
    <t xml:space="preserve">With the introduction of the model approach (Konrad et al. 2008, Journal of Theoretical Biology 253, 638-658), the most “critical“ input parameters were identified. </t>
  </si>
  <si>
    <t>These are</t>
  </si>
  <si>
    <t xml:space="preserve">relative humidity </t>
  </si>
  <si>
    <t>temperature T (of growing season))</t>
  </si>
  <si>
    <t>q</t>
  </si>
  <si>
    <t xml:space="preserve">Ci/Ca </t>
  </si>
  <si>
    <t>Environmental parameters are obtained by paleoclimate reconstruction, via coexistence approach and/or leaf margin analysis. The results are ranges.</t>
  </si>
  <si>
    <t>q is obtained by measurement and literature values of extant relatives of the fossil taxon. Here, also ranges are the result.</t>
  </si>
  <si>
    <t>Ci/Ca is calculated from carbon isotopes of the fossil material. The result is a mean with standard deviation.</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</si>
  <si>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</si>
  <si>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</si>
  <si>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</si>
  <si>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droyer@wesleyan.edu</t>
  </si>
  <si>
    <t>Kowalczyk JB, Royer DL, Miller IM, Anderson CW, Beerling DJ, Franks PJ, Grein M, Konrad W, Roth-Nebelsick A, Bowring SA, Johnson KR, Ramezani J. 2018. Multiple proxy estimates of atmospheric CO2 from an early Paleocene rainforest. Paleoceanography and Paleoclimatology, 33: 1427-1438.</t>
  </si>
  <si>
    <t>cf. Sassafras (CR 10)</t>
  </si>
  <si>
    <t>Ginkgo (CR 125)</t>
  </si>
  <si>
    <t>Denver Museum of Nature and Science</t>
  </si>
  <si>
    <t>Castle Rock</t>
  </si>
  <si>
    <t>Denver Formation</t>
  </si>
  <si>
    <t>near the top of the "D1" sequence</t>
  </si>
  <si>
    <t>U/Pb geochronology of detrital zircon grains</t>
  </si>
  <si>
    <t>Sassafras</t>
  </si>
  <si>
    <t>Ginkgoaceae</t>
  </si>
  <si>
    <t>Ginkgo</t>
  </si>
  <si>
    <t>448 x 334</t>
  </si>
  <si>
    <t>4 leaves</t>
  </si>
  <si>
    <t>15 leaves</t>
  </si>
  <si>
    <r>
      <t>mean of Lauraceae in Grein M., Konrad W., Wilde V., Utescher T. &amp; Roth-Nebelsick A. (2011) Reconstruction of atmospheric CO</t>
    </r>
    <r>
      <rPr>
        <vertAlign val="subscript"/>
        <sz val="11"/>
        <color theme="1"/>
        <rFont val="Calibri"/>
        <family val="2"/>
        <scheme val="minor"/>
      </rPr>
      <t>2</t>
    </r>
    <r>
      <rPr>
        <sz val="11"/>
        <color theme="1"/>
        <rFont val="Calibri"/>
        <family val="2"/>
        <scheme val="minor"/>
      </rPr>
      <t xml:space="preserve"> during the early middle Eocene by application of a gas exchange model to fossil plants from the Messel Formation, Germany. </t>
    </r>
    <r>
      <rPr>
        <i/>
        <sz val="11"/>
        <color theme="1"/>
        <rFont val="Calibri"/>
        <family val="2"/>
        <scheme val="minor"/>
      </rPr>
      <t>Palaeogeography, Palaeoclimatology, Palaeoecology</t>
    </r>
    <r>
      <rPr>
        <sz val="11"/>
        <color theme="1"/>
        <rFont val="Calibri"/>
        <family val="2"/>
        <scheme val="minor"/>
      </rPr>
      <t xml:space="preserve">, </t>
    </r>
    <r>
      <rPr>
        <b/>
        <sz val="11"/>
        <color theme="1"/>
        <rFont val="Calibri"/>
        <family val="2"/>
        <scheme val="minor"/>
      </rPr>
      <t>309</t>
    </r>
    <r>
      <rPr>
        <sz val="11"/>
        <color theme="1"/>
        <rFont val="Calibri"/>
        <family val="2"/>
        <scheme val="minor"/>
      </rPr>
      <t>, 383-391</t>
    </r>
  </si>
  <si>
    <r>
      <t>Grein M., Konrad W., Wilde V., Utescher T. &amp; Roth-Nebelsick A. (2011) Reconstruction of atmospheric CO</t>
    </r>
    <r>
      <rPr>
        <vertAlign val="subscript"/>
        <sz val="11"/>
        <color theme="1"/>
        <rFont val="Calibri"/>
        <family val="2"/>
        <scheme val="minor"/>
      </rPr>
      <t>2</t>
    </r>
    <r>
      <rPr>
        <sz val="11"/>
        <color theme="1"/>
        <rFont val="Calibri"/>
        <family val="2"/>
        <scheme val="minor"/>
      </rPr>
      <t xml:space="preserve"> during the early middle Eocene by application of a gas exchange model to fossil plants from the Messel Formation, Germany. </t>
    </r>
    <r>
      <rPr>
        <i/>
        <sz val="11"/>
        <color theme="1"/>
        <rFont val="Calibri"/>
        <family val="2"/>
        <scheme val="minor"/>
      </rPr>
      <t>Palaeogeography, Palaeoclimatology, Palaeoecology</t>
    </r>
    <r>
      <rPr>
        <sz val="11"/>
        <color theme="1"/>
        <rFont val="Calibri"/>
        <family val="2"/>
        <scheme val="minor"/>
      </rPr>
      <t xml:space="preserve">, </t>
    </r>
    <r>
      <rPr>
        <b/>
        <sz val="11"/>
        <color theme="1"/>
        <rFont val="Calibri"/>
        <family val="2"/>
        <scheme val="minor"/>
      </rPr>
      <t>309</t>
    </r>
    <r>
      <rPr>
        <sz val="11"/>
        <color theme="1"/>
        <rFont val="Calibri"/>
        <family val="2"/>
        <scheme val="minor"/>
      </rPr>
      <t>, 383-391; Leigh, A., Zwieniecki, M. A., Rockwell, F. E., Boyce, C. K., Nicotra, A. B., and Holbrook, N. M., 2011, Structural and hydraulic correlates of heterophylly in Ginkgo biloba: New Phytologist, v. 189, p. 459-470.</t>
    </r>
  </si>
  <si>
    <t>97.5 (minus two-sigma)</t>
  </si>
  <si>
    <t>127.5 (plus two-sigma)</t>
  </si>
  <si>
    <t>40.1 (minus two-sigma)</t>
  </si>
  <si>
    <t>48.1 (plus two-sigma)</t>
  </si>
  <si>
    <t>value of q in extant Sassafras albidum that results in correct CO2 concentration</t>
  </si>
  <si>
    <t>value of q in extant Ginkgo biloba that results in correct CO2 concentration</t>
  </si>
  <si>
    <t>Kloeppel, B. D., M. D. Abrams, and M. E. Kubiske (1993), Seasonal ecophysiology and leaf morphology of four successional Pennsylvania barrens species in open versus understory environments, Can J Forest Res, 23, 181-189.</t>
  </si>
  <si>
    <t>Beerling, D., J. McElwain, and C. Osborne (1998), Stomatal responses of the 'living fossil' Ginkgo biloba L. to changes in atmospheric CO2 concentrations, J Exp Bot, 49, 1603-1607.</t>
  </si>
  <si>
    <t>18.8 (minus two-sigma)</t>
  </si>
  <si>
    <t>24.8 (plus two-sigma)</t>
  </si>
  <si>
    <t>leaf-margin analysis</t>
  </si>
  <si>
    <t>Ellis, B., K. R. Johnson, and R. E. Dunn (2003), Evidence for an in situ early Paleocene rainforest from Castle Rock, Colorado, Rocky Mountain Geology, 38, 73-100.</t>
  </si>
  <si>
    <t>Richards, P. W. (1996), The Tropical Rain Forest: An Ecological Study, 2nd ed., 600 pp., Cambridge University Press, Cambridge, UK.</t>
  </si>
  <si>
    <t>typical values from present-day rainforests</t>
  </si>
  <si>
    <t>67 (minus two-sigma)</t>
  </si>
  <si>
    <t>87 (plus two-sigma)</t>
  </si>
  <si>
    <t>Royer, D. L., Y. Donnadieu, J. Park, J. Kowalczyk, and Y. Godderis (2014), Error analysis of CO2 and O2 estimates from the long-term geochemical model GEOCARBSULF, Am J Sci, 314, 1259-1283.</t>
  </si>
  <si>
    <t>10.1029/2018PA003356</t>
  </si>
  <si>
    <t>proxy</t>
  </si>
  <si>
    <t>first_author_last_name</t>
  </si>
  <si>
    <t>publication_year</t>
  </si>
  <si>
    <t>doi</t>
  </si>
  <si>
    <t>age_ka</t>
  </si>
  <si>
    <t>Age_uncertainty_pos_ka</t>
  </si>
  <si>
    <t>Age_uncertainty_neg_ka</t>
  </si>
  <si>
    <t>Kowalczyk</t>
  </si>
  <si>
    <t>95% percentile range from Monte Carlo simulations</t>
  </si>
  <si>
    <t>name of person entering product data</t>
  </si>
  <si>
    <t>email of person entering product data</t>
  </si>
  <si>
    <t>specify reason for age revision</t>
  </si>
  <si>
    <t>specify reason for quarantine</t>
  </si>
  <si>
    <t>CO2 was estimated independently from two species; to avoid pseudo-replication, only the combined CO2 estimate is retained</t>
  </si>
  <si>
    <t>This is a new CO2 estimate based on combining the published estimates for the two species; the uncertainties span the 2.5 to 97.5 percentiles of the simulations, where the mean of each set of two resamples was first computed</t>
  </si>
  <si>
    <t>stomata-konrad-FOM</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</si>
  <si>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</si>
  <si>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</si>
  <si>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</si>
  <si>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</si>
  <si>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</si>
  <si>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</si>
  <si>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</si>
  <si>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</si>
  <si>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</si>
  <si>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</si>
  <si>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</si>
  <si>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</si>
  <si>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Modern Latitude (decimal degree, south negative)</t>
  </si>
  <si>
    <t>Modern Longitude (decimal degree, west negative)</t>
  </si>
  <si>
    <t>Paleo Latitude (decimal degree, south negative)</t>
  </si>
  <si>
    <t>Paleo Longitude (decimal degree, west negative)</t>
  </si>
  <si>
    <t>Dana L. Royer</t>
  </si>
  <si>
    <t>2s uncertainty</t>
  </si>
  <si>
    <t>if own measurements: 2s uncertainty</t>
  </si>
  <si>
    <r>
      <t>Sample name</t>
    </r>
    <r>
      <rPr>
        <vertAlign val="superscript"/>
        <sz val="11"/>
        <color theme="1"/>
        <rFont val="Calibri"/>
        <family val="2"/>
        <scheme val="minor"/>
      </rPr>
      <t>a</t>
    </r>
  </si>
  <si>
    <r>
      <rPr>
        <sz val="11"/>
        <color theme="1"/>
        <rFont val="Calibri"/>
        <family val="2"/>
        <scheme val="minor"/>
      </rPr>
      <t>Stomatal density SD [1/mm</t>
    </r>
    <r>
      <rPr>
        <vertAlign val="superscript"/>
        <sz val="11"/>
        <color rgb="FF000000"/>
        <rFont val="Calibri"/>
        <family val="2"/>
        <scheme val="minor"/>
      </rPr>
      <t>2</t>
    </r>
    <r>
      <rPr>
        <sz val="11"/>
        <color theme="1"/>
        <rFont val="Calibri"/>
        <family val="2"/>
        <scheme val="minor"/>
      </rPr>
      <t xml:space="preserve">] </t>
    </r>
  </si>
  <si>
    <r>
      <rPr>
        <sz val="11"/>
        <color theme="1"/>
        <rFont val="Calibri"/>
        <family val="2"/>
        <scheme val="minor"/>
      </rPr>
      <t xml:space="preserve"> </t>
    </r>
    <r>
      <rPr>
        <sz val="11"/>
        <color rgb="FF000000"/>
        <rFont val="Calibri"/>
        <family val="2"/>
        <scheme val="minor"/>
      </rPr>
      <t>d</t>
    </r>
    <r>
      <rPr>
        <vertAlign val="superscript"/>
        <sz val="11"/>
        <color rgb="FF000000"/>
        <rFont val="Calibri"/>
        <family val="2"/>
        <scheme val="minor"/>
      </rPr>
      <t>13</t>
    </r>
    <r>
      <rPr>
        <sz val="11"/>
        <color theme="1"/>
        <rFont val="Calibri"/>
        <family val="2"/>
        <scheme val="minor"/>
      </rPr>
      <t>C atmosphere calculated from marine carbonates [‰]</t>
    </r>
  </si>
  <si>
    <r>
      <rPr>
        <sz val="11"/>
        <color theme="1"/>
        <rFont val="Calibri"/>
        <family val="2"/>
        <scheme val="minor"/>
      </rPr>
      <t xml:space="preserve"> Reference for </t>
    </r>
    <r>
      <rPr>
        <sz val="11"/>
        <color rgb="FF000000"/>
        <rFont val="Calibri"/>
        <family val="2"/>
        <scheme val="minor"/>
      </rPr>
      <t>d</t>
    </r>
    <r>
      <rPr>
        <vertAlign val="superscript"/>
        <sz val="11"/>
        <color rgb="FF000000"/>
        <rFont val="Calibri"/>
        <family val="2"/>
        <scheme val="minor"/>
      </rPr>
      <t>13</t>
    </r>
    <r>
      <rPr>
        <sz val="11"/>
        <color theme="1"/>
        <rFont val="Calibri"/>
        <family val="2"/>
        <scheme val="minor"/>
      </rPr>
      <t>C atmosphere calculated from marine carbonates</t>
    </r>
  </si>
  <si>
    <r>
      <t>d</t>
    </r>
    <r>
      <rPr>
        <vertAlign val="superscript"/>
        <sz val="11"/>
        <color rgb="FF000000"/>
        <rFont val="Calibri"/>
        <family val="2"/>
        <scheme val="minor"/>
      </rPr>
      <t>13</t>
    </r>
    <r>
      <rPr>
        <sz val="11"/>
        <color theme="1"/>
        <rFont val="Calibri"/>
        <family val="2"/>
        <scheme val="minor"/>
      </rPr>
      <t>C plant material [‰]</t>
    </r>
  </si>
  <si>
    <r>
      <rPr>
        <sz val="11"/>
        <color theme="1"/>
        <rFont val="Calibri"/>
        <family val="2"/>
        <scheme val="minor"/>
      </rPr>
      <t xml:space="preserve">Ci/Ca from </t>
    </r>
    <r>
      <rPr>
        <sz val="11"/>
        <color rgb="FF000000"/>
        <rFont val="Calibri"/>
        <family val="2"/>
        <scheme val="minor"/>
      </rPr>
      <t>d</t>
    </r>
    <r>
      <rPr>
        <vertAlign val="superscript"/>
        <sz val="11"/>
        <color rgb="FF000000"/>
        <rFont val="Calibri"/>
        <family val="2"/>
        <scheme val="minor"/>
      </rPr>
      <t>13</t>
    </r>
    <r>
      <rPr>
        <sz val="11"/>
        <color theme="1"/>
        <rFont val="Calibri"/>
        <family val="2"/>
        <scheme val="minor"/>
      </rPr>
      <t>C [-]</t>
    </r>
  </si>
  <si>
    <r>
      <rPr>
        <sz val="11"/>
        <color theme="1"/>
        <rFont val="Calibri"/>
        <family val="2"/>
        <scheme val="minor"/>
      </rPr>
      <t>Rd25 [µmol*m</t>
    </r>
    <r>
      <rPr>
        <vertAlign val="superscript"/>
        <sz val="11"/>
        <color rgb="FF000000"/>
        <rFont val="Calibri"/>
        <family val="2"/>
        <scheme val="minor"/>
      </rPr>
      <t>-2</t>
    </r>
    <r>
      <rPr>
        <sz val="11"/>
        <color theme="1"/>
        <rFont val="Calibri"/>
        <family val="2"/>
        <scheme val="minor"/>
      </rPr>
      <t>*s</t>
    </r>
    <r>
      <rPr>
        <vertAlign val="superscript"/>
        <sz val="11"/>
        <color rgb="FF000000"/>
        <rFont val="Calibri"/>
        <family val="2"/>
        <scheme val="minor"/>
      </rPr>
      <t>-1</t>
    </r>
    <r>
      <rPr>
        <sz val="11"/>
        <color theme="1"/>
        <rFont val="Calibri"/>
        <family val="2"/>
        <scheme val="minor"/>
      </rPr>
      <t>] as derived from literature</t>
    </r>
    <r>
      <rPr>
        <vertAlign val="superscript"/>
        <sz val="11"/>
        <color theme="1"/>
        <rFont val="Calibri"/>
        <family val="2"/>
        <scheme val="minor"/>
      </rPr>
      <t>b</t>
    </r>
  </si>
  <si>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</si>
  <si>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</si>
  <si>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</si>
  <si>
    <t>combined estimate of the two species directly above. Please note that this study also reports CO2 using two other proxy methods (Franks gas-exchange and liverwort methods). All three estimates fall into category 1, and we retain all three as separate estimates. We note that this leads to overrepresentation of this site. Other users may wish to combine the three estimates into a single combined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</si>
</sst>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Verdana"/>
      <family val="2"/>
    </font>
    <font>
      <vertAlign val="superscript"/>
      <sz val="12"/>
      <color theme="1"/>
      <name val="Calibri"/>
      <family val="2"/>
      <scheme val="minor"/>
    </font>
    <font>
      <sz val="14"/>
      <name val="Calibri"/>
      <family val="2"/>
      <scheme val="minor"/>
    </font>
    <font>
      <sz val="11"/>
      <name val="Calibri"/>
      <family val="2"/>
      <scheme val="minor"/>
    </font>
    <font>
      <vertAlign val="superscript"/>
      <sz val="11"/>
      <name val="Calibri"/>
      <family val="2"/>
      <scheme val="minor"/>
    </font>
    <font>
      <sz val="11"/>
      <color rgb="FF000000"/>
      <name val="Calibri"/>
      <family val="2"/>
      <charset val="1"/>
    </font>
    <font>
      <sz val="11"/>
      <color rgb="FF000000"/>
      <name val="Calibri"/>
      <family val="2"/>
      <scheme val="minor"/>
    </font>
    <font>
      <vertAlign val="superscript"/>
      <sz val="11"/>
      <color rgb="FF000000"/>
      <name val="Calibri"/>
      <family val="2"/>
      <scheme val="minor"/>
    </font>
    <font>
      <b/>
      <sz val="11"/>
      <color theme="1"/>
      <name val="Calibri"/>
      <family val="2"/>
      <scheme val="minor"/>
    </font>
    <font>
      <vertAlign val="subscript"/>
      <sz val="11"/>
      <color theme="1"/>
      <name val="Calibri"/>
      <family val="2"/>
      <scheme val="minor"/>
    </font>
    <font>
      <i/>
      <sz val="11"/>
      <color theme="1"/>
      <name val="Calibri"/>
      <family val="2"/>
      <scheme val="minor"/>
    </font>
    <font>
      <vertAlign val="superscript"/>
      <sz val="11"/>
      <color theme="1"/>
      <name val="Calibri"/>
      <family val="2"/>
      <scheme val="minor"/>
    </font>
    <font>
      <b/>
      <sz val="11"/>
      <name val="Calibri"/>
      <family val="2"/>
      <scheme val="minor"/>
    </font>
    <font>
      <sz val="13"/>
      <color rgb="FF000000"/>
      <name val="Helvetica"/>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660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0" fillId="0" borderId="0"/>
    <xf numFmtId="0" fontId="4" fillId="0" borderId="0"/>
  </cellStyleXfs>
  <cellXfs count="49">
    <xf numFmtId="0" fontId="0" fillId="0" borderId="0" xfId="0"/>
    <xf numFmtId="0" fontId="5" fillId="0" borderId="0" xfId="0" applyFont="1"/>
    <xf numFmtId="0" fontId="7" fillId="0" borderId="0" xfId="0" applyFont="1"/>
    <xf numFmtId="0" fontId="8" fillId="3"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8" fillId="6" borderId="1" xfId="0" applyFont="1" applyFill="1" applyBorder="1" applyAlignment="1">
      <alignment horizontal="left" vertical="top" wrapText="1"/>
    </xf>
    <xf numFmtId="0" fontId="11" fillId="7" borderId="1" xfId="1" applyFont="1" applyFill="1" applyBorder="1" applyAlignment="1">
      <alignment vertical="top" wrapText="1"/>
    </xf>
    <xf numFmtId="0" fontId="11" fillId="8" borderId="1" xfId="1" applyFont="1" applyFill="1" applyBorder="1" applyAlignment="1">
      <alignment vertical="top" wrapText="1"/>
    </xf>
    <xf numFmtId="0" fontId="11" fillId="9" borderId="1" xfId="1" applyFont="1" applyFill="1" applyBorder="1" applyAlignment="1">
      <alignment vertical="top" wrapText="1"/>
    </xf>
    <xf numFmtId="0" fontId="11" fillId="10" borderId="1" xfId="1" applyFont="1" applyFill="1" applyBorder="1" applyAlignment="1">
      <alignment vertical="top" wrapText="1"/>
    </xf>
    <xf numFmtId="0" fontId="11" fillId="11" borderId="1" xfId="1" applyFont="1" applyFill="1" applyBorder="1" applyAlignment="1">
      <alignment vertical="top" wrapText="1"/>
    </xf>
    <xf numFmtId="0" fontId="11" fillId="0" borderId="0" xfId="1" applyFont="1" applyBorder="1" applyAlignment="1"/>
    <xf numFmtId="0" fontId="11" fillId="0" borderId="0" xfId="1" applyNumberFormat="1" applyFont="1" applyBorder="1" applyAlignment="1"/>
    <xf numFmtId="1" fontId="11" fillId="0" borderId="0" xfId="1" applyNumberFormat="1" applyFont="1" applyBorder="1" applyAlignment="1"/>
    <xf numFmtId="2" fontId="11" fillId="0" borderId="0" xfId="1" applyNumberFormat="1" applyFont="1" applyBorder="1" applyAlignment="1">
      <alignment wrapText="1"/>
    </xf>
    <xf numFmtId="0" fontId="3" fillId="0" borderId="0" xfId="0" applyFont="1" applyAlignment="1">
      <alignment vertical="center"/>
    </xf>
    <xf numFmtId="0" fontId="2" fillId="0" borderId="0" xfId="0" applyFont="1"/>
    <xf numFmtId="0" fontId="2" fillId="0" borderId="0" xfId="1" applyFont="1" applyAlignment="1"/>
    <xf numFmtId="0" fontId="13" fillId="0" borderId="0" xfId="0" applyFont="1" applyAlignment="1">
      <alignment vertical="top"/>
    </xf>
    <xf numFmtId="0" fontId="13" fillId="0" borderId="1" xfId="0" applyFont="1" applyBorder="1" applyAlignment="1">
      <alignment vertical="top"/>
    </xf>
    <xf numFmtId="0" fontId="13" fillId="0" borderId="1" xfId="0" applyNumberFormat="1" applyFont="1" applyBorder="1" applyAlignment="1">
      <alignment vertical="top"/>
    </xf>
    <xf numFmtId="0" fontId="13" fillId="0" borderId="1" xfId="0" applyFont="1" applyBorder="1" applyAlignment="1">
      <alignment vertical="top" wrapText="1"/>
    </xf>
    <xf numFmtId="0" fontId="11" fillId="0" borderId="3" xfId="0" applyFont="1" applyBorder="1" applyAlignment="1">
      <alignment wrapText="1"/>
    </xf>
    <xf numFmtId="0" fontId="11" fillId="0" borderId="4" xfId="0" applyFont="1" applyBorder="1" applyAlignment="1">
      <alignment wrapText="1"/>
    </xf>
    <xf numFmtId="0" fontId="11" fillId="0" borderId="4" xfId="0" applyFont="1" applyBorder="1"/>
    <xf numFmtId="0" fontId="2" fillId="0" borderId="4" xfId="0" applyFont="1" applyBorder="1" applyAlignment="1">
      <alignment wrapText="1"/>
    </xf>
    <xf numFmtId="0" fontId="2" fillId="0" borderId="4" xfId="0" applyFont="1" applyBorder="1"/>
    <xf numFmtId="0" fontId="2" fillId="0" borderId="4" xfId="0" quotePrefix="1" applyFont="1" applyBorder="1" applyAlignment="1">
      <alignment wrapText="1"/>
    </xf>
    <xf numFmtId="0" fontId="2" fillId="0" borderId="5" xfId="0" quotePrefix="1" applyFont="1" applyBorder="1" applyAlignment="1">
      <alignment wrapText="1"/>
    </xf>
    <xf numFmtId="0" fontId="2" fillId="0" borderId="4" xfId="0" applyFont="1" applyFill="1" applyBorder="1" applyAlignment="1">
      <alignment wrapText="1"/>
    </xf>
    <xf numFmtId="0" fontId="2" fillId="0" borderId="5" xfId="0" applyFont="1" applyFill="1" applyBorder="1" applyAlignment="1">
      <alignment wrapText="1"/>
    </xf>
    <xf numFmtId="0" fontId="2" fillId="0" borderId="1" xfId="0" applyFont="1" applyFill="1" applyBorder="1" applyAlignment="1">
      <alignment wrapText="1"/>
    </xf>
    <xf numFmtId="0" fontId="2" fillId="0" borderId="3" xfId="0" applyFont="1" applyFill="1" applyBorder="1" applyAlignment="1">
      <alignment wrapText="1"/>
    </xf>
    <xf numFmtId="0" fontId="11" fillId="0" borderId="5" xfId="0" applyFont="1" applyBorder="1" applyAlignment="1">
      <alignment wrapText="1"/>
    </xf>
    <xf numFmtId="0" fontId="11" fillId="0" borderId="1" xfId="0" applyFont="1" applyBorder="1" applyAlignment="1">
      <alignment wrapText="1"/>
    </xf>
    <xf numFmtId="0" fontId="2" fillId="2"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wrapText="1"/>
    </xf>
    <xf numFmtId="0" fontId="17" fillId="4" borderId="1" xfId="0" applyFont="1" applyFill="1" applyBorder="1" applyAlignment="1">
      <alignment horizontal="center" vertical="top" wrapText="1"/>
    </xf>
    <xf numFmtId="0" fontId="2" fillId="5" borderId="1" xfId="0" applyFont="1" applyFill="1" applyBorder="1" applyAlignment="1">
      <alignment vertical="top" wrapText="1"/>
    </xf>
    <xf numFmtId="1" fontId="2" fillId="0" borderId="0" xfId="0" applyNumberFormat="1" applyFont="1"/>
    <xf numFmtId="0" fontId="2" fillId="0" borderId="0" xfId="0" applyFont="1" applyAlignment="1"/>
    <xf numFmtId="0" fontId="2" fillId="0" borderId="0" xfId="0" applyFont="1" applyFill="1" applyBorder="1" applyAlignment="1">
      <alignment horizontal="right"/>
    </xf>
    <xf numFmtId="0" fontId="11" fillId="0" borderId="2" xfId="0" applyFont="1" applyBorder="1" applyAlignment="1"/>
    <xf numFmtId="0" fontId="2" fillId="0" borderId="0" xfId="0" applyNumberFormat="1" applyFont="1"/>
    <xf numFmtId="0" fontId="0" fillId="0" borderId="4" xfId="0" applyBorder="1" applyAlignment="1">
      <alignment wrapText="1"/>
    </xf>
    <xf numFmtId="0" fontId="18" fillId="0" borderId="0" xfId="0" applyFont="1"/>
    <xf numFmtId="0" fontId="1" fillId="0" borderId="0" xfId="1" applyFont="1" applyAlignment="1"/>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M7"/>
  <sheetViews>
    <sheetView tabSelected="1" topLeftCell="BU1" workbookViewId="0">
      <selection activeCell="CM6" sqref="CM6"/>
    </sheetView>
  </sheetViews>
  <sheetFormatPr defaultColWidth="11" defaultRowHeight="15" x14ac:dyDescent="0.25"/>
  <cols>
    <col min="1" max="36" width="11" style="16"/>
    <col min="37" max="40" width="11" style="45"/>
    <col min="41" max="16384" width="11" style="16"/>
  </cols>
  <sheetData>
    <row r="2" spans="1:91" s="18" customFormat="1" x14ac:dyDescent="0.25">
      <c r="Y2" s="19"/>
      <c r="Z2" s="19"/>
      <c r="AA2" s="19" t="s">
        <v>7</v>
      </c>
      <c r="AB2" s="19"/>
      <c r="AC2" s="19"/>
      <c r="AD2" s="19"/>
      <c r="AE2" s="19"/>
      <c r="AF2" s="19" t="s">
        <v>8</v>
      </c>
      <c r="AG2" s="19"/>
      <c r="AH2" s="19"/>
      <c r="AI2" s="19"/>
      <c r="AJ2" s="19"/>
      <c r="AK2" s="20"/>
      <c r="AL2" s="20"/>
      <c r="AM2" s="20"/>
      <c r="AN2" s="20"/>
      <c r="AO2" s="19" t="s">
        <v>9</v>
      </c>
      <c r="AP2" s="19"/>
      <c r="AQ2" s="19"/>
      <c r="AR2" s="19" t="s">
        <v>10</v>
      </c>
      <c r="AS2" s="19"/>
      <c r="AT2" s="21"/>
      <c r="AU2" s="19" t="s">
        <v>11</v>
      </c>
      <c r="AV2" s="19"/>
      <c r="AW2" s="19"/>
      <c r="AX2" s="19"/>
      <c r="AY2" s="19"/>
      <c r="AZ2" s="19"/>
      <c r="BA2" s="19"/>
      <c r="BB2" s="19"/>
      <c r="BC2" s="19"/>
      <c r="BD2" s="19"/>
      <c r="BE2" s="19"/>
      <c r="BF2" s="19"/>
      <c r="BG2" s="19"/>
      <c r="BH2" s="19"/>
      <c r="BI2" s="19"/>
      <c r="BJ2" s="19"/>
      <c r="BK2" s="19" t="s">
        <v>12</v>
      </c>
      <c r="BL2" s="19"/>
      <c r="BM2" s="19"/>
      <c r="BN2" s="19"/>
      <c r="BO2" s="19"/>
      <c r="BP2" s="19"/>
      <c r="BQ2" s="19" t="s">
        <v>13</v>
      </c>
      <c r="BR2" s="19"/>
      <c r="BS2" s="19"/>
      <c r="BT2" s="19"/>
      <c r="BU2" s="19"/>
      <c r="BV2" s="19"/>
      <c r="BW2" s="19" t="s">
        <v>14</v>
      </c>
      <c r="BX2" s="19"/>
      <c r="BY2" s="19"/>
      <c r="BZ2" s="19"/>
      <c r="CA2" s="19"/>
      <c r="CB2" s="19"/>
      <c r="CC2" s="19"/>
      <c r="CD2" s="19"/>
      <c r="CE2" s="19"/>
      <c r="CF2" s="19"/>
      <c r="CG2" s="19"/>
      <c r="CH2" s="19"/>
      <c r="CI2" s="19"/>
      <c r="CJ2" s="19" t="s">
        <v>15</v>
      </c>
      <c r="CK2" s="19"/>
      <c r="CL2" s="19"/>
    </row>
    <row r="3" spans="1:91" ht="112.5" customHeight="1" thickBot="1" x14ac:dyDescent="0.3">
      <c r="A3" s="22" t="s">
        <v>125</v>
      </c>
      <c r="B3" s="23" t="s">
        <v>126</v>
      </c>
      <c r="C3" s="24" t="s">
        <v>116</v>
      </c>
      <c r="D3" s="25" t="s">
        <v>117</v>
      </c>
      <c r="E3" s="25" t="s">
        <v>118</v>
      </c>
      <c r="F3" s="26" t="s">
        <v>119</v>
      </c>
      <c r="G3" s="26" t="s">
        <v>120</v>
      </c>
      <c r="H3" s="27" t="s">
        <v>121</v>
      </c>
      <c r="I3" s="27" t="s">
        <v>122</v>
      </c>
      <c r="J3" s="25" t="s">
        <v>132</v>
      </c>
      <c r="K3" s="27" t="s">
        <v>133</v>
      </c>
      <c r="L3" s="28" t="s">
        <v>143</v>
      </c>
      <c r="M3" s="29" t="s">
        <v>134</v>
      </c>
      <c r="N3" s="46" t="s">
        <v>158</v>
      </c>
      <c r="O3" s="46" t="s">
        <v>159</v>
      </c>
      <c r="P3" s="29" t="s">
        <v>135</v>
      </c>
      <c r="Q3" s="30" t="s">
        <v>136</v>
      </c>
      <c r="R3" s="31" t="s">
        <v>137</v>
      </c>
      <c r="S3" s="32" t="s">
        <v>138</v>
      </c>
      <c r="T3" s="29" t="s">
        <v>139</v>
      </c>
      <c r="U3" s="29" t="s">
        <v>128</v>
      </c>
      <c r="V3" s="29" t="s">
        <v>140</v>
      </c>
      <c r="W3" s="33" t="s">
        <v>141</v>
      </c>
      <c r="X3" s="34" t="s">
        <v>127</v>
      </c>
      <c r="Y3" s="35" t="s">
        <v>16</v>
      </c>
      <c r="Z3" s="35" t="s">
        <v>17</v>
      </c>
      <c r="AA3" s="36" t="s">
        <v>151</v>
      </c>
      <c r="AB3" s="36" t="s">
        <v>18</v>
      </c>
      <c r="AC3" s="37" t="s">
        <v>19</v>
      </c>
      <c r="AD3" s="36" t="s">
        <v>20</v>
      </c>
      <c r="AE3" s="3" t="s">
        <v>21</v>
      </c>
      <c r="AF3" s="38" t="s">
        <v>22</v>
      </c>
      <c r="AG3" s="38" t="s">
        <v>23</v>
      </c>
      <c r="AH3" s="38" t="s">
        <v>24</v>
      </c>
      <c r="AI3" s="38" t="s">
        <v>25</v>
      </c>
      <c r="AJ3" s="38" t="s">
        <v>26</v>
      </c>
      <c r="AK3" s="38" t="s">
        <v>144</v>
      </c>
      <c r="AL3" s="38" t="s">
        <v>145</v>
      </c>
      <c r="AM3" s="39" t="s">
        <v>146</v>
      </c>
      <c r="AN3" s="39" t="s">
        <v>147</v>
      </c>
      <c r="AO3" s="40" t="s">
        <v>27</v>
      </c>
      <c r="AP3" s="40" t="s">
        <v>28</v>
      </c>
      <c r="AQ3" s="40" t="s">
        <v>29</v>
      </c>
      <c r="AR3" s="4" t="s">
        <v>30</v>
      </c>
      <c r="AS3" s="4" t="s">
        <v>31</v>
      </c>
      <c r="AT3" s="5" t="s">
        <v>32</v>
      </c>
      <c r="AU3" s="6" t="s">
        <v>152</v>
      </c>
      <c r="AV3" s="6" t="s">
        <v>149</v>
      </c>
      <c r="AW3" s="6" t="s">
        <v>33</v>
      </c>
      <c r="AX3" s="6" t="s">
        <v>149</v>
      </c>
      <c r="AY3" s="6" t="s">
        <v>34</v>
      </c>
      <c r="AZ3" s="6" t="s">
        <v>149</v>
      </c>
      <c r="BA3" s="6" t="s">
        <v>35</v>
      </c>
      <c r="BB3" s="6" t="s">
        <v>149</v>
      </c>
      <c r="BC3" s="6" t="s">
        <v>36</v>
      </c>
      <c r="BD3" s="6" t="s">
        <v>150</v>
      </c>
      <c r="BE3" s="6" t="s">
        <v>37</v>
      </c>
      <c r="BF3" s="6" t="s">
        <v>38</v>
      </c>
      <c r="BG3" s="6" t="s">
        <v>39</v>
      </c>
      <c r="BH3" s="6" t="s">
        <v>40</v>
      </c>
      <c r="BI3" s="6" t="s">
        <v>41</v>
      </c>
      <c r="BJ3" s="6" t="s">
        <v>42</v>
      </c>
      <c r="BK3" s="7" t="s">
        <v>153</v>
      </c>
      <c r="BL3" s="7" t="s">
        <v>154</v>
      </c>
      <c r="BM3" s="7" t="s">
        <v>155</v>
      </c>
      <c r="BN3" s="7" t="s">
        <v>149</v>
      </c>
      <c r="BO3" s="7" t="s">
        <v>156</v>
      </c>
      <c r="BP3" s="7" t="s">
        <v>149</v>
      </c>
      <c r="BQ3" s="8" t="s">
        <v>43</v>
      </c>
      <c r="BR3" s="8" t="s">
        <v>44</v>
      </c>
      <c r="BS3" s="8" t="s">
        <v>45</v>
      </c>
      <c r="BT3" s="8" t="s">
        <v>46</v>
      </c>
      <c r="BU3" s="8" t="s">
        <v>157</v>
      </c>
      <c r="BV3" s="8" t="s">
        <v>47</v>
      </c>
      <c r="BW3" s="9" t="s">
        <v>48</v>
      </c>
      <c r="BX3" s="9" t="s">
        <v>49</v>
      </c>
      <c r="BY3" s="9" t="s">
        <v>50</v>
      </c>
      <c r="BZ3" s="9" t="s">
        <v>51</v>
      </c>
      <c r="CA3" s="9" t="s">
        <v>52</v>
      </c>
      <c r="CB3" s="9" t="s">
        <v>53</v>
      </c>
      <c r="CC3" s="9" t="s">
        <v>54</v>
      </c>
      <c r="CD3" s="9" t="s">
        <v>55</v>
      </c>
      <c r="CE3" s="9" t="s">
        <v>56</v>
      </c>
      <c r="CF3" s="9" t="s">
        <v>57</v>
      </c>
      <c r="CG3" s="9" t="s">
        <v>58</v>
      </c>
      <c r="CH3" s="9" t="s">
        <v>59</v>
      </c>
      <c r="CI3" s="9" t="s">
        <v>60</v>
      </c>
      <c r="CJ3" s="10" t="s">
        <v>61</v>
      </c>
      <c r="CK3" s="10" t="s">
        <v>62</v>
      </c>
      <c r="CL3" s="10" t="s">
        <v>63</v>
      </c>
    </row>
    <row r="4" spans="1:91" s="42" customFormat="1" ht="18.75" thickBot="1" x14ac:dyDescent="0.4">
      <c r="A4" s="16" t="s">
        <v>148</v>
      </c>
      <c r="B4" s="16" t="s">
        <v>81</v>
      </c>
      <c r="C4" s="16" t="s">
        <v>131</v>
      </c>
      <c r="D4" s="16" t="s">
        <v>123</v>
      </c>
      <c r="E4" s="16">
        <v>2018</v>
      </c>
      <c r="F4" s="16" t="str">
        <f>Z4</f>
        <v>10.1029/2018PA003356</v>
      </c>
      <c r="G4" s="16">
        <f>AF4*1000</f>
        <v>63800</v>
      </c>
      <c r="H4" s="16">
        <f>(AG4-AF4)*1000</f>
        <v>200.00000000000284</v>
      </c>
      <c r="I4" s="16">
        <f>(AF4-AH4)*1000</f>
        <v>200.00000000000284</v>
      </c>
      <c r="J4" s="41">
        <f>CJ4</f>
        <v>746</v>
      </c>
      <c r="K4" s="41">
        <f>CL4-CJ4</f>
        <v>412</v>
      </c>
      <c r="L4" s="41">
        <f>CJ4-CK4</f>
        <v>274</v>
      </c>
      <c r="M4" s="16" t="b">
        <v>1</v>
      </c>
      <c r="N4" s="16">
        <v>3</v>
      </c>
      <c r="O4" s="16" t="s">
        <v>129</v>
      </c>
      <c r="P4" s="16" t="s">
        <v>142</v>
      </c>
      <c r="Q4" s="16" t="b">
        <v>0</v>
      </c>
      <c r="R4" s="16" t="s">
        <v>142</v>
      </c>
      <c r="S4" s="16" t="b">
        <v>1</v>
      </c>
      <c r="T4" s="16" t="b">
        <v>0</v>
      </c>
      <c r="U4" s="16" t="s">
        <v>142</v>
      </c>
      <c r="V4" s="16" t="s">
        <v>142</v>
      </c>
      <c r="W4" s="16" t="b">
        <v>0</v>
      </c>
      <c r="X4" s="16" t="s">
        <v>142</v>
      </c>
      <c r="Y4" s="17" t="s">
        <v>82</v>
      </c>
      <c r="Z4" s="16" t="s">
        <v>115</v>
      </c>
      <c r="AA4" s="11" t="s">
        <v>83</v>
      </c>
      <c r="AB4" s="11" t="s">
        <v>85</v>
      </c>
      <c r="AC4" s="11" t="s">
        <v>86</v>
      </c>
      <c r="AD4" s="11" t="s">
        <v>87</v>
      </c>
      <c r="AE4" s="11" t="s">
        <v>88</v>
      </c>
      <c r="AF4" s="11">
        <v>63.8</v>
      </c>
      <c r="AG4" s="11">
        <v>64</v>
      </c>
      <c r="AH4" s="11">
        <v>63.599999999999994</v>
      </c>
      <c r="AI4" s="42" t="s">
        <v>142</v>
      </c>
      <c r="AJ4" s="11" t="s">
        <v>89</v>
      </c>
      <c r="AK4" s="12">
        <v>39.380000000000003</v>
      </c>
      <c r="AL4" s="12">
        <v>-104.85</v>
      </c>
      <c r="AM4" s="43" t="s">
        <v>142</v>
      </c>
      <c r="AN4" s="43" t="s">
        <v>142</v>
      </c>
      <c r="AO4" s="11" t="s">
        <v>66</v>
      </c>
      <c r="AP4" s="11" t="s">
        <v>90</v>
      </c>
      <c r="AQ4" s="42" t="s">
        <v>142</v>
      </c>
      <c r="AR4" s="11" t="s">
        <v>64</v>
      </c>
      <c r="AS4" s="11" t="s">
        <v>93</v>
      </c>
      <c r="AT4" s="11" t="s">
        <v>94</v>
      </c>
      <c r="AU4" s="11">
        <v>230</v>
      </c>
      <c r="AV4" s="11">
        <f>6*2</f>
        <v>12</v>
      </c>
      <c r="AW4" s="11">
        <v>9.6</v>
      </c>
      <c r="AX4" s="11">
        <f>0.5*2</f>
        <v>1</v>
      </c>
      <c r="AY4" s="11">
        <v>11.9</v>
      </c>
      <c r="AZ4" s="11">
        <f>1*2</f>
        <v>2</v>
      </c>
      <c r="BA4" s="11">
        <f>AW4/2</f>
        <v>4.8</v>
      </c>
      <c r="BB4" s="11">
        <f>AX4/2</f>
        <v>0.5</v>
      </c>
      <c r="BC4" s="11">
        <v>89</v>
      </c>
      <c r="BD4" s="11">
        <f>5*2</f>
        <v>10</v>
      </c>
      <c r="BE4" s="16" t="s">
        <v>96</v>
      </c>
      <c r="BF4" s="11">
        <v>0.33</v>
      </c>
      <c r="BG4" s="16" t="s">
        <v>67</v>
      </c>
      <c r="BH4" s="11">
        <v>1.571</v>
      </c>
      <c r="BI4" s="16" t="s">
        <v>67</v>
      </c>
      <c r="BJ4" s="11">
        <v>78</v>
      </c>
      <c r="BK4" s="11">
        <v>-5</v>
      </c>
      <c r="BL4" s="44" t="s">
        <v>65</v>
      </c>
      <c r="BM4" s="11">
        <v>-25.47</v>
      </c>
      <c r="BN4" s="11">
        <f>0.41*2</f>
        <v>0.82</v>
      </c>
      <c r="BO4" s="14">
        <f>((BK4-BM4)/(1+BM4/1000)-4.4)/(27-4.4)</f>
        <v>0.73473439295311749</v>
      </c>
      <c r="BP4" s="11" t="s">
        <v>142</v>
      </c>
      <c r="BQ4" s="11">
        <v>107.5</v>
      </c>
      <c r="BR4" s="11" t="s">
        <v>98</v>
      </c>
      <c r="BS4" s="11" t="s">
        <v>99</v>
      </c>
      <c r="BT4" s="11" t="s">
        <v>102</v>
      </c>
      <c r="BU4" s="11">
        <v>0.28999999999999998</v>
      </c>
      <c r="BV4" s="11" t="s">
        <v>104</v>
      </c>
      <c r="BW4" s="11" t="s">
        <v>108</v>
      </c>
      <c r="BX4" s="11" t="s">
        <v>109</v>
      </c>
      <c r="BY4" s="11">
        <v>21.8</v>
      </c>
      <c r="BZ4" s="11" t="s">
        <v>106</v>
      </c>
      <c r="CA4" s="11" t="s">
        <v>107</v>
      </c>
      <c r="CB4" s="11" t="s">
        <v>111</v>
      </c>
      <c r="CC4" s="11" t="s">
        <v>110</v>
      </c>
      <c r="CD4" s="11">
        <v>77</v>
      </c>
      <c r="CE4" s="11" t="s">
        <v>112</v>
      </c>
      <c r="CF4" s="11" t="s">
        <v>113</v>
      </c>
      <c r="CG4" s="11">
        <v>2.5</v>
      </c>
      <c r="CH4" s="11">
        <v>230000</v>
      </c>
      <c r="CI4" s="11" t="s">
        <v>114</v>
      </c>
      <c r="CJ4" s="11">
        <v>746</v>
      </c>
      <c r="CK4" s="11">
        <v>472</v>
      </c>
      <c r="CL4" s="11">
        <v>1158</v>
      </c>
      <c r="CM4" s="42" t="s">
        <v>124</v>
      </c>
    </row>
    <row r="5" spans="1:91" s="42" customFormat="1" ht="18.75" thickBot="1" x14ac:dyDescent="0.4">
      <c r="A5" s="16" t="s">
        <v>148</v>
      </c>
      <c r="B5" s="16" t="s">
        <v>81</v>
      </c>
      <c r="C5" s="16" t="s">
        <v>131</v>
      </c>
      <c r="D5" s="16" t="s">
        <v>123</v>
      </c>
      <c r="E5" s="16">
        <v>2018</v>
      </c>
      <c r="F5" s="16" t="str">
        <f>Z5</f>
        <v>10.1029/2018PA003356</v>
      </c>
      <c r="G5" s="16">
        <f>AF5*1000</f>
        <v>63800</v>
      </c>
      <c r="H5" s="16">
        <f>(AG5-AF5)*1000</f>
        <v>200.00000000000284</v>
      </c>
      <c r="I5" s="16">
        <f>(AF5-AH5)*1000</f>
        <v>200.00000000000284</v>
      </c>
      <c r="J5" s="41">
        <f>CJ5</f>
        <v>731</v>
      </c>
      <c r="K5" s="41">
        <f>CL5-CJ5</f>
        <v>345</v>
      </c>
      <c r="L5" s="41">
        <f>CJ5-CK5</f>
        <v>253</v>
      </c>
      <c r="M5" s="16" t="b">
        <v>1</v>
      </c>
      <c r="N5" s="16">
        <v>3</v>
      </c>
      <c r="O5" s="16" t="s">
        <v>129</v>
      </c>
      <c r="P5" s="16" t="s">
        <v>142</v>
      </c>
      <c r="Q5" s="16" t="b">
        <v>0</v>
      </c>
      <c r="R5" s="16" t="s">
        <v>142</v>
      </c>
      <c r="S5" s="16" t="b">
        <v>1</v>
      </c>
      <c r="T5" s="16" t="b">
        <v>0</v>
      </c>
      <c r="U5" s="16" t="s">
        <v>142</v>
      </c>
      <c r="V5" s="16" t="s">
        <v>142</v>
      </c>
      <c r="W5" s="16" t="b">
        <v>0</v>
      </c>
      <c r="X5" s="16" t="s">
        <v>142</v>
      </c>
      <c r="Y5" s="17" t="s">
        <v>82</v>
      </c>
      <c r="Z5" s="16" t="s">
        <v>115</v>
      </c>
      <c r="AA5" s="11" t="s">
        <v>84</v>
      </c>
      <c r="AB5" s="11" t="s">
        <v>85</v>
      </c>
      <c r="AC5" s="11" t="s">
        <v>86</v>
      </c>
      <c r="AD5" s="11" t="s">
        <v>87</v>
      </c>
      <c r="AE5" s="11" t="s">
        <v>88</v>
      </c>
      <c r="AF5" s="11">
        <v>63.8</v>
      </c>
      <c r="AG5" s="11">
        <v>64</v>
      </c>
      <c r="AH5" s="11">
        <v>63.599999999999994</v>
      </c>
      <c r="AI5" s="42" t="s">
        <v>142</v>
      </c>
      <c r="AJ5" s="11" t="s">
        <v>89</v>
      </c>
      <c r="AK5" s="12">
        <v>39.380000000000003</v>
      </c>
      <c r="AL5" s="12">
        <v>-104.85</v>
      </c>
      <c r="AM5" s="43" t="s">
        <v>142</v>
      </c>
      <c r="AN5" s="43" t="s">
        <v>142</v>
      </c>
      <c r="AO5" s="11" t="s">
        <v>91</v>
      </c>
      <c r="AP5" s="11" t="s">
        <v>92</v>
      </c>
      <c r="AQ5" s="42" t="s">
        <v>142</v>
      </c>
      <c r="AR5" s="11" t="s">
        <v>64</v>
      </c>
      <c r="AS5" s="11" t="s">
        <v>93</v>
      </c>
      <c r="AT5" s="11" t="s">
        <v>95</v>
      </c>
      <c r="AU5" s="11">
        <v>136</v>
      </c>
      <c r="AV5" s="13">
        <f>6.17*2</f>
        <v>12.34</v>
      </c>
      <c r="AW5" s="11">
        <v>10.1</v>
      </c>
      <c r="AX5" s="11">
        <f>0.3*2</f>
        <v>0.6</v>
      </c>
      <c r="AY5" s="11">
        <v>31</v>
      </c>
      <c r="AZ5" s="11">
        <f>0.6*2</f>
        <v>1.2</v>
      </c>
      <c r="BA5" s="11">
        <f>AW5/2</f>
        <v>5.05</v>
      </c>
      <c r="BB5" s="11">
        <f>AX5/2</f>
        <v>0.3</v>
      </c>
      <c r="BC5" s="11">
        <v>220</v>
      </c>
      <c r="BD5" s="11">
        <f>11*2</f>
        <v>22</v>
      </c>
      <c r="BE5" s="16" t="s">
        <v>97</v>
      </c>
      <c r="BF5" s="11">
        <v>0.35</v>
      </c>
      <c r="BG5" s="16" t="s">
        <v>67</v>
      </c>
      <c r="BH5" s="11">
        <v>1.571</v>
      </c>
      <c r="BI5" s="16" t="s">
        <v>67</v>
      </c>
      <c r="BJ5" s="11">
        <v>51</v>
      </c>
      <c r="BK5" s="11">
        <v>-5</v>
      </c>
      <c r="BL5" s="44" t="s">
        <v>65</v>
      </c>
      <c r="BM5" s="11">
        <v>-25.57</v>
      </c>
      <c r="BN5" s="11">
        <f>0.17*2</f>
        <v>0.34</v>
      </c>
      <c r="BO5" s="14">
        <f>((BK5-BM5)/(1+BM5/1000)-4.4)/(27-4.4)</f>
        <v>0.73937066362100134</v>
      </c>
      <c r="BP5" s="11" t="s">
        <v>142</v>
      </c>
      <c r="BQ5" s="11">
        <v>44.1</v>
      </c>
      <c r="BR5" s="11" t="s">
        <v>100</v>
      </c>
      <c r="BS5" s="11" t="s">
        <v>101</v>
      </c>
      <c r="BT5" s="11" t="s">
        <v>103</v>
      </c>
      <c r="BU5" s="11">
        <v>2.5499999999999998</v>
      </c>
      <c r="BV5" s="11" t="s">
        <v>105</v>
      </c>
      <c r="BW5" s="11" t="s">
        <v>108</v>
      </c>
      <c r="BX5" s="11" t="s">
        <v>109</v>
      </c>
      <c r="BY5" s="11">
        <v>21.8</v>
      </c>
      <c r="BZ5" s="11" t="s">
        <v>106</v>
      </c>
      <c r="CA5" s="11" t="s">
        <v>107</v>
      </c>
      <c r="CB5" s="11" t="s">
        <v>111</v>
      </c>
      <c r="CC5" s="11" t="s">
        <v>110</v>
      </c>
      <c r="CD5" s="11">
        <v>77</v>
      </c>
      <c r="CE5" s="11" t="s">
        <v>112</v>
      </c>
      <c r="CF5" s="11" t="s">
        <v>113</v>
      </c>
      <c r="CG5" s="11">
        <v>2.5</v>
      </c>
      <c r="CH5" s="11">
        <v>230000</v>
      </c>
      <c r="CI5" s="11" t="s">
        <v>114</v>
      </c>
      <c r="CJ5" s="11">
        <v>731</v>
      </c>
      <c r="CK5" s="11">
        <v>478</v>
      </c>
      <c r="CL5" s="11">
        <v>1076</v>
      </c>
      <c r="CM5" s="42" t="s">
        <v>124</v>
      </c>
    </row>
    <row r="6" spans="1:91" s="42" customFormat="1" ht="16.5" x14ac:dyDescent="0.25">
      <c r="A6" s="16" t="s">
        <v>148</v>
      </c>
      <c r="B6" s="16" t="s">
        <v>81</v>
      </c>
      <c r="C6" s="16" t="s">
        <v>131</v>
      </c>
      <c r="D6" s="16" t="s">
        <v>123</v>
      </c>
      <c r="E6" s="16">
        <v>2018</v>
      </c>
      <c r="F6" s="16" t="s">
        <v>115</v>
      </c>
      <c r="G6" s="16">
        <f>AF6*1000</f>
        <v>63800</v>
      </c>
      <c r="H6" s="16">
        <f>(AG6-AF6)*1000</f>
        <v>200.00000000000284</v>
      </c>
      <c r="I6" s="16">
        <f>(AF6-AH6)*1000</f>
        <v>200.00000000000284</v>
      </c>
      <c r="J6" s="41">
        <f>CJ6</f>
        <v>746</v>
      </c>
      <c r="K6" s="41">
        <f>CL6-CJ6</f>
        <v>257</v>
      </c>
      <c r="L6" s="41">
        <f>CJ6-CK6</f>
        <v>206</v>
      </c>
      <c r="M6" s="16" t="s">
        <v>142</v>
      </c>
      <c r="N6" s="16">
        <v>1</v>
      </c>
      <c r="O6" s="47" t="s">
        <v>160</v>
      </c>
      <c r="P6" s="16" t="s">
        <v>142</v>
      </c>
      <c r="Q6" s="42" t="b">
        <v>1</v>
      </c>
      <c r="R6" s="42" t="s">
        <v>130</v>
      </c>
      <c r="S6" s="16" t="b">
        <v>1</v>
      </c>
      <c r="T6" s="16" t="b">
        <v>0</v>
      </c>
      <c r="U6" s="16" t="s">
        <v>142</v>
      </c>
      <c r="V6" s="16" t="s">
        <v>142</v>
      </c>
      <c r="W6" s="16" t="b">
        <v>0</v>
      </c>
      <c r="X6" s="16" t="s">
        <v>142</v>
      </c>
      <c r="Y6" s="17" t="s">
        <v>82</v>
      </c>
      <c r="Z6" s="16" t="s">
        <v>115</v>
      </c>
      <c r="AA6" s="42" t="s">
        <v>142</v>
      </c>
      <c r="AB6" s="42" t="s">
        <v>142</v>
      </c>
      <c r="AC6" s="11" t="s">
        <v>86</v>
      </c>
      <c r="AD6" s="11" t="s">
        <v>87</v>
      </c>
      <c r="AE6" s="11" t="s">
        <v>88</v>
      </c>
      <c r="AF6" s="11">
        <v>63.8</v>
      </c>
      <c r="AG6" s="11">
        <v>64</v>
      </c>
      <c r="AH6" s="11">
        <v>63.599999999999994</v>
      </c>
      <c r="AI6" s="42" t="s">
        <v>142</v>
      </c>
      <c r="AJ6" s="11" t="s">
        <v>89</v>
      </c>
      <c r="AK6" s="12">
        <v>39.380000000000003</v>
      </c>
      <c r="AL6" s="12">
        <v>-104.85</v>
      </c>
      <c r="AM6" s="43" t="s">
        <v>142</v>
      </c>
      <c r="AN6" s="43" t="s">
        <v>142</v>
      </c>
      <c r="AO6" s="11" t="s">
        <v>142</v>
      </c>
      <c r="AP6" s="11" t="s">
        <v>142</v>
      </c>
      <c r="AQ6" s="42" t="s">
        <v>142</v>
      </c>
      <c r="AR6" s="11" t="s">
        <v>142</v>
      </c>
      <c r="AS6" s="11" t="s">
        <v>142</v>
      </c>
      <c r="AT6" s="11" t="s">
        <v>142</v>
      </c>
      <c r="AU6" s="11" t="s">
        <v>142</v>
      </c>
      <c r="AV6" s="11" t="s">
        <v>142</v>
      </c>
      <c r="AW6" s="11" t="s">
        <v>142</v>
      </c>
      <c r="AX6" s="11" t="s">
        <v>142</v>
      </c>
      <c r="AY6" s="11" t="s">
        <v>142</v>
      </c>
      <c r="AZ6" s="11" t="s">
        <v>142</v>
      </c>
      <c r="BA6" s="11" t="s">
        <v>142</v>
      </c>
      <c r="BB6" s="11" t="s">
        <v>142</v>
      </c>
      <c r="BC6" s="11" t="s">
        <v>142</v>
      </c>
      <c r="BD6" s="11" t="s">
        <v>142</v>
      </c>
      <c r="BE6" s="11" t="s">
        <v>142</v>
      </c>
      <c r="BF6" s="11" t="s">
        <v>142</v>
      </c>
      <c r="BG6" s="11" t="s">
        <v>142</v>
      </c>
      <c r="BH6" s="11" t="s">
        <v>142</v>
      </c>
      <c r="BI6" s="11" t="s">
        <v>142</v>
      </c>
      <c r="BJ6" s="11" t="s">
        <v>142</v>
      </c>
      <c r="BK6" s="11" t="s">
        <v>142</v>
      </c>
      <c r="BL6" s="11" t="s">
        <v>142</v>
      </c>
      <c r="BM6" s="11" t="s">
        <v>142</v>
      </c>
      <c r="BN6" s="11" t="s">
        <v>142</v>
      </c>
      <c r="BO6" s="11" t="s">
        <v>142</v>
      </c>
      <c r="BP6" s="11" t="s">
        <v>142</v>
      </c>
      <c r="BQ6" s="11" t="s">
        <v>142</v>
      </c>
      <c r="BR6" s="11" t="s">
        <v>142</v>
      </c>
      <c r="BS6" s="11" t="s">
        <v>142</v>
      </c>
      <c r="BT6" s="11" t="s">
        <v>142</v>
      </c>
      <c r="BU6" s="11" t="s">
        <v>142</v>
      </c>
      <c r="BV6" s="11" t="s">
        <v>142</v>
      </c>
      <c r="BW6" s="11" t="s">
        <v>142</v>
      </c>
      <c r="BX6" s="11" t="s">
        <v>142</v>
      </c>
      <c r="BY6" s="11" t="s">
        <v>142</v>
      </c>
      <c r="BZ6" s="11" t="s">
        <v>142</v>
      </c>
      <c r="CA6" s="11" t="s">
        <v>142</v>
      </c>
      <c r="CB6" s="11" t="s">
        <v>142</v>
      </c>
      <c r="CC6" s="11" t="s">
        <v>142</v>
      </c>
      <c r="CD6" s="11" t="s">
        <v>142</v>
      </c>
      <c r="CE6" s="11" t="s">
        <v>142</v>
      </c>
      <c r="CF6" s="11" t="s">
        <v>142</v>
      </c>
      <c r="CG6" s="11" t="s">
        <v>142</v>
      </c>
      <c r="CH6" s="11" t="s">
        <v>142</v>
      </c>
      <c r="CI6" s="11" t="s">
        <v>142</v>
      </c>
      <c r="CJ6" s="42">
        <v>746</v>
      </c>
      <c r="CK6" s="42">
        <v>540</v>
      </c>
      <c r="CL6" s="42">
        <v>1003</v>
      </c>
      <c r="CM6" s="48" t="s">
        <v>161</v>
      </c>
    </row>
    <row r="7" spans="1:91" s="42" customFormat="1" x14ac:dyDescent="0.25">
      <c r="AA7" s="11"/>
      <c r="AB7" s="11"/>
      <c r="AC7" s="11"/>
      <c r="AD7" s="11"/>
      <c r="AE7" s="11"/>
      <c r="AF7" s="11"/>
      <c r="AG7" s="11"/>
      <c r="AH7" s="11"/>
      <c r="AI7" s="11"/>
      <c r="AJ7" s="11"/>
      <c r="AK7" s="12"/>
      <c r="AL7" s="12"/>
      <c r="AM7" s="12"/>
      <c r="AN7" s="12"/>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row>
  </sheetData>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sqref="A1:A24"/>
    </sheetView>
  </sheetViews>
  <sheetFormatPr defaultColWidth="11" defaultRowHeight="15.75" x14ac:dyDescent="0.25"/>
  <sheetData>
    <row r="1" spans="1:1" x14ac:dyDescent="0.25">
      <c r="A1" s="1" t="s">
        <v>0</v>
      </c>
    </row>
    <row r="2" spans="1:1" x14ac:dyDescent="0.25">
      <c r="A2" t="s">
        <v>1</v>
      </c>
    </row>
    <row r="3" spans="1:1" ht="18" x14ac:dyDescent="0.25">
      <c r="A3" t="s">
        <v>2</v>
      </c>
    </row>
    <row r="4" spans="1:1" ht="18" x14ac:dyDescent="0.25">
      <c r="A4" t="s">
        <v>3</v>
      </c>
    </row>
    <row r="6" spans="1:1" ht="18.75" x14ac:dyDescent="0.3">
      <c r="A6" s="2" t="s">
        <v>4</v>
      </c>
    </row>
    <row r="7" spans="1:1" ht="18.75" x14ac:dyDescent="0.3">
      <c r="A7" s="2" t="s">
        <v>5</v>
      </c>
    </row>
    <row r="8" spans="1:1" ht="18.75" x14ac:dyDescent="0.3">
      <c r="A8" s="2" t="s">
        <v>6</v>
      </c>
    </row>
    <row r="10" spans="1:1" x14ac:dyDescent="0.25">
      <c r="A10" s="15" t="s">
        <v>68</v>
      </c>
    </row>
    <row r="11" spans="1:1" x14ac:dyDescent="0.25">
      <c r="A11" s="15" t="s">
        <v>69</v>
      </c>
    </row>
    <row r="12" spans="1:1" x14ac:dyDescent="0.25">
      <c r="A12" s="15" t="s">
        <v>80</v>
      </c>
    </row>
    <row r="13" spans="1:1" x14ac:dyDescent="0.25">
      <c r="A13" s="15" t="s">
        <v>70</v>
      </c>
    </row>
    <row r="14" spans="1:1" x14ac:dyDescent="0.25">
      <c r="A14" s="15" t="s">
        <v>71</v>
      </c>
    </row>
    <row r="15" spans="1:1" x14ac:dyDescent="0.25">
      <c r="A15" s="15" t="s">
        <v>72</v>
      </c>
    </row>
    <row r="16" spans="1:1" x14ac:dyDescent="0.25">
      <c r="A16" s="15" t="s">
        <v>73</v>
      </c>
    </row>
    <row r="17" spans="1:1" x14ac:dyDescent="0.25">
      <c r="A17" s="15" t="s">
        <v>74</v>
      </c>
    </row>
    <row r="18" spans="1:1" x14ac:dyDescent="0.25">
      <c r="A18" s="15" t="s">
        <v>75</v>
      </c>
    </row>
    <row r="19" spans="1:1" x14ac:dyDescent="0.25">
      <c r="A19" s="15" t="s">
        <v>76</v>
      </c>
    </row>
    <row r="20" spans="1:1" x14ac:dyDescent="0.25">
      <c r="A20" s="15" t="s">
        <v>77</v>
      </c>
    </row>
    <row r="21" spans="1:1" x14ac:dyDescent="0.25">
      <c r="A21" s="15" t="s">
        <v>78</v>
      </c>
    </row>
    <row r="22" spans="1:1" x14ac:dyDescent="0.25">
      <c r="A22"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gas-exchange_FOM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2017-12-08T17:20:22Z</dcterms:created>
  <dcterms:modified xsi:type="dcterms:W3CDTF">2022-03-30T13:33:01Z</dcterms:modified>
</cp:coreProperties>
</file>