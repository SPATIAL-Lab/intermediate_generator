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mc:AlternateContent xmlns:mc="http://schemas.openxmlformats.org/markup-compatibility/2006">
    <mc:Choice Requires="x15">
      <x15ac:absPath xmlns:x15ac="http://schemas.microsoft.com/office/spreadsheetml/2010/11/ac" url="/Users/Daphnia/Desktop/paleo-CO2 data base/product/product August 2023/"/>
    </mc:Choice>
  </mc:AlternateContent>
  <xr:revisionPtr revIDLastSave="0" documentId="13_ncr:1_{CF14A163-6372-8040-8FA0-A3F393F9032A}" xr6:coauthVersionLast="47" xr6:coauthVersionMax="47" xr10:uidLastSave="{00000000-0000-0000-0000-000000000000}"/>
  <bookViews>
    <workbookView xWindow="-300" yWindow="500" windowWidth="28800" windowHeight="1630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 l="1"/>
  <c r="K7" i="1"/>
  <c r="J7" i="1"/>
  <c r="I7" i="1"/>
  <c r="H7" i="1"/>
  <c r="G7" i="1"/>
  <c r="F7" i="1"/>
  <c r="L6" i="1"/>
  <c r="K6" i="1"/>
  <c r="J6" i="1"/>
  <c r="G6" i="1"/>
  <c r="F6" i="1"/>
  <c r="L5" i="1"/>
  <c r="K5" i="1"/>
  <c r="J5" i="1"/>
  <c r="I5" i="1"/>
  <c r="H5" i="1"/>
  <c r="G5" i="1"/>
  <c r="F5" i="1"/>
  <c r="AJ7" i="1" l="1"/>
  <c r="AI7" i="1"/>
  <c r="AJ5" i="1"/>
  <c r="AI5" i="1"/>
  <c r="F4" i="1" l="1"/>
  <c r="J4" i="1" l="1"/>
  <c r="L4" i="1"/>
  <c r="K4" i="1"/>
  <c r="G4" i="1"/>
</calcChain>
</file>

<file path=xl/sharedStrings.xml><?xml version="1.0" encoding="utf-8"?>
<sst xmlns="http://schemas.openxmlformats.org/spreadsheetml/2006/main" count="355" uniqueCount="201">
  <si>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</si>
  <si>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</si>
  <si>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</si>
  <si>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</si>
  <si>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</si>
  <si>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</si>
  <si>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</si>
  <si>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</si>
  <si>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</si>
  <si>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</si>
  <si>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</si>
  <si>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</si>
  <si>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</si>
  <si>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</si>
  <si>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</si>
  <si>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</si>
  <si>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</si>
  <si>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</si>
  <si>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</si>
  <si>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</si>
  <si>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</si>
  <si>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</si>
  <si>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</si>
  <si>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</si>
  <si>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</si>
  <si>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</si>
  <si>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</si>
  <si>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</si>
  <si>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</si>
  <si>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</si>
  <si>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</si>
  <si>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</si>
  <si>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</si>
  <si>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</si>
  <si>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</si>
  <si>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</si>
  <si>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</si>
  <si>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</si>
  <si>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</si>
  <si>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</si>
  <si>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</si>
  <si>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</si>
  <si>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</si>
  <si>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</si>
  <si>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</si>
  <si>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</si>
  <si>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</si>
  <si>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</si>
  <si>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</si>
  <si>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</si>
  <si>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</si>
  <si>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</si>
  <si>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</si>
  <si>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</si>
  <si>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</si>
  <si>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</si>
  <si>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</si>
  <si>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</si>
  <si>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</si>
  <si>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</si>
  <si>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</si>
  <si>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</si>
  <si>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</si>
  <si>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</si>
  <si>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</si>
  <si>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</si>
  <si>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</si>
  <si>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</si>
  <si>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</si>
  <si>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</si>
  <si>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</si>
  <si>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</si>
  <si>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</si>
  <si>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</si>
  <si>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</si>
  <si>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</si>
  <si>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</si>
  <si>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</si>
  <si>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</si>
  <si>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</si>
  <si>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</si>
  <si>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</si>
  <si>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</si>
  <si>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</si>
  <si>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</si>
  <si>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</si>
  <si>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</si>
  <si>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</si>
  <si>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</si>
  <si>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</si>
  <si>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</si>
  <si>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</si>
  <si>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</si>
  <si>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</si>
  <si>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</si>
  <si>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</si>
  <si>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</si>
  <si>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</si>
  <si>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</si>
  <si>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</si>
  <si>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</si>
  <si>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</si>
  <si>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</si>
  <si>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</si>
  <si>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</si>
  <si>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</si>
  <si>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</si>
  <si>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</si>
  <si>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</si>
  <si>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</si>
  <si>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</si>
  <si>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</si>
  <si>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</si>
  <si>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</si>
  <si>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</si>
  <si>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</si>
  <si>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</si>
  <si>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</si>
  <si>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</si>
  <si>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</si>
  <si>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</si>
  <si>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</si>
  <si>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</si>
  <si>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</si>
  <si>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</si>
  <si>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</si>
  <si>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</si>
  <si>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</si>
  <si>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</si>
  <si>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</si>
  <si>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</si>
  <si>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</si>
  <si>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</si>
  <si>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</si>
  <si>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2.5 and 97.5 percentiles</t>
  </si>
  <si>
    <t>microscope</t>
  </si>
  <si>
    <t>generic value from Franks et al. (2014); 1 sigma error is 5% of mean</t>
  </si>
  <si>
    <t>proxy</t>
  </si>
  <si>
    <t>first_author_last_name</t>
  </si>
  <si>
    <t>publication_year</t>
  </si>
  <si>
    <t>age_ka</t>
  </si>
  <si>
    <t>Age_uncertainty_pos_ka</t>
  </si>
  <si>
    <t>Age_uncertainty_neg_ka</t>
  </si>
  <si>
    <t>stomata-franks</t>
  </si>
  <si>
    <t>true/false</t>
  </si>
  <si>
    <t>name of person entering product data</t>
  </si>
  <si>
    <t>email of person entering product data</t>
  </si>
  <si>
    <t>specify reason for age revision</t>
  </si>
  <si>
    <t>droyer@wesleyan.edu</t>
  </si>
  <si>
    <t>specify reason for quarantine</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</si>
  <si>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</si>
  <si>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</si>
  <si>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</si>
  <si>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</si>
  <si>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</si>
  <si>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</si>
  <si>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</si>
  <si>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</si>
  <si>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</si>
  <si>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</si>
  <si>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</si>
  <si>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</si>
  <si>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</si>
  <si>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</si>
  <si>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</si>
  <si>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</si>
  <si>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</si>
  <si>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</si>
  <si>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sp.</t>
  </si>
  <si>
    <t>AF1405</t>
  </si>
  <si>
    <t>Platanaceae</t>
  </si>
  <si>
    <t>Platanites</t>
  </si>
  <si>
    <t>Baylor University (Dan Peppe lab)</t>
  </si>
  <si>
    <t>Nacimiento Formation</t>
  </si>
  <si>
    <t>sediment accumulation rates based on the local stratigraphic position of magnetostratigraphic boundaries; age uncertainty is not reported, but is small</t>
  </si>
  <si>
    <t>right skewed</t>
  </si>
  <si>
    <t>200 x 200 um for stomatal density (200x); stomatal size measured at 400x</t>
  </si>
  <si>
    <t>5 leaves</t>
  </si>
  <si>
    <t>7 leaves</t>
  </si>
  <si>
    <t>Isotope model of Tipple et al. (2010; 10.1029/2009PA001851)</t>
  </si>
  <si>
    <t>based on measurements of Platanus occidentalis reported in the same paper</t>
  </si>
  <si>
    <t>pore length was measured directly, so this scalar has no error</t>
  </si>
  <si>
    <t>no</t>
  </si>
  <si>
    <t>DP1304</t>
  </si>
  <si>
    <t>sediment accumulation rates based on the local stratigraphic position of magnetostratigraphic boundaries</t>
  </si>
  <si>
    <t>10 leaves</t>
  </si>
  <si>
    <t>12 leaves</t>
  </si>
  <si>
    <t>37 leaves</t>
  </si>
  <si>
    <t>AF1528</t>
  </si>
  <si>
    <t>6 leaves</t>
  </si>
  <si>
    <t>8 leaves</t>
  </si>
  <si>
    <t>DP1311</t>
  </si>
  <si>
    <t>9 leaves</t>
  </si>
  <si>
    <t>15 leaves</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</si>
  <si>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</si>
  <si>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Milligan</t>
  </si>
  <si>
    <t>specify reason for choice of category</t>
  </si>
  <si>
    <t>proxy category: enter (1) if all known sources of error have been quantified and/or sensitivity of the CO2 estimate to those sources is small, (2) if data are of high quality but uncertainty estimation is not yet fully constrained, or (3) if data collection method is outdated and/or uncertainty estimation is not fully quantifiable</t>
  </si>
  <si>
    <r>
      <t>Milligan, J. N., Flynn, A. G., Kowalczyk, J. B., Barclay, R. S., Geng, J., Royer, D. L., and Peppe, D. J., 2022, Moderate to elevated atmospheric CO</t>
    </r>
    <r>
      <rPr>
        <vertAlign val="subscript"/>
        <sz val="12"/>
        <color rgb="FF000000"/>
        <rFont val="Calibri"/>
        <family val="2"/>
        <scheme val="minor"/>
      </rPr>
      <t>2</t>
    </r>
    <r>
      <rPr>
        <sz val="12"/>
        <color rgb="FF000000"/>
        <rFont val="Calibri"/>
        <family val="2"/>
        <scheme val="minor"/>
      </rPr>
      <t xml:space="preserve"> during the early Paleocene recorded by </t>
    </r>
    <r>
      <rPr>
        <i/>
        <sz val="12"/>
        <color rgb="FF000000"/>
        <rFont val="Calibri"/>
        <family val="2"/>
        <scheme val="minor"/>
      </rPr>
      <t>Platanites</t>
    </r>
    <r>
      <rPr>
        <sz val="12"/>
        <color rgb="FF000000"/>
        <rFont val="Calibri"/>
        <family val="2"/>
        <scheme val="minor"/>
      </rPr>
      <t xml:space="preserve"> leaves of the San Juan Basin, New Mexico: Paleoceanography and Paleoclimatology, v. 37, e2021PA004408, doi: 10.1029/2021PA004408.</t>
    </r>
  </si>
  <si>
    <t>10.1029/2021PA004408</t>
  </si>
  <si>
    <t>assumed 50 ka age 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</si>
</sst>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theme="1"/>
      <name val="Calibri"/>
      <family val="2"/>
      <scheme val="minor"/>
    </font>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8"/>
      <name val="Calibri"/>
      <family val="2"/>
      <scheme val="minor"/>
    </font>
    <font>
      <vertAlign val="subscript"/>
      <sz val="12"/>
      <color rgb="FF000000"/>
      <name val="Calibri"/>
      <family val="2"/>
      <scheme val="minor"/>
    </font>
    <font>
      <i/>
      <sz val="12"/>
      <color rgb="FF000000"/>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3">
    <xf numFmtId="0" fontId="0" fillId="0" borderId="0" xfId="0"/>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1" xfId="0" applyBorder="1" applyAlignment="1">
      <alignment wrapText="1"/>
    </xf>
    <xf numFmtId="0" fontId="2" fillId="0" borderId="0" xfId="0" applyFont="1" applyAlignment="1">
      <alignment vertical="center"/>
    </xf>
    <xf numFmtId="0" fontId="2" fillId="0" borderId="0" xfId="0" applyFont="1" applyAlignment="1">
      <alignment wrapText="1"/>
    </xf>
    <xf numFmtId="0" fontId="2" fillId="0" borderId="0" xfId="0" applyFont="1" applyAlignment="1">
      <alignment vertical="top"/>
    </xf>
    <xf numFmtId="0" fontId="2" fillId="0" borderId="0" xfId="0" applyFont="1"/>
    <xf numFmtId="0" fontId="2" fillId="0" borderId="0" xfId="0" applyFont="1"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vertical="top"/>
    </xf>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quotePrefix="1" applyBorder="1" applyAlignment="1">
      <alignment wrapText="1"/>
    </xf>
    <xf numFmtId="0" fontId="0" fillId="0" borderId="3" xfId="0" quotePrefix="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3" fillId="0" borderId="0" xfId="0" applyFont="1" applyAlignment="1">
      <alignment vertical="top" wrapText="1"/>
    </xf>
    <xf numFmtId="0" fontId="5" fillId="0" borderId="0" xfId="0" applyFont="1" applyAlignment="1">
      <alignment horizontal="center" vertical="center" wrapText="1"/>
    </xf>
    <xf numFmtId="0" fontId="4" fillId="0" borderId="0" xfId="0" applyFont="1" applyAlignment="1">
      <alignment horizontal="center" vertical="top" wrapText="1"/>
    </xf>
    <xf numFmtId="0" fontId="4" fillId="0" borderId="0" xfId="0" applyFont="1"/>
    <xf numFmtId="0" fontId="6" fillId="0" borderId="0" xfId="0" applyFont="1"/>
    <xf numFmtId="1" fontId="0" fillId="0" borderId="0" xfId="0" applyNumberFormat="1"/>
    <xf numFmtId="1" fontId="6" fillId="0" borderId="0" xfId="0" applyNumberFormat="1" applyFont="1"/>
    <xf numFmtId="164" fontId="2" fillId="0" borderId="0" xfId="0" applyNumberFormat="1" applyFont="1"/>
    <xf numFmtId="11" fontId="0" fillId="0" borderId="0" xfId="0" applyNumberFormat="1"/>
    <xf numFmtId="11" fontId="2" fillId="0" borderId="0" xfId="0" applyNumberFormat="1" applyFont="1" applyAlignment="1">
      <alignment horizontal="right"/>
    </xf>
    <xf numFmtId="164" fontId="0" fillId="0" borderId="0" xfId="0" applyNumberFormat="1"/>
    <xf numFmtId="0" fontId="0" fillId="0" borderId="0" xfId="0" applyAlignment="1">
      <alignment horizontal="left"/>
    </xf>
    <xf numFmtId="164" fontId="0" fillId="0" borderId="0" xfId="0" applyNumberFormat="1" applyAlignment="1">
      <alignment horizontal="right"/>
    </xf>
    <xf numFmtId="0" fontId="0" fillId="0" borderId="0" xfId="0" applyAlignment="1">
      <alignment horizontal="right"/>
    </xf>
    <xf numFmtId="0" fontId="2" fillId="0" borderId="0" xfId="0" applyFont="1" applyAlignment="1">
      <alignment horizontal="left"/>
    </xf>
    <xf numFmtId="11" fontId="0" fillId="0" borderId="0" xfId="1" applyNumberFormat="1" applyFont="1" applyAlignment="1">
      <alignment horizontal="right"/>
    </xf>
    <xf numFmtId="11" fontId="0" fillId="0" borderId="0" xfId="1" applyNumberFormat="1" applyFont="1" applyAlignment="1">
      <alignment horizontal="right" vertical="center"/>
    </xf>
    <xf numFmtId="2" fontId="0" fillId="0" borderId="0" xfId="1" applyNumberFormat="1" applyFont="1" applyAlignment="1">
      <alignment horizontal="right" vertical="center"/>
    </xf>
    <xf numFmtId="164" fontId="0" fillId="0" borderId="0" xfId="1" applyNumberFormat="1" applyFont="1" applyAlignment="1">
      <alignment horizontal="right" vertical="center"/>
    </xf>
    <xf numFmtId="0" fontId="0" fillId="0" borderId="0" xfId="0" applyAlignment="1">
      <alignment horizontal="center"/>
    </xf>
  </cellXfs>
  <cellStyles count="2">
    <cellStyle name="Normal" xfId="0" builtinId="0"/>
    <cellStyle name="Normal 2" xfId="1" xr:uid="{A8A87BED-63A4-41E4-84E3-3C66627E19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17"/>
  <sheetViews>
    <sheetView tabSelected="1" workbookViewId="0">
      <pane ySplit="3" topLeftCell="A4" activePane="bottomLeft" state="frozen"/>
      <selection pane="bottomLeft" activeCell="X11" sqref="X11"/>
    </sheetView>
  </sheetViews>
  <sheetFormatPr baseColWidth="10" defaultColWidth="11" defaultRowHeight="16" x14ac:dyDescent="0.2"/>
  <cols>
    <col min="33" max="33" width="11.6640625" customWidth="1"/>
    <col min="35" max="35" width="11.83203125" customWidth="1"/>
    <col min="36" max="36" width="12.33203125" customWidth="1"/>
    <col min="38" max="38" width="11.83203125" customWidth="1"/>
    <col min="43" max="43" width="15.33203125" customWidth="1"/>
    <col min="48" max="48" width="13.1640625" customWidth="1"/>
  </cols>
  <sheetData>
    <row r="2" spans="1:104" x14ac:dyDescent="0.2">
      <c r="A2" s="10"/>
      <c r="B2" s="11"/>
      <c r="C2" s="11"/>
      <c r="D2" s="11"/>
      <c r="E2" s="11"/>
      <c r="F2" s="11"/>
      <c r="G2" s="11"/>
      <c r="H2" s="11"/>
      <c r="I2" s="11"/>
      <c r="J2" s="11"/>
      <c r="K2" s="11"/>
      <c r="L2" s="12"/>
      <c r="M2" s="13" t="s">
        <v>144</v>
      </c>
      <c r="N2" s="13"/>
      <c r="O2" s="13"/>
      <c r="P2" s="13"/>
      <c r="R2" s="14"/>
      <c r="S2" s="42"/>
      <c r="T2" s="42"/>
      <c r="U2" s="42"/>
      <c r="V2" s="42"/>
      <c r="W2" s="42"/>
      <c r="X2" s="14"/>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8" t="s">
        <v>4</v>
      </c>
      <c r="AZ2" s="8" t="s">
        <v>5</v>
      </c>
      <c r="BA2" s="8" t="s">
        <v>6</v>
      </c>
      <c r="BB2" s="8" t="s">
        <v>7</v>
      </c>
      <c r="BC2" s="8" t="s">
        <v>8</v>
      </c>
      <c r="BD2" s="8" t="s">
        <v>9</v>
      </c>
      <c r="BE2" s="8" t="s">
        <v>10</v>
      </c>
      <c r="BF2" s="8" t="s">
        <v>11</v>
      </c>
      <c r="BG2" s="8" t="s">
        <v>12</v>
      </c>
      <c r="BH2" s="8" t="s">
        <v>13</v>
      </c>
      <c r="BI2" s="8" t="s">
        <v>14</v>
      </c>
      <c r="BJ2" s="8" t="s">
        <v>15</v>
      </c>
      <c r="BK2" s="8" t="s">
        <v>16</v>
      </c>
      <c r="BL2" s="8" t="s">
        <v>17</v>
      </c>
      <c r="BM2" s="8" t="s">
        <v>18</v>
      </c>
      <c r="BN2" s="8" t="s">
        <v>19</v>
      </c>
      <c r="BO2" s="8" t="s">
        <v>20</v>
      </c>
      <c r="BP2" s="8" t="s">
        <v>21</v>
      </c>
      <c r="BQ2" s="8" t="s">
        <v>22</v>
      </c>
      <c r="BR2" s="8" t="s">
        <v>23</v>
      </c>
      <c r="BS2" s="8" t="s">
        <v>24</v>
      </c>
      <c r="BT2" s="8" t="s">
        <v>25</v>
      </c>
      <c r="BU2" s="8" t="s">
        <v>26</v>
      </c>
      <c r="BV2" s="8" t="s">
        <v>27</v>
      </c>
      <c r="BW2" s="8" t="s">
        <v>28</v>
      </c>
      <c r="BX2" s="8" t="s">
        <v>29</v>
      </c>
      <c r="BY2" s="8" t="s">
        <v>30</v>
      </c>
      <c r="BZ2" s="8" t="s">
        <v>31</v>
      </c>
      <c r="CA2" s="8" t="s">
        <v>32</v>
      </c>
      <c r="CB2" s="8" t="s">
        <v>33</v>
      </c>
      <c r="CC2" s="8" t="s">
        <v>34</v>
      </c>
      <c r="CD2" s="8" t="s">
        <v>35</v>
      </c>
      <c r="CE2" s="8" t="s">
        <v>36</v>
      </c>
      <c r="CF2" s="8" t="s">
        <v>37</v>
      </c>
      <c r="CG2" s="8" t="s">
        <v>38</v>
      </c>
      <c r="CH2" s="8" t="s">
        <v>39</v>
      </c>
      <c r="CI2" s="8" t="s">
        <v>40</v>
      </c>
      <c r="CJ2" s="8" t="s">
        <v>41</v>
      </c>
      <c r="CK2" s="8" t="s">
        <v>42</v>
      </c>
      <c r="CL2" s="8" t="s">
        <v>43</v>
      </c>
      <c r="CM2" s="8" t="s">
        <v>44</v>
      </c>
      <c r="CN2" s="8" t="s">
        <v>45</v>
      </c>
      <c r="CO2" s="8" t="s">
        <v>46</v>
      </c>
      <c r="CP2" s="8" t="s">
        <v>47</v>
      </c>
      <c r="CQ2" s="8" t="s">
        <v>48</v>
      </c>
      <c r="CR2" s="8" t="s">
        <v>49</v>
      </c>
      <c r="CS2" s="8" t="s">
        <v>50</v>
      </c>
      <c r="CT2" s="8" t="s">
        <v>51</v>
      </c>
      <c r="CU2" s="8" t="s">
        <v>52</v>
      </c>
      <c r="CV2" s="8" t="s">
        <v>194</v>
      </c>
      <c r="CW2" s="8" t="s">
        <v>53</v>
      </c>
      <c r="CX2" s="8" t="s">
        <v>54</v>
      </c>
      <c r="CY2" s="8" t="s">
        <v>55</v>
      </c>
      <c r="CZ2" s="8" t="s">
        <v>56</v>
      </c>
    </row>
    <row r="3" spans="1:104" s="26" customFormat="1" ht="105" customHeight="1" x14ac:dyDescent="0.2">
      <c r="A3" s="16" t="s">
        <v>145</v>
      </c>
      <c r="B3" s="17" t="s">
        <v>146</v>
      </c>
      <c r="C3" s="18" t="s">
        <v>137</v>
      </c>
      <c r="D3" s="1" t="s">
        <v>138</v>
      </c>
      <c r="E3" s="1" t="s">
        <v>139</v>
      </c>
      <c r="F3" s="11" t="s">
        <v>57</v>
      </c>
      <c r="G3" s="11" t="s">
        <v>140</v>
      </c>
      <c r="H3" s="19" t="s">
        <v>141</v>
      </c>
      <c r="I3" s="19" t="s">
        <v>142</v>
      </c>
      <c r="J3" s="1" t="s">
        <v>150</v>
      </c>
      <c r="K3" s="19" t="s">
        <v>151</v>
      </c>
      <c r="L3" s="20" t="s">
        <v>161</v>
      </c>
      <c r="M3" s="1" t="s">
        <v>152</v>
      </c>
      <c r="N3" s="1" t="s">
        <v>197</v>
      </c>
      <c r="O3" s="1" t="s">
        <v>196</v>
      </c>
      <c r="P3" s="1" t="s">
        <v>153</v>
      </c>
      <c r="Q3" s="2" t="s">
        <v>154</v>
      </c>
      <c r="R3" s="3" t="s">
        <v>155</v>
      </c>
      <c r="S3" s="4" t="s">
        <v>156</v>
      </c>
      <c r="T3" s="1" t="s">
        <v>157</v>
      </c>
      <c r="U3" s="1" t="s">
        <v>149</v>
      </c>
      <c r="V3" s="1" t="s">
        <v>158</v>
      </c>
      <c r="W3" s="21" t="s">
        <v>159</v>
      </c>
      <c r="X3" s="22" t="s">
        <v>147</v>
      </c>
      <c r="Y3" s="23" t="s">
        <v>162</v>
      </c>
      <c r="Z3" s="23" t="s">
        <v>163</v>
      </c>
      <c r="AA3" s="23" t="s">
        <v>58</v>
      </c>
      <c r="AB3" s="23" t="s">
        <v>59</v>
      </c>
      <c r="AC3" s="23" t="s">
        <v>60</v>
      </c>
      <c r="AD3" s="23" t="s">
        <v>61</v>
      </c>
      <c r="AE3" s="23" t="s">
        <v>62</v>
      </c>
      <c r="AF3" s="23" t="s">
        <v>63</v>
      </c>
      <c r="AG3" s="23" t="s">
        <v>64</v>
      </c>
      <c r="AH3" s="23" t="s">
        <v>65</v>
      </c>
      <c r="AI3" s="23" t="s">
        <v>66</v>
      </c>
      <c r="AJ3" s="23" t="s">
        <v>67</v>
      </c>
      <c r="AK3" s="23" t="s">
        <v>68</v>
      </c>
      <c r="AL3" s="23" t="s">
        <v>69</v>
      </c>
      <c r="AM3" s="23" t="s">
        <v>164</v>
      </c>
      <c r="AN3" s="23" t="s">
        <v>165</v>
      </c>
      <c r="AO3" s="24" t="s">
        <v>166</v>
      </c>
      <c r="AP3" s="24" t="s">
        <v>167</v>
      </c>
      <c r="AQ3" s="23" t="s">
        <v>70</v>
      </c>
      <c r="AR3" s="23" t="s">
        <v>71</v>
      </c>
      <c r="AS3" s="23" t="s">
        <v>72</v>
      </c>
      <c r="AT3" s="23" t="s">
        <v>73</v>
      </c>
      <c r="AU3" s="23" t="s">
        <v>74</v>
      </c>
      <c r="AV3" s="23" t="s">
        <v>75</v>
      </c>
      <c r="AW3" s="25" t="s">
        <v>76</v>
      </c>
      <c r="AX3" s="25" t="s">
        <v>77</v>
      </c>
      <c r="AY3" s="23" t="s">
        <v>78</v>
      </c>
      <c r="AZ3" s="23" t="s">
        <v>79</v>
      </c>
      <c r="BA3" s="23" t="s">
        <v>80</v>
      </c>
      <c r="BB3" s="23" t="s">
        <v>81</v>
      </c>
      <c r="BC3" s="23" t="s">
        <v>82</v>
      </c>
      <c r="BD3" s="23" t="s">
        <v>83</v>
      </c>
      <c r="BE3" s="23" t="s">
        <v>84</v>
      </c>
      <c r="BF3" s="23" t="s">
        <v>85</v>
      </c>
      <c r="BG3" s="23" t="s">
        <v>86</v>
      </c>
      <c r="BH3" s="23" t="s">
        <v>87</v>
      </c>
      <c r="BI3" s="23" t="s">
        <v>88</v>
      </c>
      <c r="BJ3" s="23" t="s">
        <v>89</v>
      </c>
      <c r="BK3" s="23" t="s">
        <v>90</v>
      </c>
      <c r="BL3" s="23" t="s">
        <v>91</v>
      </c>
      <c r="BM3" s="23" t="s">
        <v>92</v>
      </c>
      <c r="BN3" s="23" t="s">
        <v>93</v>
      </c>
      <c r="BO3" s="23" t="s">
        <v>94</v>
      </c>
      <c r="BP3" s="23" t="s">
        <v>95</v>
      </c>
      <c r="BQ3" s="23" t="s">
        <v>96</v>
      </c>
      <c r="BR3" s="23" t="s">
        <v>97</v>
      </c>
      <c r="BS3" s="23" t="s">
        <v>98</v>
      </c>
      <c r="BT3" s="23" t="s">
        <v>99</v>
      </c>
      <c r="BU3" s="23" t="s">
        <v>100</v>
      </c>
      <c r="BV3" s="23" t="s">
        <v>101</v>
      </c>
      <c r="BW3" s="23" t="s">
        <v>102</v>
      </c>
      <c r="BX3" s="23" t="s">
        <v>103</v>
      </c>
      <c r="BY3" s="23" t="s">
        <v>104</v>
      </c>
      <c r="BZ3" s="23" t="s">
        <v>105</v>
      </c>
      <c r="CA3" s="23" t="s">
        <v>106</v>
      </c>
      <c r="CB3" s="23" t="s">
        <v>107</v>
      </c>
      <c r="CC3" s="23" t="s">
        <v>108</v>
      </c>
      <c r="CD3" s="23" t="s">
        <v>109</v>
      </c>
      <c r="CE3" s="23" t="s">
        <v>110</v>
      </c>
      <c r="CF3" s="23" t="s">
        <v>111</v>
      </c>
      <c r="CG3" s="23" t="s">
        <v>112</v>
      </c>
      <c r="CH3" s="23" t="s">
        <v>113</v>
      </c>
      <c r="CI3" s="23" t="s">
        <v>114</v>
      </c>
      <c r="CJ3" s="23" t="s">
        <v>115</v>
      </c>
      <c r="CK3" s="23" t="s">
        <v>116</v>
      </c>
      <c r="CL3" s="23" t="s">
        <v>117</v>
      </c>
      <c r="CM3" s="23" t="s">
        <v>118</v>
      </c>
      <c r="CN3" s="23" t="s">
        <v>119</v>
      </c>
      <c r="CO3" s="23" t="s">
        <v>120</v>
      </c>
      <c r="CP3" s="23" t="s">
        <v>121</v>
      </c>
      <c r="CQ3" s="23" t="s">
        <v>122</v>
      </c>
      <c r="CR3" s="23" t="s">
        <v>123</v>
      </c>
      <c r="CS3" s="23" t="s">
        <v>124</v>
      </c>
      <c r="CT3" s="23" t="s">
        <v>125</v>
      </c>
      <c r="CU3" s="23" t="s">
        <v>126</v>
      </c>
      <c r="CV3" s="23" t="s">
        <v>127</v>
      </c>
      <c r="CW3" s="23" t="s">
        <v>128</v>
      </c>
      <c r="CX3" s="23" t="s">
        <v>129</v>
      </c>
      <c r="CY3" s="23" t="s">
        <v>130</v>
      </c>
      <c r="CZ3" s="23" t="s">
        <v>131</v>
      </c>
    </row>
    <row r="4" spans="1:104" ht="18" x14ac:dyDescent="0.25">
      <c r="A4" t="s">
        <v>132</v>
      </c>
      <c r="B4" t="s">
        <v>148</v>
      </c>
      <c r="C4" t="s">
        <v>143</v>
      </c>
      <c r="D4" t="s">
        <v>195</v>
      </c>
      <c r="E4">
        <v>2022</v>
      </c>
      <c r="F4" t="str">
        <f>Z4</f>
        <v>10.1029/2021PA004408</v>
      </c>
      <c r="G4" s="27">
        <f t="shared" ref="G4" si="0">AH4*1000</f>
        <v>65650</v>
      </c>
      <c r="H4" s="8">
        <v>50</v>
      </c>
      <c r="I4" s="8">
        <v>50</v>
      </c>
      <c r="J4" s="28">
        <f>AQ4</f>
        <v>1143</v>
      </c>
      <c r="K4" s="29">
        <f>AT4-AQ4</f>
        <v>245</v>
      </c>
      <c r="L4" s="29">
        <f>AQ4-AS4</f>
        <v>192</v>
      </c>
      <c r="M4" t="b">
        <v>1</v>
      </c>
      <c r="N4">
        <v>1</v>
      </c>
      <c r="O4" t="s">
        <v>160</v>
      </c>
      <c r="P4" t="s">
        <v>160</v>
      </c>
      <c r="Q4" t="b">
        <v>0</v>
      </c>
      <c r="R4" t="s">
        <v>160</v>
      </c>
      <c r="S4" t="b">
        <v>0</v>
      </c>
      <c r="T4" t="b">
        <v>0</v>
      </c>
      <c r="U4" t="s">
        <v>160</v>
      </c>
      <c r="V4" t="s">
        <v>160</v>
      </c>
      <c r="W4" t="b">
        <v>0</v>
      </c>
      <c r="X4" t="s">
        <v>200</v>
      </c>
      <c r="Y4" s="37" t="s">
        <v>198</v>
      </c>
      <c r="Z4" s="8" t="s">
        <v>199</v>
      </c>
      <c r="AA4" s="7" t="s">
        <v>169</v>
      </c>
      <c r="AB4" s="8" t="s">
        <v>170</v>
      </c>
      <c r="AC4" s="8" t="s">
        <v>171</v>
      </c>
      <c r="AD4" s="8" t="s">
        <v>168</v>
      </c>
      <c r="AE4" s="8" t="s">
        <v>172</v>
      </c>
      <c r="AF4" s="8" t="s">
        <v>173</v>
      </c>
      <c r="AG4" s="8" t="s">
        <v>160</v>
      </c>
      <c r="AH4" s="30">
        <v>65.650000000000006</v>
      </c>
      <c r="AI4" s="8" t="s">
        <v>160</v>
      </c>
      <c r="AJ4" s="8" t="s">
        <v>160</v>
      </c>
      <c r="AK4" s="8" t="s">
        <v>160</v>
      </c>
      <c r="AL4" s="8" t="s">
        <v>174</v>
      </c>
      <c r="AM4" s="8" t="s">
        <v>160</v>
      </c>
      <c r="AN4" s="8" t="s">
        <v>160</v>
      </c>
      <c r="AO4" s="8" t="s">
        <v>160</v>
      </c>
      <c r="AP4" s="8" t="s">
        <v>160</v>
      </c>
      <c r="AQ4" s="8">
        <v>1143</v>
      </c>
      <c r="AR4" s="8" t="s">
        <v>133</v>
      </c>
      <c r="AS4" s="8">
        <v>951</v>
      </c>
      <c r="AT4" s="8">
        <v>1388</v>
      </c>
      <c r="AU4" s="8" t="s">
        <v>134</v>
      </c>
      <c r="AV4" s="8" t="s">
        <v>175</v>
      </c>
      <c r="AW4" s="8" t="s">
        <v>135</v>
      </c>
      <c r="AX4" s="8" t="s">
        <v>176</v>
      </c>
      <c r="AY4" s="31">
        <v>246000000</v>
      </c>
      <c r="AZ4" s="31">
        <v>6300000</v>
      </c>
      <c r="BA4" s="8" t="s">
        <v>177</v>
      </c>
      <c r="BB4" s="32">
        <v>0</v>
      </c>
      <c r="BC4" s="32">
        <v>0</v>
      </c>
      <c r="BD4" s="8" t="s">
        <v>177</v>
      </c>
      <c r="BE4" s="31">
        <v>1.47E-5</v>
      </c>
      <c r="BF4" s="31">
        <v>5.5199999999999997E-7</v>
      </c>
      <c r="BG4" s="8" t="s">
        <v>178</v>
      </c>
      <c r="BH4" s="32">
        <v>0</v>
      </c>
      <c r="BI4" s="32">
        <v>0</v>
      </c>
      <c r="BJ4" s="8" t="s">
        <v>178</v>
      </c>
      <c r="BK4" s="31">
        <v>6.3899999999999998E-6</v>
      </c>
      <c r="BL4" s="31">
        <v>2.3699999999999999E-7</v>
      </c>
      <c r="BM4" s="8" t="s">
        <v>178</v>
      </c>
      <c r="BN4" s="32">
        <v>0</v>
      </c>
      <c r="BO4" s="32">
        <v>0</v>
      </c>
      <c r="BP4" s="8" t="s">
        <v>178</v>
      </c>
      <c r="BQ4">
        <v>-28.9</v>
      </c>
      <c r="BR4">
        <v>0.2</v>
      </c>
      <c r="BS4" s="8" t="s">
        <v>177</v>
      </c>
      <c r="BT4" s="33">
        <v>-4.8</v>
      </c>
      <c r="BU4" s="33">
        <v>0.2</v>
      </c>
      <c r="BV4" s="8" t="s">
        <v>179</v>
      </c>
      <c r="BW4">
        <v>384</v>
      </c>
      <c r="BX4">
        <v>12.15</v>
      </c>
      <c r="BY4">
        <v>0.35</v>
      </c>
      <c r="BZ4" s="8" t="s">
        <v>180</v>
      </c>
      <c r="CA4">
        <v>0.74</v>
      </c>
      <c r="CB4">
        <v>0.01</v>
      </c>
      <c r="CC4" s="8" t="s">
        <v>180</v>
      </c>
      <c r="CD4">
        <v>2</v>
      </c>
      <c r="CE4">
        <v>0.1</v>
      </c>
      <c r="CF4" s="8" t="s">
        <v>136</v>
      </c>
      <c r="CG4">
        <v>1</v>
      </c>
      <c r="CH4">
        <v>0</v>
      </c>
      <c r="CI4" s="8" t="s">
        <v>181</v>
      </c>
      <c r="CJ4">
        <v>1</v>
      </c>
      <c r="CK4">
        <v>0.05</v>
      </c>
      <c r="CL4" s="8" t="s">
        <v>136</v>
      </c>
      <c r="CM4">
        <v>1</v>
      </c>
      <c r="CN4">
        <v>0.05</v>
      </c>
      <c r="CO4" s="8" t="s">
        <v>136</v>
      </c>
      <c r="CP4">
        <v>0.08</v>
      </c>
      <c r="CQ4">
        <v>5.0000000000000001E-3</v>
      </c>
      <c r="CR4" s="8" t="s">
        <v>180</v>
      </c>
      <c r="CS4">
        <v>1.2999999999999999E-2</v>
      </c>
      <c r="CT4">
        <v>6.4999999999999997E-4</v>
      </c>
      <c r="CU4" s="8" t="s">
        <v>136</v>
      </c>
      <c r="CV4" s="8" t="s">
        <v>182</v>
      </c>
      <c r="CW4" s="9">
        <v>30</v>
      </c>
      <c r="CX4" s="9">
        <v>9.4009599999999997E-4</v>
      </c>
      <c r="CY4" s="9">
        <v>40</v>
      </c>
      <c r="CZ4" s="9">
        <v>25</v>
      </c>
    </row>
    <row r="5" spans="1:104" ht="18" x14ac:dyDescent="0.25">
      <c r="A5" t="s">
        <v>132</v>
      </c>
      <c r="B5" t="s">
        <v>148</v>
      </c>
      <c r="C5" t="s">
        <v>143</v>
      </c>
      <c r="D5" t="s">
        <v>195</v>
      </c>
      <c r="E5">
        <v>2022</v>
      </c>
      <c r="F5" t="str">
        <f>Z5</f>
        <v>10.1029/2021PA004408</v>
      </c>
      <c r="G5" s="27">
        <f t="shared" ref="G5:G7" si="1">AH5*1000</f>
        <v>65330</v>
      </c>
      <c r="H5" s="27">
        <f t="shared" ref="H5:H7" si="2">(AI5-AH5)*1000</f>
        <v>49.999999999997158</v>
      </c>
      <c r="I5" s="27">
        <f t="shared" ref="I5:I7" si="3">(AH5-AJ5)*1000</f>
        <v>49.999999999997158</v>
      </c>
      <c r="J5" s="28">
        <f>AQ5</f>
        <v>665</v>
      </c>
      <c r="K5" s="29">
        <f>AT5-AQ5</f>
        <v>131</v>
      </c>
      <c r="L5" s="29">
        <f>AQ5-AS5</f>
        <v>103</v>
      </c>
      <c r="M5" t="b">
        <v>1</v>
      </c>
      <c r="N5">
        <v>1</v>
      </c>
      <c r="O5" t="s">
        <v>160</v>
      </c>
      <c r="P5" t="s">
        <v>160</v>
      </c>
      <c r="Q5" t="b">
        <v>0</v>
      </c>
      <c r="R5" t="s">
        <v>160</v>
      </c>
      <c r="S5" t="b">
        <v>1</v>
      </c>
      <c r="T5" t="b">
        <v>0</v>
      </c>
      <c r="U5" t="s">
        <v>160</v>
      </c>
      <c r="V5" t="s">
        <v>160</v>
      </c>
      <c r="W5" t="b">
        <v>0</v>
      </c>
      <c r="X5" t="s">
        <v>160</v>
      </c>
      <c r="Y5" s="37" t="s">
        <v>198</v>
      </c>
      <c r="Z5" s="8" t="s">
        <v>199</v>
      </c>
      <c r="AA5" s="8" t="s">
        <v>183</v>
      </c>
      <c r="AB5" s="8" t="s">
        <v>170</v>
      </c>
      <c r="AC5" s="8" t="s">
        <v>171</v>
      </c>
      <c r="AD5" s="8" t="s">
        <v>168</v>
      </c>
      <c r="AE5" s="8" t="s">
        <v>172</v>
      </c>
      <c r="AF5" s="8" t="s">
        <v>173</v>
      </c>
      <c r="AG5" s="8" t="s">
        <v>160</v>
      </c>
      <c r="AH5" s="30">
        <v>65.33</v>
      </c>
      <c r="AI5" s="30">
        <f>AH5+0.05</f>
        <v>65.38</v>
      </c>
      <c r="AJ5" s="30">
        <f>AH5-0.05</f>
        <v>65.28</v>
      </c>
      <c r="AK5" s="8" t="s">
        <v>160</v>
      </c>
      <c r="AL5" s="8" t="s">
        <v>184</v>
      </c>
      <c r="AM5" s="8" t="s">
        <v>160</v>
      </c>
      <c r="AN5" s="8" t="s">
        <v>160</v>
      </c>
      <c r="AO5" s="8" t="s">
        <v>160</v>
      </c>
      <c r="AP5" s="8" t="s">
        <v>160</v>
      </c>
      <c r="AQ5" s="8">
        <v>665</v>
      </c>
      <c r="AR5" s="8" t="s">
        <v>133</v>
      </c>
      <c r="AS5" s="8">
        <v>562</v>
      </c>
      <c r="AT5" s="8">
        <v>796</v>
      </c>
      <c r="AU5" s="8" t="s">
        <v>134</v>
      </c>
      <c r="AV5" s="8" t="s">
        <v>175</v>
      </c>
      <c r="AW5" s="8" t="s">
        <v>135</v>
      </c>
      <c r="AX5" s="8" t="s">
        <v>176</v>
      </c>
      <c r="AY5" s="31">
        <v>281000000</v>
      </c>
      <c r="AZ5" s="31">
        <v>15000000</v>
      </c>
      <c r="BA5" s="8" t="s">
        <v>185</v>
      </c>
      <c r="BB5" s="32">
        <v>0</v>
      </c>
      <c r="BC5" s="32">
        <v>0</v>
      </c>
      <c r="BD5" s="8" t="s">
        <v>185</v>
      </c>
      <c r="BE5" s="31">
        <v>1.36E-5</v>
      </c>
      <c r="BF5" s="31">
        <v>3.9200000000000002E-7</v>
      </c>
      <c r="BG5" s="8" t="s">
        <v>186</v>
      </c>
      <c r="BH5" s="32">
        <v>0</v>
      </c>
      <c r="BI5" s="32">
        <v>0</v>
      </c>
      <c r="BJ5" s="8" t="s">
        <v>186</v>
      </c>
      <c r="BK5" s="31">
        <v>6.2099999999999998E-6</v>
      </c>
      <c r="BL5" s="31">
        <v>1.7499999999999999E-7</v>
      </c>
      <c r="BM5" s="8" t="s">
        <v>186</v>
      </c>
      <c r="BN5" s="32">
        <v>0</v>
      </c>
      <c r="BO5" s="32">
        <v>0</v>
      </c>
      <c r="BP5" s="8" t="s">
        <v>186</v>
      </c>
      <c r="BQ5">
        <v>-26.4</v>
      </c>
      <c r="BR5">
        <v>0.2</v>
      </c>
      <c r="BS5" s="8" t="s">
        <v>187</v>
      </c>
      <c r="BT5" s="33">
        <v>-5</v>
      </c>
      <c r="BU5" s="33">
        <v>0.2</v>
      </c>
      <c r="BV5" s="8" t="s">
        <v>179</v>
      </c>
      <c r="BW5">
        <v>384</v>
      </c>
      <c r="BX5">
        <v>12.15</v>
      </c>
      <c r="BY5">
        <v>0.35</v>
      </c>
      <c r="BZ5" s="8" t="s">
        <v>180</v>
      </c>
      <c r="CA5">
        <v>0.74</v>
      </c>
      <c r="CB5">
        <v>0.01</v>
      </c>
      <c r="CC5" s="8" t="s">
        <v>180</v>
      </c>
      <c r="CD5">
        <v>2</v>
      </c>
      <c r="CE5">
        <v>0.1</v>
      </c>
      <c r="CF5" s="8" t="s">
        <v>136</v>
      </c>
      <c r="CG5">
        <v>1</v>
      </c>
      <c r="CH5">
        <v>0</v>
      </c>
      <c r="CI5" s="8" t="s">
        <v>181</v>
      </c>
      <c r="CJ5">
        <v>1</v>
      </c>
      <c r="CK5">
        <v>0.05</v>
      </c>
      <c r="CL5" s="8" t="s">
        <v>136</v>
      </c>
      <c r="CM5">
        <v>1</v>
      </c>
      <c r="CN5">
        <v>0.05</v>
      </c>
      <c r="CO5" s="8" t="s">
        <v>136</v>
      </c>
      <c r="CP5">
        <v>0.08</v>
      </c>
      <c r="CQ5">
        <v>5.0000000000000001E-3</v>
      </c>
      <c r="CR5" s="8" t="s">
        <v>180</v>
      </c>
      <c r="CS5">
        <v>1.2999999999999999E-2</v>
      </c>
      <c r="CT5">
        <v>6.4999999999999997E-4</v>
      </c>
      <c r="CU5" s="8" t="s">
        <v>136</v>
      </c>
      <c r="CV5" s="8" t="s">
        <v>182</v>
      </c>
      <c r="CW5" s="9">
        <v>30</v>
      </c>
      <c r="CX5" s="9">
        <v>9.4009599999999997E-4</v>
      </c>
      <c r="CY5" s="9">
        <v>40</v>
      </c>
      <c r="CZ5" s="9">
        <v>25</v>
      </c>
    </row>
    <row r="6" spans="1:104" ht="18" x14ac:dyDescent="0.25">
      <c r="A6" t="s">
        <v>132</v>
      </c>
      <c r="B6" t="s">
        <v>148</v>
      </c>
      <c r="C6" t="s">
        <v>143</v>
      </c>
      <c r="D6" t="s">
        <v>195</v>
      </c>
      <c r="E6">
        <v>2022</v>
      </c>
      <c r="F6" t="str">
        <f>Z6</f>
        <v>10.1029/2021PA004408</v>
      </c>
      <c r="G6" s="27">
        <f t="shared" si="1"/>
        <v>64800</v>
      </c>
      <c r="H6" s="8">
        <v>50</v>
      </c>
      <c r="I6" s="8">
        <v>50</v>
      </c>
      <c r="J6" s="28">
        <f>AQ6</f>
        <v>1002</v>
      </c>
      <c r="K6" s="29">
        <f>AT6-AQ6</f>
        <v>325</v>
      </c>
      <c r="L6" s="29">
        <f>AQ6-AS6</f>
        <v>226</v>
      </c>
      <c r="M6" t="b">
        <v>1</v>
      </c>
      <c r="N6">
        <v>1</v>
      </c>
      <c r="O6" t="s">
        <v>160</v>
      </c>
      <c r="P6" t="s">
        <v>160</v>
      </c>
      <c r="Q6" t="b">
        <v>0</v>
      </c>
      <c r="R6" t="s">
        <v>160</v>
      </c>
      <c r="S6" t="b">
        <v>0</v>
      </c>
      <c r="T6" t="b">
        <v>0</v>
      </c>
      <c r="U6" t="s">
        <v>160</v>
      </c>
      <c r="V6" t="s">
        <v>160</v>
      </c>
      <c r="W6" t="b">
        <v>0</v>
      </c>
      <c r="X6" t="s">
        <v>200</v>
      </c>
      <c r="Y6" s="37" t="s">
        <v>198</v>
      </c>
      <c r="Z6" s="8" t="s">
        <v>199</v>
      </c>
      <c r="AA6" s="34" t="s">
        <v>188</v>
      </c>
      <c r="AB6" s="8" t="s">
        <v>170</v>
      </c>
      <c r="AC6" s="8" t="s">
        <v>171</v>
      </c>
      <c r="AD6" s="8" t="s">
        <v>168</v>
      </c>
      <c r="AE6" s="8" t="s">
        <v>172</v>
      </c>
      <c r="AF6" s="8" t="s">
        <v>173</v>
      </c>
      <c r="AG6" s="8" t="s">
        <v>160</v>
      </c>
      <c r="AH6" s="35">
        <v>64.8</v>
      </c>
      <c r="AI6" s="8" t="s">
        <v>160</v>
      </c>
      <c r="AJ6" s="8" t="s">
        <v>160</v>
      </c>
      <c r="AK6" s="8" t="s">
        <v>160</v>
      </c>
      <c r="AL6" s="8" t="s">
        <v>174</v>
      </c>
      <c r="AM6" s="8" t="s">
        <v>160</v>
      </c>
      <c r="AN6" s="8" t="s">
        <v>160</v>
      </c>
      <c r="AO6" s="8" t="s">
        <v>160</v>
      </c>
      <c r="AP6" s="8" t="s">
        <v>160</v>
      </c>
      <c r="AQ6" s="36">
        <v>1002</v>
      </c>
      <c r="AR6" s="37" t="s">
        <v>133</v>
      </c>
      <c r="AS6" s="36">
        <v>776</v>
      </c>
      <c r="AT6" s="36">
        <v>1327</v>
      </c>
      <c r="AU6" s="37" t="s">
        <v>134</v>
      </c>
      <c r="AV6" s="37" t="s">
        <v>175</v>
      </c>
      <c r="AW6" s="37" t="s">
        <v>135</v>
      </c>
      <c r="AX6" s="8" t="s">
        <v>176</v>
      </c>
      <c r="AY6" s="38">
        <v>239000000</v>
      </c>
      <c r="AZ6" s="39">
        <v>26000000</v>
      </c>
      <c r="BA6" s="37" t="s">
        <v>189</v>
      </c>
      <c r="BB6" s="32">
        <v>0</v>
      </c>
      <c r="BC6" s="32">
        <v>0</v>
      </c>
      <c r="BD6" s="37" t="s">
        <v>189</v>
      </c>
      <c r="BE6" s="39">
        <v>1.2099999999999999E-5</v>
      </c>
      <c r="BF6" s="39">
        <v>6.92E-7</v>
      </c>
      <c r="BG6" s="34" t="s">
        <v>190</v>
      </c>
      <c r="BH6" s="32">
        <v>0</v>
      </c>
      <c r="BI6" s="32">
        <v>0</v>
      </c>
      <c r="BJ6" s="34" t="s">
        <v>190</v>
      </c>
      <c r="BK6" s="39">
        <v>6.0000000000000002E-6</v>
      </c>
      <c r="BL6" s="39">
        <v>1.97E-7</v>
      </c>
      <c r="BM6" s="34" t="s">
        <v>190</v>
      </c>
      <c r="BN6" s="32">
        <v>0</v>
      </c>
      <c r="BO6" s="32">
        <v>0</v>
      </c>
      <c r="BP6" s="34" t="s">
        <v>190</v>
      </c>
      <c r="BQ6" s="40">
        <v>-27.3</v>
      </c>
      <c r="BR6" s="40">
        <v>0.3</v>
      </c>
      <c r="BS6" s="34" t="s">
        <v>189</v>
      </c>
      <c r="BT6" s="41">
        <v>-4.9000000000000004</v>
      </c>
      <c r="BU6" s="40">
        <v>0.2</v>
      </c>
      <c r="BV6" s="8" t="s">
        <v>179</v>
      </c>
      <c r="BW6" s="36">
        <v>384</v>
      </c>
      <c r="BX6" s="36">
        <v>12.15</v>
      </c>
      <c r="BY6" s="36">
        <v>0.35</v>
      </c>
      <c r="BZ6" s="8" t="s">
        <v>180</v>
      </c>
      <c r="CA6" s="36">
        <v>0.74</v>
      </c>
      <c r="CB6" s="36">
        <v>0.01</v>
      </c>
      <c r="CC6" s="8" t="s">
        <v>180</v>
      </c>
      <c r="CD6" s="36">
        <v>2</v>
      </c>
      <c r="CE6" s="36">
        <v>0.1</v>
      </c>
      <c r="CF6" s="8" t="s">
        <v>136</v>
      </c>
      <c r="CG6" s="36">
        <v>1</v>
      </c>
      <c r="CH6" s="36">
        <v>0</v>
      </c>
      <c r="CI6" s="8" t="s">
        <v>181</v>
      </c>
      <c r="CJ6" s="36">
        <v>1</v>
      </c>
      <c r="CK6" s="36">
        <v>0.05</v>
      </c>
      <c r="CL6" s="8" t="s">
        <v>136</v>
      </c>
      <c r="CM6" s="36">
        <v>1</v>
      </c>
      <c r="CN6" s="36">
        <v>0.05</v>
      </c>
      <c r="CO6" s="8" t="s">
        <v>136</v>
      </c>
      <c r="CP6" s="36">
        <v>0.08</v>
      </c>
      <c r="CQ6" s="36">
        <v>5.0000000000000001E-3</v>
      </c>
      <c r="CR6" s="8" t="s">
        <v>180</v>
      </c>
      <c r="CS6" s="36">
        <v>1.2999999999999999E-2</v>
      </c>
      <c r="CT6" s="36">
        <v>6.4999999999999997E-4</v>
      </c>
      <c r="CU6" s="8" t="s">
        <v>136</v>
      </c>
      <c r="CV6" s="37" t="s">
        <v>182</v>
      </c>
      <c r="CW6" s="9">
        <v>30</v>
      </c>
      <c r="CX6" s="9">
        <v>9.4009599999999997E-4</v>
      </c>
      <c r="CY6" s="9">
        <v>40</v>
      </c>
      <c r="CZ6" s="9">
        <v>25</v>
      </c>
    </row>
    <row r="7" spans="1:104" ht="18" x14ac:dyDescent="0.25">
      <c r="A7" t="s">
        <v>132</v>
      </c>
      <c r="B7" t="s">
        <v>148</v>
      </c>
      <c r="C7" t="s">
        <v>143</v>
      </c>
      <c r="D7" t="s">
        <v>195</v>
      </c>
      <c r="E7">
        <v>2022</v>
      </c>
      <c r="F7" t="str">
        <f>Z7</f>
        <v>10.1029/2021PA004408</v>
      </c>
      <c r="G7" s="27">
        <f t="shared" si="1"/>
        <v>64599.999999999993</v>
      </c>
      <c r="H7" s="27">
        <f t="shared" si="2"/>
        <v>10.000000000005116</v>
      </c>
      <c r="I7" s="27">
        <f t="shared" si="3"/>
        <v>10.000000000005116</v>
      </c>
      <c r="J7" s="28">
        <f>AQ7</f>
        <v>895</v>
      </c>
      <c r="K7" s="29">
        <f>AT7-AQ7</f>
        <v>165</v>
      </c>
      <c r="L7" s="29">
        <f>AQ7-AS7</f>
        <v>129</v>
      </c>
      <c r="M7" t="b">
        <v>1</v>
      </c>
      <c r="N7">
        <v>1</v>
      </c>
      <c r="O7" t="s">
        <v>160</v>
      </c>
      <c r="P7" t="s">
        <v>160</v>
      </c>
      <c r="Q7" t="b">
        <v>0</v>
      </c>
      <c r="R7" t="s">
        <v>160</v>
      </c>
      <c r="S7" t="b">
        <v>1</v>
      </c>
      <c r="T7" t="b">
        <v>0</v>
      </c>
      <c r="U7" t="s">
        <v>160</v>
      </c>
      <c r="V7" t="s">
        <v>160</v>
      </c>
      <c r="W7" t="b">
        <v>0</v>
      </c>
      <c r="X7" t="s">
        <v>160</v>
      </c>
      <c r="Y7" s="37" t="s">
        <v>198</v>
      </c>
      <c r="Z7" t="s">
        <v>199</v>
      </c>
      <c r="AA7" t="s">
        <v>191</v>
      </c>
      <c r="AB7" s="8" t="s">
        <v>170</v>
      </c>
      <c r="AC7" s="8" t="s">
        <v>171</v>
      </c>
      <c r="AD7" s="8" t="s">
        <v>168</v>
      </c>
      <c r="AE7" s="8" t="s">
        <v>172</v>
      </c>
      <c r="AF7" s="8" t="s">
        <v>173</v>
      </c>
      <c r="AG7" s="8" t="s">
        <v>160</v>
      </c>
      <c r="AH7" s="33">
        <v>64.599999999999994</v>
      </c>
      <c r="AI7" s="33">
        <f>AH7+0.01</f>
        <v>64.61</v>
      </c>
      <c r="AJ7" s="33">
        <f>AH7-0.01</f>
        <v>64.589999999999989</v>
      </c>
      <c r="AK7" s="8" t="s">
        <v>160</v>
      </c>
      <c r="AL7" s="8" t="s">
        <v>184</v>
      </c>
      <c r="AM7" s="8" t="s">
        <v>160</v>
      </c>
      <c r="AN7" s="8" t="s">
        <v>160</v>
      </c>
      <c r="AO7" s="8" t="s">
        <v>160</v>
      </c>
      <c r="AP7" s="8" t="s">
        <v>160</v>
      </c>
      <c r="AQ7">
        <v>895</v>
      </c>
      <c r="AR7" s="8" t="s">
        <v>133</v>
      </c>
      <c r="AS7">
        <v>766</v>
      </c>
      <c r="AT7">
        <v>1060</v>
      </c>
      <c r="AU7" s="8" t="s">
        <v>134</v>
      </c>
      <c r="AV7" s="8" t="s">
        <v>175</v>
      </c>
      <c r="AW7" s="8" t="s">
        <v>135</v>
      </c>
      <c r="AX7" s="8" t="s">
        <v>176</v>
      </c>
      <c r="AY7" s="31">
        <v>325000000</v>
      </c>
      <c r="AZ7" s="31">
        <v>10000000</v>
      </c>
      <c r="BA7" t="s">
        <v>177</v>
      </c>
      <c r="BB7" s="31">
        <v>0</v>
      </c>
      <c r="BC7" s="31">
        <v>0</v>
      </c>
      <c r="BD7" t="s">
        <v>177</v>
      </c>
      <c r="BE7" s="31">
        <v>1.27E-5</v>
      </c>
      <c r="BF7" s="31">
        <v>4.2199999999999999E-7</v>
      </c>
      <c r="BG7" t="s">
        <v>192</v>
      </c>
      <c r="BH7" s="31">
        <v>0</v>
      </c>
      <c r="BI7" s="31">
        <v>0</v>
      </c>
      <c r="BJ7" t="s">
        <v>192</v>
      </c>
      <c r="BK7" s="31">
        <v>5.9200000000000001E-6</v>
      </c>
      <c r="BL7" s="31">
        <v>1.09E-7</v>
      </c>
      <c r="BM7" t="s">
        <v>192</v>
      </c>
      <c r="BN7" s="31">
        <v>0</v>
      </c>
      <c r="BO7" s="31">
        <v>0</v>
      </c>
      <c r="BP7" t="s">
        <v>192</v>
      </c>
      <c r="BQ7">
        <v>-28.2</v>
      </c>
      <c r="BR7">
        <v>0.1</v>
      </c>
      <c r="BS7" t="s">
        <v>193</v>
      </c>
      <c r="BT7">
        <v>-4.9000000000000004</v>
      </c>
      <c r="BU7">
        <v>0.2</v>
      </c>
      <c r="BV7" s="8" t="s">
        <v>179</v>
      </c>
      <c r="BW7">
        <v>384</v>
      </c>
      <c r="BX7">
        <v>12.15</v>
      </c>
      <c r="BY7">
        <v>0.35</v>
      </c>
      <c r="BZ7" s="8" t="s">
        <v>180</v>
      </c>
      <c r="CA7">
        <v>0.74</v>
      </c>
      <c r="CB7">
        <v>0.01</v>
      </c>
      <c r="CC7" s="8" t="s">
        <v>180</v>
      </c>
      <c r="CD7">
        <v>2</v>
      </c>
      <c r="CE7">
        <v>0.1</v>
      </c>
      <c r="CF7" s="8" t="s">
        <v>136</v>
      </c>
      <c r="CG7">
        <v>1</v>
      </c>
      <c r="CH7">
        <v>0</v>
      </c>
      <c r="CI7" s="8" t="s">
        <v>181</v>
      </c>
      <c r="CJ7">
        <v>1</v>
      </c>
      <c r="CK7">
        <v>0.05</v>
      </c>
      <c r="CL7" s="8" t="s">
        <v>136</v>
      </c>
      <c r="CM7">
        <v>1</v>
      </c>
      <c r="CN7">
        <v>0.05</v>
      </c>
      <c r="CO7" s="8" t="s">
        <v>136</v>
      </c>
      <c r="CP7">
        <v>0.08</v>
      </c>
      <c r="CQ7">
        <v>5.0000000000000001E-3</v>
      </c>
      <c r="CR7" s="8" t="s">
        <v>180</v>
      </c>
      <c r="CS7">
        <v>1.2999999999999999E-2</v>
      </c>
      <c r="CT7">
        <v>6.4999999999999997E-4</v>
      </c>
      <c r="CU7" s="8" t="s">
        <v>136</v>
      </c>
      <c r="CV7" t="s">
        <v>182</v>
      </c>
      <c r="CW7" s="9">
        <v>30</v>
      </c>
      <c r="CX7" s="9">
        <v>9.4009599999999997E-4</v>
      </c>
      <c r="CY7" s="9">
        <v>40</v>
      </c>
      <c r="CZ7" s="9">
        <v>25</v>
      </c>
    </row>
    <row r="17" customFormat="1" x14ac:dyDescent="0.2"/>
  </sheetData>
  <mergeCells count="1">
    <mergeCell ref="S2:W2"/>
  </mergeCells>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 defaultRowHeight="16" x14ac:dyDescent="0.2"/>
  <sheetData>
    <row r="1" spans="1:1" x14ac:dyDescent="0.2">
      <c r="A1" s="5" t="s">
        <v>0</v>
      </c>
    </row>
    <row r="2" spans="1:1" ht="17" x14ac:dyDescent="0.2">
      <c r="A2" s="6" t="s">
        <v>1</v>
      </c>
    </row>
    <row r="3" spans="1:1" x14ac:dyDescent="0.2">
      <c r="A3" s="5" t="s">
        <v>2</v>
      </c>
    </row>
    <row r="4" spans="1:1" x14ac:dyDescent="0.2">
      <c r="A4" s="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2019-02-07T19:27:24Z</dcterms:created>
  <dcterms:modified xsi:type="dcterms:W3CDTF">2023-09-02T13:36:46Z</dcterms:modified>
</cp:coreProperties>
</file>