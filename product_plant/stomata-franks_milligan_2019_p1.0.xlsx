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E39EA2A-3309-704C-AFE2-701F080021D0}" xr6:coauthVersionLast="47" xr6:coauthVersionMax="47" xr10:uidLastSave="{00000000-0000-0000-0000-000000000000}"/>
  <bookViews>
    <workbookView xWindow="0" yWindow="500" windowWidth="28800" windowHeight="1246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J6" i="1"/>
  <c r="K6" i="1"/>
  <c r="L6" i="1"/>
  <c r="F5" i="1"/>
  <c r="G5" i="1"/>
  <c r="H5" i="1"/>
  <c r="I5" i="1"/>
  <c r="J5" i="1"/>
  <c r="K5" i="1"/>
  <c r="L5" i="1"/>
  <c r="L4" i="1"/>
  <c r="K4" i="1"/>
  <c r="J4" i="1"/>
  <c r="F4" i="1"/>
  <c r="AH4" i="1" l="1"/>
  <c r="I4" i="1" l="1"/>
  <c r="G4" i="1"/>
  <c r="H4" i="1"/>
</calcChain>
</file>

<file path=xl/sharedStrings.xml><?xml version="1.0" encoding="utf-8"?>
<sst xmlns="http://schemas.openxmlformats.org/spreadsheetml/2006/main" count="298" uniqueCount="210">
  <si>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</si>
  <si>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</si>
  <si>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</si>
  <si>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</si>
  <si>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</si>
  <si>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</si>
  <si>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</si>
  <si>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</si>
  <si>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</si>
  <si>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</si>
  <si>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</si>
  <si>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</si>
  <si>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</si>
  <si>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</si>
  <si>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</si>
  <si>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</si>
  <si>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</si>
  <si>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</si>
  <si>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</si>
  <si>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</si>
  <si>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</si>
  <si>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</si>
  <si>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</si>
  <si>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</si>
  <si>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</si>
  <si>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</si>
  <si>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</si>
  <si>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</si>
  <si>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</si>
  <si>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</si>
  <si>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</si>
  <si>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</si>
  <si>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</si>
  <si>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</si>
  <si>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</si>
  <si>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</si>
  <si>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</si>
  <si>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</si>
  <si>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</si>
  <si>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</si>
  <si>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</si>
  <si>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</si>
  <si>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</si>
  <si>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</si>
  <si>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</si>
  <si>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</si>
  <si>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</si>
  <si>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</si>
  <si>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</si>
  <si>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</si>
  <si>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</si>
  <si>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</si>
  <si>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</si>
  <si>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</si>
  <si>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</si>
  <si>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</si>
  <si>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</si>
  <si>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</si>
  <si>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</si>
  <si>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</si>
  <si>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</si>
  <si>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</si>
  <si>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</si>
  <si>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</si>
  <si>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</si>
  <si>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</si>
  <si>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</si>
  <si>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</si>
  <si>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</si>
  <si>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</si>
  <si>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</si>
  <si>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</si>
  <si>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</si>
  <si>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</si>
  <si>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</si>
  <si>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</si>
  <si>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</si>
  <si>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</si>
  <si>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</si>
  <si>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</si>
  <si>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</si>
  <si>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</si>
  <si>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</si>
  <si>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</si>
  <si>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</si>
  <si>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</si>
  <si>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</si>
  <si>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</si>
  <si>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</si>
  <si>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</si>
  <si>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</si>
  <si>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</si>
  <si>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</si>
  <si>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</si>
  <si>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</si>
  <si>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</si>
  <si>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</si>
  <si>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</si>
  <si>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</si>
  <si>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</si>
  <si>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</si>
  <si>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</si>
  <si>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</si>
  <si>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</si>
  <si>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</si>
  <si>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</si>
  <si>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</si>
  <si>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</si>
  <si>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</si>
  <si>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</si>
  <si>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</si>
  <si>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</si>
  <si>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</si>
  <si>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</si>
  <si>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</si>
  <si>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</si>
  <si>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</si>
  <si>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</si>
  <si>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</si>
  <si>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</si>
  <si>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</si>
  <si>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</si>
  <si>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</si>
  <si>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</si>
  <si>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</si>
  <si>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</si>
  <si>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</si>
  <si>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</si>
  <si>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</si>
  <si>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</si>
  <si>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</si>
  <si>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</si>
  <si>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</si>
  <si>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</si>
  <si>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</si>
  <si>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</si>
  <si>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right skewed</t>
  </si>
  <si>
    <t>microscope</t>
  </si>
  <si>
    <t>4 leaves</t>
  </si>
  <si>
    <t>generic value from Franks et al. (2014); 1 sigma error is 5% of mean</t>
  </si>
  <si>
    <t>pore length was measured directly, so this scalar has no error</t>
  </si>
  <si>
    <t>no</t>
  </si>
  <si>
    <t>10 leaves</t>
  </si>
  <si>
    <t>Ginkgoaceae</t>
  </si>
  <si>
    <t>Ginkgo</t>
  </si>
  <si>
    <t>adiantoides</t>
  </si>
  <si>
    <t>Clear Creek South locality (9916)</t>
  </si>
  <si>
    <t>Blechnaceae</t>
  </si>
  <si>
    <t>aff. Stenochlaena</t>
  </si>
  <si>
    <t>Gary Upchurch</t>
  </si>
  <si>
    <t>Raton Formation</t>
  </si>
  <si>
    <t>5 to 25 cm above the K-Pg boundary</t>
  </si>
  <si>
    <t>K-Pg boundary is identified from an iridium spike and presence of shocked quartz; duration of fern spike is constrained in Clyde et al. (2016; 10.1016/j.epsl.2016.07.041)</t>
  </si>
  <si>
    <t>200x magnification</t>
  </si>
  <si>
    <t>age models of Tipple et al. (2010; 10.1029/2009PA001851) and Barral et al. (2017; 10.1016/j.palaeo.2017.01.034), along with an assumed negative carbon isotope excursion of 2 per mil (see Milligan et al., 2019)</t>
  </si>
  <si>
    <t>calculated from 5 Stenochlaena palustris plants grown inside growth chambers at 500 ppm CO2</t>
  </si>
  <si>
    <t>calculated from 5 Stenochlaena palustris plants grown inside growth chambers at 500 ppm CO2; adjusted for non-stomatal bearing area (see Milligan et al., 2019)</t>
  </si>
  <si>
    <t>site LJH 7659</t>
  </si>
  <si>
    <t>Yale Peabody Museum</t>
  </si>
  <si>
    <t>Fort Union Formation</t>
  </si>
  <si>
    <t>4 m above K-Pg boundary</t>
  </si>
  <si>
    <t>biostratigraphy, a K-Pg age of 66.0 Myrs ago, and an assumption of constant sedimentation rates</t>
  </si>
  <si>
    <t>13 leaves</t>
  </si>
  <si>
    <t>age models of Tipple et al. (2010; 10.1029/2009PA001851) and Barral et al. (2017; 10.1016/j.palaeo.2017.01.034)</t>
  </si>
  <si>
    <t>value reported by Kowalczyk et al. (2018) for 17 leaves from a single Ginkgo biloba tree</t>
  </si>
  <si>
    <t>value reported by Kowalczyk et al. (2018) for 17 leaves from a single Ginkgo biloba tree; adjusted for non-stomatal bearing area (see Milligan et al., 2019)</t>
  </si>
  <si>
    <t>proxy</t>
  </si>
  <si>
    <t>first_author_last_name</t>
  </si>
  <si>
    <t>publication_year</t>
  </si>
  <si>
    <t>age_ka</t>
  </si>
  <si>
    <t>Age_uncertainty_pos_ka</t>
  </si>
  <si>
    <t>Age_uncertainty_neg_ka</t>
  </si>
  <si>
    <t>stomata-franks</t>
  </si>
  <si>
    <t>Milligan</t>
  </si>
  <si>
    <t>true/false</t>
  </si>
  <si>
    <t>name of person entering product data</t>
  </si>
  <si>
    <t>email of person entering product data</t>
  </si>
  <si>
    <t>specify reason for age revision</t>
  </si>
  <si>
    <t>droyer@wesleyan.edu</t>
  </si>
  <si>
    <t>site DNMH 566</t>
  </si>
  <si>
    <t>Denver Museum</t>
  </si>
  <si>
    <t>Hell Creek Formation</t>
  </si>
  <si>
    <t xml:space="preserve">33.5 m below the K-Pg boundary </t>
  </si>
  <si>
    <t>geochronology, magnetostratigraphy,a K-Pg age of 66.0 Myrs ago, and an assumption of constant sedimentation rates</t>
  </si>
  <si>
    <t>Joseph Milligan</t>
  </si>
  <si>
    <t>specify reason for quarantine</t>
  </si>
  <si>
    <t>10.1029/2018GL081215</t>
  </si>
  <si>
    <t>Milligan, J. N., Royer, D. L., Franks, P. J., Upchurch, G. R., and McKee, M. L., 2019, No evidence for a large atmospheric CO2 spike across the Cretaceous-Paleogene boundary: Geophysical Research Letters, v. 46, p. xxx-xxx.</t>
  </si>
  <si>
    <t>Milligan, J. N., Royer, D. L., Franks, P. J., Upchurch, G. R., and McKee, M. L., 2019, No evidence for a large atmospheric CO2 spike across the Cretaceous-Paleogene boundary: Geophysical Research Letters, v. 46, p. 3462-3472.</t>
  </si>
  <si>
    <t>CO2_ppm</t>
  </si>
  <si>
    <t>CO2_uncertainty_pos_ppm</t>
  </si>
  <si>
    <t>NA</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</si>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</sst>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9" x14ac:knownFonts="1">
    <font>
      <sz val="12"/>
      <color theme="1"/>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color rgb="FF000000"/>
      <name val="Times New Roman"/>
      <family val="1"/>
    </font>
    <font>
      <b/>
      <sz val="12"/>
      <name val="Calibri"/>
      <family val="2"/>
      <scheme val="minor"/>
    </font>
    <font>
      <sz val="12"/>
      <color theme="1"/>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3">
    <xf numFmtId="0" fontId="0" fillId="0" borderId="0" xfId="0"/>
    <xf numFmtId="0" fontId="0" fillId="0" borderId="0" xfId="0" applyBorder="1"/>
    <xf numFmtId="0" fontId="0" fillId="2" borderId="0" xfId="0" applyFill="1" applyBorder="1" applyAlignment="1">
      <alignment vertical="top"/>
    </xf>
    <xf numFmtId="0" fontId="2" fillId="3" borderId="0" xfId="0" applyFont="1" applyFill="1" applyBorder="1" applyAlignment="1"/>
    <xf numFmtId="0" fontId="2" fillId="4" borderId="0" xfId="0" applyFont="1" applyFill="1" applyBorder="1" applyAlignment="1"/>
    <xf numFmtId="0" fontId="2" fillId="5" borderId="0" xfId="0" applyFont="1" applyFill="1" applyBorder="1" applyAlignment="1"/>
    <xf numFmtId="0" fontId="2" fillId="2" borderId="0" xfId="0" applyFont="1" applyFill="1" applyBorder="1" applyAlignment="1"/>
    <xf numFmtId="0" fontId="0" fillId="0" borderId="0" xfId="0" applyBorder="1" applyAlignment="1"/>
    <xf numFmtId="0" fontId="3" fillId="2" borderId="0" xfId="0" applyFont="1" applyFill="1" applyBorder="1" applyAlignment="1">
      <alignment vertical="top" wrapText="1"/>
    </xf>
    <xf numFmtId="0" fontId="4" fillId="2" borderId="0" xfId="0" applyFont="1" applyFill="1" applyBorder="1" applyAlignment="1">
      <alignment horizontal="center" vertical="top" wrapText="1"/>
    </xf>
    <xf numFmtId="0" fontId="3" fillId="3" borderId="0" xfId="0" applyFont="1" applyFill="1" applyBorder="1" applyAlignment="1">
      <alignment vertical="top" wrapText="1"/>
    </xf>
    <xf numFmtId="0" fontId="3" fillId="4" borderId="0" xfId="0" applyFont="1" applyFill="1" applyBorder="1" applyAlignment="1">
      <alignment vertical="top" wrapText="1"/>
    </xf>
    <xf numFmtId="0" fontId="3" fillId="5" borderId="0" xfId="0" applyFont="1" applyFill="1" applyBorder="1" applyAlignment="1">
      <alignment vertical="top" wrapText="1"/>
    </xf>
    <xf numFmtId="0" fontId="4" fillId="0" borderId="0" xfId="0" applyFont="1" applyBorder="1"/>
    <xf numFmtId="0" fontId="2" fillId="0" borderId="0" xfId="0" applyFont="1" applyBorder="1" applyAlignment="1"/>
    <xf numFmtId="0" fontId="2" fillId="0" borderId="0" xfId="0" applyFont="1" applyBorder="1" applyAlignment="1">
      <alignment horizontal="right"/>
    </xf>
    <xf numFmtId="11" fontId="2" fillId="0" borderId="0" xfId="0" applyNumberFormat="1" applyFont="1" applyBorder="1" applyAlignment="1">
      <alignment horizontal="right"/>
    </xf>
    <xf numFmtId="0" fontId="2" fillId="0" borderId="0" xfId="0" applyFont="1" applyBorder="1" applyAlignment="1">
      <alignment vertical="top"/>
    </xf>
    <xf numFmtId="0" fontId="2" fillId="0" borderId="0" xfId="0" applyFont="1" applyFill="1" applyBorder="1" applyAlignment="1"/>
    <xf numFmtId="11" fontId="0" fillId="0" borderId="0" xfId="0" applyNumberFormat="1"/>
    <xf numFmtId="164" fontId="0" fillId="0" borderId="0" xfId="0" applyNumberFormat="1"/>
    <xf numFmtId="11" fontId="0" fillId="0" borderId="0" xfId="0" applyNumberForma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165" fontId="2" fillId="0" borderId="0" xfId="0" applyNumberFormat="1" applyFont="1" applyBorder="1" applyAlignment="1"/>
    <xf numFmtId="0" fontId="0" fillId="0" borderId="0" xfId="0" applyFont="1" applyBorder="1" applyAlignment="1">
      <alignment horizontal="left"/>
    </xf>
    <xf numFmtId="0" fontId="0" fillId="0" borderId="0" xfId="0" applyFont="1" applyBorder="1" applyAlignment="1">
      <alignment horizontal="right"/>
    </xf>
    <xf numFmtId="0" fontId="2" fillId="0" borderId="0" xfId="0" applyFont="1" applyBorder="1" applyAlignment="1">
      <alignment horizontal="left"/>
    </xf>
    <xf numFmtId="0" fontId="2" fillId="0" borderId="0" xfId="0" applyFont="1" applyFill="1" applyBorder="1" applyAlignment="1">
      <alignment horizontal="left"/>
    </xf>
    <xf numFmtId="0" fontId="5" fillId="0" borderId="0" xfId="0" applyFont="1" applyAlignment="1">
      <alignment horizontal="left"/>
    </xf>
    <xf numFmtId="165" fontId="0" fillId="0" borderId="0" xfId="0" applyNumberFormat="1" applyFont="1" applyBorder="1" applyAlignment="1">
      <alignment horizontal="right"/>
    </xf>
    <xf numFmtId="0" fontId="0" fillId="0" borderId="0" xfId="0" applyFont="1" applyFill="1" applyBorder="1" applyAlignment="1">
      <alignment horizontal="right"/>
    </xf>
    <xf numFmtId="11" fontId="0" fillId="0" borderId="0" xfId="1" applyNumberFormat="1" applyFont="1" applyAlignment="1">
      <alignment horizontal="right"/>
    </xf>
    <xf numFmtId="11" fontId="0" fillId="0" borderId="0" xfId="1" applyNumberFormat="1" applyFont="1" applyAlignment="1">
      <alignment horizontal="right" vertical="center"/>
    </xf>
    <xf numFmtId="2" fontId="0" fillId="0" borderId="0" xfId="1" applyNumberFormat="1" applyFont="1" applyAlignment="1">
      <alignment horizontal="right" vertical="center"/>
    </xf>
    <xf numFmtId="164" fontId="0" fillId="0" borderId="0" xfId="1" applyNumberFormat="1" applyFont="1" applyAlignment="1">
      <alignment horizontal="right" vertical="center"/>
    </xf>
    <xf numFmtId="0" fontId="0" fillId="0" borderId="0" xfId="0" applyFont="1" applyAlignment="1">
      <alignment horizontal="right"/>
    </xf>
    <xf numFmtId="0" fontId="2" fillId="0" borderId="0" xfId="0" applyFont="1" applyFill="1" applyBorder="1" applyAlignment="1">
      <alignment vertical="center"/>
    </xf>
    <xf numFmtId="0" fontId="2" fillId="0" borderId="0" xfId="0" applyFont="1" applyFill="1" applyBorder="1" applyAlignment="1">
      <alignment wrapText="1"/>
    </xf>
    <xf numFmtId="0" fontId="6" fillId="4" borderId="0" xfId="0" applyFont="1" applyFill="1" applyBorder="1" applyAlignment="1">
      <alignment horizontal="center" vertical="center" wrapText="1"/>
    </xf>
    <xf numFmtId="0" fontId="0" fillId="0" borderId="0" xfId="0" applyFill="1" applyBorder="1" applyAlignment="1">
      <alignment horizontal="right"/>
    </xf>
    <xf numFmtId="0" fontId="7" fillId="0" borderId="0" xfId="0" applyFont="1"/>
    <xf numFmtId="1" fontId="0" fillId="0" borderId="0" xfId="0" applyNumberFormat="1" applyFont="1"/>
    <xf numFmtId="1" fontId="7" fillId="0" borderId="0" xfId="0" applyNumberFormat="1" applyFont="1"/>
    <xf numFmtId="0" fontId="0" fillId="0" borderId="0" xfId="0" applyAlignment="1">
      <alignment horizontal="center"/>
    </xf>
    <xf numFmtId="0" fontId="8" fillId="0" borderId="0" xfId="0" applyFont="1"/>
    <xf numFmtId="0" fontId="0" fillId="0" borderId="2" xfId="0"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1"/>
  <sheetViews>
    <sheetView tabSelected="1" topLeftCell="E1" workbookViewId="0">
      <pane ySplit="3" topLeftCell="A4" activePane="bottomLeft" state="frozen"/>
      <selection pane="bottomLeft" activeCell="N3" sqref="N3:O3"/>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22"/>
      <c r="B2" s="23"/>
      <c r="C2" s="23"/>
      <c r="D2" s="23"/>
      <c r="E2" s="23"/>
      <c r="F2" s="23"/>
      <c r="G2" s="23"/>
      <c r="H2" s="23"/>
      <c r="I2" s="23"/>
      <c r="J2" s="23"/>
      <c r="K2" s="23"/>
      <c r="L2" s="24"/>
      <c r="M2" s="25" t="s">
        <v>174</v>
      </c>
      <c r="N2" s="25"/>
      <c r="O2" s="25"/>
      <c r="P2" s="25"/>
      <c r="Q2"/>
      <c r="R2" s="26"/>
      <c r="S2" s="60"/>
      <c r="T2" s="60"/>
      <c r="U2" s="60"/>
      <c r="V2" s="60"/>
      <c r="W2" s="60"/>
      <c r="X2" s="26"/>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76.5" customHeight="1" x14ac:dyDescent="0.2">
      <c r="A3" s="27" t="s">
        <v>175</v>
      </c>
      <c r="B3" s="28" t="s">
        <v>176</v>
      </c>
      <c r="C3" s="29" t="s">
        <v>166</v>
      </c>
      <c r="D3" s="30" t="s">
        <v>167</v>
      </c>
      <c r="E3" s="30" t="s">
        <v>168</v>
      </c>
      <c r="F3" s="31" t="s">
        <v>58</v>
      </c>
      <c r="G3" s="31" t="s">
        <v>169</v>
      </c>
      <c r="H3" s="32" t="s">
        <v>170</v>
      </c>
      <c r="I3" s="32" t="s">
        <v>171</v>
      </c>
      <c r="J3" s="30" t="s">
        <v>189</v>
      </c>
      <c r="K3" s="32" t="s">
        <v>190</v>
      </c>
      <c r="L3" s="33" t="s">
        <v>200</v>
      </c>
      <c r="M3" s="34" t="s">
        <v>192</v>
      </c>
      <c r="N3" s="62" t="s">
        <v>208</v>
      </c>
      <c r="O3" s="62" t="s">
        <v>209</v>
      </c>
      <c r="P3" s="34" t="s">
        <v>193</v>
      </c>
      <c r="Q3" s="35" t="s">
        <v>194</v>
      </c>
      <c r="R3" s="36" t="s">
        <v>195</v>
      </c>
      <c r="S3" s="37" t="s">
        <v>196</v>
      </c>
      <c r="T3" s="34" t="s">
        <v>197</v>
      </c>
      <c r="U3" s="34" t="s">
        <v>185</v>
      </c>
      <c r="V3" s="34" t="s">
        <v>198</v>
      </c>
      <c r="W3" s="38" t="s">
        <v>199</v>
      </c>
      <c r="X3" s="39" t="s">
        <v>177</v>
      </c>
      <c r="Y3" s="8" t="s">
        <v>201</v>
      </c>
      <c r="Z3" s="8" t="s">
        <v>202</v>
      </c>
      <c r="AA3" s="8" t="s">
        <v>59</v>
      </c>
      <c r="AB3" s="8" t="s">
        <v>60</v>
      </c>
      <c r="AC3" s="8" t="s">
        <v>61</v>
      </c>
      <c r="AD3" s="8" t="s">
        <v>62</v>
      </c>
      <c r="AE3" s="8" t="s">
        <v>63</v>
      </c>
      <c r="AF3" s="8" t="s">
        <v>64</v>
      </c>
      <c r="AG3" s="8" t="s">
        <v>65</v>
      </c>
      <c r="AH3" s="8" t="s">
        <v>66</v>
      </c>
      <c r="AI3" s="8" t="s">
        <v>67</v>
      </c>
      <c r="AJ3" s="8" t="s">
        <v>68</v>
      </c>
      <c r="AK3" s="8" t="s">
        <v>69</v>
      </c>
      <c r="AL3" s="8" t="s">
        <v>70</v>
      </c>
      <c r="AM3" s="8" t="s">
        <v>203</v>
      </c>
      <c r="AN3" s="8" t="s">
        <v>204</v>
      </c>
      <c r="AO3" s="55" t="s">
        <v>205</v>
      </c>
      <c r="AP3" s="55" t="s">
        <v>206</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ht="17" x14ac:dyDescent="0.2">
      <c r="A4" t="s">
        <v>133</v>
      </c>
      <c r="B4" t="s">
        <v>178</v>
      </c>
      <c r="C4" t="s">
        <v>172</v>
      </c>
      <c r="D4" t="s">
        <v>173</v>
      </c>
      <c r="E4">
        <v>2019</v>
      </c>
      <c r="F4" t="str">
        <f>Z4</f>
        <v>10.1029/2018GL081215</v>
      </c>
      <c r="G4" s="57">
        <f t="shared" ref="G4" si="0">AH4*1000</f>
        <v>66042.5</v>
      </c>
      <c r="H4" s="57">
        <f t="shared" ref="H4" si="1">(AI4-AH4)*1000</f>
        <v>0.50000000000238742</v>
      </c>
      <c r="I4" s="57">
        <f t="shared" ref="I4" si="2">(AH4-AJ4)*1000</f>
        <v>0.50000000000238742</v>
      </c>
      <c r="J4" s="58">
        <f>AQ4</f>
        <v>873</v>
      </c>
      <c r="K4" s="59">
        <f>AT4-AQ4</f>
        <v>567</v>
      </c>
      <c r="L4" s="59">
        <f>AQ4-AS4</f>
        <v>320</v>
      </c>
      <c r="M4" t="b">
        <v>1</v>
      </c>
      <c r="N4">
        <v>1</v>
      </c>
      <c r="O4" s="61" t="s">
        <v>207</v>
      </c>
      <c r="P4" t="s">
        <v>191</v>
      </c>
      <c r="Q4" t="b">
        <v>0</v>
      </c>
      <c r="R4" t="s">
        <v>191</v>
      </c>
      <c r="S4" t="b">
        <v>1</v>
      </c>
      <c r="T4" t="b">
        <v>0</v>
      </c>
      <c r="U4" t="s">
        <v>191</v>
      </c>
      <c r="V4" t="s">
        <v>191</v>
      </c>
      <c r="W4" t="b">
        <v>0</v>
      </c>
      <c r="X4" t="s">
        <v>191</v>
      </c>
      <c r="Y4" s="14" t="s">
        <v>187</v>
      </c>
      <c r="Z4" s="14" t="s">
        <v>186</v>
      </c>
      <c r="AA4" s="17" t="s">
        <v>146</v>
      </c>
      <c r="AB4" s="14" t="s">
        <v>147</v>
      </c>
      <c r="AC4" s="14" t="s">
        <v>148</v>
      </c>
      <c r="AD4" s="14" t="s">
        <v>191</v>
      </c>
      <c r="AE4" s="14" t="s">
        <v>149</v>
      </c>
      <c r="AF4" s="14" t="s">
        <v>150</v>
      </c>
      <c r="AG4" s="14" t="s">
        <v>151</v>
      </c>
      <c r="AH4" s="40">
        <f>(AI4+AJ4)/2</f>
        <v>66.042500000000004</v>
      </c>
      <c r="AI4" s="40">
        <v>66.043000000000006</v>
      </c>
      <c r="AJ4" s="40">
        <v>66.042000000000002</v>
      </c>
      <c r="AK4" s="14" t="s">
        <v>191</v>
      </c>
      <c r="AL4" s="14" t="s">
        <v>152</v>
      </c>
      <c r="AM4" s="18">
        <v>37.08</v>
      </c>
      <c r="AN4" s="18">
        <v>-104.52</v>
      </c>
      <c r="AO4" s="56" t="s">
        <v>191</v>
      </c>
      <c r="AP4" s="56" t="s">
        <v>191</v>
      </c>
      <c r="AQ4" s="14">
        <v>873</v>
      </c>
      <c r="AR4" s="14" t="s">
        <v>134</v>
      </c>
      <c r="AS4" s="14">
        <v>553</v>
      </c>
      <c r="AT4" s="14">
        <v>1440</v>
      </c>
      <c r="AU4" s="14" t="s">
        <v>135</v>
      </c>
      <c r="AV4" s="14" t="s">
        <v>136</v>
      </c>
      <c r="AW4" s="14" t="s">
        <v>137</v>
      </c>
      <c r="AX4" s="18" t="s">
        <v>153</v>
      </c>
      <c r="AY4" s="19">
        <v>46700000</v>
      </c>
      <c r="AZ4" s="19">
        <v>2550000</v>
      </c>
      <c r="BA4" s="14" t="s">
        <v>138</v>
      </c>
      <c r="BB4" s="16">
        <v>0</v>
      </c>
      <c r="BC4" s="16">
        <v>0</v>
      </c>
      <c r="BD4" s="14" t="s">
        <v>138</v>
      </c>
      <c r="BE4" s="19">
        <v>1.27E-5</v>
      </c>
      <c r="BF4" s="19">
        <v>2.6399999999999998E-7</v>
      </c>
      <c r="BG4" s="14" t="s">
        <v>138</v>
      </c>
      <c r="BH4" s="16">
        <v>0</v>
      </c>
      <c r="BI4" s="16">
        <v>0</v>
      </c>
      <c r="BJ4" s="14" t="s">
        <v>138</v>
      </c>
      <c r="BK4" s="19">
        <v>1.4399999999999999E-5</v>
      </c>
      <c r="BL4" s="19">
        <v>1.1400000000000001E-6</v>
      </c>
      <c r="BM4" s="14" t="s">
        <v>138</v>
      </c>
      <c r="BN4" s="16">
        <v>0</v>
      </c>
      <c r="BO4" s="16">
        <v>0</v>
      </c>
      <c r="BP4" s="14" t="s">
        <v>138</v>
      </c>
      <c r="BQ4">
        <v>-27.49</v>
      </c>
      <c r="BR4">
        <v>0.02</v>
      </c>
      <c r="BS4" s="14" t="s">
        <v>142</v>
      </c>
      <c r="BT4" s="20">
        <v>-7.71</v>
      </c>
      <c r="BU4" s="20">
        <v>1.0900000000000001</v>
      </c>
      <c r="BV4" s="14" t="s">
        <v>154</v>
      </c>
      <c r="BW4">
        <v>500</v>
      </c>
      <c r="BX4">
        <v>3.69</v>
      </c>
      <c r="BY4">
        <v>0.34</v>
      </c>
      <c r="BZ4" s="18" t="s">
        <v>155</v>
      </c>
      <c r="CA4">
        <v>0.66</v>
      </c>
      <c r="CB4">
        <v>0.03</v>
      </c>
      <c r="CC4" s="18" t="s">
        <v>155</v>
      </c>
      <c r="CD4">
        <v>2</v>
      </c>
      <c r="CE4">
        <v>0.1</v>
      </c>
      <c r="CF4" s="14" t="s">
        <v>139</v>
      </c>
      <c r="CG4">
        <v>1</v>
      </c>
      <c r="CH4">
        <v>0</v>
      </c>
      <c r="CI4" s="14" t="s">
        <v>140</v>
      </c>
      <c r="CJ4">
        <v>1</v>
      </c>
      <c r="CK4">
        <v>0.05</v>
      </c>
      <c r="CL4" s="14" t="s">
        <v>139</v>
      </c>
      <c r="CM4">
        <v>0.5</v>
      </c>
      <c r="CN4">
        <v>2.5000000000000001E-2</v>
      </c>
      <c r="CO4" s="14" t="s">
        <v>139</v>
      </c>
      <c r="CP4">
        <v>0.21</v>
      </c>
      <c r="CQ4">
        <v>0.03</v>
      </c>
      <c r="CR4" s="18" t="s">
        <v>156</v>
      </c>
      <c r="CS4">
        <v>1.2999999999999999E-2</v>
      </c>
      <c r="CT4">
        <v>6.4999999999999997E-4</v>
      </c>
      <c r="CU4" s="14" t="s">
        <v>139</v>
      </c>
      <c r="CV4" s="14" t="s">
        <v>141</v>
      </c>
      <c r="CW4" s="15">
        <v>30</v>
      </c>
      <c r="CX4" s="15">
        <v>9.4009599999999997E-4</v>
      </c>
      <c r="CY4" s="15">
        <v>40</v>
      </c>
      <c r="CZ4" s="15">
        <v>25</v>
      </c>
    </row>
    <row r="5" spans="1:104" s="7" customFormat="1" ht="17" x14ac:dyDescent="0.2">
      <c r="A5" t="s">
        <v>133</v>
      </c>
      <c r="B5" t="s">
        <v>178</v>
      </c>
      <c r="C5" t="s">
        <v>172</v>
      </c>
      <c r="D5" t="s">
        <v>173</v>
      </c>
      <c r="E5">
        <v>2019</v>
      </c>
      <c r="F5" t="str">
        <f>Z5</f>
        <v>10.1029/2018GL081215</v>
      </c>
      <c r="G5" s="57">
        <f t="shared" ref="G5:G6" si="3">AH5*1000</f>
        <v>65543</v>
      </c>
      <c r="H5" s="57">
        <f t="shared" ref="H5:H6" si="4">(AI5-AH5)*1000</f>
        <v>500</v>
      </c>
      <c r="I5" s="57">
        <f t="shared" ref="I5:I6" si="5">(AH5-AJ5)*1000</f>
        <v>500</v>
      </c>
      <c r="J5" s="58">
        <f>AQ5</f>
        <v>630</v>
      </c>
      <c r="K5" s="59">
        <f>AT5-AQ5</f>
        <v>551</v>
      </c>
      <c r="L5" s="59">
        <f>AQ5-AS5</f>
        <v>222</v>
      </c>
      <c r="M5" t="b">
        <v>1</v>
      </c>
      <c r="N5">
        <v>1</v>
      </c>
      <c r="O5" s="61" t="s">
        <v>207</v>
      </c>
      <c r="P5" t="s">
        <v>191</v>
      </c>
      <c r="Q5" t="b">
        <v>0</v>
      </c>
      <c r="R5" t="s">
        <v>191</v>
      </c>
      <c r="S5" t="b">
        <v>1</v>
      </c>
      <c r="T5" t="b">
        <v>0</v>
      </c>
      <c r="U5" t="s">
        <v>191</v>
      </c>
      <c r="V5" t="s">
        <v>191</v>
      </c>
      <c r="W5" t="b">
        <v>0</v>
      </c>
      <c r="X5" t="s">
        <v>191</v>
      </c>
      <c r="Y5" s="43" t="s">
        <v>188</v>
      </c>
      <c r="Z5" s="14" t="s">
        <v>186</v>
      </c>
      <c r="AA5" s="14" t="s">
        <v>157</v>
      </c>
      <c r="AB5" s="14" t="s">
        <v>143</v>
      </c>
      <c r="AC5" s="14" t="s">
        <v>144</v>
      </c>
      <c r="AD5" s="14" t="s">
        <v>145</v>
      </c>
      <c r="AE5" s="14" t="s">
        <v>158</v>
      </c>
      <c r="AF5" s="14" t="s">
        <v>159</v>
      </c>
      <c r="AG5" s="14" t="s">
        <v>160</v>
      </c>
      <c r="AH5" s="40">
        <v>65.543000000000006</v>
      </c>
      <c r="AI5" s="40">
        <v>66.043000000000006</v>
      </c>
      <c r="AJ5" s="40">
        <v>65.043000000000006</v>
      </c>
      <c r="AK5" s="14" t="s">
        <v>191</v>
      </c>
      <c r="AL5" s="14" t="s">
        <v>161</v>
      </c>
      <c r="AM5" s="18">
        <v>44.95</v>
      </c>
      <c r="AN5" s="18">
        <v>-108.87</v>
      </c>
      <c r="AO5" s="56" t="s">
        <v>191</v>
      </c>
      <c r="AP5" s="56" t="s">
        <v>191</v>
      </c>
      <c r="AQ5" s="14">
        <v>630</v>
      </c>
      <c r="AR5" s="14" t="s">
        <v>134</v>
      </c>
      <c r="AS5" s="14">
        <v>408</v>
      </c>
      <c r="AT5" s="14">
        <v>1181</v>
      </c>
      <c r="AU5" s="14" t="s">
        <v>135</v>
      </c>
      <c r="AV5" s="14" t="s">
        <v>136</v>
      </c>
      <c r="AW5" s="14" t="s">
        <v>137</v>
      </c>
      <c r="AX5" s="18" t="s">
        <v>153</v>
      </c>
      <c r="AY5" s="19">
        <v>105000000</v>
      </c>
      <c r="AZ5" s="19">
        <v>4110000</v>
      </c>
      <c r="BA5" s="14" t="s">
        <v>162</v>
      </c>
      <c r="BB5" s="16">
        <v>0</v>
      </c>
      <c r="BC5" s="16">
        <v>0</v>
      </c>
      <c r="BD5" s="14" t="s">
        <v>162</v>
      </c>
      <c r="BE5" s="19">
        <v>1.22E-5</v>
      </c>
      <c r="BF5" s="19">
        <v>1.9999999999999999E-6</v>
      </c>
      <c r="BG5" s="14" t="s">
        <v>162</v>
      </c>
      <c r="BH5" s="16">
        <v>0</v>
      </c>
      <c r="BI5" s="16">
        <v>0</v>
      </c>
      <c r="BJ5" s="14" t="s">
        <v>162</v>
      </c>
      <c r="BK5" s="19">
        <v>1.66E-5</v>
      </c>
      <c r="BL5" s="19">
        <v>2.7E-6</v>
      </c>
      <c r="BM5" s="14" t="s">
        <v>162</v>
      </c>
      <c r="BN5" s="16">
        <v>0</v>
      </c>
      <c r="BO5" s="16">
        <v>0</v>
      </c>
      <c r="BP5" s="14" t="s">
        <v>162</v>
      </c>
      <c r="BQ5">
        <v>-25.82</v>
      </c>
      <c r="BR5">
        <v>0.48</v>
      </c>
      <c r="BS5" s="14" t="s">
        <v>162</v>
      </c>
      <c r="BT5" s="20">
        <v>-5.0999999999999996</v>
      </c>
      <c r="BU5" s="20">
        <v>0.31</v>
      </c>
      <c r="BV5" s="14" t="s">
        <v>163</v>
      </c>
      <c r="BW5">
        <v>388</v>
      </c>
      <c r="BX5">
        <v>8.09</v>
      </c>
      <c r="BY5">
        <v>0.24</v>
      </c>
      <c r="BZ5" s="14" t="s">
        <v>164</v>
      </c>
      <c r="CA5">
        <v>0.56999999999999995</v>
      </c>
      <c r="CB5">
        <v>0.05</v>
      </c>
      <c r="CC5" s="14" t="s">
        <v>164</v>
      </c>
      <c r="CD5">
        <v>2</v>
      </c>
      <c r="CE5">
        <v>0.1</v>
      </c>
      <c r="CF5" s="14" t="s">
        <v>139</v>
      </c>
      <c r="CG5">
        <v>1</v>
      </c>
      <c r="CH5">
        <v>0</v>
      </c>
      <c r="CI5" s="14" t="s">
        <v>140</v>
      </c>
      <c r="CJ5">
        <v>1</v>
      </c>
      <c r="CK5">
        <v>0.05</v>
      </c>
      <c r="CL5" s="14" t="s">
        <v>139</v>
      </c>
      <c r="CM5">
        <v>0.6</v>
      </c>
      <c r="CN5">
        <v>0.03</v>
      </c>
      <c r="CO5" s="14" t="s">
        <v>139</v>
      </c>
      <c r="CP5">
        <v>0.44</v>
      </c>
      <c r="CQ5">
        <v>0.04</v>
      </c>
      <c r="CR5" s="14" t="s">
        <v>165</v>
      </c>
      <c r="CS5">
        <v>1.2999999999999999E-2</v>
      </c>
      <c r="CT5">
        <v>6.4999999999999997E-4</v>
      </c>
      <c r="CU5" s="14" t="s">
        <v>139</v>
      </c>
      <c r="CV5" s="14" t="s">
        <v>141</v>
      </c>
      <c r="CW5" s="15">
        <v>30</v>
      </c>
      <c r="CX5" s="15">
        <v>9.4009599999999997E-4</v>
      </c>
      <c r="CY5" s="15">
        <v>40</v>
      </c>
      <c r="CZ5" s="15">
        <v>25</v>
      </c>
    </row>
    <row r="6" spans="1:104" s="7" customFormat="1" ht="17" x14ac:dyDescent="0.2">
      <c r="A6" t="s">
        <v>184</v>
      </c>
      <c r="B6" t="s">
        <v>178</v>
      </c>
      <c r="C6" t="s">
        <v>172</v>
      </c>
      <c r="D6" t="s">
        <v>173</v>
      </c>
      <c r="E6">
        <v>2019</v>
      </c>
      <c r="F6" t="str">
        <f>Z6</f>
        <v>10.1029/2018GL081215</v>
      </c>
      <c r="G6" s="57">
        <f t="shared" si="3"/>
        <v>66543</v>
      </c>
      <c r="H6" s="57">
        <f t="shared" si="4"/>
        <v>200.00000000000284</v>
      </c>
      <c r="I6" s="57">
        <f t="shared" si="5"/>
        <v>200.00000000000284</v>
      </c>
      <c r="J6" s="58">
        <f>AQ6</f>
        <v>624</v>
      </c>
      <c r="K6" s="59">
        <f>AT6-AQ6</f>
        <v>258</v>
      </c>
      <c r="L6" s="59">
        <f>AQ6-AS6</f>
        <v>170</v>
      </c>
      <c r="M6" t="b">
        <v>1</v>
      </c>
      <c r="N6">
        <v>1</v>
      </c>
      <c r="O6" s="61" t="s">
        <v>207</v>
      </c>
      <c r="P6" t="s">
        <v>191</v>
      </c>
      <c r="Q6" t="b">
        <v>0</v>
      </c>
      <c r="R6" t="s">
        <v>191</v>
      </c>
      <c r="S6" t="b">
        <v>1</v>
      </c>
      <c r="T6" t="b">
        <v>0</v>
      </c>
      <c r="U6" t="s">
        <v>191</v>
      </c>
      <c r="V6" t="s">
        <v>191</v>
      </c>
      <c r="W6" t="b">
        <v>0</v>
      </c>
      <c r="X6" t="s">
        <v>191</v>
      </c>
      <c r="Y6" s="43" t="s">
        <v>188</v>
      </c>
      <c r="Z6" s="14" t="s">
        <v>186</v>
      </c>
      <c r="AA6" s="41" t="s">
        <v>179</v>
      </c>
      <c r="AB6" s="15" t="s">
        <v>143</v>
      </c>
      <c r="AC6" s="43" t="s">
        <v>144</v>
      </c>
      <c r="AD6" s="43" t="s">
        <v>145</v>
      </c>
      <c r="AE6" s="44" t="s">
        <v>180</v>
      </c>
      <c r="AF6" s="44" t="s">
        <v>181</v>
      </c>
      <c r="AG6" s="45" t="s">
        <v>182</v>
      </c>
      <c r="AH6" s="46">
        <v>66.543000000000006</v>
      </c>
      <c r="AI6" s="40">
        <v>66.743000000000009</v>
      </c>
      <c r="AJ6" s="40">
        <v>66.343000000000004</v>
      </c>
      <c r="AK6" s="43" t="s">
        <v>191</v>
      </c>
      <c r="AL6" s="45" t="s">
        <v>183</v>
      </c>
      <c r="AM6" s="42">
        <v>46.149720000000002</v>
      </c>
      <c r="AN6" s="47">
        <v>-103.81610000000001</v>
      </c>
      <c r="AO6" s="56" t="s">
        <v>191</v>
      </c>
      <c r="AP6" s="56" t="s">
        <v>191</v>
      </c>
      <c r="AQ6" s="42">
        <v>624</v>
      </c>
      <c r="AR6" s="43" t="s">
        <v>134</v>
      </c>
      <c r="AS6" s="42">
        <v>454</v>
      </c>
      <c r="AT6" s="42">
        <v>882</v>
      </c>
      <c r="AU6" s="43" t="s">
        <v>135</v>
      </c>
      <c r="AV6" s="43" t="s">
        <v>136</v>
      </c>
      <c r="AW6" s="43" t="s">
        <v>137</v>
      </c>
      <c r="AX6" s="44" t="s">
        <v>153</v>
      </c>
      <c r="AY6" s="48">
        <v>64100000</v>
      </c>
      <c r="AZ6" s="49">
        <v>6840000</v>
      </c>
      <c r="BA6" s="44" t="s">
        <v>142</v>
      </c>
      <c r="BB6" s="16">
        <v>0</v>
      </c>
      <c r="BC6" s="16">
        <v>0</v>
      </c>
      <c r="BD6" s="41" t="s">
        <v>142</v>
      </c>
      <c r="BE6" s="49">
        <v>1.42E-5</v>
      </c>
      <c r="BF6" s="49">
        <v>5.6300000000000005E-7</v>
      </c>
      <c r="BG6" s="41" t="s">
        <v>142</v>
      </c>
      <c r="BH6" s="16">
        <v>0</v>
      </c>
      <c r="BI6" s="16">
        <v>0</v>
      </c>
      <c r="BJ6" s="43" t="s">
        <v>142</v>
      </c>
      <c r="BK6" s="49">
        <v>1.947997162746154E-5</v>
      </c>
      <c r="BL6" s="49">
        <v>7.7074709406003466E-7</v>
      </c>
      <c r="BM6" s="41" t="s">
        <v>142</v>
      </c>
      <c r="BN6" s="16">
        <v>0</v>
      </c>
      <c r="BO6" s="16">
        <v>0</v>
      </c>
      <c r="BP6" s="41" t="s">
        <v>142</v>
      </c>
      <c r="BQ6" s="50">
        <v>-24.5</v>
      </c>
      <c r="BR6" s="50">
        <v>0.15</v>
      </c>
      <c r="BS6" s="41" t="s">
        <v>142</v>
      </c>
      <c r="BT6" s="51">
        <v>-5.8</v>
      </c>
      <c r="BU6" s="50">
        <v>0.42</v>
      </c>
      <c r="BV6" s="43" t="s">
        <v>163</v>
      </c>
      <c r="BW6" s="42">
        <v>388</v>
      </c>
      <c r="BX6" s="52">
        <v>8.09</v>
      </c>
      <c r="BY6" s="52">
        <v>0.24</v>
      </c>
      <c r="BZ6" s="43" t="s">
        <v>164</v>
      </c>
      <c r="CA6" s="52">
        <v>0.56999999999999995</v>
      </c>
      <c r="CB6" s="52">
        <v>0.05</v>
      </c>
      <c r="CC6" s="43" t="s">
        <v>164</v>
      </c>
      <c r="CD6" s="52">
        <v>2</v>
      </c>
      <c r="CE6" s="52">
        <v>0.1</v>
      </c>
      <c r="CF6" s="43" t="s">
        <v>139</v>
      </c>
      <c r="CG6" s="52">
        <v>1</v>
      </c>
      <c r="CH6" s="52">
        <v>0</v>
      </c>
      <c r="CI6" s="43" t="s">
        <v>140</v>
      </c>
      <c r="CJ6" s="52">
        <v>1</v>
      </c>
      <c r="CK6" s="52">
        <v>0.05</v>
      </c>
      <c r="CL6" s="43" t="s">
        <v>139</v>
      </c>
      <c r="CM6" s="52">
        <v>0.6</v>
      </c>
      <c r="CN6" s="52">
        <v>0.03</v>
      </c>
      <c r="CO6" s="43" t="s">
        <v>139</v>
      </c>
      <c r="CP6" s="52">
        <v>0.44</v>
      </c>
      <c r="CQ6" s="52">
        <v>0.04</v>
      </c>
      <c r="CR6" s="43" t="s">
        <v>165</v>
      </c>
      <c r="CS6" s="52">
        <v>1.2999999999999999E-2</v>
      </c>
      <c r="CT6" s="52">
        <v>6.4999999999999997E-4</v>
      </c>
      <c r="CU6" s="43" t="s">
        <v>139</v>
      </c>
      <c r="CV6" s="43" t="s">
        <v>141</v>
      </c>
      <c r="CW6" s="15">
        <v>30</v>
      </c>
      <c r="CX6" s="15">
        <v>9.4009599999999997E-4</v>
      </c>
      <c r="CY6" s="15">
        <v>40</v>
      </c>
      <c r="CZ6" s="15">
        <v>25</v>
      </c>
    </row>
    <row r="7" spans="1:104" s="7" customFormat="1" x14ac:dyDescent="0.2">
      <c r="AY7" s="21"/>
      <c r="AZ7" s="21"/>
      <c r="BB7" s="21"/>
      <c r="BC7" s="21"/>
      <c r="BE7" s="21"/>
      <c r="BF7" s="21"/>
      <c r="BH7" s="21"/>
      <c r="BI7" s="21"/>
      <c r="BK7" s="21"/>
      <c r="BL7" s="21"/>
      <c r="BN7" s="21"/>
      <c r="BO7" s="21"/>
    </row>
    <row r="8" spans="1:104" s="7" customFormat="1" x14ac:dyDescent="0.2">
      <c r="AY8" s="21"/>
      <c r="AZ8" s="21"/>
      <c r="BE8" s="21"/>
      <c r="BF8" s="21"/>
      <c r="BH8" s="21"/>
      <c r="BI8" s="21"/>
      <c r="BK8" s="21"/>
      <c r="BL8" s="21"/>
      <c r="BN8" s="21"/>
      <c r="BO8" s="21"/>
    </row>
    <row r="9" spans="1:104" s="7" customFormat="1" x14ac:dyDescent="0.2"/>
    <row r="10" spans="1:104" s="7" customFormat="1" x14ac:dyDescent="0.2"/>
    <row r="11" spans="1:104" s="7" customFormat="1" x14ac:dyDescent="0.2"/>
    <row r="12" spans="1:104" s="7" customFormat="1" x14ac:dyDescent="0.2"/>
    <row r="13" spans="1:104" s="7" customFormat="1" x14ac:dyDescent="0.2"/>
    <row r="14" spans="1:104" s="7" customFormat="1" x14ac:dyDescent="0.2"/>
    <row r="15" spans="1:104" s="7" customFormat="1" x14ac:dyDescent="0.2"/>
    <row r="16" spans="1:104"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53" t="s">
        <v>0</v>
      </c>
    </row>
    <row r="2" spans="1:1" ht="17" x14ac:dyDescent="0.2">
      <c r="A2" s="54" t="s">
        <v>1</v>
      </c>
    </row>
    <row r="3" spans="1:1" x14ac:dyDescent="0.2">
      <c r="A3" s="53" t="s">
        <v>2</v>
      </c>
    </row>
    <row r="4" spans="1:1" x14ac:dyDescent="0.2">
      <c r="A4" s="5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2019-02-07T19:31:02Z</dcterms:created>
  <dcterms:modified xsi:type="dcterms:W3CDTF">2022-03-17T19:03:57Z</dcterms:modified>
</cp:coreProperties>
</file>