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93727E1B-517F-044C-9BE9-FB1FB4D76B36}" xr6:coauthVersionLast="47" xr6:coauthVersionMax="47" xr10:uidLastSave="{00000000-0000-0000-0000-000000000000}"/>
  <bookViews>
    <workbookView xWindow="260" yWindow="2580" windowWidth="28180" windowHeight="1628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6" i="1" l="1"/>
  <c r="G6" i="1"/>
  <c r="H6" i="1"/>
  <c r="I6" i="1"/>
  <c r="J6" i="1"/>
  <c r="K6" i="1"/>
  <c r="L6" i="1"/>
  <c r="F7" i="1"/>
  <c r="G7" i="1"/>
  <c r="H7" i="1"/>
  <c r="I7" i="1"/>
  <c r="J7" i="1"/>
  <c r="K7" i="1"/>
  <c r="L7" i="1"/>
  <c r="F5" i="1"/>
  <c r="G5" i="1"/>
  <c r="H5" i="1"/>
  <c r="I5" i="1"/>
  <c r="J5" i="1"/>
  <c r="K5" i="1"/>
  <c r="L5" i="1"/>
  <c r="I4" i="1"/>
  <c r="H4" i="1"/>
  <c r="L4" i="1"/>
  <c r="K4" i="1"/>
  <c r="J4" i="1"/>
  <c r="G4" i="1"/>
  <c r="F4" i="1"/>
</calcChain>
</file>

<file path=xl/sharedStrings.xml><?xml version="1.0" encoding="utf-8"?>
<sst xmlns="http://schemas.openxmlformats.org/spreadsheetml/2006/main" count="197" uniqueCount="105">
  <si>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</si>
  <si>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</si>
  <si>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</si>
  <si>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</si>
  <si>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</si>
  <si>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</si>
  <si>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</si>
  <si>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</si>
  <si>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</si>
  <si>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</si>
  <si>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</si>
  <si>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</si>
  <si>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</si>
  <si>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</si>
  <si>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</si>
  <si>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</si>
  <si>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</si>
  <si>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</si>
  <si>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</si>
  <si>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</si>
  <si>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</si>
  <si>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</si>
  <si>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</si>
  <si>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</si>
  <si>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</si>
  <si>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</si>
  <si>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</si>
  <si>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</si>
  <si>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</si>
  <si>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</si>
  <si>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</si>
  <si>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</si>
  <si>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</si>
  <si>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Dana L. Royer</t>
  </si>
  <si>
    <t>10.1073/pnas.122573099</t>
  </si>
  <si>
    <t>LJH 7659 site</t>
  </si>
  <si>
    <t>Ginkgoaceae</t>
  </si>
  <si>
    <t>Ginkgo</t>
  </si>
  <si>
    <t>adiantoides</t>
  </si>
  <si>
    <t>Yale Peabody Museum (YPM 40794-40800 and YPM 45166-45173)</t>
  </si>
  <si>
    <t>Fort Union (Bighorn Basin)</t>
  </si>
  <si>
    <t>~4 m above KPg boundary; early Puercan NALMA</t>
  </si>
  <si>
    <t>biostratigraphy (early Puercan)</t>
  </si>
  <si>
    <t>microscope</t>
  </si>
  <si>
    <t>0.1795 mm2</t>
  </si>
  <si>
    <t>fields-of-view were partly comprised of non-stomatal-bearing areas (for example, over top major veins); the field-of-view fraction that was usable was not measured; as such, the measured stomatal densities are not particularly useful.</t>
  </si>
  <si>
    <t>Ginkgo biloba</t>
  </si>
  <si>
    <t>LJH 7423 site</t>
  </si>
  <si>
    <t>Smithsonian Museum of Natural History (USNM 519346-519350)</t>
  </si>
  <si>
    <t>DMNH 2360 site</t>
  </si>
  <si>
    <t>Denver Museum of Nature and Science (DMNH 23071-23075)</t>
  </si>
  <si>
    <t>Dawson (Denver Basin)</t>
  </si>
  <si>
    <t>radiometric dating (Raynolds et al., 2001, p. 21; see Royer 2003 for citation)</t>
  </si>
  <si>
    <t>?</t>
  </si>
  <si>
    <t>Basilika site</t>
  </si>
  <si>
    <t>spitsbergensis (considered conspecific with G. adiantoides)</t>
  </si>
  <si>
    <t>Oslo Paleontological Museum and Yale Peabody Museum (PMO PA164.991, PMO PA164.992, PMO PA164.998, PMO PA165.003, PMO PA167.556, PMO PA167.557, YPM 45128)</t>
  </si>
  <si>
    <t>Firkanten</t>
  </si>
  <si>
    <t>early Paleocene (Kvacek et al., 1994; see Royer 2003 for citation)</t>
  </si>
  <si>
    <t>biostratigraphy (early Paleocene)</t>
  </si>
  <si>
    <t>this is the original estimate; it has been updated with more rigorous error propagation by Beerling et al. (2009); see above for revised estimate; the revised estimate has been updated by Milligan et al. using the Franks gas-exchange method</t>
  </si>
  <si>
    <t>Beerling et al. 2002</t>
  </si>
  <si>
    <t>Royer (2003)</t>
  </si>
  <si>
    <t>Uncertainties only in the calibration function are included</t>
  </si>
  <si>
    <t>mean</t>
  </si>
  <si>
    <t>95% confidence intervals</t>
  </si>
  <si>
    <t>slightly right skewed</t>
  </si>
  <si>
    <t>this is the original estimate; it has been updated with more rigorous error propagation by Beerling et al. (2009); see above for revised estimate</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</si>
  <si>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</si>
  <si>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</si>
  <si>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</si>
  <si>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</si>
  <si>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</si>
  <si>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</si>
  <si>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</si>
  <si>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</si>
  <si>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</si>
  <si>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</si>
  <si>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stomata-SI</t>
  </si>
  <si>
    <t>Beerling</t>
  </si>
  <si>
    <t>droyer@wesleyan.edu</t>
  </si>
  <si>
    <t>10.2475/09.2009.01</t>
  </si>
  <si>
    <t>age updated by GTS2012</t>
  </si>
  <si>
    <t>Estimate updated by Beerling et al. (2009)</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</si>
  <si>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</si>
  <si>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</si>
  <si>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</si>
  <si>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</si>
  <si>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</si>
  <si>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</si>
  <si>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</si>
  <si>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</si>
  <si>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</si>
  <si>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</si>
  <si>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</si>
  <si>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</si>
  <si>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</si>
  <si>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</si>
  <si>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</si>
  <si>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</si>
  <si>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</si>
  <si>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</si>
  <si>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GTS2020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</si>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</sst>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8"/>
      <name val="Calibri"/>
      <family val="2"/>
      <scheme val="minor"/>
    </font>
  </fonts>
  <fills count="3">
    <fill>
      <patternFill patternType="none"/>
    </fill>
    <fill>
      <patternFill patternType="gray125"/>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27">
    <xf numFmtId="0" fontId="0" fillId="0" borderId="0" xfId="0"/>
    <xf numFmtId="0" fontId="0" fillId="0" borderId="0" xfId="0" applyBorder="1" applyAlignment="1"/>
    <xf numFmtId="0" fontId="2" fillId="0" borderId="0" xfId="0" applyFont="1" applyAlignment="1">
      <alignment wrapText="1"/>
    </xf>
    <xf numFmtId="0" fontId="0" fillId="0" borderId="0" xfId="0" applyFill="1" applyBorder="1" applyAlignment="1"/>
    <xf numFmtId="0" fontId="0" fillId="0" borderId="0" xfId="0" applyFill="1" applyBorder="1" applyAlignment="1">
      <alignment horizontal="right"/>
    </xf>
    <xf numFmtId="0" fontId="0" fillId="0" borderId="0" xfId="0" applyFill="1"/>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0" borderId="0" xfId="0" applyFont="1" applyFill="1" applyBorder="1" applyAlignment="1">
      <alignment vertical="top" wrapText="1"/>
    </xf>
    <xf numFmtId="0" fontId="2" fillId="0" borderId="0" xfId="0" applyFont="1" applyFill="1" applyBorder="1" applyAlignment="1">
      <alignment horizontal="center" vertical="top" wrapText="1"/>
    </xf>
    <xf numFmtId="2" fontId="2" fillId="0" borderId="0" xfId="0" applyNumberFormat="1" applyFont="1" applyFill="1" applyBorder="1" applyAlignment="1">
      <alignment horizontal="center" vertical="top" wrapText="1"/>
    </xf>
    <xf numFmtId="0" fontId="4" fillId="2" borderId="0" xfId="0" applyFont="1" applyFill="1" applyBorder="1" applyAlignment="1">
      <alignment vertical="top" wrapText="1"/>
    </xf>
    <xf numFmtId="0" fontId="2" fillId="2" borderId="0" xfId="0" applyFont="1" applyFill="1" applyBorder="1" applyAlignment="1">
      <alignment horizontal="center" vertical="top" wrapText="1"/>
    </xf>
    <xf numFmtId="0" fontId="6" fillId="2" borderId="0" xfId="0" applyFont="1" applyFill="1" applyBorder="1" applyAlignment="1">
      <alignment horizontal="center" vertical="top" wrapText="1"/>
    </xf>
    <xf numFmtId="1" fontId="0" fillId="0" borderId="0" xfId="0" applyNumberFormat="1"/>
    <xf numFmtId="0" fontId="0" fillId="0" borderId="2" xfId="0" applyBorder="1" applyAlignment="1">
      <alignment wrapText="1"/>
    </xf>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949"/>
  <sheetViews>
    <sheetView tabSelected="1" topLeftCell="E1" workbookViewId="0">
      <pane ySplit="3" topLeftCell="A4" activePane="bottomLeft" state="frozen"/>
      <selection pane="bottomLeft" activeCell="N3" sqref="N3:O3"/>
    </sheetView>
  </sheetViews>
  <sheetFormatPr baseColWidth="10" defaultColWidth="11" defaultRowHeight="16" x14ac:dyDescent="0.2"/>
  <cols>
    <col min="33" max="33" width="12.1640625" customWidth="1"/>
    <col min="35" max="35" width="12.6640625" customWidth="1"/>
    <col min="36" max="36" width="12.1640625" customWidth="1"/>
    <col min="38" max="38" width="12.6640625" customWidth="1"/>
    <col min="43" max="43" width="12.1640625" customWidth="1"/>
    <col min="44" max="44" width="12.5" customWidth="1"/>
    <col min="50" max="50" width="13.6640625" customWidth="1"/>
    <col min="61" max="61" width="16.1640625" customWidth="1"/>
  </cols>
  <sheetData>
    <row r="3" spans="1:62" s="2" customFormat="1" ht="253" customHeight="1" x14ac:dyDescent="0.2">
      <c r="A3" s="10" t="s">
        <v>68</v>
      </c>
      <c r="B3" s="11" t="s">
        <v>69</v>
      </c>
      <c r="C3" s="12" t="s">
        <v>70</v>
      </c>
      <c r="D3" s="13" t="s">
        <v>71</v>
      </c>
      <c r="E3" s="13" t="s">
        <v>72</v>
      </c>
      <c r="F3" s="14" t="s">
        <v>1</v>
      </c>
      <c r="G3" s="14" t="s">
        <v>73</v>
      </c>
      <c r="H3" s="15" t="s">
        <v>74</v>
      </c>
      <c r="I3" s="15" t="s">
        <v>75</v>
      </c>
      <c r="J3" s="13" t="s">
        <v>84</v>
      </c>
      <c r="K3" s="15" t="s">
        <v>85</v>
      </c>
      <c r="L3" s="16" t="s">
        <v>95</v>
      </c>
      <c r="M3" s="6" t="s">
        <v>86</v>
      </c>
      <c r="N3" s="26" t="s">
        <v>103</v>
      </c>
      <c r="O3" s="26" t="s">
        <v>104</v>
      </c>
      <c r="P3" s="6" t="s">
        <v>87</v>
      </c>
      <c r="Q3" s="7" t="s">
        <v>88</v>
      </c>
      <c r="R3" s="8" t="s">
        <v>89</v>
      </c>
      <c r="S3" s="9" t="s">
        <v>90</v>
      </c>
      <c r="T3" s="6" t="s">
        <v>91</v>
      </c>
      <c r="U3" s="6" t="s">
        <v>76</v>
      </c>
      <c r="V3" s="6" t="s">
        <v>92</v>
      </c>
      <c r="W3" s="17" t="s">
        <v>93</v>
      </c>
      <c r="X3" s="18" t="s">
        <v>77</v>
      </c>
      <c r="Y3" s="22" t="s">
        <v>96</v>
      </c>
      <c r="Z3" s="22" t="s">
        <v>97</v>
      </c>
      <c r="AA3" s="22" t="s">
        <v>2</v>
      </c>
      <c r="AB3" s="22" t="s">
        <v>3</v>
      </c>
      <c r="AC3" s="22" t="s">
        <v>4</v>
      </c>
      <c r="AD3" s="22" t="s">
        <v>5</v>
      </c>
      <c r="AE3" s="22" t="s">
        <v>6</v>
      </c>
      <c r="AF3" s="22" t="s">
        <v>7</v>
      </c>
      <c r="AG3" s="23" t="s">
        <v>8</v>
      </c>
      <c r="AH3" s="22" t="s">
        <v>9</v>
      </c>
      <c r="AI3" s="22" t="s">
        <v>10</v>
      </c>
      <c r="AJ3" s="22" t="s">
        <v>11</v>
      </c>
      <c r="AK3" s="22" t="s">
        <v>12</v>
      </c>
      <c r="AL3" s="22" t="s">
        <v>13</v>
      </c>
      <c r="AM3" s="22" t="s">
        <v>98</v>
      </c>
      <c r="AN3" s="22" t="s">
        <v>99</v>
      </c>
      <c r="AO3" s="24" t="s">
        <v>100</v>
      </c>
      <c r="AP3" s="24" t="s">
        <v>101</v>
      </c>
      <c r="AQ3" s="20" t="s">
        <v>14</v>
      </c>
      <c r="AR3" s="20" t="s">
        <v>15</v>
      </c>
      <c r="AS3" s="20" t="s">
        <v>16</v>
      </c>
      <c r="AT3" s="20" t="s">
        <v>17</v>
      </c>
      <c r="AU3" s="21" t="s">
        <v>18</v>
      </c>
      <c r="AV3" s="21" t="s">
        <v>19</v>
      </c>
      <c r="AW3" s="20" t="s">
        <v>20</v>
      </c>
      <c r="AX3" s="20" t="s">
        <v>21</v>
      </c>
      <c r="AY3" s="21" t="s">
        <v>22</v>
      </c>
      <c r="AZ3" s="21" t="s">
        <v>23</v>
      </c>
      <c r="BA3" s="20" t="s">
        <v>24</v>
      </c>
      <c r="BB3" s="20" t="s">
        <v>25</v>
      </c>
      <c r="BC3" s="20" t="s">
        <v>26</v>
      </c>
      <c r="BD3" s="20" t="s">
        <v>27</v>
      </c>
      <c r="BE3" s="19" t="s">
        <v>28</v>
      </c>
      <c r="BF3" s="20" t="s">
        <v>29</v>
      </c>
      <c r="BG3" s="20" t="s">
        <v>30</v>
      </c>
      <c r="BH3" s="19" t="s">
        <v>31</v>
      </c>
      <c r="BI3" s="19" t="s">
        <v>32</v>
      </c>
      <c r="BJ3" s="19" t="s">
        <v>0</v>
      </c>
    </row>
    <row r="4" spans="1:62" x14ac:dyDescent="0.2">
      <c r="A4" t="s">
        <v>33</v>
      </c>
      <c r="B4" t="s">
        <v>80</v>
      </c>
      <c r="C4" t="s">
        <v>78</v>
      </c>
      <c r="D4" t="s">
        <v>79</v>
      </c>
      <c r="E4">
        <v>2002</v>
      </c>
      <c r="F4" s="1" t="str">
        <f>Z4</f>
        <v>10.1073/pnas.122573099</v>
      </c>
      <c r="G4">
        <f>AH4*1000</f>
        <v>65400.000000000007</v>
      </c>
      <c r="H4">
        <f>(AI4-AH4)*1000</f>
        <v>599.99999999999432</v>
      </c>
      <c r="I4">
        <f>(AH4-AJ4)*1000</f>
        <v>600.00000000000853</v>
      </c>
      <c r="J4">
        <f>BD4</f>
        <v>344</v>
      </c>
      <c r="K4" s="25">
        <f>BG4-BD4</f>
        <v>4</v>
      </c>
      <c r="L4" s="25">
        <f>BD4-BF4</f>
        <v>4</v>
      </c>
      <c r="M4" t="b">
        <v>1</v>
      </c>
      <c r="N4">
        <v>3</v>
      </c>
      <c r="O4" t="s">
        <v>83</v>
      </c>
      <c r="P4" s="3" t="s">
        <v>81</v>
      </c>
      <c r="Q4" t="b">
        <v>0</v>
      </c>
      <c r="R4" t="s">
        <v>94</v>
      </c>
      <c r="S4" s="5" t="b">
        <v>0</v>
      </c>
      <c r="T4" t="b">
        <v>0</v>
      </c>
      <c r="U4" t="s">
        <v>94</v>
      </c>
      <c r="V4" t="s">
        <v>81</v>
      </c>
      <c r="W4" t="b">
        <v>1</v>
      </c>
      <c r="X4" t="s">
        <v>82</v>
      </c>
      <c r="Y4" s="3" t="s">
        <v>61</v>
      </c>
      <c r="Z4" s="3" t="s">
        <v>34</v>
      </c>
      <c r="AA4" s="3" t="s">
        <v>35</v>
      </c>
      <c r="AB4" s="3" t="s">
        <v>36</v>
      </c>
      <c r="AC4" s="3" t="s">
        <v>37</v>
      </c>
      <c r="AD4" s="3" t="s">
        <v>38</v>
      </c>
      <c r="AE4" s="3" t="s">
        <v>39</v>
      </c>
      <c r="AF4" s="3" t="s">
        <v>40</v>
      </c>
      <c r="AG4" s="3" t="s">
        <v>41</v>
      </c>
      <c r="AH4" s="4">
        <v>65.400000000000006</v>
      </c>
      <c r="AI4" s="4">
        <v>66</v>
      </c>
      <c r="AJ4" s="4">
        <v>64.8</v>
      </c>
      <c r="AK4" s="3" t="s">
        <v>102</v>
      </c>
      <c r="AL4" s="3" t="s">
        <v>42</v>
      </c>
      <c r="AM4" s="4">
        <v>44.95</v>
      </c>
      <c r="AN4" s="4">
        <v>-108.87</v>
      </c>
      <c r="AO4" s="4" t="s">
        <v>94</v>
      </c>
      <c r="AP4" s="4" t="s">
        <v>94</v>
      </c>
      <c r="AQ4" s="4">
        <v>3</v>
      </c>
      <c r="AR4" s="4">
        <v>15</v>
      </c>
      <c r="AS4" s="3" t="s">
        <v>43</v>
      </c>
      <c r="AT4" s="3" t="s">
        <v>44</v>
      </c>
      <c r="AU4" s="3"/>
      <c r="AV4" s="3"/>
      <c r="AW4" s="3" t="s">
        <v>45</v>
      </c>
      <c r="AX4" s="4">
        <v>9.32</v>
      </c>
      <c r="AY4" s="3"/>
      <c r="AZ4" s="4">
        <v>0.89</v>
      </c>
      <c r="BA4" s="3" t="s">
        <v>46</v>
      </c>
      <c r="BB4" s="3" t="s">
        <v>62</v>
      </c>
      <c r="BC4" s="3" t="s">
        <v>63</v>
      </c>
      <c r="BD4" s="4">
        <v>344</v>
      </c>
      <c r="BE4" s="3" t="s">
        <v>64</v>
      </c>
      <c r="BF4" s="4">
        <v>340</v>
      </c>
      <c r="BG4" s="4">
        <v>348</v>
      </c>
      <c r="BH4" s="3" t="s">
        <v>65</v>
      </c>
      <c r="BI4" s="3" t="s">
        <v>66</v>
      </c>
      <c r="BJ4" s="3" t="s">
        <v>60</v>
      </c>
    </row>
    <row r="5" spans="1:62" x14ac:dyDescent="0.2">
      <c r="A5" t="s">
        <v>33</v>
      </c>
      <c r="B5" t="s">
        <v>80</v>
      </c>
      <c r="C5" t="s">
        <v>78</v>
      </c>
      <c r="D5" t="s">
        <v>79</v>
      </c>
      <c r="E5">
        <v>2002</v>
      </c>
      <c r="F5" s="1" t="str">
        <f>Z5</f>
        <v>10.1073/pnas.122573099</v>
      </c>
      <c r="G5">
        <f>AH5*1000</f>
        <v>65400.000000000007</v>
      </c>
      <c r="H5">
        <f>(AI5-AH5)*1000</f>
        <v>599.99999999999432</v>
      </c>
      <c r="I5">
        <f>(AH5-AJ5)*1000</f>
        <v>600.00000000000853</v>
      </c>
      <c r="J5">
        <f>BD5</f>
        <v>339</v>
      </c>
      <c r="K5" s="25">
        <f>BG5-BD5</f>
        <v>6</v>
      </c>
      <c r="L5" s="25">
        <f>BD5-BF5</f>
        <v>5</v>
      </c>
      <c r="M5" t="b">
        <v>1</v>
      </c>
      <c r="N5">
        <v>3</v>
      </c>
      <c r="O5" t="s">
        <v>83</v>
      </c>
      <c r="P5" s="3" t="s">
        <v>81</v>
      </c>
      <c r="Q5" t="b">
        <v>0</v>
      </c>
      <c r="R5" t="s">
        <v>94</v>
      </c>
      <c r="S5" s="5" t="b">
        <v>0</v>
      </c>
      <c r="T5" t="b">
        <v>0</v>
      </c>
      <c r="U5" t="s">
        <v>94</v>
      </c>
      <c r="V5" t="s">
        <v>81</v>
      </c>
      <c r="W5" t="b">
        <v>1</v>
      </c>
      <c r="X5" t="s">
        <v>82</v>
      </c>
      <c r="Y5" s="3" t="s">
        <v>61</v>
      </c>
      <c r="Z5" s="3" t="s">
        <v>34</v>
      </c>
      <c r="AA5" s="3" t="s">
        <v>47</v>
      </c>
      <c r="AB5" s="3" t="s">
        <v>36</v>
      </c>
      <c r="AC5" s="3" t="s">
        <v>37</v>
      </c>
      <c r="AD5" s="3" t="s">
        <v>38</v>
      </c>
      <c r="AE5" s="3" t="s">
        <v>48</v>
      </c>
      <c r="AF5" s="3" t="s">
        <v>40</v>
      </c>
      <c r="AG5" s="3" t="s">
        <v>41</v>
      </c>
      <c r="AH5" s="4">
        <v>65.400000000000006</v>
      </c>
      <c r="AI5" s="4">
        <v>66</v>
      </c>
      <c r="AJ5" s="4">
        <v>64.8</v>
      </c>
      <c r="AK5" s="3" t="s">
        <v>102</v>
      </c>
      <c r="AL5" s="3" t="s">
        <v>42</v>
      </c>
      <c r="AM5" s="4">
        <v>45.07</v>
      </c>
      <c r="AN5" s="3" t="s">
        <v>53</v>
      </c>
      <c r="AO5" s="4" t="s">
        <v>94</v>
      </c>
      <c r="AP5" s="4" t="s">
        <v>94</v>
      </c>
      <c r="AQ5" s="4">
        <v>3</v>
      </c>
      <c r="AR5" s="4">
        <v>5</v>
      </c>
      <c r="AS5" s="3" t="s">
        <v>43</v>
      </c>
      <c r="AT5" s="3" t="s">
        <v>44</v>
      </c>
      <c r="AU5" s="3"/>
      <c r="AV5" s="3"/>
      <c r="AW5" s="3" t="s">
        <v>45</v>
      </c>
      <c r="AX5" s="4">
        <v>9.48</v>
      </c>
      <c r="AY5" s="3"/>
      <c r="AZ5" s="4">
        <v>0.75</v>
      </c>
      <c r="BA5" s="3" t="s">
        <v>46</v>
      </c>
      <c r="BB5" s="3" t="s">
        <v>62</v>
      </c>
      <c r="BC5" s="3" t="s">
        <v>63</v>
      </c>
      <c r="BD5" s="4">
        <v>339</v>
      </c>
      <c r="BE5" s="3" t="s">
        <v>64</v>
      </c>
      <c r="BF5" s="4">
        <v>334</v>
      </c>
      <c r="BG5" s="4">
        <v>345</v>
      </c>
      <c r="BH5" s="3" t="s">
        <v>65</v>
      </c>
      <c r="BI5" s="3" t="s">
        <v>66</v>
      </c>
      <c r="BJ5" s="3" t="s">
        <v>67</v>
      </c>
    </row>
    <row r="6" spans="1:62" x14ac:dyDescent="0.2">
      <c r="A6" t="s">
        <v>33</v>
      </c>
      <c r="B6" t="s">
        <v>80</v>
      </c>
      <c r="C6" t="s">
        <v>78</v>
      </c>
      <c r="D6" t="s">
        <v>79</v>
      </c>
      <c r="E6">
        <v>2002</v>
      </c>
      <c r="F6" s="1" t="str">
        <f>Z6</f>
        <v>10.1073/pnas.122573099</v>
      </c>
      <c r="G6">
        <f>AH6*1000</f>
        <v>64099.999999999993</v>
      </c>
      <c r="H6">
        <f>(AI6-AH6)*1000</f>
        <v>200.00000000000284</v>
      </c>
      <c r="I6">
        <f>(AH6-AJ6)*1000</f>
        <v>199.99999999999574</v>
      </c>
      <c r="J6">
        <f>BD6</f>
        <v>329</v>
      </c>
      <c r="K6" s="25">
        <f>BG6-BD6</f>
        <v>5</v>
      </c>
      <c r="L6" s="25">
        <f>BD6-BF6</f>
        <v>4</v>
      </c>
      <c r="M6" t="b">
        <v>1</v>
      </c>
      <c r="N6">
        <v>3</v>
      </c>
      <c r="O6" t="s">
        <v>83</v>
      </c>
      <c r="P6" s="3" t="s">
        <v>81</v>
      </c>
      <c r="Q6" t="b">
        <v>0</v>
      </c>
      <c r="R6" t="s">
        <v>94</v>
      </c>
      <c r="S6" s="5" t="b">
        <v>0</v>
      </c>
      <c r="T6" t="b">
        <v>0</v>
      </c>
      <c r="U6" t="s">
        <v>94</v>
      </c>
      <c r="V6" t="s">
        <v>81</v>
      </c>
      <c r="W6" t="b">
        <v>1</v>
      </c>
      <c r="X6" t="s">
        <v>82</v>
      </c>
      <c r="Y6" s="3" t="s">
        <v>61</v>
      </c>
      <c r="Z6" s="3" t="s">
        <v>34</v>
      </c>
      <c r="AA6" s="3" t="s">
        <v>49</v>
      </c>
      <c r="AB6" s="3" t="s">
        <v>36</v>
      </c>
      <c r="AC6" s="3" t="s">
        <v>37</v>
      </c>
      <c r="AD6" s="3" t="s">
        <v>38</v>
      </c>
      <c r="AE6" s="3" t="s">
        <v>50</v>
      </c>
      <c r="AF6" s="3" t="s">
        <v>51</v>
      </c>
      <c r="AG6" s="3" t="s">
        <v>52</v>
      </c>
      <c r="AH6" s="4">
        <v>64.099999999999994</v>
      </c>
      <c r="AI6" s="4">
        <v>64.3</v>
      </c>
      <c r="AJ6" s="4">
        <v>63.9</v>
      </c>
      <c r="AK6" s="3" t="s">
        <v>102</v>
      </c>
      <c r="AL6" s="3" t="s">
        <v>52</v>
      </c>
      <c r="AM6" s="4">
        <v>40</v>
      </c>
      <c r="AN6" s="3" t="s">
        <v>53</v>
      </c>
      <c r="AO6" s="4" t="s">
        <v>94</v>
      </c>
      <c r="AP6" s="4" t="s">
        <v>94</v>
      </c>
      <c r="AQ6" s="4">
        <v>3</v>
      </c>
      <c r="AR6" s="4">
        <v>5</v>
      </c>
      <c r="AS6" s="3" t="s">
        <v>43</v>
      </c>
      <c r="AT6" s="3" t="s">
        <v>44</v>
      </c>
      <c r="AU6" s="3"/>
      <c r="AV6" s="3"/>
      <c r="AW6" s="3" t="s">
        <v>45</v>
      </c>
      <c r="AX6" s="4">
        <v>9.9</v>
      </c>
      <c r="AY6" s="3"/>
      <c r="AZ6" s="4">
        <v>1.31</v>
      </c>
      <c r="BA6" s="3" t="s">
        <v>46</v>
      </c>
      <c r="BB6" s="3" t="s">
        <v>62</v>
      </c>
      <c r="BC6" s="3" t="s">
        <v>63</v>
      </c>
      <c r="BD6" s="4">
        <v>329</v>
      </c>
      <c r="BE6" s="3" t="s">
        <v>64</v>
      </c>
      <c r="BF6" s="4">
        <v>325</v>
      </c>
      <c r="BG6" s="4">
        <v>334</v>
      </c>
      <c r="BH6" s="3" t="s">
        <v>65</v>
      </c>
      <c r="BI6" s="3" t="s">
        <v>66</v>
      </c>
      <c r="BJ6" s="3" t="s">
        <v>67</v>
      </c>
    </row>
    <row r="7" spans="1:62" x14ac:dyDescent="0.2">
      <c r="A7" t="s">
        <v>33</v>
      </c>
      <c r="B7" t="s">
        <v>80</v>
      </c>
      <c r="C7" t="s">
        <v>78</v>
      </c>
      <c r="D7" t="s">
        <v>79</v>
      </c>
      <c r="E7">
        <v>2002</v>
      </c>
      <c r="F7" s="1" t="str">
        <f>Z7</f>
        <v>10.1073/pnas.122573099</v>
      </c>
      <c r="G7">
        <f>AH7*1000</f>
        <v>63800</v>
      </c>
      <c r="H7">
        <f>(AI7-AH7)*1000</f>
        <v>2200.0000000000027</v>
      </c>
      <c r="I7">
        <f>(AH7-AJ7)*1000</f>
        <v>2199.9999999999959</v>
      </c>
      <c r="J7">
        <f>BD7</f>
        <v>341</v>
      </c>
      <c r="K7" s="25">
        <f>BG7-BD7</f>
        <v>5</v>
      </c>
      <c r="L7" s="25">
        <f>BD7-BF7</f>
        <v>4</v>
      </c>
      <c r="M7" t="b">
        <v>1</v>
      </c>
      <c r="N7">
        <v>3</v>
      </c>
      <c r="O7" t="s">
        <v>83</v>
      </c>
      <c r="P7" s="3" t="s">
        <v>81</v>
      </c>
      <c r="Q7" t="b">
        <v>0</v>
      </c>
      <c r="R7" t="s">
        <v>94</v>
      </c>
      <c r="S7" s="5" t="b">
        <v>0</v>
      </c>
      <c r="T7" t="b">
        <v>0</v>
      </c>
      <c r="U7" t="s">
        <v>94</v>
      </c>
      <c r="V7" t="s">
        <v>81</v>
      </c>
      <c r="W7" t="b">
        <v>1</v>
      </c>
      <c r="X7" t="s">
        <v>82</v>
      </c>
      <c r="Y7" s="3" t="s">
        <v>61</v>
      </c>
      <c r="Z7" s="3" t="s">
        <v>34</v>
      </c>
      <c r="AA7" s="3" t="s">
        <v>54</v>
      </c>
      <c r="AB7" s="3" t="s">
        <v>36</v>
      </c>
      <c r="AC7" s="3" t="s">
        <v>37</v>
      </c>
      <c r="AD7" s="3" t="s">
        <v>55</v>
      </c>
      <c r="AE7" s="3" t="s">
        <v>56</v>
      </c>
      <c r="AF7" s="3" t="s">
        <v>57</v>
      </c>
      <c r="AG7" s="3" t="s">
        <v>58</v>
      </c>
      <c r="AH7" s="4">
        <v>63.8</v>
      </c>
      <c r="AI7" s="4">
        <v>66</v>
      </c>
      <c r="AJ7" s="4">
        <v>61.6</v>
      </c>
      <c r="AK7" s="3" t="s">
        <v>102</v>
      </c>
      <c r="AL7" s="3" t="s">
        <v>59</v>
      </c>
      <c r="AM7" s="4">
        <v>77.5</v>
      </c>
      <c r="AN7" s="3" t="s">
        <v>53</v>
      </c>
      <c r="AO7" s="4" t="s">
        <v>94</v>
      </c>
      <c r="AP7" s="4" t="s">
        <v>94</v>
      </c>
      <c r="AQ7" s="4">
        <v>3</v>
      </c>
      <c r="AR7" s="4">
        <v>8</v>
      </c>
      <c r="AS7" s="3" t="s">
        <v>43</v>
      </c>
      <c r="AT7" s="3" t="s">
        <v>44</v>
      </c>
      <c r="AU7" s="3"/>
      <c r="AV7" s="3"/>
      <c r="AW7" s="3" t="s">
        <v>45</v>
      </c>
      <c r="AX7" s="4">
        <v>9.42</v>
      </c>
      <c r="AY7" s="3"/>
      <c r="AZ7" s="4">
        <v>0.83</v>
      </c>
      <c r="BA7" s="3" t="s">
        <v>46</v>
      </c>
      <c r="BB7" s="3" t="s">
        <v>62</v>
      </c>
      <c r="BC7" s="3" t="s">
        <v>63</v>
      </c>
      <c r="BD7" s="4">
        <v>341</v>
      </c>
      <c r="BE7" s="3" t="s">
        <v>64</v>
      </c>
      <c r="BF7" s="4">
        <v>337</v>
      </c>
      <c r="BG7" s="4">
        <v>346</v>
      </c>
      <c r="BH7" s="3" t="s">
        <v>65</v>
      </c>
      <c r="BI7" s="3" t="s">
        <v>66</v>
      </c>
      <c r="BJ7" s="3" t="s">
        <v>67</v>
      </c>
    </row>
    <row r="8" spans="1:62" x14ac:dyDescent="0.2">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2" x14ac:dyDescent="0.2">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2" x14ac:dyDescent="0.2">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2" x14ac:dyDescent="0.2">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2" x14ac:dyDescent="0.2">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2" x14ac:dyDescent="0.2">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2" x14ac:dyDescent="0.2">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2" x14ac:dyDescent="0.2">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2" x14ac:dyDescent="0.2">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25:61" x14ac:dyDescent="0.2">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25:61" x14ac:dyDescent="0.2">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25:61" x14ac:dyDescent="0.2">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25:61" x14ac:dyDescent="0.2">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25:61" x14ac:dyDescent="0.2">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25:61" x14ac:dyDescent="0.2">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25:61" x14ac:dyDescent="0.2">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25:61" x14ac:dyDescent="0.2">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25:61" x14ac:dyDescent="0.2">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25:61" x14ac:dyDescent="0.2">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25:61" x14ac:dyDescent="0.2">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25:61" x14ac:dyDescent="0.2">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25:61" x14ac:dyDescent="0.2">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25:61" x14ac:dyDescent="0.2">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25:61" x14ac:dyDescent="0.2">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25:61" x14ac:dyDescent="0.2">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25:61" x14ac:dyDescent="0.2">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row>
    <row r="34" spans="25:61" x14ac:dyDescent="0.2">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row>
    <row r="35" spans="25:61" x14ac:dyDescent="0.2">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row>
    <row r="36" spans="25:61" x14ac:dyDescent="0.2">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row>
    <row r="37" spans="25:61" x14ac:dyDescent="0.2">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25:61" x14ac:dyDescent="0.2">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row>
    <row r="39" spans="25:61" x14ac:dyDescent="0.2">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row>
    <row r="40" spans="25:61" x14ac:dyDescent="0.2">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row>
    <row r="41" spans="25:61" x14ac:dyDescent="0.2">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row>
    <row r="42" spans="25:61" x14ac:dyDescent="0.2">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25:61" x14ac:dyDescent="0.2">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25:61" x14ac:dyDescent="0.2">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row r="45" spans="25:61" x14ac:dyDescent="0.2">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row>
    <row r="46" spans="25:61" x14ac:dyDescent="0.2">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row>
    <row r="47" spans="25:61" x14ac:dyDescent="0.2">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row>
    <row r="48" spans="25:61" x14ac:dyDescent="0.2">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row>
    <row r="49" spans="25:61" x14ac:dyDescent="0.2">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row>
    <row r="50" spans="25:61" x14ac:dyDescent="0.2">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25:61" x14ac:dyDescent="0.2">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row>
    <row r="52" spans="25:61" x14ac:dyDescent="0.2">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25:61" x14ac:dyDescent="0.2">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row>
    <row r="54" spans="25:61" x14ac:dyDescent="0.2">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25:61" x14ac:dyDescent="0.2">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25:61" x14ac:dyDescent="0.2">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25:61" x14ac:dyDescent="0.2">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25:61" x14ac:dyDescent="0.2">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25:61" x14ac:dyDescent="0.2">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25:61" x14ac:dyDescent="0.2">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25:61" x14ac:dyDescent="0.2">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25:61" x14ac:dyDescent="0.2">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25:61" x14ac:dyDescent="0.2">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25:61" x14ac:dyDescent="0.2">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25:61" x14ac:dyDescent="0.2">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25:61" x14ac:dyDescent="0.2">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25:61" x14ac:dyDescent="0.2">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25:61" x14ac:dyDescent="0.2">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25:61" x14ac:dyDescent="0.2">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25:61" x14ac:dyDescent="0.2">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25:61" x14ac:dyDescent="0.2">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25:61" x14ac:dyDescent="0.2">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25:61" x14ac:dyDescent="0.2">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25:61" x14ac:dyDescent="0.2">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25:61" x14ac:dyDescent="0.2">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25:61" x14ac:dyDescent="0.2">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25:61" x14ac:dyDescent="0.2">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25:61" x14ac:dyDescent="0.2">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25:61" x14ac:dyDescent="0.2">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25:61" x14ac:dyDescent="0.2">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25:61" x14ac:dyDescent="0.2">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25:61" x14ac:dyDescent="0.2">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25:61" x14ac:dyDescent="0.2">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25:61" x14ac:dyDescent="0.2">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25:61" x14ac:dyDescent="0.2">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25:61" x14ac:dyDescent="0.2">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25:61" x14ac:dyDescent="0.2">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25:61" x14ac:dyDescent="0.2">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25:61" x14ac:dyDescent="0.2">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25:61" x14ac:dyDescent="0.2">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25:61" x14ac:dyDescent="0.2">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25:61" x14ac:dyDescent="0.2">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25:61" x14ac:dyDescent="0.2">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25:61" x14ac:dyDescent="0.2">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25:61" x14ac:dyDescent="0.2">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25:61" x14ac:dyDescent="0.2">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25:61" x14ac:dyDescent="0.2">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25:61" x14ac:dyDescent="0.2">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25:61" x14ac:dyDescent="0.2">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25:61" x14ac:dyDescent="0.2">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25:61" x14ac:dyDescent="0.2">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25:61" x14ac:dyDescent="0.2">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25:61" x14ac:dyDescent="0.2">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25:61" x14ac:dyDescent="0.2">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25:61" x14ac:dyDescent="0.2">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25:61" x14ac:dyDescent="0.2">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25:61" x14ac:dyDescent="0.2">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25:61" x14ac:dyDescent="0.2">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25:61" x14ac:dyDescent="0.2">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25:61" x14ac:dyDescent="0.2">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25:61" x14ac:dyDescent="0.2">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25:61" x14ac:dyDescent="0.2">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25:61" x14ac:dyDescent="0.2">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25:61" x14ac:dyDescent="0.2">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25:61" x14ac:dyDescent="0.2">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25:61" x14ac:dyDescent="0.2">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25:61" x14ac:dyDescent="0.2">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25:61" x14ac:dyDescent="0.2">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25:61" x14ac:dyDescent="0.2">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25:61" x14ac:dyDescent="0.2">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25:61" x14ac:dyDescent="0.2">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25:61" x14ac:dyDescent="0.2">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25:61" x14ac:dyDescent="0.2">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25:61" x14ac:dyDescent="0.2">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25:61" x14ac:dyDescent="0.2">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25:61" x14ac:dyDescent="0.2">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25:61" x14ac:dyDescent="0.2">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25:61" x14ac:dyDescent="0.2">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5:61" x14ac:dyDescent="0.2">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5:61" x14ac:dyDescent="0.2">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5:61" x14ac:dyDescent="0.2">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5:61" x14ac:dyDescent="0.2">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5:61" x14ac:dyDescent="0.2">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5:61" x14ac:dyDescent="0.2">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5:61" x14ac:dyDescent="0.2">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5:61" x14ac:dyDescent="0.2">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5:61" x14ac:dyDescent="0.2">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25:61" x14ac:dyDescent="0.2">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25:61" x14ac:dyDescent="0.2">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25:61" x14ac:dyDescent="0.2">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25:61" x14ac:dyDescent="0.2">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25:61" x14ac:dyDescent="0.2">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25:61" x14ac:dyDescent="0.2">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25:61" x14ac:dyDescent="0.2">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25:61" x14ac:dyDescent="0.2">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25:61" x14ac:dyDescent="0.2">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25:61" x14ac:dyDescent="0.2">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25:61" x14ac:dyDescent="0.2">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25:61" x14ac:dyDescent="0.2">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25:61" x14ac:dyDescent="0.2">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25:61" x14ac:dyDescent="0.2">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25:61" x14ac:dyDescent="0.2">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25:61" x14ac:dyDescent="0.2">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25:61" x14ac:dyDescent="0.2">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25:61" x14ac:dyDescent="0.2">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25:61" x14ac:dyDescent="0.2">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25:61" x14ac:dyDescent="0.2">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25:61" x14ac:dyDescent="0.2">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25:61" x14ac:dyDescent="0.2">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25:61" x14ac:dyDescent="0.2">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25:61" x14ac:dyDescent="0.2">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25:61" x14ac:dyDescent="0.2">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25:61" x14ac:dyDescent="0.2">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25:61" x14ac:dyDescent="0.2">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25:61" x14ac:dyDescent="0.2">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25:61" x14ac:dyDescent="0.2">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25:61" x14ac:dyDescent="0.2">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25:61" x14ac:dyDescent="0.2">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25:61" x14ac:dyDescent="0.2">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25:61" x14ac:dyDescent="0.2">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25:61" x14ac:dyDescent="0.2">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25:61" x14ac:dyDescent="0.2">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25:61" x14ac:dyDescent="0.2">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25:61" x14ac:dyDescent="0.2">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25:61" x14ac:dyDescent="0.2">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25:61" x14ac:dyDescent="0.2">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25:61" x14ac:dyDescent="0.2">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25:61" x14ac:dyDescent="0.2">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25:61" x14ac:dyDescent="0.2">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25:61" x14ac:dyDescent="0.2">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25:61" x14ac:dyDescent="0.2">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25:61" x14ac:dyDescent="0.2">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25:61" x14ac:dyDescent="0.2">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25:61" x14ac:dyDescent="0.2">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25:61" x14ac:dyDescent="0.2">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25:61" x14ac:dyDescent="0.2">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25:61" x14ac:dyDescent="0.2">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25:61" x14ac:dyDescent="0.2">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25:61" x14ac:dyDescent="0.2">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25:61" x14ac:dyDescent="0.2">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25:61" x14ac:dyDescent="0.2">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25:61" x14ac:dyDescent="0.2">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25:61" x14ac:dyDescent="0.2">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25:61" x14ac:dyDescent="0.2">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25:61" x14ac:dyDescent="0.2">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25:61" x14ac:dyDescent="0.2">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25:61" x14ac:dyDescent="0.2">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25:61" x14ac:dyDescent="0.2">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25:61" x14ac:dyDescent="0.2">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25:61" x14ac:dyDescent="0.2">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25:61" x14ac:dyDescent="0.2">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25:61" x14ac:dyDescent="0.2">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25:61" x14ac:dyDescent="0.2">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25:61" x14ac:dyDescent="0.2">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25:61" x14ac:dyDescent="0.2">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25:61" x14ac:dyDescent="0.2">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25:61" x14ac:dyDescent="0.2">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25:61" x14ac:dyDescent="0.2">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r="209" spans="25:61" x14ac:dyDescent="0.2">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25:61" x14ac:dyDescent="0.2">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25:61" x14ac:dyDescent="0.2">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25:61" x14ac:dyDescent="0.2">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25:61" x14ac:dyDescent="0.2">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25:61" x14ac:dyDescent="0.2">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25:61" x14ac:dyDescent="0.2">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25:61" x14ac:dyDescent="0.2">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25:61" x14ac:dyDescent="0.2">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25:61" x14ac:dyDescent="0.2">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25:61" x14ac:dyDescent="0.2">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25:61" x14ac:dyDescent="0.2">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25:61" x14ac:dyDescent="0.2">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25:61" x14ac:dyDescent="0.2">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25:61" x14ac:dyDescent="0.2">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25:61" x14ac:dyDescent="0.2">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25:61" x14ac:dyDescent="0.2">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25:61" x14ac:dyDescent="0.2">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25:61" x14ac:dyDescent="0.2">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25:61" x14ac:dyDescent="0.2">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25:61" x14ac:dyDescent="0.2">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25:61" x14ac:dyDescent="0.2">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25:61" x14ac:dyDescent="0.2">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25:61" x14ac:dyDescent="0.2">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25:61" x14ac:dyDescent="0.2">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25:61" x14ac:dyDescent="0.2">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25:61" x14ac:dyDescent="0.2">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25:61" x14ac:dyDescent="0.2">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25:61" x14ac:dyDescent="0.2">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25:61" x14ac:dyDescent="0.2">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25:61" x14ac:dyDescent="0.2">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25:61" x14ac:dyDescent="0.2">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25:61" x14ac:dyDescent="0.2">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25:61" x14ac:dyDescent="0.2">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25:61" x14ac:dyDescent="0.2">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25:61" x14ac:dyDescent="0.2">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25:61" x14ac:dyDescent="0.2">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25:61" x14ac:dyDescent="0.2">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25:61" x14ac:dyDescent="0.2">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25:61" x14ac:dyDescent="0.2">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25:61" x14ac:dyDescent="0.2">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25:61" x14ac:dyDescent="0.2">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25:61" x14ac:dyDescent="0.2">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25:61" x14ac:dyDescent="0.2">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25:61" x14ac:dyDescent="0.2">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25:61" x14ac:dyDescent="0.2">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25:61" x14ac:dyDescent="0.2">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25:61" x14ac:dyDescent="0.2">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25:61" x14ac:dyDescent="0.2">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25:61" x14ac:dyDescent="0.2">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25:61" x14ac:dyDescent="0.2">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25:61" x14ac:dyDescent="0.2">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25:61" x14ac:dyDescent="0.2">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25:61" x14ac:dyDescent="0.2">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25:61" x14ac:dyDescent="0.2">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25:61" x14ac:dyDescent="0.2">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25:61" x14ac:dyDescent="0.2">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25:61" x14ac:dyDescent="0.2">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25:61" x14ac:dyDescent="0.2">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25:61" x14ac:dyDescent="0.2">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25:61" x14ac:dyDescent="0.2">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25:61" x14ac:dyDescent="0.2">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25:61" x14ac:dyDescent="0.2">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25:61" x14ac:dyDescent="0.2">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25:61" x14ac:dyDescent="0.2">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25:61" x14ac:dyDescent="0.2">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25:61" x14ac:dyDescent="0.2">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25:61" x14ac:dyDescent="0.2">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25:61" x14ac:dyDescent="0.2">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25:61" x14ac:dyDescent="0.2">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25:61" x14ac:dyDescent="0.2">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25:61" x14ac:dyDescent="0.2">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25:61" x14ac:dyDescent="0.2">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25:61" x14ac:dyDescent="0.2">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25:61" x14ac:dyDescent="0.2">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25:61" x14ac:dyDescent="0.2">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25:61" x14ac:dyDescent="0.2">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25:61" x14ac:dyDescent="0.2">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25:61" x14ac:dyDescent="0.2">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25:61" x14ac:dyDescent="0.2">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25:61" x14ac:dyDescent="0.2">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25:61" x14ac:dyDescent="0.2">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25:61" x14ac:dyDescent="0.2">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25:61" x14ac:dyDescent="0.2">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25:61" x14ac:dyDescent="0.2">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25:61" x14ac:dyDescent="0.2">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25:61" x14ac:dyDescent="0.2">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25:61" x14ac:dyDescent="0.2">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25:61" x14ac:dyDescent="0.2">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25:61" x14ac:dyDescent="0.2">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25:61" x14ac:dyDescent="0.2">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25:61" x14ac:dyDescent="0.2">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25:61" x14ac:dyDescent="0.2">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25:61" x14ac:dyDescent="0.2">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25:61" x14ac:dyDescent="0.2">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25:61" x14ac:dyDescent="0.2">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25:61" x14ac:dyDescent="0.2">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25:61" x14ac:dyDescent="0.2">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25:61" x14ac:dyDescent="0.2">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25:61" x14ac:dyDescent="0.2">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25:61" x14ac:dyDescent="0.2">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25:61" x14ac:dyDescent="0.2">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25:61" x14ac:dyDescent="0.2">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25:61" x14ac:dyDescent="0.2">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25:61" x14ac:dyDescent="0.2">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25:61" x14ac:dyDescent="0.2">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25:61" x14ac:dyDescent="0.2">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25:61" x14ac:dyDescent="0.2">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25:61" x14ac:dyDescent="0.2">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25:61" x14ac:dyDescent="0.2">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25:61" x14ac:dyDescent="0.2">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25:61" x14ac:dyDescent="0.2">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25:61" x14ac:dyDescent="0.2">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25:61" x14ac:dyDescent="0.2">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25:61" x14ac:dyDescent="0.2">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25:61" x14ac:dyDescent="0.2">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25:61" x14ac:dyDescent="0.2">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25:61" x14ac:dyDescent="0.2">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25:61" x14ac:dyDescent="0.2">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25:61" x14ac:dyDescent="0.2">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25:61" x14ac:dyDescent="0.2">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25:61" x14ac:dyDescent="0.2">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25:61" x14ac:dyDescent="0.2">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25:61" x14ac:dyDescent="0.2">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25:61" x14ac:dyDescent="0.2">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25:61" x14ac:dyDescent="0.2">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25:61" x14ac:dyDescent="0.2">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25:61" x14ac:dyDescent="0.2">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25:61" x14ac:dyDescent="0.2">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25:61" x14ac:dyDescent="0.2">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25:61" x14ac:dyDescent="0.2">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25:61" x14ac:dyDescent="0.2">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25:61" x14ac:dyDescent="0.2">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25:61" x14ac:dyDescent="0.2">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25:61" x14ac:dyDescent="0.2">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25:61" x14ac:dyDescent="0.2">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25:61" x14ac:dyDescent="0.2">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25:61" x14ac:dyDescent="0.2">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25:61" x14ac:dyDescent="0.2">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25:61" x14ac:dyDescent="0.2">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25:61" x14ac:dyDescent="0.2">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25:61" x14ac:dyDescent="0.2">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25:61" x14ac:dyDescent="0.2">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25:61" x14ac:dyDescent="0.2">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25:61" x14ac:dyDescent="0.2">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25:61" x14ac:dyDescent="0.2">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25:61" x14ac:dyDescent="0.2">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25:61" x14ac:dyDescent="0.2">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25:61" x14ac:dyDescent="0.2">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25:61" x14ac:dyDescent="0.2">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25:61" x14ac:dyDescent="0.2">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25:61" x14ac:dyDescent="0.2">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25:61" x14ac:dyDescent="0.2">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25:61" x14ac:dyDescent="0.2">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25:61" x14ac:dyDescent="0.2">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25:61" x14ac:dyDescent="0.2">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25:61" x14ac:dyDescent="0.2">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25:61" x14ac:dyDescent="0.2">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25:61" x14ac:dyDescent="0.2">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25:61" x14ac:dyDescent="0.2">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25:61" x14ac:dyDescent="0.2">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25:61" x14ac:dyDescent="0.2">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25:61" x14ac:dyDescent="0.2">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25:61" x14ac:dyDescent="0.2">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25:61" x14ac:dyDescent="0.2">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25:61" x14ac:dyDescent="0.2">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25:61" x14ac:dyDescent="0.2">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25:61" x14ac:dyDescent="0.2">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25:61" x14ac:dyDescent="0.2">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25:61" x14ac:dyDescent="0.2">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25:61" x14ac:dyDescent="0.2">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25:61" x14ac:dyDescent="0.2">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25:61" x14ac:dyDescent="0.2">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25:61" x14ac:dyDescent="0.2">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25:61" x14ac:dyDescent="0.2">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25:61" x14ac:dyDescent="0.2">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25:61" x14ac:dyDescent="0.2">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25:61" x14ac:dyDescent="0.2">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25:61" x14ac:dyDescent="0.2">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25:61" x14ac:dyDescent="0.2">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25:61" x14ac:dyDescent="0.2">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25:61" x14ac:dyDescent="0.2">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25:61" x14ac:dyDescent="0.2">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25:61" x14ac:dyDescent="0.2">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25:61" x14ac:dyDescent="0.2">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25:61" x14ac:dyDescent="0.2">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25:61" x14ac:dyDescent="0.2">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25:61" x14ac:dyDescent="0.2">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25:61" x14ac:dyDescent="0.2">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25:61" x14ac:dyDescent="0.2">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25:61" x14ac:dyDescent="0.2">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25:61" x14ac:dyDescent="0.2">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25:61" x14ac:dyDescent="0.2">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25:61" x14ac:dyDescent="0.2">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25:61" x14ac:dyDescent="0.2">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25:61" x14ac:dyDescent="0.2">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25:61" x14ac:dyDescent="0.2">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25:61" x14ac:dyDescent="0.2">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25:61" x14ac:dyDescent="0.2">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25:61" x14ac:dyDescent="0.2">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25:61" x14ac:dyDescent="0.2">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25:61" x14ac:dyDescent="0.2">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25:61" x14ac:dyDescent="0.2">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25:61" x14ac:dyDescent="0.2">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25:61" x14ac:dyDescent="0.2">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25:61" x14ac:dyDescent="0.2">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25:61" x14ac:dyDescent="0.2">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25:61" x14ac:dyDescent="0.2">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25:61" x14ac:dyDescent="0.2">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25:61" x14ac:dyDescent="0.2">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25:61" x14ac:dyDescent="0.2">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25:61" x14ac:dyDescent="0.2">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25:61" x14ac:dyDescent="0.2">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25:61" x14ac:dyDescent="0.2">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25:61" x14ac:dyDescent="0.2">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25:61" x14ac:dyDescent="0.2">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25:61" x14ac:dyDescent="0.2">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25:61" x14ac:dyDescent="0.2">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25:61" x14ac:dyDescent="0.2">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25:61" x14ac:dyDescent="0.2">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25:61" x14ac:dyDescent="0.2">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25:61" x14ac:dyDescent="0.2">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25:61" x14ac:dyDescent="0.2">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25:61" x14ac:dyDescent="0.2">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25:61" x14ac:dyDescent="0.2">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25:61" x14ac:dyDescent="0.2">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25:61" x14ac:dyDescent="0.2">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25:61" x14ac:dyDescent="0.2">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25:61" x14ac:dyDescent="0.2">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25:61" x14ac:dyDescent="0.2">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25:61" x14ac:dyDescent="0.2">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25:61" x14ac:dyDescent="0.2">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25:61" x14ac:dyDescent="0.2">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25:61" x14ac:dyDescent="0.2">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25:61" x14ac:dyDescent="0.2">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25:61" x14ac:dyDescent="0.2">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25:61" x14ac:dyDescent="0.2">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25:61" x14ac:dyDescent="0.2">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25:61" x14ac:dyDescent="0.2">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25:61" x14ac:dyDescent="0.2">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25:61" x14ac:dyDescent="0.2">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25:61" x14ac:dyDescent="0.2">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25:61" x14ac:dyDescent="0.2">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25:61" x14ac:dyDescent="0.2">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25:61" x14ac:dyDescent="0.2">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25:61" x14ac:dyDescent="0.2">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25:61" x14ac:dyDescent="0.2">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25:61" x14ac:dyDescent="0.2">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25:61" x14ac:dyDescent="0.2">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25:61" x14ac:dyDescent="0.2">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25:61" x14ac:dyDescent="0.2">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25:61" x14ac:dyDescent="0.2">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25:61" x14ac:dyDescent="0.2">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25:61" x14ac:dyDescent="0.2">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25:61" x14ac:dyDescent="0.2">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25:61" x14ac:dyDescent="0.2">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25:61" x14ac:dyDescent="0.2">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25:61" x14ac:dyDescent="0.2">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25:61" x14ac:dyDescent="0.2">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25:61" x14ac:dyDescent="0.2">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25:61" x14ac:dyDescent="0.2">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25:61" x14ac:dyDescent="0.2">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25:61" x14ac:dyDescent="0.2">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25:61" x14ac:dyDescent="0.2">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25:61" x14ac:dyDescent="0.2">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25:61" x14ac:dyDescent="0.2">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25:61" x14ac:dyDescent="0.2">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25:61" x14ac:dyDescent="0.2">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25:61" x14ac:dyDescent="0.2">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25:61" x14ac:dyDescent="0.2">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25:61" x14ac:dyDescent="0.2">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25:61" x14ac:dyDescent="0.2">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25:61" x14ac:dyDescent="0.2">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25:61" x14ac:dyDescent="0.2">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25:61" x14ac:dyDescent="0.2">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25:61" x14ac:dyDescent="0.2">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25:61" x14ac:dyDescent="0.2">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25:61" x14ac:dyDescent="0.2">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25:61" x14ac:dyDescent="0.2">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25:61" x14ac:dyDescent="0.2">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25:61" x14ac:dyDescent="0.2">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25:61" x14ac:dyDescent="0.2">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25:61" x14ac:dyDescent="0.2">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25:61" x14ac:dyDescent="0.2">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25:61" x14ac:dyDescent="0.2">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25:61" x14ac:dyDescent="0.2">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25:61" x14ac:dyDescent="0.2">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25:61" x14ac:dyDescent="0.2">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25:61" x14ac:dyDescent="0.2">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25:61" x14ac:dyDescent="0.2">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25:61" x14ac:dyDescent="0.2">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25:61" x14ac:dyDescent="0.2">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25:61" x14ac:dyDescent="0.2">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25:61" x14ac:dyDescent="0.2">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25:61" x14ac:dyDescent="0.2">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25:61" x14ac:dyDescent="0.2">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25:61" x14ac:dyDescent="0.2">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25:61" x14ac:dyDescent="0.2">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25:61" x14ac:dyDescent="0.2">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25:61" x14ac:dyDescent="0.2">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25:61" x14ac:dyDescent="0.2">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25:61" x14ac:dyDescent="0.2">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25:61" x14ac:dyDescent="0.2">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25:61" x14ac:dyDescent="0.2">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25:61" x14ac:dyDescent="0.2">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25:61" x14ac:dyDescent="0.2">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25:61" x14ac:dyDescent="0.2">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25:61" x14ac:dyDescent="0.2">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25:61" x14ac:dyDescent="0.2">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25:61" x14ac:dyDescent="0.2">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25:61" x14ac:dyDescent="0.2">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25:61" x14ac:dyDescent="0.2">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25:61" x14ac:dyDescent="0.2">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25:61" x14ac:dyDescent="0.2">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25:61" x14ac:dyDescent="0.2">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25:61" x14ac:dyDescent="0.2">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25:61" x14ac:dyDescent="0.2">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25:61" x14ac:dyDescent="0.2">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25:61" x14ac:dyDescent="0.2">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25:61" x14ac:dyDescent="0.2">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25:61" x14ac:dyDescent="0.2">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25:61" x14ac:dyDescent="0.2">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25:61" x14ac:dyDescent="0.2">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25:61" x14ac:dyDescent="0.2">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25:61" x14ac:dyDescent="0.2">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25:61" x14ac:dyDescent="0.2">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25:61" x14ac:dyDescent="0.2">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25:61" x14ac:dyDescent="0.2">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25:61" x14ac:dyDescent="0.2">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25:61" x14ac:dyDescent="0.2">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25:61" x14ac:dyDescent="0.2">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25:61" x14ac:dyDescent="0.2">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25:61" x14ac:dyDescent="0.2">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25:61" x14ac:dyDescent="0.2">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25:61" x14ac:dyDescent="0.2">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25:61" x14ac:dyDescent="0.2">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25:61" x14ac:dyDescent="0.2">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25:61" x14ac:dyDescent="0.2">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25:61" x14ac:dyDescent="0.2">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25:61" x14ac:dyDescent="0.2">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25:61" x14ac:dyDescent="0.2">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25:61" x14ac:dyDescent="0.2">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25:61" x14ac:dyDescent="0.2">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25:61" x14ac:dyDescent="0.2">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25:61" x14ac:dyDescent="0.2">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25:61" x14ac:dyDescent="0.2">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25:61" x14ac:dyDescent="0.2">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25:61" x14ac:dyDescent="0.2">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25:61" x14ac:dyDescent="0.2">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25:61" x14ac:dyDescent="0.2">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25:61" x14ac:dyDescent="0.2">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25:61" x14ac:dyDescent="0.2">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25:61" x14ac:dyDescent="0.2">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25:61" x14ac:dyDescent="0.2">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25:61" x14ac:dyDescent="0.2">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25:61" x14ac:dyDescent="0.2">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25:61" x14ac:dyDescent="0.2">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25:61" x14ac:dyDescent="0.2">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25:61" x14ac:dyDescent="0.2">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25:61" x14ac:dyDescent="0.2">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25:61" x14ac:dyDescent="0.2">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25:61" x14ac:dyDescent="0.2">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25:61" x14ac:dyDescent="0.2">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25:61" x14ac:dyDescent="0.2">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25:61" x14ac:dyDescent="0.2">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25:61" x14ac:dyDescent="0.2">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25:61" x14ac:dyDescent="0.2">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25:61" x14ac:dyDescent="0.2">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25:61" x14ac:dyDescent="0.2">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25:61" x14ac:dyDescent="0.2">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25:61" x14ac:dyDescent="0.2">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25:61" x14ac:dyDescent="0.2">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25:61" x14ac:dyDescent="0.2">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25:61" x14ac:dyDescent="0.2">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25:61" x14ac:dyDescent="0.2">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25:61" x14ac:dyDescent="0.2">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25:61" x14ac:dyDescent="0.2">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25:61" x14ac:dyDescent="0.2">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25:61" x14ac:dyDescent="0.2">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25:61" x14ac:dyDescent="0.2">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25:61" x14ac:dyDescent="0.2">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25:61" x14ac:dyDescent="0.2">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25:61" x14ac:dyDescent="0.2">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25:61" x14ac:dyDescent="0.2">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25:61" x14ac:dyDescent="0.2">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25:61" x14ac:dyDescent="0.2">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25:61" x14ac:dyDescent="0.2">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25:61" x14ac:dyDescent="0.2">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25:61" x14ac:dyDescent="0.2">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25:61" x14ac:dyDescent="0.2">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25:61" x14ac:dyDescent="0.2">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25:61" x14ac:dyDescent="0.2">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25:61" x14ac:dyDescent="0.2">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25:61" x14ac:dyDescent="0.2">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25:61" x14ac:dyDescent="0.2">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25:61" x14ac:dyDescent="0.2">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25:61" x14ac:dyDescent="0.2">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25:61" x14ac:dyDescent="0.2">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25:61" x14ac:dyDescent="0.2">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25:61" x14ac:dyDescent="0.2">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25:61" x14ac:dyDescent="0.2">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25:61" x14ac:dyDescent="0.2">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25:61" x14ac:dyDescent="0.2">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25:61" x14ac:dyDescent="0.2">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25:61" x14ac:dyDescent="0.2">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25:61" x14ac:dyDescent="0.2">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25:61" x14ac:dyDescent="0.2">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25:61" x14ac:dyDescent="0.2">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25:61" x14ac:dyDescent="0.2">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25:61" x14ac:dyDescent="0.2">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25:61" x14ac:dyDescent="0.2">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25:61" x14ac:dyDescent="0.2">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25:61" x14ac:dyDescent="0.2">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25:61" x14ac:dyDescent="0.2">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25:61" x14ac:dyDescent="0.2">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25:61" x14ac:dyDescent="0.2">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25:61" x14ac:dyDescent="0.2">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25:61" x14ac:dyDescent="0.2">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25:61" x14ac:dyDescent="0.2">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25:61" x14ac:dyDescent="0.2">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25:61" x14ac:dyDescent="0.2">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25:61" x14ac:dyDescent="0.2">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25:61" x14ac:dyDescent="0.2">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25:61" x14ac:dyDescent="0.2">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25:61" x14ac:dyDescent="0.2">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25:61" x14ac:dyDescent="0.2">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25:61" x14ac:dyDescent="0.2">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25:61" x14ac:dyDescent="0.2">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25:61" x14ac:dyDescent="0.2">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25:61" x14ac:dyDescent="0.2">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25:61" x14ac:dyDescent="0.2">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25:61" x14ac:dyDescent="0.2">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25:61" x14ac:dyDescent="0.2">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25:61" x14ac:dyDescent="0.2">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25:61" x14ac:dyDescent="0.2">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25:61" x14ac:dyDescent="0.2">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25:61" x14ac:dyDescent="0.2">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25:61" x14ac:dyDescent="0.2">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25:61" x14ac:dyDescent="0.2">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25:61" x14ac:dyDescent="0.2">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25:61" x14ac:dyDescent="0.2">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25:61" x14ac:dyDescent="0.2">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25:61" x14ac:dyDescent="0.2">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25:61" x14ac:dyDescent="0.2">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25:61" x14ac:dyDescent="0.2">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25:61" x14ac:dyDescent="0.2">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25:61" x14ac:dyDescent="0.2">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25:61" x14ac:dyDescent="0.2">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25:61" x14ac:dyDescent="0.2">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25:61" x14ac:dyDescent="0.2">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25:61" x14ac:dyDescent="0.2">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25:61" x14ac:dyDescent="0.2">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25:61" x14ac:dyDescent="0.2">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25:61" x14ac:dyDescent="0.2">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25:61" x14ac:dyDescent="0.2">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25:61" x14ac:dyDescent="0.2">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25:61" x14ac:dyDescent="0.2">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25:61" x14ac:dyDescent="0.2">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25:61" x14ac:dyDescent="0.2">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25:61" x14ac:dyDescent="0.2">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25:61" x14ac:dyDescent="0.2">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25:61" x14ac:dyDescent="0.2">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25:61" x14ac:dyDescent="0.2">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25:61" x14ac:dyDescent="0.2">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25:61" x14ac:dyDescent="0.2">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25:61" x14ac:dyDescent="0.2">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25:61" x14ac:dyDescent="0.2">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25:61" x14ac:dyDescent="0.2">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25:61" x14ac:dyDescent="0.2">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25:61" x14ac:dyDescent="0.2">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25:61" x14ac:dyDescent="0.2">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25:61" x14ac:dyDescent="0.2">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25:61" x14ac:dyDescent="0.2">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25:61" x14ac:dyDescent="0.2">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25:61" x14ac:dyDescent="0.2">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25:61" x14ac:dyDescent="0.2">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25:61" x14ac:dyDescent="0.2">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25:61" x14ac:dyDescent="0.2">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25:61" x14ac:dyDescent="0.2">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25:61" x14ac:dyDescent="0.2">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25:61" x14ac:dyDescent="0.2">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25:61" x14ac:dyDescent="0.2">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25:61" x14ac:dyDescent="0.2">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25:61" x14ac:dyDescent="0.2">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25:61" x14ac:dyDescent="0.2">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25:61" x14ac:dyDescent="0.2">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25:61" x14ac:dyDescent="0.2">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25:61" x14ac:dyDescent="0.2">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25:61" x14ac:dyDescent="0.2">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25:61" x14ac:dyDescent="0.2">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25:61" x14ac:dyDescent="0.2">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25:61" x14ac:dyDescent="0.2">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25:61" x14ac:dyDescent="0.2">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25:61" x14ac:dyDescent="0.2">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25:61" x14ac:dyDescent="0.2">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25:61" x14ac:dyDescent="0.2">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25:61" x14ac:dyDescent="0.2">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25:61" x14ac:dyDescent="0.2">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25:61" x14ac:dyDescent="0.2">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25:61" x14ac:dyDescent="0.2">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25:61" x14ac:dyDescent="0.2">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25:61" x14ac:dyDescent="0.2">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25:61" x14ac:dyDescent="0.2">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25:61" x14ac:dyDescent="0.2">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25:61" x14ac:dyDescent="0.2">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25:61" x14ac:dyDescent="0.2">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25:61" x14ac:dyDescent="0.2">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25:61" x14ac:dyDescent="0.2">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25:61" x14ac:dyDescent="0.2">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25:61" x14ac:dyDescent="0.2">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25:61" x14ac:dyDescent="0.2">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25:61" x14ac:dyDescent="0.2">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25:61" x14ac:dyDescent="0.2">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25:61" x14ac:dyDescent="0.2">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25:61" x14ac:dyDescent="0.2">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25:61" x14ac:dyDescent="0.2">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25:61" x14ac:dyDescent="0.2">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25:61" x14ac:dyDescent="0.2">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25:61" x14ac:dyDescent="0.2">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25:61" x14ac:dyDescent="0.2">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25:61" x14ac:dyDescent="0.2">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25:61" x14ac:dyDescent="0.2">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25:61" x14ac:dyDescent="0.2">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25:61" x14ac:dyDescent="0.2">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25:61" x14ac:dyDescent="0.2">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25:61" x14ac:dyDescent="0.2">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25:61" x14ac:dyDescent="0.2">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25:61" x14ac:dyDescent="0.2">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25:61" x14ac:dyDescent="0.2">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25:61" x14ac:dyDescent="0.2">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25:61" x14ac:dyDescent="0.2">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25:61" x14ac:dyDescent="0.2">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25:61" x14ac:dyDescent="0.2">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25:61" x14ac:dyDescent="0.2">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25:61" x14ac:dyDescent="0.2">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25:61" x14ac:dyDescent="0.2">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25:61" x14ac:dyDescent="0.2">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25:61" x14ac:dyDescent="0.2">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25:61" x14ac:dyDescent="0.2">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25:61" x14ac:dyDescent="0.2">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25:61" x14ac:dyDescent="0.2">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25:61" x14ac:dyDescent="0.2">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25:61" x14ac:dyDescent="0.2">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25:61" x14ac:dyDescent="0.2">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25:61" x14ac:dyDescent="0.2">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25:61" x14ac:dyDescent="0.2">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25:61" x14ac:dyDescent="0.2">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25:61" x14ac:dyDescent="0.2">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25:61" x14ac:dyDescent="0.2">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25:61" x14ac:dyDescent="0.2">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25:61" x14ac:dyDescent="0.2">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25:61" x14ac:dyDescent="0.2">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25:61" x14ac:dyDescent="0.2">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25:61" x14ac:dyDescent="0.2">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25:61" x14ac:dyDescent="0.2">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25:61" x14ac:dyDescent="0.2">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25:61" x14ac:dyDescent="0.2">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25:61" x14ac:dyDescent="0.2">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25:61" x14ac:dyDescent="0.2">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25:61" x14ac:dyDescent="0.2">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25:61" x14ac:dyDescent="0.2">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25:61" x14ac:dyDescent="0.2">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25:61" x14ac:dyDescent="0.2">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25:61" x14ac:dyDescent="0.2">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25:61" x14ac:dyDescent="0.2">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25:61" x14ac:dyDescent="0.2">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25:61" x14ac:dyDescent="0.2">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25:61" x14ac:dyDescent="0.2">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25:61" x14ac:dyDescent="0.2">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25:61" x14ac:dyDescent="0.2">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25:61" x14ac:dyDescent="0.2">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25:61" x14ac:dyDescent="0.2">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25:61" x14ac:dyDescent="0.2">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25:61" x14ac:dyDescent="0.2">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25:61" x14ac:dyDescent="0.2">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25:61" x14ac:dyDescent="0.2">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25:61" x14ac:dyDescent="0.2">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25:61" x14ac:dyDescent="0.2">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25:61" x14ac:dyDescent="0.2">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25:61" x14ac:dyDescent="0.2">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25:61" x14ac:dyDescent="0.2">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25:61" x14ac:dyDescent="0.2">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25:61" x14ac:dyDescent="0.2">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25:61" x14ac:dyDescent="0.2">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25:61" x14ac:dyDescent="0.2">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25:61" x14ac:dyDescent="0.2">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25:61" x14ac:dyDescent="0.2">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25:61" x14ac:dyDescent="0.2">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25:61" x14ac:dyDescent="0.2">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25:61" x14ac:dyDescent="0.2">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25:61" x14ac:dyDescent="0.2">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25:61" x14ac:dyDescent="0.2">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25:61" x14ac:dyDescent="0.2">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25:61" x14ac:dyDescent="0.2">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25:61" x14ac:dyDescent="0.2">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25:61" x14ac:dyDescent="0.2">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25:61" x14ac:dyDescent="0.2">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25:61" x14ac:dyDescent="0.2">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25:61" x14ac:dyDescent="0.2">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25:61" x14ac:dyDescent="0.2">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25:61" x14ac:dyDescent="0.2">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25:61" x14ac:dyDescent="0.2">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25:61" x14ac:dyDescent="0.2">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25:61" x14ac:dyDescent="0.2">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25:61" x14ac:dyDescent="0.2">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25:61" x14ac:dyDescent="0.2">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25:61" x14ac:dyDescent="0.2">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25:61" x14ac:dyDescent="0.2">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25:61" x14ac:dyDescent="0.2">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25:61" x14ac:dyDescent="0.2">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25:61" x14ac:dyDescent="0.2">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25:61" x14ac:dyDescent="0.2">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25:61" x14ac:dyDescent="0.2">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25:61" x14ac:dyDescent="0.2">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25:61" x14ac:dyDescent="0.2">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25:61" x14ac:dyDescent="0.2">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25:61" x14ac:dyDescent="0.2">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25:61" x14ac:dyDescent="0.2">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25:61" x14ac:dyDescent="0.2">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25:61" x14ac:dyDescent="0.2">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25:61" x14ac:dyDescent="0.2">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25:61" x14ac:dyDescent="0.2">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25:61" x14ac:dyDescent="0.2">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25:61" x14ac:dyDescent="0.2">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25:61" x14ac:dyDescent="0.2">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25:61" x14ac:dyDescent="0.2">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25:61" x14ac:dyDescent="0.2">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25:61" x14ac:dyDescent="0.2">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25:61" x14ac:dyDescent="0.2">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25:61" x14ac:dyDescent="0.2">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25:61" x14ac:dyDescent="0.2">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25:61" x14ac:dyDescent="0.2">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25:61" x14ac:dyDescent="0.2">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25:61" x14ac:dyDescent="0.2">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25:61" x14ac:dyDescent="0.2">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25:61" x14ac:dyDescent="0.2">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25:61" x14ac:dyDescent="0.2">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25:61" x14ac:dyDescent="0.2">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25:61" x14ac:dyDescent="0.2">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25:61" x14ac:dyDescent="0.2">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25:61" x14ac:dyDescent="0.2">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25:61" x14ac:dyDescent="0.2">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25:61" x14ac:dyDescent="0.2">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25:61" x14ac:dyDescent="0.2">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25:61" x14ac:dyDescent="0.2">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25:61" x14ac:dyDescent="0.2">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25:61" x14ac:dyDescent="0.2">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25:61" x14ac:dyDescent="0.2">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25:61" x14ac:dyDescent="0.2">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25:61" x14ac:dyDescent="0.2">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25:61" x14ac:dyDescent="0.2">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25:61" x14ac:dyDescent="0.2">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25:61" x14ac:dyDescent="0.2">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25:61" x14ac:dyDescent="0.2">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25:61" x14ac:dyDescent="0.2">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25:61" x14ac:dyDescent="0.2">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25:61" x14ac:dyDescent="0.2">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25:61" x14ac:dyDescent="0.2">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25:61" x14ac:dyDescent="0.2">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25:61" x14ac:dyDescent="0.2">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25:61" x14ac:dyDescent="0.2">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25:61" x14ac:dyDescent="0.2">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25:61" x14ac:dyDescent="0.2">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25:61" x14ac:dyDescent="0.2">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25:61" x14ac:dyDescent="0.2">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25:61" x14ac:dyDescent="0.2">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25:61" x14ac:dyDescent="0.2">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25:61" x14ac:dyDescent="0.2">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25:61" x14ac:dyDescent="0.2">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25:61" x14ac:dyDescent="0.2">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25:61" x14ac:dyDescent="0.2">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25:61" x14ac:dyDescent="0.2">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25:61" x14ac:dyDescent="0.2">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25:61" x14ac:dyDescent="0.2">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25:61" x14ac:dyDescent="0.2">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25:61" x14ac:dyDescent="0.2">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25:61" x14ac:dyDescent="0.2">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25:61" x14ac:dyDescent="0.2">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25:61" x14ac:dyDescent="0.2">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25:61" x14ac:dyDescent="0.2">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25:61" x14ac:dyDescent="0.2">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25:61" x14ac:dyDescent="0.2">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25:61" x14ac:dyDescent="0.2">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25:61" x14ac:dyDescent="0.2">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25:61" x14ac:dyDescent="0.2">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25:61" x14ac:dyDescent="0.2">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25:61" x14ac:dyDescent="0.2">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25:61" x14ac:dyDescent="0.2">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25:61" x14ac:dyDescent="0.2">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25:61" x14ac:dyDescent="0.2">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25:61" x14ac:dyDescent="0.2">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25:61" x14ac:dyDescent="0.2">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25:61" x14ac:dyDescent="0.2">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25:61" x14ac:dyDescent="0.2">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25:61" x14ac:dyDescent="0.2">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25:61" x14ac:dyDescent="0.2">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25:61" x14ac:dyDescent="0.2">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25:61" x14ac:dyDescent="0.2">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25:61" x14ac:dyDescent="0.2">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25:61" x14ac:dyDescent="0.2">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25:61" x14ac:dyDescent="0.2">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25:61" x14ac:dyDescent="0.2">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25:61" x14ac:dyDescent="0.2">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25:61" x14ac:dyDescent="0.2">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25:61" x14ac:dyDescent="0.2">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25:61" x14ac:dyDescent="0.2">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25:61" x14ac:dyDescent="0.2">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25:61" x14ac:dyDescent="0.2">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25:61" x14ac:dyDescent="0.2">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25:61" x14ac:dyDescent="0.2">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25:61" x14ac:dyDescent="0.2">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25:61" x14ac:dyDescent="0.2">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25:61" x14ac:dyDescent="0.2">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25:61" x14ac:dyDescent="0.2">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25:61" x14ac:dyDescent="0.2">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25:61" x14ac:dyDescent="0.2">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25:61" x14ac:dyDescent="0.2">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25:61" x14ac:dyDescent="0.2">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25:61" x14ac:dyDescent="0.2">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25:61" x14ac:dyDescent="0.2">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25:61" x14ac:dyDescent="0.2">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25:61" x14ac:dyDescent="0.2">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25:61" x14ac:dyDescent="0.2">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25:61" x14ac:dyDescent="0.2">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25:61" x14ac:dyDescent="0.2">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25:61" x14ac:dyDescent="0.2">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25:61" x14ac:dyDescent="0.2">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25:61" x14ac:dyDescent="0.2">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25:61" x14ac:dyDescent="0.2">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25:61" x14ac:dyDescent="0.2">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25:61" x14ac:dyDescent="0.2">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25:61" x14ac:dyDescent="0.2">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25:61" x14ac:dyDescent="0.2">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25:61" x14ac:dyDescent="0.2">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25:61" x14ac:dyDescent="0.2">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r="944" spans="25:61" x14ac:dyDescent="0.2">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r="945" spans="25:61" x14ac:dyDescent="0.2">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row r="946" spans="25:61" x14ac:dyDescent="0.2">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row>
    <row r="947" spans="25:61" x14ac:dyDescent="0.2">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row>
    <row r="948" spans="25:61" x14ac:dyDescent="0.2">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row>
    <row r="949" spans="25:61" x14ac:dyDescent="0.2">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2017-12-08T17:21:04Z</dcterms:created>
  <dcterms:modified xsi:type="dcterms:W3CDTF">2022-03-17T19:20:32Z</dcterms:modified>
</cp:coreProperties>
</file>