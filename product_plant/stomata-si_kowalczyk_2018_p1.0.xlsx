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mc:AlternateContent xmlns:mc="http://schemas.openxmlformats.org/markup-compatibility/2006">
    <mc:Choice Requires="x15">
      <x15ac:absPath xmlns:x15ac="http://schemas.microsoft.com/office/spreadsheetml/2010/11/ac" url="/Users/Daphnia/Desktop/paleo-CO2 data base/product/product August 2023/"/>
    </mc:Choice>
  </mc:AlternateContent>
  <xr:revisionPtr revIDLastSave="0" documentId="13_ncr:1_{87D372D4-372A-E243-9AB7-7A99267B926D}" xr6:coauthVersionLast="47" xr6:coauthVersionMax="47" xr10:uidLastSave="{00000000-0000-0000-0000-000000000000}"/>
  <bookViews>
    <workbookView xWindow="4520" yWindow="4080" windowWidth="24280" windowHeight="1328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K4" i="1"/>
  <c r="J4" i="1"/>
  <c r="I4" i="1"/>
  <c r="H4" i="1"/>
  <c r="G4" i="1"/>
  <c r="F4" i="1"/>
</calcChain>
</file>

<file path=xl/sharedStrings.xml><?xml version="1.0" encoding="utf-8"?>
<sst xmlns="http://schemas.openxmlformats.org/spreadsheetml/2006/main" count="94" uniqueCount="86">
  <si>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</si>
  <si>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</si>
  <si>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</si>
  <si>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</si>
  <si>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</si>
  <si>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</si>
  <si>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</si>
  <si>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</si>
  <si>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</si>
  <si>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</si>
  <si>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</si>
  <si>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</si>
  <si>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</si>
  <si>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</si>
  <si>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</si>
  <si>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</si>
  <si>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</si>
  <si>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</si>
  <si>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</si>
  <si>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</si>
  <si>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</si>
  <si>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</si>
  <si>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</si>
  <si>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</si>
  <si>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</si>
  <si>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</si>
  <si>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</si>
  <si>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</si>
  <si>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</si>
  <si>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</si>
  <si>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</si>
  <si>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</si>
  <si>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</si>
  <si>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Ginkgoaceae</t>
  </si>
  <si>
    <t>Ginkgo</t>
  </si>
  <si>
    <t>adiantoides</t>
  </si>
  <si>
    <t>microscope</t>
  </si>
  <si>
    <t>Ginkgo biloba</t>
  </si>
  <si>
    <t>Denver Museum of Nature and Science</t>
  </si>
  <si>
    <t>95% confidence intervals</t>
  </si>
  <si>
    <t>10.1029/2018PA003356</t>
  </si>
  <si>
    <t>Ginkgo (CR 125)</t>
  </si>
  <si>
    <t>Denver Formation</t>
  </si>
  <si>
    <t>Castle Rock flora; near the top of the "D1" sequence</t>
  </si>
  <si>
    <t>U/Pb geochronology of detrital zircon grains</t>
  </si>
  <si>
    <t>median</t>
  </si>
  <si>
    <t>400X magnification</t>
  </si>
  <si>
    <t>Beerling et al. (2009)</t>
  </si>
  <si>
    <t>proxy</t>
  </si>
  <si>
    <t>first_author_last_name</t>
  </si>
  <si>
    <t>publication_year</t>
  </si>
  <si>
    <t>age_ka</t>
  </si>
  <si>
    <t>Age_uncertainty_pos_ka</t>
  </si>
  <si>
    <t>Age_uncertainty_neg_ka</t>
  </si>
  <si>
    <t>stomata-SI</t>
  </si>
  <si>
    <t>Kowalczyk</t>
  </si>
  <si>
    <t>uncertainties following the resampling procedure in Beerling et al. (2009)</t>
  </si>
  <si>
    <t>right skewed</t>
  </si>
  <si>
    <t>name of person entering product data</t>
  </si>
  <si>
    <t>email of person entering product data</t>
  </si>
  <si>
    <t>specify reason for quarantine</t>
  </si>
  <si>
    <t>specify reason for age revision</t>
  </si>
  <si>
    <t>Dana L. Royer</t>
  </si>
  <si>
    <t>droyer@wesleyan.edu</t>
  </si>
  <si>
    <t>1) Calibration of Ginkgo biloba by Barclay and Wing (2016; 10.1016/j.epsl.2016.01.012) is very different from that of Royer (2003; 10.1130/0-8137-2369-8.79) and Beerling et al. (2009; 10.2475/09.2009.01), and this fossil Ginkgo was measured by Royer; thus, it is unclear which calibration to use. 2) Kowalczyk et al. (2018) used the same cuticles to estimate CO2 with the Franks leaf-gas-exchange proxy, which should be more reliable</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</si>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</sst>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3">
    <xf numFmtId="0" fontId="0" fillId="0" borderId="0" xfId="0"/>
    <xf numFmtId="0" fontId="4" fillId="2" borderId="0" xfId="0" applyFont="1" applyFill="1" applyAlignment="1">
      <alignment vertical="top" wrapText="1"/>
    </xf>
    <xf numFmtId="0" fontId="2" fillId="2" borderId="0" xfId="0" applyFont="1" applyFill="1" applyAlignment="1">
      <alignment horizontal="center" vertical="top" wrapText="1"/>
    </xf>
    <xf numFmtId="0" fontId="2" fillId="0" borderId="0" xfId="0" applyFont="1" applyAlignment="1">
      <alignment wrapText="1"/>
    </xf>
    <xf numFmtId="0" fontId="0" fillId="0" borderId="0" xfId="0" applyAlignment="1">
      <alignment horizontal="right"/>
    </xf>
    <xf numFmtId="0" fontId="3" fillId="0" borderId="0" xfId="0" applyFont="1"/>
    <xf numFmtId="0" fontId="3" fillId="0" borderId="0" xfId="0" applyFont="1" applyAlignment="1">
      <alignment horizontal="right"/>
    </xf>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 xfId="0"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3" borderId="0" xfId="0" applyFont="1" applyFill="1" applyAlignment="1">
      <alignment vertical="top" wrapText="1"/>
    </xf>
    <xf numFmtId="0" fontId="2" fillId="3" borderId="0" xfId="0" applyFont="1" applyFill="1" applyAlignment="1">
      <alignment horizontal="center" vertical="top" wrapText="1"/>
    </xf>
    <xf numFmtId="0" fontId="6" fillId="3" borderId="0" xfId="0" applyFont="1" applyFill="1" applyAlignment="1">
      <alignment horizontal="center" vertical="top" wrapText="1"/>
    </xf>
    <xf numFmtId="1" fontId="0" fillId="0" borderId="0" xfId="0" applyNumberForma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4"/>
  <sheetViews>
    <sheetView tabSelected="1" topLeftCell="S3" workbookViewId="0">
      <selection activeCell="AG4" sqref="AG4"/>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3" customFormat="1" ht="409.6" x14ac:dyDescent="0.2">
      <c r="A3" s="7" t="s">
        <v>58</v>
      </c>
      <c r="B3" s="8" t="s">
        <v>59</v>
      </c>
      <c r="C3" s="9" t="s">
        <v>48</v>
      </c>
      <c r="D3" s="10" t="s">
        <v>49</v>
      </c>
      <c r="E3" s="10" t="s">
        <v>50</v>
      </c>
      <c r="F3" s="11" t="s">
        <v>1</v>
      </c>
      <c r="G3" s="11" t="s">
        <v>51</v>
      </c>
      <c r="H3" s="12" t="s">
        <v>52</v>
      </c>
      <c r="I3" s="12" t="s">
        <v>53</v>
      </c>
      <c r="J3" s="10" t="s">
        <v>66</v>
      </c>
      <c r="K3" s="12" t="s">
        <v>67</v>
      </c>
      <c r="L3" s="13" t="s">
        <v>77</v>
      </c>
      <c r="M3" s="10" t="s">
        <v>68</v>
      </c>
      <c r="N3" s="10" t="s">
        <v>84</v>
      </c>
      <c r="O3" s="10" t="s">
        <v>85</v>
      </c>
      <c r="P3" s="10" t="s">
        <v>69</v>
      </c>
      <c r="Q3" s="14" t="s">
        <v>70</v>
      </c>
      <c r="R3" s="15" t="s">
        <v>71</v>
      </c>
      <c r="S3" s="16" t="s">
        <v>72</v>
      </c>
      <c r="T3" s="10" t="s">
        <v>73</v>
      </c>
      <c r="U3" s="10" t="s">
        <v>60</v>
      </c>
      <c r="V3" s="10" t="s">
        <v>74</v>
      </c>
      <c r="W3" s="17" t="s">
        <v>75</v>
      </c>
      <c r="X3" s="18" t="s">
        <v>61</v>
      </c>
      <c r="Y3" s="19" t="s">
        <v>78</v>
      </c>
      <c r="Z3" s="19" t="s">
        <v>79</v>
      </c>
      <c r="AA3" s="19" t="s">
        <v>2</v>
      </c>
      <c r="AB3" s="19" t="s">
        <v>3</v>
      </c>
      <c r="AC3" s="19" t="s">
        <v>4</v>
      </c>
      <c r="AD3" s="19" t="s">
        <v>5</v>
      </c>
      <c r="AE3" s="19" t="s">
        <v>6</v>
      </c>
      <c r="AF3" s="19" t="s">
        <v>7</v>
      </c>
      <c r="AG3" s="20" t="s">
        <v>8</v>
      </c>
      <c r="AH3" s="19" t="s">
        <v>9</v>
      </c>
      <c r="AI3" s="19" t="s">
        <v>10</v>
      </c>
      <c r="AJ3" s="19" t="s">
        <v>11</v>
      </c>
      <c r="AK3" s="19" t="s">
        <v>12</v>
      </c>
      <c r="AL3" s="19" t="s">
        <v>13</v>
      </c>
      <c r="AM3" s="19" t="s">
        <v>80</v>
      </c>
      <c r="AN3" s="19" t="s">
        <v>81</v>
      </c>
      <c r="AO3" s="21" t="s">
        <v>82</v>
      </c>
      <c r="AP3" s="21" t="s">
        <v>83</v>
      </c>
      <c r="AQ3" s="2" t="s">
        <v>14</v>
      </c>
      <c r="AR3" s="2" t="s">
        <v>15</v>
      </c>
      <c r="AS3" s="2" t="s">
        <v>16</v>
      </c>
      <c r="AT3" s="2" t="s">
        <v>17</v>
      </c>
      <c r="AU3" s="2" t="s">
        <v>18</v>
      </c>
      <c r="AV3" s="2" t="s">
        <v>19</v>
      </c>
      <c r="AW3" s="2" t="s">
        <v>20</v>
      </c>
      <c r="AX3" s="2" t="s">
        <v>21</v>
      </c>
      <c r="AY3" s="2" t="s">
        <v>22</v>
      </c>
      <c r="AZ3" s="2" t="s">
        <v>23</v>
      </c>
      <c r="BA3" s="2" t="s">
        <v>24</v>
      </c>
      <c r="BB3" s="2" t="s">
        <v>25</v>
      </c>
      <c r="BC3" s="2" t="s">
        <v>26</v>
      </c>
      <c r="BD3" s="2" t="s">
        <v>27</v>
      </c>
      <c r="BE3" s="1" t="s">
        <v>28</v>
      </c>
      <c r="BF3" s="2" t="s">
        <v>29</v>
      </c>
      <c r="BG3" s="2" t="s">
        <v>30</v>
      </c>
      <c r="BH3" s="1" t="s">
        <v>31</v>
      </c>
      <c r="BI3" s="1" t="s">
        <v>32</v>
      </c>
      <c r="BJ3" s="1" t="s">
        <v>0</v>
      </c>
    </row>
    <row r="4" spans="1:62" x14ac:dyDescent="0.2">
      <c r="A4" t="s">
        <v>62</v>
      </c>
      <c r="B4" t="s">
        <v>63</v>
      </c>
      <c r="C4" t="s">
        <v>54</v>
      </c>
      <c r="D4" t="s">
        <v>55</v>
      </c>
      <c r="E4">
        <v>2018</v>
      </c>
      <c r="F4" t="str">
        <f>Z4</f>
        <v>10.1029/2018PA003356</v>
      </c>
      <c r="G4">
        <f>AH4*1000</f>
        <v>63800</v>
      </c>
      <c r="H4">
        <f>(AI4-AH4)*1000</f>
        <v>200.00000000000284</v>
      </c>
      <c r="I4">
        <f>(AH4-AJ4)*1000</f>
        <v>200.00000000000284</v>
      </c>
      <c r="J4">
        <f>BD4</f>
        <v>470</v>
      </c>
      <c r="K4" s="22">
        <f>BG4-BD4</f>
        <v>296</v>
      </c>
      <c r="L4" s="22">
        <f>BD4-BF4</f>
        <v>150</v>
      </c>
      <c r="M4" t="b">
        <v>1</v>
      </c>
      <c r="N4">
        <v>2</v>
      </c>
      <c r="O4" t="s">
        <v>64</v>
      </c>
      <c r="P4" t="s">
        <v>76</v>
      </c>
      <c r="Q4" t="b">
        <v>0</v>
      </c>
      <c r="R4" t="s">
        <v>76</v>
      </c>
      <c r="S4" t="b">
        <v>1</v>
      </c>
      <c r="T4" t="b">
        <v>0</v>
      </c>
      <c r="U4" t="s">
        <v>76</v>
      </c>
      <c r="V4" t="s">
        <v>76</v>
      </c>
      <c r="W4" t="b">
        <v>0</v>
      </c>
      <c r="X4" t="s">
        <v>76</v>
      </c>
      <c r="Y4" s="5" t="s">
        <v>65</v>
      </c>
      <c r="Z4" s="5" t="s">
        <v>40</v>
      </c>
      <c r="AA4" s="5" t="s">
        <v>41</v>
      </c>
      <c r="AB4" s="5" t="s">
        <v>33</v>
      </c>
      <c r="AC4" s="5" t="s">
        <v>34</v>
      </c>
      <c r="AD4" s="5" t="s">
        <v>35</v>
      </c>
      <c r="AE4" s="5" t="s">
        <v>38</v>
      </c>
      <c r="AF4" s="5" t="s">
        <v>42</v>
      </c>
      <c r="AG4" s="5" t="s">
        <v>43</v>
      </c>
      <c r="AH4" s="6">
        <v>63.8</v>
      </c>
      <c r="AI4" s="6">
        <v>64</v>
      </c>
      <c r="AJ4" s="6">
        <v>63.599999999999994</v>
      </c>
      <c r="AK4" s="5" t="s">
        <v>76</v>
      </c>
      <c r="AL4" s="5" t="s">
        <v>44</v>
      </c>
      <c r="AM4" s="6">
        <v>39.380000000000003</v>
      </c>
      <c r="AN4" s="6">
        <v>-104.85</v>
      </c>
      <c r="AO4" s="4" t="s">
        <v>76</v>
      </c>
      <c r="AP4" s="4" t="s">
        <v>76</v>
      </c>
      <c r="AQ4" s="4">
        <v>3</v>
      </c>
      <c r="AR4" s="4">
        <v>15</v>
      </c>
      <c r="AS4" t="s">
        <v>36</v>
      </c>
      <c r="AT4" t="s">
        <v>46</v>
      </c>
      <c r="AU4">
        <v>7</v>
      </c>
      <c r="AV4">
        <v>66.87</v>
      </c>
      <c r="AW4">
        <v>172</v>
      </c>
      <c r="AX4" s="4">
        <v>9.48</v>
      </c>
      <c r="AY4">
        <v>6</v>
      </c>
      <c r="AZ4" s="4">
        <v>1.1200000000000001</v>
      </c>
      <c r="BA4" t="s">
        <v>37</v>
      </c>
      <c r="BB4" t="s">
        <v>47</v>
      </c>
      <c r="BC4" t="s">
        <v>56</v>
      </c>
      <c r="BD4" s="4">
        <v>470</v>
      </c>
      <c r="BE4" t="s">
        <v>45</v>
      </c>
      <c r="BF4" s="4">
        <v>320</v>
      </c>
      <c r="BG4" s="4">
        <v>766</v>
      </c>
      <c r="BH4" t="s">
        <v>39</v>
      </c>
      <c r="BI4" t="s">
        <v>57</v>
      </c>
      <c r="BJ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2017-12-08T17:21:04Z</dcterms:created>
  <dcterms:modified xsi:type="dcterms:W3CDTF">2023-09-06T14:54:03Z</dcterms:modified>
</cp:coreProperties>
</file>