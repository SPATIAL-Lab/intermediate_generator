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defaultThemeVersion="166925"/>
  <mc:AlternateContent xmlns:mc="http://schemas.openxmlformats.org/markup-compatibility/2006">
    <mc:Choice Requires="x15">
      <x15ac:absPath xmlns:x15ac="http://schemas.microsoft.com/office/spreadsheetml/2010/11/ac" url="/Users/Daphnia/Desktop/"/>
    </mc:Choice>
  </mc:AlternateContent>
  <xr:revisionPtr revIDLastSave="0" documentId="13_ncr:1_{A5FCA48E-18C3-2243-863B-F4DD374F59D6}" xr6:coauthVersionLast="47" xr6:coauthVersionMax="47" xr10:uidLastSave="{00000000-0000-0000-0000-000000000000}"/>
  <bookViews>
    <workbookView xWindow="0" yWindow="2260" windowWidth="26180" windowHeight="1520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8" i="1" l="1"/>
  <c r="K8" i="1"/>
  <c r="L8" i="1"/>
  <c r="J7" i="1"/>
  <c r="K7" i="1"/>
  <c r="J6" i="1"/>
  <c r="K6" i="1"/>
  <c r="L6" i="1"/>
  <c r="J5" i="1"/>
  <c r="K5" i="1"/>
  <c r="L5" i="1"/>
  <c r="F5" i="1"/>
  <c r="G5" i="1"/>
  <c r="H5" i="1"/>
  <c r="I5" i="1"/>
  <c r="F6" i="1"/>
  <c r="G6" i="1"/>
  <c r="H6" i="1"/>
  <c r="I6" i="1"/>
  <c r="F7" i="1"/>
  <c r="G7" i="1"/>
  <c r="H7" i="1"/>
  <c r="I7" i="1"/>
  <c r="F8" i="1"/>
  <c r="G8" i="1"/>
  <c r="H8" i="1"/>
  <c r="I8" i="1"/>
  <c r="F4" i="1"/>
  <c r="L4" i="1"/>
  <c r="K4" i="1"/>
  <c r="J4" i="1"/>
  <c r="I4" i="1"/>
  <c r="H4" i="1"/>
  <c r="G4" i="1"/>
</calcChain>
</file>

<file path=xl/sharedStrings.xml><?xml version="1.0" encoding="utf-8"?>
<sst xmlns="http://schemas.openxmlformats.org/spreadsheetml/2006/main" count="228" uniqueCount="96">
  <si>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</si>
  <si>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</si>
  <si>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</si>
  <si>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</si>
  <si>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</si>
  <si>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</si>
  <si>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</si>
  <si>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</si>
  <si>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</si>
  <si>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</si>
  <si>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</si>
  <si>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</si>
  <si>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</si>
  <si>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</si>
  <si>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</si>
  <si>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</si>
  <si>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</si>
  <si>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</si>
  <si>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</si>
  <si>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</si>
  <si>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</si>
  <si>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</si>
  <si>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</si>
  <si>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</si>
  <si>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</si>
  <si>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</si>
  <si>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</si>
  <si>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</si>
  <si>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</si>
  <si>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</si>
  <si>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</si>
  <si>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</si>
  <si>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</si>
  <si>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error fom the calibration species not included</t>
  </si>
  <si>
    <t>Ginkgoaceae</t>
  </si>
  <si>
    <t>Ginkgo</t>
  </si>
  <si>
    <t>Ginkgo biloba</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</si>
  <si>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</si>
  <si>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</si>
  <si>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</si>
  <si>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</si>
  <si>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</si>
  <si>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</si>
  <si>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</si>
  <si>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</si>
  <si>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</si>
  <si>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</si>
  <si>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stomata-SI</t>
  </si>
  <si>
    <t>Barclay</t>
  </si>
  <si>
    <t>NA</t>
  </si>
  <si>
    <t>Barclay, R.S. and Wing, S.L., 2016. Improving the Ginkgo CO2 barometer: Implications for the early Cenozoic atmosphere. Earth and Planetary Science Letters, 439, pp.158-171.</t>
  </si>
  <si>
    <t>SLW991,2,3</t>
  </si>
  <si>
    <t>SLW8612</t>
  </si>
  <si>
    <t>SLW9434</t>
  </si>
  <si>
    <t>SLW9715</t>
  </si>
  <si>
    <t>SLW9812</t>
  </si>
  <si>
    <t>wyomingensis</t>
  </si>
  <si>
    <t>Smithsonian (NMNH)</t>
  </si>
  <si>
    <t>Fort Union</t>
  </si>
  <si>
    <t>Microscope</t>
  </si>
  <si>
    <t>pCO2 = 9920.9(SI)−1.484</t>
  </si>
  <si>
    <t>st dev</t>
  </si>
  <si>
    <t>CO2 estimate is based on only one leaf fragment</t>
  </si>
  <si>
    <t>Richard S. Barclay; CO2 recalculations made by Dana L. Royer</t>
  </si>
  <si>
    <t>barclayrs@si.edu; droyer@wesleyan.edu</t>
  </si>
  <si>
    <t>Stratigraphic position relative to PETM onset, assuming a 56.0 Ma age for PETM onset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</si>
  <si>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</si>
  <si>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</si>
  <si>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</si>
  <si>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</si>
  <si>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</si>
  <si>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</si>
  <si>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</si>
  <si>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</si>
  <si>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</si>
  <si>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</si>
  <si>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 and associated uncertainty is recalculated here using the Monte Carlo routine of Beerling et al (2009, American Journal of Science, 10.2475/09.2009.01), which incorporates uncertainty in both the fossil measurements and the extant calibration and reflects 95% uncertainty estimates.</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</si>
  <si>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</si>
  <si>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</si>
  <si>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</si>
  <si>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</si>
  <si>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</si>
  <si>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</si>
  <si>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</si>
  <si>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the actual CO2 estimate is &gt;429 ppm but has been set to 429 ppm for plotting purposes, similarly: the pos. CO2 uncertainty is unbounded but has been set to 2000 ppm for plotting purposes</t>
  </si>
  <si>
    <t>10.1016/j.epsl.2016.01.012</t>
  </si>
  <si>
    <t>GTS2020</t>
  </si>
  <si>
    <t>CO2 estimate is based on only two leaf fragments</t>
  </si>
  <si>
    <t>CO2 estimate is based on only three leaf fragments</t>
  </si>
  <si>
    <t>CO2 estimate is based on only four leaf fragments, Also, the mean stomatal index for the fossils fall considerably below the lowest measured stomatal index in the calibration; thus, the CO2 estimate is based on an extrapolation of the calibration; the actual CO2 estimate is &gt;429 ppm but has been set to 429 ppm for plotting purposes, similarly: the pos. CO2 uncertainty is unbounded but has been set to 2000 ppm for plotting purposes</t>
  </si>
  <si>
    <t>CO2 and associated uncertainty is recalculated here using the Monte Carlo routine of Beerling et al (2009, American Journal of Science, 10.2475/09.2009.01), which incorporates uncertainty in both the fossil measurements and the extant calibration and reflects 95% uncertainty estimates. Because the measured SI value falls outside the calibrated range, all that we can say is that CO2 exceeded the top end of the calibration (429 ppm)</t>
  </si>
  <si>
    <t>median</t>
  </si>
  <si>
    <t>lognormal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</si>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</sst>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sz val="10"/>
      <color theme="1"/>
      <name val="Arial"/>
      <family val="2"/>
    </font>
    <font>
      <b/>
      <sz val="12"/>
      <name val="Calibri"/>
      <family val="2"/>
      <scheme val="minor"/>
    </font>
    <font>
      <sz val="13"/>
      <color rgb="FF000000"/>
      <name val="Helvetica"/>
      <family val="2"/>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7" fillId="0" borderId="0"/>
  </cellStyleXfs>
  <cellXfs count="37">
    <xf numFmtId="0" fontId="0" fillId="0" borderId="0" xfId="0"/>
    <xf numFmtId="0" fontId="4" fillId="0" borderId="0" xfId="0" applyFont="1"/>
    <xf numFmtId="2" fontId="4" fillId="0" borderId="0" xfId="0" applyNumberFormat="1" applyFont="1"/>
    <xf numFmtId="0" fontId="6" fillId="0" borderId="0" xfId="0"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2" fontId="6" fillId="0" borderId="0" xfId="0" applyNumberFormat="1" applyFont="1"/>
    <xf numFmtId="1" fontId="6" fillId="0" borderId="0" xfId="0" applyNumberFormat="1" applyFont="1"/>
    <xf numFmtId="1" fontId="4" fillId="0" borderId="0" xfId="1" applyNumberFormat="1" applyFont="1"/>
    <xf numFmtId="1" fontId="4" fillId="0" borderId="0" xfId="0" applyNumberFormat="1" applyFont="1"/>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wrapText="1"/>
    </xf>
    <xf numFmtId="2" fontId="4" fillId="0" borderId="0" xfId="1" applyNumberFormat="1" applyFont="1"/>
    <xf numFmtId="2"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xf>
    <xf numFmtId="2" fontId="3" fillId="0" borderId="0" xfId="0" applyNumberFormat="1" applyFont="1" applyAlignment="1">
      <alignment horizontal="center" vertical="top" wrapText="1"/>
    </xf>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Border="1"/>
    <xf numFmtId="0" fontId="0" fillId="0" borderId="2" xfId="0" quotePrefix="1" applyBorder="1" applyAlignment="1">
      <alignment wrapText="1"/>
    </xf>
    <xf numFmtId="0" fontId="0" fillId="0" borderId="3" xfId="0" quotePrefix="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2" fillId="2" borderId="0" xfId="0" applyFont="1" applyFill="1" applyAlignment="1">
      <alignment vertical="top" wrapText="1"/>
    </xf>
    <xf numFmtId="0" fontId="3" fillId="2" borderId="0" xfId="0" applyFont="1" applyFill="1" applyAlignment="1">
      <alignment horizontal="center" vertical="top" wrapText="1"/>
    </xf>
    <xf numFmtId="0" fontId="8" fillId="2" borderId="0" xfId="0" applyFont="1" applyFill="1" applyAlignment="1">
      <alignment horizontal="center" vertical="top" wrapText="1"/>
    </xf>
    <xf numFmtId="0" fontId="0" fillId="0" borderId="0" xfId="0" applyAlignment="1">
      <alignment horizontal="right"/>
    </xf>
    <xf numFmtId="1" fontId="0" fillId="0" borderId="0" xfId="0" applyNumberFormat="1"/>
    <xf numFmtId="0" fontId="9" fillId="0" borderId="0" xfId="0" applyFont="1"/>
  </cellXfs>
  <cellStyles count="3">
    <cellStyle name="Normal" xfId="0" builtinId="0"/>
    <cellStyle name="Normal 2" xfId="2" xr:uid="{00000000-0005-0000-0000-000001000000}"/>
    <cellStyle name="Normal_CO2 proxy data &amp; documentation"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
  <sheetViews>
    <sheetView tabSelected="1" topLeftCell="E1" zoomScaleNormal="100" workbookViewId="0">
      <pane ySplit="3" topLeftCell="A4" activePane="bottomLeft" state="frozen"/>
      <selection pane="bottomLeft" activeCell="N14" sqref="N14"/>
    </sheetView>
  </sheetViews>
  <sheetFormatPr baseColWidth="10" defaultColWidth="12" defaultRowHeight="16" x14ac:dyDescent="0.2"/>
  <cols>
    <col min="1" max="24" width="12" style="3"/>
    <col min="25" max="25" width="19.1640625" style="3" customWidth="1"/>
    <col min="26" max="26" width="26.33203125" style="3" bestFit="1" customWidth="1"/>
    <col min="27" max="27" width="24.5" style="3" bestFit="1" customWidth="1"/>
    <col min="28" max="28" width="12" style="3"/>
    <col min="29" max="29" width="13.5" style="3" bestFit="1" customWidth="1"/>
    <col min="30" max="30" width="15.6640625" style="3" bestFit="1" customWidth="1"/>
    <col min="31" max="32" width="12" style="3"/>
    <col min="33" max="33" width="13.5" style="3" customWidth="1"/>
    <col min="34" max="34" width="12" style="3"/>
    <col min="35" max="35" width="14" style="7" customWidth="1"/>
    <col min="36" max="36" width="13.5" style="7" customWidth="1"/>
    <col min="37" max="37" width="27.33203125" style="3" customWidth="1"/>
    <col min="38" max="38" width="13.83203125" style="3" customWidth="1"/>
    <col min="39" max="42" width="12" style="3"/>
    <col min="43" max="43" width="13.5" style="4" customWidth="1"/>
    <col min="44" max="44" width="13.5" style="5" customWidth="1"/>
    <col min="45" max="45" width="13" style="3" customWidth="1"/>
    <col min="46" max="46" width="12" style="3"/>
    <col min="47" max="47" width="11" style="7" bestFit="1" customWidth="1"/>
    <col min="48" max="48" width="10.83203125" style="7" bestFit="1" customWidth="1"/>
    <col min="49" max="49" width="12" style="6"/>
    <col min="50" max="50" width="9.5" style="7" bestFit="1" customWidth="1"/>
    <col min="51" max="51" width="9.1640625" style="7" bestFit="1" customWidth="1"/>
    <col min="52" max="52" width="9.6640625" style="7" customWidth="1"/>
    <col min="53" max="53" width="18" style="3" customWidth="1"/>
    <col min="54" max="54" width="14.33203125" style="3" customWidth="1"/>
    <col min="55" max="55" width="12" style="3"/>
    <col min="56" max="56" width="12.5" style="8" bestFit="1" customWidth="1"/>
    <col min="57" max="57" width="12" style="3"/>
    <col min="58" max="58" width="12.83203125" style="8" customWidth="1"/>
    <col min="59" max="59" width="13.33203125" style="8" customWidth="1"/>
    <col min="60" max="60" width="12" style="3"/>
    <col min="61" max="61" width="19.33203125" style="3" bestFit="1" customWidth="1"/>
    <col min="62" max="16384" width="12" style="3"/>
  </cols>
  <sheetData>
    <row r="3" spans="1:62" s="17" customFormat="1" ht="84" customHeight="1" x14ac:dyDescent="0.2">
      <c r="A3" s="23" t="s">
        <v>37</v>
      </c>
      <c r="B3" s="24" t="s">
        <v>38</v>
      </c>
      <c r="C3" s="25" t="s">
        <v>39</v>
      </c>
      <c r="D3" s="11" t="s">
        <v>40</v>
      </c>
      <c r="E3" s="11" t="s">
        <v>41</v>
      </c>
      <c r="F3" s="26" t="s">
        <v>1</v>
      </c>
      <c r="G3" s="26" t="s">
        <v>42</v>
      </c>
      <c r="H3" s="27" t="s">
        <v>43</v>
      </c>
      <c r="I3" s="27" t="s">
        <v>44</v>
      </c>
      <c r="J3" s="11" t="s">
        <v>66</v>
      </c>
      <c r="K3" s="27" t="s">
        <v>67</v>
      </c>
      <c r="L3" s="28" t="s">
        <v>77</v>
      </c>
      <c r="M3" s="11" t="s">
        <v>68</v>
      </c>
      <c r="N3" s="11" t="s">
        <v>93</v>
      </c>
      <c r="O3" s="11" t="s">
        <v>94</v>
      </c>
      <c r="P3" s="11" t="s">
        <v>69</v>
      </c>
      <c r="Q3" s="12" t="s">
        <v>70</v>
      </c>
      <c r="R3" s="13" t="s">
        <v>71</v>
      </c>
      <c r="S3" s="14" t="s">
        <v>72</v>
      </c>
      <c r="T3" s="11" t="s">
        <v>73</v>
      </c>
      <c r="U3" s="11" t="s">
        <v>45</v>
      </c>
      <c r="V3" s="11" t="s">
        <v>74</v>
      </c>
      <c r="W3" s="29" t="s">
        <v>75</v>
      </c>
      <c r="X3" s="30" t="s">
        <v>46</v>
      </c>
      <c r="Y3" s="31" t="s">
        <v>78</v>
      </c>
      <c r="Z3" s="31" t="s">
        <v>79</v>
      </c>
      <c r="AA3" s="31" t="s">
        <v>2</v>
      </c>
      <c r="AB3" s="31" t="s">
        <v>3</v>
      </c>
      <c r="AC3" s="31" t="s">
        <v>4</v>
      </c>
      <c r="AD3" s="31" t="s">
        <v>5</v>
      </c>
      <c r="AE3" s="31" t="s">
        <v>6</v>
      </c>
      <c r="AF3" s="31" t="s">
        <v>7</v>
      </c>
      <c r="AG3" s="32" t="s">
        <v>8</v>
      </c>
      <c r="AH3" s="31" t="s">
        <v>9</v>
      </c>
      <c r="AI3" s="31" t="s">
        <v>10</v>
      </c>
      <c r="AJ3" s="31" t="s">
        <v>11</v>
      </c>
      <c r="AK3" s="31" t="s">
        <v>12</v>
      </c>
      <c r="AL3" s="31" t="s">
        <v>13</v>
      </c>
      <c r="AM3" s="31" t="s">
        <v>80</v>
      </c>
      <c r="AN3" s="31" t="s">
        <v>81</v>
      </c>
      <c r="AO3" s="33" t="s">
        <v>82</v>
      </c>
      <c r="AP3" s="33" t="s">
        <v>83</v>
      </c>
      <c r="AQ3" s="16" t="s">
        <v>14</v>
      </c>
      <c r="AR3" s="16" t="s">
        <v>15</v>
      </c>
      <c r="AS3" s="16" t="s">
        <v>16</v>
      </c>
      <c r="AT3" s="16" t="s">
        <v>17</v>
      </c>
      <c r="AU3" s="22" t="s">
        <v>18</v>
      </c>
      <c r="AV3" s="22" t="s">
        <v>19</v>
      </c>
      <c r="AW3" s="16" t="s">
        <v>20</v>
      </c>
      <c r="AX3" s="16" t="s">
        <v>21</v>
      </c>
      <c r="AY3" s="22" t="s">
        <v>22</v>
      </c>
      <c r="AZ3" s="22" t="s">
        <v>23</v>
      </c>
      <c r="BA3" s="16" t="s">
        <v>24</v>
      </c>
      <c r="BB3" s="16" t="s">
        <v>25</v>
      </c>
      <c r="BC3" s="16" t="s">
        <v>26</v>
      </c>
      <c r="BD3" s="16" t="s">
        <v>27</v>
      </c>
      <c r="BE3" s="15" t="s">
        <v>28</v>
      </c>
      <c r="BF3" s="16" t="s">
        <v>29</v>
      </c>
      <c r="BG3" s="16" t="s">
        <v>30</v>
      </c>
      <c r="BH3" s="15" t="s">
        <v>31</v>
      </c>
      <c r="BI3" s="15" t="s">
        <v>32</v>
      </c>
      <c r="BJ3" s="15" t="s">
        <v>0</v>
      </c>
    </row>
    <row r="4" spans="1:62" x14ac:dyDescent="0.2">
      <c r="A4" t="s">
        <v>63</v>
      </c>
      <c r="B4" t="s">
        <v>64</v>
      </c>
      <c r="C4" t="s">
        <v>47</v>
      </c>
      <c r="D4" t="s">
        <v>48</v>
      </c>
      <c r="E4">
        <v>2016</v>
      </c>
      <c r="F4" t="str">
        <f>Z4</f>
        <v>10.1016/j.epsl.2016.01.012</v>
      </c>
      <c r="G4">
        <f>AH4*1000</f>
        <v>56722</v>
      </c>
      <c r="H4">
        <f>AI4*1000</f>
        <v>50</v>
      </c>
      <c r="I4">
        <f>AJ4*1000</f>
        <v>50</v>
      </c>
      <c r="J4">
        <f>BD4</f>
        <v>351</v>
      </c>
      <c r="K4" s="35">
        <f>BG4-BD4</f>
        <v>68</v>
      </c>
      <c r="L4" s="35">
        <f>BD4-BF4</f>
        <v>49</v>
      </c>
      <c r="M4" t="b">
        <v>0</v>
      </c>
      <c r="N4">
        <v>2</v>
      </c>
      <c r="O4" t="s">
        <v>87</v>
      </c>
      <c r="P4" t="s">
        <v>49</v>
      </c>
      <c r="Q4" t="b">
        <v>1</v>
      </c>
      <c r="R4" t="s">
        <v>76</v>
      </c>
      <c r="S4" t="b">
        <v>1</v>
      </c>
      <c r="T4" t="b">
        <v>0</v>
      </c>
      <c r="U4" t="s">
        <v>49</v>
      </c>
      <c r="V4" t="s">
        <v>49</v>
      </c>
      <c r="W4" t="s">
        <v>49</v>
      </c>
      <c r="X4" t="s">
        <v>49</v>
      </c>
      <c r="Y4" s="1" t="s">
        <v>50</v>
      </c>
      <c r="Z4" s="1" t="s">
        <v>85</v>
      </c>
      <c r="AA4" s="1" t="s">
        <v>51</v>
      </c>
      <c r="AB4" s="1" t="s">
        <v>34</v>
      </c>
      <c r="AC4" s="1" t="s">
        <v>35</v>
      </c>
      <c r="AD4" s="1" t="s">
        <v>56</v>
      </c>
      <c r="AE4" s="1" t="s">
        <v>57</v>
      </c>
      <c r="AF4" s="1" t="s">
        <v>58</v>
      </c>
      <c r="AG4" s="1" t="s">
        <v>49</v>
      </c>
      <c r="AH4" s="1">
        <v>56.722000000000001</v>
      </c>
      <c r="AI4" s="18">
        <v>0.05</v>
      </c>
      <c r="AJ4" s="18">
        <v>0.05</v>
      </c>
      <c r="AK4" s="1" t="s">
        <v>86</v>
      </c>
      <c r="AL4" s="1" t="s">
        <v>65</v>
      </c>
      <c r="AM4" s="1">
        <v>44.8</v>
      </c>
      <c r="AN4" s="1" t="s">
        <v>49</v>
      </c>
      <c r="AO4" s="34" t="s">
        <v>49</v>
      </c>
      <c r="AP4" s="34" t="s">
        <v>49</v>
      </c>
      <c r="AQ4" s="21">
        <v>10</v>
      </c>
      <c r="AR4" s="20">
        <v>2</v>
      </c>
      <c r="AS4" s="1" t="s">
        <v>59</v>
      </c>
      <c r="AT4" s="1">
        <v>0.25</v>
      </c>
      <c r="AU4" s="2">
        <v>8.9499999999999993</v>
      </c>
      <c r="AV4" s="2">
        <v>88.9</v>
      </c>
      <c r="AW4" s="1">
        <v>143.19999999999999</v>
      </c>
      <c r="AX4" s="19">
        <v>9.1300000000000008</v>
      </c>
      <c r="AY4" s="2">
        <v>0.40701092704845432</v>
      </c>
      <c r="AZ4" s="2">
        <v>0.257240960912414</v>
      </c>
      <c r="BA4" s="2" t="s">
        <v>36</v>
      </c>
      <c r="BB4" s="1" t="s">
        <v>60</v>
      </c>
      <c r="BC4" s="1" t="s">
        <v>33</v>
      </c>
      <c r="BD4" s="3">
        <v>351</v>
      </c>
      <c r="BE4" s="9" t="s">
        <v>91</v>
      </c>
      <c r="BF4" s="9">
        <v>302</v>
      </c>
      <c r="BG4" s="9">
        <v>419</v>
      </c>
      <c r="BH4" s="1" t="s">
        <v>61</v>
      </c>
      <c r="BI4" s="10" t="s">
        <v>92</v>
      </c>
      <c r="BJ4" s="1" t="s">
        <v>49</v>
      </c>
    </row>
    <row r="5" spans="1:62" x14ac:dyDescent="0.2">
      <c r="A5" t="s">
        <v>63</v>
      </c>
      <c r="B5" t="s">
        <v>64</v>
      </c>
      <c r="C5" t="s">
        <v>47</v>
      </c>
      <c r="D5" t="s">
        <v>48</v>
      </c>
      <c r="E5">
        <v>2016</v>
      </c>
      <c r="F5" t="str">
        <f t="shared" ref="F5:F8" si="0">Z5</f>
        <v>10.1016/j.epsl.2016.01.012</v>
      </c>
      <c r="G5">
        <f t="shared" ref="G5:G8" si="1">AH5*1000</f>
        <v>56318</v>
      </c>
      <c r="H5">
        <f t="shared" ref="H5:H8" si="2">AI5*1000</f>
        <v>50</v>
      </c>
      <c r="I5">
        <f t="shared" ref="I5:I8" si="3">AJ5*1000</f>
        <v>50</v>
      </c>
      <c r="J5">
        <f>BD5</f>
        <v>309</v>
      </c>
      <c r="K5" s="35">
        <f>BG5-BD5</f>
        <v>40</v>
      </c>
      <c r="L5" s="35">
        <f>BD5-BF5</f>
        <v>19</v>
      </c>
      <c r="M5" t="b">
        <v>0</v>
      </c>
      <c r="N5">
        <v>2</v>
      </c>
      <c r="O5" t="s">
        <v>88</v>
      </c>
      <c r="P5" t="s">
        <v>49</v>
      </c>
      <c r="Q5" t="b">
        <v>1</v>
      </c>
      <c r="R5" t="s">
        <v>76</v>
      </c>
      <c r="S5" t="b">
        <v>1</v>
      </c>
      <c r="T5" t="b">
        <v>0</v>
      </c>
      <c r="U5" t="s">
        <v>49</v>
      </c>
      <c r="V5" t="s">
        <v>49</v>
      </c>
      <c r="W5" t="s">
        <v>49</v>
      </c>
      <c r="X5" t="s">
        <v>49</v>
      </c>
      <c r="Y5" s="1" t="s">
        <v>50</v>
      </c>
      <c r="Z5" s="1" t="s">
        <v>85</v>
      </c>
      <c r="AA5" s="1" t="s">
        <v>52</v>
      </c>
      <c r="AB5" s="1" t="s">
        <v>34</v>
      </c>
      <c r="AC5" s="1" t="s">
        <v>35</v>
      </c>
      <c r="AD5" s="1" t="s">
        <v>56</v>
      </c>
      <c r="AE5" s="1" t="s">
        <v>57</v>
      </c>
      <c r="AF5" s="1" t="s">
        <v>58</v>
      </c>
      <c r="AG5" s="1" t="s">
        <v>49</v>
      </c>
      <c r="AH5" s="1">
        <v>56.317999999999998</v>
      </c>
      <c r="AI5" s="18">
        <v>0.05</v>
      </c>
      <c r="AJ5" s="18">
        <v>0.05</v>
      </c>
      <c r="AK5" s="1" t="s">
        <v>86</v>
      </c>
      <c r="AL5" s="1" t="s">
        <v>65</v>
      </c>
      <c r="AM5" s="1">
        <v>44.15</v>
      </c>
      <c r="AN5" s="1" t="s">
        <v>49</v>
      </c>
      <c r="AO5" s="34" t="s">
        <v>49</v>
      </c>
      <c r="AP5" s="34" t="s">
        <v>49</v>
      </c>
      <c r="AQ5" s="21">
        <v>10</v>
      </c>
      <c r="AR5" s="20">
        <v>3</v>
      </c>
      <c r="AS5" s="1" t="s">
        <v>59</v>
      </c>
      <c r="AT5" s="1">
        <v>0.25</v>
      </c>
      <c r="AU5" s="2">
        <v>12.333333333333334</v>
      </c>
      <c r="AV5" s="2">
        <v>112.8</v>
      </c>
      <c r="AW5" s="1">
        <v>197.33333333333334</v>
      </c>
      <c r="AX5" s="19">
        <v>9.86</v>
      </c>
      <c r="AY5" s="2">
        <v>0.49904122634695236</v>
      </c>
      <c r="AZ5" s="2">
        <v>0.16986404385079545</v>
      </c>
      <c r="BA5" s="2" t="s">
        <v>36</v>
      </c>
      <c r="BB5" s="1" t="s">
        <v>60</v>
      </c>
      <c r="BC5" s="1" t="s">
        <v>33</v>
      </c>
      <c r="BD5" s="3">
        <v>309</v>
      </c>
      <c r="BE5" s="9" t="s">
        <v>91</v>
      </c>
      <c r="BF5" s="9">
        <v>290</v>
      </c>
      <c r="BG5" s="9">
        <v>349</v>
      </c>
      <c r="BH5" s="1" t="s">
        <v>61</v>
      </c>
      <c r="BI5" s="10" t="s">
        <v>92</v>
      </c>
      <c r="BJ5" s="1" t="s">
        <v>49</v>
      </c>
    </row>
    <row r="6" spans="1:62" x14ac:dyDescent="0.2">
      <c r="A6" t="s">
        <v>63</v>
      </c>
      <c r="B6" t="s">
        <v>64</v>
      </c>
      <c r="C6" t="s">
        <v>47</v>
      </c>
      <c r="D6" t="s">
        <v>48</v>
      </c>
      <c r="E6">
        <v>2016</v>
      </c>
      <c r="F6" t="str">
        <f t="shared" si="0"/>
        <v>10.1016/j.epsl.2016.01.012</v>
      </c>
      <c r="G6">
        <f t="shared" si="1"/>
        <v>56232</v>
      </c>
      <c r="H6">
        <f t="shared" si="2"/>
        <v>50</v>
      </c>
      <c r="I6">
        <f t="shared" si="3"/>
        <v>50</v>
      </c>
      <c r="J6">
        <f>BD6</f>
        <v>325</v>
      </c>
      <c r="K6" s="35">
        <f>BG6-BD6</f>
        <v>21.399999999999977</v>
      </c>
      <c r="L6" s="35">
        <f>BD6-BF6</f>
        <v>21.399999999999977</v>
      </c>
      <c r="M6" t="b">
        <v>0</v>
      </c>
      <c r="N6">
        <v>2</v>
      </c>
      <c r="O6" t="s">
        <v>62</v>
      </c>
      <c r="P6" t="s">
        <v>49</v>
      </c>
      <c r="Q6" t="b">
        <v>1</v>
      </c>
      <c r="R6" t="s">
        <v>76</v>
      </c>
      <c r="S6" t="b">
        <v>1</v>
      </c>
      <c r="T6" t="b">
        <v>0</v>
      </c>
      <c r="U6" t="s">
        <v>49</v>
      </c>
      <c r="V6" t="s">
        <v>49</v>
      </c>
      <c r="W6" t="s">
        <v>49</v>
      </c>
      <c r="X6" t="s">
        <v>49</v>
      </c>
      <c r="Y6" s="1" t="s">
        <v>50</v>
      </c>
      <c r="Z6" s="1" t="s">
        <v>85</v>
      </c>
      <c r="AA6" s="1" t="s">
        <v>53</v>
      </c>
      <c r="AB6" s="1" t="s">
        <v>34</v>
      </c>
      <c r="AC6" s="1" t="s">
        <v>35</v>
      </c>
      <c r="AD6" s="1" t="s">
        <v>56</v>
      </c>
      <c r="AE6" s="1" t="s">
        <v>57</v>
      </c>
      <c r="AF6" s="1" t="s">
        <v>58</v>
      </c>
      <c r="AG6" s="1" t="s">
        <v>49</v>
      </c>
      <c r="AH6" s="1">
        <v>56.231999999999999</v>
      </c>
      <c r="AI6" s="18">
        <v>0.05</v>
      </c>
      <c r="AJ6" s="18">
        <v>0.05</v>
      </c>
      <c r="AK6" s="1" t="s">
        <v>86</v>
      </c>
      <c r="AL6" s="1" t="s">
        <v>65</v>
      </c>
      <c r="AM6" s="1">
        <v>44.16</v>
      </c>
      <c r="AN6" s="1">
        <v>-107.85</v>
      </c>
      <c r="AO6" s="34" t="s">
        <v>49</v>
      </c>
      <c r="AP6" s="34" t="s">
        <v>49</v>
      </c>
      <c r="AQ6" s="21">
        <v>8</v>
      </c>
      <c r="AR6" s="20">
        <v>1</v>
      </c>
      <c r="AS6" s="1" t="s">
        <v>59</v>
      </c>
      <c r="AT6" s="1">
        <v>0.25</v>
      </c>
      <c r="AU6" s="2">
        <v>11.875</v>
      </c>
      <c r="AV6" s="2">
        <v>114.625</v>
      </c>
      <c r="AW6" s="1">
        <v>190</v>
      </c>
      <c r="AX6" s="19">
        <v>9.3800000000000008</v>
      </c>
      <c r="AY6" s="2">
        <v>0.54894379103354984</v>
      </c>
      <c r="AZ6" s="2">
        <v>0.30398821846166701</v>
      </c>
      <c r="BA6" s="2" t="s">
        <v>36</v>
      </c>
      <c r="BB6" s="1" t="s">
        <v>60</v>
      </c>
      <c r="BC6" s="1" t="s">
        <v>33</v>
      </c>
      <c r="BD6" s="3">
        <v>325</v>
      </c>
      <c r="BE6" s="9" t="s">
        <v>91</v>
      </c>
      <c r="BF6" s="9">
        <v>303.60000000000002</v>
      </c>
      <c r="BG6" s="9">
        <v>346.4</v>
      </c>
      <c r="BH6" s="1" t="s">
        <v>61</v>
      </c>
      <c r="BI6" s="10" t="s">
        <v>92</v>
      </c>
      <c r="BJ6" s="1" t="s">
        <v>49</v>
      </c>
    </row>
    <row r="7" spans="1:62" x14ac:dyDescent="0.2">
      <c r="A7" t="s">
        <v>63</v>
      </c>
      <c r="B7" t="s">
        <v>64</v>
      </c>
      <c r="C7" t="s">
        <v>47</v>
      </c>
      <c r="D7" t="s">
        <v>48</v>
      </c>
      <c r="E7">
        <v>2016</v>
      </c>
      <c r="F7" t="str">
        <f t="shared" si="0"/>
        <v>10.1016/j.epsl.2016.01.012</v>
      </c>
      <c r="G7">
        <f t="shared" si="1"/>
        <v>56050</v>
      </c>
      <c r="H7">
        <f t="shared" si="2"/>
        <v>50</v>
      </c>
      <c r="I7">
        <f t="shared" si="3"/>
        <v>50</v>
      </c>
      <c r="J7">
        <f>BD7</f>
        <v>429</v>
      </c>
      <c r="K7" s="35">
        <f>BG7-BD7</f>
        <v>2000</v>
      </c>
      <c r="L7" s="35" t="s">
        <v>49</v>
      </c>
      <c r="M7" t="b">
        <v>0</v>
      </c>
      <c r="N7">
        <v>2</v>
      </c>
      <c r="O7" t="s">
        <v>89</v>
      </c>
      <c r="P7" t="s">
        <v>49</v>
      </c>
      <c r="Q7" t="b">
        <v>1</v>
      </c>
      <c r="R7" t="s">
        <v>90</v>
      </c>
      <c r="S7" t="b">
        <v>1</v>
      </c>
      <c r="T7" t="b">
        <v>0</v>
      </c>
      <c r="U7" t="s">
        <v>49</v>
      </c>
      <c r="V7" t="s">
        <v>49</v>
      </c>
      <c r="W7" t="s">
        <v>49</v>
      </c>
      <c r="X7" t="s">
        <v>49</v>
      </c>
      <c r="Y7" s="1" t="s">
        <v>50</v>
      </c>
      <c r="Z7" s="1" t="s">
        <v>85</v>
      </c>
      <c r="AA7" s="1" t="s">
        <v>54</v>
      </c>
      <c r="AB7" s="1" t="s">
        <v>34</v>
      </c>
      <c r="AC7" s="1" t="s">
        <v>35</v>
      </c>
      <c r="AD7" s="1" t="s">
        <v>56</v>
      </c>
      <c r="AE7" s="1" t="s">
        <v>57</v>
      </c>
      <c r="AF7" s="1" t="s">
        <v>58</v>
      </c>
      <c r="AG7" s="1" t="s">
        <v>49</v>
      </c>
      <c r="AH7" s="1">
        <v>56.05</v>
      </c>
      <c r="AI7" s="18">
        <v>0.05</v>
      </c>
      <c r="AJ7" s="18">
        <v>0.05</v>
      </c>
      <c r="AK7" s="1" t="s">
        <v>86</v>
      </c>
      <c r="AL7" s="1" t="s">
        <v>65</v>
      </c>
      <c r="AM7" s="1">
        <v>44.8</v>
      </c>
      <c r="AN7" s="1" t="s">
        <v>49</v>
      </c>
      <c r="AO7" s="34" t="s">
        <v>49</v>
      </c>
      <c r="AP7" s="34" t="s">
        <v>49</v>
      </c>
      <c r="AQ7" s="21">
        <v>6</v>
      </c>
      <c r="AR7" s="20">
        <v>4</v>
      </c>
      <c r="AS7" s="1" t="s">
        <v>59</v>
      </c>
      <c r="AT7" s="1">
        <v>0.25</v>
      </c>
      <c r="AU7" s="2">
        <v>7.2222222222222223</v>
      </c>
      <c r="AV7" s="2">
        <v>92.138888888888886</v>
      </c>
      <c r="AW7" s="1">
        <v>115.55555555555556</v>
      </c>
      <c r="AX7" s="19">
        <v>7.07</v>
      </c>
      <c r="AY7" s="2">
        <v>0.30371015608063806</v>
      </c>
      <c r="AZ7" s="2">
        <v>0.20296818595704547</v>
      </c>
      <c r="BA7" s="2" t="s">
        <v>36</v>
      </c>
      <c r="BB7" s="1" t="s">
        <v>60</v>
      </c>
      <c r="BC7" s="1" t="s">
        <v>33</v>
      </c>
      <c r="BD7" s="3">
        <v>429</v>
      </c>
      <c r="BE7" s="9" t="s">
        <v>91</v>
      </c>
      <c r="BF7" s="9" t="s">
        <v>49</v>
      </c>
      <c r="BG7" s="9">
        <v>2429</v>
      </c>
      <c r="BH7" s="1" t="s">
        <v>61</v>
      </c>
      <c r="BI7" s="10" t="s">
        <v>92</v>
      </c>
      <c r="BJ7" s="1" t="s">
        <v>84</v>
      </c>
    </row>
    <row r="8" spans="1:62" ht="17" x14ac:dyDescent="0.2">
      <c r="A8" t="s">
        <v>63</v>
      </c>
      <c r="B8" t="s">
        <v>64</v>
      </c>
      <c r="C8" t="s">
        <v>47</v>
      </c>
      <c r="D8" t="s">
        <v>48</v>
      </c>
      <c r="E8">
        <v>2016</v>
      </c>
      <c r="F8" t="str">
        <f t="shared" si="0"/>
        <v>10.1016/j.epsl.2016.01.012</v>
      </c>
      <c r="G8">
        <f t="shared" si="1"/>
        <v>55690</v>
      </c>
      <c r="H8">
        <f t="shared" si="2"/>
        <v>50</v>
      </c>
      <c r="I8">
        <f t="shared" si="3"/>
        <v>50</v>
      </c>
      <c r="J8">
        <f>BD8</f>
        <v>323</v>
      </c>
      <c r="K8" s="35">
        <f>BG8-BD8</f>
        <v>79</v>
      </c>
      <c r="L8" s="35">
        <f>BD8-BF8</f>
        <v>33</v>
      </c>
      <c r="M8" t="b">
        <v>0</v>
      </c>
      <c r="N8">
        <v>1</v>
      </c>
      <c r="O8" s="36" t="s">
        <v>95</v>
      </c>
      <c r="P8" t="s">
        <v>49</v>
      </c>
      <c r="Q8" t="b">
        <v>1</v>
      </c>
      <c r="R8" t="s">
        <v>76</v>
      </c>
      <c r="S8" t="b">
        <v>1</v>
      </c>
      <c r="T8" t="b">
        <v>0</v>
      </c>
      <c r="U8" t="s">
        <v>49</v>
      </c>
      <c r="V8" t="s">
        <v>49</v>
      </c>
      <c r="W8" t="s">
        <v>49</v>
      </c>
      <c r="X8" t="s">
        <v>49</v>
      </c>
      <c r="Y8" s="1" t="s">
        <v>50</v>
      </c>
      <c r="Z8" s="1" t="s">
        <v>85</v>
      </c>
      <c r="AA8" s="1" t="s">
        <v>55</v>
      </c>
      <c r="AB8" s="1" t="s">
        <v>34</v>
      </c>
      <c r="AC8" s="1" t="s">
        <v>35</v>
      </c>
      <c r="AD8" s="1" t="s">
        <v>56</v>
      </c>
      <c r="AE8" s="1" t="s">
        <v>57</v>
      </c>
      <c r="AF8" s="1" t="s">
        <v>58</v>
      </c>
      <c r="AG8" s="1" t="s">
        <v>49</v>
      </c>
      <c r="AH8" s="1">
        <v>55.69</v>
      </c>
      <c r="AI8" s="18">
        <v>0.05</v>
      </c>
      <c r="AJ8" s="18">
        <v>0.05</v>
      </c>
      <c r="AK8" s="1" t="s">
        <v>86</v>
      </c>
      <c r="AL8" s="1" t="s">
        <v>65</v>
      </c>
      <c r="AM8" s="1">
        <v>44.8</v>
      </c>
      <c r="AN8" s="1" t="s">
        <v>49</v>
      </c>
      <c r="AO8" s="34" t="s">
        <v>49</v>
      </c>
      <c r="AP8" s="34" t="s">
        <v>49</v>
      </c>
      <c r="AQ8" s="21">
        <v>11</v>
      </c>
      <c r="AR8" s="20">
        <v>9</v>
      </c>
      <c r="AS8" s="1" t="s">
        <v>59</v>
      </c>
      <c r="AT8" s="1">
        <v>0.25</v>
      </c>
      <c r="AU8" s="2">
        <v>10.777777777777779</v>
      </c>
      <c r="AV8" s="2">
        <v>10.777777777777779</v>
      </c>
      <c r="AW8" s="1">
        <v>172.44444444444446</v>
      </c>
      <c r="AX8" s="19">
        <v>9.77</v>
      </c>
      <c r="AY8" s="2">
        <v>0.25976006162673432</v>
      </c>
      <c r="AZ8" s="2">
        <v>8.7284865001977588E-2</v>
      </c>
      <c r="BA8" s="2" t="s">
        <v>36</v>
      </c>
      <c r="BB8" s="1" t="s">
        <v>60</v>
      </c>
      <c r="BC8" s="1" t="s">
        <v>33</v>
      </c>
      <c r="BD8" s="3">
        <v>323</v>
      </c>
      <c r="BE8" s="9" t="s">
        <v>91</v>
      </c>
      <c r="BF8" s="9">
        <v>290</v>
      </c>
      <c r="BG8" s="9">
        <v>402</v>
      </c>
      <c r="BH8" s="1" t="s">
        <v>61</v>
      </c>
      <c r="BI8" s="10" t="s">
        <v>92</v>
      </c>
      <c r="BJ8" s="1" t="s">
        <v>49</v>
      </c>
    </row>
  </sheetData>
  <sortState xmlns:xlrd2="http://schemas.microsoft.com/office/spreadsheetml/2017/richdata2" ref="AG25:AV42">
    <sortCondition ref="AI25:AI4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Baerbel Hoenisch</cp:lastModifiedBy>
  <dcterms:created xsi:type="dcterms:W3CDTF">2018-05-25T13:54:02Z</dcterms:created>
  <dcterms:modified xsi:type="dcterms:W3CDTF">2023-12-18T16:39:15Z</dcterms:modified>
</cp:coreProperties>
</file>