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09790189-981E-1944-9356-E04FB2C9BD4A}" xr6:coauthVersionLast="47" xr6:coauthVersionMax="47" xr10:uidLastSave="{00000000-0000-0000-0000-000000000000}"/>
  <bookViews>
    <workbookView xWindow="1220" yWindow="2260" windowWidth="27580" windowHeight="13960" tabRatio="500" xr2:uid="{00000000-000D-0000-FFFF-FFFF00000000}"/>
  </bookViews>
  <sheets>
    <sheet name="stomatal index"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4" i="1" l="1"/>
  <c r="AH4" i="1"/>
  <c r="I4" i="1" s="1"/>
  <c r="G4" i="1" l="1"/>
  <c r="H4" i="1"/>
</calcChain>
</file>

<file path=xl/sharedStrings.xml><?xml version="1.0" encoding="utf-8"?>
<sst xmlns="http://schemas.openxmlformats.org/spreadsheetml/2006/main" count="105" uniqueCount="93">
  <si>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</si>
  <si>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</si>
  <si>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</si>
  <si>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</si>
  <si>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</si>
  <si>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</si>
  <si>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</si>
  <si>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</si>
  <si>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</si>
  <si>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</si>
  <si>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</si>
  <si>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</si>
  <si>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</si>
  <si>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</si>
  <si>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</si>
  <si>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</si>
  <si>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</si>
  <si>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</si>
  <si>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</si>
  <si>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</si>
  <si>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</si>
  <si>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</si>
  <si>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</si>
  <si>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</si>
  <si>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</si>
  <si>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</si>
  <si>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</si>
  <si>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</si>
  <si>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</si>
  <si>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</si>
  <si>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</si>
  <si>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</si>
  <si>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</si>
  <si>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proxy</t>
  </si>
  <si>
    <t>first_author_last_name</t>
  </si>
  <si>
    <t>publication_year</t>
  </si>
  <si>
    <t>age_ka</t>
  </si>
  <si>
    <t>Age_uncertainty_pos_ka</t>
  </si>
  <si>
    <t>Age_uncertainty_neg_ka</t>
  </si>
  <si>
    <t>stomata-SI</t>
  </si>
  <si>
    <t>Kürschner</t>
  </si>
  <si>
    <t>10.1306/St47737C10</t>
  </si>
  <si>
    <t>Lamkin Pit</t>
    <phoneticPr fontId="3" type="noConversion"/>
  </si>
  <si>
    <t>Theaceae</t>
    <phoneticPr fontId="3" type="noConversion"/>
  </si>
  <si>
    <t>Gordonia</t>
    <phoneticPr fontId="3" type="noConversion"/>
  </si>
  <si>
    <t>Claiborne Group</t>
    <phoneticPr fontId="3" type="noConversion"/>
  </si>
  <si>
    <t>lower middle Eocene</t>
    <phoneticPr fontId="3" type="noConversion"/>
  </si>
  <si>
    <t>Palynology</t>
    <phoneticPr fontId="3" type="noConversion"/>
  </si>
  <si>
    <t>Microscope</t>
    <phoneticPr fontId="3" type="noConversion"/>
  </si>
  <si>
    <t>~200</t>
  </si>
  <si>
    <t>~8</t>
  </si>
  <si>
    <t>~25</t>
  </si>
  <si>
    <t>~1.5</t>
  </si>
  <si>
    <t>Gordonia lasianthus</t>
  </si>
  <si>
    <t>not reported but shown graphically (his Figure 7); it is based on a linear fit to stomatal index measured at two historical CO2 concentrations: ~275 ppm and ~360 ppm</t>
  </si>
  <si>
    <t>not described, but based on his Figure 7 it appears that only uncertainties in the fossil measurements of SI were incporated (uncertainties in the regression equation not included)</t>
  </si>
  <si>
    <t>mean</t>
  </si>
  <si>
    <t>~460</t>
  </si>
  <si>
    <t>not reported</t>
  </si>
  <si>
    <t>~485</t>
  </si>
  <si>
    <t>~510</t>
  </si>
  <si>
    <t>appear gaussian</t>
  </si>
  <si>
    <t>name of person entering product data</t>
  </si>
  <si>
    <t>email of person entering product data</t>
  </si>
  <si>
    <t>specify reason for quarantine</t>
  </si>
  <si>
    <t>specify reason for age revision</t>
  </si>
  <si>
    <t>Dana L. Royer</t>
  </si>
  <si>
    <t>droyer@wesleyan.edu</t>
  </si>
  <si>
    <t>CO2 is estimated based on measurements of stomatal index</t>
  </si>
  <si>
    <t>Kürschner, W. M., Wagner, F., Dilcher, D. L., and Visscher, H., 2001, Using fossil leaves for the reconstruction of Cenozoic paleoatmospheric CO2 concentrations, in Gerhard, L. C., Harrison, W. E., and Hanson, B. M., eds., Geological Perspectives of Global Climate Change, Volume APPG Studies in Geology 47: Tulsa, The American Association of Petroleum Geologists, p. 169-189.</t>
  </si>
  <si>
    <t>1) Reconstructed CO2 is based on an extropolation of a linear regression fitted to two calibration points; 2) the fossil species--while in the same genus (Gordonia)--is not necessarily the same species as the calibrated species; 3) basic information is not given such as the number of cuticles measured, and how error was propagated</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</si>
  <si>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</si>
  <si>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</si>
  <si>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</si>
  <si>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</si>
  <si>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</si>
  <si>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</si>
  <si>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</si>
  <si>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</si>
  <si>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</si>
  <si>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</si>
  <si>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</si>
  <si>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</si>
  <si>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</si>
  <si>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</si>
  <si>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</si>
  <si>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Longtitude (decimal degree, west negative)</t>
  </si>
  <si>
    <t>Paleo Latitude (decimal degree, south negative)</t>
  </si>
  <si>
    <t>Paleo Longitude (decimal degree, west negative)</t>
  </si>
  <si>
    <t>GTS2020</t>
  </si>
  <si>
    <t>Biostratigraphy updated to GTS2020</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</si>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</sst>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sz val="11"/>
      <color rgb="FF000000"/>
      <name val="Calibri"/>
      <family val="2"/>
      <charset val="1"/>
    </font>
    <font>
      <sz val="12"/>
      <color indexed="8"/>
      <name val="Calibri"/>
      <family val="2"/>
    </font>
    <font>
      <u/>
      <sz val="12"/>
      <color indexed="12"/>
      <name val="Calibri"/>
      <family val="2"/>
    </font>
    <font>
      <sz val="12"/>
      <name val="Calibri"/>
      <family val="2"/>
    </font>
    <font>
      <b/>
      <sz val="12"/>
      <name val="Calibri"/>
      <family val="2"/>
      <scheme val="minor"/>
    </font>
  </fonts>
  <fills count="4">
    <fill>
      <patternFill patternType="none"/>
    </fill>
    <fill>
      <patternFill patternType="gray125"/>
    </fill>
    <fill>
      <patternFill patternType="solid">
        <fgColor rgb="FFE2EFD9"/>
        <bgColor indexed="64"/>
      </patternFill>
    </fill>
    <fill>
      <patternFill patternType="solid">
        <fgColor theme="9" tint="0.79998168889431442"/>
        <bgColor indexed="64"/>
      </patternFill>
    </fill>
  </fills>
  <borders count="5">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xf numFmtId="0" fontId="1" fillId="0" borderId="0"/>
    <xf numFmtId="0" fontId="7" fillId="0" borderId="0" applyNumberFormat="0" applyFill="0" applyBorder="0" applyAlignment="0" applyProtection="0">
      <alignment vertical="top"/>
      <protection locked="0"/>
    </xf>
  </cellStyleXfs>
  <cellXfs count="27">
    <xf numFmtId="0" fontId="0" fillId="0" borderId="0" xfId="0"/>
    <xf numFmtId="0" fontId="0" fillId="0" borderId="0" xfId="0" applyBorder="1" applyAlignment="1"/>
    <xf numFmtId="0" fontId="4" fillId="2" borderId="0" xfId="0" applyFont="1" applyFill="1" applyBorder="1" applyAlignment="1">
      <alignment vertical="top" wrapText="1"/>
    </xf>
    <xf numFmtId="0" fontId="2" fillId="2" borderId="0" xfId="0" applyFont="1" applyFill="1" applyBorder="1" applyAlignment="1">
      <alignment horizontal="center" vertical="top" wrapText="1"/>
    </xf>
    <xf numFmtId="0" fontId="2" fillId="0" borderId="0" xfId="0" applyFont="1" applyAlignment="1">
      <alignment wrapText="1"/>
    </xf>
    <xf numFmtId="0" fontId="0" fillId="0" borderId="0" xfId="0" applyFill="1" applyBorder="1" applyAlignment="1"/>
    <xf numFmtId="0" fontId="0" fillId="0" borderId="0" xfId="0" applyFill="1" applyBorder="1" applyAlignment="1">
      <alignment horizontal="right"/>
    </xf>
    <xf numFmtId="0" fontId="0" fillId="0" borderId="0" xfId="0"/>
    <xf numFmtId="0" fontId="6" fillId="0" borderId="0" xfId="0" applyFont="1"/>
    <xf numFmtId="0" fontId="8" fillId="0" borderId="0" xfId="3" applyFont="1" applyAlignment="1" applyProtection="1"/>
    <xf numFmtId="0" fontId="3" fillId="0" borderId="1" xfId="0" applyFont="1" applyBorder="1" applyAlignment="1">
      <alignment wrapText="1"/>
    </xf>
    <xf numFmtId="0" fontId="3" fillId="0" borderId="2" xfId="0" applyFont="1" applyBorder="1" applyAlignment="1">
      <alignment wrapText="1"/>
    </xf>
    <xf numFmtId="0" fontId="3"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4" xfId="0" applyFont="1" applyFill="1" applyBorder="1" applyAlignment="1">
      <alignment wrapText="1"/>
    </xf>
    <xf numFmtId="0" fontId="0" fillId="0" borderId="1" xfId="0" applyFont="1" applyFill="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4" fillId="3" borderId="0" xfId="0" applyFont="1" applyFill="1" applyBorder="1" applyAlignment="1">
      <alignment vertical="top" wrapText="1"/>
    </xf>
    <xf numFmtId="0" fontId="2" fillId="3" borderId="0" xfId="0" applyFont="1" applyFill="1" applyBorder="1" applyAlignment="1">
      <alignment horizontal="center" vertical="top" wrapText="1"/>
    </xf>
    <xf numFmtId="0" fontId="9" fillId="3" borderId="0" xfId="0" applyFont="1" applyFill="1" applyBorder="1" applyAlignment="1">
      <alignment horizontal="center" vertical="top" wrapText="1"/>
    </xf>
    <xf numFmtId="0" fontId="0" fillId="0" borderId="2" xfId="0" applyBorder="1" applyAlignment="1">
      <alignment wrapText="1"/>
    </xf>
  </cellXfs>
  <cellStyles count="4">
    <cellStyle name="Hyperlink" xfId="3" builtinId="8"/>
    <cellStyle name="Normal" xfId="0" builtinId="0"/>
    <cellStyle name="Normal 3" xfId="1" xr:uid="{00000000-0005-0000-0000-000002000000}"/>
    <cellStyle name="Normal 4" xfId="2" xr:uid="{00000000-0005-0000-0000-000003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10.1306/St47737C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946"/>
  <sheetViews>
    <sheetView tabSelected="1" topLeftCell="H1" zoomScaleNormal="100" workbookViewId="0">
      <selection activeCell="N3" sqref="N3:O3"/>
    </sheetView>
  </sheetViews>
  <sheetFormatPr baseColWidth="10" defaultColWidth="11" defaultRowHeight="16" x14ac:dyDescent="0.2"/>
  <cols>
    <col min="1" max="24" width="11" style="7"/>
    <col min="33" max="33" width="12.1640625" customWidth="1"/>
    <col min="35" max="35" width="12.6640625" customWidth="1"/>
    <col min="36" max="36" width="12.1640625" customWidth="1"/>
    <col min="38" max="38" width="12.6640625" customWidth="1"/>
    <col min="41" max="42" width="11" style="7"/>
    <col min="43" max="43" width="12.1640625" customWidth="1"/>
    <col min="44" max="44" width="12.5" customWidth="1"/>
    <col min="50" max="50" width="13.6640625" customWidth="1"/>
    <col min="61" max="61" width="16.1640625" customWidth="1"/>
  </cols>
  <sheetData>
    <row r="1" spans="1:62" s="7" customFormat="1" x14ac:dyDescent="0.2"/>
    <row r="2" spans="1:62" s="7" customFormat="1" x14ac:dyDescent="0.2"/>
    <row r="3" spans="1:62" s="4" customFormat="1" ht="409.6" x14ac:dyDescent="0.2">
      <c r="A3" s="10" t="s">
        <v>62</v>
      </c>
      <c r="B3" s="11" t="s">
        <v>63</v>
      </c>
      <c r="C3" s="12" t="s">
        <v>33</v>
      </c>
      <c r="D3" s="13" t="s">
        <v>34</v>
      </c>
      <c r="E3" s="13" t="s">
        <v>35</v>
      </c>
      <c r="F3" s="14" t="s">
        <v>1</v>
      </c>
      <c r="G3" s="14" t="s">
        <v>36</v>
      </c>
      <c r="H3" s="15" t="s">
        <v>37</v>
      </c>
      <c r="I3" s="15" t="s">
        <v>38</v>
      </c>
      <c r="J3" s="13" t="s">
        <v>71</v>
      </c>
      <c r="K3" s="15" t="s">
        <v>72</v>
      </c>
      <c r="L3" s="16" t="s">
        <v>82</v>
      </c>
      <c r="M3" s="17" t="s">
        <v>73</v>
      </c>
      <c r="N3" s="26" t="s">
        <v>91</v>
      </c>
      <c r="O3" s="26" t="s">
        <v>92</v>
      </c>
      <c r="P3" s="17" t="s">
        <v>74</v>
      </c>
      <c r="Q3" s="18" t="s">
        <v>75</v>
      </c>
      <c r="R3" s="19" t="s">
        <v>76</v>
      </c>
      <c r="S3" s="20" t="s">
        <v>77</v>
      </c>
      <c r="T3" s="17" t="s">
        <v>78</v>
      </c>
      <c r="U3" s="17" t="s">
        <v>64</v>
      </c>
      <c r="V3" s="17" t="s">
        <v>79</v>
      </c>
      <c r="W3" s="21" t="s">
        <v>80</v>
      </c>
      <c r="X3" s="22" t="s">
        <v>65</v>
      </c>
      <c r="Y3" s="23" t="s">
        <v>83</v>
      </c>
      <c r="Z3" s="23" t="s">
        <v>84</v>
      </c>
      <c r="AA3" s="23" t="s">
        <v>2</v>
      </c>
      <c r="AB3" s="23" t="s">
        <v>3</v>
      </c>
      <c r="AC3" s="23" t="s">
        <v>4</v>
      </c>
      <c r="AD3" s="23" t="s">
        <v>5</v>
      </c>
      <c r="AE3" s="23" t="s">
        <v>6</v>
      </c>
      <c r="AF3" s="23" t="s">
        <v>7</v>
      </c>
      <c r="AG3" s="24" t="s">
        <v>8</v>
      </c>
      <c r="AH3" s="23" t="s">
        <v>9</v>
      </c>
      <c r="AI3" s="23" t="s">
        <v>10</v>
      </c>
      <c r="AJ3" s="23" t="s">
        <v>11</v>
      </c>
      <c r="AK3" s="23" t="s">
        <v>12</v>
      </c>
      <c r="AL3" s="23" t="s">
        <v>13</v>
      </c>
      <c r="AM3" s="23" t="s">
        <v>85</v>
      </c>
      <c r="AN3" s="23" t="s">
        <v>86</v>
      </c>
      <c r="AO3" s="25" t="s">
        <v>87</v>
      </c>
      <c r="AP3" s="25" t="s">
        <v>88</v>
      </c>
      <c r="AQ3" s="3" t="s">
        <v>14</v>
      </c>
      <c r="AR3" s="3" t="s">
        <v>15</v>
      </c>
      <c r="AS3" s="3" t="s">
        <v>16</v>
      </c>
      <c r="AT3" s="3" t="s">
        <v>17</v>
      </c>
      <c r="AU3" s="3" t="s">
        <v>18</v>
      </c>
      <c r="AV3" s="3" t="s">
        <v>19</v>
      </c>
      <c r="AW3" s="3" t="s">
        <v>20</v>
      </c>
      <c r="AX3" s="3" t="s">
        <v>21</v>
      </c>
      <c r="AY3" s="3" t="s">
        <v>22</v>
      </c>
      <c r="AZ3" s="3" t="s">
        <v>23</v>
      </c>
      <c r="BA3" s="3" t="s">
        <v>24</v>
      </c>
      <c r="BB3" s="3" t="s">
        <v>25</v>
      </c>
      <c r="BC3" s="3" t="s">
        <v>26</v>
      </c>
      <c r="BD3" s="3" t="s">
        <v>27</v>
      </c>
      <c r="BE3" s="2" t="s">
        <v>28</v>
      </c>
      <c r="BF3" s="3" t="s">
        <v>29</v>
      </c>
      <c r="BG3" s="3" t="s">
        <v>30</v>
      </c>
      <c r="BH3" s="2" t="s">
        <v>31</v>
      </c>
      <c r="BI3" s="2" t="s">
        <v>32</v>
      </c>
      <c r="BJ3" s="2" t="s">
        <v>0</v>
      </c>
    </row>
    <row r="4" spans="1:62" x14ac:dyDescent="0.2">
      <c r="A4" s="7" t="s">
        <v>66</v>
      </c>
      <c r="B4" s="7" t="s">
        <v>67</v>
      </c>
      <c r="C4" s="7" t="s">
        <v>39</v>
      </c>
      <c r="D4" s="7" t="s">
        <v>40</v>
      </c>
      <c r="E4" s="7">
        <v>2001</v>
      </c>
      <c r="F4" s="1" t="str">
        <f>Z4</f>
        <v>10.1306/St47737C10</v>
      </c>
      <c r="G4" s="7">
        <f>AH4*1000</f>
        <v>44550</v>
      </c>
      <c r="H4" s="7">
        <f>(AI4-AH4)*1000</f>
        <v>3520.0000000000032</v>
      </c>
      <c r="I4" s="7">
        <f>(AH4-AJ4)*1000</f>
        <v>3519.9999999999959</v>
      </c>
      <c r="J4" s="7">
        <v>485</v>
      </c>
      <c r="K4" s="7">
        <v>25</v>
      </c>
      <c r="L4" s="7">
        <v>25</v>
      </c>
      <c r="M4" s="7" t="b">
        <v>1</v>
      </c>
      <c r="N4" s="7">
        <v>3</v>
      </c>
      <c r="O4" s="7" t="s">
        <v>70</v>
      </c>
      <c r="P4" s="7" t="s">
        <v>81</v>
      </c>
      <c r="Q4" s="7" t="b">
        <v>0</v>
      </c>
      <c r="R4" s="7" t="s">
        <v>81</v>
      </c>
      <c r="S4" s="7" t="b">
        <v>1</v>
      </c>
      <c r="T4" s="7" t="b">
        <v>0</v>
      </c>
      <c r="U4" s="7" t="s">
        <v>81</v>
      </c>
      <c r="V4" s="7" t="s">
        <v>81</v>
      </c>
      <c r="W4" s="7" t="b">
        <v>1</v>
      </c>
      <c r="X4" s="7" t="s">
        <v>90</v>
      </c>
      <c r="Y4" s="8" t="s">
        <v>69</v>
      </c>
      <c r="Z4" s="9" t="s">
        <v>41</v>
      </c>
      <c r="AA4" s="8" t="s">
        <v>42</v>
      </c>
      <c r="AB4" s="8" t="s">
        <v>43</v>
      </c>
      <c r="AC4" s="8" t="s">
        <v>44</v>
      </c>
      <c r="AD4" s="8" t="s">
        <v>81</v>
      </c>
      <c r="AE4" s="8" t="s">
        <v>81</v>
      </c>
      <c r="AF4" s="8" t="s">
        <v>45</v>
      </c>
      <c r="AG4" s="8" t="s">
        <v>46</v>
      </c>
      <c r="AH4" s="8">
        <f>AVERAGE(AI4:AJ4)</f>
        <v>44.55</v>
      </c>
      <c r="AI4" s="8">
        <v>48.07</v>
      </c>
      <c r="AJ4" s="8">
        <v>41.03</v>
      </c>
      <c r="AK4" s="5" t="s">
        <v>89</v>
      </c>
      <c r="AL4" s="8" t="s">
        <v>47</v>
      </c>
      <c r="AM4" s="6">
        <v>36.915554999999998</v>
      </c>
      <c r="AN4" s="6">
        <v>-88.713333000000006</v>
      </c>
      <c r="AO4" s="6" t="s">
        <v>81</v>
      </c>
      <c r="AP4" s="6" t="s">
        <v>81</v>
      </c>
      <c r="AQ4" s="8" t="s">
        <v>81</v>
      </c>
      <c r="AR4" s="8" t="s">
        <v>81</v>
      </c>
      <c r="AS4" s="8" t="s">
        <v>48</v>
      </c>
      <c r="AT4" s="8" t="s">
        <v>81</v>
      </c>
      <c r="AU4" s="8" t="s">
        <v>81</v>
      </c>
      <c r="AV4" s="8" t="s">
        <v>81</v>
      </c>
      <c r="AW4" s="6" t="s">
        <v>49</v>
      </c>
      <c r="AX4" s="6" t="s">
        <v>50</v>
      </c>
      <c r="AY4" s="6" t="s">
        <v>51</v>
      </c>
      <c r="AZ4" s="6" t="s">
        <v>52</v>
      </c>
      <c r="BA4" s="5" t="s">
        <v>53</v>
      </c>
      <c r="BB4" s="5" t="s">
        <v>54</v>
      </c>
      <c r="BC4" s="5" t="s">
        <v>58</v>
      </c>
      <c r="BD4" s="6" t="s">
        <v>59</v>
      </c>
      <c r="BE4" s="5" t="s">
        <v>56</v>
      </c>
      <c r="BF4" s="6" t="s">
        <v>57</v>
      </c>
      <c r="BG4" s="6" t="s">
        <v>60</v>
      </c>
      <c r="BH4" s="5" t="s">
        <v>55</v>
      </c>
      <c r="BI4" s="5" t="s">
        <v>61</v>
      </c>
      <c r="BJ4" s="5" t="s">
        <v>68</v>
      </c>
    </row>
    <row r="5" spans="1:62" x14ac:dyDescent="0.2">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2" x14ac:dyDescent="0.2">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2" x14ac:dyDescent="0.2">
      <c r="Y7" s="1"/>
      <c r="Z7" s="1"/>
      <c r="AA7" s="1"/>
      <c r="AB7" s="1"/>
      <c r="AC7" s="1"/>
      <c r="AD7" s="1"/>
      <c r="AE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62" x14ac:dyDescent="0.2">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62" x14ac:dyDescent="0.2">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2" x14ac:dyDescent="0.2">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62" x14ac:dyDescent="0.2">
      <c r="Y11" s="1"/>
      <c r="Z11" s="1"/>
      <c r="AA11" s="1"/>
      <c r="AB11" s="1"/>
      <c r="AC11" s="1"/>
      <c r="AD11" s="1"/>
      <c r="AE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2" x14ac:dyDescent="0.2">
      <c r="Y12" s="1"/>
      <c r="Z12" s="1"/>
      <c r="AA12" s="1"/>
      <c r="AB12" s="1"/>
      <c r="AC12" s="1"/>
      <c r="AD12" s="1"/>
      <c r="AE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62" x14ac:dyDescent="0.2">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62" x14ac:dyDescent="0.2">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row>
    <row r="15" spans="1:62" x14ac:dyDescent="0.2">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row>
    <row r="16" spans="1:62" x14ac:dyDescent="0.2">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25:61" x14ac:dyDescent="0.2">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row>
    <row r="18" spans="25:61" x14ac:dyDescent="0.2">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row>
    <row r="19" spans="25:61" x14ac:dyDescent="0.2">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row>
    <row r="20" spans="25:61" x14ac:dyDescent="0.2">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row>
    <row r="21" spans="25:61" x14ac:dyDescent="0.2">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row>
    <row r="22" spans="25:61" x14ac:dyDescent="0.2">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row>
    <row r="23" spans="25:61" x14ac:dyDescent="0.2">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row>
    <row r="24" spans="25:61" x14ac:dyDescent="0.2">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row>
    <row r="25" spans="25:61" x14ac:dyDescent="0.2">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row>
    <row r="26" spans="25:61" x14ac:dyDescent="0.2">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row>
    <row r="27" spans="25:61" x14ac:dyDescent="0.2">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row>
    <row r="28" spans="25:61" x14ac:dyDescent="0.2">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row>
    <row r="29" spans="25:61" x14ac:dyDescent="0.2">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row>
    <row r="30" spans="25:61" x14ac:dyDescent="0.2">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row>
    <row r="31" spans="25:61" x14ac:dyDescent="0.2">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row>
    <row r="32" spans="25:61" x14ac:dyDescent="0.2">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row>
    <row r="33" spans="25:61" x14ac:dyDescent="0.2">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row>
    <row r="34" spans="25:61" x14ac:dyDescent="0.2">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row>
    <row r="35" spans="25:61" x14ac:dyDescent="0.2">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row>
    <row r="36" spans="25:61" x14ac:dyDescent="0.2">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row>
    <row r="37" spans="25:61" x14ac:dyDescent="0.2">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row>
    <row r="38" spans="25:61" x14ac:dyDescent="0.2">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row>
    <row r="39" spans="25:61" x14ac:dyDescent="0.2">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row>
    <row r="40" spans="25:61" x14ac:dyDescent="0.2">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row>
    <row r="41" spans="25:61" x14ac:dyDescent="0.2">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row>
    <row r="42" spans="25:61" x14ac:dyDescent="0.2">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row>
    <row r="43" spans="25:61" x14ac:dyDescent="0.2">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row>
    <row r="44" spans="25:61" x14ac:dyDescent="0.2">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row>
    <row r="45" spans="25:61" x14ac:dyDescent="0.2">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row>
    <row r="46" spans="25:61" x14ac:dyDescent="0.2">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row>
    <row r="47" spans="25:61" x14ac:dyDescent="0.2">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row>
    <row r="48" spans="25:61" x14ac:dyDescent="0.2">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row>
    <row r="49" spans="25:61" x14ac:dyDescent="0.2">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row>
    <row r="50" spans="25:61" x14ac:dyDescent="0.2">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row>
    <row r="51" spans="25:61" x14ac:dyDescent="0.2">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row>
    <row r="52" spans="25:61" x14ac:dyDescent="0.2">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25:61" x14ac:dyDescent="0.2">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row>
    <row r="54" spans="25:61" x14ac:dyDescent="0.2">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row>
    <row r="55" spans="25:61" x14ac:dyDescent="0.2">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25:61" x14ac:dyDescent="0.2">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25:61" x14ac:dyDescent="0.2">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25:61" x14ac:dyDescent="0.2">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25:61" x14ac:dyDescent="0.2">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25:61" x14ac:dyDescent="0.2">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25:61" x14ac:dyDescent="0.2">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25:61" x14ac:dyDescent="0.2">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25:61" x14ac:dyDescent="0.2">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25:61" x14ac:dyDescent="0.2">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25:61" x14ac:dyDescent="0.2">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25:61" x14ac:dyDescent="0.2">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25:61" x14ac:dyDescent="0.2">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25:61" x14ac:dyDescent="0.2">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25:61" x14ac:dyDescent="0.2">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25:61" x14ac:dyDescent="0.2">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25:61" x14ac:dyDescent="0.2">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25:61" x14ac:dyDescent="0.2">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25:61" x14ac:dyDescent="0.2">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25:61" x14ac:dyDescent="0.2">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25:61" x14ac:dyDescent="0.2">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25:61" x14ac:dyDescent="0.2">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25:61" x14ac:dyDescent="0.2">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25:61" x14ac:dyDescent="0.2">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25:61" x14ac:dyDescent="0.2">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25:61" x14ac:dyDescent="0.2">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25:61" x14ac:dyDescent="0.2">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25:61" x14ac:dyDescent="0.2">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25:61" x14ac:dyDescent="0.2">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25:61" x14ac:dyDescent="0.2">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25:61" x14ac:dyDescent="0.2">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25:61" x14ac:dyDescent="0.2">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25:61" x14ac:dyDescent="0.2">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25:61" x14ac:dyDescent="0.2">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25:61" x14ac:dyDescent="0.2">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25:61" x14ac:dyDescent="0.2">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25:61" x14ac:dyDescent="0.2">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25:61" x14ac:dyDescent="0.2">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25:61" x14ac:dyDescent="0.2">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25:61" x14ac:dyDescent="0.2">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25:61" x14ac:dyDescent="0.2">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25:61" x14ac:dyDescent="0.2">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25:61" x14ac:dyDescent="0.2">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25:61" x14ac:dyDescent="0.2">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25:61" x14ac:dyDescent="0.2">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25:61" x14ac:dyDescent="0.2">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25:61" x14ac:dyDescent="0.2">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25:61" x14ac:dyDescent="0.2">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25:61" x14ac:dyDescent="0.2">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25:61" x14ac:dyDescent="0.2">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25:61" x14ac:dyDescent="0.2">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25:61" x14ac:dyDescent="0.2">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25:61" x14ac:dyDescent="0.2">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25:61" x14ac:dyDescent="0.2">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25:61" x14ac:dyDescent="0.2">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25:61" x14ac:dyDescent="0.2">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25:61" x14ac:dyDescent="0.2">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25:61" x14ac:dyDescent="0.2">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25:61" x14ac:dyDescent="0.2">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25:61" x14ac:dyDescent="0.2">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25:61" x14ac:dyDescent="0.2">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25:61" x14ac:dyDescent="0.2">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25:61" x14ac:dyDescent="0.2">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25:61" x14ac:dyDescent="0.2">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25:61" x14ac:dyDescent="0.2">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25:61" x14ac:dyDescent="0.2">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25:61" x14ac:dyDescent="0.2">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25:61" x14ac:dyDescent="0.2">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25:61" x14ac:dyDescent="0.2">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25:61" x14ac:dyDescent="0.2">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25:61" x14ac:dyDescent="0.2">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25:61" x14ac:dyDescent="0.2">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25:61" x14ac:dyDescent="0.2">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25:61" x14ac:dyDescent="0.2">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5:61" x14ac:dyDescent="0.2">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5:61" x14ac:dyDescent="0.2">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5:61" x14ac:dyDescent="0.2">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5:61" x14ac:dyDescent="0.2">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5:61" x14ac:dyDescent="0.2">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5:61" x14ac:dyDescent="0.2">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5:61" x14ac:dyDescent="0.2">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5:61" x14ac:dyDescent="0.2">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5:61" x14ac:dyDescent="0.2">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row>
    <row r="138" spans="25:61" x14ac:dyDescent="0.2">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row>
    <row r="139" spans="25:61" x14ac:dyDescent="0.2">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row>
    <row r="140" spans="25:61" x14ac:dyDescent="0.2">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row>
    <row r="141" spans="25:61" x14ac:dyDescent="0.2">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row>
    <row r="142" spans="25:61" x14ac:dyDescent="0.2">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row>
    <row r="143" spans="25:61" x14ac:dyDescent="0.2">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row>
    <row r="144" spans="25:61" x14ac:dyDescent="0.2">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row>
    <row r="145" spans="25:61" x14ac:dyDescent="0.2">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row>
    <row r="146" spans="25:61" x14ac:dyDescent="0.2">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row>
    <row r="147" spans="25:61" x14ac:dyDescent="0.2">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row>
    <row r="148" spans="25:61" x14ac:dyDescent="0.2">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row>
    <row r="149" spans="25:61" x14ac:dyDescent="0.2">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row>
    <row r="150" spans="25:61" x14ac:dyDescent="0.2">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row>
    <row r="151" spans="25:61" x14ac:dyDescent="0.2">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row>
    <row r="152" spans="25:61" x14ac:dyDescent="0.2">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row>
    <row r="153" spans="25:61" x14ac:dyDescent="0.2">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row>
    <row r="154" spans="25:61" x14ac:dyDescent="0.2">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row>
    <row r="155" spans="25:61" x14ac:dyDescent="0.2">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row>
    <row r="156" spans="25:61" x14ac:dyDescent="0.2">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row>
    <row r="157" spans="25:61" x14ac:dyDescent="0.2">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row>
    <row r="158" spans="25:61" x14ac:dyDescent="0.2">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row>
    <row r="159" spans="25:61" x14ac:dyDescent="0.2">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row>
    <row r="160" spans="25:61" x14ac:dyDescent="0.2">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row>
    <row r="161" spans="25:61" x14ac:dyDescent="0.2">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row>
    <row r="162" spans="25:61" x14ac:dyDescent="0.2">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row>
    <row r="163" spans="25:61" x14ac:dyDescent="0.2">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row>
    <row r="164" spans="25:61" x14ac:dyDescent="0.2">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row>
    <row r="165" spans="25:61" x14ac:dyDescent="0.2">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row>
    <row r="166" spans="25:61" x14ac:dyDescent="0.2">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row>
    <row r="167" spans="25:61" x14ac:dyDescent="0.2">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row>
    <row r="168" spans="25:61" x14ac:dyDescent="0.2">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row>
    <row r="169" spans="25:61" x14ac:dyDescent="0.2">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row>
    <row r="170" spans="25:61" x14ac:dyDescent="0.2">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row>
    <row r="171" spans="25:61" x14ac:dyDescent="0.2">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row>
    <row r="172" spans="25:61" x14ac:dyDescent="0.2">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row>
    <row r="173" spans="25:61" x14ac:dyDescent="0.2">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row>
    <row r="174" spans="25:61" x14ac:dyDescent="0.2">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row>
    <row r="175" spans="25:61" x14ac:dyDescent="0.2">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row>
    <row r="176" spans="25:61" x14ac:dyDescent="0.2">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row>
    <row r="177" spans="25:61" x14ac:dyDescent="0.2">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row>
    <row r="178" spans="25:61" x14ac:dyDescent="0.2">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row>
    <row r="179" spans="25:61" x14ac:dyDescent="0.2">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row>
    <row r="180" spans="25:61" x14ac:dyDescent="0.2">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row>
    <row r="181" spans="25:61" x14ac:dyDescent="0.2">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row>
    <row r="182" spans="25:61" x14ac:dyDescent="0.2">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row>
    <row r="183" spans="25:61" x14ac:dyDescent="0.2">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row>
    <row r="184" spans="25:61" x14ac:dyDescent="0.2">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row>
    <row r="185" spans="25:61" x14ac:dyDescent="0.2">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row>
    <row r="186" spans="25:61" x14ac:dyDescent="0.2">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row>
    <row r="187" spans="25:61" x14ac:dyDescent="0.2">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row>
    <row r="188" spans="25:61" x14ac:dyDescent="0.2">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row>
    <row r="189" spans="25:61" x14ac:dyDescent="0.2">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row>
    <row r="190" spans="25:61" x14ac:dyDescent="0.2">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row>
    <row r="191" spans="25:61" x14ac:dyDescent="0.2">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row>
    <row r="192" spans="25:61" x14ac:dyDescent="0.2">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row>
    <row r="193" spans="25:61" x14ac:dyDescent="0.2">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row>
    <row r="194" spans="25:61" x14ac:dyDescent="0.2">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row>
    <row r="195" spans="25:61" x14ac:dyDescent="0.2">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row>
    <row r="196" spans="25:61" x14ac:dyDescent="0.2">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row>
    <row r="197" spans="25:61" x14ac:dyDescent="0.2">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row>
    <row r="198" spans="25:61" x14ac:dyDescent="0.2">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row>
    <row r="199" spans="25:61" x14ac:dyDescent="0.2">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row>
    <row r="200" spans="25:61" x14ac:dyDescent="0.2">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row>
    <row r="201" spans="25:61" x14ac:dyDescent="0.2">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row>
    <row r="202" spans="25:61" x14ac:dyDescent="0.2">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row>
    <row r="203" spans="25:61" x14ac:dyDescent="0.2">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row>
    <row r="204" spans="25:61" x14ac:dyDescent="0.2">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row>
    <row r="205" spans="25:61" x14ac:dyDescent="0.2">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row>
    <row r="206" spans="25:61" x14ac:dyDescent="0.2">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row>
    <row r="207" spans="25:61" x14ac:dyDescent="0.2">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row>
    <row r="208" spans="25:61" x14ac:dyDescent="0.2">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row>
    <row r="209" spans="25:61" x14ac:dyDescent="0.2">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row>
    <row r="210" spans="25:61" x14ac:dyDescent="0.2">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row>
    <row r="211" spans="25:61" x14ac:dyDescent="0.2">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row>
    <row r="212" spans="25:61" x14ac:dyDescent="0.2">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row>
    <row r="213" spans="25:61" x14ac:dyDescent="0.2">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row>
    <row r="214" spans="25:61" x14ac:dyDescent="0.2">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row>
    <row r="215" spans="25:61" x14ac:dyDescent="0.2">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row>
    <row r="216" spans="25:61" x14ac:dyDescent="0.2">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row>
    <row r="217" spans="25:61" x14ac:dyDescent="0.2">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row>
    <row r="218" spans="25:61" x14ac:dyDescent="0.2">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row>
    <row r="219" spans="25:61" x14ac:dyDescent="0.2">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row>
    <row r="220" spans="25:61" x14ac:dyDescent="0.2">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row>
    <row r="221" spans="25:61" x14ac:dyDescent="0.2">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row>
    <row r="222" spans="25:61" x14ac:dyDescent="0.2">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row>
    <row r="223" spans="25:61" x14ac:dyDescent="0.2">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row>
    <row r="224" spans="25:61" x14ac:dyDescent="0.2">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row>
    <row r="225" spans="25:61" x14ac:dyDescent="0.2">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row>
    <row r="226" spans="25:61" x14ac:dyDescent="0.2">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row>
    <row r="227" spans="25:61" x14ac:dyDescent="0.2">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row>
    <row r="228" spans="25:61" x14ac:dyDescent="0.2">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row>
    <row r="229" spans="25:61" x14ac:dyDescent="0.2">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row>
    <row r="230" spans="25:61" x14ac:dyDescent="0.2">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row>
    <row r="231" spans="25:61" x14ac:dyDescent="0.2">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row>
    <row r="232" spans="25:61" x14ac:dyDescent="0.2">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row>
    <row r="233" spans="25:61" x14ac:dyDescent="0.2">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row>
    <row r="234" spans="25:61" x14ac:dyDescent="0.2">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row>
    <row r="235" spans="25:61" x14ac:dyDescent="0.2">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row>
    <row r="236" spans="25:61" x14ac:dyDescent="0.2">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row>
    <row r="237" spans="25:61" x14ac:dyDescent="0.2">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row>
    <row r="238" spans="25:61" x14ac:dyDescent="0.2">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row>
    <row r="239" spans="25:61" x14ac:dyDescent="0.2">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row>
    <row r="240" spans="25:61" x14ac:dyDescent="0.2">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row>
    <row r="241" spans="25:61" x14ac:dyDescent="0.2">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row>
    <row r="242" spans="25:61" x14ac:dyDescent="0.2">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row>
    <row r="243" spans="25:61" x14ac:dyDescent="0.2">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row>
    <row r="244" spans="25:61" x14ac:dyDescent="0.2">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row>
    <row r="245" spans="25:61" x14ac:dyDescent="0.2">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row>
    <row r="246" spans="25:61" x14ac:dyDescent="0.2">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row>
    <row r="247" spans="25:61" x14ac:dyDescent="0.2">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row>
    <row r="248" spans="25:61" x14ac:dyDescent="0.2">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row>
    <row r="249" spans="25:61" x14ac:dyDescent="0.2">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row>
    <row r="250" spans="25:61" x14ac:dyDescent="0.2">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row>
    <row r="251" spans="25:61" x14ac:dyDescent="0.2">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row>
    <row r="252" spans="25:61" x14ac:dyDescent="0.2">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row>
    <row r="253" spans="25:61" x14ac:dyDescent="0.2">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row>
    <row r="254" spans="25:61" x14ac:dyDescent="0.2">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row>
    <row r="255" spans="25:61" x14ac:dyDescent="0.2">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row>
    <row r="256" spans="25:61" x14ac:dyDescent="0.2">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row>
    <row r="257" spans="25:61" x14ac:dyDescent="0.2">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row>
    <row r="258" spans="25:61" x14ac:dyDescent="0.2">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row>
    <row r="259" spans="25:61" x14ac:dyDescent="0.2">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row>
    <row r="260" spans="25:61" x14ac:dyDescent="0.2">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row>
    <row r="261" spans="25:61" x14ac:dyDescent="0.2">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row>
    <row r="262" spans="25:61" x14ac:dyDescent="0.2">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row>
    <row r="263" spans="25:61" x14ac:dyDescent="0.2">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row>
    <row r="264" spans="25:61" x14ac:dyDescent="0.2">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row>
    <row r="265" spans="25:61" x14ac:dyDescent="0.2">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row>
    <row r="266" spans="25:61" x14ac:dyDescent="0.2">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row>
    <row r="267" spans="25:61" x14ac:dyDescent="0.2">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row>
    <row r="268" spans="25:61" x14ac:dyDescent="0.2">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row>
    <row r="269" spans="25:61" x14ac:dyDescent="0.2">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row>
    <row r="270" spans="25:61" x14ac:dyDescent="0.2">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row>
    <row r="271" spans="25:61" x14ac:dyDescent="0.2">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row>
    <row r="272" spans="25:61" x14ac:dyDescent="0.2">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row>
    <row r="273" spans="25:61" x14ac:dyDescent="0.2">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row>
    <row r="274" spans="25:61" x14ac:dyDescent="0.2">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row>
    <row r="275" spans="25:61" x14ac:dyDescent="0.2">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row>
    <row r="276" spans="25:61" x14ac:dyDescent="0.2">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row>
    <row r="277" spans="25:61" x14ac:dyDescent="0.2">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row>
    <row r="278" spans="25:61" x14ac:dyDescent="0.2">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row>
    <row r="279" spans="25:61" x14ac:dyDescent="0.2">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row>
    <row r="280" spans="25:61" x14ac:dyDescent="0.2">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row>
    <row r="281" spans="25:61" x14ac:dyDescent="0.2">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row>
    <row r="282" spans="25:61" x14ac:dyDescent="0.2">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row>
    <row r="283" spans="25:61" x14ac:dyDescent="0.2">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row>
    <row r="284" spans="25:61" x14ac:dyDescent="0.2">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row>
    <row r="285" spans="25:61" x14ac:dyDescent="0.2">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row>
    <row r="286" spans="25:61" x14ac:dyDescent="0.2">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row>
    <row r="287" spans="25:61" x14ac:dyDescent="0.2">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row>
    <row r="288" spans="25:61" x14ac:dyDescent="0.2">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row>
    <row r="289" spans="25:61" x14ac:dyDescent="0.2">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row>
    <row r="290" spans="25:61" x14ac:dyDescent="0.2">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row>
    <row r="291" spans="25:61" x14ac:dyDescent="0.2">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row>
    <row r="292" spans="25:61" x14ac:dyDescent="0.2">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row>
    <row r="293" spans="25:61" x14ac:dyDescent="0.2">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row>
    <row r="294" spans="25:61" x14ac:dyDescent="0.2">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row>
    <row r="295" spans="25:61" x14ac:dyDescent="0.2">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row>
    <row r="296" spans="25:61" x14ac:dyDescent="0.2">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row>
    <row r="297" spans="25:61" x14ac:dyDescent="0.2">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row>
    <row r="298" spans="25:61" x14ac:dyDescent="0.2">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row>
    <row r="299" spans="25:61" x14ac:dyDescent="0.2">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row>
    <row r="300" spans="25:61" x14ac:dyDescent="0.2">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row>
    <row r="301" spans="25:61" x14ac:dyDescent="0.2">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row>
    <row r="302" spans="25:61" x14ac:dyDescent="0.2">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row>
    <row r="303" spans="25:61" x14ac:dyDescent="0.2">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row>
    <row r="304" spans="25:61" x14ac:dyDescent="0.2">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row>
    <row r="305" spans="25:61" x14ac:dyDescent="0.2">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row>
    <row r="306" spans="25:61" x14ac:dyDescent="0.2">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row>
    <row r="307" spans="25:61" x14ac:dyDescent="0.2">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row>
    <row r="308" spans="25:61" x14ac:dyDescent="0.2">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row>
    <row r="309" spans="25:61" x14ac:dyDescent="0.2">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row>
    <row r="310" spans="25:61" x14ac:dyDescent="0.2">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row>
    <row r="311" spans="25:61" x14ac:dyDescent="0.2">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row>
    <row r="312" spans="25:61" x14ac:dyDescent="0.2">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row>
    <row r="313" spans="25:61" x14ac:dyDescent="0.2">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row>
    <row r="314" spans="25:61" x14ac:dyDescent="0.2">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row>
    <row r="315" spans="25:61" x14ac:dyDescent="0.2">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row>
    <row r="316" spans="25:61" x14ac:dyDescent="0.2">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row>
    <row r="317" spans="25:61" x14ac:dyDescent="0.2">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row>
    <row r="318" spans="25:61" x14ac:dyDescent="0.2">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row>
    <row r="319" spans="25:61" x14ac:dyDescent="0.2">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row>
    <row r="320" spans="25:61" x14ac:dyDescent="0.2">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row>
    <row r="321" spans="25:61" x14ac:dyDescent="0.2">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row>
    <row r="322" spans="25:61" x14ac:dyDescent="0.2">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row>
    <row r="323" spans="25:61" x14ac:dyDescent="0.2">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row>
    <row r="324" spans="25:61" x14ac:dyDescent="0.2">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row>
    <row r="325" spans="25:61" x14ac:dyDescent="0.2">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row>
    <row r="326" spans="25:61" x14ac:dyDescent="0.2">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row>
    <row r="327" spans="25:61" x14ac:dyDescent="0.2">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row>
    <row r="328" spans="25:61" x14ac:dyDescent="0.2">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row>
    <row r="329" spans="25:61" x14ac:dyDescent="0.2">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row>
    <row r="330" spans="25:61" x14ac:dyDescent="0.2">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row>
    <row r="331" spans="25:61" x14ac:dyDescent="0.2">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row>
    <row r="332" spans="25:61" x14ac:dyDescent="0.2">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row>
    <row r="333" spans="25:61" x14ac:dyDescent="0.2">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row>
    <row r="334" spans="25:61" x14ac:dyDescent="0.2">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25:61" x14ac:dyDescent="0.2">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25:61" x14ac:dyDescent="0.2">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row>
    <row r="337" spans="25:61" x14ac:dyDescent="0.2">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row>
    <row r="338" spans="25:61" x14ac:dyDescent="0.2">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row>
    <row r="339" spans="25:61" x14ac:dyDescent="0.2">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row>
    <row r="340" spans="25:61" x14ac:dyDescent="0.2">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row>
    <row r="341" spans="25:61" x14ac:dyDescent="0.2">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25:61" x14ac:dyDescent="0.2">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25:61" x14ac:dyDescent="0.2">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row>
    <row r="344" spans="25:61" x14ac:dyDescent="0.2">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row>
    <row r="345" spans="25:61" x14ac:dyDescent="0.2">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row>
    <row r="346" spans="25:61" x14ac:dyDescent="0.2">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row>
    <row r="347" spans="25:61" x14ac:dyDescent="0.2">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row>
    <row r="348" spans="25:61" x14ac:dyDescent="0.2">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row>
    <row r="349" spans="25:61" x14ac:dyDescent="0.2">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row>
    <row r="350" spans="25:61" x14ac:dyDescent="0.2">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row>
    <row r="351" spans="25:61" x14ac:dyDescent="0.2">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row>
    <row r="352" spans="25:61" x14ac:dyDescent="0.2">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row>
    <row r="353" spans="25:61" x14ac:dyDescent="0.2">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row>
    <row r="354" spans="25:61" x14ac:dyDescent="0.2">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row>
    <row r="355" spans="25:61" x14ac:dyDescent="0.2">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row>
    <row r="356" spans="25:61" x14ac:dyDescent="0.2">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row>
    <row r="357" spans="25:61" x14ac:dyDescent="0.2">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row>
    <row r="358" spans="25:61" x14ac:dyDescent="0.2">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row>
    <row r="359" spans="25:61" x14ac:dyDescent="0.2">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row>
    <row r="360" spans="25:61" x14ac:dyDescent="0.2">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row>
    <row r="361" spans="25:61" x14ac:dyDescent="0.2">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row>
    <row r="362" spans="25:61" x14ac:dyDescent="0.2">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row>
    <row r="363" spans="25:61" x14ac:dyDescent="0.2">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row>
    <row r="364" spans="25:61" x14ac:dyDescent="0.2">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row>
    <row r="365" spans="25:61" x14ac:dyDescent="0.2">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row>
    <row r="366" spans="25:61" x14ac:dyDescent="0.2">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row>
    <row r="367" spans="25:61" x14ac:dyDescent="0.2">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row>
    <row r="368" spans="25:61" x14ac:dyDescent="0.2">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row>
    <row r="369" spans="25:61" x14ac:dyDescent="0.2">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row>
    <row r="370" spans="25:61" x14ac:dyDescent="0.2">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row>
    <row r="371" spans="25:61" x14ac:dyDescent="0.2">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row>
    <row r="372" spans="25:61" x14ac:dyDescent="0.2">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row>
    <row r="373" spans="25:61" x14ac:dyDescent="0.2">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row>
    <row r="374" spans="25:61" x14ac:dyDescent="0.2">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row>
    <row r="375" spans="25:61" x14ac:dyDescent="0.2">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row>
    <row r="376" spans="25:61" x14ac:dyDescent="0.2">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row>
    <row r="377" spans="25:61" x14ac:dyDescent="0.2">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row>
    <row r="378" spans="25:61" x14ac:dyDescent="0.2">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row>
    <row r="379" spans="25:61" x14ac:dyDescent="0.2">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row>
    <row r="380" spans="25:61" x14ac:dyDescent="0.2">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row>
    <row r="381" spans="25:61" x14ac:dyDescent="0.2">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row>
    <row r="382" spans="25:61" x14ac:dyDescent="0.2">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row>
    <row r="383" spans="25:61" x14ac:dyDescent="0.2">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row>
    <row r="384" spans="25:61" x14ac:dyDescent="0.2">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row>
    <row r="385" spans="25:61" x14ac:dyDescent="0.2">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row>
    <row r="386" spans="25:61" x14ac:dyDescent="0.2">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row>
    <row r="387" spans="25:61" x14ac:dyDescent="0.2">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row>
    <row r="388" spans="25:61" x14ac:dyDescent="0.2">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row>
    <row r="389" spans="25:61" x14ac:dyDescent="0.2">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row>
    <row r="390" spans="25:61" x14ac:dyDescent="0.2">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row>
    <row r="391" spans="25:61" x14ac:dyDescent="0.2">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row>
    <row r="392" spans="25:61" x14ac:dyDescent="0.2">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row>
    <row r="393" spans="25:61" x14ac:dyDescent="0.2">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row>
    <row r="394" spans="25:61" x14ac:dyDescent="0.2">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row>
    <row r="395" spans="25:61" x14ac:dyDescent="0.2">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row>
    <row r="396" spans="25:61" x14ac:dyDescent="0.2">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row>
    <row r="397" spans="25:61" x14ac:dyDescent="0.2">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row>
    <row r="398" spans="25:61" x14ac:dyDescent="0.2">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row>
    <row r="399" spans="25:61" x14ac:dyDescent="0.2">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row>
    <row r="400" spans="25:61" x14ac:dyDescent="0.2">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row>
    <row r="401" spans="25:61" x14ac:dyDescent="0.2">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row>
    <row r="402" spans="25:61" x14ac:dyDescent="0.2">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row>
    <row r="403" spans="25:61" x14ac:dyDescent="0.2">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row>
    <row r="404" spans="25:61" x14ac:dyDescent="0.2">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row>
    <row r="405" spans="25:61" x14ac:dyDescent="0.2">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row>
    <row r="406" spans="25:61" x14ac:dyDescent="0.2">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row>
    <row r="407" spans="25:61" x14ac:dyDescent="0.2">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row>
    <row r="408" spans="25:61" x14ac:dyDescent="0.2">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row>
    <row r="409" spans="25:61" x14ac:dyDescent="0.2">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row>
    <row r="410" spans="25:61" x14ac:dyDescent="0.2">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row>
    <row r="411" spans="25:61" x14ac:dyDescent="0.2">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row>
    <row r="412" spans="25:61" x14ac:dyDescent="0.2">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row>
    <row r="413" spans="25:61" x14ac:dyDescent="0.2">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row>
    <row r="414" spans="25:61" x14ac:dyDescent="0.2">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row>
    <row r="415" spans="25:61" x14ac:dyDescent="0.2">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row>
    <row r="416" spans="25:61" x14ac:dyDescent="0.2">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row>
    <row r="417" spans="25:61" x14ac:dyDescent="0.2">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row>
    <row r="418" spans="25:61" x14ac:dyDescent="0.2">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row>
    <row r="419" spans="25:61" x14ac:dyDescent="0.2">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row>
    <row r="420" spans="25:61" x14ac:dyDescent="0.2">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row>
    <row r="421" spans="25:61" x14ac:dyDescent="0.2">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row>
    <row r="422" spans="25:61" x14ac:dyDescent="0.2">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row>
    <row r="423" spans="25:61" x14ac:dyDescent="0.2">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row>
    <row r="424" spans="25:61" x14ac:dyDescent="0.2">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row>
    <row r="425" spans="25:61" x14ac:dyDescent="0.2">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row>
    <row r="426" spans="25:61" x14ac:dyDescent="0.2">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row>
    <row r="427" spans="25:61" x14ac:dyDescent="0.2">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row>
    <row r="428" spans="25:61" x14ac:dyDescent="0.2">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row>
    <row r="429" spans="25:61" x14ac:dyDescent="0.2">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row>
    <row r="430" spans="25:61" x14ac:dyDescent="0.2">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row>
    <row r="431" spans="25:61" x14ac:dyDescent="0.2">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row>
    <row r="432" spans="25:61" x14ac:dyDescent="0.2">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row>
    <row r="433" spans="25:61" x14ac:dyDescent="0.2">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row>
    <row r="434" spans="25:61" x14ac:dyDescent="0.2">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row>
    <row r="435" spans="25:61" x14ac:dyDescent="0.2">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row>
    <row r="436" spans="25:61" x14ac:dyDescent="0.2">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row>
    <row r="437" spans="25:61" x14ac:dyDescent="0.2">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row>
    <row r="438" spans="25:61" x14ac:dyDescent="0.2">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row>
    <row r="439" spans="25:61" x14ac:dyDescent="0.2">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row>
    <row r="440" spans="25:61" x14ac:dyDescent="0.2">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row>
    <row r="441" spans="25:61" x14ac:dyDescent="0.2">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row>
    <row r="442" spans="25:61" x14ac:dyDescent="0.2">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row>
    <row r="443" spans="25:61" x14ac:dyDescent="0.2">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row>
    <row r="444" spans="25:61" x14ac:dyDescent="0.2">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row>
    <row r="445" spans="25:61" x14ac:dyDescent="0.2">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row>
    <row r="446" spans="25:61" x14ac:dyDescent="0.2">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row>
    <row r="447" spans="25:61" x14ac:dyDescent="0.2">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row>
    <row r="448" spans="25:61" x14ac:dyDescent="0.2">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row>
    <row r="449" spans="25:61" x14ac:dyDescent="0.2">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row>
    <row r="450" spans="25:61" x14ac:dyDescent="0.2">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row>
    <row r="451" spans="25:61" x14ac:dyDescent="0.2">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row>
    <row r="452" spans="25:61" x14ac:dyDescent="0.2">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row>
    <row r="453" spans="25:61" x14ac:dyDescent="0.2">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row>
    <row r="454" spans="25:61" x14ac:dyDescent="0.2">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row>
    <row r="455" spans="25:61" x14ac:dyDescent="0.2">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row>
    <row r="456" spans="25:61" x14ac:dyDescent="0.2">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row>
    <row r="457" spans="25:61" x14ac:dyDescent="0.2">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row>
    <row r="458" spans="25:61" x14ac:dyDescent="0.2">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row>
    <row r="459" spans="25:61" x14ac:dyDescent="0.2">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row>
    <row r="460" spans="25:61" x14ac:dyDescent="0.2">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row>
    <row r="461" spans="25:61" x14ac:dyDescent="0.2">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row>
    <row r="462" spans="25:61" x14ac:dyDescent="0.2">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row>
    <row r="463" spans="25:61" x14ac:dyDescent="0.2">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row>
    <row r="464" spans="25:61" x14ac:dyDescent="0.2">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row>
    <row r="465" spans="25:61" x14ac:dyDescent="0.2">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row>
    <row r="466" spans="25:61" x14ac:dyDescent="0.2">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row>
    <row r="467" spans="25:61" x14ac:dyDescent="0.2">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row>
    <row r="468" spans="25:61" x14ac:dyDescent="0.2">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row>
    <row r="469" spans="25:61" x14ac:dyDescent="0.2">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row>
    <row r="470" spans="25:61" x14ac:dyDescent="0.2">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row>
    <row r="471" spans="25:61" x14ac:dyDescent="0.2">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row>
    <row r="472" spans="25:61" x14ac:dyDescent="0.2">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row>
    <row r="473" spans="25:61" x14ac:dyDescent="0.2">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row>
    <row r="474" spans="25:61" x14ac:dyDescent="0.2">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row>
    <row r="475" spans="25:61" x14ac:dyDescent="0.2">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row>
    <row r="476" spans="25:61" x14ac:dyDescent="0.2">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row>
    <row r="477" spans="25:61" x14ac:dyDescent="0.2">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row>
    <row r="478" spans="25:61" x14ac:dyDescent="0.2">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row>
    <row r="479" spans="25:61" x14ac:dyDescent="0.2">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row>
    <row r="480" spans="25:61" x14ac:dyDescent="0.2">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row>
    <row r="481" spans="25:61" x14ac:dyDescent="0.2">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row>
    <row r="482" spans="25:61" x14ac:dyDescent="0.2">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row>
    <row r="483" spans="25:61" x14ac:dyDescent="0.2">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row>
    <row r="484" spans="25:61" x14ac:dyDescent="0.2">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row>
    <row r="485" spans="25:61" x14ac:dyDescent="0.2">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row>
    <row r="486" spans="25:61" x14ac:dyDescent="0.2">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row>
    <row r="487" spans="25:61" x14ac:dyDescent="0.2">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row>
    <row r="488" spans="25:61" x14ac:dyDescent="0.2">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row>
    <row r="489" spans="25:61" x14ac:dyDescent="0.2">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row>
    <row r="490" spans="25:61" x14ac:dyDescent="0.2">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row>
    <row r="491" spans="25:61" x14ac:dyDescent="0.2">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row>
    <row r="492" spans="25:61" x14ac:dyDescent="0.2">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row>
    <row r="493" spans="25:61" x14ac:dyDescent="0.2">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row>
    <row r="494" spans="25:61" x14ac:dyDescent="0.2">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row>
    <row r="495" spans="25:61" x14ac:dyDescent="0.2">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row>
    <row r="496" spans="25:61" x14ac:dyDescent="0.2">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row>
    <row r="497" spans="25:61" x14ac:dyDescent="0.2">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row>
    <row r="498" spans="25:61" x14ac:dyDescent="0.2">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row>
    <row r="499" spans="25:61" x14ac:dyDescent="0.2">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row>
    <row r="500" spans="25:61" x14ac:dyDescent="0.2">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row>
    <row r="501" spans="25:61" x14ac:dyDescent="0.2">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row>
    <row r="502" spans="25:61" x14ac:dyDescent="0.2">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row>
    <row r="503" spans="25:61" x14ac:dyDescent="0.2">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row>
    <row r="504" spans="25:61" x14ac:dyDescent="0.2">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row>
    <row r="505" spans="25:61" x14ac:dyDescent="0.2">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row>
    <row r="506" spans="25:61" x14ac:dyDescent="0.2">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row>
    <row r="507" spans="25:61" x14ac:dyDescent="0.2">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row>
    <row r="508" spans="25:61" x14ac:dyDescent="0.2">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row>
    <row r="509" spans="25:61" x14ac:dyDescent="0.2">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row>
    <row r="510" spans="25:61" x14ac:dyDescent="0.2">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row>
    <row r="511" spans="25:61" x14ac:dyDescent="0.2">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row>
    <row r="512" spans="25:61" x14ac:dyDescent="0.2">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row>
    <row r="513" spans="25:61" x14ac:dyDescent="0.2">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row>
    <row r="514" spans="25:61" x14ac:dyDescent="0.2">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row>
    <row r="515" spans="25:61" x14ac:dyDescent="0.2">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row>
    <row r="516" spans="25:61" x14ac:dyDescent="0.2">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row>
    <row r="517" spans="25:61" x14ac:dyDescent="0.2">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row>
    <row r="518" spans="25:61" x14ac:dyDescent="0.2">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row>
    <row r="519" spans="25:61" x14ac:dyDescent="0.2">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row>
    <row r="520" spans="25:61" x14ac:dyDescent="0.2">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row>
    <row r="521" spans="25:61" x14ac:dyDescent="0.2">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row>
    <row r="522" spans="25:61" x14ac:dyDescent="0.2">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row>
    <row r="523" spans="25:61" x14ac:dyDescent="0.2">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row>
    <row r="524" spans="25:61" x14ac:dyDescent="0.2">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row>
    <row r="525" spans="25:61" x14ac:dyDescent="0.2">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row>
    <row r="526" spans="25:61" x14ac:dyDescent="0.2">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row>
    <row r="527" spans="25:61" x14ac:dyDescent="0.2">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row>
    <row r="528" spans="25:61" x14ac:dyDescent="0.2">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row>
    <row r="529" spans="25:61" x14ac:dyDescent="0.2">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row>
    <row r="530" spans="25:61" x14ac:dyDescent="0.2">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row>
    <row r="531" spans="25:61" x14ac:dyDescent="0.2">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row>
    <row r="532" spans="25:61" x14ac:dyDescent="0.2">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row>
    <row r="533" spans="25:61" x14ac:dyDescent="0.2">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row>
    <row r="534" spans="25:61" x14ac:dyDescent="0.2">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row>
    <row r="535" spans="25:61" x14ac:dyDescent="0.2">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row>
    <row r="536" spans="25:61" x14ac:dyDescent="0.2">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row>
    <row r="537" spans="25:61" x14ac:dyDescent="0.2">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row>
    <row r="538" spans="25:61" x14ac:dyDescent="0.2">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row>
    <row r="539" spans="25:61" x14ac:dyDescent="0.2">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row>
    <row r="540" spans="25:61" x14ac:dyDescent="0.2">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row>
    <row r="541" spans="25:61" x14ac:dyDescent="0.2">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row>
    <row r="542" spans="25:61" x14ac:dyDescent="0.2">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row>
    <row r="543" spans="25:61" x14ac:dyDescent="0.2">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row>
    <row r="544" spans="25:61" x14ac:dyDescent="0.2">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row>
    <row r="545" spans="25:61" x14ac:dyDescent="0.2">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row>
    <row r="546" spans="25:61" x14ac:dyDescent="0.2">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row>
    <row r="547" spans="25:61" x14ac:dyDescent="0.2">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row>
    <row r="548" spans="25:61" x14ac:dyDescent="0.2">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row>
    <row r="549" spans="25:61" x14ac:dyDescent="0.2">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row>
    <row r="550" spans="25:61" x14ac:dyDescent="0.2">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row>
    <row r="551" spans="25:61" x14ac:dyDescent="0.2">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row>
    <row r="552" spans="25:61" x14ac:dyDescent="0.2">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row>
    <row r="553" spans="25:61" x14ac:dyDescent="0.2">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row>
    <row r="554" spans="25:61" x14ac:dyDescent="0.2">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row>
    <row r="555" spans="25:61" x14ac:dyDescent="0.2">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row>
    <row r="556" spans="25:61" x14ac:dyDescent="0.2">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row>
    <row r="557" spans="25:61" x14ac:dyDescent="0.2">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row>
    <row r="558" spans="25:61" x14ac:dyDescent="0.2">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row>
    <row r="559" spans="25:61" x14ac:dyDescent="0.2">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row>
    <row r="560" spans="25:61" x14ac:dyDescent="0.2">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row>
    <row r="561" spans="25:61" x14ac:dyDescent="0.2">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row>
    <row r="562" spans="25:61" x14ac:dyDescent="0.2">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row>
    <row r="563" spans="25:61" x14ac:dyDescent="0.2">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row>
    <row r="564" spans="25:61" x14ac:dyDescent="0.2">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row>
    <row r="565" spans="25:61" x14ac:dyDescent="0.2">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row>
    <row r="566" spans="25:61" x14ac:dyDescent="0.2">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row>
    <row r="567" spans="25:61" x14ac:dyDescent="0.2">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row>
    <row r="568" spans="25:61" x14ac:dyDescent="0.2">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row>
    <row r="569" spans="25:61" x14ac:dyDescent="0.2">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row>
    <row r="570" spans="25:61" x14ac:dyDescent="0.2">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row>
    <row r="571" spans="25:61" x14ac:dyDescent="0.2">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row>
    <row r="572" spans="25:61" x14ac:dyDescent="0.2">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row>
    <row r="573" spans="25:61" x14ac:dyDescent="0.2">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row>
    <row r="574" spans="25:61" x14ac:dyDescent="0.2">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row>
    <row r="575" spans="25:61" x14ac:dyDescent="0.2">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row>
    <row r="576" spans="25:61" x14ac:dyDescent="0.2">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row>
    <row r="577" spans="25:61" x14ac:dyDescent="0.2">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row>
    <row r="578" spans="25:61" x14ac:dyDescent="0.2">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row>
    <row r="579" spans="25:61" x14ac:dyDescent="0.2">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row>
    <row r="580" spans="25:61" x14ac:dyDescent="0.2">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row>
    <row r="581" spans="25:61" x14ac:dyDescent="0.2">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row>
    <row r="582" spans="25:61" x14ac:dyDescent="0.2">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row>
    <row r="583" spans="25:61" x14ac:dyDescent="0.2">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row>
    <row r="584" spans="25:61" x14ac:dyDescent="0.2">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row>
    <row r="585" spans="25:61" x14ac:dyDescent="0.2">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row>
    <row r="586" spans="25:61" x14ac:dyDescent="0.2">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row>
    <row r="587" spans="25:61" x14ac:dyDescent="0.2">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row>
    <row r="588" spans="25:61" x14ac:dyDescent="0.2">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row>
    <row r="589" spans="25:61" x14ac:dyDescent="0.2">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row>
    <row r="590" spans="25:61" x14ac:dyDescent="0.2">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row>
    <row r="591" spans="25:61" x14ac:dyDescent="0.2">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row>
    <row r="592" spans="25:61" x14ac:dyDescent="0.2">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row>
    <row r="593" spans="25:61" x14ac:dyDescent="0.2">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row>
    <row r="594" spans="25:61" x14ac:dyDescent="0.2">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row>
    <row r="595" spans="25:61" x14ac:dyDescent="0.2">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row>
    <row r="596" spans="25:61" x14ac:dyDescent="0.2">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row>
    <row r="597" spans="25:61" x14ac:dyDescent="0.2">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row>
    <row r="598" spans="25:61" x14ac:dyDescent="0.2">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row>
    <row r="599" spans="25:61" x14ac:dyDescent="0.2">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row>
    <row r="600" spans="25:61" x14ac:dyDescent="0.2">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row>
    <row r="601" spans="25:61" x14ac:dyDescent="0.2">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row>
    <row r="602" spans="25:61" x14ac:dyDescent="0.2">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row>
    <row r="603" spans="25:61" x14ac:dyDescent="0.2">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row>
    <row r="604" spans="25:61" x14ac:dyDescent="0.2">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row>
    <row r="605" spans="25:61" x14ac:dyDescent="0.2">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row>
    <row r="606" spans="25:61" x14ac:dyDescent="0.2">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row>
    <row r="607" spans="25:61" x14ac:dyDescent="0.2">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row>
    <row r="608" spans="25:61" x14ac:dyDescent="0.2">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row>
    <row r="609" spans="25:61" x14ac:dyDescent="0.2">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row>
    <row r="610" spans="25:61" x14ac:dyDescent="0.2">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row>
    <row r="611" spans="25:61" x14ac:dyDescent="0.2">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row>
    <row r="612" spans="25:61" x14ac:dyDescent="0.2">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row>
    <row r="613" spans="25:61" x14ac:dyDescent="0.2">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row>
    <row r="614" spans="25:61" x14ac:dyDescent="0.2">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row>
    <row r="615" spans="25:61" x14ac:dyDescent="0.2">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row>
    <row r="616" spans="25:61" x14ac:dyDescent="0.2">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row>
    <row r="617" spans="25:61" x14ac:dyDescent="0.2">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row>
    <row r="618" spans="25:61" x14ac:dyDescent="0.2">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row>
    <row r="619" spans="25:61" x14ac:dyDescent="0.2">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row>
    <row r="620" spans="25:61" x14ac:dyDescent="0.2">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row>
    <row r="621" spans="25:61" x14ac:dyDescent="0.2">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row>
    <row r="622" spans="25:61" x14ac:dyDescent="0.2">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row>
    <row r="623" spans="25:61" x14ac:dyDescent="0.2">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row>
    <row r="624" spans="25:61" x14ac:dyDescent="0.2">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row>
    <row r="625" spans="25:61" x14ac:dyDescent="0.2">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row>
    <row r="626" spans="25:61" x14ac:dyDescent="0.2">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row>
    <row r="627" spans="25:61" x14ac:dyDescent="0.2">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row>
    <row r="628" spans="25:61" x14ac:dyDescent="0.2">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row>
    <row r="629" spans="25:61" x14ac:dyDescent="0.2">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row>
    <row r="630" spans="25:61" x14ac:dyDescent="0.2">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row>
    <row r="631" spans="25:61" x14ac:dyDescent="0.2">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row>
    <row r="632" spans="25:61" x14ac:dyDescent="0.2">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row>
    <row r="633" spans="25:61" x14ac:dyDescent="0.2">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row>
    <row r="634" spans="25:61" x14ac:dyDescent="0.2">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row>
    <row r="635" spans="25:61" x14ac:dyDescent="0.2">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row>
    <row r="636" spans="25:61" x14ac:dyDescent="0.2">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row>
    <row r="637" spans="25:61" x14ac:dyDescent="0.2">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row>
    <row r="638" spans="25:61" x14ac:dyDescent="0.2">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row>
    <row r="639" spans="25:61" x14ac:dyDescent="0.2">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row>
    <row r="640" spans="25:61" x14ac:dyDescent="0.2">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row>
    <row r="641" spans="25:61" x14ac:dyDescent="0.2">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row>
    <row r="642" spans="25:61" x14ac:dyDescent="0.2">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row>
    <row r="643" spans="25:61" x14ac:dyDescent="0.2">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row>
    <row r="644" spans="25:61" x14ac:dyDescent="0.2">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row>
    <row r="645" spans="25:61" x14ac:dyDescent="0.2">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row>
    <row r="646" spans="25:61" x14ac:dyDescent="0.2">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row>
    <row r="647" spans="25:61" x14ac:dyDescent="0.2">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row>
    <row r="648" spans="25:61" x14ac:dyDescent="0.2">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row>
    <row r="649" spans="25:61" x14ac:dyDescent="0.2">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row>
    <row r="650" spans="25:61" x14ac:dyDescent="0.2">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row>
    <row r="651" spans="25:61" x14ac:dyDescent="0.2">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row>
    <row r="652" spans="25:61" x14ac:dyDescent="0.2">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row>
    <row r="653" spans="25:61" x14ac:dyDescent="0.2">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row>
    <row r="654" spans="25:61" x14ac:dyDescent="0.2">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row>
    <row r="655" spans="25:61" x14ac:dyDescent="0.2">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row>
    <row r="656" spans="25:61" x14ac:dyDescent="0.2">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row>
    <row r="657" spans="25:61" x14ac:dyDescent="0.2">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row>
    <row r="658" spans="25:61" x14ac:dyDescent="0.2">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row>
    <row r="659" spans="25:61" x14ac:dyDescent="0.2">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row>
    <row r="660" spans="25:61" x14ac:dyDescent="0.2">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row>
    <row r="661" spans="25:61" x14ac:dyDescent="0.2">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row>
    <row r="662" spans="25:61" x14ac:dyDescent="0.2">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row>
    <row r="663" spans="25:61" x14ac:dyDescent="0.2">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row>
    <row r="664" spans="25:61" x14ac:dyDescent="0.2">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row>
    <row r="665" spans="25:61" x14ac:dyDescent="0.2">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row>
    <row r="666" spans="25:61" x14ac:dyDescent="0.2">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row>
    <row r="667" spans="25:61" x14ac:dyDescent="0.2">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row>
    <row r="668" spans="25:61" x14ac:dyDescent="0.2">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row>
    <row r="669" spans="25:61" x14ac:dyDescent="0.2">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row>
    <row r="670" spans="25:61" x14ac:dyDescent="0.2">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row>
    <row r="671" spans="25:61" x14ac:dyDescent="0.2">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row>
    <row r="672" spans="25:61" x14ac:dyDescent="0.2">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row>
    <row r="673" spans="25:61" x14ac:dyDescent="0.2">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row>
    <row r="674" spans="25:61" x14ac:dyDescent="0.2">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row>
    <row r="675" spans="25:61" x14ac:dyDescent="0.2">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row>
    <row r="676" spans="25:61" x14ac:dyDescent="0.2">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row>
    <row r="677" spans="25:61" x14ac:dyDescent="0.2">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row>
    <row r="678" spans="25:61" x14ac:dyDescent="0.2">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row>
    <row r="679" spans="25:61" x14ac:dyDescent="0.2">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row>
    <row r="680" spans="25:61" x14ac:dyDescent="0.2">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row>
    <row r="681" spans="25:61" x14ac:dyDescent="0.2">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row>
    <row r="682" spans="25:61" x14ac:dyDescent="0.2">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row>
    <row r="683" spans="25:61" x14ac:dyDescent="0.2">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row>
    <row r="684" spans="25:61" x14ac:dyDescent="0.2">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row>
    <row r="685" spans="25:61" x14ac:dyDescent="0.2">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row>
    <row r="686" spans="25:61" x14ac:dyDescent="0.2">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row>
    <row r="687" spans="25:61" x14ac:dyDescent="0.2">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row>
    <row r="688" spans="25:61" x14ac:dyDescent="0.2">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row>
    <row r="689" spans="25:61" x14ac:dyDescent="0.2">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row>
    <row r="690" spans="25:61" x14ac:dyDescent="0.2">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row>
    <row r="691" spans="25:61" x14ac:dyDescent="0.2">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row>
    <row r="692" spans="25:61" x14ac:dyDescent="0.2">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row>
    <row r="693" spans="25:61" x14ac:dyDescent="0.2">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row>
    <row r="694" spans="25:61" x14ac:dyDescent="0.2">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row>
    <row r="695" spans="25:61" x14ac:dyDescent="0.2">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row>
    <row r="696" spans="25:61" x14ac:dyDescent="0.2">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row>
    <row r="697" spans="25:61" x14ac:dyDescent="0.2">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row>
    <row r="698" spans="25:61" x14ac:dyDescent="0.2">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row>
    <row r="699" spans="25:61" x14ac:dyDescent="0.2">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row>
    <row r="700" spans="25:61" x14ac:dyDescent="0.2">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row>
    <row r="701" spans="25:61" x14ac:dyDescent="0.2">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row>
    <row r="702" spans="25:61" x14ac:dyDescent="0.2">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row>
    <row r="703" spans="25:61" x14ac:dyDescent="0.2">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row>
    <row r="704" spans="25:61" x14ac:dyDescent="0.2">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row>
    <row r="705" spans="25:61" x14ac:dyDescent="0.2">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row>
    <row r="706" spans="25:61" x14ac:dyDescent="0.2">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row>
    <row r="707" spans="25:61" x14ac:dyDescent="0.2">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row>
    <row r="708" spans="25:61" x14ac:dyDescent="0.2">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row>
    <row r="709" spans="25:61" x14ac:dyDescent="0.2">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row>
    <row r="710" spans="25:61" x14ac:dyDescent="0.2">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row>
    <row r="711" spans="25:61" x14ac:dyDescent="0.2">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row>
    <row r="712" spans="25:61" x14ac:dyDescent="0.2">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row>
    <row r="713" spans="25:61" x14ac:dyDescent="0.2">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row>
    <row r="714" spans="25:61" x14ac:dyDescent="0.2">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row>
    <row r="715" spans="25:61" x14ac:dyDescent="0.2">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row>
    <row r="716" spans="25:61" x14ac:dyDescent="0.2">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row>
    <row r="717" spans="25:61" x14ac:dyDescent="0.2">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row>
    <row r="718" spans="25:61" x14ac:dyDescent="0.2">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row>
    <row r="719" spans="25:61" x14ac:dyDescent="0.2">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row>
    <row r="720" spans="25:61" x14ac:dyDescent="0.2">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row>
    <row r="721" spans="25:61" x14ac:dyDescent="0.2">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row>
    <row r="722" spans="25:61" x14ac:dyDescent="0.2">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row>
    <row r="723" spans="25:61" x14ac:dyDescent="0.2">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row>
    <row r="724" spans="25:61" x14ac:dyDescent="0.2">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row>
    <row r="725" spans="25:61" x14ac:dyDescent="0.2">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row>
    <row r="726" spans="25:61" x14ac:dyDescent="0.2">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row>
    <row r="727" spans="25:61" x14ac:dyDescent="0.2">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row>
    <row r="728" spans="25:61" x14ac:dyDescent="0.2">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row>
    <row r="729" spans="25:61" x14ac:dyDescent="0.2">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row>
    <row r="730" spans="25:61" x14ac:dyDescent="0.2">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row>
    <row r="731" spans="25:61" x14ac:dyDescent="0.2">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row>
    <row r="732" spans="25:61" x14ac:dyDescent="0.2">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row>
    <row r="733" spans="25:61" x14ac:dyDescent="0.2">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row>
    <row r="734" spans="25:61" x14ac:dyDescent="0.2">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row>
    <row r="735" spans="25:61" x14ac:dyDescent="0.2">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row>
    <row r="736" spans="25:61" x14ac:dyDescent="0.2">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row>
    <row r="737" spans="25:61" x14ac:dyDescent="0.2">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row>
    <row r="738" spans="25:61" x14ac:dyDescent="0.2">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row>
    <row r="739" spans="25:61" x14ac:dyDescent="0.2">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row>
    <row r="740" spans="25:61" x14ac:dyDescent="0.2">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row>
    <row r="741" spans="25:61" x14ac:dyDescent="0.2">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row>
    <row r="742" spans="25:61" x14ac:dyDescent="0.2">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row>
    <row r="743" spans="25:61" x14ac:dyDescent="0.2">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row>
    <row r="744" spans="25:61" x14ac:dyDescent="0.2">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row>
    <row r="745" spans="25:61" x14ac:dyDescent="0.2">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row>
    <row r="746" spans="25:61" x14ac:dyDescent="0.2">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row>
    <row r="747" spans="25:61" x14ac:dyDescent="0.2">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row>
    <row r="748" spans="25:61" x14ac:dyDescent="0.2">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row>
    <row r="749" spans="25:61" x14ac:dyDescent="0.2">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row>
    <row r="750" spans="25:61" x14ac:dyDescent="0.2">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row>
    <row r="751" spans="25:61" x14ac:dyDescent="0.2">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row>
    <row r="752" spans="25:61" x14ac:dyDescent="0.2">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row>
    <row r="753" spans="25:61" x14ac:dyDescent="0.2">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row>
    <row r="754" spans="25:61" x14ac:dyDescent="0.2">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row>
    <row r="755" spans="25:61" x14ac:dyDescent="0.2">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row>
    <row r="756" spans="25:61" x14ac:dyDescent="0.2">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row>
    <row r="757" spans="25:61" x14ac:dyDescent="0.2">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row>
    <row r="758" spans="25:61" x14ac:dyDescent="0.2">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row>
    <row r="759" spans="25:61" x14ac:dyDescent="0.2">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row>
    <row r="760" spans="25:61" x14ac:dyDescent="0.2">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row>
    <row r="761" spans="25:61" x14ac:dyDescent="0.2">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row>
    <row r="762" spans="25:61" x14ac:dyDescent="0.2">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row>
    <row r="763" spans="25:61" x14ac:dyDescent="0.2">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row>
    <row r="764" spans="25:61" x14ac:dyDescent="0.2">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row>
    <row r="765" spans="25:61" x14ac:dyDescent="0.2">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row>
    <row r="766" spans="25:61" x14ac:dyDescent="0.2">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row>
    <row r="767" spans="25:61" x14ac:dyDescent="0.2">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row>
    <row r="768" spans="25:61" x14ac:dyDescent="0.2">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row>
    <row r="769" spans="25:61" x14ac:dyDescent="0.2">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row>
    <row r="770" spans="25:61" x14ac:dyDescent="0.2">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row>
    <row r="771" spans="25:61" x14ac:dyDescent="0.2">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row>
    <row r="772" spans="25:61" x14ac:dyDescent="0.2">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row>
    <row r="773" spans="25:61" x14ac:dyDescent="0.2">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row>
    <row r="774" spans="25:61" x14ac:dyDescent="0.2">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row>
    <row r="775" spans="25:61" x14ac:dyDescent="0.2">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row>
    <row r="776" spans="25:61" x14ac:dyDescent="0.2">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row>
    <row r="777" spans="25:61" x14ac:dyDescent="0.2">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row>
    <row r="778" spans="25:61" x14ac:dyDescent="0.2">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row>
    <row r="779" spans="25:61" x14ac:dyDescent="0.2">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row>
    <row r="780" spans="25:61" x14ac:dyDescent="0.2">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row>
    <row r="781" spans="25:61" x14ac:dyDescent="0.2">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row>
    <row r="782" spans="25:61" x14ac:dyDescent="0.2">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row>
    <row r="783" spans="25:61" x14ac:dyDescent="0.2">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row>
    <row r="784" spans="25:61" x14ac:dyDescent="0.2">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row>
    <row r="785" spans="25:61" x14ac:dyDescent="0.2">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row>
    <row r="786" spans="25:61" x14ac:dyDescent="0.2">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row>
    <row r="787" spans="25:61" x14ac:dyDescent="0.2">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row>
    <row r="788" spans="25:61" x14ac:dyDescent="0.2">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row>
    <row r="789" spans="25:61" x14ac:dyDescent="0.2">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row>
    <row r="790" spans="25:61" x14ac:dyDescent="0.2">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row>
    <row r="791" spans="25:61" x14ac:dyDescent="0.2">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row>
    <row r="792" spans="25:61" x14ac:dyDescent="0.2">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row>
    <row r="793" spans="25:61" x14ac:dyDescent="0.2">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row>
    <row r="794" spans="25:61" x14ac:dyDescent="0.2">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row>
    <row r="795" spans="25:61" x14ac:dyDescent="0.2">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row>
    <row r="796" spans="25:61" x14ac:dyDescent="0.2">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row>
    <row r="797" spans="25:61" x14ac:dyDescent="0.2">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row>
    <row r="798" spans="25:61" x14ac:dyDescent="0.2">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row>
    <row r="799" spans="25:61" x14ac:dyDescent="0.2">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row>
    <row r="800" spans="25:61" x14ac:dyDescent="0.2">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row>
    <row r="801" spans="25:61" x14ac:dyDescent="0.2">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row>
    <row r="802" spans="25:61" x14ac:dyDescent="0.2">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row>
    <row r="803" spans="25:61" x14ac:dyDescent="0.2">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row>
    <row r="804" spans="25:61" x14ac:dyDescent="0.2">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row>
    <row r="805" spans="25:61" x14ac:dyDescent="0.2">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row>
    <row r="806" spans="25:61" x14ac:dyDescent="0.2">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row>
    <row r="807" spans="25:61" x14ac:dyDescent="0.2">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row>
    <row r="808" spans="25:61" x14ac:dyDescent="0.2">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row>
    <row r="809" spans="25:61" x14ac:dyDescent="0.2">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row>
    <row r="810" spans="25:61" x14ac:dyDescent="0.2">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row>
    <row r="811" spans="25:61" x14ac:dyDescent="0.2">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row>
    <row r="812" spans="25:61" x14ac:dyDescent="0.2">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row>
    <row r="813" spans="25:61" x14ac:dyDescent="0.2">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row>
    <row r="814" spans="25:61" x14ac:dyDescent="0.2">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row>
    <row r="815" spans="25:61" x14ac:dyDescent="0.2">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row>
    <row r="816" spans="25:61" x14ac:dyDescent="0.2">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row>
    <row r="817" spans="25:61" x14ac:dyDescent="0.2">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row>
    <row r="818" spans="25:61" x14ac:dyDescent="0.2">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row>
    <row r="819" spans="25:61" x14ac:dyDescent="0.2">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row>
    <row r="820" spans="25:61" x14ac:dyDescent="0.2">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row>
    <row r="821" spans="25:61" x14ac:dyDescent="0.2">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row>
    <row r="822" spans="25:61" x14ac:dyDescent="0.2">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row>
    <row r="823" spans="25:61" x14ac:dyDescent="0.2">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row>
    <row r="824" spans="25:61" x14ac:dyDescent="0.2">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row>
    <row r="825" spans="25:61" x14ac:dyDescent="0.2">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row>
    <row r="826" spans="25:61" x14ac:dyDescent="0.2">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row>
    <row r="827" spans="25:61" x14ac:dyDescent="0.2">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row>
    <row r="828" spans="25:61" x14ac:dyDescent="0.2">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row>
    <row r="829" spans="25:61" x14ac:dyDescent="0.2">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row>
    <row r="830" spans="25:61" x14ac:dyDescent="0.2">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row>
    <row r="831" spans="25:61" x14ac:dyDescent="0.2">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row>
    <row r="832" spans="25:61" x14ac:dyDescent="0.2">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row>
    <row r="833" spans="25:61" x14ac:dyDescent="0.2">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row>
    <row r="834" spans="25:61" x14ac:dyDescent="0.2">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row>
    <row r="835" spans="25:61" x14ac:dyDescent="0.2">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row>
    <row r="836" spans="25:61" x14ac:dyDescent="0.2">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row>
    <row r="837" spans="25:61" x14ac:dyDescent="0.2">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row>
    <row r="838" spans="25:61" x14ac:dyDescent="0.2">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row>
    <row r="839" spans="25:61" x14ac:dyDescent="0.2">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row>
    <row r="840" spans="25:61" x14ac:dyDescent="0.2">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row>
    <row r="841" spans="25:61" x14ac:dyDescent="0.2">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row>
    <row r="842" spans="25:61" x14ac:dyDescent="0.2">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row>
    <row r="843" spans="25:61" x14ac:dyDescent="0.2">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row>
    <row r="844" spans="25:61" x14ac:dyDescent="0.2">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row>
    <row r="845" spans="25:61" x14ac:dyDescent="0.2">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row>
    <row r="846" spans="25:61" x14ac:dyDescent="0.2">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row>
    <row r="847" spans="25:61" x14ac:dyDescent="0.2">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row>
    <row r="848" spans="25:61" x14ac:dyDescent="0.2">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row>
    <row r="849" spans="25:61" x14ac:dyDescent="0.2">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row>
    <row r="850" spans="25:61" x14ac:dyDescent="0.2">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row>
    <row r="851" spans="25:61" x14ac:dyDescent="0.2">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row>
    <row r="852" spans="25:61" x14ac:dyDescent="0.2">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row>
    <row r="853" spans="25:61" x14ac:dyDescent="0.2">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row>
    <row r="854" spans="25:61" x14ac:dyDescent="0.2">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row>
    <row r="855" spans="25:61" x14ac:dyDescent="0.2">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row>
    <row r="856" spans="25:61" x14ac:dyDescent="0.2">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row>
    <row r="857" spans="25:61" x14ac:dyDescent="0.2">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row>
    <row r="858" spans="25:61" x14ac:dyDescent="0.2">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row>
    <row r="859" spans="25:61" x14ac:dyDescent="0.2">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row>
    <row r="860" spans="25:61" x14ac:dyDescent="0.2">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row>
    <row r="861" spans="25:61" x14ac:dyDescent="0.2">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row>
    <row r="862" spans="25:61" x14ac:dyDescent="0.2">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row>
    <row r="863" spans="25:61" x14ac:dyDescent="0.2">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row>
    <row r="864" spans="25:61" x14ac:dyDescent="0.2">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row>
    <row r="865" spans="25:61" x14ac:dyDescent="0.2">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row>
    <row r="866" spans="25:61" x14ac:dyDescent="0.2">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row>
    <row r="867" spans="25:61" x14ac:dyDescent="0.2">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row>
    <row r="868" spans="25:61" x14ac:dyDescent="0.2">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row>
    <row r="869" spans="25:61" x14ac:dyDescent="0.2">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row>
    <row r="870" spans="25:61" x14ac:dyDescent="0.2">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row>
    <row r="871" spans="25:61" x14ac:dyDescent="0.2">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row>
    <row r="872" spans="25:61" x14ac:dyDescent="0.2">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row>
    <row r="873" spans="25:61" x14ac:dyDescent="0.2">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row>
    <row r="874" spans="25:61" x14ac:dyDescent="0.2">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row>
    <row r="875" spans="25:61" x14ac:dyDescent="0.2">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row>
    <row r="876" spans="25:61" x14ac:dyDescent="0.2">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row>
    <row r="877" spans="25:61" x14ac:dyDescent="0.2">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row>
    <row r="878" spans="25:61" x14ac:dyDescent="0.2">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row>
    <row r="879" spans="25:61" x14ac:dyDescent="0.2">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row>
    <row r="880" spans="25:61" x14ac:dyDescent="0.2">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row>
    <row r="881" spans="25:61" x14ac:dyDescent="0.2">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row>
    <row r="882" spans="25:61" x14ac:dyDescent="0.2">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row>
    <row r="883" spans="25:61" x14ac:dyDescent="0.2">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row>
    <row r="884" spans="25:61" x14ac:dyDescent="0.2">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row>
    <row r="885" spans="25:61" x14ac:dyDescent="0.2">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row>
    <row r="886" spans="25:61" x14ac:dyDescent="0.2">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row>
    <row r="887" spans="25:61" x14ac:dyDescent="0.2">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row>
    <row r="888" spans="25:61" x14ac:dyDescent="0.2">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row>
    <row r="889" spans="25:61" x14ac:dyDescent="0.2">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row>
    <row r="890" spans="25:61" x14ac:dyDescent="0.2">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row>
    <row r="891" spans="25:61" x14ac:dyDescent="0.2">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row>
    <row r="892" spans="25:61" x14ac:dyDescent="0.2">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row>
    <row r="893" spans="25:61" x14ac:dyDescent="0.2">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row>
    <row r="894" spans="25:61" x14ac:dyDescent="0.2">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row>
    <row r="895" spans="25:61" x14ac:dyDescent="0.2">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row>
    <row r="896" spans="25:61" x14ac:dyDescent="0.2">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row>
    <row r="897" spans="25:61" x14ac:dyDescent="0.2">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row>
    <row r="898" spans="25:61" x14ac:dyDescent="0.2">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row>
    <row r="899" spans="25:61" x14ac:dyDescent="0.2">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row>
    <row r="900" spans="25:61" x14ac:dyDescent="0.2">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row>
    <row r="901" spans="25:61" x14ac:dyDescent="0.2">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row>
    <row r="902" spans="25:61" x14ac:dyDescent="0.2">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row>
    <row r="903" spans="25:61" x14ac:dyDescent="0.2">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row>
    <row r="904" spans="25:61" x14ac:dyDescent="0.2">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row>
    <row r="905" spans="25:61" x14ac:dyDescent="0.2">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row>
    <row r="906" spans="25:61" x14ac:dyDescent="0.2">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row>
    <row r="907" spans="25:61" x14ac:dyDescent="0.2">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row>
    <row r="908" spans="25:61" x14ac:dyDescent="0.2">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row>
    <row r="909" spans="25:61" x14ac:dyDescent="0.2">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row>
    <row r="910" spans="25:61" x14ac:dyDescent="0.2">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row>
    <row r="911" spans="25:61" x14ac:dyDescent="0.2">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row>
    <row r="912" spans="25:61" x14ac:dyDescent="0.2">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row>
    <row r="913" spans="25:61" x14ac:dyDescent="0.2">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row>
    <row r="914" spans="25:61" x14ac:dyDescent="0.2">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row>
    <row r="915" spans="25:61" x14ac:dyDescent="0.2">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row>
    <row r="916" spans="25:61" x14ac:dyDescent="0.2">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row>
    <row r="917" spans="25:61" x14ac:dyDescent="0.2">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row>
    <row r="918" spans="25:61" x14ac:dyDescent="0.2">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row>
    <row r="919" spans="25:61" x14ac:dyDescent="0.2">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row>
    <row r="920" spans="25:61" x14ac:dyDescent="0.2">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row>
    <row r="921" spans="25:61" x14ac:dyDescent="0.2">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row>
    <row r="922" spans="25:61" x14ac:dyDescent="0.2">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row>
    <row r="923" spans="25:61" x14ac:dyDescent="0.2">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row>
    <row r="924" spans="25:61" x14ac:dyDescent="0.2">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row>
    <row r="925" spans="25:61" x14ac:dyDescent="0.2">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row>
    <row r="926" spans="25:61" x14ac:dyDescent="0.2">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row>
    <row r="927" spans="25:61" x14ac:dyDescent="0.2">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row>
    <row r="928" spans="25:61" x14ac:dyDescent="0.2">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row>
    <row r="929" spans="25:61" x14ac:dyDescent="0.2">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row>
    <row r="930" spans="25:61" x14ac:dyDescent="0.2">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row>
    <row r="931" spans="25:61" x14ac:dyDescent="0.2">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row>
    <row r="932" spans="25:61" x14ac:dyDescent="0.2">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row>
    <row r="933" spans="25:61" x14ac:dyDescent="0.2">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row>
    <row r="934" spans="25:61" x14ac:dyDescent="0.2">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row>
    <row r="935" spans="25:61" x14ac:dyDescent="0.2">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row>
    <row r="936" spans="25:61" x14ac:dyDescent="0.2">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row>
    <row r="937" spans="25:61" x14ac:dyDescent="0.2">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row>
    <row r="938" spans="25:61" x14ac:dyDescent="0.2">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row>
    <row r="939" spans="25:61" x14ac:dyDescent="0.2">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row>
    <row r="940" spans="25:61" x14ac:dyDescent="0.2">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row>
    <row r="941" spans="25:61" x14ac:dyDescent="0.2">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row>
    <row r="942" spans="25:61" x14ac:dyDescent="0.2">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row>
    <row r="943" spans="25:61" x14ac:dyDescent="0.2">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row>
    <row r="944" spans="25:61" x14ac:dyDescent="0.2">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row>
    <row r="945" spans="25:61" x14ac:dyDescent="0.2">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row>
    <row r="946" spans="25:61" x14ac:dyDescent="0.2">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row>
  </sheetData>
  <hyperlinks>
    <hyperlink ref="Z4" r:id="rId1" xr:uid="{00000000-0004-0000-00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2017-12-08T17:21:04Z</dcterms:created>
  <dcterms:modified xsi:type="dcterms:W3CDTF">2022-03-17T19:22:42Z</dcterms:modified>
</cp:coreProperties>
</file>