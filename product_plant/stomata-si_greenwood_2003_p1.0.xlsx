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348102B8-0C8D-6446-A56E-537ED277C235}" xr6:coauthVersionLast="47" xr6:coauthVersionMax="47" xr10:uidLastSave="{00000000-0000-0000-0000-000000000000}"/>
  <bookViews>
    <workbookView xWindow="5080" yWindow="500" windowWidth="23720" windowHeight="1354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4" i="1" l="1"/>
  <c r="K4" i="1"/>
  <c r="J4" i="1"/>
  <c r="F4" i="1"/>
  <c r="AH4" i="1"/>
  <c r="I4" i="1" s="1"/>
  <c r="G4" i="1" l="1"/>
  <c r="H4" i="1"/>
</calcChain>
</file>

<file path=xl/sharedStrings.xml><?xml version="1.0" encoding="utf-8"?>
<sst xmlns="http://schemas.openxmlformats.org/spreadsheetml/2006/main" count="100" uniqueCount="87">
  <si>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</si>
  <si>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</si>
  <si>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</si>
  <si>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</si>
  <si>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</si>
  <si>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</si>
  <si>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</si>
  <si>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</si>
  <si>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</si>
  <si>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</si>
  <si>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</si>
  <si>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</si>
  <si>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</si>
  <si>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</si>
  <si>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</si>
  <si>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</si>
  <si>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</si>
  <si>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</si>
  <si>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</si>
  <si>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</si>
  <si>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</si>
  <si>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</si>
  <si>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</si>
  <si>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</si>
  <si>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</si>
  <si>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</si>
  <si>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</si>
  <si>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</si>
  <si>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</si>
  <si>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</si>
  <si>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</si>
  <si>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</si>
  <si>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</si>
  <si>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unmodified</t>
  </si>
  <si>
    <t>Lauraceae</t>
  </si>
  <si>
    <t>microscope</t>
  </si>
  <si>
    <t>mean</t>
  </si>
  <si>
    <t>10.1016/S0031-0182(03)00465-6</t>
  </si>
  <si>
    <r>
      <t xml:space="preserve">Greenwood, D.R., Scarr, M.J., and Christophel, D.C., 2003, Leaf stomatal frequency in the Australian tropical rainforest tree </t>
    </r>
    <r>
      <rPr>
        <i/>
        <sz val="11"/>
        <rFont val="Calibri"/>
        <family val="2"/>
        <scheme val="minor"/>
      </rPr>
      <t>Neolitsea dealbata</t>
    </r>
    <r>
      <rPr>
        <sz val="11"/>
        <rFont val="Calibri"/>
        <family val="2"/>
        <scheme val="minor"/>
      </rPr>
      <t xml:space="preserve"> (Lauraceae) as a proxy measure of atmospheric </t>
    </r>
    <r>
      <rPr>
        <i/>
        <sz val="11"/>
        <rFont val="Calibri"/>
        <family val="2"/>
        <scheme val="minor"/>
      </rPr>
      <t>p</t>
    </r>
    <r>
      <rPr>
        <sz val="11"/>
        <rFont val="Calibri"/>
        <family val="2"/>
        <scheme val="minor"/>
      </rPr>
      <t>CO</t>
    </r>
    <r>
      <rPr>
        <vertAlign val="subscript"/>
        <sz val="11"/>
        <rFont val="Calibri"/>
        <family val="2"/>
        <scheme val="minor"/>
      </rPr>
      <t>2</t>
    </r>
    <r>
      <rPr>
        <sz val="11"/>
        <rFont val="Calibri"/>
        <family val="2"/>
        <scheme val="minor"/>
      </rPr>
      <t>: Palaeogeography, Palaeoclimatology, Palaeoecology, v. 196, p. 375-393.</t>
    </r>
  </si>
  <si>
    <t>unknown</t>
  </si>
  <si>
    <t>Litsea</t>
  </si>
  <si>
    <t>sp.</t>
  </si>
  <si>
    <t xml:space="preserve">University of Adelaide - School of Environmental Biology </t>
  </si>
  <si>
    <t>Brandy Creek</t>
  </si>
  <si>
    <t>Neolitsea dealbata</t>
  </si>
  <si>
    <t>pCO2 = -7.6871(SI) +419.48</t>
  </si>
  <si>
    <t>proxy</t>
  </si>
  <si>
    <t>first_author_last_name</t>
  </si>
  <si>
    <t>publication_year</t>
  </si>
  <si>
    <t>age_ka</t>
  </si>
  <si>
    <t>Age_uncertainty_pos_ka</t>
  </si>
  <si>
    <t>Age_uncertainty_neg_ka</t>
  </si>
  <si>
    <t>stomata-SI</t>
  </si>
  <si>
    <t>Greenwood</t>
  </si>
  <si>
    <t>reflects +/-1 standard error of the regression</t>
  </si>
  <si>
    <t>gaussian</t>
  </si>
  <si>
    <t>standard error = 11.6 ppm</t>
  </si>
  <si>
    <t>Age determined in another publication: "Here we treat Hotham Heights and Brandy Creek as being no younger than that portion of the P. asperopolus Zone that falls within the early Eocene (Fig. 2), giving greater weight to the early Eocene indicators (i.e. low counts of Nothofagidites; Partridge, 1998b). On available evidence these floras most likely fall within the CGCO (spanning Chrons C23r to C22r)."Greenwood, D.R., Moss, P.T., Rowett, A.I., Vadala, A.J., Keefe, R.L., 2003. Plant communities and climate change in south eastern Australia during the Early Paleogene. In:Wing, S.L., Gingerich, P., Schmitz, B., Thomas, E. (Eds.), Causes and Consequences of Globally Warm Climates in the Early Paleogene. Geol. Soc. Am. Spec. Pap. 369."</t>
  </si>
  <si>
    <t>specify reason for quarantine</t>
  </si>
  <si>
    <t>specify reason for age revision</t>
  </si>
  <si>
    <t>name of person entering product data</t>
  </si>
  <si>
    <t>email of person entering product data</t>
  </si>
  <si>
    <t>droyer@wesleyan.edu</t>
  </si>
  <si>
    <t>Dana L. Royer</t>
  </si>
  <si>
    <t>1) Estimate is based on one fossil cuticle; 2) Neolitsea extant calibration applied to Litsea fossils (different genus); 3) Error propagation only accounts for the standard error of the calibration (i.e., not a prediction interval, and also does not take into account uncertainty in the fossil measurements)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</si>
  <si>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</si>
  <si>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</si>
  <si>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</si>
  <si>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</si>
  <si>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</si>
  <si>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</si>
  <si>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</si>
  <si>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</si>
  <si>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</si>
  <si>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</si>
  <si>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</si>
  <si>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</si>
  <si>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</si>
  <si>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</si>
  <si>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</si>
  <si>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</si>
  <si>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</si>
  <si>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</si>
  <si>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GTS2020</t>
  </si>
  <si>
    <t>Biostratigraphy updated to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</si>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</sst>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1"/>
      <name val="Calibri"/>
      <family val="2"/>
      <scheme val="minor"/>
    </font>
    <font>
      <i/>
      <sz val="11"/>
      <name val="Calibri"/>
      <family val="2"/>
      <scheme val="minor"/>
    </font>
    <font>
      <vertAlign val="subscript"/>
      <sz val="11"/>
      <name val="Calibri"/>
      <family val="2"/>
      <scheme val="minor"/>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Border="1" applyAlignment="1"/>
    <xf numFmtId="49" fontId="0" fillId="0" borderId="0" xfId="0" applyNumberFormat="1" applyBorder="1" applyAlignment="1">
      <alignment horizontal="right"/>
    </xf>
    <xf numFmtId="49" fontId="0" fillId="0" borderId="0" xfId="0" applyNumberFormat="1" applyBorder="1" applyAlignment="1"/>
    <xf numFmtId="164" fontId="0" fillId="0" borderId="0" xfId="0" applyNumberFormat="1" applyBorder="1" applyAlignment="1"/>
    <xf numFmtId="2" fontId="0" fillId="0" borderId="0" xfId="0" applyNumberFormat="1" applyBorder="1" applyAlignment="1"/>
    <xf numFmtId="1" fontId="0" fillId="0" borderId="0" xfId="0" applyNumberFormat="1" applyBorder="1" applyAlignment="1"/>
    <xf numFmtId="0" fontId="4" fillId="0" borderId="0" xfId="0" applyFont="1" applyFill="1" applyBorder="1" applyAlignment="1"/>
    <xf numFmtId="0" fontId="4" fillId="0" borderId="0" xfId="0" applyFont="1" applyFill="1"/>
    <xf numFmtId="164" fontId="4" fillId="0" borderId="0" xfId="0" applyNumberFormat="1" applyFont="1" applyFill="1" applyBorder="1" applyAlignment="1"/>
    <xf numFmtId="2" fontId="4" fillId="0" borderId="0" xfId="0" applyNumberFormat="1" applyFont="1" applyFill="1" applyBorder="1" applyAlignment="1"/>
    <xf numFmtId="1" fontId="4" fillId="0" borderId="0" xfId="0" applyNumberFormat="1" applyFont="1" applyFill="1" applyBorder="1" applyAlignment="1"/>
    <xf numFmtId="0" fontId="0" fillId="0" borderId="0" xfId="0" applyFill="1" applyBorder="1" applyAlignment="1"/>
    <xf numFmtId="0" fontId="0" fillId="0" borderId="0" xfId="0" applyFill="1"/>
    <xf numFmtId="2" fontId="0" fillId="0" borderId="0" xfId="0" applyNumberFormat="1" applyFill="1" applyBorder="1" applyAlignment="1"/>
    <xf numFmtId="0" fontId="4" fillId="0" borderId="0" xfId="0" applyNumberFormat="1" applyFont="1" applyFill="1" applyBorder="1" applyAlignment="1"/>
    <xf numFmtId="0" fontId="4" fillId="0" borderId="0" xfId="0" applyNumberFormat="1" applyFont="1" applyFill="1" applyBorder="1" applyAlignment="1">
      <alignment horizontal="right"/>
    </xf>
    <xf numFmtId="1" fontId="0" fillId="0" borderId="0" xfId="0" applyNumberFormat="1" applyFill="1" applyBorder="1" applyAlignment="1"/>
    <xf numFmtId="49" fontId="0" fillId="0" borderId="0" xfId="0" applyNumberFormat="1" applyFill="1" applyBorder="1" applyAlignment="1"/>
    <xf numFmtId="0" fontId="5" fillId="0" borderId="0" xfId="0" applyFont="1" applyFill="1" applyBorder="1" applyAlignment="1">
      <alignment horizontal="left"/>
    </xf>
    <xf numFmtId="164" fontId="0" fillId="0" borderId="0" xfId="0" applyNumberFormat="1" applyFill="1" applyBorder="1" applyAlignment="1"/>
    <xf numFmtId="0" fontId="0" fillId="0" borderId="0" xfId="0" applyAlignment="1"/>
    <xf numFmtId="49" fontId="0" fillId="0" borderId="0" xfId="0" applyNumberFormat="1" applyFill="1" applyBorder="1" applyAlignment="1">
      <alignment horizontal="right"/>
    </xf>
    <xf numFmtId="1" fontId="0" fillId="0" borderId="0" xfId="0" applyNumberFormat="1"/>
    <xf numFmtId="2" fontId="0" fillId="0" borderId="0" xfId="0" applyNumberFormat="1"/>
    <xf numFmtId="49" fontId="0" fillId="0" borderId="0" xfId="0" applyNumberFormat="1" applyAlignment="1">
      <alignment horizontal="right"/>
    </xf>
    <xf numFmtId="49" fontId="0" fillId="0" borderId="0" xfId="0" applyNumberFormat="1"/>
    <xf numFmtId="164" fontId="0" fillId="0" borderId="0" xfId="0" applyNumberFormat="1"/>
    <xf numFmtId="0" fontId="2" fillId="0" borderId="0" xfId="0" applyFont="1" applyFill="1" applyBorder="1" applyAlignment="1">
      <alignment vertical="top" wrapText="1"/>
    </xf>
    <xf numFmtId="0" fontId="3" fillId="0" borderId="0" xfId="0" applyFont="1" applyFill="1" applyBorder="1" applyAlignment="1">
      <alignment horizontal="center" vertical="top" wrapText="1"/>
    </xf>
    <xf numFmtId="0" fontId="3" fillId="0" borderId="0" xfId="0" applyFont="1" applyFill="1" applyAlignment="1">
      <alignment wrapText="1"/>
    </xf>
    <xf numFmtId="0" fontId="0" fillId="0" borderId="1" xfId="0" applyFont="1" applyFill="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1" fillId="0" borderId="4" xfId="0" applyFont="1" applyBorder="1" applyAlignment="1">
      <alignment wrapText="1"/>
    </xf>
    <xf numFmtId="0" fontId="1" fillId="0" borderId="1" xfId="0" applyFont="1" applyBorder="1" applyAlignment="1">
      <alignment wrapText="1"/>
    </xf>
    <xf numFmtId="0" fontId="1" fillId="0" borderId="1" xfId="0" applyFont="1" applyBorder="1"/>
    <xf numFmtId="0" fontId="0" fillId="0" borderId="1" xfId="0" applyFont="1" applyBorder="1" applyAlignment="1">
      <alignment wrapText="1"/>
    </xf>
    <xf numFmtId="0" fontId="0" fillId="0" borderId="1" xfId="0" applyFont="1" applyBorder="1"/>
    <xf numFmtId="0" fontId="0" fillId="0" borderId="1" xfId="0" quotePrefix="1" applyFont="1" applyBorder="1" applyAlignment="1">
      <alignment wrapText="1"/>
    </xf>
    <xf numFmtId="0" fontId="0" fillId="0" borderId="2" xfId="0" quotePrefix="1"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8" fillId="2" borderId="0" xfId="0" applyFont="1" applyFill="1" applyBorder="1" applyAlignment="1">
      <alignment horizontal="center" vertical="top" wrapText="1"/>
    </xf>
    <xf numFmtId="0" fontId="0" fillId="0" borderId="0" xfId="0" applyFill="1" applyBorder="1" applyAlignment="1">
      <alignment horizontal="right"/>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55"/>
  <sheetViews>
    <sheetView tabSelected="1" topLeftCell="I1" workbookViewId="0">
      <pane ySplit="3" topLeftCell="A4" activePane="bottomLeft" state="frozen"/>
      <selection pane="bottomLeft" activeCell="N3" sqref="N3:O3"/>
    </sheetView>
  </sheetViews>
  <sheetFormatPr baseColWidth="10" defaultColWidth="12" defaultRowHeight="15" x14ac:dyDescent="0.2"/>
  <cols>
    <col min="25" max="25" width="16.83203125" customWidth="1"/>
    <col min="26" max="26" width="26.5" customWidth="1"/>
    <col min="27" max="27" width="14.33203125" bestFit="1" customWidth="1"/>
    <col min="29" max="29" width="7" bestFit="1" customWidth="1"/>
    <col min="30" max="30" width="8.1640625" bestFit="1" customWidth="1"/>
    <col min="31" max="31" width="16.33203125" style="21" customWidth="1"/>
    <col min="32" max="32" width="13.5" style="21" bestFit="1" customWidth="1"/>
    <col min="33" max="33" width="13.6640625" customWidth="1"/>
    <col min="34" max="34" width="9.83203125" bestFit="1" customWidth="1"/>
    <col min="35" max="35" width="14" customWidth="1"/>
    <col min="36" max="36" width="13.5" customWidth="1"/>
    <col min="37" max="37" width="27.33203125" customWidth="1"/>
    <col min="38" max="38" width="13.83203125" style="21" customWidth="1"/>
    <col min="43" max="43" width="13.5" style="25" customWidth="1"/>
    <col min="44" max="44" width="13.5" style="26" customWidth="1"/>
    <col min="45" max="45" width="13.5" customWidth="1"/>
    <col min="47" max="49" width="12" style="27"/>
    <col min="50" max="50" width="14.83203125" style="24" customWidth="1"/>
    <col min="51" max="51" width="12" style="27"/>
    <col min="52" max="52" width="12" style="24"/>
    <col min="53" max="53" width="13" customWidth="1"/>
    <col min="54" max="54" width="12.5" style="21" customWidth="1"/>
    <col min="56" max="56" width="12.5" style="23" bestFit="1" customWidth="1"/>
    <col min="58" max="58" width="13.33203125" style="23" customWidth="1"/>
    <col min="59" max="59" width="13.6640625" style="23" customWidth="1"/>
    <col min="60" max="60" width="14" customWidth="1"/>
    <col min="61" max="61" width="20.83203125" customWidth="1"/>
  </cols>
  <sheetData>
    <row r="3" spans="1:62" s="30" customFormat="1" ht="86.25" customHeight="1" x14ac:dyDescent="0.2">
      <c r="A3" s="35" t="s">
        <v>60</v>
      </c>
      <c r="B3" s="36" t="s">
        <v>61</v>
      </c>
      <c r="C3" s="37" t="s">
        <v>46</v>
      </c>
      <c r="D3" s="38" t="s">
        <v>47</v>
      </c>
      <c r="E3" s="38" t="s">
        <v>48</v>
      </c>
      <c r="F3" s="39" t="s">
        <v>1</v>
      </c>
      <c r="G3" s="39" t="s">
        <v>49</v>
      </c>
      <c r="H3" s="40" t="s">
        <v>50</v>
      </c>
      <c r="I3" s="40" t="s">
        <v>51</v>
      </c>
      <c r="J3" s="38" t="s">
        <v>65</v>
      </c>
      <c r="K3" s="40" t="s">
        <v>66</v>
      </c>
      <c r="L3" s="41" t="s">
        <v>76</v>
      </c>
      <c r="M3" s="31" t="s">
        <v>67</v>
      </c>
      <c r="N3" s="48" t="s">
        <v>85</v>
      </c>
      <c r="O3" s="48" t="s">
        <v>86</v>
      </c>
      <c r="P3" s="31" t="s">
        <v>68</v>
      </c>
      <c r="Q3" s="32" t="s">
        <v>69</v>
      </c>
      <c r="R3" s="33" t="s">
        <v>70</v>
      </c>
      <c r="S3" s="34" t="s">
        <v>71</v>
      </c>
      <c r="T3" s="31" t="s">
        <v>72</v>
      </c>
      <c r="U3" s="31" t="s">
        <v>58</v>
      </c>
      <c r="V3" s="31" t="s">
        <v>73</v>
      </c>
      <c r="W3" s="42" t="s">
        <v>74</v>
      </c>
      <c r="X3" s="43" t="s">
        <v>59</v>
      </c>
      <c r="Y3" s="44" t="s">
        <v>77</v>
      </c>
      <c r="Z3" s="44" t="s">
        <v>78</v>
      </c>
      <c r="AA3" s="44" t="s">
        <v>2</v>
      </c>
      <c r="AB3" s="44" t="s">
        <v>3</v>
      </c>
      <c r="AC3" s="44" t="s">
        <v>4</v>
      </c>
      <c r="AD3" s="44" t="s">
        <v>5</v>
      </c>
      <c r="AE3" s="44" t="s">
        <v>6</v>
      </c>
      <c r="AF3" s="44" t="s">
        <v>7</v>
      </c>
      <c r="AG3" s="45" t="s">
        <v>8</v>
      </c>
      <c r="AH3" s="44" t="s">
        <v>9</v>
      </c>
      <c r="AI3" s="44" t="s">
        <v>10</v>
      </c>
      <c r="AJ3" s="44" t="s">
        <v>11</v>
      </c>
      <c r="AK3" s="44" t="s">
        <v>12</v>
      </c>
      <c r="AL3" s="44" t="s">
        <v>13</v>
      </c>
      <c r="AM3" s="44" t="s">
        <v>79</v>
      </c>
      <c r="AN3" s="44" t="s">
        <v>80</v>
      </c>
      <c r="AO3" s="46" t="s">
        <v>81</v>
      </c>
      <c r="AP3" s="46" t="s">
        <v>82</v>
      </c>
      <c r="AQ3" s="29" t="s">
        <v>14</v>
      </c>
      <c r="AR3" s="29" t="s">
        <v>15</v>
      </c>
      <c r="AS3" s="29" t="s">
        <v>16</v>
      </c>
      <c r="AT3" s="29" t="s">
        <v>17</v>
      </c>
      <c r="AU3" s="29" t="s">
        <v>18</v>
      </c>
      <c r="AV3" s="29" t="s">
        <v>19</v>
      </c>
      <c r="AW3" s="29" t="s">
        <v>20</v>
      </c>
      <c r="AX3" s="29" t="s">
        <v>21</v>
      </c>
      <c r="AY3" s="29" t="s">
        <v>22</v>
      </c>
      <c r="AZ3" s="29" t="s">
        <v>23</v>
      </c>
      <c r="BA3" s="29" t="s">
        <v>24</v>
      </c>
      <c r="BB3" s="29" t="s">
        <v>25</v>
      </c>
      <c r="BC3" s="29" t="s">
        <v>26</v>
      </c>
      <c r="BD3" s="29" t="s">
        <v>27</v>
      </c>
      <c r="BE3" s="28" t="s">
        <v>28</v>
      </c>
      <c r="BF3" s="29" t="s">
        <v>29</v>
      </c>
      <c r="BG3" s="29" t="s">
        <v>30</v>
      </c>
      <c r="BH3" s="28" t="s">
        <v>31</v>
      </c>
      <c r="BI3" s="28" t="s">
        <v>32</v>
      </c>
      <c r="BJ3" s="28" t="s">
        <v>0</v>
      </c>
    </row>
    <row r="4" spans="1:62" ht="17" x14ac:dyDescent="0.25">
      <c r="A4" s="13" t="s">
        <v>63</v>
      </c>
      <c r="B4" s="13" t="s">
        <v>62</v>
      </c>
      <c r="C4" s="13" t="s">
        <v>52</v>
      </c>
      <c r="D4" s="13" t="s">
        <v>53</v>
      </c>
      <c r="E4" s="13">
        <v>2003</v>
      </c>
      <c r="F4" s="1" t="str">
        <f>Z4</f>
        <v>10.1016/S0031-0182(03)00465-6</v>
      </c>
      <c r="G4">
        <f>AH4*1000</f>
        <v>51102.999999999993</v>
      </c>
      <c r="H4">
        <f>(AI4-AH4)*1000</f>
        <v>1437.0000000000048</v>
      </c>
      <c r="I4">
        <f>(AH4-AJ4)*1000</f>
        <v>1436.9999999999977</v>
      </c>
      <c r="J4">
        <f>BD4</f>
        <v>349</v>
      </c>
      <c r="K4" s="23">
        <f>BG4-BD4</f>
        <v>11.600000000000023</v>
      </c>
      <c r="L4" s="23">
        <f>BD4-BF4</f>
        <v>11.600000000000023</v>
      </c>
      <c r="M4" s="13" t="b">
        <v>1</v>
      </c>
      <c r="N4" s="13">
        <v>3</v>
      </c>
      <c r="O4" s="13" t="s">
        <v>64</v>
      </c>
      <c r="P4" s="13" t="s">
        <v>75</v>
      </c>
      <c r="Q4" s="13" t="b">
        <v>0</v>
      </c>
      <c r="R4" s="13" t="s">
        <v>75</v>
      </c>
      <c r="S4" s="13" t="b">
        <v>0</v>
      </c>
      <c r="T4" s="13" t="b">
        <v>0</v>
      </c>
      <c r="U4" s="13" t="s">
        <v>75</v>
      </c>
      <c r="V4" s="13" t="s">
        <v>75</v>
      </c>
      <c r="W4" s="13" t="b">
        <v>1</v>
      </c>
      <c r="X4" s="7" t="s">
        <v>84</v>
      </c>
      <c r="Y4" s="19" t="s">
        <v>38</v>
      </c>
      <c r="Z4" s="8" t="s">
        <v>37</v>
      </c>
      <c r="AA4" s="7" t="s">
        <v>39</v>
      </c>
      <c r="AB4" s="7" t="s">
        <v>34</v>
      </c>
      <c r="AC4" s="7" t="s">
        <v>40</v>
      </c>
      <c r="AD4" s="7" t="s">
        <v>41</v>
      </c>
      <c r="AE4" s="7" t="s">
        <v>42</v>
      </c>
      <c r="AF4" s="7" t="s">
        <v>43</v>
      </c>
      <c r="AG4" s="7" t="s">
        <v>39</v>
      </c>
      <c r="AH4" s="10">
        <f>AVERAGE(AI4:AJ4)</f>
        <v>51.102999999999994</v>
      </c>
      <c r="AI4" s="7">
        <v>52.54</v>
      </c>
      <c r="AJ4" s="7">
        <v>49.665999999999997</v>
      </c>
      <c r="AK4" s="7" t="s">
        <v>83</v>
      </c>
      <c r="AL4" s="7" t="s">
        <v>57</v>
      </c>
      <c r="AM4" s="7" t="s">
        <v>75</v>
      </c>
      <c r="AN4" s="7" t="s">
        <v>75</v>
      </c>
      <c r="AO4" s="47" t="s">
        <v>75</v>
      </c>
      <c r="AP4" s="47" t="s">
        <v>75</v>
      </c>
      <c r="AQ4" s="16">
        <v>3</v>
      </c>
      <c r="AR4" s="15">
        <v>1</v>
      </c>
      <c r="AS4" s="7" t="s">
        <v>35</v>
      </c>
      <c r="AT4" s="7" t="s">
        <v>75</v>
      </c>
      <c r="AU4" s="7" t="s">
        <v>75</v>
      </c>
      <c r="AV4" s="7" t="s">
        <v>75</v>
      </c>
      <c r="AW4" s="7" t="s">
        <v>75</v>
      </c>
      <c r="AX4" s="10">
        <v>9.1999999999999993</v>
      </c>
      <c r="AY4" s="7" t="s">
        <v>75</v>
      </c>
      <c r="AZ4" s="10">
        <v>11.6</v>
      </c>
      <c r="BA4" s="9" t="s">
        <v>44</v>
      </c>
      <c r="BB4" s="7" t="s">
        <v>45</v>
      </c>
      <c r="BC4" s="7" t="s">
        <v>56</v>
      </c>
      <c r="BD4" s="11">
        <v>349</v>
      </c>
      <c r="BE4" s="7" t="s">
        <v>36</v>
      </c>
      <c r="BF4" s="11">
        <v>337.4</v>
      </c>
      <c r="BG4" s="11">
        <v>360.6</v>
      </c>
      <c r="BH4" s="7" t="s">
        <v>54</v>
      </c>
      <c r="BI4" s="7" t="s">
        <v>55</v>
      </c>
      <c r="BJ4" s="7" t="s">
        <v>33</v>
      </c>
    </row>
    <row r="5" spans="1:62" s="13" customFormat="1" x14ac:dyDescent="0.2">
      <c r="Y5" s="12"/>
      <c r="Z5" s="12"/>
      <c r="AA5" s="12"/>
      <c r="AB5" s="12"/>
      <c r="AC5" s="12"/>
      <c r="AD5" s="12"/>
      <c r="AE5" s="12"/>
      <c r="AF5" s="12"/>
      <c r="AG5" s="12"/>
      <c r="AH5" s="12"/>
      <c r="AI5" s="12"/>
      <c r="AJ5" s="12"/>
      <c r="AK5" s="12"/>
      <c r="AL5" s="12"/>
      <c r="AM5" s="12"/>
      <c r="AN5" s="12"/>
      <c r="AO5" s="12"/>
      <c r="AP5" s="12"/>
      <c r="AQ5" s="22"/>
      <c r="AR5" s="18"/>
      <c r="AS5" s="12"/>
      <c r="AT5" s="12"/>
      <c r="AU5" s="20"/>
      <c r="AV5" s="20"/>
      <c r="AW5" s="20"/>
      <c r="AX5" s="14"/>
      <c r="AY5" s="20"/>
      <c r="AZ5" s="14"/>
      <c r="BA5" s="12"/>
      <c r="BB5" s="12"/>
      <c r="BC5" s="12"/>
      <c r="BD5" s="17"/>
      <c r="BE5" s="12"/>
      <c r="BF5" s="17"/>
      <c r="BG5" s="17"/>
      <c r="BH5" s="12"/>
      <c r="BI5" s="12"/>
    </row>
    <row r="6" spans="1:62" s="13" customFormat="1" x14ac:dyDescent="0.2">
      <c r="Y6" s="12"/>
      <c r="Z6" s="12"/>
      <c r="AA6" s="12"/>
      <c r="AB6" s="12"/>
      <c r="AC6" s="12"/>
      <c r="AD6" s="12"/>
      <c r="AE6" s="12"/>
      <c r="AF6" s="12"/>
      <c r="AG6" s="12"/>
      <c r="AH6" s="12"/>
      <c r="AI6" s="12"/>
      <c r="AJ6" s="12"/>
      <c r="AK6" s="12"/>
      <c r="AL6" s="12"/>
      <c r="AM6" s="12"/>
      <c r="AN6" s="12"/>
      <c r="AO6" s="12"/>
      <c r="AP6" s="12"/>
      <c r="AQ6" s="22"/>
      <c r="AR6" s="18"/>
      <c r="AS6" s="12"/>
      <c r="AT6" s="12"/>
      <c r="AU6" s="20"/>
      <c r="AV6" s="20"/>
      <c r="AW6" s="20"/>
      <c r="AX6" s="14"/>
      <c r="AY6" s="20"/>
      <c r="AZ6" s="14"/>
      <c r="BA6" s="12"/>
      <c r="BB6" s="12"/>
      <c r="BC6" s="12"/>
      <c r="BD6" s="17"/>
      <c r="BE6" s="12"/>
      <c r="BF6" s="17"/>
      <c r="BG6" s="17"/>
      <c r="BH6" s="12"/>
      <c r="BI6" s="12"/>
    </row>
    <row r="7" spans="1:62" s="13" customFormat="1" x14ac:dyDescent="0.2">
      <c r="Y7" s="12"/>
      <c r="Z7" s="12"/>
      <c r="AA7" s="12"/>
      <c r="AB7" s="12"/>
      <c r="AC7" s="12"/>
      <c r="AD7" s="12"/>
      <c r="AE7" s="12"/>
      <c r="AF7" s="12"/>
      <c r="AG7" s="12"/>
      <c r="AH7" s="12"/>
      <c r="AI7" s="12"/>
      <c r="AJ7" s="12"/>
      <c r="AK7" s="12"/>
      <c r="AL7" s="12"/>
      <c r="AM7" s="12"/>
      <c r="AN7" s="12"/>
      <c r="AO7" s="12"/>
      <c r="AP7" s="12"/>
      <c r="AQ7" s="22"/>
      <c r="AR7" s="18"/>
      <c r="AS7" s="12"/>
      <c r="AT7" s="12"/>
      <c r="AU7" s="20"/>
      <c r="AV7" s="20"/>
      <c r="AW7" s="20"/>
      <c r="AX7" s="14"/>
      <c r="AY7" s="20"/>
      <c r="AZ7" s="14"/>
      <c r="BA7" s="12"/>
      <c r="BB7" s="12"/>
      <c r="BC7" s="12"/>
      <c r="BD7" s="17"/>
      <c r="BE7" s="12"/>
      <c r="BF7" s="17"/>
      <c r="BG7" s="17"/>
      <c r="BH7" s="12"/>
      <c r="BI7" s="12"/>
    </row>
    <row r="8" spans="1:62" s="13" customFormat="1" x14ac:dyDescent="0.2">
      <c r="Y8" s="12"/>
      <c r="Z8" s="12"/>
      <c r="AA8" s="12"/>
      <c r="AB8" s="12"/>
      <c r="AC8" s="12"/>
      <c r="AD8" s="12"/>
      <c r="AE8" s="12"/>
      <c r="AF8" s="12"/>
      <c r="AG8" s="12"/>
      <c r="AH8" s="12"/>
      <c r="AI8" s="12"/>
      <c r="AJ8" s="12"/>
      <c r="AK8" s="12"/>
      <c r="AL8" s="12"/>
      <c r="AM8" s="12"/>
      <c r="AN8" s="12"/>
      <c r="AO8" s="12"/>
      <c r="AP8" s="12"/>
      <c r="AQ8" s="22"/>
      <c r="AR8" s="18"/>
      <c r="AS8" s="12"/>
      <c r="AT8" s="12"/>
      <c r="AU8" s="20"/>
      <c r="AV8" s="20"/>
      <c r="AW8" s="20"/>
      <c r="AX8" s="14"/>
      <c r="AY8" s="20"/>
      <c r="AZ8" s="14"/>
      <c r="BA8" s="12"/>
      <c r="BB8" s="12"/>
      <c r="BC8" s="12"/>
      <c r="BD8" s="17"/>
      <c r="BE8" s="12"/>
      <c r="BF8" s="17"/>
      <c r="BG8" s="17"/>
      <c r="BH8" s="12"/>
      <c r="BI8" s="12"/>
    </row>
    <row r="9" spans="1:62" s="13" customFormat="1" x14ac:dyDescent="0.2">
      <c r="Y9" s="12"/>
      <c r="Z9" s="12"/>
      <c r="AA9" s="12"/>
      <c r="AB9" s="12"/>
      <c r="AC9" s="12"/>
      <c r="AD9" s="12"/>
      <c r="AE9" s="12"/>
      <c r="AF9" s="12"/>
      <c r="AG9" s="12"/>
      <c r="AH9" s="12"/>
      <c r="AI9" s="12"/>
      <c r="AJ9" s="12"/>
      <c r="AK9" s="12"/>
      <c r="AL9" s="12"/>
      <c r="AM9" s="12"/>
      <c r="AN9" s="12"/>
      <c r="AO9" s="12"/>
      <c r="AP9" s="12"/>
      <c r="AQ9" s="22"/>
      <c r="AR9" s="18"/>
      <c r="AS9" s="12"/>
      <c r="AT9" s="12"/>
      <c r="AU9" s="20"/>
      <c r="AV9" s="20"/>
      <c r="AW9" s="20"/>
      <c r="AX9" s="14"/>
      <c r="AY9" s="20"/>
      <c r="AZ9" s="14"/>
      <c r="BA9" s="12"/>
      <c r="BB9" s="12"/>
      <c r="BC9" s="12"/>
      <c r="BD9" s="17"/>
      <c r="BE9" s="12"/>
      <c r="BF9" s="17"/>
      <c r="BG9" s="17"/>
      <c r="BH9" s="12"/>
      <c r="BI9" s="12"/>
    </row>
    <row r="10" spans="1:62" s="13" customFormat="1" x14ac:dyDescent="0.2">
      <c r="Y10" s="12"/>
      <c r="Z10" s="12"/>
      <c r="AA10" s="12"/>
      <c r="AB10" s="12"/>
      <c r="AC10" s="12"/>
      <c r="AD10" s="12"/>
      <c r="AE10" s="12"/>
      <c r="AF10" s="12"/>
      <c r="AG10" s="12"/>
      <c r="AH10" s="12"/>
      <c r="AI10" s="12"/>
      <c r="AJ10" s="12"/>
      <c r="AK10" s="12"/>
      <c r="AL10" s="12"/>
      <c r="AM10" s="12"/>
      <c r="AN10" s="12"/>
      <c r="AO10" s="12"/>
      <c r="AP10" s="12"/>
      <c r="AQ10" s="22"/>
      <c r="AR10" s="18"/>
      <c r="AS10" s="12"/>
      <c r="AT10" s="12"/>
      <c r="AU10" s="20"/>
      <c r="AV10" s="20"/>
      <c r="AW10" s="20"/>
      <c r="AX10" s="14"/>
      <c r="AY10" s="20"/>
      <c r="AZ10" s="14"/>
      <c r="BA10" s="12"/>
      <c r="BB10" s="12"/>
      <c r="BC10" s="12"/>
      <c r="BD10" s="17"/>
      <c r="BE10" s="12"/>
      <c r="BF10" s="17"/>
      <c r="BG10" s="17"/>
      <c r="BH10" s="12"/>
      <c r="BI10" s="12"/>
    </row>
    <row r="11" spans="1:62" s="13" customFormat="1" x14ac:dyDescent="0.2">
      <c r="Y11" s="12"/>
      <c r="Z11" s="12"/>
      <c r="AA11" s="12"/>
      <c r="AB11" s="12"/>
      <c r="AC11" s="12"/>
      <c r="AD11" s="12"/>
      <c r="AE11" s="12"/>
      <c r="AF11" s="12"/>
      <c r="AG11" s="12"/>
      <c r="AH11" s="12"/>
      <c r="AI11" s="12"/>
      <c r="AJ11" s="12"/>
      <c r="AK11" s="12"/>
      <c r="AL11" s="12"/>
      <c r="AM11" s="12"/>
      <c r="AN11" s="12"/>
      <c r="AO11" s="12"/>
      <c r="AP11" s="12"/>
      <c r="AQ11" s="22"/>
      <c r="AR11" s="18"/>
      <c r="AS11" s="12"/>
      <c r="AT11" s="12"/>
      <c r="AU11" s="20"/>
      <c r="AV11" s="20"/>
      <c r="AW11" s="20"/>
      <c r="AX11" s="14"/>
      <c r="AY11" s="20"/>
      <c r="AZ11" s="14"/>
      <c r="BA11" s="12"/>
      <c r="BB11" s="12"/>
      <c r="BC11" s="12"/>
      <c r="BD11" s="17"/>
      <c r="BE11" s="12"/>
      <c r="BF11" s="17"/>
      <c r="BG11" s="17"/>
      <c r="BH11" s="12"/>
      <c r="BI11" s="12"/>
    </row>
    <row r="12" spans="1:62" s="13" customFormat="1" x14ac:dyDescent="0.2">
      <c r="Y12" s="12"/>
      <c r="Z12" s="12"/>
      <c r="AA12" s="12"/>
      <c r="AB12" s="12"/>
      <c r="AC12" s="12"/>
      <c r="AD12" s="12"/>
      <c r="AE12" s="12"/>
      <c r="AF12" s="12"/>
      <c r="AG12" s="12"/>
      <c r="AH12" s="12"/>
      <c r="AI12" s="12"/>
      <c r="AJ12" s="12"/>
      <c r="AK12" s="12"/>
      <c r="AL12" s="12"/>
      <c r="AM12" s="12"/>
      <c r="AN12" s="12"/>
      <c r="AO12" s="12"/>
      <c r="AP12" s="12"/>
      <c r="AQ12" s="22"/>
      <c r="AR12" s="18"/>
      <c r="AS12" s="12"/>
      <c r="AT12" s="12"/>
      <c r="AU12" s="20"/>
      <c r="AV12" s="20"/>
      <c r="AW12" s="20"/>
      <c r="AX12" s="14"/>
      <c r="AY12" s="20"/>
      <c r="AZ12" s="14"/>
      <c r="BA12" s="12"/>
      <c r="BB12" s="12"/>
      <c r="BC12" s="12"/>
      <c r="BD12" s="17"/>
      <c r="BE12" s="12"/>
      <c r="BF12" s="17"/>
      <c r="BG12" s="17"/>
      <c r="BH12" s="12"/>
      <c r="BI12" s="12"/>
    </row>
    <row r="13" spans="1:62" s="13" customFormat="1" x14ac:dyDescent="0.2">
      <c r="Y13" s="12"/>
      <c r="Z13" s="12"/>
      <c r="AA13" s="12"/>
      <c r="AB13" s="12"/>
      <c r="AC13" s="12"/>
      <c r="AD13" s="12"/>
      <c r="AE13" s="12"/>
      <c r="AF13" s="12"/>
      <c r="AG13" s="12"/>
      <c r="AH13" s="12"/>
      <c r="AI13" s="12"/>
      <c r="AJ13" s="12"/>
      <c r="AK13" s="12"/>
      <c r="AL13" s="12"/>
      <c r="AM13" s="12"/>
      <c r="AN13" s="12"/>
      <c r="AO13" s="12"/>
      <c r="AP13" s="12"/>
      <c r="AQ13" s="22"/>
      <c r="AR13" s="18"/>
      <c r="AS13" s="12"/>
      <c r="AT13" s="12"/>
      <c r="AU13" s="20"/>
      <c r="AV13" s="20"/>
      <c r="AW13" s="20"/>
      <c r="AX13" s="14"/>
      <c r="AY13" s="20"/>
      <c r="AZ13" s="14"/>
      <c r="BA13" s="12"/>
      <c r="BB13" s="12"/>
      <c r="BC13" s="12"/>
      <c r="BD13" s="17"/>
      <c r="BE13" s="12"/>
      <c r="BF13" s="17"/>
      <c r="BG13" s="17"/>
      <c r="BH13" s="12"/>
      <c r="BI13" s="12"/>
    </row>
    <row r="14" spans="1:62" s="13" customFormat="1" x14ac:dyDescent="0.2">
      <c r="Y14" s="12"/>
      <c r="Z14" s="12"/>
      <c r="AA14" s="12"/>
      <c r="AB14" s="12"/>
      <c r="AC14" s="12"/>
      <c r="AD14" s="12"/>
      <c r="AE14" s="12"/>
      <c r="AF14" s="12"/>
      <c r="AG14" s="12"/>
      <c r="AH14" s="12"/>
      <c r="AI14" s="12"/>
      <c r="AJ14" s="12"/>
      <c r="AK14" s="12"/>
      <c r="AL14" s="12"/>
      <c r="AM14" s="12"/>
      <c r="AN14" s="12"/>
      <c r="AO14" s="12"/>
      <c r="AP14" s="12"/>
      <c r="AQ14" s="22"/>
      <c r="AR14" s="18"/>
      <c r="AS14" s="12"/>
      <c r="AT14" s="12"/>
      <c r="AU14" s="20"/>
      <c r="AV14" s="20"/>
      <c r="AW14" s="20"/>
      <c r="AX14" s="14"/>
      <c r="AY14" s="20"/>
      <c r="AZ14" s="14"/>
      <c r="BA14" s="12"/>
      <c r="BB14" s="12"/>
      <c r="BC14" s="12"/>
      <c r="BD14" s="17"/>
      <c r="BE14" s="12"/>
      <c r="BF14" s="17"/>
      <c r="BG14" s="17"/>
      <c r="BH14" s="12"/>
      <c r="BI14" s="12"/>
    </row>
    <row r="15" spans="1:62" s="13" customFormat="1" x14ac:dyDescent="0.2">
      <c r="Y15" s="12"/>
      <c r="Z15" s="12"/>
      <c r="AA15" s="12"/>
      <c r="AB15" s="12"/>
      <c r="AC15" s="12"/>
      <c r="AD15" s="12"/>
      <c r="AE15" s="12"/>
      <c r="AF15" s="12"/>
      <c r="AG15" s="12"/>
      <c r="AH15" s="12"/>
      <c r="AI15" s="12"/>
      <c r="AJ15" s="12"/>
      <c r="AK15" s="12"/>
      <c r="AL15" s="12"/>
      <c r="AM15" s="12"/>
      <c r="AN15" s="12"/>
      <c r="AO15" s="12"/>
      <c r="AP15" s="12"/>
      <c r="AQ15" s="22"/>
      <c r="AR15" s="18"/>
      <c r="AS15" s="12"/>
      <c r="AT15" s="12"/>
      <c r="AU15" s="20"/>
      <c r="AV15" s="20"/>
      <c r="AW15" s="20"/>
      <c r="AX15" s="14"/>
      <c r="AY15" s="20"/>
      <c r="AZ15" s="14"/>
      <c r="BA15" s="12"/>
      <c r="BB15" s="12"/>
      <c r="BC15" s="12"/>
      <c r="BD15" s="17"/>
      <c r="BE15" s="12"/>
      <c r="BF15" s="17"/>
      <c r="BG15" s="17"/>
      <c r="BH15" s="12"/>
      <c r="BI15" s="12"/>
    </row>
    <row r="16" spans="1:62" s="13" customFormat="1" x14ac:dyDescent="0.2">
      <c r="Y16" s="12"/>
      <c r="Z16" s="12"/>
      <c r="AA16" s="12"/>
      <c r="AB16" s="12"/>
      <c r="AC16" s="12"/>
      <c r="AD16" s="12"/>
      <c r="AE16" s="12"/>
      <c r="AF16" s="12"/>
      <c r="AG16" s="12"/>
      <c r="AH16" s="12"/>
      <c r="AI16" s="12"/>
      <c r="AJ16" s="12"/>
      <c r="AK16" s="12"/>
      <c r="AL16" s="12"/>
      <c r="AM16" s="12"/>
      <c r="AN16" s="12"/>
      <c r="AO16" s="12"/>
      <c r="AP16" s="12"/>
      <c r="AQ16" s="22"/>
      <c r="AR16" s="18"/>
      <c r="AS16" s="12"/>
      <c r="AT16" s="12"/>
      <c r="AU16" s="20"/>
      <c r="AV16" s="20"/>
      <c r="AW16" s="20"/>
      <c r="AX16" s="14"/>
      <c r="AY16" s="20"/>
      <c r="AZ16" s="14"/>
      <c r="BA16" s="12"/>
      <c r="BB16" s="12"/>
      <c r="BC16" s="12"/>
      <c r="BD16" s="17"/>
      <c r="BE16" s="12"/>
      <c r="BF16" s="17"/>
      <c r="BG16" s="17"/>
      <c r="BH16" s="12"/>
      <c r="BI16" s="12"/>
    </row>
    <row r="17" spans="25:61" s="13" customFormat="1" x14ac:dyDescent="0.2">
      <c r="Y17" s="12"/>
      <c r="Z17" s="12"/>
      <c r="AA17" s="12"/>
      <c r="AB17" s="12"/>
      <c r="AC17" s="12"/>
      <c r="AD17" s="12"/>
      <c r="AE17" s="12"/>
      <c r="AF17" s="12"/>
      <c r="AG17" s="12"/>
      <c r="AH17" s="12"/>
      <c r="AI17" s="12"/>
      <c r="AJ17" s="12"/>
      <c r="AK17" s="12"/>
      <c r="AL17" s="12"/>
      <c r="AM17" s="12"/>
      <c r="AN17" s="12"/>
      <c r="AO17" s="12"/>
      <c r="AP17" s="12"/>
      <c r="AQ17" s="22"/>
      <c r="AR17" s="18"/>
      <c r="AS17" s="12"/>
      <c r="AT17" s="12"/>
      <c r="AU17" s="20"/>
      <c r="AV17" s="20"/>
      <c r="AW17" s="20"/>
      <c r="AX17" s="14"/>
      <c r="AY17" s="20"/>
      <c r="AZ17" s="14"/>
      <c r="BA17" s="12"/>
      <c r="BB17" s="12"/>
      <c r="BC17" s="12"/>
      <c r="BD17" s="17"/>
      <c r="BE17" s="12"/>
      <c r="BF17" s="17"/>
      <c r="BG17" s="17"/>
      <c r="BH17" s="12"/>
      <c r="BI17" s="12"/>
    </row>
    <row r="18" spans="25:61" s="13" customFormat="1" x14ac:dyDescent="0.2">
      <c r="Y18" s="12"/>
      <c r="Z18" s="12"/>
      <c r="AA18" s="12"/>
      <c r="AB18" s="12"/>
      <c r="AC18" s="12"/>
      <c r="AD18" s="12"/>
      <c r="AE18" s="12"/>
      <c r="AF18" s="12"/>
      <c r="AG18" s="12"/>
      <c r="AH18" s="12"/>
      <c r="AI18" s="12"/>
      <c r="AJ18" s="12"/>
      <c r="AK18" s="12"/>
      <c r="AL18" s="12"/>
      <c r="AM18" s="12"/>
      <c r="AN18" s="12"/>
      <c r="AO18" s="12"/>
      <c r="AP18" s="12"/>
      <c r="AQ18" s="22"/>
      <c r="AR18" s="18"/>
      <c r="AS18" s="12"/>
      <c r="AT18" s="12"/>
      <c r="AU18" s="20"/>
      <c r="AV18" s="20"/>
      <c r="AW18" s="20"/>
      <c r="AX18" s="14"/>
      <c r="AY18" s="20"/>
      <c r="AZ18" s="14"/>
      <c r="BA18" s="12"/>
      <c r="BB18" s="12"/>
      <c r="BC18" s="12"/>
      <c r="BD18" s="17"/>
      <c r="BE18" s="12"/>
      <c r="BF18" s="17"/>
      <c r="BG18" s="17"/>
      <c r="BH18" s="12"/>
      <c r="BI18" s="12"/>
    </row>
    <row r="19" spans="25:61" s="13" customFormat="1" x14ac:dyDescent="0.2">
      <c r="Y19" s="12"/>
      <c r="Z19" s="12"/>
      <c r="AA19" s="12"/>
      <c r="AB19" s="12"/>
      <c r="AC19" s="12"/>
      <c r="AD19" s="12"/>
      <c r="AE19" s="12"/>
      <c r="AF19" s="12"/>
      <c r="AG19" s="12"/>
      <c r="AH19" s="12"/>
      <c r="AI19" s="12"/>
      <c r="AJ19" s="12"/>
      <c r="AK19" s="12"/>
      <c r="AL19" s="12"/>
      <c r="AM19" s="12"/>
      <c r="AN19" s="12"/>
      <c r="AO19" s="12"/>
      <c r="AP19" s="12"/>
      <c r="AQ19" s="22"/>
      <c r="AR19" s="18"/>
      <c r="AS19" s="12"/>
      <c r="AT19" s="12"/>
      <c r="AU19" s="20"/>
      <c r="AV19" s="20"/>
      <c r="AW19" s="20"/>
      <c r="AX19" s="14"/>
      <c r="AY19" s="20"/>
      <c r="AZ19" s="14"/>
      <c r="BA19" s="12"/>
      <c r="BB19" s="12"/>
      <c r="BC19" s="12"/>
      <c r="BD19" s="17"/>
      <c r="BE19" s="12"/>
      <c r="BF19" s="17"/>
      <c r="BG19" s="17"/>
      <c r="BH19" s="12"/>
      <c r="BI19" s="12"/>
    </row>
    <row r="20" spans="25:61" s="13" customFormat="1" x14ac:dyDescent="0.2">
      <c r="Y20" s="12"/>
      <c r="Z20" s="12"/>
      <c r="AA20" s="12"/>
      <c r="AB20" s="12"/>
      <c r="AC20" s="12"/>
      <c r="AD20" s="12"/>
      <c r="AE20" s="12"/>
      <c r="AF20" s="12"/>
      <c r="AG20" s="12"/>
      <c r="AH20" s="12"/>
      <c r="AI20" s="12"/>
      <c r="AJ20" s="12"/>
      <c r="AK20" s="12"/>
      <c r="AL20" s="12"/>
      <c r="AM20" s="12"/>
      <c r="AN20" s="12"/>
      <c r="AO20" s="12"/>
      <c r="AP20" s="12"/>
      <c r="AQ20" s="22"/>
      <c r="AR20" s="18"/>
      <c r="AS20" s="12"/>
      <c r="AT20" s="12"/>
      <c r="AU20" s="20"/>
      <c r="AV20" s="20"/>
      <c r="AW20" s="20"/>
      <c r="AX20" s="14"/>
      <c r="AY20" s="20"/>
      <c r="AZ20" s="14"/>
      <c r="BA20" s="12"/>
      <c r="BB20" s="12"/>
      <c r="BC20" s="12"/>
      <c r="BD20" s="17"/>
      <c r="BE20" s="12"/>
      <c r="BF20" s="17"/>
      <c r="BG20" s="17"/>
      <c r="BH20" s="12"/>
      <c r="BI20" s="12"/>
    </row>
    <row r="21" spans="25:61" s="13" customFormat="1" x14ac:dyDescent="0.2">
      <c r="Y21" s="12"/>
      <c r="Z21" s="12"/>
      <c r="AA21" s="12"/>
      <c r="AB21" s="12"/>
      <c r="AC21" s="12"/>
      <c r="AD21" s="12"/>
      <c r="AE21" s="12"/>
      <c r="AF21" s="12"/>
      <c r="AG21" s="12"/>
      <c r="AH21" s="12"/>
      <c r="AI21" s="12"/>
      <c r="AJ21" s="12"/>
      <c r="AK21" s="12"/>
      <c r="AL21" s="12"/>
      <c r="AM21" s="12"/>
      <c r="AN21" s="12"/>
      <c r="AO21" s="12"/>
      <c r="AP21" s="12"/>
      <c r="AQ21" s="22"/>
      <c r="AR21" s="18"/>
      <c r="AS21" s="12"/>
      <c r="AT21" s="12"/>
      <c r="AU21" s="20"/>
      <c r="AV21" s="20"/>
      <c r="AW21" s="20"/>
      <c r="AX21" s="14"/>
      <c r="AY21" s="20"/>
      <c r="AZ21" s="14"/>
      <c r="BA21" s="12"/>
      <c r="BB21" s="12"/>
      <c r="BC21" s="12"/>
      <c r="BD21" s="17"/>
      <c r="BE21" s="12"/>
      <c r="BF21" s="17"/>
      <c r="BG21" s="17"/>
      <c r="BH21" s="12"/>
      <c r="BI21" s="12"/>
    </row>
    <row r="22" spans="25:61" s="13" customFormat="1" x14ac:dyDescent="0.2">
      <c r="Y22" s="12"/>
      <c r="Z22" s="12"/>
      <c r="AA22" s="12"/>
      <c r="AB22" s="12"/>
      <c r="AC22" s="12"/>
      <c r="AD22" s="12"/>
      <c r="AE22" s="12"/>
      <c r="AF22" s="12"/>
      <c r="AG22" s="12"/>
      <c r="AH22" s="12"/>
      <c r="AI22" s="12"/>
      <c r="AJ22" s="12"/>
      <c r="AK22" s="12"/>
      <c r="AL22" s="12"/>
      <c r="AM22" s="12"/>
      <c r="AN22" s="12"/>
      <c r="AO22" s="12"/>
      <c r="AP22" s="12"/>
      <c r="AQ22" s="22"/>
      <c r="AR22" s="18"/>
      <c r="AS22" s="12"/>
      <c r="AT22" s="12"/>
      <c r="AU22" s="20"/>
      <c r="AV22" s="20"/>
      <c r="AW22" s="20"/>
      <c r="AX22" s="14"/>
      <c r="AY22" s="20"/>
      <c r="AZ22" s="14"/>
      <c r="BA22" s="12"/>
      <c r="BB22" s="12"/>
      <c r="BC22" s="12"/>
      <c r="BD22" s="17"/>
      <c r="BE22" s="12"/>
      <c r="BF22" s="17"/>
      <c r="BG22" s="17"/>
      <c r="BH22" s="12"/>
      <c r="BI22" s="12"/>
    </row>
    <row r="23" spans="25:61" s="13" customFormat="1" x14ac:dyDescent="0.2">
      <c r="Y23" s="12"/>
      <c r="Z23" s="12"/>
      <c r="AA23" s="12"/>
      <c r="AB23" s="12"/>
      <c r="AC23" s="12"/>
      <c r="AD23" s="12"/>
      <c r="AE23" s="12"/>
      <c r="AF23" s="12"/>
      <c r="AG23" s="12"/>
      <c r="AH23" s="12"/>
      <c r="AI23" s="12"/>
      <c r="AJ23" s="12"/>
      <c r="AK23" s="12"/>
      <c r="AL23" s="12"/>
      <c r="AM23" s="12"/>
      <c r="AN23" s="12"/>
      <c r="AO23" s="12"/>
      <c r="AP23" s="12"/>
      <c r="AQ23" s="22"/>
      <c r="AR23" s="18"/>
      <c r="AS23" s="12"/>
      <c r="AT23" s="12"/>
      <c r="AU23" s="20"/>
      <c r="AV23" s="20"/>
      <c r="AW23" s="20"/>
      <c r="AX23" s="14"/>
      <c r="AY23" s="20"/>
      <c r="AZ23" s="14"/>
      <c r="BA23" s="12"/>
      <c r="BB23" s="12"/>
      <c r="BC23" s="12"/>
      <c r="BD23" s="17"/>
      <c r="BE23" s="12"/>
      <c r="BF23" s="17"/>
      <c r="BG23" s="17"/>
      <c r="BH23" s="12"/>
      <c r="BI23" s="12"/>
    </row>
    <row r="24" spans="25:61" s="13" customFormat="1" x14ac:dyDescent="0.2">
      <c r="Y24" s="12"/>
      <c r="Z24" s="12"/>
      <c r="AA24" s="12"/>
      <c r="AB24" s="12"/>
      <c r="AC24" s="12"/>
      <c r="AD24" s="12"/>
      <c r="AE24" s="12"/>
      <c r="AF24" s="12"/>
      <c r="AG24" s="12"/>
      <c r="AH24" s="12"/>
      <c r="AI24" s="12"/>
      <c r="AJ24" s="12"/>
      <c r="AK24" s="12"/>
      <c r="AL24" s="12"/>
      <c r="AM24" s="12"/>
      <c r="AN24" s="12"/>
      <c r="AO24" s="12"/>
      <c r="AP24" s="12"/>
      <c r="AQ24" s="22"/>
      <c r="AR24" s="18"/>
      <c r="AS24" s="12"/>
      <c r="AT24" s="12"/>
      <c r="AU24" s="20"/>
      <c r="AV24" s="20"/>
      <c r="AW24" s="20"/>
      <c r="AX24" s="14"/>
      <c r="AY24" s="20"/>
      <c r="AZ24" s="14"/>
      <c r="BA24" s="12"/>
      <c r="BB24" s="12"/>
      <c r="BC24" s="12"/>
      <c r="BD24" s="17"/>
      <c r="BE24" s="12"/>
      <c r="BF24" s="17"/>
      <c r="BG24" s="17"/>
      <c r="BH24" s="12"/>
      <c r="BI24" s="12"/>
    </row>
    <row r="25" spans="25:61" s="13" customFormat="1" x14ac:dyDescent="0.2">
      <c r="Y25" s="12"/>
      <c r="Z25" s="12"/>
      <c r="AA25" s="12"/>
      <c r="AB25" s="12"/>
      <c r="AC25" s="12"/>
      <c r="AD25" s="12"/>
      <c r="AE25" s="12"/>
      <c r="AF25" s="12"/>
      <c r="AG25" s="12"/>
      <c r="AH25" s="12"/>
      <c r="AI25" s="12"/>
      <c r="AJ25" s="12"/>
      <c r="AK25" s="12"/>
      <c r="AL25" s="12"/>
      <c r="AM25" s="12"/>
      <c r="AN25" s="12"/>
      <c r="AO25" s="12"/>
      <c r="AP25" s="12"/>
      <c r="AQ25" s="22"/>
      <c r="AR25" s="18"/>
      <c r="AS25" s="12"/>
      <c r="AT25" s="12"/>
      <c r="AU25" s="20"/>
      <c r="AV25" s="20"/>
      <c r="AW25" s="20"/>
      <c r="AX25" s="14"/>
      <c r="AY25" s="20"/>
      <c r="AZ25" s="14"/>
      <c r="BA25" s="12"/>
      <c r="BB25" s="12"/>
      <c r="BC25" s="12"/>
      <c r="BD25" s="17"/>
      <c r="BE25" s="12"/>
      <c r="BF25" s="17"/>
      <c r="BG25" s="17"/>
      <c r="BH25" s="12"/>
      <c r="BI25" s="12"/>
    </row>
    <row r="26" spans="25:61" s="13" customFormat="1" x14ac:dyDescent="0.2">
      <c r="Y26" s="12"/>
      <c r="Z26" s="12"/>
      <c r="AA26" s="12"/>
      <c r="AB26" s="12"/>
      <c r="AC26" s="12"/>
      <c r="AD26" s="12"/>
      <c r="AE26" s="12"/>
      <c r="AF26" s="12"/>
      <c r="AG26" s="12"/>
      <c r="AH26" s="12"/>
      <c r="AI26" s="12"/>
      <c r="AJ26" s="12"/>
      <c r="AK26" s="12"/>
      <c r="AL26" s="12"/>
      <c r="AM26" s="12"/>
      <c r="AN26" s="12"/>
      <c r="AO26" s="12"/>
      <c r="AP26" s="12"/>
      <c r="AQ26" s="22"/>
      <c r="AR26" s="18"/>
      <c r="AS26" s="12"/>
      <c r="AT26" s="12"/>
      <c r="AU26" s="20"/>
      <c r="AV26" s="20"/>
      <c r="AW26" s="20"/>
      <c r="AX26" s="14"/>
      <c r="AY26" s="20"/>
      <c r="AZ26" s="14"/>
      <c r="BA26" s="12"/>
      <c r="BB26" s="12"/>
      <c r="BC26" s="12"/>
      <c r="BD26" s="17"/>
      <c r="BE26" s="12"/>
      <c r="BF26" s="17"/>
      <c r="BG26" s="17"/>
      <c r="BH26" s="12"/>
      <c r="BI26" s="12"/>
    </row>
    <row r="27" spans="25:61" s="13" customFormat="1" x14ac:dyDescent="0.2">
      <c r="Y27" s="12"/>
      <c r="Z27" s="12"/>
      <c r="AA27" s="12"/>
      <c r="AB27" s="12"/>
      <c r="AC27" s="12"/>
      <c r="AD27" s="12"/>
      <c r="AE27" s="12"/>
      <c r="AF27" s="12"/>
      <c r="AG27" s="12"/>
      <c r="AH27" s="12"/>
      <c r="AI27" s="12"/>
      <c r="AJ27" s="12"/>
      <c r="AK27" s="12"/>
      <c r="AL27" s="12"/>
      <c r="AM27" s="12"/>
      <c r="AN27" s="12"/>
      <c r="AO27" s="12"/>
      <c r="AP27" s="12"/>
      <c r="AQ27" s="22"/>
      <c r="AR27" s="18"/>
      <c r="AS27" s="12"/>
      <c r="AT27" s="12"/>
      <c r="AU27" s="20"/>
      <c r="AV27" s="20"/>
      <c r="AW27" s="20"/>
      <c r="AX27" s="14"/>
      <c r="AY27" s="20"/>
      <c r="AZ27" s="14"/>
      <c r="BA27" s="12"/>
      <c r="BB27" s="12"/>
      <c r="BC27" s="12"/>
      <c r="BD27" s="17"/>
      <c r="BE27" s="12"/>
      <c r="BF27" s="17"/>
      <c r="BG27" s="17"/>
      <c r="BH27" s="12"/>
      <c r="BI27" s="12"/>
    </row>
    <row r="28" spans="25:61" s="13" customFormat="1" x14ac:dyDescent="0.2">
      <c r="Y28" s="12"/>
      <c r="Z28" s="12"/>
      <c r="AA28" s="12"/>
      <c r="AB28" s="12"/>
      <c r="AC28" s="12"/>
      <c r="AD28" s="12"/>
      <c r="AE28" s="12"/>
      <c r="AF28" s="12"/>
      <c r="AG28" s="12"/>
      <c r="AH28" s="12"/>
      <c r="AI28" s="12"/>
      <c r="AJ28" s="12"/>
      <c r="AK28" s="12"/>
      <c r="AL28" s="12"/>
      <c r="AM28" s="12"/>
      <c r="AN28" s="12"/>
      <c r="AO28" s="12"/>
      <c r="AP28" s="12"/>
      <c r="AQ28" s="22"/>
      <c r="AR28" s="18"/>
      <c r="AS28" s="12"/>
      <c r="AT28" s="12"/>
      <c r="AU28" s="20"/>
      <c r="AV28" s="20"/>
      <c r="AW28" s="20"/>
      <c r="AX28" s="14"/>
      <c r="AY28" s="20"/>
      <c r="AZ28" s="14"/>
      <c r="BA28" s="12"/>
      <c r="BB28" s="12"/>
      <c r="BC28" s="12"/>
      <c r="BD28" s="17"/>
      <c r="BE28" s="12"/>
      <c r="BF28" s="17"/>
      <c r="BG28" s="17"/>
      <c r="BH28" s="12"/>
      <c r="BI28" s="12"/>
    </row>
    <row r="29" spans="25:61" s="13" customFormat="1" x14ac:dyDescent="0.2">
      <c r="Y29" s="12"/>
      <c r="Z29" s="12"/>
      <c r="AA29" s="12"/>
      <c r="AB29" s="12"/>
      <c r="AC29" s="12"/>
      <c r="AD29" s="12"/>
      <c r="AE29" s="12"/>
      <c r="AF29" s="12"/>
      <c r="AG29" s="12"/>
      <c r="AH29" s="12"/>
      <c r="AI29" s="12"/>
      <c r="AJ29" s="12"/>
      <c r="AK29" s="12"/>
      <c r="AL29" s="12"/>
      <c r="AM29" s="12"/>
      <c r="AN29" s="12"/>
      <c r="AO29" s="12"/>
      <c r="AP29" s="12"/>
      <c r="AQ29" s="22"/>
      <c r="AR29" s="18"/>
      <c r="AS29" s="12"/>
      <c r="AT29" s="12"/>
      <c r="AU29" s="20"/>
      <c r="AV29" s="20"/>
      <c r="AW29" s="20"/>
      <c r="AX29" s="14"/>
      <c r="AY29" s="20"/>
      <c r="AZ29" s="14"/>
      <c r="BA29" s="12"/>
      <c r="BB29" s="12"/>
      <c r="BC29" s="12"/>
      <c r="BD29" s="17"/>
      <c r="BE29" s="12"/>
      <c r="BF29" s="17"/>
      <c r="BG29" s="17"/>
      <c r="BH29" s="12"/>
      <c r="BI29" s="12"/>
    </row>
    <row r="30" spans="25:61" s="13" customFormat="1" x14ac:dyDescent="0.2">
      <c r="Y30" s="12"/>
      <c r="Z30" s="12"/>
      <c r="AA30" s="12"/>
      <c r="AB30" s="12"/>
      <c r="AC30" s="12"/>
      <c r="AD30" s="12"/>
      <c r="AE30" s="12"/>
      <c r="AF30" s="12"/>
      <c r="AG30" s="12"/>
      <c r="AH30" s="12"/>
      <c r="AI30" s="12"/>
      <c r="AJ30" s="12"/>
      <c r="AK30" s="12"/>
      <c r="AL30" s="12"/>
      <c r="AM30" s="12"/>
      <c r="AN30" s="12"/>
      <c r="AO30" s="12"/>
      <c r="AP30" s="12"/>
      <c r="AQ30" s="22"/>
      <c r="AR30" s="18"/>
      <c r="AS30" s="12"/>
      <c r="AT30" s="12"/>
      <c r="AU30" s="20"/>
      <c r="AV30" s="20"/>
      <c r="AW30" s="20"/>
      <c r="AX30" s="14"/>
      <c r="AY30" s="20"/>
      <c r="AZ30" s="14"/>
      <c r="BA30" s="12"/>
      <c r="BB30" s="12"/>
      <c r="BC30" s="12"/>
      <c r="BD30" s="17"/>
      <c r="BE30" s="12"/>
      <c r="BF30" s="17"/>
      <c r="BG30" s="17"/>
      <c r="BH30" s="12"/>
      <c r="BI30" s="12"/>
    </row>
    <row r="31" spans="25:61" s="13" customFormat="1" x14ac:dyDescent="0.2">
      <c r="Y31" s="12"/>
      <c r="Z31" s="12"/>
      <c r="AA31" s="12"/>
      <c r="AB31" s="12"/>
      <c r="AC31" s="12"/>
      <c r="AD31" s="12"/>
      <c r="AE31" s="12"/>
      <c r="AF31" s="12"/>
      <c r="AG31" s="12"/>
      <c r="AH31" s="12"/>
      <c r="AI31" s="12"/>
      <c r="AJ31" s="12"/>
      <c r="AK31" s="12"/>
      <c r="AL31" s="12"/>
      <c r="AM31" s="12"/>
      <c r="AN31" s="12"/>
      <c r="AO31" s="12"/>
      <c r="AP31" s="12"/>
      <c r="AQ31" s="22"/>
      <c r="AR31" s="18"/>
      <c r="AS31" s="12"/>
      <c r="AT31" s="12"/>
      <c r="AU31" s="20"/>
      <c r="AV31" s="20"/>
      <c r="AW31" s="20"/>
      <c r="AX31" s="14"/>
      <c r="AY31" s="20"/>
      <c r="AZ31" s="14"/>
      <c r="BA31" s="12"/>
      <c r="BB31" s="12"/>
      <c r="BC31" s="12"/>
      <c r="BD31" s="17"/>
      <c r="BE31" s="12"/>
      <c r="BF31" s="17"/>
      <c r="BG31" s="17"/>
      <c r="BH31" s="12"/>
      <c r="BI31" s="12"/>
    </row>
    <row r="32" spans="25:61" s="13" customFormat="1" x14ac:dyDescent="0.2">
      <c r="Y32" s="12"/>
      <c r="Z32" s="12"/>
      <c r="AA32" s="1"/>
      <c r="AB32" s="12"/>
      <c r="AC32" s="12"/>
      <c r="AD32" s="12"/>
      <c r="AE32" s="12"/>
      <c r="AF32" s="12"/>
      <c r="AG32" s="12"/>
      <c r="AH32" s="12"/>
      <c r="AI32" s="12"/>
      <c r="AJ32" s="12"/>
      <c r="AK32" s="1"/>
      <c r="AL32" s="12"/>
      <c r="AM32" s="12"/>
      <c r="AN32" s="12"/>
      <c r="AO32" s="12"/>
      <c r="AP32" s="12"/>
      <c r="AQ32" s="22"/>
      <c r="AR32" s="18"/>
      <c r="AS32" s="12"/>
      <c r="AT32" s="12"/>
      <c r="AU32" s="20"/>
      <c r="AV32" s="20"/>
      <c r="AW32" s="20"/>
      <c r="AX32" s="14"/>
      <c r="AY32" s="20"/>
      <c r="AZ32" s="14"/>
      <c r="BA32" s="12"/>
      <c r="BB32" s="12"/>
      <c r="BC32" s="12"/>
      <c r="BD32" s="17"/>
      <c r="BE32" s="12"/>
      <c r="BF32" s="17"/>
      <c r="BG32" s="17"/>
      <c r="BH32" s="12"/>
      <c r="BI32" s="12"/>
    </row>
    <row r="33" spans="25:61" s="13" customFormat="1" x14ac:dyDescent="0.2">
      <c r="Y33" s="1"/>
      <c r="Z33" s="1"/>
      <c r="AA33" s="1"/>
      <c r="AB33" s="1"/>
      <c r="AC33" s="1"/>
      <c r="AD33" s="1"/>
      <c r="AE33" s="1"/>
      <c r="AF33" s="1"/>
      <c r="AG33" s="1"/>
      <c r="AH33" s="1"/>
      <c r="AI33" s="1"/>
      <c r="AJ33" s="1"/>
      <c r="AK33" s="1"/>
      <c r="AL33" s="1"/>
      <c r="AM33" s="1"/>
      <c r="AN33" s="1"/>
      <c r="AO33" s="1"/>
      <c r="AP33" s="1"/>
      <c r="AQ33" s="2"/>
      <c r="AR33" s="3"/>
      <c r="AS33" s="1"/>
      <c r="AT33" s="1"/>
      <c r="AU33" s="4"/>
      <c r="AV33" s="4"/>
      <c r="AW33" s="4"/>
      <c r="AX33" s="5"/>
      <c r="AY33" s="4"/>
      <c r="AZ33" s="5"/>
      <c r="BA33" s="1"/>
      <c r="BB33" s="1"/>
      <c r="BC33" s="1"/>
      <c r="BD33" s="6"/>
      <c r="BE33" s="1"/>
      <c r="BF33" s="6"/>
      <c r="BG33" s="6"/>
      <c r="BH33" s="1"/>
      <c r="BI33" s="1"/>
    </row>
    <row r="34" spans="25:61" s="13" customFormat="1" x14ac:dyDescent="0.2">
      <c r="Y34" s="1"/>
      <c r="Z34" s="1"/>
      <c r="AA34" s="1"/>
      <c r="AB34" s="1"/>
      <c r="AC34" s="1"/>
      <c r="AD34" s="1"/>
      <c r="AE34" s="1"/>
      <c r="AF34" s="1"/>
      <c r="AG34" s="1"/>
      <c r="AH34" s="1"/>
      <c r="AI34" s="1"/>
      <c r="AJ34" s="1"/>
      <c r="AK34" s="1"/>
      <c r="AL34" s="1"/>
      <c r="AM34" s="1"/>
      <c r="AN34" s="1"/>
      <c r="AO34" s="1"/>
      <c r="AP34" s="1"/>
      <c r="AQ34" s="2"/>
      <c r="AR34" s="3"/>
      <c r="AS34" s="1"/>
      <c r="AT34" s="1"/>
      <c r="AU34" s="4"/>
      <c r="AV34" s="4"/>
      <c r="AW34" s="4"/>
      <c r="AX34" s="5"/>
      <c r="AY34" s="4"/>
      <c r="AZ34" s="5"/>
      <c r="BA34" s="1"/>
      <c r="BB34" s="1"/>
      <c r="BC34" s="1"/>
      <c r="BD34" s="6"/>
      <c r="BE34" s="1"/>
      <c r="BF34" s="6"/>
      <c r="BG34" s="6"/>
      <c r="BH34" s="1"/>
      <c r="BI34" s="1"/>
    </row>
    <row r="35" spans="25:61" s="13" customFormat="1" x14ac:dyDescent="0.2">
      <c r="Y35" s="1"/>
      <c r="Z35" s="1"/>
      <c r="AA35" s="1"/>
      <c r="AB35" s="1"/>
      <c r="AC35" s="1"/>
      <c r="AD35" s="1"/>
      <c r="AE35" s="1"/>
      <c r="AF35" s="1"/>
      <c r="AG35" s="1"/>
      <c r="AH35" s="1"/>
      <c r="AI35" s="1"/>
      <c r="AJ35" s="1"/>
      <c r="AK35" s="1"/>
      <c r="AL35" s="1"/>
      <c r="AM35" s="1"/>
      <c r="AN35" s="1"/>
      <c r="AO35" s="1"/>
      <c r="AP35" s="1"/>
      <c r="AQ35" s="2"/>
      <c r="AR35" s="3"/>
      <c r="AS35" s="1"/>
      <c r="AT35" s="1"/>
      <c r="AU35" s="4"/>
      <c r="AV35" s="4"/>
      <c r="AW35" s="4"/>
      <c r="AX35" s="5"/>
      <c r="AY35" s="4"/>
      <c r="AZ35" s="5"/>
      <c r="BA35" s="1"/>
      <c r="BB35" s="1"/>
      <c r="BC35" s="1"/>
      <c r="BD35" s="6"/>
      <c r="BE35" s="1"/>
      <c r="BF35" s="6"/>
      <c r="BG35" s="6"/>
      <c r="BH35" s="1"/>
      <c r="BI35" s="1"/>
    </row>
    <row r="36" spans="25:61" s="13" customFormat="1" x14ac:dyDescent="0.2">
      <c r="Y36" s="1"/>
      <c r="Z36" s="1"/>
      <c r="AA36" s="1"/>
      <c r="AB36" s="1"/>
      <c r="AC36" s="1"/>
      <c r="AD36" s="1"/>
      <c r="AE36" s="1"/>
      <c r="AF36" s="1"/>
      <c r="AG36" s="1"/>
      <c r="AH36" s="1"/>
      <c r="AI36" s="1"/>
      <c r="AJ36" s="1"/>
      <c r="AK36" s="1"/>
      <c r="AL36" s="1"/>
      <c r="AM36" s="1"/>
      <c r="AN36" s="1"/>
      <c r="AO36" s="1"/>
      <c r="AP36" s="1"/>
      <c r="AQ36" s="2"/>
      <c r="AR36" s="3"/>
      <c r="AS36" s="1"/>
      <c r="AT36" s="1"/>
      <c r="AU36" s="4"/>
      <c r="AV36" s="4"/>
      <c r="AW36" s="4"/>
      <c r="AX36" s="5"/>
      <c r="AY36" s="4"/>
      <c r="AZ36" s="5"/>
      <c r="BA36" s="1"/>
      <c r="BB36" s="1"/>
      <c r="BC36" s="1"/>
      <c r="BD36" s="6"/>
      <c r="BE36" s="1"/>
      <c r="BF36" s="6"/>
      <c r="BG36" s="6"/>
      <c r="BH36" s="1"/>
      <c r="BI36" s="1"/>
    </row>
    <row r="37" spans="25:61" s="13" customFormat="1" x14ac:dyDescent="0.2">
      <c r="Y37" s="1"/>
      <c r="Z37" s="1"/>
      <c r="AA37" s="1"/>
      <c r="AB37" s="1"/>
      <c r="AC37" s="1"/>
      <c r="AD37" s="1"/>
      <c r="AE37" s="1"/>
      <c r="AF37" s="1"/>
      <c r="AG37" s="1"/>
      <c r="AH37" s="1"/>
      <c r="AI37" s="1"/>
      <c r="AJ37" s="1"/>
      <c r="AK37" s="1"/>
      <c r="AL37" s="1"/>
      <c r="AM37" s="1"/>
      <c r="AN37" s="1"/>
      <c r="AO37" s="1"/>
      <c r="AP37" s="1"/>
      <c r="AQ37" s="2"/>
      <c r="AR37" s="3"/>
      <c r="AS37" s="1"/>
      <c r="AT37" s="1"/>
      <c r="AU37" s="4"/>
      <c r="AV37" s="4"/>
      <c r="AW37" s="4"/>
      <c r="AX37" s="5"/>
      <c r="AY37" s="4"/>
      <c r="AZ37" s="5"/>
      <c r="BA37" s="1"/>
      <c r="BB37" s="1"/>
      <c r="BC37" s="1"/>
      <c r="BD37" s="6"/>
      <c r="BE37" s="1"/>
      <c r="BF37" s="6"/>
      <c r="BG37" s="6"/>
      <c r="BH37" s="1"/>
      <c r="BI37" s="1"/>
    </row>
    <row r="38" spans="25:61" s="13" customFormat="1" x14ac:dyDescent="0.2">
      <c r="Y38" s="1"/>
      <c r="Z38" s="1"/>
      <c r="AA38" s="1"/>
      <c r="AB38" s="1"/>
      <c r="AC38" s="1"/>
      <c r="AD38" s="1"/>
      <c r="AE38" s="1"/>
      <c r="AF38" s="1"/>
      <c r="AG38" s="1"/>
      <c r="AH38" s="1"/>
      <c r="AI38" s="1"/>
      <c r="AJ38" s="1"/>
      <c r="AK38" s="1"/>
      <c r="AL38" s="1"/>
      <c r="AM38" s="1"/>
      <c r="AN38" s="1"/>
      <c r="AO38" s="1"/>
      <c r="AP38" s="1"/>
      <c r="AQ38" s="2"/>
      <c r="AR38" s="3"/>
      <c r="AS38" s="1"/>
      <c r="AT38" s="1"/>
      <c r="AU38" s="4"/>
      <c r="AV38" s="4"/>
      <c r="AW38" s="4"/>
      <c r="AX38" s="5"/>
      <c r="AY38" s="4"/>
      <c r="AZ38" s="5"/>
      <c r="BA38" s="1"/>
      <c r="BB38" s="1"/>
      <c r="BC38" s="1"/>
      <c r="BD38" s="6"/>
      <c r="BE38" s="1"/>
      <c r="BF38" s="6"/>
      <c r="BG38" s="6"/>
      <c r="BH38" s="1"/>
      <c r="BI38" s="1"/>
    </row>
    <row r="39" spans="25:61" s="13" customFormat="1" x14ac:dyDescent="0.2">
      <c r="Y39" s="1"/>
      <c r="Z39" s="1"/>
      <c r="AA39" s="1"/>
      <c r="AB39" s="1"/>
      <c r="AC39" s="1"/>
      <c r="AD39" s="1"/>
      <c r="AE39" s="1"/>
      <c r="AF39" s="1"/>
      <c r="AG39" s="1"/>
      <c r="AH39" s="1"/>
      <c r="AI39" s="1"/>
      <c r="AJ39" s="1"/>
      <c r="AK39" s="1"/>
      <c r="AL39" s="1"/>
      <c r="AM39" s="1"/>
      <c r="AN39" s="1"/>
      <c r="AO39" s="1"/>
      <c r="AP39" s="1"/>
      <c r="AQ39" s="2"/>
      <c r="AR39" s="3"/>
      <c r="AS39" s="1"/>
      <c r="AT39" s="1"/>
      <c r="AU39" s="4"/>
      <c r="AV39" s="4"/>
      <c r="AW39" s="4"/>
      <c r="AX39" s="5"/>
      <c r="AY39" s="4"/>
      <c r="AZ39" s="5"/>
      <c r="BA39" s="1"/>
      <c r="BB39" s="1"/>
      <c r="BC39" s="1"/>
      <c r="BD39" s="6"/>
      <c r="BE39" s="1"/>
      <c r="BF39" s="6"/>
      <c r="BG39" s="6"/>
      <c r="BH39" s="1"/>
      <c r="BI39" s="1"/>
    </row>
    <row r="40" spans="25:61" s="13" customFormat="1" x14ac:dyDescent="0.2">
      <c r="Y40" s="1"/>
      <c r="Z40" s="1"/>
      <c r="AA40" s="1"/>
      <c r="AB40" s="1"/>
      <c r="AC40" s="1"/>
      <c r="AD40" s="1"/>
      <c r="AE40" s="1"/>
      <c r="AF40" s="1"/>
      <c r="AG40" s="1"/>
      <c r="AH40" s="1"/>
      <c r="AI40" s="1"/>
      <c r="AJ40" s="1"/>
      <c r="AK40" s="1"/>
      <c r="AL40" s="1"/>
      <c r="AM40" s="1"/>
      <c r="AN40" s="1"/>
      <c r="AO40" s="1"/>
      <c r="AP40" s="1"/>
      <c r="AQ40" s="2"/>
      <c r="AR40" s="3"/>
      <c r="AS40" s="1"/>
      <c r="AT40" s="1"/>
      <c r="AU40" s="4"/>
      <c r="AV40" s="4"/>
      <c r="AW40" s="4"/>
      <c r="AX40" s="5"/>
      <c r="AY40" s="4"/>
      <c r="AZ40" s="5"/>
      <c r="BA40" s="1"/>
      <c r="BB40" s="1"/>
      <c r="BC40" s="1"/>
      <c r="BD40" s="6"/>
      <c r="BE40" s="1"/>
      <c r="BF40" s="6"/>
      <c r="BG40" s="6"/>
      <c r="BH40" s="1"/>
      <c r="BI40" s="1"/>
    </row>
    <row r="41" spans="25:61" s="13" customFormat="1" x14ac:dyDescent="0.2">
      <c r="Y41" s="1"/>
      <c r="Z41" s="1"/>
      <c r="AA41" s="1"/>
      <c r="AB41" s="1"/>
      <c r="AC41" s="1"/>
      <c r="AD41" s="1"/>
      <c r="AE41" s="1"/>
      <c r="AF41" s="1"/>
      <c r="AG41" s="1"/>
      <c r="AH41" s="1"/>
      <c r="AI41" s="1"/>
      <c r="AJ41" s="1"/>
      <c r="AK41" s="1"/>
      <c r="AL41" s="1"/>
      <c r="AM41" s="1"/>
      <c r="AN41" s="1"/>
      <c r="AO41" s="1"/>
      <c r="AP41" s="1"/>
      <c r="AQ41" s="2"/>
      <c r="AR41" s="3"/>
      <c r="AS41" s="1"/>
      <c r="AT41" s="1"/>
      <c r="AU41" s="4"/>
      <c r="AV41" s="4"/>
      <c r="AW41" s="4"/>
      <c r="AX41" s="5"/>
      <c r="AY41" s="4"/>
      <c r="AZ41" s="5"/>
      <c r="BA41" s="1"/>
      <c r="BB41" s="1"/>
      <c r="BC41" s="1"/>
      <c r="BD41" s="6"/>
      <c r="BE41" s="1"/>
      <c r="BF41" s="6"/>
      <c r="BG41" s="6"/>
      <c r="BH41" s="1"/>
      <c r="BI41" s="1"/>
    </row>
    <row r="42" spans="25:61" s="13" customFormat="1" x14ac:dyDescent="0.2">
      <c r="Y42" s="1"/>
      <c r="Z42" s="1"/>
      <c r="AA42" s="1"/>
      <c r="AB42" s="1"/>
      <c r="AC42" s="1"/>
      <c r="AD42" s="1"/>
      <c r="AE42" s="1"/>
      <c r="AF42" s="1"/>
      <c r="AG42" s="1"/>
      <c r="AH42" s="1"/>
      <c r="AI42" s="1"/>
      <c r="AJ42" s="1"/>
      <c r="AK42" s="1"/>
      <c r="AL42" s="1"/>
      <c r="AM42" s="1"/>
      <c r="AN42" s="1"/>
      <c r="AO42" s="1"/>
      <c r="AP42" s="1"/>
      <c r="AQ42" s="2"/>
      <c r="AR42" s="3"/>
      <c r="AS42" s="1"/>
      <c r="AT42" s="1"/>
      <c r="AU42" s="4"/>
      <c r="AV42" s="4"/>
      <c r="AW42" s="4"/>
      <c r="AX42" s="5"/>
      <c r="AY42" s="4"/>
      <c r="AZ42" s="5"/>
      <c r="BA42" s="1"/>
      <c r="BB42" s="1"/>
      <c r="BC42" s="1"/>
      <c r="BD42" s="6"/>
      <c r="BE42" s="1"/>
      <c r="BF42" s="6"/>
      <c r="BG42" s="6"/>
      <c r="BH42" s="1"/>
      <c r="BI42" s="1"/>
    </row>
    <row r="43" spans="25:61" s="13" customFormat="1" x14ac:dyDescent="0.2">
      <c r="Y43" s="1"/>
      <c r="Z43" s="1"/>
      <c r="AA43" s="1"/>
      <c r="AB43" s="1"/>
      <c r="AC43" s="1"/>
      <c r="AD43" s="1"/>
      <c r="AE43" s="1"/>
      <c r="AF43" s="1"/>
      <c r="AG43" s="1"/>
      <c r="AH43" s="1"/>
      <c r="AI43" s="1"/>
      <c r="AJ43" s="1"/>
      <c r="AK43" s="1"/>
      <c r="AL43" s="1"/>
      <c r="AM43" s="1"/>
      <c r="AN43" s="1"/>
      <c r="AO43" s="1"/>
      <c r="AP43" s="1"/>
      <c r="AQ43" s="2"/>
      <c r="AR43" s="3"/>
      <c r="AS43" s="1"/>
      <c r="AT43" s="1"/>
      <c r="AU43" s="4"/>
      <c r="AV43" s="4"/>
      <c r="AW43" s="4"/>
      <c r="AX43" s="5"/>
      <c r="AY43" s="4"/>
      <c r="AZ43" s="5"/>
      <c r="BA43" s="1"/>
      <c r="BB43" s="1"/>
      <c r="BC43" s="1"/>
      <c r="BD43" s="6"/>
      <c r="BE43" s="1"/>
      <c r="BF43" s="6"/>
      <c r="BG43" s="6"/>
      <c r="BH43" s="1"/>
      <c r="BI43" s="1"/>
    </row>
    <row r="44" spans="25:61" s="13" customFormat="1" x14ac:dyDescent="0.2">
      <c r="Y44" s="1"/>
      <c r="Z44" s="1"/>
      <c r="AA44" s="1"/>
      <c r="AB44" s="1"/>
      <c r="AC44" s="1"/>
      <c r="AD44" s="1"/>
      <c r="AE44" s="1"/>
      <c r="AF44" s="1"/>
      <c r="AG44" s="1"/>
      <c r="AH44" s="1"/>
      <c r="AI44" s="1"/>
      <c r="AJ44" s="1"/>
      <c r="AK44" s="1"/>
      <c r="AL44" s="1"/>
      <c r="AM44" s="1"/>
      <c r="AN44" s="1"/>
      <c r="AO44" s="1"/>
      <c r="AP44" s="1"/>
      <c r="AQ44" s="2"/>
      <c r="AR44" s="3"/>
      <c r="AS44" s="1"/>
      <c r="AT44" s="1"/>
      <c r="AU44" s="4"/>
      <c r="AV44" s="4"/>
      <c r="AW44" s="4"/>
      <c r="AX44" s="5"/>
      <c r="AY44" s="4"/>
      <c r="AZ44" s="5"/>
      <c r="BA44" s="1"/>
      <c r="BB44" s="1"/>
      <c r="BC44" s="1"/>
      <c r="BD44" s="6"/>
      <c r="BE44" s="1"/>
      <c r="BF44" s="6"/>
      <c r="BG44" s="6"/>
      <c r="BH44" s="1"/>
      <c r="BI44" s="1"/>
    </row>
    <row r="45" spans="25:61" s="13" customFormat="1" x14ac:dyDescent="0.2">
      <c r="Y45" s="1"/>
      <c r="Z45" s="1"/>
      <c r="AA45" s="1"/>
      <c r="AB45" s="1"/>
      <c r="AC45" s="1"/>
      <c r="AD45" s="1"/>
      <c r="AE45" s="1"/>
      <c r="AF45" s="1"/>
      <c r="AG45" s="1"/>
      <c r="AH45" s="1"/>
      <c r="AI45" s="1"/>
      <c r="AJ45" s="1"/>
      <c r="AK45" s="1"/>
      <c r="AL45" s="1"/>
      <c r="AM45" s="1"/>
      <c r="AN45" s="1"/>
      <c r="AO45" s="1"/>
      <c r="AP45" s="1"/>
      <c r="AQ45" s="2"/>
      <c r="AR45" s="3"/>
      <c r="AS45" s="1"/>
      <c r="AT45" s="1"/>
      <c r="AU45" s="4"/>
      <c r="AV45" s="4"/>
      <c r="AW45" s="4"/>
      <c r="AX45" s="5"/>
      <c r="AY45" s="4"/>
      <c r="AZ45" s="5"/>
      <c r="BA45" s="1"/>
      <c r="BB45" s="1"/>
      <c r="BC45" s="1"/>
      <c r="BD45" s="6"/>
      <c r="BE45" s="1"/>
      <c r="BF45" s="6"/>
      <c r="BG45" s="6"/>
      <c r="BH45" s="1"/>
      <c r="BI45" s="1"/>
    </row>
    <row r="46" spans="25:61" s="13" customFormat="1" x14ac:dyDescent="0.2">
      <c r="Y46" s="1"/>
      <c r="Z46" s="1"/>
      <c r="AA46" s="1"/>
      <c r="AB46" s="1"/>
      <c r="AC46" s="1"/>
      <c r="AD46" s="1"/>
      <c r="AE46" s="1"/>
      <c r="AF46" s="1"/>
      <c r="AG46" s="1"/>
      <c r="AH46" s="1"/>
      <c r="AI46" s="1"/>
      <c r="AJ46" s="1"/>
      <c r="AK46" s="1"/>
      <c r="AL46" s="1"/>
      <c r="AM46" s="1"/>
      <c r="AN46" s="1"/>
      <c r="AO46" s="1"/>
      <c r="AP46" s="1"/>
      <c r="AQ46" s="2"/>
      <c r="AR46" s="3"/>
      <c r="AS46" s="1"/>
      <c r="AT46" s="1"/>
      <c r="AU46" s="4"/>
      <c r="AV46" s="4"/>
      <c r="AW46" s="4"/>
      <c r="AX46" s="5"/>
      <c r="AY46" s="4"/>
      <c r="AZ46" s="5"/>
      <c r="BA46" s="1"/>
      <c r="BB46" s="1"/>
      <c r="BC46" s="1"/>
      <c r="BD46" s="6"/>
      <c r="BE46" s="1"/>
      <c r="BF46" s="6"/>
      <c r="BG46" s="6"/>
      <c r="BH46" s="1"/>
      <c r="BI46" s="1"/>
    </row>
    <row r="47" spans="25:61" s="13" customFormat="1" x14ac:dyDescent="0.2">
      <c r="Y47" s="1"/>
      <c r="Z47" s="1"/>
      <c r="AA47" s="1"/>
      <c r="AB47" s="1"/>
      <c r="AC47" s="1"/>
      <c r="AD47" s="1"/>
      <c r="AE47" s="1"/>
      <c r="AF47" s="1"/>
      <c r="AG47" s="1"/>
      <c r="AH47" s="1"/>
      <c r="AI47" s="1"/>
      <c r="AJ47" s="1"/>
      <c r="AK47" s="1"/>
      <c r="AL47" s="1"/>
      <c r="AM47" s="1"/>
      <c r="AN47" s="1"/>
      <c r="AO47" s="1"/>
      <c r="AP47" s="1"/>
      <c r="AQ47" s="2"/>
      <c r="AR47" s="3"/>
      <c r="AS47" s="1"/>
      <c r="AT47" s="1"/>
      <c r="AU47" s="4"/>
      <c r="AV47" s="4"/>
      <c r="AW47" s="4"/>
      <c r="AX47" s="5"/>
      <c r="AY47" s="4"/>
      <c r="AZ47" s="5"/>
      <c r="BA47" s="1"/>
      <c r="BB47" s="1"/>
      <c r="BC47" s="1"/>
      <c r="BD47" s="6"/>
      <c r="BE47" s="1"/>
      <c r="BF47" s="6"/>
      <c r="BG47" s="6"/>
      <c r="BH47" s="1"/>
      <c r="BI47" s="1"/>
    </row>
    <row r="48" spans="25:61" s="13" customFormat="1" x14ac:dyDescent="0.2">
      <c r="Y48" s="1"/>
      <c r="Z48" s="1"/>
      <c r="AA48" s="1"/>
      <c r="AB48" s="1"/>
      <c r="AC48" s="1"/>
      <c r="AD48" s="1"/>
      <c r="AE48" s="1"/>
      <c r="AF48" s="1"/>
      <c r="AG48" s="1"/>
      <c r="AH48" s="1"/>
      <c r="AI48" s="1"/>
      <c r="AJ48" s="1"/>
      <c r="AK48" s="1"/>
      <c r="AL48" s="1"/>
      <c r="AM48" s="1"/>
      <c r="AN48" s="1"/>
      <c r="AO48" s="1"/>
      <c r="AP48" s="1"/>
      <c r="AQ48" s="2"/>
      <c r="AR48" s="3"/>
      <c r="AS48" s="1"/>
      <c r="AT48" s="1"/>
      <c r="AU48" s="4"/>
      <c r="AV48" s="4"/>
      <c r="AW48" s="4"/>
      <c r="AX48" s="5"/>
      <c r="AY48" s="4"/>
      <c r="AZ48" s="5"/>
      <c r="BA48" s="1"/>
      <c r="BB48" s="1"/>
      <c r="BC48" s="1"/>
      <c r="BD48" s="6"/>
      <c r="BE48" s="1"/>
      <c r="BF48" s="6"/>
      <c r="BG48" s="6"/>
      <c r="BH48" s="1"/>
      <c r="BI48" s="1"/>
    </row>
    <row r="49" spans="25:61" s="13" customFormat="1" x14ac:dyDescent="0.2">
      <c r="Y49" s="1"/>
      <c r="Z49" s="1"/>
      <c r="AA49" s="1"/>
      <c r="AB49" s="1"/>
      <c r="AC49" s="1"/>
      <c r="AD49" s="1"/>
      <c r="AE49" s="1"/>
      <c r="AF49" s="1"/>
      <c r="AG49" s="1"/>
      <c r="AH49" s="1"/>
      <c r="AI49" s="1"/>
      <c r="AJ49" s="1"/>
      <c r="AK49" s="1"/>
      <c r="AL49" s="1"/>
      <c r="AM49" s="1"/>
      <c r="AN49" s="1"/>
      <c r="AO49" s="1"/>
      <c r="AP49" s="1"/>
      <c r="AQ49" s="2"/>
      <c r="AR49" s="3"/>
      <c r="AS49" s="1"/>
      <c r="AT49" s="1"/>
      <c r="AU49" s="4"/>
      <c r="AV49" s="4"/>
      <c r="AW49" s="4"/>
      <c r="AX49" s="5"/>
      <c r="AY49" s="4"/>
      <c r="AZ49" s="5"/>
      <c r="BA49" s="1"/>
      <c r="BB49" s="1"/>
      <c r="BC49" s="1"/>
      <c r="BD49" s="6"/>
      <c r="BE49" s="1"/>
      <c r="BF49" s="6"/>
      <c r="BG49" s="6"/>
      <c r="BH49" s="1"/>
      <c r="BI49" s="1"/>
    </row>
    <row r="50" spans="25:61" s="13" customFormat="1" x14ac:dyDescent="0.2">
      <c r="Y50" s="1"/>
      <c r="Z50" s="1"/>
      <c r="AA50" s="1"/>
      <c r="AB50" s="1"/>
      <c r="AC50" s="1"/>
      <c r="AD50" s="1"/>
      <c r="AE50" s="1"/>
      <c r="AF50" s="1"/>
      <c r="AG50" s="1"/>
      <c r="AH50" s="1"/>
      <c r="AI50" s="1"/>
      <c r="AJ50" s="1"/>
      <c r="AK50" s="1"/>
      <c r="AL50" s="1"/>
      <c r="AM50" s="1"/>
      <c r="AN50" s="1"/>
      <c r="AO50" s="1"/>
      <c r="AP50" s="1"/>
      <c r="AQ50" s="2"/>
      <c r="AR50" s="3"/>
      <c r="AS50" s="1"/>
      <c r="AT50" s="1"/>
      <c r="AU50" s="4"/>
      <c r="AV50" s="4"/>
      <c r="AW50" s="4"/>
      <c r="AX50" s="5"/>
      <c r="AY50" s="4"/>
      <c r="AZ50" s="5"/>
      <c r="BA50" s="1"/>
      <c r="BB50" s="1"/>
      <c r="BC50" s="1"/>
      <c r="BD50" s="6"/>
      <c r="BE50" s="1"/>
      <c r="BF50" s="6"/>
      <c r="BG50" s="6"/>
      <c r="BH50" s="1"/>
      <c r="BI50" s="1"/>
    </row>
    <row r="51" spans="25:61" s="13" customFormat="1" x14ac:dyDescent="0.2">
      <c r="Y51" s="1"/>
      <c r="Z51" s="1"/>
      <c r="AA51" s="1"/>
      <c r="AB51" s="1"/>
      <c r="AC51" s="1"/>
      <c r="AD51" s="1"/>
      <c r="AE51" s="1"/>
      <c r="AF51" s="1"/>
      <c r="AG51" s="1"/>
      <c r="AH51" s="1"/>
      <c r="AI51" s="1"/>
      <c r="AJ51" s="1"/>
      <c r="AK51" s="1"/>
      <c r="AL51" s="1"/>
      <c r="AM51" s="1"/>
      <c r="AN51" s="1"/>
      <c r="AO51" s="1"/>
      <c r="AP51" s="1"/>
      <c r="AQ51" s="2"/>
      <c r="AR51" s="3"/>
      <c r="AS51" s="1"/>
      <c r="AT51" s="1"/>
      <c r="AU51" s="4"/>
      <c r="AV51" s="4"/>
      <c r="AW51" s="4"/>
      <c r="AX51" s="5"/>
      <c r="AY51" s="4"/>
      <c r="AZ51" s="5"/>
      <c r="BA51" s="1"/>
      <c r="BB51" s="1"/>
      <c r="BC51" s="1"/>
      <c r="BD51" s="6"/>
      <c r="BE51" s="1"/>
      <c r="BF51" s="6"/>
      <c r="BG51" s="6"/>
      <c r="BH51" s="1"/>
      <c r="BI51" s="1"/>
    </row>
    <row r="52" spans="25:61" s="13" customFormat="1" x14ac:dyDescent="0.2">
      <c r="Y52" s="1"/>
      <c r="Z52" s="1"/>
      <c r="AA52" s="1"/>
      <c r="AB52" s="1"/>
      <c r="AC52" s="1"/>
      <c r="AD52" s="1"/>
      <c r="AE52" s="1"/>
      <c r="AF52" s="1"/>
      <c r="AG52" s="1"/>
      <c r="AH52" s="1"/>
      <c r="AI52" s="1"/>
      <c r="AJ52" s="1"/>
      <c r="AK52" s="1"/>
      <c r="AL52" s="1"/>
      <c r="AM52" s="1"/>
      <c r="AN52" s="1"/>
      <c r="AO52" s="1"/>
      <c r="AP52" s="1"/>
      <c r="AQ52" s="2"/>
      <c r="AR52" s="3"/>
      <c r="AS52" s="1"/>
      <c r="AT52" s="1"/>
      <c r="AU52" s="4"/>
      <c r="AV52" s="4"/>
      <c r="AW52" s="4"/>
      <c r="AX52" s="5"/>
      <c r="AY52" s="4"/>
      <c r="AZ52" s="5"/>
      <c r="BA52" s="1"/>
      <c r="BB52" s="1"/>
      <c r="BC52" s="1"/>
      <c r="BD52" s="6"/>
      <c r="BE52" s="1"/>
      <c r="BF52" s="6"/>
      <c r="BG52" s="6"/>
      <c r="BH52" s="1"/>
      <c r="BI52" s="1"/>
    </row>
    <row r="53" spans="25:61" s="13" customFormat="1" x14ac:dyDescent="0.2">
      <c r="Y53" s="1"/>
      <c r="Z53" s="1"/>
      <c r="AA53" s="1"/>
      <c r="AB53" s="1"/>
      <c r="AC53" s="1"/>
      <c r="AD53" s="1"/>
      <c r="AE53" s="1"/>
      <c r="AF53" s="1"/>
      <c r="AG53" s="1"/>
      <c r="AH53" s="1"/>
      <c r="AI53" s="1"/>
      <c r="AJ53" s="1"/>
      <c r="AK53" s="1"/>
      <c r="AL53" s="1"/>
      <c r="AM53" s="1"/>
      <c r="AN53" s="1"/>
      <c r="AO53" s="1"/>
      <c r="AP53" s="1"/>
      <c r="AQ53" s="2"/>
      <c r="AR53" s="3"/>
      <c r="AS53" s="1"/>
      <c r="AT53" s="1"/>
      <c r="AU53" s="4"/>
      <c r="AV53" s="4"/>
      <c r="AW53" s="4"/>
      <c r="AX53" s="5"/>
      <c r="AY53" s="4"/>
      <c r="AZ53" s="5"/>
      <c r="BA53" s="1"/>
      <c r="BB53" s="1"/>
      <c r="BC53" s="1"/>
      <c r="BD53" s="6"/>
      <c r="BE53" s="1"/>
      <c r="BF53" s="6"/>
      <c r="BG53" s="6"/>
      <c r="BH53" s="1"/>
      <c r="BI53" s="1"/>
    </row>
    <row r="54" spans="25:61" s="13" customFormat="1" x14ac:dyDescent="0.2">
      <c r="Y54" s="1"/>
      <c r="Z54" s="1"/>
      <c r="AA54" s="1"/>
      <c r="AB54" s="1"/>
      <c r="AC54" s="1"/>
      <c r="AD54" s="1"/>
      <c r="AE54" s="1"/>
      <c r="AF54" s="1"/>
      <c r="AG54" s="1"/>
      <c r="AH54" s="1"/>
      <c r="AI54" s="1"/>
      <c r="AJ54" s="1"/>
      <c r="AK54" s="1"/>
      <c r="AL54" s="1"/>
      <c r="AM54" s="1"/>
      <c r="AN54" s="1"/>
      <c r="AO54" s="1"/>
      <c r="AP54" s="1"/>
      <c r="AQ54" s="2"/>
      <c r="AR54" s="3"/>
      <c r="AS54" s="1"/>
      <c r="AT54" s="1"/>
      <c r="AU54" s="4"/>
      <c r="AV54" s="4"/>
      <c r="AW54" s="4"/>
      <c r="AX54" s="5"/>
      <c r="AY54" s="4"/>
      <c r="AZ54" s="5"/>
      <c r="BA54" s="1"/>
      <c r="BB54" s="1"/>
      <c r="BC54" s="1"/>
      <c r="BD54" s="6"/>
      <c r="BE54" s="1"/>
      <c r="BF54" s="6"/>
      <c r="BG54" s="6"/>
      <c r="BH54" s="1"/>
      <c r="BI54" s="1"/>
    </row>
    <row r="55" spans="25:61" s="13" customFormat="1" x14ac:dyDescent="0.2">
      <c r="Y55" s="1"/>
      <c r="Z55" s="1"/>
      <c r="AA55" s="1"/>
      <c r="AB55" s="1"/>
      <c r="AC55" s="1"/>
      <c r="AD55" s="1"/>
      <c r="AE55" s="1"/>
      <c r="AF55" s="1"/>
      <c r="AG55" s="1"/>
      <c r="AH55" s="1"/>
      <c r="AI55" s="1"/>
      <c r="AJ55" s="1"/>
      <c r="AK55" s="1"/>
      <c r="AL55" s="1"/>
      <c r="AM55" s="1"/>
      <c r="AN55" s="1"/>
      <c r="AO55" s="1"/>
      <c r="AP55" s="1"/>
      <c r="AQ55" s="2"/>
      <c r="AR55" s="3"/>
      <c r="AS55" s="1"/>
      <c r="AT55" s="1"/>
      <c r="AU55" s="4"/>
      <c r="AV55" s="4"/>
      <c r="AW55" s="4"/>
      <c r="AX55" s="5"/>
      <c r="AY55" s="4"/>
      <c r="AZ55" s="5"/>
      <c r="BA55" s="1"/>
      <c r="BB55" s="1"/>
      <c r="BC55" s="1"/>
      <c r="BD55" s="6"/>
      <c r="BE55" s="1"/>
      <c r="BF55" s="6"/>
      <c r="BG55" s="6"/>
      <c r="BH55" s="1"/>
      <c r="BI55" s="1"/>
    </row>
    <row r="56" spans="25:61" s="13" customFormat="1" x14ac:dyDescent="0.2">
      <c r="Y56" s="1"/>
      <c r="Z56" s="1"/>
      <c r="AA56" s="1"/>
      <c r="AB56" s="1"/>
      <c r="AC56" s="1"/>
      <c r="AD56" s="1"/>
      <c r="AE56" s="1"/>
      <c r="AF56" s="1"/>
      <c r="AG56" s="1"/>
      <c r="AH56" s="1"/>
      <c r="AI56" s="1"/>
      <c r="AJ56" s="1"/>
      <c r="AK56" s="1"/>
      <c r="AL56" s="1"/>
      <c r="AM56" s="1"/>
      <c r="AN56" s="1"/>
      <c r="AO56" s="1"/>
      <c r="AP56" s="1"/>
      <c r="AQ56" s="2"/>
      <c r="AR56" s="3"/>
      <c r="AS56" s="1"/>
      <c r="AT56" s="1"/>
      <c r="AU56" s="4"/>
      <c r="AV56" s="4"/>
      <c r="AW56" s="4"/>
      <c r="AX56" s="5"/>
      <c r="AY56" s="4"/>
      <c r="AZ56" s="5"/>
      <c r="BA56" s="1"/>
      <c r="BB56" s="1"/>
      <c r="BC56" s="1"/>
      <c r="BD56" s="6"/>
      <c r="BE56" s="1"/>
      <c r="BF56" s="6"/>
      <c r="BG56" s="6"/>
      <c r="BH56" s="1"/>
      <c r="BI56" s="1"/>
    </row>
    <row r="57" spans="25:61" s="13" customFormat="1" x14ac:dyDescent="0.2">
      <c r="Y57" s="1"/>
      <c r="Z57" s="1"/>
      <c r="AA57" s="1"/>
      <c r="AB57" s="1"/>
      <c r="AC57" s="1"/>
      <c r="AD57" s="1"/>
      <c r="AE57" s="1"/>
      <c r="AF57" s="1"/>
      <c r="AG57" s="1"/>
      <c r="AH57" s="1"/>
      <c r="AI57" s="1"/>
      <c r="AJ57" s="1"/>
      <c r="AK57" s="1"/>
      <c r="AL57" s="1"/>
      <c r="AM57" s="1"/>
      <c r="AN57" s="1"/>
      <c r="AO57" s="1"/>
      <c r="AP57" s="1"/>
      <c r="AQ57" s="2"/>
      <c r="AR57" s="3"/>
      <c r="AS57" s="1"/>
      <c r="AT57" s="1"/>
      <c r="AU57" s="4"/>
      <c r="AV57" s="4"/>
      <c r="AW57" s="4"/>
      <c r="AX57" s="5"/>
      <c r="AY57" s="4"/>
      <c r="AZ57" s="5"/>
      <c r="BA57" s="1"/>
      <c r="BB57" s="1"/>
      <c r="BC57" s="1"/>
      <c r="BD57" s="6"/>
      <c r="BE57" s="1"/>
      <c r="BF57" s="6"/>
      <c r="BG57" s="6"/>
      <c r="BH57" s="1"/>
      <c r="BI57" s="1"/>
    </row>
    <row r="58" spans="25:61" s="13" customFormat="1" x14ac:dyDescent="0.2">
      <c r="Y58" s="1"/>
      <c r="Z58" s="1"/>
      <c r="AA58" s="1"/>
      <c r="AB58" s="1"/>
      <c r="AC58" s="1"/>
      <c r="AD58" s="1"/>
      <c r="AE58" s="1"/>
      <c r="AF58" s="1"/>
      <c r="AG58" s="1"/>
      <c r="AH58" s="1"/>
      <c r="AI58" s="1"/>
      <c r="AJ58" s="1"/>
      <c r="AK58" s="1"/>
      <c r="AL58" s="1"/>
      <c r="AM58" s="1"/>
      <c r="AN58" s="1"/>
      <c r="AO58" s="1"/>
      <c r="AP58" s="1"/>
      <c r="AQ58" s="2"/>
      <c r="AR58" s="3"/>
      <c r="AS58" s="1"/>
      <c r="AT58" s="1"/>
      <c r="AU58" s="4"/>
      <c r="AV58" s="4"/>
      <c r="AW58" s="4"/>
      <c r="AX58" s="5"/>
      <c r="AY58" s="4"/>
      <c r="AZ58" s="5"/>
      <c r="BA58" s="1"/>
      <c r="BB58" s="1"/>
      <c r="BC58" s="1"/>
      <c r="BD58" s="6"/>
      <c r="BE58" s="1"/>
      <c r="BF58" s="6"/>
      <c r="BG58" s="6"/>
      <c r="BH58" s="1"/>
      <c r="BI58" s="1"/>
    </row>
    <row r="59" spans="25:61" s="13" customFormat="1" x14ac:dyDescent="0.2">
      <c r="Y59" s="1"/>
      <c r="Z59" s="1"/>
      <c r="AA59" s="1"/>
      <c r="AB59" s="1"/>
      <c r="AC59" s="1"/>
      <c r="AD59" s="1"/>
      <c r="AE59" s="1"/>
      <c r="AF59" s="1"/>
      <c r="AG59" s="1"/>
      <c r="AH59" s="1"/>
      <c r="AI59" s="1"/>
      <c r="AJ59" s="1"/>
      <c r="AK59" s="1"/>
      <c r="AL59" s="1"/>
      <c r="AM59" s="1"/>
      <c r="AN59" s="1"/>
      <c r="AO59" s="1"/>
      <c r="AP59" s="1"/>
      <c r="AQ59" s="2"/>
      <c r="AR59" s="3"/>
      <c r="AS59" s="1"/>
      <c r="AT59" s="1"/>
      <c r="AU59" s="4"/>
      <c r="AV59" s="4"/>
      <c r="AW59" s="4"/>
      <c r="AX59" s="5"/>
      <c r="AY59" s="4"/>
      <c r="AZ59" s="5"/>
      <c r="BA59" s="1"/>
      <c r="BB59" s="1"/>
      <c r="BC59" s="1"/>
      <c r="BD59" s="6"/>
      <c r="BE59" s="1"/>
      <c r="BF59" s="6"/>
      <c r="BG59" s="6"/>
      <c r="BH59" s="1"/>
      <c r="BI59" s="1"/>
    </row>
    <row r="60" spans="25:61" s="13" customFormat="1" x14ac:dyDescent="0.2">
      <c r="Y60" s="1"/>
      <c r="Z60" s="1"/>
      <c r="AA60" s="1"/>
      <c r="AB60" s="1"/>
      <c r="AC60" s="1"/>
      <c r="AD60" s="1"/>
      <c r="AE60" s="1"/>
      <c r="AF60" s="1"/>
      <c r="AG60" s="1"/>
      <c r="AH60" s="1"/>
      <c r="AI60" s="1"/>
      <c r="AJ60" s="1"/>
      <c r="AK60" s="1"/>
      <c r="AL60" s="1"/>
      <c r="AM60" s="1"/>
      <c r="AN60" s="1"/>
      <c r="AO60" s="1"/>
      <c r="AP60" s="1"/>
      <c r="AQ60" s="2"/>
      <c r="AR60" s="3"/>
      <c r="AS60" s="1"/>
      <c r="AT60" s="1"/>
      <c r="AU60" s="4"/>
      <c r="AV60" s="4"/>
      <c r="AW60" s="4"/>
      <c r="AX60" s="5"/>
      <c r="AY60" s="4"/>
      <c r="AZ60" s="5"/>
      <c r="BA60" s="1"/>
      <c r="BB60" s="1"/>
      <c r="BC60" s="1"/>
      <c r="BD60" s="6"/>
      <c r="BE60" s="1"/>
      <c r="BF60" s="6"/>
      <c r="BG60" s="6"/>
      <c r="BH60" s="1"/>
      <c r="BI60" s="1"/>
    </row>
    <row r="61" spans="25:61" s="13" customFormat="1" x14ac:dyDescent="0.2">
      <c r="Y61" s="1"/>
      <c r="Z61" s="1"/>
      <c r="AA61" s="1"/>
      <c r="AB61" s="1"/>
      <c r="AC61" s="1"/>
      <c r="AD61" s="1"/>
      <c r="AE61" s="1"/>
      <c r="AF61" s="1"/>
      <c r="AG61" s="1"/>
      <c r="AH61" s="1"/>
      <c r="AI61" s="1"/>
      <c r="AJ61" s="1"/>
      <c r="AK61" s="1"/>
      <c r="AL61" s="1"/>
      <c r="AM61" s="1"/>
      <c r="AN61" s="1"/>
      <c r="AO61" s="1"/>
      <c r="AP61" s="1"/>
      <c r="AQ61" s="2"/>
      <c r="AR61" s="3"/>
      <c r="AS61" s="1"/>
      <c r="AT61" s="1"/>
      <c r="AU61" s="4"/>
      <c r="AV61" s="4"/>
      <c r="AW61" s="4"/>
      <c r="AX61" s="5"/>
      <c r="AY61" s="4"/>
      <c r="AZ61" s="5"/>
      <c r="BA61" s="1"/>
      <c r="BB61" s="1"/>
      <c r="BC61" s="1"/>
      <c r="BD61" s="6"/>
      <c r="BE61" s="1"/>
      <c r="BF61" s="6"/>
      <c r="BG61" s="6"/>
      <c r="BH61" s="1"/>
      <c r="BI61" s="1"/>
    </row>
    <row r="62" spans="25:61" s="13" customFormat="1" x14ac:dyDescent="0.2">
      <c r="Y62" s="1"/>
      <c r="Z62" s="1"/>
      <c r="AA62" s="1"/>
      <c r="AB62" s="1"/>
      <c r="AC62" s="1"/>
      <c r="AD62" s="1"/>
      <c r="AE62" s="1"/>
      <c r="AF62" s="1"/>
      <c r="AG62" s="1"/>
      <c r="AH62" s="1"/>
      <c r="AI62" s="1"/>
      <c r="AJ62" s="1"/>
      <c r="AK62" s="1"/>
      <c r="AL62" s="1"/>
      <c r="AM62" s="1"/>
      <c r="AN62" s="1"/>
      <c r="AO62" s="1"/>
      <c r="AP62" s="1"/>
      <c r="AQ62" s="2"/>
      <c r="AR62" s="3"/>
      <c r="AS62" s="1"/>
      <c r="AT62" s="1"/>
      <c r="AU62" s="4"/>
      <c r="AV62" s="4"/>
      <c r="AW62" s="4"/>
      <c r="AX62" s="5"/>
      <c r="AY62" s="4"/>
      <c r="AZ62" s="5"/>
      <c r="BA62" s="1"/>
      <c r="BB62" s="1"/>
      <c r="BC62" s="1"/>
      <c r="BD62" s="6"/>
      <c r="BE62" s="1"/>
      <c r="BF62" s="6"/>
      <c r="BG62" s="6"/>
      <c r="BH62" s="1"/>
      <c r="BI62" s="1"/>
    </row>
    <row r="63" spans="25:61" s="13" customFormat="1" x14ac:dyDescent="0.2">
      <c r="Y63" s="1"/>
      <c r="Z63" s="1"/>
      <c r="AA63" s="1"/>
      <c r="AB63" s="1"/>
      <c r="AC63" s="1"/>
      <c r="AD63" s="1"/>
      <c r="AE63" s="1"/>
      <c r="AF63" s="1"/>
      <c r="AG63" s="1"/>
      <c r="AH63" s="1"/>
      <c r="AI63" s="1"/>
      <c r="AJ63" s="1"/>
      <c r="AK63" s="1"/>
      <c r="AL63" s="1"/>
      <c r="AM63" s="1"/>
      <c r="AN63" s="1"/>
      <c r="AO63" s="1"/>
      <c r="AP63" s="1"/>
      <c r="AQ63" s="2"/>
      <c r="AR63" s="3"/>
      <c r="AS63" s="1"/>
      <c r="AT63" s="1"/>
      <c r="AU63" s="4"/>
      <c r="AV63" s="4"/>
      <c r="AW63" s="4"/>
      <c r="AX63" s="5"/>
      <c r="AY63" s="4"/>
      <c r="AZ63" s="5"/>
      <c r="BA63" s="1"/>
      <c r="BB63" s="1"/>
      <c r="BC63" s="1"/>
      <c r="BD63" s="6"/>
      <c r="BE63" s="1"/>
      <c r="BF63" s="6"/>
      <c r="BG63" s="6"/>
      <c r="BH63" s="1"/>
      <c r="BI63" s="1"/>
    </row>
    <row r="64" spans="25:61" s="13" customFormat="1" x14ac:dyDescent="0.2">
      <c r="Y64" s="1"/>
      <c r="Z64" s="1"/>
      <c r="AA64" s="1"/>
      <c r="AB64" s="1"/>
      <c r="AC64" s="1"/>
      <c r="AD64" s="1"/>
      <c r="AE64" s="1"/>
      <c r="AF64" s="1"/>
      <c r="AG64" s="1"/>
      <c r="AH64" s="1"/>
      <c r="AI64" s="1"/>
      <c r="AJ64" s="1"/>
      <c r="AK64" s="1"/>
      <c r="AL64" s="1"/>
      <c r="AM64" s="1"/>
      <c r="AN64" s="1"/>
      <c r="AO64" s="1"/>
      <c r="AP64" s="1"/>
      <c r="AQ64" s="2"/>
      <c r="AR64" s="3"/>
      <c r="AS64" s="1"/>
      <c r="AT64" s="1"/>
      <c r="AU64" s="4"/>
      <c r="AV64" s="4"/>
      <c r="AW64" s="4"/>
      <c r="AX64" s="5"/>
      <c r="AY64" s="4"/>
      <c r="AZ64" s="5"/>
      <c r="BA64" s="1"/>
      <c r="BB64" s="1"/>
      <c r="BC64" s="1"/>
      <c r="BD64" s="6"/>
      <c r="BE64" s="1"/>
      <c r="BF64" s="6"/>
      <c r="BG64" s="6"/>
      <c r="BH64" s="1"/>
      <c r="BI64" s="1"/>
    </row>
    <row r="65" spans="25:61" s="13" customFormat="1" x14ac:dyDescent="0.2">
      <c r="Y65" s="1"/>
      <c r="Z65" s="1"/>
      <c r="AA65" s="1"/>
      <c r="AB65" s="1"/>
      <c r="AC65" s="1"/>
      <c r="AD65" s="1"/>
      <c r="AE65" s="1"/>
      <c r="AF65" s="1"/>
      <c r="AG65" s="1"/>
      <c r="AH65" s="1"/>
      <c r="AI65" s="1"/>
      <c r="AJ65" s="1"/>
      <c r="AK65" s="1"/>
      <c r="AL65" s="1"/>
      <c r="AM65" s="1"/>
      <c r="AN65" s="1"/>
      <c r="AO65" s="1"/>
      <c r="AP65" s="1"/>
      <c r="AQ65" s="2"/>
      <c r="AR65" s="3"/>
      <c r="AS65" s="1"/>
      <c r="AT65" s="1"/>
      <c r="AU65" s="4"/>
      <c r="AV65" s="4"/>
      <c r="AW65" s="4"/>
      <c r="AX65" s="5"/>
      <c r="AY65" s="4"/>
      <c r="AZ65" s="5"/>
      <c r="BA65" s="1"/>
      <c r="BB65" s="1"/>
      <c r="BC65" s="1"/>
      <c r="BD65" s="6"/>
      <c r="BE65" s="1"/>
      <c r="BF65" s="6"/>
      <c r="BG65" s="6"/>
      <c r="BH65" s="1"/>
      <c r="BI65" s="1"/>
    </row>
    <row r="66" spans="25:61" s="13" customFormat="1" x14ac:dyDescent="0.2">
      <c r="Y66" s="1"/>
      <c r="Z66" s="1"/>
      <c r="AA66" s="1"/>
      <c r="AB66" s="1"/>
      <c r="AC66" s="1"/>
      <c r="AD66" s="1"/>
      <c r="AE66" s="1"/>
      <c r="AF66" s="1"/>
      <c r="AG66" s="1"/>
      <c r="AH66" s="1"/>
      <c r="AI66" s="1"/>
      <c r="AJ66" s="1"/>
      <c r="AK66" s="1"/>
      <c r="AL66" s="1"/>
      <c r="AM66" s="1"/>
      <c r="AN66" s="1"/>
      <c r="AO66" s="1"/>
      <c r="AP66" s="1"/>
      <c r="AQ66" s="2"/>
      <c r="AR66" s="3"/>
      <c r="AS66" s="1"/>
      <c r="AT66" s="1"/>
      <c r="AU66" s="4"/>
      <c r="AV66" s="4"/>
      <c r="AW66" s="4"/>
      <c r="AX66" s="5"/>
      <c r="AY66" s="4"/>
      <c r="AZ66" s="5"/>
      <c r="BA66" s="1"/>
      <c r="BB66" s="1"/>
      <c r="BC66" s="1"/>
      <c r="BD66" s="6"/>
      <c r="BE66" s="1"/>
      <c r="BF66" s="6"/>
      <c r="BG66" s="6"/>
      <c r="BH66" s="1"/>
      <c r="BI66" s="1"/>
    </row>
    <row r="67" spans="25:61" s="13" customFormat="1" x14ac:dyDescent="0.2">
      <c r="Y67" s="1"/>
      <c r="Z67" s="1"/>
      <c r="AA67" s="1"/>
      <c r="AB67" s="1"/>
      <c r="AC67" s="1"/>
      <c r="AD67" s="1"/>
      <c r="AE67" s="1"/>
      <c r="AF67" s="1"/>
      <c r="AG67" s="1"/>
      <c r="AH67" s="1"/>
      <c r="AI67" s="1"/>
      <c r="AJ67" s="1"/>
      <c r="AK67" s="1"/>
      <c r="AL67" s="1"/>
      <c r="AM67" s="1"/>
      <c r="AN67" s="1"/>
      <c r="AO67" s="1"/>
      <c r="AP67" s="1"/>
      <c r="AQ67" s="2"/>
      <c r="AR67" s="3"/>
      <c r="AS67" s="1"/>
      <c r="AT67" s="1"/>
      <c r="AU67" s="4"/>
      <c r="AV67" s="4"/>
      <c r="AW67" s="4"/>
      <c r="AX67" s="5"/>
      <c r="AY67" s="4"/>
      <c r="AZ67" s="5"/>
      <c r="BA67" s="1"/>
      <c r="BB67" s="1"/>
      <c r="BC67" s="1"/>
      <c r="BD67" s="6"/>
      <c r="BE67" s="1"/>
      <c r="BF67" s="6"/>
      <c r="BG67" s="6"/>
      <c r="BH67" s="1"/>
      <c r="BI67" s="1"/>
    </row>
    <row r="68" spans="25:61" s="13" customFormat="1" x14ac:dyDescent="0.2">
      <c r="Y68" s="1"/>
      <c r="Z68" s="1"/>
      <c r="AA68" s="1"/>
      <c r="AB68" s="1"/>
      <c r="AC68" s="1"/>
      <c r="AD68" s="1"/>
      <c r="AE68" s="1"/>
      <c r="AF68" s="1"/>
      <c r="AG68" s="1"/>
      <c r="AH68" s="1"/>
      <c r="AI68" s="1"/>
      <c r="AJ68" s="1"/>
      <c r="AK68" s="1"/>
      <c r="AL68" s="1"/>
      <c r="AM68" s="1"/>
      <c r="AN68" s="1"/>
      <c r="AO68" s="1"/>
      <c r="AP68" s="1"/>
      <c r="AQ68" s="2"/>
      <c r="AR68" s="3"/>
      <c r="AS68" s="1"/>
      <c r="AT68" s="1"/>
      <c r="AU68" s="4"/>
      <c r="AV68" s="4"/>
      <c r="AW68" s="4"/>
      <c r="AX68" s="5"/>
      <c r="AY68" s="4"/>
      <c r="AZ68" s="5"/>
      <c r="BA68" s="1"/>
      <c r="BB68" s="1"/>
      <c r="BC68" s="1"/>
      <c r="BD68" s="6"/>
      <c r="BE68" s="1"/>
      <c r="BF68" s="6"/>
      <c r="BG68" s="6"/>
      <c r="BH68" s="1"/>
      <c r="BI68" s="1"/>
    </row>
    <row r="69" spans="25:61" s="13" customFormat="1" x14ac:dyDescent="0.2">
      <c r="Y69" s="1"/>
      <c r="Z69" s="1"/>
      <c r="AA69" s="1"/>
      <c r="AB69" s="1"/>
      <c r="AC69" s="1"/>
      <c r="AD69" s="1"/>
      <c r="AE69" s="1"/>
      <c r="AF69" s="1"/>
      <c r="AG69" s="1"/>
      <c r="AH69" s="1"/>
      <c r="AI69" s="1"/>
      <c r="AJ69" s="1"/>
      <c r="AK69" s="1"/>
      <c r="AL69" s="1"/>
      <c r="AM69" s="1"/>
      <c r="AN69" s="1"/>
      <c r="AO69" s="1"/>
      <c r="AP69" s="1"/>
      <c r="AQ69" s="2"/>
      <c r="AR69" s="3"/>
      <c r="AS69" s="1"/>
      <c r="AT69" s="1"/>
      <c r="AU69" s="4"/>
      <c r="AV69" s="4"/>
      <c r="AW69" s="4"/>
      <c r="AX69" s="5"/>
      <c r="AY69" s="4"/>
      <c r="AZ69" s="5"/>
      <c r="BA69" s="1"/>
      <c r="BB69" s="1"/>
      <c r="BC69" s="1"/>
      <c r="BD69" s="6"/>
      <c r="BE69" s="1"/>
      <c r="BF69" s="6"/>
      <c r="BG69" s="6"/>
      <c r="BH69" s="1"/>
      <c r="BI69" s="1"/>
    </row>
    <row r="70" spans="25:61" s="13" customFormat="1" x14ac:dyDescent="0.2">
      <c r="Y70" s="1"/>
      <c r="Z70" s="1"/>
      <c r="AA70" s="1"/>
      <c r="AB70" s="1"/>
      <c r="AC70" s="1"/>
      <c r="AD70" s="1"/>
      <c r="AE70" s="1"/>
      <c r="AF70" s="1"/>
      <c r="AG70" s="1"/>
      <c r="AH70" s="1"/>
      <c r="AI70" s="1"/>
      <c r="AJ70" s="1"/>
      <c r="AK70" s="1"/>
      <c r="AL70" s="1"/>
      <c r="AM70" s="1"/>
      <c r="AN70" s="1"/>
      <c r="AO70" s="1"/>
      <c r="AP70" s="1"/>
      <c r="AQ70" s="2"/>
      <c r="AR70" s="3"/>
      <c r="AS70" s="1"/>
      <c r="AT70" s="1"/>
      <c r="AU70" s="4"/>
      <c r="AV70" s="4"/>
      <c r="AW70" s="4"/>
      <c r="AX70" s="5"/>
      <c r="AY70" s="4"/>
      <c r="AZ70" s="5"/>
      <c r="BA70" s="1"/>
      <c r="BB70" s="1"/>
      <c r="BC70" s="1"/>
      <c r="BD70" s="6"/>
      <c r="BE70" s="1"/>
      <c r="BF70" s="6"/>
      <c r="BG70" s="6"/>
      <c r="BH70" s="1"/>
      <c r="BI70" s="1"/>
    </row>
    <row r="71" spans="25:61" s="13" customFormat="1" x14ac:dyDescent="0.2">
      <c r="Y71" s="1"/>
      <c r="Z71" s="1"/>
      <c r="AA71" s="1"/>
      <c r="AB71" s="1"/>
      <c r="AC71" s="1"/>
      <c r="AD71" s="1"/>
      <c r="AE71" s="1"/>
      <c r="AF71" s="1"/>
      <c r="AG71" s="1"/>
      <c r="AH71" s="1"/>
      <c r="AI71" s="1"/>
      <c r="AJ71" s="1"/>
      <c r="AK71" s="1"/>
      <c r="AL71" s="1"/>
      <c r="AM71" s="1"/>
      <c r="AN71" s="1"/>
      <c r="AO71" s="1"/>
      <c r="AP71" s="1"/>
      <c r="AQ71" s="2"/>
      <c r="AR71" s="3"/>
      <c r="AS71" s="1"/>
      <c r="AT71" s="1"/>
      <c r="AU71" s="4"/>
      <c r="AV71" s="4"/>
      <c r="AW71" s="4"/>
      <c r="AX71" s="5"/>
      <c r="AY71" s="4"/>
      <c r="AZ71" s="5"/>
      <c r="BA71" s="1"/>
      <c r="BB71" s="1"/>
      <c r="BC71" s="1"/>
      <c r="BD71" s="6"/>
      <c r="BE71" s="1"/>
      <c r="BF71" s="6"/>
      <c r="BG71" s="6"/>
      <c r="BH71" s="1"/>
      <c r="BI71" s="1"/>
    </row>
    <row r="72" spans="25:61" s="13" customFormat="1" x14ac:dyDescent="0.2">
      <c r="Y72" s="1"/>
      <c r="Z72" s="1"/>
      <c r="AA72" s="1"/>
      <c r="AB72" s="1"/>
      <c r="AC72" s="1"/>
      <c r="AD72" s="1"/>
      <c r="AE72" s="1"/>
      <c r="AF72" s="1"/>
      <c r="AG72" s="1"/>
      <c r="AH72" s="1"/>
      <c r="AI72" s="1"/>
      <c r="AJ72" s="1"/>
      <c r="AK72" s="1"/>
      <c r="AL72" s="1"/>
      <c r="AM72" s="1"/>
      <c r="AN72" s="1"/>
      <c r="AO72" s="1"/>
      <c r="AP72" s="1"/>
      <c r="AQ72" s="2"/>
      <c r="AR72" s="3"/>
      <c r="AS72" s="1"/>
      <c r="AT72" s="1"/>
      <c r="AU72" s="4"/>
      <c r="AV72" s="4"/>
      <c r="AW72" s="4"/>
      <c r="AX72" s="5"/>
      <c r="AY72" s="4"/>
      <c r="AZ72" s="5"/>
      <c r="BA72" s="1"/>
      <c r="BB72" s="1"/>
      <c r="BC72" s="1"/>
      <c r="BD72" s="6"/>
      <c r="BE72" s="1"/>
      <c r="BF72" s="6"/>
      <c r="BG72" s="6"/>
      <c r="BH72" s="1"/>
      <c r="BI72" s="1"/>
    </row>
    <row r="73" spans="25:61" s="13" customFormat="1" x14ac:dyDescent="0.2">
      <c r="Y73" s="1"/>
      <c r="Z73" s="1"/>
      <c r="AA73" s="1"/>
      <c r="AB73" s="1"/>
      <c r="AC73" s="1"/>
      <c r="AD73" s="1"/>
      <c r="AE73" s="1"/>
      <c r="AF73" s="1"/>
      <c r="AG73" s="1"/>
      <c r="AH73" s="1"/>
      <c r="AI73" s="1"/>
      <c r="AJ73" s="1"/>
      <c r="AK73" s="1"/>
      <c r="AL73" s="1"/>
      <c r="AM73" s="1"/>
      <c r="AN73" s="1"/>
      <c r="AO73" s="1"/>
      <c r="AP73" s="1"/>
      <c r="AQ73" s="2"/>
      <c r="AR73" s="3"/>
      <c r="AS73" s="1"/>
      <c r="AT73" s="1"/>
      <c r="AU73" s="4"/>
      <c r="AV73" s="4"/>
      <c r="AW73" s="4"/>
      <c r="AX73" s="5"/>
      <c r="AY73" s="4"/>
      <c r="AZ73" s="5"/>
      <c r="BA73" s="1"/>
      <c r="BB73" s="1"/>
      <c r="BC73" s="1"/>
      <c r="BD73" s="6"/>
      <c r="BE73" s="1"/>
      <c r="BF73" s="6"/>
      <c r="BG73" s="6"/>
      <c r="BH73" s="1"/>
      <c r="BI73" s="1"/>
    </row>
    <row r="74" spans="25:61" s="13" customFormat="1" x14ac:dyDescent="0.2">
      <c r="Y74" s="1"/>
      <c r="Z74" s="1"/>
      <c r="AA74" s="1"/>
      <c r="AB74" s="1"/>
      <c r="AC74" s="1"/>
      <c r="AD74" s="1"/>
      <c r="AE74" s="1"/>
      <c r="AF74" s="1"/>
      <c r="AG74" s="1"/>
      <c r="AH74" s="1"/>
      <c r="AI74" s="1"/>
      <c r="AJ74" s="1"/>
      <c r="AK74" s="1"/>
      <c r="AL74" s="1"/>
      <c r="AM74" s="1"/>
      <c r="AN74" s="1"/>
      <c r="AO74" s="1"/>
      <c r="AP74" s="1"/>
      <c r="AQ74" s="2"/>
      <c r="AR74" s="3"/>
      <c r="AS74" s="1"/>
      <c r="AT74" s="1"/>
      <c r="AU74" s="4"/>
      <c r="AV74" s="4"/>
      <c r="AW74" s="4"/>
      <c r="AX74" s="5"/>
      <c r="AY74" s="4"/>
      <c r="AZ74" s="5"/>
      <c r="BA74" s="1"/>
      <c r="BB74" s="1"/>
      <c r="BC74" s="1"/>
      <c r="BD74" s="6"/>
      <c r="BE74" s="1"/>
      <c r="BF74" s="6"/>
      <c r="BG74" s="6"/>
      <c r="BH74" s="1"/>
      <c r="BI74" s="1"/>
    </row>
    <row r="75" spans="25:61" s="13" customFormat="1" x14ac:dyDescent="0.2">
      <c r="Y75" s="1"/>
      <c r="Z75" s="1"/>
      <c r="AA75" s="1"/>
      <c r="AB75" s="1"/>
      <c r="AC75" s="1"/>
      <c r="AD75" s="1"/>
      <c r="AE75" s="1"/>
      <c r="AF75" s="1"/>
      <c r="AG75" s="1"/>
      <c r="AH75" s="1"/>
      <c r="AI75" s="1"/>
      <c r="AJ75" s="1"/>
      <c r="AK75" s="1"/>
      <c r="AL75" s="1"/>
      <c r="AM75" s="1"/>
      <c r="AN75" s="1"/>
      <c r="AO75" s="1"/>
      <c r="AP75" s="1"/>
      <c r="AQ75" s="2"/>
      <c r="AR75" s="3"/>
      <c r="AS75" s="1"/>
      <c r="AT75" s="1"/>
      <c r="AU75" s="4"/>
      <c r="AV75" s="4"/>
      <c r="AW75" s="4"/>
      <c r="AX75" s="5"/>
      <c r="AY75" s="4"/>
      <c r="AZ75" s="5"/>
      <c r="BA75" s="1"/>
      <c r="BB75" s="1"/>
      <c r="BC75" s="1"/>
      <c r="BD75" s="6"/>
      <c r="BE75" s="1"/>
      <c r="BF75" s="6"/>
      <c r="BG75" s="6"/>
      <c r="BH75" s="1"/>
      <c r="BI75" s="1"/>
    </row>
    <row r="76" spans="25:61" s="13" customFormat="1" x14ac:dyDescent="0.2">
      <c r="Y76" s="1"/>
      <c r="Z76" s="1"/>
      <c r="AA76" s="1"/>
      <c r="AB76" s="1"/>
      <c r="AC76" s="1"/>
      <c r="AD76" s="1"/>
      <c r="AE76" s="1"/>
      <c r="AF76" s="1"/>
      <c r="AG76" s="1"/>
      <c r="AH76" s="1"/>
      <c r="AI76" s="1"/>
      <c r="AJ76" s="1"/>
      <c r="AK76" s="1"/>
      <c r="AL76" s="1"/>
      <c r="AM76" s="1"/>
      <c r="AN76" s="1"/>
      <c r="AO76" s="1"/>
      <c r="AP76" s="1"/>
      <c r="AQ76" s="2"/>
      <c r="AR76" s="3"/>
      <c r="AS76" s="1"/>
      <c r="AT76" s="1"/>
      <c r="AU76" s="4"/>
      <c r="AV76" s="4"/>
      <c r="AW76" s="4"/>
      <c r="AX76" s="5"/>
      <c r="AY76" s="4"/>
      <c r="AZ76" s="5"/>
      <c r="BA76" s="1"/>
      <c r="BB76" s="1"/>
      <c r="BC76" s="1"/>
      <c r="BD76" s="6"/>
      <c r="BE76" s="1"/>
      <c r="BF76" s="6"/>
      <c r="BG76" s="6"/>
      <c r="BH76" s="1"/>
      <c r="BI76" s="1"/>
    </row>
    <row r="77" spans="25:61" s="13" customFormat="1" x14ac:dyDescent="0.2">
      <c r="Y77" s="1"/>
      <c r="Z77" s="1"/>
      <c r="AA77" s="1"/>
      <c r="AB77" s="1"/>
      <c r="AC77" s="1"/>
      <c r="AD77" s="1"/>
      <c r="AE77" s="1"/>
      <c r="AF77" s="1"/>
      <c r="AG77" s="1"/>
      <c r="AH77" s="1"/>
      <c r="AI77" s="1"/>
      <c r="AJ77" s="1"/>
      <c r="AK77" s="1"/>
      <c r="AL77" s="1"/>
      <c r="AM77" s="1"/>
      <c r="AN77" s="1"/>
      <c r="AO77" s="1"/>
      <c r="AP77" s="1"/>
      <c r="AQ77" s="2"/>
      <c r="AR77" s="3"/>
      <c r="AS77" s="1"/>
      <c r="AT77" s="1"/>
      <c r="AU77" s="4"/>
      <c r="AV77" s="4"/>
      <c r="AW77" s="4"/>
      <c r="AX77" s="5"/>
      <c r="AY77" s="4"/>
      <c r="AZ77" s="5"/>
      <c r="BA77" s="1"/>
      <c r="BB77" s="1"/>
      <c r="BC77" s="1"/>
      <c r="BD77" s="6"/>
      <c r="BE77" s="1"/>
      <c r="BF77" s="6"/>
      <c r="BG77" s="6"/>
      <c r="BH77" s="1"/>
      <c r="BI77" s="1"/>
    </row>
    <row r="78" spans="25:61" s="13" customFormat="1" x14ac:dyDescent="0.2">
      <c r="Y78" s="1"/>
      <c r="Z78" s="1"/>
      <c r="AA78" s="1"/>
      <c r="AB78" s="1"/>
      <c r="AC78" s="1"/>
      <c r="AD78" s="1"/>
      <c r="AE78" s="1"/>
      <c r="AF78" s="1"/>
      <c r="AG78" s="1"/>
      <c r="AH78" s="1"/>
      <c r="AI78" s="1"/>
      <c r="AJ78" s="1"/>
      <c r="AK78" s="1"/>
      <c r="AL78" s="1"/>
      <c r="AM78" s="1"/>
      <c r="AN78" s="1"/>
      <c r="AO78" s="1"/>
      <c r="AP78" s="1"/>
      <c r="AQ78" s="2"/>
      <c r="AR78" s="3"/>
      <c r="AS78" s="1"/>
      <c r="AT78" s="1"/>
      <c r="AU78" s="4"/>
      <c r="AV78" s="4"/>
      <c r="AW78" s="4"/>
      <c r="AX78" s="5"/>
      <c r="AY78" s="4"/>
      <c r="AZ78" s="5"/>
      <c r="BA78" s="1"/>
      <c r="BB78" s="1"/>
      <c r="BC78" s="1"/>
      <c r="BD78" s="6"/>
      <c r="BE78" s="1"/>
      <c r="BF78" s="6"/>
      <c r="BG78" s="6"/>
      <c r="BH78" s="1"/>
      <c r="BI78" s="1"/>
    </row>
    <row r="79" spans="25:61" s="13" customFormat="1" x14ac:dyDescent="0.2">
      <c r="Y79" s="1"/>
      <c r="Z79" s="1"/>
      <c r="AA79" s="1"/>
      <c r="AB79" s="1"/>
      <c r="AC79" s="1"/>
      <c r="AD79" s="1"/>
      <c r="AE79" s="1"/>
      <c r="AF79" s="1"/>
      <c r="AG79" s="1"/>
      <c r="AH79" s="1"/>
      <c r="AI79" s="1"/>
      <c r="AJ79" s="1"/>
      <c r="AK79" s="1"/>
      <c r="AL79" s="1"/>
      <c r="AM79" s="1"/>
      <c r="AN79" s="1"/>
      <c r="AO79" s="1"/>
      <c r="AP79" s="1"/>
      <c r="AQ79" s="2"/>
      <c r="AR79" s="3"/>
      <c r="AS79" s="1"/>
      <c r="AT79" s="1"/>
      <c r="AU79" s="4"/>
      <c r="AV79" s="4"/>
      <c r="AW79" s="4"/>
      <c r="AX79" s="5"/>
      <c r="AY79" s="4"/>
      <c r="AZ79" s="5"/>
      <c r="BA79" s="1"/>
      <c r="BB79" s="1"/>
      <c r="BC79" s="1"/>
      <c r="BD79" s="6"/>
      <c r="BE79" s="1"/>
      <c r="BF79" s="6"/>
      <c r="BG79" s="6"/>
      <c r="BH79" s="1"/>
      <c r="BI79" s="1"/>
    </row>
    <row r="80" spans="25:61" s="13" customFormat="1" x14ac:dyDescent="0.2">
      <c r="Y80" s="1"/>
      <c r="Z80" s="1"/>
      <c r="AA80" s="1"/>
      <c r="AB80" s="1"/>
      <c r="AC80" s="1"/>
      <c r="AD80" s="1"/>
      <c r="AE80" s="1"/>
      <c r="AF80" s="1"/>
      <c r="AG80" s="1"/>
      <c r="AH80" s="1"/>
      <c r="AI80" s="1"/>
      <c r="AJ80" s="1"/>
      <c r="AK80" s="1"/>
      <c r="AL80" s="1"/>
      <c r="AM80" s="1"/>
      <c r="AN80" s="1"/>
      <c r="AO80" s="1"/>
      <c r="AP80" s="1"/>
      <c r="AQ80" s="2"/>
      <c r="AR80" s="3"/>
      <c r="AS80" s="1"/>
      <c r="AT80" s="1"/>
      <c r="AU80" s="4"/>
      <c r="AV80" s="4"/>
      <c r="AW80" s="4"/>
      <c r="AX80" s="5"/>
      <c r="AY80" s="4"/>
      <c r="AZ80" s="5"/>
      <c r="BA80" s="1"/>
      <c r="BB80" s="1"/>
      <c r="BC80" s="1"/>
      <c r="BD80" s="6"/>
      <c r="BE80" s="1"/>
      <c r="BF80" s="6"/>
      <c r="BG80" s="6"/>
      <c r="BH80" s="1"/>
      <c r="BI80" s="1"/>
    </row>
    <row r="81" spans="25:61" s="13" customFormat="1" x14ac:dyDescent="0.2">
      <c r="Y81" s="1"/>
      <c r="Z81" s="1"/>
      <c r="AA81" s="1"/>
      <c r="AB81" s="1"/>
      <c r="AC81" s="1"/>
      <c r="AD81" s="1"/>
      <c r="AE81" s="1"/>
      <c r="AF81" s="1"/>
      <c r="AG81" s="1"/>
      <c r="AH81" s="1"/>
      <c r="AI81" s="1"/>
      <c r="AJ81" s="1"/>
      <c r="AK81" s="1"/>
      <c r="AL81" s="1"/>
      <c r="AM81" s="1"/>
      <c r="AN81" s="1"/>
      <c r="AO81" s="1"/>
      <c r="AP81" s="1"/>
      <c r="AQ81" s="2"/>
      <c r="AR81" s="3"/>
      <c r="AS81" s="1"/>
      <c r="AT81" s="1"/>
      <c r="AU81" s="4"/>
      <c r="AV81" s="4"/>
      <c r="AW81" s="4"/>
      <c r="AX81" s="5"/>
      <c r="AY81" s="4"/>
      <c r="AZ81" s="5"/>
      <c r="BA81" s="1"/>
      <c r="BB81" s="1"/>
      <c r="BC81" s="1"/>
      <c r="BD81" s="6"/>
      <c r="BE81" s="1"/>
      <c r="BF81" s="6"/>
      <c r="BG81" s="6"/>
      <c r="BH81" s="1"/>
      <c r="BI81" s="1"/>
    </row>
    <row r="82" spans="25:61" s="13" customFormat="1" x14ac:dyDescent="0.2">
      <c r="Y82" s="1"/>
      <c r="Z82" s="1"/>
      <c r="AA82" s="1"/>
      <c r="AB82" s="1"/>
      <c r="AC82" s="1"/>
      <c r="AD82" s="1"/>
      <c r="AE82" s="1"/>
      <c r="AF82" s="1"/>
      <c r="AG82" s="1"/>
      <c r="AH82" s="1"/>
      <c r="AI82" s="1"/>
      <c r="AJ82" s="1"/>
      <c r="AK82" s="1"/>
      <c r="AL82" s="1"/>
      <c r="AM82" s="1"/>
      <c r="AN82" s="1"/>
      <c r="AO82" s="1"/>
      <c r="AP82" s="1"/>
      <c r="AQ82" s="2"/>
      <c r="AR82" s="3"/>
      <c r="AS82" s="1"/>
      <c r="AT82" s="1"/>
      <c r="AU82" s="4"/>
      <c r="AV82" s="4"/>
      <c r="AW82" s="4"/>
      <c r="AX82" s="5"/>
      <c r="AY82" s="4"/>
      <c r="AZ82" s="5"/>
      <c r="BA82" s="1"/>
      <c r="BB82" s="1"/>
      <c r="BC82" s="1"/>
      <c r="BD82" s="6"/>
      <c r="BE82" s="1"/>
      <c r="BF82" s="6"/>
      <c r="BG82" s="6"/>
      <c r="BH82" s="1"/>
      <c r="BI82" s="1"/>
    </row>
    <row r="83" spans="25:61" s="13" customFormat="1" x14ac:dyDescent="0.2">
      <c r="Y83" s="1"/>
      <c r="Z83" s="1"/>
      <c r="AA83" s="1"/>
      <c r="AB83" s="1"/>
      <c r="AC83" s="1"/>
      <c r="AD83" s="1"/>
      <c r="AE83" s="1"/>
      <c r="AF83" s="1"/>
      <c r="AG83" s="1"/>
      <c r="AH83" s="1"/>
      <c r="AI83" s="1"/>
      <c r="AJ83" s="1"/>
      <c r="AK83" s="1"/>
      <c r="AL83" s="1"/>
      <c r="AM83" s="1"/>
      <c r="AN83" s="1"/>
      <c r="AO83" s="1"/>
      <c r="AP83" s="1"/>
      <c r="AQ83" s="2"/>
      <c r="AR83" s="3"/>
      <c r="AS83" s="1"/>
      <c r="AT83" s="1"/>
      <c r="AU83" s="4"/>
      <c r="AV83" s="4"/>
      <c r="AW83" s="4"/>
      <c r="AX83" s="5"/>
      <c r="AY83" s="4"/>
      <c r="AZ83" s="5"/>
      <c r="BA83" s="1"/>
      <c r="BB83" s="1"/>
      <c r="BC83" s="1"/>
      <c r="BD83" s="6"/>
      <c r="BE83" s="1"/>
      <c r="BF83" s="6"/>
      <c r="BG83" s="6"/>
      <c r="BH83" s="1"/>
      <c r="BI83" s="1"/>
    </row>
    <row r="84" spans="25:61" s="13" customFormat="1" x14ac:dyDescent="0.2">
      <c r="Y84" s="1"/>
      <c r="Z84" s="1"/>
      <c r="AA84" s="1"/>
      <c r="AB84" s="1"/>
      <c r="AC84" s="1"/>
      <c r="AD84" s="1"/>
      <c r="AE84" s="1"/>
      <c r="AF84" s="1"/>
      <c r="AG84" s="1"/>
      <c r="AH84" s="1"/>
      <c r="AI84" s="1"/>
      <c r="AJ84" s="1"/>
      <c r="AK84" s="1"/>
      <c r="AL84" s="1"/>
      <c r="AM84" s="1"/>
      <c r="AN84" s="1"/>
      <c r="AO84" s="1"/>
      <c r="AP84" s="1"/>
      <c r="AQ84" s="2"/>
      <c r="AR84" s="3"/>
      <c r="AS84" s="1"/>
      <c r="AT84" s="1"/>
      <c r="AU84" s="4"/>
      <c r="AV84" s="4"/>
      <c r="AW84" s="4"/>
      <c r="AX84" s="5"/>
      <c r="AY84" s="4"/>
      <c r="AZ84" s="5"/>
      <c r="BA84" s="1"/>
      <c r="BB84" s="1"/>
      <c r="BC84" s="1"/>
      <c r="BD84" s="6"/>
      <c r="BE84" s="1"/>
      <c r="BF84" s="6"/>
      <c r="BG84" s="6"/>
      <c r="BH84" s="1"/>
      <c r="BI84" s="1"/>
    </row>
    <row r="85" spans="25:61" s="13" customFormat="1" x14ac:dyDescent="0.2">
      <c r="Y85" s="1"/>
      <c r="Z85" s="1"/>
      <c r="AA85" s="1"/>
      <c r="AB85" s="1"/>
      <c r="AC85" s="1"/>
      <c r="AD85" s="1"/>
      <c r="AE85" s="1"/>
      <c r="AF85" s="1"/>
      <c r="AG85" s="1"/>
      <c r="AH85" s="1"/>
      <c r="AI85" s="1"/>
      <c r="AJ85" s="1"/>
      <c r="AK85" s="1"/>
      <c r="AL85" s="1"/>
      <c r="AM85" s="1"/>
      <c r="AN85" s="1"/>
      <c r="AO85" s="1"/>
      <c r="AP85" s="1"/>
      <c r="AQ85" s="2"/>
      <c r="AR85" s="3"/>
      <c r="AS85" s="1"/>
      <c r="AT85" s="1"/>
      <c r="AU85" s="4"/>
      <c r="AV85" s="4"/>
      <c r="AW85" s="4"/>
      <c r="AX85" s="5"/>
      <c r="AY85" s="4"/>
      <c r="AZ85" s="5"/>
      <c r="BA85" s="1"/>
      <c r="BB85" s="1"/>
      <c r="BC85" s="1"/>
      <c r="BD85" s="6"/>
      <c r="BE85" s="1"/>
      <c r="BF85" s="6"/>
      <c r="BG85" s="6"/>
      <c r="BH85" s="1"/>
      <c r="BI85" s="1"/>
    </row>
    <row r="86" spans="25:61" s="13" customFormat="1" x14ac:dyDescent="0.2">
      <c r="Y86" s="1"/>
      <c r="Z86" s="1"/>
      <c r="AA86" s="1"/>
      <c r="AB86" s="1"/>
      <c r="AC86" s="1"/>
      <c r="AD86" s="1"/>
      <c r="AE86" s="1"/>
      <c r="AF86" s="1"/>
      <c r="AG86" s="1"/>
      <c r="AH86" s="1"/>
      <c r="AI86" s="1"/>
      <c r="AJ86" s="1"/>
      <c r="AK86" s="1"/>
      <c r="AL86" s="1"/>
      <c r="AM86" s="1"/>
      <c r="AN86" s="1"/>
      <c r="AO86" s="1"/>
      <c r="AP86" s="1"/>
      <c r="AQ86" s="2"/>
      <c r="AR86" s="3"/>
      <c r="AS86" s="1"/>
      <c r="AT86" s="1"/>
      <c r="AU86" s="4"/>
      <c r="AV86" s="4"/>
      <c r="AW86" s="4"/>
      <c r="AX86" s="5"/>
      <c r="AY86" s="4"/>
      <c r="AZ86" s="5"/>
      <c r="BA86" s="1"/>
      <c r="BB86" s="1"/>
      <c r="BC86" s="1"/>
      <c r="BD86" s="6"/>
      <c r="BE86" s="1"/>
      <c r="BF86" s="6"/>
      <c r="BG86" s="6"/>
      <c r="BH86" s="1"/>
      <c r="BI86" s="1"/>
    </row>
    <row r="87" spans="25:61" s="13" customFormat="1" x14ac:dyDescent="0.2">
      <c r="Y87" s="1"/>
      <c r="Z87" s="1"/>
      <c r="AA87" s="1"/>
      <c r="AB87" s="1"/>
      <c r="AC87" s="1"/>
      <c r="AD87" s="1"/>
      <c r="AE87" s="1"/>
      <c r="AF87" s="1"/>
      <c r="AG87" s="1"/>
      <c r="AH87" s="1"/>
      <c r="AI87" s="1"/>
      <c r="AJ87" s="1"/>
      <c r="AK87" s="1"/>
      <c r="AL87" s="1"/>
      <c r="AM87" s="1"/>
      <c r="AN87" s="1"/>
      <c r="AO87" s="1"/>
      <c r="AP87" s="1"/>
      <c r="AQ87" s="2"/>
      <c r="AR87" s="3"/>
      <c r="AS87" s="1"/>
      <c r="AT87" s="1"/>
      <c r="AU87" s="4"/>
      <c r="AV87" s="4"/>
      <c r="AW87" s="4"/>
      <c r="AX87" s="5"/>
      <c r="AY87" s="4"/>
      <c r="AZ87" s="5"/>
      <c r="BA87" s="1"/>
      <c r="BB87" s="1"/>
      <c r="BC87" s="1"/>
      <c r="BD87" s="6"/>
      <c r="BE87" s="1"/>
      <c r="BF87" s="6"/>
      <c r="BG87" s="6"/>
      <c r="BH87" s="1"/>
      <c r="BI87" s="1"/>
    </row>
    <row r="88" spans="25:61" s="13" customFormat="1" x14ac:dyDescent="0.2">
      <c r="Y88" s="1"/>
      <c r="Z88" s="1"/>
      <c r="AA88" s="1"/>
      <c r="AB88" s="1"/>
      <c r="AC88" s="1"/>
      <c r="AD88" s="1"/>
      <c r="AE88" s="1"/>
      <c r="AF88" s="1"/>
      <c r="AG88" s="1"/>
      <c r="AH88" s="1"/>
      <c r="AI88" s="1"/>
      <c r="AJ88" s="1"/>
      <c r="AK88" s="1"/>
      <c r="AL88" s="1"/>
      <c r="AM88" s="1"/>
      <c r="AN88" s="1"/>
      <c r="AO88" s="1"/>
      <c r="AP88" s="1"/>
      <c r="AQ88" s="2"/>
      <c r="AR88" s="3"/>
      <c r="AS88" s="1"/>
      <c r="AT88" s="1"/>
      <c r="AU88" s="4"/>
      <c r="AV88" s="4"/>
      <c r="AW88" s="4"/>
      <c r="AX88" s="5"/>
      <c r="AY88" s="4"/>
      <c r="AZ88" s="5"/>
      <c r="BA88" s="1"/>
      <c r="BB88" s="1"/>
      <c r="BC88" s="1"/>
      <c r="BD88" s="6"/>
      <c r="BE88" s="1"/>
      <c r="BF88" s="6"/>
      <c r="BG88" s="6"/>
      <c r="BH88" s="1"/>
      <c r="BI88" s="1"/>
    </row>
    <row r="89" spans="25:61" s="13" customFormat="1" x14ac:dyDescent="0.2">
      <c r="Y89" s="1"/>
      <c r="Z89" s="1"/>
      <c r="AA89" s="1"/>
      <c r="AB89" s="1"/>
      <c r="AC89" s="1"/>
      <c r="AD89" s="1"/>
      <c r="AE89" s="1"/>
      <c r="AF89" s="1"/>
      <c r="AG89" s="1"/>
      <c r="AH89" s="1"/>
      <c r="AI89" s="1"/>
      <c r="AJ89" s="1"/>
      <c r="AK89" s="1"/>
      <c r="AL89" s="1"/>
      <c r="AM89" s="1"/>
      <c r="AN89" s="1"/>
      <c r="AO89" s="1"/>
      <c r="AP89" s="1"/>
      <c r="AQ89" s="2"/>
      <c r="AR89" s="3"/>
      <c r="AS89" s="1"/>
      <c r="AT89" s="1"/>
      <c r="AU89" s="4"/>
      <c r="AV89" s="4"/>
      <c r="AW89" s="4"/>
      <c r="AX89" s="5"/>
      <c r="AY89" s="4"/>
      <c r="AZ89" s="5"/>
      <c r="BA89" s="1"/>
      <c r="BB89" s="1"/>
      <c r="BC89" s="1"/>
      <c r="BD89" s="6"/>
      <c r="BE89" s="1"/>
      <c r="BF89" s="6"/>
      <c r="BG89" s="6"/>
      <c r="BH89" s="1"/>
      <c r="BI89" s="1"/>
    </row>
    <row r="90" spans="25:61" s="13" customFormat="1" x14ac:dyDescent="0.2">
      <c r="Y90" s="1"/>
      <c r="Z90" s="1"/>
      <c r="AA90" s="1"/>
      <c r="AB90" s="1"/>
      <c r="AC90" s="1"/>
      <c r="AD90" s="1"/>
      <c r="AE90" s="1"/>
      <c r="AF90" s="1"/>
      <c r="AG90" s="1"/>
      <c r="AH90" s="1"/>
      <c r="AI90" s="1"/>
      <c r="AJ90" s="1"/>
      <c r="AK90" s="1"/>
      <c r="AL90" s="1"/>
      <c r="AM90" s="1"/>
      <c r="AN90" s="1"/>
      <c r="AO90" s="1"/>
      <c r="AP90" s="1"/>
      <c r="AQ90" s="2"/>
      <c r="AR90" s="3"/>
      <c r="AS90" s="1"/>
      <c r="AT90" s="1"/>
      <c r="AU90" s="4"/>
      <c r="AV90" s="4"/>
      <c r="AW90" s="4"/>
      <c r="AX90" s="5"/>
      <c r="AY90" s="4"/>
      <c r="AZ90" s="5"/>
      <c r="BA90" s="1"/>
      <c r="BB90" s="1"/>
      <c r="BC90" s="1"/>
      <c r="BD90" s="6"/>
      <c r="BE90" s="1"/>
      <c r="BF90" s="6"/>
      <c r="BG90" s="6"/>
      <c r="BH90" s="1"/>
      <c r="BI90" s="1"/>
    </row>
    <row r="91" spans="25:61" s="13" customFormat="1" x14ac:dyDescent="0.2">
      <c r="Y91" s="1"/>
      <c r="Z91" s="1"/>
      <c r="AA91" s="1"/>
      <c r="AB91" s="1"/>
      <c r="AC91" s="1"/>
      <c r="AD91" s="1"/>
      <c r="AE91" s="1"/>
      <c r="AF91" s="1"/>
      <c r="AG91" s="1"/>
      <c r="AH91" s="1"/>
      <c r="AI91" s="1"/>
      <c r="AJ91" s="1"/>
      <c r="AK91" s="1"/>
      <c r="AL91" s="1"/>
      <c r="AM91" s="1"/>
      <c r="AN91" s="1"/>
      <c r="AO91" s="1"/>
      <c r="AP91" s="1"/>
      <c r="AQ91" s="2"/>
      <c r="AR91" s="3"/>
      <c r="AS91" s="1"/>
      <c r="AT91" s="1"/>
      <c r="AU91" s="4"/>
      <c r="AV91" s="4"/>
      <c r="AW91" s="4"/>
      <c r="AX91" s="5"/>
      <c r="AY91" s="4"/>
      <c r="AZ91" s="5"/>
      <c r="BA91" s="1"/>
      <c r="BB91" s="1"/>
      <c r="BC91" s="1"/>
      <c r="BD91" s="6"/>
      <c r="BE91" s="1"/>
      <c r="BF91" s="6"/>
      <c r="BG91" s="6"/>
      <c r="BH91" s="1"/>
      <c r="BI91" s="1"/>
    </row>
    <row r="92" spans="25:61" s="13" customFormat="1" x14ac:dyDescent="0.2">
      <c r="Y92" s="1"/>
      <c r="Z92" s="1"/>
      <c r="AA92" s="1"/>
      <c r="AB92" s="1"/>
      <c r="AC92" s="1"/>
      <c r="AD92" s="1"/>
      <c r="AE92" s="1"/>
      <c r="AF92" s="1"/>
      <c r="AG92" s="1"/>
      <c r="AH92" s="1"/>
      <c r="AI92" s="1"/>
      <c r="AJ92" s="1"/>
      <c r="AK92" s="1"/>
      <c r="AL92" s="1"/>
      <c r="AM92" s="1"/>
      <c r="AN92" s="1"/>
      <c r="AO92" s="1"/>
      <c r="AP92" s="1"/>
      <c r="AQ92" s="2"/>
      <c r="AR92" s="3"/>
      <c r="AS92" s="1"/>
      <c r="AT92" s="1"/>
      <c r="AU92" s="4"/>
      <c r="AV92" s="4"/>
      <c r="AW92" s="4"/>
      <c r="AX92" s="5"/>
      <c r="AY92" s="4"/>
      <c r="AZ92" s="5"/>
      <c r="BA92" s="1"/>
      <c r="BB92" s="1"/>
      <c r="BC92" s="1"/>
      <c r="BD92" s="6"/>
      <c r="BE92" s="1"/>
      <c r="BF92" s="6"/>
      <c r="BG92" s="6"/>
      <c r="BH92" s="1"/>
      <c r="BI92" s="1"/>
    </row>
    <row r="93" spans="25:61" s="13" customFormat="1" x14ac:dyDescent="0.2">
      <c r="Y93" s="1"/>
      <c r="Z93" s="1"/>
      <c r="AA93" s="1"/>
      <c r="AB93" s="1"/>
      <c r="AC93" s="1"/>
      <c r="AD93" s="1"/>
      <c r="AE93" s="1"/>
      <c r="AF93" s="1"/>
      <c r="AG93" s="1"/>
      <c r="AH93" s="1"/>
      <c r="AI93" s="1"/>
      <c r="AJ93" s="1"/>
      <c r="AK93" s="1"/>
      <c r="AL93" s="1"/>
      <c r="AM93" s="1"/>
      <c r="AN93" s="1"/>
      <c r="AO93" s="1"/>
      <c r="AP93" s="1"/>
      <c r="AQ93" s="2"/>
      <c r="AR93" s="3"/>
      <c r="AS93" s="1"/>
      <c r="AT93" s="1"/>
      <c r="AU93" s="4"/>
      <c r="AV93" s="4"/>
      <c r="AW93" s="4"/>
      <c r="AX93" s="5"/>
      <c r="AY93" s="4"/>
      <c r="AZ93" s="5"/>
      <c r="BA93" s="1"/>
      <c r="BB93" s="1"/>
      <c r="BC93" s="1"/>
      <c r="BD93" s="6"/>
      <c r="BE93" s="1"/>
      <c r="BF93" s="6"/>
      <c r="BG93" s="6"/>
      <c r="BH93" s="1"/>
      <c r="BI93" s="1"/>
    </row>
    <row r="94" spans="25:61" x14ac:dyDescent="0.2">
      <c r="Y94" s="1"/>
      <c r="Z94" s="1"/>
      <c r="AA94" s="1"/>
      <c r="AB94" s="1"/>
      <c r="AC94" s="1"/>
      <c r="AD94" s="1"/>
      <c r="AE94" s="1"/>
      <c r="AF94" s="1"/>
      <c r="AG94" s="1"/>
      <c r="AH94" s="1"/>
      <c r="AI94" s="1"/>
      <c r="AJ94" s="1"/>
      <c r="AK94" s="1"/>
      <c r="AL94" s="1"/>
      <c r="AM94" s="1"/>
      <c r="AN94" s="1"/>
      <c r="AO94" s="1"/>
      <c r="AP94" s="1"/>
      <c r="AQ94" s="2"/>
      <c r="AR94" s="3"/>
      <c r="AS94" s="1"/>
      <c r="AT94" s="1"/>
      <c r="AU94" s="4"/>
      <c r="AV94" s="4"/>
      <c r="AW94" s="4"/>
      <c r="AX94" s="5"/>
      <c r="AY94" s="4"/>
      <c r="AZ94" s="5"/>
      <c r="BA94" s="1"/>
      <c r="BB94" s="1"/>
      <c r="BC94" s="1"/>
      <c r="BD94" s="6"/>
      <c r="BE94" s="1"/>
      <c r="BF94" s="6"/>
      <c r="BG94" s="6"/>
      <c r="BH94" s="1"/>
      <c r="BI94" s="1"/>
    </row>
    <row r="95" spans="25:61" x14ac:dyDescent="0.2">
      <c r="Y95" s="1"/>
      <c r="Z95" s="1"/>
      <c r="AA95" s="1"/>
      <c r="AB95" s="1"/>
      <c r="AC95" s="1"/>
      <c r="AD95" s="1"/>
      <c r="AE95" s="1"/>
      <c r="AF95" s="1"/>
      <c r="AG95" s="1"/>
      <c r="AH95" s="1"/>
      <c r="AI95" s="1"/>
      <c r="AJ95" s="1"/>
      <c r="AK95" s="1"/>
      <c r="AL95" s="1"/>
      <c r="AM95" s="1"/>
      <c r="AN95" s="1"/>
      <c r="AO95" s="1"/>
      <c r="AP95" s="1"/>
      <c r="AQ95" s="2"/>
      <c r="AR95" s="3"/>
      <c r="AS95" s="1"/>
      <c r="AT95" s="1"/>
      <c r="AU95" s="4"/>
      <c r="AV95" s="4"/>
      <c r="AW95" s="4"/>
      <c r="AX95" s="5"/>
      <c r="AY95" s="4"/>
      <c r="AZ95" s="5"/>
      <c r="BA95" s="1"/>
      <c r="BB95" s="1"/>
      <c r="BC95" s="1"/>
      <c r="BD95" s="6"/>
      <c r="BE95" s="1"/>
      <c r="BF95" s="6"/>
      <c r="BG95" s="6"/>
      <c r="BH95" s="1"/>
      <c r="BI95" s="1"/>
    </row>
    <row r="96" spans="25:61" x14ac:dyDescent="0.2">
      <c r="Y96" s="1"/>
      <c r="Z96" s="1"/>
      <c r="AA96" s="1"/>
      <c r="AB96" s="1"/>
      <c r="AC96" s="1"/>
      <c r="AD96" s="1"/>
      <c r="AE96" s="1"/>
      <c r="AF96" s="1"/>
      <c r="AG96" s="1"/>
      <c r="AH96" s="1"/>
      <c r="AI96" s="1"/>
      <c r="AJ96" s="1"/>
      <c r="AK96" s="1"/>
      <c r="AL96" s="1"/>
      <c r="AM96" s="1"/>
      <c r="AN96" s="1"/>
      <c r="AO96" s="1"/>
      <c r="AP96" s="1"/>
      <c r="AQ96" s="2"/>
      <c r="AR96" s="3"/>
      <c r="AS96" s="1"/>
      <c r="AT96" s="1"/>
      <c r="AU96" s="4"/>
      <c r="AV96" s="4"/>
      <c r="AW96" s="4"/>
      <c r="AX96" s="5"/>
      <c r="AY96" s="4"/>
      <c r="AZ96" s="5"/>
      <c r="BA96" s="1"/>
      <c r="BB96" s="1"/>
      <c r="BC96" s="1"/>
      <c r="BD96" s="6"/>
      <c r="BE96" s="1"/>
      <c r="BF96" s="6"/>
      <c r="BG96" s="6"/>
      <c r="BH96" s="1"/>
      <c r="BI96" s="1"/>
    </row>
    <row r="97" spans="25:61" x14ac:dyDescent="0.2">
      <c r="Y97" s="1"/>
      <c r="Z97" s="1"/>
      <c r="AA97" s="1"/>
      <c r="AB97" s="1"/>
      <c r="AC97" s="1"/>
      <c r="AD97" s="1"/>
      <c r="AE97" s="1"/>
      <c r="AF97" s="1"/>
      <c r="AG97" s="1"/>
      <c r="AH97" s="1"/>
      <c r="AI97" s="1"/>
      <c r="AJ97" s="1"/>
      <c r="AK97" s="1"/>
      <c r="AL97" s="1"/>
      <c r="AM97" s="1"/>
      <c r="AN97" s="1"/>
      <c r="AO97" s="1"/>
      <c r="AP97" s="1"/>
      <c r="AQ97" s="2"/>
      <c r="AR97" s="3"/>
      <c r="AS97" s="1"/>
      <c r="AT97" s="1"/>
      <c r="AU97" s="4"/>
      <c r="AV97" s="4"/>
      <c r="AW97" s="4"/>
      <c r="AX97" s="5"/>
      <c r="AY97" s="4"/>
      <c r="AZ97" s="5"/>
      <c r="BA97" s="1"/>
      <c r="BB97" s="1"/>
      <c r="BC97" s="1"/>
      <c r="BD97" s="6"/>
      <c r="BE97" s="1"/>
      <c r="BF97" s="6"/>
      <c r="BG97" s="6"/>
      <c r="BH97" s="1"/>
      <c r="BI97" s="1"/>
    </row>
    <row r="98" spans="25:61" x14ac:dyDescent="0.2">
      <c r="Y98" s="1"/>
      <c r="Z98" s="1"/>
      <c r="AA98" s="1"/>
      <c r="AB98" s="1"/>
      <c r="AC98" s="1"/>
      <c r="AD98" s="1"/>
      <c r="AE98" s="1"/>
      <c r="AF98" s="1"/>
      <c r="AG98" s="1"/>
      <c r="AH98" s="1"/>
      <c r="AI98" s="1"/>
      <c r="AJ98" s="1"/>
      <c r="AK98" s="1"/>
      <c r="AL98" s="1"/>
      <c r="AM98" s="1"/>
      <c r="AN98" s="1"/>
      <c r="AO98" s="1"/>
      <c r="AP98" s="1"/>
      <c r="AQ98" s="2"/>
      <c r="AR98" s="3"/>
      <c r="AS98" s="1"/>
      <c r="AT98" s="1"/>
      <c r="AU98" s="4"/>
      <c r="AV98" s="4"/>
      <c r="AW98" s="4"/>
      <c r="AX98" s="5"/>
      <c r="AY98" s="4"/>
      <c r="AZ98" s="5"/>
      <c r="BA98" s="1"/>
      <c r="BB98" s="1"/>
      <c r="BC98" s="1"/>
      <c r="BD98" s="6"/>
      <c r="BE98" s="1"/>
      <c r="BF98" s="6"/>
      <c r="BG98" s="6"/>
      <c r="BH98" s="1"/>
      <c r="BI98" s="1"/>
    </row>
    <row r="99" spans="25:61" x14ac:dyDescent="0.2">
      <c r="Y99" s="1"/>
      <c r="Z99" s="1"/>
      <c r="AA99" s="1"/>
      <c r="AB99" s="1"/>
      <c r="AC99" s="1"/>
      <c r="AD99" s="1"/>
      <c r="AE99" s="1"/>
      <c r="AF99" s="1"/>
      <c r="AG99" s="1"/>
      <c r="AH99" s="1"/>
      <c r="AI99" s="1"/>
      <c r="AJ99" s="1"/>
      <c r="AK99" s="1"/>
      <c r="AL99" s="1"/>
      <c r="AM99" s="1"/>
      <c r="AN99" s="1"/>
      <c r="AO99" s="1"/>
      <c r="AP99" s="1"/>
      <c r="AQ99" s="2"/>
      <c r="AR99" s="3"/>
      <c r="AS99" s="1"/>
      <c r="AT99" s="1"/>
      <c r="AU99" s="4"/>
      <c r="AV99" s="4"/>
      <c r="AW99" s="4"/>
      <c r="AX99" s="5"/>
      <c r="AY99" s="4"/>
      <c r="AZ99" s="5"/>
      <c r="BA99" s="1"/>
      <c r="BB99" s="1"/>
      <c r="BC99" s="1"/>
      <c r="BD99" s="6"/>
      <c r="BE99" s="1"/>
      <c r="BF99" s="6"/>
      <c r="BG99" s="6"/>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2"/>
      <c r="AR100" s="3"/>
      <c r="AS100" s="1"/>
      <c r="AT100" s="1"/>
      <c r="AU100" s="4"/>
      <c r="AV100" s="4"/>
      <c r="AW100" s="4"/>
      <c r="AX100" s="5"/>
      <c r="AY100" s="4"/>
      <c r="AZ100" s="5"/>
      <c r="BA100" s="1"/>
      <c r="BB100" s="1"/>
      <c r="BC100" s="1"/>
      <c r="BD100" s="6"/>
      <c r="BE100" s="1"/>
      <c r="BF100" s="6"/>
      <c r="BG100" s="6"/>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2"/>
      <c r="AR101" s="3"/>
      <c r="AS101" s="1"/>
      <c r="AT101" s="1"/>
      <c r="AU101" s="4"/>
      <c r="AV101" s="4"/>
      <c r="AW101" s="4"/>
      <c r="AX101" s="5"/>
      <c r="AY101" s="4"/>
      <c r="AZ101" s="5"/>
      <c r="BA101" s="1"/>
      <c r="BB101" s="1"/>
      <c r="BC101" s="1"/>
      <c r="BD101" s="6"/>
      <c r="BE101" s="1"/>
      <c r="BF101" s="6"/>
      <c r="BG101" s="6"/>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2"/>
      <c r="AR102" s="3"/>
      <c r="AS102" s="1"/>
      <c r="AT102" s="1"/>
      <c r="AU102" s="4"/>
      <c r="AV102" s="4"/>
      <c r="AW102" s="4"/>
      <c r="AX102" s="5"/>
      <c r="AY102" s="4"/>
      <c r="AZ102" s="5"/>
      <c r="BA102" s="1"/>
      <c r="BB102" s="1"/>
      <c r="BC102" s="1"/>
      <c r="BD102" s="6"/>
      <c r="BE102" s="1"/>
      <c r="BF102" s="6"/>
      <c r="BG102" s="6"/>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2"/>
      <c r="AR103" s="3"/>
      <c r="AS103" s="1"/>
      <c r="AT103" s="1"/>
      <c r="AU103" s="4"/>
      <c r="AV103" s="4"/>
      <c r="AW103" s="4"/>
      <c r="AX103" s="5"/>
      <c r="AY103" s="4"/>
      <c r="AZ103" s="5"/>
      <c r="BA103" s="1"/>
      <c r="BB103" s="1"/>
      <c r="BC103" s="1"/>
      <c r="BD103" s="6"/>
      <c r="BE103" s="1"/>
      <c r="BF103" s="6"/>
      <c r="BG103" s="6"/>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2"/>
      <c r="AR104" s="3"/>
      <c r="AS104" s="1"/>
      <c r="AT104" s="1"/>
      <c r="AU104" s="4"/>
      <c r="AV104" s="4"/>
      <c r="AW104" s="4"/>
      <c r="AX104" s="5"/>
      <c r="AY104" s="4"/>
      <c r="AZ104" s="5"/>
      <c r="BA104" s="1"/>
      <c r="BB104" s="1"/>
      <c r="BC104" s="1"/>
      <c r="BD104" s="6"/>
      <c r="BE104" s="1"/>
      <c r="BF104" s="6"/>
      <c r="BG104" s="6"/>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2"/>
      <c r="AR105" s="3"/>
      <c r="AS105" s="1"/>
      <c r="AT105" s="1"/>
      <c r="AU105" s="4"/>
      <c r="AV105" s="4"/>
      <c r="AW105" s="4"/>
      <c r="AX105" s="5"/>
      <c r="AY105" s="4"/>
      <c r="AZ105" s="5"/>
      <c r="BA105" s="1"/>
      <c r="BB105" s="1"/>
      <c r="BC105" s="1"/>
      <c r="BD105" s="6"/>
      <c r="BE105" s="1"/>
      <c r="BF105" s="6"/>
      <c r="BG105" s="6"/>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2"/>
      <c r="AR106" s="3"/>
      <c r="AS106" s="1"/>
      <c r="AT106" s="1"/>
      <c r="AU106" s="4"/>
      <c r="AV106" s="4"/>
      <c r="AW106" s="4"/>
      <c r="AX106" s="5"/>
      <c r="AY106" s="4"/>
      <c r="AZ106" s="5"/>
      <c r="BA106" s="1"/>
      <c r="BB106" s="1"/>
      <c r="BC106" s="1"/>
      <c r="BD106" s="6"/>
      <c r="BE106" s="1"/>
      <c r="BF106" s="6"/>
      <c r="BG106" s="6"/>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2"/>
      <c r="AR107" s="3"/>
      <c r="AS107" s="1"/>
      <c r="AT107" s="1"/>
      <c r="AU107" s="4"/>
      <c r="AV107" s="4"/>
      <c r="AW107" s="4"/>
      <c r="AX107" s="5"/>
      <c r="AY107" s="4"/>
      <c r="AZ107" s="5"/>
      <c r="BA107" s="1"/>
      <c r="BB107" s="1"/>
      <c r="BC107" s="1"/>
      <c r="BD107" s="6"/>
      <c r="BE107" s="1"/>
      <c r="BF107" s="6"/>
      <c r="BG107" s="6"/>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2"/>
      <c r="AR108" s="3"/>
      <c r="AS108" s="1"/>
      <c r="AT108" s="1"/>
      <c r="AU108" s="4"/>
      <c r="AV108" s="4"/>
      <c r="AW108" s="4"/>
      <c r="AX108" s="5"/>
      <c r="AY108" s="4"/>
      <c r="AZ108" s="5"/>
      <c r="BA108" s="1"/>
      <c r="BB108" s="1"/>
      <c r="BC108" s="1"/>
      <c r="BD108" s="6"/>
      <c r="BE108" s="1"/>
      <c r="BF108" s="6"/>
      <c r="BG108" s="6"/>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2"/>
      <c r="AR109" s="3"/>
      <c r="AS109" s="1"/>
      <c r="AT109" s="1"/>
      <c r="AU109" s="4"/>
      <c r="AV109" s="4"/>
      <c r="AW109" s="4"/>
      <c r="AX109" s="5"/>
      <c r="AY109" s="4"/>
      <c r="AZ109" s="5"/>
      <c r="BA109" s="1"/>
      <c r="BB109" s="1"/>
      <c r="BC109" s="1"/>
      <c r="BD109" s="6"/>
      <c r="BE109" s="1"/>
      <c r="BF109" s="6"/>
      <c r="BG109" s="6"/>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2"/>
      <c r="AR110" s="3"/>
      <c r="AS110" s="1"/>
      <c r="AT110" s="1"/>
      <c r="AU110" s="4"/>
      <c r="AV110" s="4"/>
      <c r="AW110" s="4"/>
      <c r="AX110" s="5"/>
      <c r="AY110" s="4"/>
      <c r="AZ110" s="5"/>
      <c r="BA110" s="1"/>
      <c r="BB110" s="1"/>
      <c r="BC110" s="1"/>
      <c r="BD110" s="6"/>
      <c r="BE110" s="1"/>
      <c r="BF110" s="6"/>
      <c r="BG110" s="6"/>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2"/>
      <c r="AR111" s="3"/>
      <c r="AS111" s="1"/>
      <c r="AT111" s="1"/>
      <c r="AU111" s="4"/>
      <c r="AV111" s="4"/>
      <c r="AW111" s="4"/>
      <c r="AX111" s="5"/>
      <c r="AY111" s="4"/>
      <c r="AZ111" s="5"/>
      <c r="BA111" s="1"/>
      <c r="BB111" s="1"/>
      <c r="BC111" s="1"/>
      <c r="BD111" s="6"/>
      <c r="BE111" s="1"/>
      <c r="BF111" s="6"/>
      <c r="BG111" s="6"/>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2"/>
      <c r="AR112" s="3"/>
      <c r="AS112" s="1"/>
      <c r="AT112" s="1"/>
      <c r="AU112" s="4"/>
      <c r="AV112" s="4"/>
      <c r="AW112" s="4"/>
      <c r="AX112" s="5"/>
      <c r="AY112" s="4"/>
      <c r="AZ112" s="5"/>
      <c r="BA112" s="1"/>
      <c r="BB112" s="1"/>
      <c r="BC112" s="1"/>
      <c r="BD112" s="6"/>
      <c r="BE112" s="1"/>
      <c r="BF112" s="6"/>
      <c r="BG112" s="6"/>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2"/>
      <c r="AR113" s="3"/>
      <c r="AS113" s="1"/>
      <c r="AT113" s="1"/>
      <c r="AU113" s="4"/>
      <c r="AV113" s="4"/>
      <c r="AW113" s="4"/>
      <c r="AX113" s="5"/>
      <c r="AY113" s="4"/>
      <c r="AZ113" s="5"/>
      <c r="BA113" s="1"/>
      <c r="BB113" s="1"/>
      <c r="BC113" s="1"/>
      <c r="BD113" s="6"/>
      <c r="BE113" s="1"/>
      <c r="BF113" s="6"/>
      <c r="BG113" s="6"/>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2"/>
      <c r="AR114" s="3"/>
      <c r="AS114" s="1"/>
      <c r="AT114" s="1"/>
      <c r="AU114" s="4"/>
      <c r="AV114" s="4"/>
      <c r="AW114" s="4"/>
      <c r="AX114" s="5"/>
      <c r="AY114" s="4"/>
      <c r="AZ114" s="5"/>
      <c r="BA114" s="1"/>
      <c r="BB114" s="1"/>
      <c r="BC114" s="1"/>
      <c r="BD114" s="6"/>
      <c r="BE114" s="1"/>
      <c r="BF114" s="6"/>
      <c r="BG114" s="6"/>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2"/>
      <c r="AR115" s="3"/>
      <c r="AS115" s="1"/>
      <c r="AT115" s="1"/>
      <c r="AU115" s="4"/>
      <c r="AV115" s="4"/>
      <c r="AW115" s="4"/>
      <c r="AX115" s="5"/>
      <c r="AY115" s="4"/>
      <c r="AZ115" s="5"/>
      <c r="BA115" s="1"/>
      <c r="BB115" s="1"/>
      <c r="BC115" s="1"/>
      <c r="BD115" s="6"/>
      <c r="BE115" s="1"/>
      <c r="BF115" s="6"/>
      <c r="BG115" s="6"/>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2"/>
      <c r="AR116" s="3"/>
      <c r="AS116" s="1"/>
      <c r="AT116" s="1"/>
      <c r="AU116" s="4"/>
      <c r="AV116" s="4"/>
      <c r="AW116" s="4"/>
      <c r="AX116" s="5"/>
      <c r="AY116" s="4"/>
      <c r="AZ116" s="5"/>
      <c r="BA116" s="1"/>
      <c r="BB116" s="1"/>
      <c r="BC116" s="1"/>
      <c r="BD116" s="6"/>
      <c r="BE116" s="1"/>
      <c r="BF116" s="6"/>
      <c r="BG116" s="6"/>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2"/>
      <c r="AR117" s="3"/>
      <c r="AS117" s="1"/>
      <c r="AT117" s="1"/>
      <c r="AU117" s="4"/>
      <c r="AV117" s="4"/>
      <c r="AW117" s="4"/>
      <c r="AX117" s="5"/>
      <c r="AY117" s="4"/>
      <c r="AZ117" s="5"/>
      <c r="BA117" s="1"/>
      <c r="BB117" s="1"/>
      <c r="BC117" s="1"/>
      <c r="BD117" s="6"/>
      <c r="BE117" s="1"/>
      <c r="BF117" s="6"/>
      <c r="BG117" s="6"/>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2"/>
      <c r="AR118" s="3"/>
      <c r="AS118" s="1"/>
      <c r="AT118" s="1"/>
      <c r="AU118" s="4"/>
      <c r="AV118" s="4"/>
      <c r="AW118" s="4"/>
      <c r="AX118" s="5"/>
      <c r="AY118" s="4"/>
      <c r="AZ118" s="5"/>
      <c r="BA118" s="1"/>
      <c r="BB118" s="1"/>
      <c r="BC118" s="1"/>
      <c r="BD118" s="6"/>
      <c r="BE118" s="1"/>
      <c r="BF118" s="6"/>
      <c r="BG118" s="6"/>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2"/>
      <c r="AR119" s="3"/>
      <c r="AS119" s="1"/>
      <c r="AT119" s="1"/>
      <c r="AU119" s="4"/>
      <c r="AV119" s="4"/>
      <c r="AW119" s="4"/>
      <c r="AX119" s="5"/>
      <c r="AY119" s="4"/>
      <c r="AZ119" s="5"/>
      <c r="BA119" s="1"/>
      <c r="BB119" s="1"/>
      <c r="BC119" s="1"/>
      <c r="BD119" s="6"/>
      <c r="BE119" s="1"/>
      <c r="BF119" s="6"/>
      <c r="BG119" s="6"/>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2"/>
      <c r="AR120" s="3"/>
      <c r="AS120" s="1"/>
      <c r="AT120" s="1"/>
      <c r="AU120" s="4"/>
      <c r="AV120" s="4"/>
      <c r="AW120" s="4"/>
      <c r="AX120" s="5"/>
      <c r="AY120" s="4"/>
      <c r="AZ120" s="5"/>
      <c r="BA120" s="1"/>
      <c r="BB120" s="1"/>
      <c r="BC120" s="1"/>
      <c r="BD120" s="6"/>
      <c r="BE120" s="1"/>
      <c r="BF120" s="6"/>
      <c r="BG120" s="6"/>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2"/>
      <c r="AR121" s="3"/>
      <c r="AS121" s="1"/>
      <c r="AT121" s="1"/>
      <c r="AU121" s="4"/>
      <c r="AV121" s="4"/>
      <c r="AW121" s="4"/>
      <c r="AX121" s="5"/>
      <c r="AY121" s="4"/>
      <c r="AZ121" s="5"/>
      <c r="BA121" s="1"/>
      <c r="BB121" s="1"/>
      <c r="BC121" s="1"/>
      <c r="BD121" s="6"/>
      <c r="BE121" s="1"/>
      <c r="BF121" s="6"/>
      <c r="BG121" s="6"/>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2"/>
      <c r="AR122" s="3"/>
      <c r="AS122" s="1"/>
      <c r="AT122" s="1"/>
      <c r="AU122" s="4"/>
      <c r="AV122" s="4"/>
      <c r="AW122" s="4"/>
      <c r="AX122" s="5"/>
      <c r="AY122" s="4"/>
      <c r="AZ122" s="5"/>
      <c r="BA122" s="1"/>
      <c r="BB122" s="1"/>
      <c r="BC122" s="1"/>
      <c r="BD122" s="6"/>
      <c r="BE122" s="1"/>
      <c r="BF122" s="6"/>
      <c r="BG122" s="6"/>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2"/>
      <c r="AR123" s="3"/>
      <c r="AS123" s="1"/>
      <c r="AT123" s="1"/>
      <c r="AU123" s="4"/>
      <c r="AV123" s="4"/>
      <c r="AW123" s="4"/>
      <c r="AX123" s="5"/>
      <c r="AY123" s="4"/>
      <c r="AZ123" s="5"/>
      <c r="BA123" s="1"/>
      <c r="BB123" s="1"/>
      <c r="BC123" s="1"/>
      <c r="BD123" s="6"/>
      <c r="BE123" s="1"/>
      <c r="BF123" s="6"/>
      <c r="BG123" s="6"/>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2"/>
      <c r="AR124" s="3"/>
      <c r="AS124" s="1"/>
      <c r="AT124" s="1"/>
      <c r="AU124" s="4"/>
      <c r="AV124" s="4"/>
      <c r="AW124" s="4"/>
      <c r="AX124" s="5"/>
      <c r="AY124" s="4"/>
      <c r="AZ124" s="5"/>
      <c r="BA124" s="1"/>
      <c r="BB124" s="1"/>
      <c r="BC124" s="1"/>
      <c r="BD124" s="6"/>
      <c r="BE124" s="1"/>
      <c r="BF124" s="6"/>
      <c r="BG124" s="6"/>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2"/>
      <c r="AR125" s="3"/>
      <c r="AS125" s="1"/>
      <c r="AT125" s="1"/>
      <c r="AU125" s="4"/>
      <c r="AV125" s="4"/>
      <c r="AW125" s="4"/>
      <c r="AX125" s="5"/>
      <c r="AY125" s="4"/>
      <c r="AZ125" s="5"/>
      <c r="BA125" s="1"/>
      <c r="BB125" s="1"/>
      <c r="BC125" s="1"/>
      <c r="BD125" s="6"/>
      <c r="BE125" s="1"/>
      <c r="BF125" s="6"/>
      <c r="BG125" s="6"/>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2"/>
      <c r="AR126" s="3"/>
      <c r="AS126" s="1"/>
      <c r="AT126" s="1"/>
      <c r="AU126" s="4"/>
      <c r="AV126" s="4"/>
      <c r="AW126" s="4"/>
      <c r="AX126" s="5"/>
      <c r="AY126" s="4"/>
      <c r="AZ126" s="5"/>
      <c r="BA126" s="1"/>
      <c r="BB126" s="1"/>
      <c r="BC126" s="1"/>
      <c r="BD126" s="6"/>
      <c r="BE126" s="1"/>
      <c r="BF126" s="6"/>
      <c r="BG126" s="6"/>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2"/>
      <c r="AR127" s="3"/>
      <c r="AS127" s="1"/>
      <c r="AT127" s="1"/>
      <c r="AU127" s="4"/>
      <c r="AV127" s="4"/>
      <c r="AW127" s="4"/>
      <c r="AX127" s="5"/>
      <c r="AY127" s="4"/>
      <c r="AZ127" s="5"/>
      <c r="BA127" s="1"/>
      <c r="BB127" s="1"/>
      <c r="BC127" s="1"/>
      <c r="BD127" s="6"/>
      <c r="BE127" s="1"/>
      <c r="BF127" s="6"/>
      <c r="BG127" s="6"/>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2"/>
      <c r="AR128" s="3"/>
      <c r="AS128" s="1"/>
      <c r="AT128" s="1"/>
      <c r="AU128" s="4"/>
      <c r="AV128" s="4"/>
      <c r="AW128" s="4"/>
      <c r="AX128" s="5"/>
      <c r="AY128" s="4"/>
      <c r="AZ128" s="5"/>
      <c r="BA128" s="1"/>
      <c r="BB128" s="1"/>
      <c r="BC128" s="1"/>
      <c r="BD128" s="6"/>
      <c r="BE128" s="1"/>
      <c r="BF128" s="6"/>
      <c r="BG128" s="6"/>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2"/>
      <c r="AR129" s="3"/>
      <c r="AS129" s="1"/>
      <c r="AT129" s="1"/>
      <c r="AU129" s="4"/>
      <c r="AV129" s="4"/>
      <c r="AW129" s="4"/>
      <c r="AX129" s="5"/>
      <c r="AY129" s="4"/>
      <c r="AZ129" s="5"/>
      <c r="BA129" s="1"/>
      <c r="BB129" s="1"/>
      <c r="BC129" s="1"/>
      <c r="BD129" s="6"/>
      <c r="BE129" s="1"/>
      <c r="BF129" s="6"/>
      <c r="BG129" s="6"/>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2"/>
      <c r="AR130" s="3"/>
      <c r="AS130" s="1"/>
      <c r="AT130" s="1"/>
      <c r="AU130" s="4"/>
      <c r="AV130" s="4"/>
      <c r="AW130" s="4"/>
      <c r="AX130" s="5"/>
      <c r="AY130" s="4"/>
      <c r="AZ130" s="5"/>
      <c r="BA130" s="1"/>
      <c r="BB130" s="1"/>
      <c r="BC130" s="1"/>
      <c r="BD130" s="6"/>
      <c r="BE130" s="1"/>
      <c r="BF130" s="6"/>
      <c r="BG130" s="6"/>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2"/>
      <c r="AR131" s="3"/>
      <c r="AS131" s="1"/>
      <c r="AT131" s="1"/>
      <c r="AU131" s="4"/>
      <c r="AV131" s="4"/>
      <c r="AW131" s="4"/>
      <c r="AX131" s="5"/>
      <c r="AY131" s="4"/>
      <c r="AZ131" s="5"/>
      <c r="BA131" s="1"/>
      <c r="BB131" s="1"/>
      <c r="BC131" s="1"/>
      <c r="BD131" s="6"/>
      <c r="BE131" s="1"/>
      <c r="BF131" s="6"/>
      <c r="BG131" s="6"/>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2"/>
      <c r="AR132" s="3"/>
      <c r="AS132" s="1"/>
      <c r="AT132" s="1"/>
      <c r="AU132" s="4"/>
      <c r="AV132" s="4"/>
      <c r="AW132" s="4"/>
      <c r="AX132" s="5"/>
      <c r="AY132" s="4"/>
      <c r="AZ132" s="5"/>
      <c r="BA132" s="1"/>
      <c r="BB132" s="1"/>
      <c r="BC132" s="1"/>
      <c r="BD132" s="6"/>
      <c r="BE132" s="1"/>
      <c r="BF132" s="6"/>
      <c r="BG132" s="6"/>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2"/>
      <c r="AR133" s="3"/>
      <c r="AS133" s="1"/>
      <c r="AT133" s="1"/>
      <c r="AU133" s="4"/>
      <c r="AV133" s="4"/>
      <c r="AW133" s="4"/>
      <c r="AX133" s="5"/>
      <c r="AY133" s="4"/>
      <c r="AZ133" s="5"/>
      <c r="BA133" s="1"/>
      <c r="BB133" s="1"/>
      <c r="BC133" s="1"/>
      <c r="BD133" s="6"/>
      <c r="BE133" s="1"/>
      <c r="BF133" s="6"/>
      <c r="BG133" s="6"/>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2"/>
      <c r="AR134" s="3"/>
      <c r="AS134" s="1"/>
      <c r="AT134" s="1"/>
      <c r="AU134" s="4"/>
      <c r="AV134" s="4"/>
      <c r="AW134" s="4"/>
      <c r="AX134" s="5"/>
      <c r="AY134" s="4"/>
      <c r="AZ134" s="5"/>
      <c r="BA134" s="1"/>
      <c r="BB134" s="1"/>
      <c r="BC134" s="1"/>
      <c r="BD134" s="6"/>
      <c r="BE134" s="1"/>
      <c r="BF134" s="6"/>
      <c r="BG134" s="6"/>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2"/>
      <c r="AR135" s="3"/>
      <c r="AS135" s="1"/>
      <c r="AT135" s="1"/>
      <c r="AU135" s="4"/>
      <c r="AV135" s="4"/>
      <c r="AW135" s="4"/>
      <c r="AX135" s="5"/>
      <c r="AY135" s="4"/>
      <c r="AZ135" s="5"/>
      <c r="BA135" s="1"/>
      <c r="BB135" s="1"/>
      <c r="BC135" s="1"/>
      <c r="BD135" s="6"/>
      <c r="BE135" s="1"/>
      <c r="BF135" s="6"/>
      <c r="BG135" s="6"/>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2"/>
      <c r="AR136" s="3"/>
      <c r="AS136" s="1"/>
      <c r="AT136" s="1"/>
      <c r="AU136" s="4"/>
      <c r="AV136" s="4"/>
      <c r="AW136" s="4"/>
      <c r="AX136" s="5"/>
      <c r="AY136" s="4"/>
      <c r="AZ136" s="5"/>
      <c r="BA136" s="1"/>
      <c r="BB136" s="1"/>
      <c r="BC136" s="1"/>
      <c r="BD136" s="6"/>
      <c r="BE136" s="1"/>
      <c r="BF136" s="6"/>
      <c r="BG136" s="6"/>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2"/>
      <c r="AR137" s="3"/>
      <c r="AS137" s="1"/>
      <c r="AT137" s="1"/>
      <c r="AU137" s="4"/>
      <c r="AV137" s="4"/>
      <c r="AW137" s="4"/>
      <c r="AX137" s="5"/>
      <c r="AY137" s="4"/>
      <c r="AZ137" s="5"/>
      <c r="BA137" s="1"/>
      <c r="BB137" s="1"/>
      <c r="BC137" s="1"/>
      <c r="BD137" s="6"/>
      <c r="BE137" s="1"/>
      <c r="BF137" s="6"/>
      <c r="BG137" s="6"/>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2"/>
      <c r="AR138" s="3"/>
      <c r="AS138" s="1"/>
      <c r="AT138" s="1"/>
      <c r="AU138" s="4"/>
      <c r="AV138" s="4"/>
      <c r="AW138" s="4"/>
      <c r="AX138" s="5"/>
      <c r="AY138" s="4"/>
      <c r="AZ138" s="5"/>
      <c r="BA138" s="1"/>
      <c r="BB138" s="1"/>
      <c r="BC138" s="1"/>
      <c r="BD138" s="6"/>
      <c r="BE138" s="1"/>
      <c r="BF138" s="6"/>
      <c r="BG138" s="6"/>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2"/>
      <c r="AR139" s="3"/>
      <c r="AS139" s="1"/>
      <c r="AT139" s="1"/>
      <c r="AU139" s="4"/>
      <c r="AV139" s="4"/>
      <c r="AW139" s="4"/>
      <c r="AX139" s="5"/>
      <c r="AY139" s="4"/>
      <c r="AZ139" s="5"/>
      <c r="BA139" s="1"/>
      <c r="BB139" s="1"/>
      <c r="BC139" s="1"/>
      <c r="BD139" s="6"/>
      <c r="BE139" s="1"/>
      <c r="BF139" s="6"/>
      <c r="BG139" s="6"/>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2"/>
      <c r="AR140" s="3"/>
      <c r="AS140" s="1"/>
      <c r="AT140" s="1"/>
      <c r="AU140" s="4"/>
      <c r="AV140" s="4"/>
      <c r="AW140" s="4"/>
      <c r="AX140" s="5"/>
      <c r="AY140" s="4"/>
      <c r="AZ140" s="5"/>
      <c r="BA140" s="1"/>
      <c r="BB140" s="1"/>
      <c r="BC140" s="1"/>
      <c r="BD140" s="6"/>
      <c r="BE140" s="1"/>
      <c r="BF140" s="6"/>
      <c r="BG140" s="6"/>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2"/>
      <c r="AR141" s="3"/>
      <c r="AS141" s="1"/>
      <c r="AT141" s="1"/>
      <c r="AU141" s="4"/>
      <c r="AV141" s="4"/>
      <c r="AW141" s="4"/>
      <c r="AX141" s="5"/>
      <c r="AY141" s="4"/>
      <c r="AZ141" s="5"/>
      <c r="BA141" s="1"/>
      <c r="BB141" s="1"/>
      <c r="BC141" s="1"/>
      <c r="BD141" s="6"/>
      <c r="BE141" s="1"/>
      <c r="BF141" s="6"/>
      <c r="BG141" s="6"/>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2"/>
      <c r="AR142" s="3"/>
      <c r="AS142" s="1"/>
      <c r="AT142" s="1"/>
      <c r="AU142" s="4"/>
      <c r="AV142" s="4"/>
      <c r="AW142" s="4"/>
      <c r="AX142" s="5"/>
      <c r="AY142" s="4"/>
      <c r="AZ142" s="5"/>
      <c r="BA142" s="1"/>
      <c r="BB142" s="1"/>
      <c r="BC142" s="1"/>
      <c r="BD142" s="6"/>
      <c r="BE142" s="1"/>
      <c r="BF142" s="6"/>
      <c r="BG142" s="6"/>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2"/>
      <c r="AR143" s="3"/>
      <c r="AS143" s="1"/>
      <c r="AT143" s="1"/>
      <c r="AU143" s="4"/>
      <c r="AV143" s="4"/>
      <c r="AW143" s="4"/>
      <c r="AX143" s="5"/>
      <c r="AY143" s="4"/>
      <c r="AZ143" s="5"/>
      <c r="BA143" s="1"/>
      <c r="BB143" s="1"/>
      <c r="BC143" s="1"/>
      <c r="BD143" s="6"/>
      <c r="BE143" s="1"/>
      <c r="BF143" s="6"/>
      <c r="BG143" s="6"/>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2"/>
      <c r="AR144" s="3"/>
      <c r="AS144" s="1"/>
      <c r="AT144" s="1"/>
      <c r="AU144" s="4"/>
      <c r="AV144" s="4"/>
      <c r="AW144" s="4"/>
      <c r="AX144" s="5"/>
      <c r="AY144" s="4"/>
      <c r="AZ144" s="5"/>
      <c r="BA144" s="1"/>
      <c r="BB144" s="1"/>
      <c r="BC144" s="1"/>
      <c r="BD144" s="6"/>
      <c r="BE144" s="1"/>
      <c r="BF144" s="6"/>
      <c r="BG144" s="6"/>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2"/>
      <c r="AR145" s="3"/>
      <c r="AS145" s="1"/>
      <c r="AT145" s="1"/>
      <c r="AU145" s="4"/>
      <c r="AV145" s="4"/>
      <c r="AW145" s="4"/>
      <c r="AX145" s="5"/>
      <c r="AY145" s="4"/>
      <c r="AZ145" s="5"/>
      <c r="BA145" s="1"/>
      <c r="BB145" s="1"/>
      <c r="BC145" s="1"/>
      <c r="BD145" s="6"/>
      <c r="BE145" s="1"/>
      <c r="BF145" s="6"/>
      <c r="BG145" s="6"/>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2"/>
      <c r="AR146" s="3"/>
      <c r="AS146" s="1"/>
      <c r="AT146" s="1"/>
      <c r="AU146" s="4"/>
      <c r="AV146" s="4"/>
      <c r="AW146" s="4"/>
      <c r="AX146" s="5"/>
      <c r="AY146" s="4"/>
      <c r="AZ146" s="5"/>
      <c r="BA146" s="1"/>
      <c r="BB146" s="1"/>
      <c r="BC146" s="1"/>
      <c r="BD146" s="6"/>
      <c r="BE146" s="1"/>
      <c r="BF146" s="6"/>
      <c r="BG146" s="6"/>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2"/>
      <c r="AR147" s="3"/>
      <c r="AS147" s="1"/>
      <c r="AT147" s="1"/>
      <c r="AU147" s="4"/>
      <c r="AV147" s="4"/>
      <c r="AW147" s="4"/>
      <c r="AX147" s="5"/>
      <c r="AY147" s="4"/>
      <c r="AZ147" s="5"/>
      <c r="BA147" s="1"/>
      <c r="BB147" s="1"/>
      <c r="BC147" s="1"/>
      <c r="BD147" s="6"/>
      <c r="BE147" s="1"/>
      <c r="BF147" s="6"/>
      <c r="BG147" s="6"/>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2"/>
      <c r="AR148" s="3"/>
      <c r="AS148" s="1"/>
      <c r="AT148" s="1"/>
      <c r="AU148" s="4"/>
      <c r="AV148" s="4"/>
      <c r="AW148" s="4"/>
      <c r="AX148" s="5"/>
      <c r="AY148" s="4"/>
      <c r="AZ148" s="5"/>
      <c r="BA148" s="1"/>
      <c r="BB148" s="1"/>
      <c r="BC148" s="1"/>
      <c r="BD148" s="6"/>
      <c r="BE148" s="1"/>
      <c r="BF148" s="6"/>
      <c r="BG148" s="6"/>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2"/>
      <c r="AR149" s="3"/>
      <c r="AS149" s="1"/>
      <c r="AT149" s="1"/>
      <c r="AU149" s="4"/>
      <c r="AV149" s="4"/>
      <c r="AW149" s="4"/>
      <c r="AX149" s="5"/>
      <c r="AY149" s="4"/>
      <c r="AZ149" s="5"/>
      <c r="BA149" s="1"/>
      <c r="BB149" s="1"/>
      <c r="BC149" s="1"/>
      <c r="BD149" s="6"/>
      <c r="BE149" s="1"/>
      <c r="BF149" s="6"/>
      <c r="BG149" s="6"/>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2"/>
      <c r="AR150" s="3"/>
      <c r="AS150" s="1"/>
      <c r="AT150" s="1"/>
      <c r="AU150" s="4"/>
      <c r="AV150" s="4"/>
      <c r="AW150" s="4"/>
      <c r="AX150" s="5"/>
      <c r="AY150" s="4"/>
      <c r="AZ150" s="5"/>
      <c r="BA150" s="1"/>
      <c r="BB150" s="1"/>
      <c r="BC150" s="1"/>
      <c r="BD150" s="6"/>
      <c r="BE150" s="1"/>
      <c r="BF150" s="6"/>
      <c r="BG150" s="6"/>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2"/>
      <c r="AR151" s="3"/>
      <c r="AS151" s="1"/>
      <c r="AT151" s="1"/>
      <c r="AU151" s="4"/>
      <c r="AV151" s="4"/>
      <c r="AW151" s="4"/>
      <c r="AX151" s="5"/>
      <c r="AY151" s="4"/>
      <c r="AZ151" s="5"/>
      <c r="BA151" s="1"/>
      <c r="BB151" s="1"/>
      <c r="BC151" s="1"/>
      <c r="BD151" s="6"/>
      <c r="BE151" s="1"/>
      <c r="BF151" s="6"/>
      <c r="BG151" s="6"/>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2"/>
      <c r="AR152" s="3"/>
      <c r="AS152" s="1"/>
      <c r="AT152" s="1"/>
      <c r="AU152" s="4"/>
      <c r="AV152" s="4"/>
      <c r="AW152" s="4"/>
      <c r="AX152" s="5"/>
      <c r="AY152" s="4"/>
      <c r="AZ152" s="5"/>
      <c r="BA152" s="1"/>
      <c r="BB152" s="1"/>
      <c r="BC152" s="1"/>
      <c r="BD152" s="6"/>
      <c r="BE152" s="1"/>
      <c r="BF152" s="6"/>
      <c r="BG152" s="6"/>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2"/>
      <c r="AR153" s="3"/>
      <c r="AS153" s="1"/>
      <c r="AT153" s="1"/>
      <c r="AU153" s="4"/>
      <c r="AV153" s="4"/>
      <c r="AW153" s="4"/>
      <c r="AX153" s="5"/>
      <c r="AY153" s="4"/>
      <c r="AZ153" s="5"/>
      <c r="BA153" s="1"/>
      <c r="BB153" s="1"/>
      <c r="BC153" s="1"/>
      <c r="BD153" s="6"/>
      <c r="BE153" s="1"/>
      <c r="BF153" s="6"/>
      <c r="BG153" s="6"/>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2"/>
      <c r="AR154" s="3"/>
      <c r="AS154" s="1"/>
      <c r="AT154" s="1"/>
      <c r="AU154" s="4"/>
      <c r="AV154" s="4"/>
      <c r="AW154" s="4"/>
      <c r="AX154" s="5"/>
      <c r="AY154" s="4"/>
      <c r="AZ154" s="5"/>
      <c r="BA154" s="1"/>
      <c r="BB154" s="1"/>
      <c r="BC154" s="1"/>
      <c r="BD154" s="6"/>
      <c r="BE154" s="1"/>
      <c r="BF154" s="6"/>
      <c r="BG154" s="6"/>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2"/>
      <c r="AR155" s="3"/>
      <c r="AS155" s="1"/>
      <c r="AT155" s="1"/>
      <c r="AU155" s="4"/>
      <c r="AV155" s="4"/>
      <c r="AW155" s="4"/>
      <c r="AX155" s="5"/>
      <c r="AY155" s="4"/>
      <c r="AZ155" s="5"/>
      <c r="BA155" s="1"/>
      <c r="BB155" s="1"/>
      <c r="BC155" s="1"/>
      <c r="BD155" s="6"/>
      <c r="BE155" s="1"/>
      <c r="BF155" s="6"/>
      <c r="BG155" s="6"/>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2"/>
      <c r="AR156" s="3"/>
      <c r="AS156" s="1"/>
      <c r="AT156" s="1"/>
      <c r="AU156" s="4"/>
      <c r="AV156" s="4"/>
      <c r="AW156" s="4"/>
      <c r="AX156" s="5"/>
      <c r="AY156" s="4"/>
      <c r="AZ156" s="5"/>
      <c r="BA156" s="1"/>
      <c r="BB156" s="1"/>
      <c r="BC156" s="1"/>
      <c r="BD156" s="6"/>
      <c r="BE156" s="1"/>
      <c r="BF156" s="6"/>
      <c r="BG156" s="6"/>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2"/>
      <c r="AR157" s="3"/>
      <c r="AS157" s="1"/>
      <c r="AT157" s="1"/>
      <c r="AU157" s="4"/>
      <c r="AV157" s="4"/>
      <c r="AW157" s="4"/>
      <c r="AX157" s="5"/>
      <c r="AY157" s="4"/>
      <c r="AZ157" s="5"/>
      <c r="BA157" s="1"/>
      <c r="BB157" s="1"/>
      <c r="BC157" s="1"/>
      <c r="BD157" s="6"/>
      <c r="BE157" s="1"/>
      <c r="BF157" s="6"/>
      <c r="BG157" s="6"/>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2"/>
      <c r="AR158" s="3"/>
      <c r="AS158" s="1"/>
      <c r="AT158" s="1"/>
      <c r="AU158" s="4"/>
      <c r="AV158" s="4"/>
      <c r="AW158" s="4"/>
      <c r="AX158" s="5"/>
      <c r="AY158" s="4"/>
      <c r="AZ158" s="5"/>
      <c r="BA158" s="1"/>
      <c r="BB158" s="1"/>
      <c r="BC158" s="1"/>
      <c r="BD158" s="6"/>
      <c r="BE158" s="1"/>
      <c r="BF158" s="6"/>
      <c r="BG158" s="6"/>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2"/>
      <c r="AR159" s="3"/>
      <c r="AS159" s="1"/>
      <c r="AT159" s="1"/>
      <c r="AU159" s="4"/>
      <c r="AV159" s="4"/>
      <c r="AW159" s="4"/>
      <c r="AX159" s="5"/>
      <c r="AY159" s="4"/>
      <c r="AZ159" s="5"/>
      <c r="BA159" s="1"/>
      <c r="BB159" s="1"/>
      <c r="BC159" s="1"/>
      <c r="BD159" s="6"/>
      <c r="BE159" s="1"/>
      <c r="BF159" s="6"/>
      <c r="BG159" s="6"/>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2"/>
      <c r="AR160" s="3"/>
      <c r="AS160" s="1"/>
      <c r="AT160" s="1"/>
      <c r="AU160" s="4"/>
      <c r="AV160" s="4"/>
      <c r="AW160" s="4"/>
      <c r="AX160" s="5"/>
      <c r="AY160" s="4"/>
      <c r="AZ160" s="5"/>
      <c r="BA160" s="1"/>
      <c r="BB160" s="1"/>
      <c r="BC160" s="1"/>
      <c r="BD160" s="6"/>
      <c r="BE160" s="1"/>
      <c r="BF160" s="6"/>
      <c r="BG160" s="6"/>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2"/>
      <c r="AR161" s="3"/>
      <c r="AS161" s="1"/>
      <c r="AT161" s="1"/>
      <c r="AU161" s="4"/>
      <c r="AV161" s="4"/>
      <c r="AW161" s="4"/>
      <c r="AX161" s="5"/>
      <c r="AY161" s="4"/>
      <c r="AZ161" s="5"/>
      <c r="BA161" s="1"/>
      <c r="BB161" s="1"/>
      <c r="BC161" s="1"/>
      <c r="BD161" s="6"/>
      <c r="BE161" s="1"/>
      <c r="BF161" s="6"/>
      <c r="BG161" s="6"/>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2"/>
      <c r="AR162" s="3"/>
      <c r="AS162" s="1"/>
      <c r="AT162" s="1"/>
      <c r="AU162" s="4"/>
      <c r="AV162" s="4"/>
      <c r="AW162" s="4"/>
      <c r="AX162" s="5"/>
      <c r="AY162" s="4"/>
      <c r="AZ162" s="5"/>
      <c r="BA162" s="1"/>
      <c r="BB162" s="1"/>
      <c r="BC162" s="1"/>
      <c r="BD162" s="6"/>
      <c r="BE162" s="1"/>
      <c r="BF162" s="6"/>
      <c r="BG162" s="6"/>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2"/>
      <c r="AR163" s="3"/>
      <c r="AS163" s="1"/>
      <c r="AT163" s="1"/>
      <c r="AU163" s="4"/>
      <c r="AV163" s="4"/>
      <c r="AW163" s="4"/>
      <c r="AX163" s="5"/>
      <c r="AY163" s="4"/>
      <c r="AZ163" s="5"/>
      <c r="BA163" s="1"/>
      <c r="BB163" s="1"/>
      <c r="BC163" s="1"/>
      <c r="BD163" s="6"/>
      <c r="BE163" s="1"/>
      <c r="BF163" s="6"/>
      <c r="BG163" s="6"/>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2"/>
      <c r="AR164" s="3"/>
      <c r="AS164" s="1"/>
      <c r="AT164" s="1"/>
      <c r="AU164" s="4"/>
      <c r="AV164" s="4"/>
      <c r="AW164" s="4"/>
      <c r="AX164" s="5"/>
      <c r="AY164" s="4"/>
      <c r="AZ164" s="5"/>
      <c r="BA164" s="1"/>
      <c r="BB164" s="1"/>
      <c r="BC164" s="1"/>
      <c r="BD164" s="6"/>
      <c r="BE164" s="1"/>
      <c r="BF164" s="6"/>
      <c r="BG164" s="6"/>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2"/>
      <c r="AR165" s="3"/>
      <c r="AS165" s="1"/>
      <c r="AT165" s="1"/>
      <c r="AU165" s="4"/>
      <c r="AV165" s="4"/>
      <c r="AW165" s="4"/>
      <c r="AX165" s="5"/>
      <c r="AY165" s="4"/>
      <c r="AZ165" s="5"/>
      <c r="BA165" s="1"/>
      <c r="BB165" s="1"/>
      <c r="BC165" s="1"/>
      <c r="BD165" s="6"/>
      <c r="BE165" s="1"/>
      <c r="BF165" s="6"/>
      <c r="BG165" s="6"/>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2"/>
      <c r="AR166" s="3"/>
      <c r="AS166" s="1"/>
      <c r="AT166" s="1"/>
      <c r="AU166" s="4"/>
      <c r="AV166" s="4"/>
      <c r="AW166" s="4"/>
      <c r="AX166" s="5"/>
      <c r="AY166" s="4"/>
      <c r="AZ166" s="5"/>
      <c r="BA166" s="1"/>
      <c r="BB166" s="1"/>
      <c r="BC166" s="1"/>
      <c r="BD166" s="6"/>
      <c r="BE166" s="1"/>
      <c r="BF166" s="6"/>
      <c r="BG166" s="6"/>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2"/>
      <c r="AR167" s="3"/>
      <c r="AS167" s="1"/>
      <c r="AT167" s="1"/>
      <c r="AU167" s="4"/>
      <c r="AV167" s="4"/>
      <c r="AW167" s="4"/>
      <c r="AX167" s="5"/>
      <c r="AY167" s="4"/>
      <c r="AZ167" s="5"/>
      <c r="BA167" s="1"/>
      <c r="BB167" s="1"/>
      <c r="BC167" s="1"/>
      <c r="BD167" s="6"/>
      <c r="BE167" s="1"/>
      <c r="BF167" s="6"/>
      <c r="BG167" s="6"/>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2"/>
      <c r="AR168" s="3"/>
      <c r="AS168" s="1"/>
      <c r="AT168" s="1"/>
      <c r="AU168" s="4"/>
      <c r="AV168" s="4"/>
      <c r="AW168" s="4"/>
      <c r="AX168" s="5"/>
      <c r="AY168" s="4"/>
      <c r="AZ168" s="5"/>
      <c r="BA168" s="1"/>
      <c r="BB168" s="1"/>
      <c r="BC168" s="1"/>
      <c r="BD168" s="6"/>
      <c r="BE168" s="1"/>
      <c r="BF168" s="6"/>
      <c r="BG168" s="6"/>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2"/>
      <c r="AR169" s="3"/>
      <c r="AS169" s="1"/>
      <c r="AT169" s="1"/>
      <c r="AU169" s="4"/>
      <c r="AV169" s="4"/>
      <c r="AW169" s="4"/>
      <c r="AX169" s="5"/>
      <c r="AY169" s="4"/>
      <c r="AZ169" s="5"/>
      <c r="BA169" s="1"/>
      <c r="BB169" s="1"/>
      <c r="BC169" s="1"/>
      <c r="BD169" s="6"/>
      <c r="BE169" s="1"/>
      <c r="BF169" s="6"/>
      <c r="BG169" s="6"/>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2"/>
      <c r="AR170" s="3"/>
      <c r="AS170" s="1"/>
      <c r="AT170" s="1"/>
      <c r="AU170" s="4"/>
      <c r="AV170" s="4"/>
      <c r="AW170" s="4"/>
      <c r="AX170" s="5"/>
      <c r="AY170" s="4"/>
      <c r="AZ170" s="5"/>
      <c r="BA170" s="1"/>
      <c r="BB170" s="1"/>
      <c r="BC170" s="1"/>
      <c r="BD170" s="6"/>
      <c r="BE170" s="1"/>
      <c r="BF170" s="6"/>
      <c r="BG170" s="6"/>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2"/>
      <c r="AR171" s="3"/>
      <c r="AS171" s="1"/>
      <c r="AT171" s="1"/>
      <c r="AU171" s="4"/>
      <c r="AV171" s="4"/>
      <c r="AW171" s="4"/>
      <c r="AX171" s="5"/>
      <c r="AY171" s="4"/>
      <c r="AZ171" s="5"/>
      <c r="BA171" s="1"/>
      <c r="BB171" s="1"/>
      <c r="BC171" s="1"/>
      <c r="BD171" s="6"/>
      <c r="BE171" s="1"/>
      <c r="BF171" s="6"/>
      <c r="BG171" s="6"/>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2"/>
      <c r="AR172" s="3"/>
      <c r="AS172" s="1"/>
      <c r="AT172" s="1"/>
      <c r="AU172" s="4"/>
      <c r="AV172" s="4"/>
      <c r="AW172" s="4"/>
      <c r="AX172" s="5"/>
      <c r="AY172" s="4"/>
      <c r="AZ172" s="5"/>
      <c r="BA172" s="1"/>
      <c r="BB172" s="1"/>
      <c r="BC172" s="1"/>
      <c r="BD172" s="6"/>
      <c r="BE172" s="1"/>
      <c r="BF172" s="6"/>
      <c r="BG172" s="6"/>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2"/>
      <c r="AR173" s="3"/>
      <c r="AS173" s="1"/>
      <c r="AT173" s="1"/>
      <c r="AU173" s="4"/>
      <c r="AV173" s="4"/>
      <c r="AW173" s="4"/>
      <c r="AX173" s="5"/>
      <c r="AY173" s="4"/>
      <c r="AZ173" s="5"/>
      <c r="BA173" s="1"/>
      <c r="BB173" s="1"/>
      <c r="BC173" s="1"/>
      <c r="BD173" s="6"/>
      <c r="BE173" s="1"/>
      <c r="BF173" s="6"/>
      <c r="BG173" s="6"/>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2"/>
      <c r="AR174" s="3"/>
      <c r="AS174" s="1"/>
      <c r="AT174" s="1"/>
      <c r="AU174" s="4"/>
      <c r="AV174" s="4"/>
      <c r="AW174" s="4"/>
      <c r="AX174" s="5"/>
      <c r="AY174" s="4"/>
      <c r="AZ174" s="5"/>
      <c r="BA174" s="1"/>
      <c r="BB174" s="1"/>
      <c r="BC174" s="1"/>
      <c r="BD174" s="6"/>
      <c r="BE174" s="1"/>
      <c r="BF174" s="6"/>
      <c r="BG174" s="6"/>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2"/>
      <c r="AR175" s="3"/>
      <c r="AS175" s="1"/>
      <c r="AT175" s="1"/>
      <c r="AU175" s="4"/>
      <c r="AV175" s="4"/>
      <c r="AW175" s="4"/>
      <c r="AX175" s="5"/>
      <c r="AY175" s="4"/>
      <c r="AZ175" s="5"/>
      <c r="BA175" s="1"/>
      <c r="BB175" s="1"/>
      <c r="BC175" s="1"/>
      <c r="BD175" s="6"/>
      <c r="BE175" s="1"/>
      <c r="BF175" s="6"/>
      <c r="BG175" s="6"/>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2"/>
      <c r="AR176" s="3"/>
      <c r="AS176" s="1"/>
      <c r="AT176" s="1"/>
      <c r="AU176" s="4"/>
      <c r="AV176" s="4"/>
      <c r="AW176" s="4"/>
      <c r="AX176" s="5"/>
      <c r="AY176" s="4"/>
      <c r="AZ176" s="5"/>
      <c r="BA176" s="1"/>
      <c r="BB176" s="1"/>
      <c r="BC176" s="1"/>
      <c r="BD176" s="6"/>
      <c r="BE176" s="1"/>
      <c r="BF176" s="6"/>
      <c r="BG176" s="6"/>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2"/>
      <c r="AR177" s="3"/>
      <c r="AS177" s="1"/>
      <c r="AT177" s="1"/>
      <c r="AU177" s="4"/>
      <c r="AV177" s="4"/>
      <c r="AW177" s="4"/>
      <c r="AX177" s="5"/>
      <c r="AY177" s="4"/>
      <c r="AZ177" s="5"/>
      <c r="BA177" s="1"/>
      <c r="BB177" s="1"/>
      <c r="BC177" s="1"/>
      <c r="BD177" s="6"/>
      <c r="BE177" s="1"/>
      <c r="BF177" s="6"/>
      <c r="BG177" s="6"/>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2"/>
      <c r="AR178" s="3"/>
      <c r="AS178" s="1"/>
      <c r="AT178" s="1"/>
      <c r="AU178" s="4"/>
      <c r="AV178" s="4"/>
      <c r="AW178" s="4"/>
      <c r="AX178" s="5"/>
      <c r="AY178" s="4"/>
      <c r="AZ178" s="5"/>
      <c r="BA178" s="1"/>
      <c r="BB178" s="1"/>
      <c r="BC178" s="1"/>
      <c r="BD178" s="6"/>
      <c r="BE178" s="1"/>
      <c r="BF178" s="6"/>
      <c r="BG178" s="6"/>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2"/>
      <c r="AR179" s="3"/>
      <c r="AS179" s="1"/>
      <c r="AT179" s="1"/>
      <c r="AU179" s="4"/>
      <c r="AV179" s="4"/>
      <c r="AW179" s="4"/>
      <c r="AX179" s="5"/>
      <c r="AY179" s="4"/>
      <c r="AZ179" s="5"/>
      <c r="BA179" s="1"/>
      <c r="BB179" s="1"/>
      <c r="BC179" s="1"/>
      <c r="BD179" s="6"/>
      <c r="BE179" s="1"/>
      <c r="BF179" s="6"/>
      <c r="BG179" s="6"/>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2"/>
      <c r="AR180" s="3"/>
      <c r="AS180" s="1"/>
      <c r="AT180" s="1"/>
      <c r="AU180" s="4"/>
      <c r="AV180" s="4"/>
      <c r="AW180" s="4"/>
      <c r="AX180" s="5"/>
      <c r="AY180" s="4"/>
      <c r="AZ180" s="5"/>
      <c r="BA180" s="1"/>
      <c r="BB180" s="1"/>
      <c r="BC180" s="1"/>
      <c r="BD180" s="6"/>
      <c r="BE180" s="1"/>
      <c r="BF180" s="6"/>
      <c r="BG180" s="6"/>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2"/>
      <c r="AR181" s="3"/>
      <c r="AS181" s="1"/>
      <c r="AT181" s="1"/>
      <c r="AU181" s="4"/>
      <c r="AV181" s="4"/>
      <c r="AW181" s="4"/>
      <c r="AX181" s="5"/>
      <c r="AY181" s="4"/>
      <c r="AZ181" s="5"/>
      <c r="BA181" s="1"/>
      <c r="BB181" s="1"/>
      <c r="BC181" s="1"/>
      <c r="BD181" s="6"/>
      <c r="BE181" s="1"/>
      <c r="BF181" s="6"/>
      <c r="BG181" s="6"/>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2"/>
      <c r="AR182" s="3"/>
      <c r="AS182" s="1"/>
      <c r="AT182" s="1"/>
      <c r="AU182" s="4"/>
      <c r="AV182" s="4"/>
      <c r="AW182" s="4"/>
      <c r="AX182" s="5"/>
      <c r="AY182" s="4"/>
      <c r="AZ182" s="5"/>
      <c r="BA182" s="1"/>
      <c r="BB182" s="1"/>
      <c r="BC182" s="1"/>
      <c r="BD182" s="6"/>
      <c r="BE182" s="1"/>
      <c r="BF182" s="6"/>
      <c r="BG182" s="6"/>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2"/>
      <c r="AR183" s="3"/>
      <c r="AS183" s="1"/>
      <c r="AT183" s="1"/>
      <c r="AU183" s="4"/>
      <c r="AV183" s="4"/>
      <c r="AW183" s="4"/>
      <c r="AX183" s="5"/>
      <c r="AY183" s="4"/>
      <c r="AZ183" s="5"/>
      <c r="BA183" s="1"/>
      <c r="BB183" s="1"/>
      <c r="BC183" s="1"/>
      <c r="BD183" s="6"/>
      <c r="BE183" s="1"/>
      <c r="BF183" s="6"/>
      <c r="BG183" s="6"/>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2"/>
      <c r="AR184" s="3"/>
      <c r="AS184" s="1"/>
      <c r="AT184" s="1"/>
      <c r="AU184" s="4"/>
      <c r="AV184" s="4"/>
      <c r="AW184" s="4"/>
      <c r="AX184" s="5"/>
      <c r="AY184" s="4"/>
      <c r="AZ184" s="5"/>
      <c r="BA184" s="1"/>
      <c r="BB184" s="1"/>
      <c r="BC184" s="1"/>
      <c r="BD184" s="6"/>
      <c r="BE184" s="1"/>
      <c r="BF184" s="6"/>
      <c r="BG184" s="6"/>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2"/>
      <c r="AR185" s="3"/>
      <c r="AS185" s="1"/>
      <c r="AT185" s="1"/>
      <c r="AU185" s="4"/>
      <c r="AV185" s="4"/>
      <c r="AW185" s="4"/>
      <c r="AX185" s="5"/>
      <c r="AY185" s="4"/>
      <c r="AZ185" s="5"/>
      <c r="BA185" s="1"/>
      <c r="BB185" s="1"/>
      <c r="BC185" s="1"/>
      <c r="BD185" s="6"/>
      <c r="BE185" s="1"/>
      <c r="BF185" s="6"/>
      <c r="BG185" s="6"/>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2"/>
      <c r="AR186" s="3"/>
      <c r="AS186" s="1"/>
      <c r="AT186" s="1"/>
      <c r="AU186" s="4"/>
      <c r="AV186" s="4"/>
      <c r="AW186" s="4"/>
      <c r="AX186" s="5"/>
      <c r="AY186" s="4"/>
      <c r="AZ186" s="5"/>
      <c r="BA186" s="1"/>
      <c r="BB186" s="1"/>
      <c r="BC186" s="1"/>
      <c r="BD186" s="6"/>
      <c r="BE186" s="1"/>
      <c r="BF186" s="6"/>
      <c r="BG186" s="6"/>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2"/>
      <c r="AR187" s="3"/>
      <c r="AS187" s="1"/>
      <c r="AT187" s="1"/>
      <c r="AU187" s="4"/>
      <c r="AV187" s="4"/>
      <c r="AW187" s="4"/>
      <c r="AX187" s="5"/>
      <c r="AY187" s="4"/>
      <c r="AZ187" s="5"/>
      <c r="BA187" s="1"/>
      <c r="BB187" s="1"/>
      <c r="BC187" s="1"/>
      <c r="BD187" s="6"/>
      <c r="BE187" s="1"/>
      <c r="BF187" s="6"/>
      <c r="BG187" s="6"/>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2"/>
      <c r="AR188" s="3"/>
      <c r="AS188" s="1"/>
      <c r="AT188" s="1"/>
      <c r="AU188" s="4"/>
      <c r="AV188" s="4"/>
      <c r="AW188" s="4"/>
      <c r="AX188" s="5"/>
      <c r="AY188" s="4"/>
      <c r="AZ188" s="5"/>
      <c r="BA188" s="1"/>
      <c r="BB188" s="1"/>
      <c r="BC188" s="1"/>
      <c r="BD188" s="6"/>
      <c r="BE188" s="1"/>
      <c r="BF188" s="6"/>
      <c r="BG188" s="6"/>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2"/>
      <c r="AR189" s="3"/>
      <c r="AS189" s="1"/>
      <c r="AT189" s="1"/>
      <c r="AU189" s="4"/>
      <c r="AV189" s="4"/>
      <c r="AW189" s="4"/>
      <c r="AX189" s="5"/>
      <c r="AY189" s="4"/>
      <c r="AZ189" s="5"/>
      <c r="BA189" s="1"/>
      <c r="BB189" s="1"/>
      <c r="BC189" s="1"/>
      <c r="BD189" s="6"/>
      <c r="BE189" s="1"/>
      <c r="BF189" s="6"/>
      <c r="BG189" s="6"/>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2"/>
      <c r="AR190" s="3"/>
      <c r="AS190" s="1"/>
      <c r="AT190" s="1"/>
      <c r="AU190" s="4"/>
      <c r="AV190" s="4"/>
      <c r="AW190" s="4"/>
      <c r="AX190" s="5"/>
      <c r="AY190" s="4"/>
      <c r="AZ190" s="5"/>
      <c r="BA190" s="1"/>
      <c r="BB190" s="1"/>
      <c r="BC190" s="1"/>
      <c r="BD190" s="6"/>
      <c r="BE190" s="1"/>
      <c r="BF190" s="6"/>
      <c r="BG190" s="6"/>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2"/>
      <c r="AR191" s="3"/>
      <c r="AS191" s="1"/>
      <c r="AT191" s="1"/>
      <c r="AU191" s="4"/>
      <c r="AV191" s="4"/>
      <c r="AW191" s="4"/>
      <c r="AX191" s="5"/>
      <c r="AY191" s="4"/>
      <c r="AZ191" s="5"/>
      <c r="BA191" s="1"/>
      <c r="BB191" s="1"/>
      <c r="BC191" s="1"/>
      <c r="BD191" s="6"/>
      <c r="BE191" s="1"/>
      <c r="BF191" s="6"/>
      <c r="BG191" s="6"/>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2"/>
      <c r="AR192" s="3"/>
      <c r="AS192" s="1"/>
      <c r="AT192" s="1"/>
      <c r="AU192" s="4"/>
      <c r="AV192" s="4"/>
      <c r="AW192" s="4"/>
      <c r="AX192" s="5"/>
      <c r="AY192" s="4"/>
      <c r="AZ192" s="5"/>
      <c r="BA192" s="1"/>
      <c r="BB192" s="1"/>
      <c r="BC192" s="1"/>
      <c r="BD192" s="6"/>
      <c r="BE192" s="1"/>
      <c r="BF192" s="6"/>
      <c r="BG192" s="6"/>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2"/>
      <c r="AR193" s="3"/>
      <c r="AS193" s="1"/>
      <c r="AT193" s="1"/>
      <c r="AU193" s="4"/>
      <c r="AV193" s="4"/>
      <c r="AW193" s="4"/>
      <c r="AX193" s="5"/>
      <c r="AY193" s="4"/>
      <c r="AZ193" s="5"/>
      <c r="BA193" s="1"/>
      <c r="BB193" s="1"/>
      <c r="BC193" s="1"/>
      <c r="BD193" s="6"/>
      <c r="BE193" s="1"/>
      <c r="BF193" s="6"/>
      <c r="BG193" s="6"/>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2"/>
      <c r="AR194" s="3"/>
      <c r="AS194" s="1"/>
      <c r="AT194" s="1"/>
      <c r="AU194" s="4"/>
      <c r="AV194" s="4"/>
      <c r="AW194" s="4"/>
      <c r="AX194" s="5"/>
      <c r="AY194" s="4"/>
      <c r="AZ194" s="5"/>
      <c r="BA194" s="1"/>
      <c r="BB194" s="1"/>
      <c r="BC194" s="1"/>
      <c r="BD194" s="6"/>
      <c r="BE194" s="1"/>
      <c r="BF194" s="6"/>
      <c r="BG194" s="6"/>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2"/>
      <c r="AR195" s="3"/>
      <c r="AS195" s="1"/>
      <c r="AT195" s="1"/>
      <c r="AU195" s="4"/>
      <c r="AV195" s="4"/>
      <c r="AW195" s="4"/>
      <c r="AX195" s="5"/>
      <c r="AY195" s="4"/>
      <c r="AZ195" s="5"/>
      <c r="BA195" s="1"/>
      <c r="BB195" s="1"/>
      <c r="BC195" s="1"/>
      <c r="BD195" s="6"/>
      <c r="BE195" s="1"/>
      <c r="BF195" s="6"/>
      <c r="BG195" s="6"/>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2"/>
      <c r="AR196" s="3"/>
      <c r="AS196" s="1"/>
      <c r="AT196" s="1"/>
      <c r="AU196" s="4"/>
      <c r="AV196" s="4"/>
      <c r="AW196" s="4"/>
      <c r="AX196" s="5"/>
      <c r="AY196" s="4"/>
      <c r="AZ196" s="5"/>
      <c r="BA196" s="1"/>
      <c r="BB196" s="1"/>
      <c r="BC196" s="1"/>
      <c r="BD196" s="6"/>
      <c r="BE196" s="1"/>
      <c r="BF196" s="6"/>
      <c r="BG196" s="6"/>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2"/>
      <c r="AR197" s="3"/>
      <c r="AS197" s="1"/>
      <c r="AT197" s="1"/>
      <c r="AU197" s="4"/>
      <c r="AV197" s="4"/>
      <c r="AW197" s="4"/>
      <c r="AX197" s="5"/>
      <c r="AY197" s="4"/>
      <c r="AZ197" s="5"/>
      <c r="BA197" s="1"/>
      <c r="BB197" s="1"/>
      <c r="BC197" s="1"/>
      <c r="BD197" s="6"/>
      <c r="BE197" s="1"/>
      <c r="BF197" s="6"/>
      <c r="BG197" s="6"/>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2"/>
      <c r="AR198" s="3"/>
      <c r="AS198" s="1"/>
      <c r="AT198" s="1"/>
      <c r="AU198" s="4"/>
      <c r="AV198" s="4"/>
      <c r="AW198" s="4"/>
      <c r="AX198" s="5"/>
      <c r="AY198" s="4"/>
      <c r="AZ198" s="5"/>
      <c r="BA198" s="1"/>
      <c r="BB198" s="1"/>
      <c r="BC198" s="1"/>
      <c r="BD198" s="6"/>
      <c r="BE198" s="1"/>
      <c r="BF198" s="6"/>
      <c r="BG198" s="6"/>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2"/>
      <c r="AR199" s="3"/>
      <c r="AS199" s="1"/>
      <c r="AT199" s="1"/>
      <c r="AU199" s="4"/>
      <c r="AV199" s="4"/>
      <c r="AW199" s="4"/>
      <c r="AX199" s="5"/>
      <c r="AY199" s="4"/>
      <c r="AZ199" s="5"/>
      <c r="BA199" s="1"/>
      <c r="BB199" s="1"/>
      <c r="BC199" s="1"/>
      <c r="BD199" s="6"/>
      <c r="BE199" s="1"/>
      <c r="BF199" s="6"/>
      <c r="BG199" s="6"/>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2"/>
      <c r="AR200" s="3"/>
      <c r="AS200" s="1"/>
      <c r="AT200" s="1"/>
      <c r="AU200" s="4"/>
      <c r="AV200" s="4"/>
      <c r="AW200" s="4"/>
      <c r="AX200" s="5"/>
      <c r="AY200" s="4"/>
      <c r="AZ200" s="5"/>
      <c r="BA200" s="1"/>
      <c r="BB200" s="1"/>
      <c r="BC200" s="1"/>
      <c r="BD200" s="6"/>
      <c r="BE200" s="1"/>
      <c r="BF200" s="6"/>
      <c r="BG200" s="6"/>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2"/>
      <c r="AR201" s="3"/>
      <c r="AS201" s="1"/>
      <c r="AT201" s="1"/>
      <c r="AU201" s="4"/>
      <c r="AV201" s="4"/>
      <c r="AW201" s="4"/>
      <c r="AX201" s="5"/>
      <c r="AY201" s="4"/>
      <c r="AZ201" s="5"/>
      <c r="BA201" s="1"/>
      <c r="BB201" s="1"/>
      <c r="BC201" s="1"/>
      <c r="BD201" s="6"/>
      <c r="BE201" s="1"/>
      <c r="BF201" s="6"/>
      <c r="BG201" s="6"/>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2"/>
      <c r="AR202" s="3"/>
      <c r="AS202" s="1"/>
      <c r="AT202" s="1"/>
      <c r="AU202" s="4"/>
      <c r="AV202" s="4"/>
      <c r="AW202" s="4"/>
      <c r="AX202" s="5"/>
      <c r="AY202" s="4"/>
      <c r="AZ202" s="5"/>
      <c r="BA202" s="1"/>
      <c r="BB202" s="1"/>
      <c r="BC202" s="1"/>
      <c r="BD202" s="6"/>
      <c r="BE202" s="1"/>
      <c r="BF202" s="6"/>
      <c r="BG202" s="6"/>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2"/>
      <c r="AR203" s="3"/>
      <c r="AS203" s="1"/>
      <c r="AT203" s="1"/>
      <c r="AU203" s="4"/>
      <c r="AV203" s="4"/>
      <c r="AW203" s="4"/>
      <c r="AX203" s="5"/>
      <c r="AY203" s="4"/>
      <c r="AZ203" s="5"/>
      <c r="BA203" s="1"/>
      <c r="BB203" s="1"/>
      <c r="BC203" s="1"/>
      <c r="BD203" s="6"/>
      <c r="BE203" s="1"/>
      <c r="BF203" s="6"/>
      <c r="BG203" s="6"/>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2"/>
      <c r="AR204" s="3"/>
      <c r="AS204" s="1"/>
      <c r="AT204" s="1"/>
      <c r="AU204" s="4"/>
      <c r="AV204" s="4"/>
      <c r="AW204" s="4"/>
      <c r="AX204" s="5"/>
      <c r="AY204" s="4"/>
      <c r="AZ204" s="5"/>
      <c r="BA204" s="1"/>
      <c r="BB204" s="1"/>
      <c r="BC204" s="1"/>
      <c r="BD204" s="6"/>
      <c r="BE204" s="1"/>
      <c r="BF204" s="6"/>
      <c r="BG204" s="6"/>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2"/>
      <c r="AR205" s="3"/>
      <c r="AS205" s="1"/>
      <c r="AT205" s="1"/>
      <c r="AU205" s="4"/>
      <c r="AV205" s="4"/>
      <c r="AW205" s="4"/>
      <c r="AX205" s="5"/>
      <c r="AY205" s="4"/>
      <c r="AZ205" s="5"/>
      <c r="BA205" s="1"/>
      <c r="BB205" s="1"/>
      <c r="BC205" s="1"/>
      <c r="BD205" s="6"/>
      <c r="BE205" s="1"/>
      <c r="BF205" s="6"/>
      <c r="BG205" s="6"/>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2"/>
      <c r="AR206" s="3"/>
      <c r="AS206" s="1"/>
      <c r="AT206" s="1"/>
      <c r="AU206" s="4"/>
      <c r="AV206" s="4"/>
      <c r="AW206" s="4"/>
      <c r="AX206" s="5"/>
      <c r="AY206" s="4"/>
      <c r="AZ206" s="5"/>
      <c r="BA206" s="1"/>
      <c r="BB206" s="1"/>
      <c r="BC206" s="1"/>
      <c r="BD206" s="6"/>
      <c r="BE206" s="1"/>
      <c r="BF206" s="6"/>
      <c r="BG206" s="6"/>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2"/>
      <c r="AR207" s="3"/>
      <c r="AS207" s="1"/>
      <c r="AT207" s="1"/>
      <c r="AU207" s="4"/>
      <c r="AV207" s="4"/>
      <c r="AW207" s="4"/>
      <c r="AX207" s="5"/>
      <c r="AY207" s="4"/>
      <c r="AZ207" s="5"/>
      <c r="BA207" s="1"/>
      <c r="BB207" s="1"/>
      <c r="BC207" s="1"/>
      <c r="BD207" s="6"/>
      <c r="BE207" s="1"/>
      <c r="BF207" s="6"/>
      <c r="BG207" s="6"/>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2"/>
      <c r="AR208" s="3"/>
      <c r="AS208" s="1"/>
      <c r="AT208" s="1"/>
      <c r="AU208" s="4"/>
      <c r="AV208" s="4"/>
      <c r="AW208" s="4"/>
      <c r="AX208" s="5"/>
      <c r="AY208" s="4"/>
      <c r="AZ208" s="5"/>
      <c r="BA208" s="1"/>
      <c r="BB208" s="1"/>
      <c r="BC208" s="1"/>
      <c r="BD208" s="6"/>
      <c r="BE208" s="1"/>
      <c r="BF208" s="6"/>
      <c r="BG208" s="6"/>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2"/>
      <c r="AR209" s="3"/>
      <c r="AS209" s="1"/>
      <c r="AT209" s="1"/>
      <c r="AU209" s="4"/>
      <c r="AV209" s="4"/>
      <c r="AW209" s="4"/>
      <c r="AX209" s="5"/>
      <c r="AY209" s="4"/>
      <c r="AZ209" s="5"/>
      <c r="BA209" s="1"/>
      <c r="BB209" s="1"/>
      <c r="BC209" s="1"/>
      <c r="BD209" s="6"/>
      <c r="BE209" s="1"/>
      <c r="BF209" s="6"/>
      <c r="BG209" s="6"/>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2"/>
      <c r="AR210" s="3"/>
      <c r="AS210" s="1"/>
      <c r="AT210" s="1"/>
      <c r="AU210" s="4"/>
      <c r="AV210" s="4"/>
      <c r="AW210" s="4"/>
      <c r="AX210" s="5"/>
      <c r="AY210" s="4"/>
      <c r="AZ210" s="5"/>
      <c r="BA210" s="1"/>
      <c r="BB210" s="1"/>
      <c r="BC210" s="1"/>
      <c r="BD210" s="6"/>
      <c r="BE210" s="1"/>
      <c r="BF210" s="6"/>
      <c r="BG210" s="6"/>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2"/>
      <c r="AR211" s="3"/>
      <c r="AS211" s="1"/>
      <c r="AT211" s="1"/>
      <c r="AU211" s="4"/>
      <c r="AV211" s="4"/>
      <c r="AW211" s="4"/>
      <c r="AX211" s="5"/>
      <c r="AY211" s="4"/>
      <c r="AZ211" s="5"/>
      <c r="BA211" s="1"/>
      <c r="BB211" s="1"/>
      <c r="BC211" s="1"/>
      <c r="BD211" s="6"/>
      <c r="BE211" s="1"/>
      <c r="BF211" s="6"/>
      <c r="BG211" s="6"/>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2"/>
      <c r="AR212" s="3"/>
      <c r="AS212" s="1"/>
      <c r="AT212" s="1"/>
      <c r="AU212" s="4"/>
      <c r="AV212" s="4"/>
      <c r="AW212" s="4"/>
      <c r="AX212" s="5"/>
      <c r="AY212" s="4"/>
      <c r="AZ212" s="5"/>
      <c r="BA212" s="1"/>
      <c r="BB212" s="1"/>
      <c r="BC212" s="1"/>
      <c r="BD212" s="6"/>
      <c r="BE212" s="1"/>
      <c r="BF212" s="6"/>
      <c r="BG212" s="6"/>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2"/>
      <c r="AR213" s="3"/>
      <c r="AS213" s="1"/>
      <c r="AT213" s="1"/>
      <c r="AU213" s="4"/>
      <c r="AV213" s="4"/>
      <c r="AW213" s="4"/>
      <c r="AX213" s="5"/>
      <c r="AY213" s="4"/>
      <c r="AZ213" s="5"/>
      <c r="BA213" s="1"/>
      <c r="BB213" s="1"/>
      <c r="BC213" s="1"/>
      <c r="BD213" s="6"/>
      <c r="BE213" s="1"/>
      <c r="BF213" s="6"/>
      <c r="BG213" s="6"/>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2"/>
      <c r="AR214" s="3"/>
      <c r="AS214" s="1"/>
      <c r="AT214" s="1"/>
      <c r="AU214" s="4"/>
      <c r="AV214" s="4"/>
      <c r="AW214" s="4"/>
      <c r="AX214" s="5"/>
      <c r="AY214" s="4"/>
      <c r="AZ214" s="5"/>
      <c r="BA214" s="1"/>
      <c r="BB214" s="1"/>
      <c r="BC214" s="1"/>
      <c r="BD214" s="6"/>
      <c r="BE214" s="1"/>
      <c r="BF214" s="6"/>
      <c r="BG214" s="6"/>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2"/>
      <c r="AR215" s="3"/>
      <c r="AS215" s="1"/>
      <c r="AT215" s="1"/>
      <c r="AU215" s="4"/>
      <c r="AV215" s="4"/>
      <c r="AW215" s="4"/>
      <c r="AX215" s="5"/>
      <c r="AY215" s="4"/>
      <c r="AZ215" s="5"/>
      <c r="BA215" s="1"/>
      <c r="BB215" s="1"/>
      <c r="BC215" s="1"/>
      <c r="BD215" s="6"/>
      <c r="BE215" s="1"/>
      <c r="BF215" s="6"/>
      <c r="BG215" s="6"/>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2"/>
      <c r="AR216" s="3"/>
      <c r="AS216" s="1"/>
      <c r="AT216" s="1"/>
      <c r="AU216" s="4"/>
      <c r="AV216" s="4"/>
      <c r="AW216" s="4"/>
      <c r="AX216" s="5"/>
      <c r="AY216" s="4"/>
      <c r="AZ216" s="5"/>
      <c r="BA216" s="1"/>
      <c r="BB216" s="1"/>
      <c r="BC216" s="1"/>
      <c r="BD216" s="6"/>
      <c r="BE216" s="1"/>
      <c r="BF216" s="6"/>
      <c r="BG216" s="6"/>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2"/>
      <c r="AR217" s="3"/>
      <c r="AS217" s="1"/>
      <c r="AT217" s="1"/>
      <c r="AU217" s="4"/>
      <c r="AV217" s="4"/>
      <c r="AW217" s="4"/>
      <c r="AX217" s="5"/>
      <c r="AY217" s="4"/>
      <c r="AZ217" s="5"/>
      <c r="BA217" s="1"/>
      <c r="BB217" s="1"/>
      <c r="BC217" s="1"/>
      <c r="BD217" s="6"/>
      <c r="BE217" s="1"/>
      <c r="BF217" s="6"/>
      <c r="BG217" s="6"/>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2"/>
      <c r="AR218" s="3"/>
      <c r="AS218" s="1"/>
      <c r="AT218" s="1"/>
      <c r="AU218" s="4"/>
      <c r="AV218" s="4"/>
      <c r="AW218" s="4"/>
      <c r="AX218" s="5"/>
      <c r="AY218" s="4"/>
      <c r="AZ218" s="5"/>
      <c r="BA218" s="1"/>
      <c r="BB218" s="1"/>
      <c r="BC218" s="1"/>
      <c r="BD218" s="6"/>
      <c r="BE218" s="1"/>
      <c r="BF218" s="6"/>
      <c r="BG218" s="6"/>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2"/>
      <c r="AR219" s="3"/>
      <c r="AS219" s="1"/>
      <c r="AT219" s="1"/>
      <c r="AU219" s="4"/>
      <c r="AV219" s="4"/>
      <c r="AW219" s="4"/>
      <c r="AX219" s="5"/>
      <c r="AY219" s="4"/>
      <c r="AZ219" s="5"/>
      <c r="BA219" s="1"/>
      <c r="BB219" s="1"/>
      <c r="BC219" s="1"/>
      <c r="BD219" s="6"/>
      <c r="BE219" s="1"/>
      <c r="BF219" s="6"/>
      <c r="BG219" s="6"/>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2"/>
      <c r="AR220" s="3"/>
      <c r="AS220" s="1"/>
      <c r="AT220" s="1"/>
      <c r="AU220" s="4"/>
      <c r="AV220" s="4"/>
      <c r="AW220" s="4"/>
      <c r="AX220" s="5"/>
      <c r="AY220" s="4"/>
      <c r="AZ220" s="5"/>
      <c r="BA220" s="1"/>
      <c r="BB220" s="1"/>
      <c r="BC220" s="1"/>
      <c r="BD220" s="6"/>
      <c r="BE220" s="1"/>
      <c r="BF220" s="6"/>
      <c r="BG220" s="6"/>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2"/>
      <c r="AR221" s="3"/>
      <c r="AS221" s="1"/>
      <c r="AT221" s="1"/>
      <c r="AU221" s="4"/>
      <c r="AV221" s="4"/>
      <c r="AW221" s="4"/>
      <c r="AX221" s="5"/>
      <c r="AY221" s="4"/>
      <c r="AZ221" s="5"/>
      <c r="BA221" s="1"/>
      <c r="BB221" s="1"/>
      <c r="BC221" s="1"/>
      <c r="BD221" s="6"/>
      <c r="BE221" s="1"/>
      <c r="BF221" s="6"/>
      <c r="BG221" s="6"/>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2"/>
      <c r="AR222" s="3"/>
      <c r="AS222" s="1"/>
      <c r="AT222" s="1"/>
      <c r="AU222" s="4"/>
      <c r="AV222" s="4"/>
      <c r="AW222" s="4"/>
      <c r="AX222" s="5"/>
      <c r="AY222" s="4"/>
      <c r="AZ222" s="5"/>
      <c r="BA222" s="1"/>
      <c r="BB222" s="1"/>
      <c r="BC222" s="1"/>
      <c r="BD222" s="6"/>
      <c r="BE222" s="1"/>
      <c r="BF222" s="6"/>
      <c r="BG222" s="6"/>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2"/>
      <c r="AR223" s="3"/>
      <c r="AS223" s="1"/>
      <c r="AT223" s="1"/>
      <c r="AU223" s="4"/>
      <c r="AV223" s="4"/>
      <c r="AW223" s="4"/>
      <c r="AX223" s="5"/>
      <c r="AY223" s="4"/>
      <c r="AZ223" s="5"/>
      <c r="BA223" s="1"/>
      <c r="BB223" s="1"/>
      <c r="BC223" s="1"/>
      <c r="BD223" s="6"/>
      <c r="BE223" s="1"/>
      <c r="BF223" s="6"/>
      <c r="BG223" s="6"/>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2"/>
      <c r="AR224" s="3"/>
      <c r="AS224" s="1"/>
      <c r="AT224" s="1"/>
      <c r="AU224" s="4"/>
      <c r="AV224" s="4"/>
      <c r="AW224" s="4"/>
      <c r="AX224" s="5"/>
      <c r="AY224" s="4"/>
      <c r="AZ224" s="5"/>
      <c r="BA224" s="1"/>
      <c r="BB224" s="1"/>
      <c r="BC224" s="1"/>
      <c r="BD224" s="6"/>
      <c r="BE224" s="1"/>
      <c r="BF224" s="6"/>
      <c r="BG224" s="6"/>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2"/>
      <c r="AR225" s="3"/>
      <c r="AS225" s="1"/>
      <c r="AT225" s="1"/>
      <c r="AU225" s="4"/>
      <c r="AV225" s="4"/>
      <c r="AW225" s="4"/>
      <c r="AX225" s="5"/>
      <c r="AY225" s="4"/>
      <c r="AZ225" s="5"/>
      <c r="BA225" s="1"/>
      <c r="BB225" s="1"/>
      <c r="BC225" s="1"/>
      <c r="BD225" s="6"/>
      <c r="BE225" s="1"/>
      <c r="BF225" s="6"/>
      <c r="BG225" s="6"/>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2"/>
      <c r="AR226" s="3"/>
      <c r="AS226" s="1"/>
      <c r="AT226" s="1"/>
      <c r="AU226" s="4"/>
      <c r="AV226" s="4"/>
      <c r="AW226" s="4"/>
      <c r="AX226" s="5"/>
      <c r="AY226" s="4"/>
      <c r="AZ226" s="5"/>
      <c r="BA226" s="1"/>
      <c r="BB226" s="1"/>
      <c r="BC226" s="1"/>
      <c r="BD226" s="6"/>
      <c r="BE226" s="1"/>
      <c r="BF226" s="6"/>
      <c r="BG226" s="6"/>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2"/>
      <c r="AR227" s="3"/>
      <c r="AS227" s="1"/>
      <c r="AT227" s="1"/>
      <c r="AU227" s="4"/>
      <c r="AV227" s="4"/>
      <c r="AW227" s="4"/>
      <c r="AX227" s="5"/>
      <c r="AY227" s="4"/>
      <c r="AZ227" s="5"/>
      <c r="BA227" s="1"/>
      <c r="BB227" s="1"/>
      <c r="BC227" s="1"/>
      <c r="BD227" s="6"/>
      <c r="BE227" s="1"/>
      <c r="BF227" s="6"/>
      <c r="BG227" s="6"/>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2"/>
      <c r="AR228" s="3"/>
      <c r="AS228" s="1"/>
      <c r="AT228" s="1"/>
      <c r="AU228" s="4"/>
      <c r="AV228" s="4"/>
      <c r="AW228" s="4"/>
      <c r="AX228" s="5"/>
      <c r="AY228" s="4"/>
      <c r="AZ228" s="5"/>
      <c r="BA228" s="1"/>
      <c r="BB228" s="1"/>
      <c r="BC228" s="1"/>
      <c r="BD228" s="6"/>
      <c r="BE228" s="1"/>
      <c r="BF228" s="6"/>
      <c r="BG228" s="6"/>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2"/>
      <c r="AR229" s="3"/>
      <c r="AS229" s="1"/>
      <c r="AT229" s="1"/>
      <c r="AU229" s="4"/>
      <c r="AV229" s="4"/>
      <c r="AW229" s="4"/>
      <c r="AX229" s="5"/>
      <c r="AY229" s="4"/>
      <c r="AZ229" s="5"/>
      <c r="BA229" s="1"/>
      <c r="BB229" s="1"/>
      <c r="BC229" s="1"/>
      <c r="BD229" s="6"/>
      <c r="BE229" s="1"/>
      <c r="BF229" s="6"/>
      <c r="BG229" s="6"/>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2"/>
      <c r="AR230" s="3"/>
      <c r="AS230" s="1"/>
      <c r="AT230" s="1"/>
      <c r="AU230" s="4"/>
      <c r="AV230" s="4"/>
      <c r="AW230" s="4"/>
      <c r="AX230" s="5"/>
      <c r="AY230" s="4"/>
      <c r="AZ230" s="5"/>
      <c r="BA230" s="1"/>
      <c r="BB230" s="1"/>
      <c r="BC230" s="1"/>
      <c r="BD230" s="6"/>
      <c r="BE230" s="1"/>
      <c r="BF230" s="6"/>
      <c r="BG230" s="6"/>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2"/>
      <c r="AR231" s="3"/>
      <c r="AS231" s="1"/>
      <c r="AT231" s="1"/>
      <c r="AU231" s="4"/>
      <c r="AV231" s="4"/>
      <c r="AW231" s="4"/>
      <c r="AX231" s="5"/>
      <c r="AY231" s="4"/>
      <c r="AZ231" s="5"/>
      <c r="BA231" s="1"/>
      <c r="BB231" s="1"/>
      <c r="BC231" s="1"/>
      <c r="BD231" s="6"/>
      <c r="BE231" s="1"/>
      <c r="BF231" s="6"/>
      <c r="BG231" s="6"/>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2"/>
      <c r="AR232" s="3"/>
      <c r="AS232" s="1"/>
      <c r="AT232" s="1"/>
      <c r="AU232" s="4"/>
      <c r="AV232" s="4"/>
      <c r="AW232" s="4"/>
      <c r="AX232" s="5"/>
      <c r="AY232" s="4"/>
      <c r="AZ232" s="5"/>
      <c r="BA232" s="1"/>
      <c r="BB232" s="1"/>
      <c r="BC232" s="1"/>
      <c r="BD232" s="6"/>
      <c r="BE232" s="1"/>
      <c r="BF232" s="6"/>
      <c r="BG232" s="6"/>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2"/>
      <c r="AR233" s="3"/>
      <c r="AS233" s="1"/>
      <c r="AT233" s="1"/>
      <c r="AU233" s="4"/>
      <c r="AV233" s="4"/>
      <c r="AW233" s="4"/>
      <c r="AX233" s="5"/>
      <c r="AY233" s="4"/>
      <c r="AZ233" s="5"/>
      <c r="BA233" s="1"/>
      <c r="BB233" s="1"/>
      <c r="BC233" s="1"/>
      <c r="BD233" s="6"/>
      <c r="BE233" s="1"/>
      <c r="BF233" s="6"/>
      <c r="BG233" s="6"/>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2"/>
      <c r="AR234" s="3"/>
      <c r="AS234" s="1"/>
      <c r="AT234" s="1"/>
      <c r="AU234" s="4"/>
      <c r="AV234" s="4"/>
      <c r="AW234" s="4"/>
      <c r="AX234" s="5"/>
      <c r="AY234" s="4"/>
      <c r="AZ234" s="5"/>
      <c r="BA234" s="1"/>
      <c r="BB234" s="1"/>
      <c r="BC234" s="1"/>
      <c r="BD234" s="6"/>
      <c r="BE234" s="1"/>
      <c r="BF234" s="6"/>
      <c r="BG234" s="6"/>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2"/>
      <c r="AR235" s="3"/>
      <c r="AS235" s="1"/>
      <c r="AT235" s="1"/>
      <c r="AU235" s="4"/>
      <c r="AV235" s="4"/>
      <c r="AW235" s="4"/>
      <c r="AX235" s="5"/>
      <c r="AY235" s="4"/>
      <c r="AZ235" s="5"/>
      <c r="BA235" s="1"/>
      <c r="BB235" s="1"/>
      <c r="BC235" s="1"/>
      <c r="BD235" s="6"/>
      <c r="BE235" s="1"/>
      <c r="BF235" s="6"/>
      <c r="BG235" s="6"/>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2"/>
      <c r="AR236" s="3"/>
      <c r="AS236" s="1"/>
      <c r="AT236" s="1"/>
      <c r="AU236" s="4"/>
      <c r="AV236" s="4"/>
      <c r="AW236" s="4"/>
      <c r="AX236" s="5"/>
      <c r="AY236" s="4"/>
      <c r="AZ236" s="5"/>
      <c r="BA236" s="1"/>
      <c r="BB236" s="1"/>
      <c r="BC236" s="1"/>
      <c r="BD236" s="6"/>
      <c r="BE236" s="1"/>
      <c r="BF236" s="6"/>
      <c r="BG236" s="6"/>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2"/>
      <c r="AR237" s="3"/>
      <c r="AS237" s="1"/>
      <c r="AT237" s="1"/>
      <c r="AU237" s="4"/>
      <c r="AV237" s="4"/>
      <c r="AW237" s="4"/>
      <c r="AX237" s="5"/>
      <c r="AY237" s="4"/>
      <c r="AZ237" s="5"/>
      <c r="BA237" s="1"/>
      <c r="BB237" s="1"/>
      <c r="BC237" s="1"/>
      <c r="BD237" s="6"/>
      <c r="BE237" s="1"/>
      <c r="BF237" s="6"/>
      <c r="BG237" s="6"/>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2"/>
      <c r="AR238" s="3"/>
      <c r="AS238" s="1"/>
      <c r="AT238" s="1"/>
      <c r="AU238" s="4"/>
      <c r="AV238" s="4"/>
      <c r="AW238" s="4"/>
      <c r="AX238" s="5"/>
      <c r="AY238" s="4"/>
      <c r="AZ238" s="5"/>
      <c r="BA238" s="1"/>
      <c r="BB238" s="1"/>
      <c r="BC238" s="1"/>
      <c r="BD238" s="6"/>
      <c r="BE238" s="1"/>
      <c r="BF238" s="6"/>
      <c r="BG238" s="6"/>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2"/>
      <c r="AR239" s="3"/>
      <c r="AS239" s="1"/>
      <c r="AT239" s="1"/>
      <c r="AU239" s="4"/>
      <c r="AV239" s="4"/>
      <c r="AW239" s="4"/>
      <c r="AX239" s="5"/>
      <c r="AY239" s="4"/>
      <c r="AZ239" s="5"/>
      <c r="BA239" s="1"/>
      <c r="BB239" s="1"/>
      <c r="BC239" s="1"/>
      <c r="BD239" s="6"/>
      <c r="BE239" s="1"/>
      <c r="BF239" s="6"/>
      <c r="BG239" s="6"/>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2"/>
      <c r="AR240" s="3"/>
      <c r="AS240" s="1"/>
      <c r="AT240" s="1"/>
      <c r="AU240" s="4"/>
      <c r="AV240" s="4"/>
      <c r="AW240" s="4"/>
      <c r="AX240" s="5"/>
      <c r="AY240" s="4"/>
      <c r="AZ240" s="5"/>
      <c r="BA240" s="1"/>
      <c r="BB240" s="1"/>
      <c r="BC240" s="1"/>
      <c r="BD240" s="6"/>
      <c r="BE240" s="1"/>
      <c r="BF240" s="6"/>
      <c r="BG240" s="6"/>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2"/>
      <c r="AR241" s="3"/>
      <c r="AS241" s="1"/>
      <c r="AT241" s="1"/>
      <c r="AU241" s="4"/>
      <c r="AV241" s="4"/>
      <c r="AW241" s="4"/>
      <c r="AX241" s="5"/>
      <c r="AY241" s="4"/>
      <c r="AZ241" s="5"/>
      <c r="BA241" s="1"/>
      <c r="BB241" s="1"/>
      <c r="BC241" s="1"/>
      <c r="BD241" s="6"/>
      <c r="BE241" s="1"/>
      <c r="BF241" s="6"/>
      <c r="BG241" s="6"/>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2"/>
      <c r="AR242" s="3"/>
      <c r="AS242" s="1"/>
      <c r="AT242" s="1"/>
      <c r="AU242" s="4"/>
      <c r="AV242" s="4"/>
      <c r="AW242" s="4"/>
      <c r="AX242" s="5"/>
      <c r="AY242" s="4"/>
      <c r="AZ242" s="5"/>
      <c r="BA242" s="1"/>
      <c r="BB242" s="1"/>
      <c r="BC242" s="1"/>
      <c r="BD242" s="6"/>
      <c r="BE242" s="1"/>
      <c r="BF242" s="6"/>
      <c r="BG242" s="6"/>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2"/>
      <c r="AR243" s="3"/>
      <c r="AS243" s="1"/>
      <c r="AT243" s="1"/>
      <c r="AU243" s="4"/>
      <c r="AV243" s="4"/>
      <c r="AW243" s="4"/>
      <c r="AX243" s="5"/>
      <c r="AY243" s="4"/>
      <c r="AZ243" s="5"/>
      <c r="BA243" s="1"/>
      <c r="BB243" s="1"/>
      <c r="BC243" s="1"/>
      <c r="BD243" s="6"/>
      <c r="BE243" s="1"/>
      <c r="BF243" s="6"/>
      <c r="BG243" s="6"/>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2"/>
      <c r="AR244" s="3"/>
      <c r="AS244" s="1"/>
      <c r="AT244" s="1"/>
      <c r="AU244" s="4"/>
      <c r="AV244" s="4"/>
      <c r="AW244" s="4"/>
      <c r="AX244" s="5"/>
      <c r="AY244" s="4"/>
      <c r="AZ244" s="5"/>
      <c r="BA244" s="1"/>
      <c r="BB244" s="1"/>
      <c r="BC244" s="1"/>
      <c r="BD244" s="6"/>
      <c r="BE244" s="1"/>
      <c r="BF244" s="6"/>
      <c r="BG244" s="6"/>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2"/>
      <c r="AR245" s="3"/>
      <c r="AS245" s="1"/>
      <c r="AT245" s="1"/>
      <c r="AU245" s="4"/>
      <c r="AV245" s="4"/>
      <c r="AW245" s="4"/>
      <c r="AX245" s="5"/>
      <c r="AY245" s="4"/>
      <c r="AZ245" s="5"/>
      <c r="BA245" s="1"/>
      <c r="BB245" s="1"/>
      <c r="BC245" s="1"/>
      <c r="BD245" s="6"/>
      <c r="BE245" s="1"/>
      <c r="BF245" s="6"/>
      <c r="BG245" s="6"/>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2"/>
      <c r="AR246" s="3"/>
      <c r="AS246" s="1"/>
      <c r="AT246" s="1"/>
      <c r="AU246" s="4"/>
      <c r="AV246" s="4"/>
      <c r="AW246" s="4"/>
      <c r="AX246" s="5"/>
      <c r="AY246" s="4"/>
      <c r="AZ246" s="5"/>
      <c r="BA246" s="1"/>
      <c r="BB246" s="1"/>
      <c r="BC246" s="1"/>
      <c r="BD246" s="6"/>
      <c r="BE246" s="1"/>
      <c r="BF246" s="6"/>
      <c r="BG246" s="6"/>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2"/>
      <c r="AR247" s="3"/>
      <c r="AS247" s="1"/>
      <c r="AT247" s="1"/>
      <c r="AU247" s="4"/>
      <c r="AV247" s="4"/>
      <c r="AW247" s="4"/>
      <c r="AX247" s="5"/>
      <c r="AY247" s="4"/>
      <c r="AZ247" s="5"/>
      <c r="BA247" s="1"/>
      <c r="BB247" s="1"/>
      <c r="BC247" s="1"/>
      <c r="BD247" s="6"/>
      <c r="BE247" s="1"/>
      <c r="BF247" s="6"/>
      <c r="BG247" s="6"/>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2"/>
      <c r="AR248" s="3"/>
      <c r="AS248" s="1"/>
      <c r="AT248" s="1"/>
      <c r="AU248" s="4"/>
      <c r="AV248" s="4"/>
      <c r="AW248" s="4"/>
      <c r="AX248" s="5"/>
      <c r="AY248" s="4"/>
      <c r="AZ248" s="5"/>
      <c r="BA248" s="1"/>
      <c r="BB248" s="1"/>
      <c r="BC248" s="1"/>
      <c r="BD248" s="6"/>
      <c r="BE248" s="1"/>
      <c r="BF248" s="6"/>
      <c r="BG248" s="6"/>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2"/>
      <c r="AR249" s="3"/>
      <c r="AS249" s="1"/>
      <c r="AT249" s="1"/>
      <c r="AU249" s="4"/>
      <c r="AV249" s="4"/>
      <c r="AW249" s="4"/>
      <c r="AX249" s="5"/>
      <c r="AY249" s="4"/>
      <c r="AZ249" s="5"/>
      <c r="BA249" s="1"/>
      <c r="BB249" s="1"/>
      <c r="BC249" s="1"/>
      <c r="BD249" s="6"/>
      <c r="BE249" s="1"/>
      <c r="BF249" s="6"/>
      <c r="BG249" s="6"/>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2"/>
      <c r="AR250" s="3"/>
      <c r="AS250" s="1"/>
      <c r="AT250" s="1"/>
      <c r="AU250" s="4"/>
      <c r="AV250" s="4"/>
      <c r="AW250" s="4"/>
      <c r="AX250" s="5"/>
      <c r="AY250" s="4"/>
      <c r="AZ250" s="5"/>
      <c r="BA250" s="1"/>
      <c r="BB250" s="1"/>
      <c r="BC250" s="1"/>
      <c r="BD250" s="6"/>
      <c r="BE250" s="1"/>
      <c r="BF250" s="6"/>
      <c r="BG250" s="6"/>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2"/>
      <c r="AR251" s="3"/>
      <c r="AS251" s="1"/>
      <c r="AT251" s="1"/>
      <c r="AU251" s="4"/>
      <c r="AV251" s="4"/>
      <c r="AW251" s="4"/>
      <c r="AX251" s="5"/>
      <c r="AY251" s="4"/>
      <c r="AZ251" s="5"/>
      <c r="BA251" s="1"/>
      <c r="BB251" s="1"/>
      <c r="BC251" s="1"/>
      <c r="BD251" s="6"/>
      <c r="BE251" s="1"/>
      <c r="BF251" s="6"/>
      <c r="BG251" s="6"/>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2"/>
      <c r="AR252" s="3"/>
      <c r="AS252" s="1"/>
      <c r="AT252" s="1"/>
      <c r="AU252" s="4"/>
      <c r="AV252" s="4"/>
      <c r="AW252" s="4"/>
      <c r="AX252" s="5"/>
      <c r="AY252" s="4"/>
      <c r="AZ252" s="5"/>
      <c r="BA252" s="1"/>
      <c r="BB252" s="1"/>
      <c r="BC252" s="1"/>
      <c r="BD252" s="6"/>
      <c r="BE252" s="1"/>
      <c r="BF252" s="6"/>
      <c r="BG252" s="6"/>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2"/>
      <c r="AR253" s="3"/>
      <c r="AS253" s="1"/>
      <c r="AT253" s="1"/>
      <c r="AU253" s="4"/>
      <c r="AV253" s="4"/>
      <c r="AW253" s="4"/>
      <c r="AX253" s="5"/>
      <c r="AY253" s="4"/>
      <c r="AZ253" s="5"/>
      <c r="BA253" s="1"/>
      <c r="BB253" s="1"/>
      <c r="BC253" s="1"/>
      <c r="BD253" s="6"/>
      <c r="BE253" s="1"/>
      <c r="BF253" s="6"/>
      <c r="BG253" s="6"/>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2"/>
      <c r="AR254" s="3"/>
      <c r="AS254" s="1"/>
      <c r="AT254" s="1"/>
      <c r="AU254" s="4"/>
      <c r="AV254" s="4"/>
      <c r="AW254" s="4"/>
      <c r="AX254" s="5"/>
      <c r="AY254" s="4"/>
      <c r="AZ254" s="5"/>
      <c r="BA254" s="1"/>
      <c r="BB254" s="1"/>
      <c r="BC254" s="1"/>
      <c r="BD254" s="6"/>
      <c r="BE254" s="1"/>
      <c r="BF254" s="6"/>
      <c r="BG254" s="6"/>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2"/>
      <c r="AR255" s="3"/>
      <c r="AS255" s="1"/>
      <c r="AT255" s="1"/>
      <c r="AU255" s="4"/>
      <c r="AV255" s="4"/>
      <c r="AW255" s="4"/>
      <c r="AX255" s="5"/>
      <c r="AY255" s="4"/>
      <c r="AZ255" s="5"/>
      <c r="BA255" s="1"/>
      <c r="BB255" s="1"/>
      <c r="BC255" s="1"/>
      <c r="BD255" s="6"/>
      <c r="BE255" s="1"/>
      <c r="BF255" s="6"/>
      <c r="BG255" s="6"/>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2"/>
      <c r="AR256" s="3"/>
      <c r="AS256" s="1"/>
      <c r="AT256" s="1"/>
      <c r="AU256" s="4"/>
      <c r="AV256" s="4"/>
      <c r="AW256" s="4"/>
      <c r="AX256" s="5"/>
      <c r="AY256" s="4"/>
      <c r="AZ256" s="5"/>
      <c r="BA256" s="1"/>
      <c r="BB256" s="1"/>
      <c r="BC256" s="1"/>
      <c r="BD256" s="6"/>
      <c r="BE256" s="1"/>
      <c r="BF256" s="6"/>
      <c r="BG256" s="6"/>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2"/>
      <c r="AR257" s="3"/>
      <c r="AS257" s="1"/>
      <c r="AT257" s="1"/>
      <c r="AU257" s="4"/>
      <c r="AV257" s="4"/>
      <c r="AW257" s="4"/>
      <c r="AX257" s="5"/>
      <c r="AY257" s="4"/>
      <c r="AZ257" s="5"/>
      <c r="BA257" s="1"/>
      <c r="BB257" s="1"/>
      <c r="BC257" s="1"/>
      <c r="BD257" s="6"/>
      <c r="BE257" s="1"/>
      <c r="BF257" s="6"/>
      <c r="BG257" s="6"/>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2"/>
      <c r="AR258" s="3"/>
      <c r="AS258" s="1"/>
      <c r="AT258" s="1"/>
      <c r="AU258" s="4"/>
      <c r="AV258" s="4"/>
      <c r="AW258" s="4"/>
      <c r="AX258" s="5"/>
      <c r="AY258" s="4"/>
      <c r="AZ258" s="5"/>
      <c r="BA258" s="1"/>
      <c r="BB258" s="1"/>
      <c r="BC258" s="1"/>
      <c r="BD258" s="6"/>
      <c r="BE258" s="1"/>
      <c r="BF258" s="6"/>
      <c r="BG258" s="6"/>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2"/>
      <c r="AR259" s="3"/>
      <c r="AS259" s="1"/>
      <c r="AT259" s="1"/>
      <c r="AU259" s="4"/>
      <c r="AV259" s="4"/>
      <c r="AW259" s="4"/>
      <c r="AX259" s="5"/>
      <c r="AY259" s="4"/>
      <c r="AZ259" s="5"/>
      <c r="BA259" s="1"/>
      <c r="BB259" s="1"/>
      <c r="BC259" s="1"/>
      <c r="BD259" s="6"/>
      <c r="BE259" s="1"/>
      <c r="BF259" s="6"/>
      <c r="BG259" s="6"/>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2"/>
      <c r="AR260" s="3"/>
      <c r="AS260" s="1"/>
      <c r="AT260" s="1"/>
      <c r="AU260" s="4"/>
      <c r="AV260" s="4"/>
      <c r="AW260" s="4"/>
      <c r="AX260" s="5"/>
      <c r="AY260" s="4"/>
      <c r="AZ260" s="5"/>
      <c r="BA260" s="1"/>
      <c r="BB260" s="1"/>
      <c r="BC260" s="1"/>
      <c r="BD260" s="6"/>
      <c r="BE260" s="1"/>
      <c r="BF260" s="6"/>
      <c r="BG260" s="6"/>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2"/>
      <c r="AR261" s="3"/>
      <c r="AS261" s="1"/>
      <c r="AT261" s="1"/>
      <c r="AU261" s="4"/>
      <c r="AV261" s="4"/>
      <c r="AW261" s="4"/>
      <c r="AX261" s="5"/>
      <c r="AY261" s="4"/>
      <c r="AZ261" s="5"/>
      <c r="BA261" s="1"/>
      <c r="BB261" s="1"/>
      <c r="BC261" s="1"/>
      <c r="BD261" s="6"/>
      <c r="BE261" s="1"/>
      <c r="BF261" s="6"/>
      <c r="BG261" s="6"/>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2"/>
      <c r="AR262" s="3"/>
      <c r="AS262" s="1"/>
      <c r="AT262" s="1"/>
      <c r="AU262" s="4"/>
      <c r="AV262" s="4"/>
      <c r="AW262" s="4"/>
      <c r="AX262" s="5"/>
      <c r="AY262" s="4"/>
      <c r="AZ262" s="5"/>
      <c r="BA262" s="1"/>
      <c r="BB262" s="1"/>
      <c r="BC262" s="1"/>
      <c r="BD262" s="6"/>
      <c r="BE262" s="1"/>
      <c r="BF262" s="6"/>
      <c r="BG262" s="6"/>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2"/>
      <c r="AR263" s="3"/>
      <c r="AS263" s="1"/>
      <c r="AT263" s="1"/>
      <c r="AU263" s="4"/>
      <c r="AV263" s="4"/>
      <c r="AW263" s="4"/>
      <c r="AX263" s="5"/>
      <c r="AY263" s="4"/>
      <c r="AZ263" s="5"/>
      <c r="BA263" s="1"/>
      <c r="BB263" s="1"/>
      <c r="BC263" s="1"/>
      <c r="BD263" s="6"/>
      <c r="BE263" s="1"/>
      <c r="BF263" s="6"/>
      <c r="BG263" s="6"/>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2"/>
      <c r="AR264" s="3"/>
      <c r="AS264" s="1"/>
      <c r="AT264" s="1"/>
      <c r="AU264" s="4"/>
      <c r="AV264" s="4"/>
      <c r="AW264" s="4"/>
      <c r="AX264" s="5"/>
      <c r="AY264" s="4"/>
      <c r="AZ264" s="5"/>
      <c r="BA264" s="1"/>
      <c r="BB264" s="1"/>
      <c r="BC264" s="1"/>
      <c r="BD264" s="6"/>
      <c r="BE264" s="1"/>
      <c r="BF264" s="6"/>
      <c r="BG264" s="6"/>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2"/>
      <c r="AR265" s="3"/>
      <c r="AS265" s="1"/>
      <c r="AT265" s="1"/>
      <c r="AU265" s="4"/>
      <c r="AV265" s="4"/>
      <c r="AW265" s="4"/>
      <c r="AX265" s="5"/>
      <c r="AY265" s="4"/>
      <c r="AZ265" s="5"/>
      <c r="BA265" s="1"/>
      <c r="BB265" s="1"/>
      <c r="BC265" s="1"/>
      <c r="BD265" s="6"/>
      <c r="BE265" s="1"/>
      <c r="BF265" s="6"/>
      <c r="BG265" s="6"/>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2"/>
      <c r="AR266" s="3"/>
      <c r="AS266" s="1"/>
      <c r="AT266" s="1"/>
      <c r="AU266" s="4"/>
      <c r="AV266" s="4"/>
      <c r="AW266" s="4"/>
      <c r="AX266" s="5"/>
      <c r="AY266" s="4"/>
      <c r="AZ266" s="5"/>
      <c r="BA266" s="1"/>
      <c r="BB266" s="1"/>
      <c r="BC266" s="1"/>
      <c r="BD266" s="6"/>
      <c r="BE266" s="1"/>
      <c r="BF266" s="6"/>
      <c r="BG266" s="6"/>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2"/>
      <c r="AR267" s="3"/>
      <c r="AS267" s="1"/>
      <c r="AT267" s="1"/>
      <c r="AU267" s="4"/>
      <c r="AV267" s="4"/>
      <c r="AW267" s="4"/>
      <c r="AX267" s="5"/>
      <c r="AY267" s="4"/>
      <c r="AZ267" s="5"/>
      <c r="BA267" s="1"/>
      <c r="BB267" s="1"/>
      <c r="BC267" s="1"/>
      <c r="BD267" s="6"/>
      <c r="BE267" s="1"/>
      <c r="BF267" s="6"/>
      <c r="BG267" s="6"/>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2"/>
      <c r="AR268" s="3"/>
      <c r="AS268" s="1"/>
      <c r="AT268" s="1"/>
      <c r="AU268" s="4"/>
      <c r="AV268" s="4"/>
      <c r="AW268" s="4"/>
      <c r="AX268" s="5"/>
      <c r="AY268" s="4"/>
      <c r="AZ268" s="5"/>
      <c r="BA268" s="1"/>
      <c r="BB268" s="1"/>
      <c r="BC268" s="1"/>
      <c r="BD268" s="6"/>
      <c r="BE268" s="1"/>
      <c r="BF268" s="6"/>
      <c r="BG268" s="6"/>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2"/>
      <c r="AR269" s="3"/>
      <c r="AS269" s="1"/>
      <c r="AT269" s="1"/>
      <c r="AU269" s="4"/>
      <c r="AV269" s="4"/>
      <c r="AW269" s="4"/>
      <c r="AX269" s="5"/>
      <c r="AY269" s="4"/>
      <c r="AZ269" s="5"/>
      <c r="BA269" s="1"/>
      <c r="BB269" s="1"/>
      <c r="BC269" s="1"/>
      <c r="BD269" s="6"/>
      <c r="BE269" s="1"/>
      <c r="BF269" s="6"/>
      <c r="BG269" s="6"/>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2"/>
      <c r="AR270" s="3"/>
      <c r="AS270" s="1"/>
      <c r="AT270" s="1"/>
      <c r="AU270" s="4"/>
      <c r="AV270" s="4"/>
      <c r="AW270" s="4"/>
      <c r="AX270" s="5"/>
      <c r="AY270" s="4"/>
      <c r="AZ270" s="5"/>
      <c r="BA270" s="1"/>
      <c r="BB270" s="1"/>
      <c r="BC270" s="1"/>
      <c r="BD270" s="6"/>
      <c r="BE270" s="1"/>
      <c r="BF270" s="6"/>
      <c r="BG270" s="6"/>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2"/>
      <c r="AR271" s="3"/>
      <c r="AS271" s="1"/>
      <c r="AT271" s="1"/>
      <c r="AU271" s="4"/>
      <c r="AV271" s="4"/>
      <c r="AW271" s="4"/>
      <c r="AX271" s="5"/>
      <c r="AY271" s="4"/>
      <c r="AZ271" s="5"/>
      <c r="BA271" s="1"/>
      <c r="BB271" s="1"/>
      <c r="BC271" s="1"/>
      <c r="BD271" s="6"/>
      <c r="BE271" s="1"/>
      <c r="BF271" s="6"/>
      <c r="BG271" s="6"/>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2"/>
      <c r="AR272" s="3"/>
      <c r="AS272" s="1"/>
      <c r="AT272" s="1"/>
      <c r="AU272" s="4"/>
      <c r="AV272" s="4"/>
      <c r="AW272" s="4"/>
      <c r="AX272" s="5"/>
      <c r="AY272" s="4"/>
      <c r="AZ272" s="5"/>
      <c r="BA272" s="1"/>
      <c r="BB272" s="1"/>
      <c r="BC272" s="1"/>
      <c r="BD272" s="6"/>
      <c r="BE272" s="1"/>
      <c r="BF272" s="6"/>
      <c r="BG272" s="6"/>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2"/>
      <c r="AR273" s="3"/>
      <c r="AS273" s="1"/>
      <c r="AT273" s="1"/>
      <c r="AU273" s="4"/>
      <c r="AV273" s="4"/>
      <c r="AW273" s="4"/>
      <c r="AX273" s="5"/>
      <c r="AY273" s="4"/>
      <c r="AZ273" s="5"/>
      <c r="BA273" s="1"/>
      <c r="BB273" s="1"/>
      <c r="BC273" s="1"/>
      <c r="BD273" s="6"/>
      <c r="BE273" s="1"/>
      <c r="BF273" s="6"/>
      <c r="BG273" s="6"/>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2"/>
      <c r="AR274" s="3"/>
      <c r="AS274" s="1"/>
      <c r="AT274" s="1"/>
      <c r="AU274" s="4"/>
      <c r="AV274" s="4"/>
      <c r="AW274" s="4"/>
      <c r="AX274" s="5"/>
      <c r="AY274" s="4"/>
      <c r="AZ274" s="5"/>
      <c r="BA274" s="1"/>
      <c r="BB274" s="1"/>
      <c r="BC274" s="1"/>
      <c r="BD274" s="6"/>
      <c r="BE274" s="1"/>
      <c r="BF274" s="6"/>
      <c r="BG274" s="6"/>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2"/>
      <c r="AR275" s="3"/>
      <c r="AS275" s="1"/>
      <c r="AT275" s="1"/>
      <c r="AU275" s="4"/>
      <c r="AV275" s="4"/>
      <c r="AW275" s="4"/>
      <c r="AX275" s="5"/>
      <c r="AY275" s="4"/>
      <c r="AZ275" s="5"/>
      <c r="BA275" s="1"/>
      <c r="BB275" s="1"/>
      <c r="BC275" s="1"/>
      <c r="BD275" s="6"/>
      <c r="BE275" s="1"/>
      <c r="BF275" s="6"/>
      <c r="BG275" s="6"/>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2"/>
      <c r="AR276" s="3"/>
      <c r="AS276" s="1"/>
      <c r="AT276" s="1"/>
      <c r="AU276" s="4"/>
      <c r="AV276" s="4"/>
      <c r="AW276" s="4"/>
      <c r="AX276" s="5"/>
      <c r="AY276" s="4"/>
      <c r="AZ276" s="5"/>
      <c r="BA276" s="1"/>
      <c r="BB276" s="1"/>
      <c r="BC276" s="1"/>
      <c r="BD276" s="6"/>
      <c r="BE276" s="1"/>
      <c r="BF276" s="6"/>
      <c r="BG276" s="6"/>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2"/>
      <c r="AR277" s="3"/>
      <c r="AS277" s="1"/>
      <c r="AT277" s="1"/>
      <c r="AU277" s="4"/>
      <c r="AV277" s="4"/>
      <c r="AW277" s="4"/>
      <c r="AX277" s="5"/>
      <c r="AY277" s="4"/>
      <c r="AZ277" s="5"/>
      <c r="BA277" s="1"/>
      <c r="BB277" s="1"/>
      <c r="BC277" s="1"/>
      <c r="BD277" s="6"/>
      <c r="BE277" s="1"/>
      <c r="BF277" s="6"/>
      <c r="BG277" s="6"/>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2"/>
      <c r="AR278" s="3"/>
      <c r="AS278" s="1"/>
      <c r="AT278" s="1"/>
      <c r="AU278" s="4"/>
      <c r="AV278" s="4"/>
      <c r="AW278" s="4"/>
      <c r="AX278" s="5"/>
      <c r="AY278" s="4"/>
      <c r="AZ278" s="5"/>
      <c r="BA278" s="1"/>
      <c r="BB278" s="1"/>
      <c r="BC278" s="1"/>
      <c r="BD278" s="6"/>
      <c r="BE278" s="1"/>
      <c r="BF278" s="6"/>
      <c r="BG278" s="6"/>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2"/>
      <c r="AR279" s="3"/>
      <c r="AS279" s="1"/>
      <c r="AT279" s="1"/>
      <c r="AU279" s="4"/>
      <c r="AV279" s="4"/>
      <c r="AW279" s="4"/>
      <c r="AX279" s="5"/>
      <c r="AY279" s="4"/>
      <c r="AZ279" s="5"/>
      <c r="BA279" s="1"/>
      <c r="BB279" s="1"/>
      <c r="BC279" s="1"/>
      <c r="BD279" s="6"/>
      <c r="BE279" s="1"/>
      <c r="BF279" s="6"/>
      <c r="BG279" s="6"/>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2"/>
      <c r="AR280" s="3"/>
      <c r="AS280" s="1"/>
      <c r="AT280" s="1"/>
      <c r="AU280" s="4"/>
      <c r="AV280" s="4"/>
      <c r="AW280" s="4"/>
      <c r="AX280" s="5"/>
      <c r="AY280" s="4"/>
      <c r="AZ280" s="5"/>
      <c r="BA280" s="1"/>
      <c r="BB280" s="1"/>
      <c r="BC280" s="1"/>
      <c r="BD280" s="6"/>
      <c r="BE280" s="1"/>
      <c r="BF280" s="6"/>
      <c r="BG280" s="6"/>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2"/>
      <c r="AR281" s="3"/>
      <c r="AS281" s="1"/>
      <c r="AT281" s="1"/>
      <c r="AU281" s="4"/>
      <c r="AV281" s="4"/>
      <c r="AW281" s="4"/>
      <c r="AX281" s="5"/>
      <c r="AY281" s="4"/>
      <c r="AZ281" s="5"/>
      <c r="BA281" s="1"/>
      <c r="BB281" s="1"/>
      <c r="BC281" s="1"/>
      <c r="BD281" s="6"/>
      <c r="BE281" s="1"/>
      <c r="BF281" s="6"/>
      <c r="BG281" s="6"/>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2"/>
      <c r="AR282" s="3"/>
      <c r="AS282" s="1"/>
      <c r="AT282" s="1"/>
      <c r="AU282" s="4"/>
      <c r="AV282" s="4"/>
      <c r="AW282" s="4"/>
      <c r="AX282" s="5"/>
      <c r="AY282" s="4"/>
      <c r="AZ282" s="5"/>
      <c r="BA282" s="1"/>
      <c r="BB282" s="1"/>
      <c r="BC282" s="1"/>
      <c r="BD282" s="6"/>
      <c r="BE282" s="1"/>
      <c r="BF282" s="6"/>
      <c r="BG282" s="6"/>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2"/>
      <c r="AR283" s="3"/>
      <c r="AS283" s="1"/>
      <c r="AT283" s="1"/>
      <c r="AU283" s="4"/>
      <c r="AV283" s="4"/>
      <c r="AW283" s="4"/>
      <c r="AX283" s="5"/>
      <c r="AY283" s="4"/>
      <c r="AZ283" s="5"/>
      <c r="BA283" s="1"/>
      <c r="BB283" s="1"/>
      <c r="BC283" s="1"/>
      <c r="BD283" s="6"/>
      <c r="BE283" s="1"/>
      <c r="BF283" s="6"/>
      <c r="BG283" s="6"/>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2"/>
      <c r="AR284" s="3"/>
      <c r="AS284" s="1"/>
      <c r="AT284" s="1"/>
      <c r="AU284" s="4"/>
      <c r="AV284" s="4"/>
      <c r="AW284" s="4"/>
      <c r="AX284" s="5"/>
      <c r="AY284" s="4"/>
      <c r="AZ284" s="5"/>
      <c r="BA284" s="1"/>
      <c r="BB284" s="1"/>
      <c r="BC284" s="1"/>
      <c r="BD284" s="6"/>
      <c r="BE284" s="1"/>
      <c r="BF284" s="6"/>
      <c r="BG284" s="6"/>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2"/>
      <c r="AR285" s="3"/>
      <c r="AS285" s="1"/>
      <c r="AT285" s="1"/>
      <c r="AU285" s="4"/>
      <c r="AV285" s="4"/>
      <c r="AW285" s="4"/>
      <c r="AX285" s="5"/>
      <c r="AY285" s="4"/>
      <c r="AZ285" s="5"/>
      <c r="BA285" s="1"/>
      <c r="BB285" s="1"/>
      <c r="BC285" s="1"/>
      <c r="BD285" s="6"/>
      <c r="BE285" s="1"/>
      <c r="BF285" s="6"/>
      <c r="BG285" s="6"/>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2"/>
      <c r="AR286" s="3"/>
      <c r="AS286" s="1"/>
      <c r="AT286" s="1"/>
      <c r="AU286" s="4"/>
      <c r="AV286" s="4"/>
      <c r="AW286" s="4"/>
      <c r="AX286" s="5"/>
      <c r="AY286" s="4"/>
      <c r="AZ286" s="5"/>
      <c r="BA286" s="1"/>
      <c r="BB286" s="1"/>
      <c r="BC286" s="1"/>
      <c r="BD286" s="6"/>
      <c r="BE286" s="1"/>
      <c r="BF286" s="6"/>
      <c r="BG286" s="6"/>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2"/>
      <c r="AR287" s="3"/>
      <c r="AS287" s="1"/>
      <c r="AT287" s="1"/>
      <c r="AU287" s="4"/>
      <c r="AV287" s="4"/>
      <c r="AW287" s="4"/>
      <c r="AX287" s="5"/>
      <c r="AY287" s="4"/>
      <c r="AZ287" s="5"/>
      <c r="BA287" s="1"/>
      <c r="BB287" s="1"/>
      <c r="BC287" s="1"/>
      <c r="BD287" s="6"/>
      <c r="BE287" s="1"/>
      <c r="BF287" s="6"/>
      <c r="BG287" s="6"/>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2"/>
      <c r="AR288" s="3"/>
      <c r="AS288" s="1"/>
      <c r="AT288" s="1"/>
      <c r="AU288" s="4"/>
      <c r="AV288" s="4"/>
      <c r="AW288" s="4"/>
      <c r="AX288" s="5"/>
      <c r="AY288" s="4"/>
      <c r="AZ288" s="5"/>
      <c r="BA288" s="1"/>
      <c r="BB288" s="1"/>
      <c r="BC288" s="1"/>
      <c r="BD288" s="6"/>
      <c r="BE288" s="1"/>
      <c r="BF288" s="6"/>
      <c r="BG288" s="6"/>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2"/>
      <c r="AR289" s="3"/>
      <c r="AS289" s="1"/>
      <c r="AT289" s="1"/>
      <c r="AU289" s="4"/>
      <c r="AV289" s="4"/>
      <c r="AW289" s="4"/>
      <c r="AX289" s="5"/>
      <c r="AY289" s="4"/>
      <c r="AZ289" s="5"/>
      <c r="BA289" s="1"/>
      <c r="BB289" s="1"/>
      <c r="BC289" s="1"/>
      <c r="BD289" s="6"/>
      <c r="BE289" s="1"/>
      <c r="BF289" s="6"/>
      <c r="BG289" s="6"/>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2"/>
      <c r="AR290" s="3"/>
      <c r="AS290" s="1"/>
      <c r="AT290" s="1"/>
      <c r="AU290" s="4"/>
      <c r="AV290" s="4"/>
      <c r="AW290" s="4"/>
      <c r="AX290" s="5"/>
      <c r="AY290" s="4"/>
      <c r="AZ290" s="5"/>
      <c r="BA290" s="1"/>
      <c r="BB290" s="1"/>
      <c r="BC290" s="1"/>
      <c r="BD290" s="6"/>
      <c r="BE290" s="1"/>
      <c r="BF290" s="6"/>
      <c r="BG290" s="6"/>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2"/>
      <c r="AR291" s="3"/>
      <c r="AS291" s="1"/>
      <c r="AT291" s="1"/>
      <c r="AU291" s="4"/>
      <c r="AV291" s="4"/>
      <c r="AW291" s="4"/>
      <c r="AX291" s="5"/>
      <c r="AY291" s="4"/>
      <c r="AZ291" s="5"/>
      <c r="BA291" s="1"/>
      <c r="BB291" s="1"/>
      <c r="BC291" s="1"/>
      <c r="BD291" s="6"/>
      <c r="BE291" s="1"/>
      <c r="BF291" s="6"/>
      <c r="BG291" s="6"/>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2"/>
      <c r="AR292" s="3"/>
      <c r="AS292" s="1"/>
      <c r="AT292" s="1"/>
      <c r="AU292" s="4"/>
      <c r="AV292" s="4"/>
      <c r="AW292" s="4"/>
      <c r="AX292" s="5"/>
      <c r="AY292" s="4"/>
      <c r="AZ292" s="5"/>
      <c r="BA292" s="1"/>
      <c r="BB292" s="1"/>
      <c r="BC292" s="1"/>
      <c r="BD292" s="6"/>
      <c r="BE292" s="1"/>
      <c r="BF292" s="6"/>
      <c r="BG292" s="6"/>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2"/>
      <c r="AR293" s="3"/>
      <c r="AS293" s="1"/>
      <c r="AT293" s="1"/>
      <c r="AU293" s="4"/>
      <c r="AV293" s="4"/>
      <c r="AW293" s="4"/>
      <c r="AX293" s="5"/>
      <c r="AY293" s="4"/>
      <c r="AZ293" s="5"/>
      <c r="BA293" s="1"/>
      <c r="BB293" s="1"/>
      <c r="BC293" s="1"/>
      <c r="BD293" s="6"/>
      <c r="BE293" s="1"/>
      <c r="BF293" s="6"/>
      <c r="BG293" s="6"/>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2"/>
      <c r="AR294" s="3"/>
      <c r="AS294" s="1"/>
      <c r="AT294" s="1"/>
      <c r="AU294" s="4"/>
      <c r="AV294" s="4"/>
      <c r="AW294" s="4"/>
      <c r="AX294" s="5"/>
      <c r="AY294" s="4"/>
      <c r="AZ294" s="5"/>
      <c r="BA294" s="1"/>
      <c r="BB294" s="1"/>
      <c r="BC294" s="1"/>
      <c r="BD294" s="6"/>
      <c r="BE294" s="1"/>
      <c r="BF294" s="6"/>
      <c r="BG294" s="6"/>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2"/>
      <c r="AR295" s="3"/>
      <c r="AS295" s="1"/>
      <c r="AT295" s="1"/>
      <c r="AU295" s="4"/>
      <c r="AV295" s="4"/>
      <c r="AW295" s="4"/>
      <c r="AX295" s="5"/>
      <c r="AY295" s="4"/>
      <c r="AZ295" s="5"/>
      <c r="BA295" s="1"/>
      <c r="BB295" s="1"/>
      <c r="BC295" s="1"/>
      <c r="BD295" s="6"/>
      <c r="BE295" s="1"/>
      <c r="BF295" s="6"/>
      <c r="BG295" s="6"/>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2"/>
      <c r="AR296" s="3"/>
      <c r="AS296" s="1"/>
      <c r="AT296" s="1"/>
      <c r="AU296" s="4"/>
      <c r="AV296" s="4"/>
      <c r="AW296" s="4"/>
      <c r="AX296" s="5"/>
      <c r="AY296" s="4"/>
      <c r="AZ296" s="5"/>
      <c r="BA296" s="1"/>
      <c r="BB296" s="1"/>
      <c r="BC296" s="1"/>
      <c r="BD296" s="6"/>
      <c r="BE296" s="1"/>
      <c r="BF296" s="6"/>
      <c r="BG296" s="6"/>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2"/>
      <c r="AR297" s="3"/>
      <c r="AS297" s="1"/>
      <c r="AT297" s="1"/>
      <c r="AU297" s="4"/>
      <c r="AV297" s="4"/>
      <c r="AW297" s="4"/>
      <c r="AX297" s="5"/>
      <c r="AY297" s="4"/>
      <c r="AZ297" s="5"/>
      <c r="BA297" s="1"/>
      <c r="BB297" s="1"/>
      <c r="BC297" s="1"/>
      <c r="BD297" s="6"/>
      <c r="BE297" s="1"/>
      <c r="BF297" s="6"/>
      <c r="BG297" s="6"/>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2"/>
      <c r="AR298" s="3"/>
      <c r="AS298" s="1"/>
      <c r="AT298" s="1"/>
      <c r="AU298" s="4"/>
      <c r="AV298" s="4"/>
      <c r="AW298" s="4"/>
      <c r="AX298" s="5"/>
      <c r="AY298" s="4"/>
      <c r="AZ298" s="5"/>
      <c r="BA298" s="1"/>
      <c r="BB298" s="1"/>
      <c r="BC298" s="1"/>
      <c r="BD298" s="6"/>
      <c r="BE298" s="1"/>
      <c r="BF298" s="6"/>
      <c r="BG298" s="6"/>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2"/>
      <c r="AR299" s="3"/>
      <c r="AS299" s="1"/>
      <c r="AT299" s="1"/>
      <c r="AU299" s="4"/>
      <c r="AV299" s="4"/>
      <c r="AW299" s="4"/>
      <c r="AX299" s="5"/>
      <c r="AY299" s="4"/>
      <c r="AZ299" s="5"/>
      <c r="BA299" s="1"/>
      <c r="BB299" s="1"/>
      <c r="BC299" s="1"/>
      <c r="BD299" s="6"/>
      <c r="BE299" s="1"/>
      <c r="BF299" s="6"/>
      <c r="BG299" s="6"/>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2"/>
      <c r="AR300" s="3"/>
      <c r="AS300" s="1"/>
      <c r="AT300" s="1"/>
      <c r="AU300" s="4"/>
      <c r="AV300" s="4"/>
      <c r="AW300" s="4"/>
      <c r="AX300" s="5"/>
      <c r="AY300" s="4"/>
      <c r="AZ300" s="5"/>
      <c r="BA300" s="1"/>
      <c r="BB300" s="1"/>
      <c r="BC300" s="1"/>
      <c r="BD300" s="6"/>
      <c r="BE300" s="1"/>
      <c r="BF300" s="6"/>
      <c r="BG300" s="6"/>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2"/>
      <c r="AR301" s="3"/>
      <c r="AS301" s="1"/>
      <c r="AT301" s="1"/>
      <c r="AU301" s="4"/>
      <c r="AV301" s="4"/>
      <c r="AW301" s="4"/>
      <c r="AX301" s="5"/>
      <c r="AY301" s="4"/>
      <c r="AZ301" s="5"/>
      <c r="BA301" s="1"/>
      <c r="BB301" s="1"/>
      <c r="BC301" s="1"/>
      <c r="BD301" s="6"/>
      <c r="BE301" s="1"/>
      <c r="BF301" s="6"/>
      <c r="BG301" s="6"/>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2"/>
      <c r="AR302" s="3"/>
      <c r="AS302" s="1"/>
      <c r="AT302" s="1"/>
      <c r="AU302" s="4"/>
      <c r="AV302" s="4"/>
      <c r="AW302" s="4"/>
      <c r="AX302" s="5"/>
      <c r="AY302" s="4"/>
      <c r="AZ302" s="5"/>
      <c r="BA302" s="1"/>
      <c r="BB302" s="1"/>
      <c r="BC302" s="1"/>
      <c r="BD302" s="6"/>
      <c r="BE302" s="1"/>
      <c r="BF302" s="6"/>
      <c r="BG302" s="6"/>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2"/>
      <c r="AR303" s="3"/>
      <c r="AS303" s="1"/>
      <c r="AT303" s="1"/>
      <c r="AU303" s="4"/>
      <c r="AV303" s="4"/>
      <c r="AW303" s="4"/>
      <c r="AX303" s="5"/>
      <c r="AY303" s="4"/>
      <c r="AZ303" s="5"/>
      <c r="BA303" s="1"/>
      <c r="BB303" s="1"/>
      <c r="BC303" s="1"/>
      <c r="BD303" s="6"/>
      <c r="BE303" s="1"/>
      <c r="BF303" s="6"/>
      <c r="BG303" s="6"/>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2"/>
      <c r="AR304" s="3"/>
      <c r="AS304" s="1"/>
      <c r="AT304" s="1"/>
      <c r="AU304" s="4"/>
      <c r="AV304" s="4"/>
      <c r="AW304" s="4"/>
      <c r="AX304" s="5"/>
      <c r="AY304" s="4"/>
      <c r="AZ304" s="5"/>
      <c r="BA304" s="1"/>
      <c r="BB304" s="1"/>
      <c r="BC304" s="1"/>
      <c r="BD304" s="6"/>
      <c r="BE304" s="1"/>
      <c r="BF304" s="6"/>
      <c r="BG304" s="6"/>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2"/>
      <c r="AR305" s="3"/>
      <c r="AS305" s="1"/>
      <c r="AT305" s="1"/>
      <c r="AU305" s="4"/>
      <c r="AV305" s="4"/>
      <c r="AW305" s="4"/>
      <c r="AX305" s="5"/>
      <c r="AY305" s="4"/>
      <c r="AZ305" s="5"/>
      <c r="BA305" s="1"/>
      <c r="BB305" s="1"/>
      <c r="BC305" s="1"/>
      <c r="BD305" s="6"/>
      <c r="BE305" s="1"/>
      <c r="BF305" s="6"/>
      <c r="BG305" s="6"/>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2"/>
      <c r="AR306" s="3"/>
      <c r="AS306" s="1"/>
      <c r="AT306" s="1"/>
      <c r="AU306" s="4"/>
      <c r="AV306" s="4"/>
      <c r="AW306" s="4"/>
      <c r="AX306" s="5"/>
      <c r="AY306" s="4"/>
      <c r="AZ306" s="5"/>
      <c r="BA306" s="1"/>
      <c r="BB306" s="1"/>
      <c r="BC306" s="1"/>
      <c r="BD306" s="6"/>
      <c r="BE306" s="1"/>
      <c r="BF306" s="6"/>
      <c r="BG306" s="6"/>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2"/>
      <c r="AR307" s="3"/>
      <c r="AS307" s="1"/>
      <c r="AT307" s="1"/>
      <c r="AU307" s="4"/>
      <c r="AV307" s="4"/>
      <c r="AW307" s="4"/>
      <c r="AX307" s="5"/>
      <c r="AY307" s="4"/>
      <c r="AZ307" s="5"/>
      <c r="BA307" s="1"/>
      <c r="BB307" s="1"/>
      <c r="BC307" s="1"/>
      <c r="BD307" s="6"/>
      <c r="BE307" s="1"/>
      <c r="BF307" s="6"/>
      <c r="BG307" s="6"/>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2"/>
      <c r="AR308" s="3"/>
      <c r="AS308" s="1"/>
      <c r="AT308" s="1"/>
      <c r="AU308" s="4"/>
      <c r="AV308" s="4"/>
      <c r="AW308" s="4"/>
      <c r="AX308" s="5"/>
      <c r="AY308" s="4"/>
      <c r="AZ308" s="5"/>
      <c r="BA308" s="1"/>
      <c r="BB308" s="1"/>
      <c r="BC308" s="1"/>
      <c r="BD308" s="6"/>
      <c r="BE308" s="1"/>
      <c r="BF308" s="6"/>
      <c r="BG308" s="6"/>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2"/>
      <c r="AR309" s="3"/>
      <c r="AS309" s="1"/>
      <c r="AT309" s="1"/>
      <c r="AU309" s="4"/>
      <c r="AV309" s="4"/>
      <c r="AW309" s="4"/>
      <c r="AX309" s="5"/>
      <c r="AY309" s="4"/>
      <c r="AZ309" s="5"/>
      <c r="BA309" s="1"/>
      <c r="BB309" s="1"/>
      <c r="BC309" s="1"/>
      <c r="BD309" s="6"/>
      <c r="BE309" s="1"/>
      <c r="BF309" s="6"/>
      <c r="BG309" s="6"/>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2"/>
      <c r="AR310" s="3"/>
      <c r="AS310" s="1"/>
      <c r="AT310" s="1"/>
      <c r="AU310" s="4"/>
      <c r="AV310" s="4"/>
      <c r="AW310" s="4"/>
      <c r="AX310" s="5"/>
      <c r="AY310" s="4"/>
      <c r="AZ310" s="5"/>
      <c r="BA310" s="1"/>
      <c r="BB310" s="1"/>
      <c r="BC310" s="1"/>
      <c r="BD310" s="6"/>
      <c r="BE310" s="1"/>
      <c r="BF310" s="6"/>
      <c r="BG310" s="6"/>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2"/>
      <c r="AR311" s="3"/>
      <c r="AS311" s="1"/>
      <c r="AT311" s="1"/>
      <c r="AU311" s="4"/>
      <c r="AV311" s="4"/>
      <c r="AW311" s="4"/>
      <c r="AX311" s="5"/>
      <c r="AY311" s="4"/>
      <c r="AZ311" s="5"/>
      <c r="BA311" s="1"/>
      <c r="BB311" s="1"/>
      <c r="BC311" s="1"/>
      <c r="BD311" s="6"/>
      <c r="BE311" s="1"/>
      <c r="BF311" s="6"/>
      <c r="BG311" s="6"/>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2"/>
      <c r="AR312" s="3"/>
      <c r="AS312" s="1"/>
      <c r="AT312" s="1"/>
      <c r="AU312" s="4"/>
      <c r="AV312" s="4"/>
      <c r="AW312" s="4"/>
      <c r="AX312" s="5"/>
      <c r="AY312" s="4"/>
      <c r="AZ312" s="5"/>
      <c r="BA312" s="1"/>
      <c r="BB312" s="1"/>
      <c r="BC312" s="1"/>
      <c r="BD312" s="6"/>
      <c r="BE312" s="1"/>
      <c r="BF312" s="6"/>
      <c r="BG312" s="6"/>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2"/>
      <c r="AR313" s="3"/>
      <c r="AS313" s="1"/>
      <c r="AT313" s="1"/>
      <c r="AU313" s="4"/>
      <c r="AV313" s="4"/>
      <c r="AW313" s="4"/>
      <c r="AX313" s="5"/>
      <c r="AY313" s="4"/>
      <c r="AZ313" s="5"/>
      <c r="BA313" s="1"/>
      <c r="BB313" s="1"/>
      <c r="BC313" s="1"/>
      <c r="BD313" s="6"/>
      <c r="BE313" s="1"/>
      <c r="BF313" s="6"/>
      <c r="BG313" s="6"/>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2"/>
      <c r="AR314" s="3"/>
      <c r="AS314" s="1"/>
      <c r="AT314" s="1"/>
      <c r="AU314" s="4"/>
      <c r="AV314" s="4"/>
      <c r="AW314" s="4"/>
      <c r="AX314" s="5"/>
      <c r="AY314" s="4"/>
      <c r="AZ314" s="5"/>
      <c r="BA314" s="1"/>
      <c r="BB314" s="1"/>
      <c r="BC314" s="1"/>
      <c r="BD314" s="6"/>
      <c r="BE314" s="1"/>
      <c r="BF314" s="6"/>
      <c r="BG314" s="6"/>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2"/>
      <c r="AR315" s="3"/>
      <c r="AS315" s="1"/>
      <c r="AT315" s="1"/>
      <c r="AU315" s="4"/>
      <c r="AV315" s="4"/>
      <c r="AW315" s="4"/>
      <c r="AX315" s="5"/>
      <c r="AY315" s="4"/>
      <c r="AZ315" s="5"/>
      <c r="BA315" s="1"/>
      <c r="BB315" s="1"/>
      <c r="BC315" s="1"/>
      <c r="BD315" s="6"/>
      <c r="BE315" s="1"/>
      <c r="BF315" s="6"/>
      <c r="BG315" s="6"/>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2"/>
      <c r="AR316" s="3"/>
      <c r="AS316" s="1"/>
      <c r="AT316" s="1"/>
      <c r="AU316" s="4"/>
      <c r="AV316" s="4"/>
      <c r="AW316" s="4"/>
      <c r="AX316" s="5"/>
      <c r="AY316" s="4"/>
      <c r="AZ316" s="5"/>
      <c r="BA316" s="1"/>
      <c r="BB316" s="1"/>
      <c r="BC316" s="1"/>
      <c r="BD316" s="6"/>
      <c r="BE316" s="1"/>
      <c r="BF316" s="6"/>
      <c r="BG316" s="6"/>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2"/>
      <c r="AR317" s="3"/>
      <c r="AS317" s="1"/>
      <c r="AT317" s="1"/>
      <c r="AU317" s="4"/>
      <c r="AV317" s="4"/>
      <c r="AW317" s="4"/>
      <c r="AX317" s="5"/>
      <c r="AY317" s="4"/>
      <c r="AZ317" s="5"/>
      <c r="BA317" s="1"/>
      <c r="BB317" s="1"/>
      <c r="BC317" s="1"/>
      <c r="BD317" s="6"/>
      <c r="BE317" s="1"/>
      <c r="BF317" s="6"/>
      <c r="BG317" s="6"/>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2"/>
      <c r="AR318" s="3"/>
      <c r="AS318" s="1"/>
      <c r="AT318" s="1"/>
      <c r="AU318" s="4"/>
      <c r="AV318" s="4"/>
      <c r="AW318" s="4"/>
      <c r="AX318" s="5"/>
      <c r="AY318" s="4"/>
      <c r="AZ318" s="5"/>
      <c r="BA318" s="1"/>
      <c r="BB318" s="1"/>
      <c r="BC318" s="1"/>
      <c r="BD318" s="6"/>
      <c r="BE318" s="1"/>
      <c r="BF318" s="6"/>
      <c r="BG318" s="6"/>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2"/>
      <c r="AR319" s="3"/>
      <c r="AS319" s="1"/>
      <c r="AT319" s="1"/>
      <c r="AU319" s="4"/>
      <c r="AV319" s="4"/>
      <c r="AW319" s="4"/>
      <c r="AX319" s="5"/>
      <c r="AY319" s="4"/>
      <c r="AZ319" s="5"/>
      <c r="BA319" s="1"/>
      <c r="BB319" s="1"/>
      <c r="BC319" s="1"/>
      <c r="BD319" s="6"/>
      <c r="BE319" s="1"/>
      <c r="BF319" s="6"/>
      <c r="BG319" s="6"/>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2"/>
      <c r="AR320" s="3"/>
      <c r="AS320" s="1"/>
      <c r="AT320" s="1"/>
      <c r="AU320" s="4"/>
      <c r="AV320" s="4"/>
      <c r="AW320" s="4"/>
      <c r="AX320" s="5"/>
      <c r="AY320" s="4"/>
      <c r="AZ320" s="5"/>
      <c r="BA320" s="1"/>
      <c r="BB320" s="1"/>
      <c r="BC320" s="1"/>
      <c r="BD320" s="6"/>
      <c r="BE320" s="1"/>
      <c r="BF320" s="6"/>
      <c r="BG320" s="6"/>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2"/>
      <c r="AR321" s="3"/>
      <c r="AS321" s="1"/>
      <c r="AT321" s="1"/>
      <c r="AU321" s="4"/>
      <c r="AV321" s="4"/>
      <c r="AW321" s="4"/>
      <c r="AX321" s="5"/>
      <c r="AY321" s="4"/>
      <c r="AZ321" s="5"/>
      <c r="BA321" s="1"/>
      <c r="BB321" s="1"/>
      <c r="BC321" s="1"/>
      <c r="BD321" s="6"/>
      <c r="BE321" s="1"/>
      <c r="BF321" s="6"/>
      <c r="BG321" s="6"/>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2"/>
      <c r="AR322" s="3"/>
      <c r="AS322" s="1"/>
      <c r="AT322" s="1"/>
      <c r="AU322" s="4"/>
      <c r="AV322" s="4"/>
      <c r="AW322" s="4"/>
      <c r="AX322" s="5"/>
      <c r="AY322" s="4"/>
      <c r="AZ322" s="5"/>
      <c r="BA322" s="1"/>
      <c r="BB322" s="1"/>
      <c r="BC322" s="1"/>
      <c r="BD322" s="6"/>
      <c r="BE322" s="1"/>
      <c r="BF322" s="6"/>
      <c r="BG322" s="6"/>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2"/>
      <c r="AR323" s="3"/>
      <c r="AS323" s="1"/>
      <c r="AT323" s="1"/>
      <c r="AU323" s="4"/>
      <c r="AV323" s="4"/>
      <c r="AW323" s="4"/>
      <c r="AX323" s="5"/>
      <c r="AY323" s="4"/>
      <c r="AZ323" s="5"/>
      <c r="BA323" s="1"/>
      <c r="BB323" s="1"/>
      <c r="BC323" s="1"/>
      <c r="BD323" s="6"/>
      <c r="BE323" s="1"/>
      <c r="BF323" s="6"/>
      <c r="BG323" s="6"/>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2"/>
      <c r="AR324" s="3"/>
      <c r="AS324" s="1"/>
      <c r="AT324" s="1"/>
      <c r="AU324" s="4"/>
      <c r="AV324" s="4"/>
      <c r="AW324" s="4"/>
      <c r="AX324" s="5"/>
      <c r="AY324" s="4"/>
      <c r="AZ324" s="5"/>
      <c r="BA324" s="1"/>
      <c r="BB324" s="1"/>
      <c r="BC324" s="1"/>
      <c r="BD324" s="6"/>
      <c r="BE324" s="1"/>
      <c r="BF324" s="6"/>
      <c r="BG324" s="6"/>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2"/>
      <c r="AR325" s="3"/>
      <c r="AS325" s="1"/>
      <c r="AT325" s="1"/>
      <c r="AU325" s="4"/>
      <c r="AV325" s="4"/>
      <c r="AW325" s="4"/>
      <c r="AX325" s="5"/>
      <c r="AY325" s="4"/>
      <c r="AZ325" s="5"/>
      <c r="BA325" s="1"/>
      <c r="BB325" s="1"/>
      <c r="BC325" s="1"/>
      <c r="BD325" s="6"/>
      <c r="BE325" s="1"/>
      <c r="BF325" s="6"/>
      <c r="BG325" s="6"/>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2"/>
      <c r="AR326" s="3"/>
      <c r="AS326" s="1"/>
      <c r="AT326" s="1"/>
      <c r="AU326" s="4"/>
      <c r="AV326" s="4"/>
      <c r="AW326" s="4"/>
      <c r="AX326" s="5"/>
      <c r="AY326" s="4"/>
      <c r="AZ326" s="5"/>
      <c r="BA326" s="1"/>
      <c r="BB326" s="1"/>
      <c r="BC326" s="1"/>
      <c r="BD326" s="6"/>
      <c r="BE326" s="1"/>
      <c r="BF326" s="6"/>
      <c r="BG326" s="6"/>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2"/>
      <c r="AR327" s="3"/>
      <c r="AS327" s="1"/>
      <c r="AT327" s="1"/>
      <c r="AU327" s="4"/>
      <c r="AV327" s="4"/>
      <c r="AW327" s="4"/>
      <c r="AX327" s="5"/>
      <c r="AY327" s="4"/>
      <c r="AZ327" s="5"/>
      <c r="BA327" s="1"/>
      <c r="BB327" s="1"/>
      <c r="BC327" s="1"/>
      <c r="BD327" s="6"/>
      <c r="BE327" s="1"/>
      <c r="BF327" s="6"/>
      <c r="BG327" s="6"/>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2"/>
      <c r="AR328" s="3"/>
      <c r="AS328" s="1"/>
      <c r="AT328" s="1"/>
      <c r="AU328" s="4"/>
      <c r="AV328" s="4"/>
      <c r="AW328" s="4"/>
      <c r="AX328" s="5"/>
      <c r="AY328" s="4"/>
      <c r="AZ328" s="5"/>
      <c r="BA328" s="1"/>
      <c r="BB328" s="1"/>
      <c r="BC328" s="1"/>
      <c r="BD328" s="6"/>
      <c r="BE328" s="1"/>
      <c r="BF328" s="6"/>
      <c r="BG328" s="6"/>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2"/>
      <c r="AR329" s="3"/>
      <c r="AS329" s="1"/>
      <c r="AT329" s="1"/>
      <c r="AU329" s="4"/>
      <c r="AV329" s="4"/>
      <c r="AW329" s="4"/>
      <c r="AX329" s="5"/>
      <c r="AY329" s="4"/>
      <c r="AZ329" s="5"/>
      <c r="BA329" s="1"/>
      <c r="BB329" s="1"/>
      <c r="BC329" s="1"/>
      <c r="BD329" s="6"/>
      <c r="BE329" s="1"/>
      <c r="BF329" s="6"/>
      <c r="BG329" s="6"/>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2"/>
      <c r="AR330" s="3"/>
      <c r="AS330" s="1"/>
      <c r="AT330" s="1"/>
      <c r="AU330" s="4"/>
      <c r="AV330" s="4"/>
      <c r="AW330" s="4"/>
      <c r="AX330" s="5"/>
      <c r="AY330" s="4"/>
      <c r="AZ330" s="5"/>
      <c r="BA330" s="1"/>
      <c r="BB330" s="1"/>
      <c r="BC330" s="1"/>
      <c r="BD330" s="6"/>
      <c r="BE330" s="1"/>
      <c r="BF330" s="6"/>
      <c r="BG330" s="6"/>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2"/>
      <c r="AR331" s="3"/>
      <c r="AS331" s="1"/>
      <c r="AT331" s="1"/>
      <c r="AU331" s="4"/>
      <c r="AV331" s="4"/>
      <c r="AW331" s="4"/>
      <c r="AX331" s="5"/>
      <c r="AY331" s="4"/>
      <c r="AZ331" s="5"/>
      <c r="BA331" s="1"/>
      <c r="BB331" s="1"/>
      <c r="BC331" s="1"/>
      <c r="BD331" s="6"/>
      <c r="BE331" s="1"/>
      <c r="BF331" s="6"/>
      <c r="BG331" s="6"/>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2"/>
      <c r="AR332" s="3"/>
      <c r="AS332" s="1"/>
      <c r="AT332" s="1"/>
      <c r="AU332" s="4"/>
      <c r="AV332" s="4"/>
      <c r="AW332" s="4"/>
      <c r="AX332" s="5"/>
      <c r="AY332" s="4"/>
      <c r="AZ332" s="5"/>
      <c r="BA332" s="1"/>
      <c r="BB332" s="1"/>
      <c r="BC332" s="1"/>
      <c r="BD332" s="6"/>
      <c r="BE332" s="1"/>
      <c r="BF332" s="6"/>
      <c r="BG332" s="6"/>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2"/>
      <c r="AR333" s="3"/>
      <c r="AS333" s="1"/>
      <c r="AT333" s="1"/>
      <c r="AU333" s="4"/>
      <c r="AV333" s="4"/>
      <c r="AW333" s="4"/>
      <c r="AX333" s="5"/>
      <c r="AY333" s="4"/>
      <c r="AZ333" s="5"/>
      <c r="BA333" s="1"/>
      <c r="BB333" s="1"/>
      <c r="BC333" s="1"/>
      <c r="BD333" s="6"/>
      <c r="BE333" s="1"/>
      <c r="BF333" s="6"/>
      <c r="BG333" s="6"/>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2"/>
      <c r="AR334" s="3"/>
      <c r="AS334" s="1"/>
      <c r="AT334" s="1"/>
      <c r="AU334" s="4"/>
      <c r="AV334" s="4"/>
      <c r="AW334" s="4"/>
      <c r="AX334" s="5"/>
      <c r="AY334" s="4"/>
      <c r="AZ334" s="5"/>
      <c r="BA334" s="1"/>
      <c r="BB334" s="1"/>
      <c r="BC334" s="1"/>
      <c r="BD334" s="6"/>
      <c r="BE334" s="1"/>
      <c r="BF334" s="6"/>
      <c r="BG334" s="6"/>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2"/>
      <c r="AR335" s="3"/>
      <c r="AS335" s="1"/>
      <c r="AT335" s="1"/>
      <c r="AU335" s="4"/>
      <c r="AV335" s="4"/>
      <c r="AW335" s="4"/>
      <c r="AX335" s="5"/>
      <c r="AY335" s="4"/>
      <c r="AZ335" s="5"/>
      <c r="BA335" s="1"/>
      <c r="BB335" s="1"/>
      <c r="BC335" s="1"/>
      <c r="BD335" s="6"/>
      <c r="BE335" s="1"/>
      <c r="BF335" s="6"/>
      <c r="BG335" s="6"/>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2"/>
      <c r="AR336" s="3"/>
      <c r="AS336" s="1"/>
      <c r="AT336" s="1"/>
      <c r="AU336" s="4"/>
      <c r="AV336" s="4"/>
      <c r="AW336" s="4"/>
      <c r="AX336" s="5"/>
      <c r="AY336" s="4"/>
      <c r="AZ336" s="5"/>
      <c r="BA336" s="1"/>
      <c r="BB336" s="1"/>
      <c r="BC336" s="1"/>
      <c r="BD336" s="6"/>
      <c r="BE336" s="1"/>
      <c r="BF336" s="6"/>
      <c r="BG336" s="6"/>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2"/>
      <c r="AR337" s="3"/>
      <c r="AS337" s="1"/>
      <c r="AT337" s="1"/>
      <c r="AU337" s="4"/>
      <c r="AV337" s="4"/>
      <c r="AW337" s="4"/>
      <c r="AX337" s="5"/>
      <c r="AY337" s="4"/>
      <c r="AZ337" s="5"/>
      <c r="BA337" s="1"/>
      <c r="BB337" s="1"/>
      <c r="BC337" s="1"/>
      <c r="BD337" s="6"/>
      <c r="BE337" s="1"/>
      <c r="BF337" s="6"/>
      <c r="BG337" s="6"/>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2"/>
      <c r="AR338" s="3"/>
      <c r="AS338" s="1"/>
      <c r="AT338" s="1"/>
      <c r="AU338" s="4"/>
      <c r="AV338" s="4"/>
      <c r="AW338" s="4"/>
      <c r="AX338" s="5"/>
      <c r="AY338" s="4"/>
      <c r="AZ338" s="5"/>
      <c r="BA338" s="1"/>
      <c r="BB338" s="1"/>
      <c r="BC338" s="1"/>
      <c r="BD338" s="6"/>
      <c r="BE338" s="1"/>
      <c r="BF338" s="6"/>
      <c r="BG338" s="6"/>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2"/>
      <c r="AR339" s="3"/>
      <c r="AS339" s="1"/>
      <c r="AT339" s="1"/>
      <c r="AU339" s="4"/>
      <c r="AV339" s="4"/>
      <c r="AW339" s="4"/>
      <c r="AX339" s="5"/>
      <c r="AY339" s="4"/>
      <c r="AZ339" s="5"/>
      <c r="BA339" s="1"/>
      <c r="BB339" s="1"/>
      <c r="BC339" s="1"/>
      <c r="BD339" s="6"/>
      <c r="BE339" s="1"/>
      <c r="BF339" s="6"/>
      <c r="BG339" s="6"/>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2"/>
      <c r="AR340" s="3"/>
      <c r="AS340" s="1"/>
      <c r="AT340" s="1"/>
      <c r="AU340" s="4"/>
      <c r="AV340" s="4"/>
      <c r="AW340" s="4"/>
      <c r="AX340" s="5"/>
      <c r="AY340" s="4"/>
      <c r="AZ340" s="5"/>
      <c r="BA340" s="1"/>
      <c r="BB340" s="1"/>
      <c r="BC340" s="1"/>
      <c r="BD340" s="6"/>
      <c r="BE340" s="1"/>
      <c r="BF340" s="6"/>
      <c r="BG340" s="6"/>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2"/>
      <c r="AR341" s="3"/>
      <c r="AS341" s="1"/>
      <c r="AT341" s="1"/>
      <c r="AU341" s="4"/>
      <c r="AV341" s="4"/>
      <c r="AW341" s="4"/>
      <c r="AX341" s="5"/>
      <c r="AY341" s="4"/>
      <c r="AZ341" s="5"/>
      <c r="BA341" s="1"/>
      <c r="BB341" s="1"/>
      <c r="BC341" s="1"/>
      <c r="BD341" s="6"/>
      <c r="BE341" s="1"/>
      <c r="BF341" s="6"/>
      <c r="BG341" s="6"/>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2"/>
      <c r="AR342" s="3"/>
      <c r="AS342" s="1"/>
      <c r="AT342" s="1"/>
      <c r="AU342" s="4"/>
      <c r="AV342" s="4"/>
      <c r="AW342" s="4"/>
      <c r="AX342" s="5"/>
      <c r="AY342" s="4"/>
      <c r="AZ342" s="5"/>
      <c r="BA342" s="1"/>
      <c r="BB342" s="1"/>
      <c r="BC342" s="1"/>
      <c r="BD342" s="6"/>
      <c r="BE342" s="1"/>
      <c r="BF342" s="6"/>
      <c r="BG342" s="6"/>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2"/>
      <c r="AR343" s="3"/>
      <c r="AS343" s="1"/>
      <c r="AT343" s="1"/>
      <c r="AU343" s="4"/>
      <c r="AV343" s="4"/>
      <c r="AW343" s="4"/>
      <c r="AX343" s="5"/>
      <c r="AY343" s="4"/>
      <c r="AZ343" s="5"/>
      <c r="BA343" s="1"/>
      <c r="BB343" s="1"/>
      <c r="BC343" s="1"/>
      <c r="BD343" s="6"/>
      <c r="BE343" s="1"/>
      <c r="BF343" s="6"/>
      <c r="BG343" s="6"/>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2"/>
      <c r="AR344" s="3"/>
      <c r="AS344" s="1"/>
      <c r="AT344" s="1"/>
      <c r="AU344" s="4"/>
      <c r="AV344" s="4"/>
      <c r="AW344" s="4"/>
      <c r="AX344" s="5"/>
      <c r="AY344" s="4"/>
      <c r="AZ344" s="5"/>
      <c r="BA344" s="1"/>
      <c r="BB344" s="1"/>
      <c r="BC344" s="1"/>
      <c r="BD344" s="6"/>
      <c r="BE344" s="1"/>
      <c r="BF344" s="6"/>
      <c r="BG344" s="6"/>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2"/>
      <c r="AR345" s="3"/>
      <c r="AS345" s="1"/>
      <c r="AT345" s="1"/>
      <c r="AU345" s="4"/>
      <c r="AV345" s="4"/>
      <c r="AW345" s="4"/>
      <c r="AX345" s="5"/>
      <c r="AY345" s="4"/>
      <c r="AZ345" s="5"/>
      <c r="BA345" s="1"/>
      <c r="BB345" s="1"/>
      <c r="BC345" s="1"/>
      <c r="BD345" s="6"/>
      <c r="BE345" s="1"/>
      <c r="BF345" s="6"/>
      <c r="BG345" s="6"/>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2"/>
      <c r="AR346" s="3"/>
      <c r="AS346" s="1"/>
      <c r="AT346" s="1"/>
      <c r="AU346" s="4"/>
      <c r="AV346" s="4"/>
      <c r="AW346" s="4"/>
      <c r="AX346" s="5"/>
      <c r="AY346" s="4"/>
      <c r="AZ346" s="5"/>
      <c r="BA346" s="1"/>
      <c r="BB346" s="1"/>
      <c r="BC346" s="1"/>
      <c r="BD346" s="6"/>
      <c r="BE346" s="1"/>
      <c r="BF346" s="6"/>
      <c r="BG346" s="6"/>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2"/>
      <c r="AR347" s="3"/>
      <c r="AS347" s="1"/>
      <c r="AT347" s="1"/>
      <c r="AU347" s="4"/>
      <c r="AV347" s="4"/>
      <c r="AW347" s="4"/>
      <c r="AX347" s="5"/>
      <c r="AY347" s="4"/>
      <c r="AZ347" s="5"/>
      <c r="BA347" s="1"/>
      <c r="BB347" s="1"/>
      <c r="BC347" s="1"/>
      <c r="BD347" s="6"/>
      <c r="BE347" s="1"/>
      <c r="BF347" s="6"/>
      <c r="BG347" s="6"/>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2"/>
      <c r="AR348" s="3"/>
      <c r="AS348" s="1"/>
      <c r="AT348" s="1"/>
      <c r="AU348" s="4"/>
      <c r="AV348" s="4"/>
      <c r="AW348" s="4"/>
      <c r="AX348" s="5"/>
      <c r="AY348" s="4"/>
      <c r="AZ348" s="5"/>
      <c r="BA348" s="1"/>
      <c r="BB348" s="1"/>
      <c r="BC348" s="1"/>
      <c r="BD348" s="6"/>
      <c r="BE348" s="1"/>
      <c r="BF348" s="6"/>
      <c r="BG348" s="6"/>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2"/>
      <c r="AR349" s="3"/>
      <c r="AS349" s="1"/>
      <c r="AT349" s="1"/>
      <c r="AU349" s="4"/>
      <c r="AV349" s="4"/>
      <c r="AW349" s="4"/>
      <c r="AX349" s="5"/>
      <c r="AY349" s="4"/>
      <c r="AZ349" s="5"/>
      <c r="BA349" s="1"/>
      <c r="BB349" s="1"/>
      <c r="BC349" s="1"/>
      <c r="BD349" s="6"/>
      <c r="BE349" s="1"/>
      <c r="BF349" s="6"/>
      <c r="BG349" s="6"/>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2"/>
      <c r="AR350" s="3"/>
      <c r="AS350" s="1"/>
      <c r="AT350" s="1"/>
      <c r="AU350" s="4"/>
      <c r="AV350" s="4"/>
      <c r="AW350" s="4"/>
      <c r="AX350" s="5"/>
      <c r="AY350" s="4"/>
      <c r="AZ350" s="5"/>
      <c r="BA350" s="1"/>
      <c r="BB350" s="1"/>
      <c r="BC350" s="1"/>
      <c r="BD350" s="6"/>
      <c r="BE350" s="1"/>
      <c r="BF350" s="6"/>
      <c r="BG350" s="6"/>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2"/>
      <c r="AR351" s="3"/>
      <c r="AS351" s="1"/>
      <c r="AT351" s="1"/>
      <c r="AU351" s="4"/>
      <c r="AV351" s="4"/>
      <c r="AW351" s="4"/>
      <c r="AX351" s="5"/>
      <c r="AY351" s="4"/>
      <c r="AZ351" s="5"/>
      <c r="BA351" s="1"/>
      <c r="BB351" s="1"/>
      <c r="BC351" s="1"/>
      <c r="BD351" s="6"/>
      <c r="BE351" s="1"/>
      <c r="BF351" s="6"/>
      <c r="BG351" s="6"/>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2"/>
      <c r="AR352" s="3"/>
      <c r="AS352" s="1"/>
      <c r="AT352" s="1"/>
      <c r="AU352" s="4"/>
      <c r="AV352" s="4"/>
      <c r="AW352" s="4"/>
      <c r="AX352" s="5"/>
      <c r="AY352" s="4"/>
      <c r="AZ352" s="5"/>
      <c r="BA352" s="1"/>
      <c r="BB352" s="1"/>
      <c r="BC352" s="1"/>
      <c r="BD352" s="6"/>
      <c r="BE352" s="1"/>
      <c r="BF352" s="6"/>
      <c r="BG352" s="6"/>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2"/>
      <c r="AR353" s="3"/>
      <c r="AS353" s="1"/>
      <c r="AT353" s="1"/>
      <c r="AU353" s="4"/>
      <c r="AV353" s="4"/>
      <c r="AW353" s="4"/>
      <c r="AX353" s="5"/>
      <c r="AY353" s="4"/>
      <c r="AZ353" s="5"/>
      <c r="BA353" s="1"/>
      <c r="BB353" s="1"/>
      <c r="BC353" s="1"/>
      <c r="BD353" s="6"/>
      <c r="BE353" s="1"/>
      <c r="BF353" s="6"/>
      <c r="BG353" s="6"/>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2"/>
      <c r="AR354" s="3"/>
      <c r="AS354" s="1"/>
      <c r="AT354" s="1"/>
      <c r="AU354" s="4"/>
      <c r="AV354" s="4"/>
      <c r="AW354" s="4"/>
      <c r="AX354" s="5"/>
      <c r="AY354" s="4"/>
      <c r="AZ354" s="5"/>
      <c r="BA354" s="1"/>
      <c r="BB354" s="1"/>
      <c r="BC354" s="1"/>
      <c r="BD354" s="6"/>
      <c r="BE354" s="1"/>
      <c r="BF354" s="6"/>
      <c r="BG354" s="6"/>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2"/>
      <c r="AR355" s="3"/>
      <c r="AS355" s="1"/>
      <c r="AT355" s="1"/>
      <c r="AU355" s="4"/>
      <c r="AV355" s="4"/>
      <c r="AW355" s="4"/>
      <c r="AX355" s="5"/>
      <c r="AY355" s="4"/>
      <c r="AZ355" s="5"/>
      <c r="BA355" s="1"/>
      <c r="BB355" s="1"/>
      <c r="BC355" s="1"/>
      <c r="BD355" s="6"/>
      <c r="BE355" s="1"/>
      <c r="BF355" s="6"/>
      <c r="BG355" s="6"/>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2"/>
      <c r="AR356" s="3"/>
      <c r="AS356" s="1"/>
      <c r="AT356" s="1"/>
      <c r="AU356" s="4"/>
      <c r="AV356" s="4"/>
      <c r="AW356" s="4"/>
      <c r="AX356" s="5"/>
      <c r="AY356" s="4"/>
      <c r="AZ356" s="5"/>
      <c r="BA356" s="1"/>
      <c r="BB356" s="1"/>
      <c r="BC356" s="1"/>
      <c r="BD356" s="6"/>
      <c r="BE356" s="1"/>
      <c r="BF356" s="6"/>
      <c r="BG356" s="6"/>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2"/>
      <c r="AR357" s="3"/>
      <c r="AS357" s="1"/>
      <c r="AT357" s="1"/>
      <c r="AU357" s="4"/>
      <c r="AV357" s="4"/>
      <c r="AW357" s="4"/>
      <c r="AX357" s="5"/>
      <c r="AY357" s="4"/>
      <c r="AZ357" s="5"/>
      <c r="BA357" s="1"/>
      <c r="BB357" s="1"/>
      <c r="BC357" s="1"/>
      <c r="BD357" s="6"/>
      <c r="BE357" s="1"/>
      <c r="BF357" s="6"/>
      <c r="BG357" s="6"/>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2"/>
      <c r="AR358" s="3"/>
      <c r="AS358" s="1"/>
      <c r="AT358" s="1"/>
      <c r="AU358" s="4"/>
      <c r="AV358" s="4"/>
      <c r="AW358" s="4"/>
      <c r="AX358" s="5"/>
      <c r="AY358" s="4"/>
      <c r="AZ358" s="5"/>
      <c r="BA358" s="1"/>
      <c r="BB358" s="1"/>
      <c r="BC358" s="1"/>
      <c r="BD358" s="6"/>
      <c r="BE358" s="1"/>
      <c r="BF358" s="6"/>
      <c r="BG358" s="6"/>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2"/>
      <c r="AR359" s="3"/>
      <c r="AS359" s="1"/>
      <c r="AT359" s="1"/>
      <c r="AU359" s="4"/>
      <c r="AV359" s="4"/>
      <c r="AW359" s="4"/>
      <c r="AX359" s="5"/>
      <c r="AY359" s="4"/>
      <c r="AZ359" s="5"/>
      <c r="BA359" s="1"/>
      <c r="BB359" s="1"/>
      <c r="BC359" s="1"/>
      <c r="BD359" s="6"/>
      <c r="BE359" s="1"/>
      <c r="BF359" s="6"/>
      <c r="BG359" s="6"/>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2"/>
      <c r="AR360" s="3"/>
      <c r="AS360" s="1"/>
      <c r="AT360" s="1"/>
      <c r="AU360" s="4"/>
      <c r="AV360" s="4"/>
      <c r="AW360" s="4"/>
      <c r="AX360" s="5"/>
      <c r="AY360" s="4"/>
      <c r="AZ360" s="5"/>
      <c r="BA360" s="1"/>
      <c r="BB360" s="1"/>
      <c r="BC360" s="1"/>
      <c r="BD360" s="6"/>
      <c r="BE360" s="1"/>
      <c r="BF360" s="6"/>
      <c r="BG360" s="6"/>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2"/>
      <c r="AR361" s="3"/>
      <c r="AS361" s="1"/>
      <c r="AT361" s="1"/>
      <c r="AU361" s="4"/>
      <c r="AV361" s="4"/>
      <c r="AW361" s="4"/>
      <c r="AX361" s="5"/>
      <c r="AY361" s="4"/>
      <c r="AZ361" s="5"/>
      <c r="BA361" s="1"/>
      <c r="BB361" s="1"/>
      <c r="BC361" s="1"/>
      <c r="BD361" s="6"/>
      <c r="BE361" s="1"/>
      <c r="BF361" s="6"/>
      <c r="BG361" s="6"/>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2"/>
      <c r="AR362" s="3"/>
      <c r="AS362" s="1"/>
      <c r="AT362" s="1"/>
      <c r="AU362" s="4"/>
      <c r="AV362" s="4"/>
      <c r="AW362" s="4"/>
      <c r="AX362" s="5"/>
      <c r="AY362" s="4"/>
      <c r="AZ362" s="5"/>
      <c r="BA362" s="1"/>
      <c r="BB362" s="1"/>
      <c r="BC362" s="1"/>
      <c r="BD362" s="6"/>
      <c r="BE362" s="1"/>
      <c r="BF362" s="6"/>
      <c r="BG362" s="6"/>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2"/>
      <c r="AR363" s="3"/>
      <c r="AS363" s="1"/>
      <c r="AT363" s="1"/>
      <c r="AU363" s="4"/>
      <c r="AV363" s="4"/>
      <c r="AW363" s="4"/>
      <c r="AX363" s="5"/>
      <c r="AY363" s="4"/>
      <c r="AZ363" s="5"/>
      <c r="BA363" s="1"/>
      <c r="BB363" s="1"/>
      <c r="BC363" s="1"/>
      <c r="BD363" s="6"/>
      <c r="BE363" s="1"/>
      <c r="BF363" s="6"/>
      <c r="BG363" s="6"/>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2"/>
      <c r="AR364" s="3"/>
      <c r="AS364" s="1"/>
      <c r="AT364" s="1"/>
      <c r="AU364" s="4"/>
      <c r="AV364" s="4"/>
      <c r="AW364" s="4"/>
      <c r="AX364" s="5"/>
      <c r="AY364" s="4"/>
      <c r="AZ364" s="5"/>
      <c r="BA364" s="1"/>
      <c r="BB364" s="1"/>
      <c r="BC364" s="1"/>
      <c r="BD364" s="6"/>
      <c r="BE364" s="1"/>
      <c r="BF364" s="6"/>
      <c r="BG364" s="6"/>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2"/>
      <c r="AR365" s="3"/>
      <c r="AS365" s="1"/>
      <c r="AT365" s="1"/>
      <c r="AU365" s="4"/>
      <c r="AV365" s="4"/>
      <c r="AW365" s="4"/>
      <c r="AX365" s="5"/>
      <c r="AY365" s="4"/>
      <c r="AZ365" s="5"/>
      <c r="BA365" s="1"/>
      <c r="BB365" s="1"/>
      <c r="BC365" s="1"/>
      <c r="BD365" s="6"/>
      <c r="BE365" s="1"/>
      <c r="BF365" s="6"/>
      <c r="BG365" s="6"/>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2"/>
      <c r="AR366" s="3"/>
      <c r="AS366" s="1"/>
      <c r="AT366" s="1"/>
      <c r="AU366" s="4"/>
      <c r="AV366" s="4"/>
      <c r="AW366" s="4"/>
      <c r="AX366" s="5"/>
      <c r="AY366" s="4"/>
      <c r="AZ366" s="5"/>
      <c r="BA366" s="1"/>
      <c r="BB366" s="1"/>
      <c r="BC366" s="1"/>
      <c r="BD366" s="6"/>
      <c r="BE366" s="1"/>
      <c r="BF366" s="6"/>
      <c r="BG366" s="6"/>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2"/>
      <c r="AR367" s="3"/>
      <c r="AS367" s="1"/>
      <c r="AT367" s="1"/>
      <c r="AU367" s="4"/>
      <c r="AV367" s="4"/>
      <c r="AW367" s="4"/>
      <c r="AX367" s="5"/>
      <c r="AY367" s="4"/>
      <c r="AZ367" s="5"/>
      <c r="BA367" s="1"/>
      <c r="BB367" s="1"/>
      <c r="BC367" s="1"/>
      <c r="BD367" s="6"/>
      <c r="BE367" s="1"/>
      <c r="BF367" s="6"/>
      <c r="BG367" s="6"/>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2"/>
      <c r="AR368" s="3"/>
      <c r="AS368" s="1"/>
      <c r="AT368" s="1"/>
      <c r="AU368" s="4"/>
      <c r="AV368" s="4"/>
      <c r="AW368" s="4"/>
      <c r="AX368" s="5"/>
      <c r="AY368" s="4"/>
      <c r="AZ368" s="5"/>
      <c r="BA368" s="1"/>
      <c r="BB368" s="1"/>
      <c r="BC368" s="1"/>
      <c r="BD368" s="6"/>
      <c r="BE368" s="1"/>
      <c r="BF368" s="6"/>
      <c r="BG368" s="6"/>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2"/>
      <c r="AR369" s="3"/>
      <c r="AS369" s="1"/>
      <c r="AT369" s="1"/>
      <c r="AU369" s="4"/>
      <c r="AV369" s="4"/>
      <c r="AW369" s="4"/>
      <c r="AX369" s="5"/>
      <c r="AY369" s="4"/>
      <c r="AZ369" s="5"/>
      <c r="BA369" s="1"/>
      <c r="BB369" s="1"/>
      <c r="BC369" s="1"/>
      <c r="BD369" s="6"/>
      <c r="BE369" s="1"/>
      <c r="BF369" s="6"/>
      <c r="BG369" s="6"/>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2"/>
      <c r="AR370" s="3"/>
      <c r="AS370" s="1"/>
      <c r="AT370" s="1"/>
      <c r="AU370" s="4"/>
      <c r="AV370" s="4"/>
      <c r="AW370" s="4"/>
      <c r="AX370" s="5"/>
      <c r="AY370" s="4"/>
      <c r="AZ370" s="5"/>
      <c r="BA370" s="1"/>
      <c r="BB370" s="1"/>
      <c r="BC370" s="1"/>
      <c r="BD370" s="6"/>
      <c r="BE370" s="1"/>
      <c r="BF370" s="6"/>
      <c r="BG370" s="6"/>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2"/>
      <c r="AR371" s="3"/>
      <c r="AS371" s="1"/>
      <c r="AT371" s="1"/>
      <c r="AU371" s="4"/>
      <c r="AV371" s="4"/>
      <c r="AW371" s="4"/>
      <c r="AX371" s="5"/>
      <c r="AY371" s="4"/>
      <c r="AZ371" s="5"/>
      <c r="BA371" s="1"/>
      <c r="BB371" s="1"/>
      <c r="BC371" s="1"/>
      <c r="BD371" s="6"/>
      <c r="BE371" s="1"/>
      <c r="BF371" s="6"/>
      <c r="BG371" s="6"/>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2"/>
      <c r="AR372" s="3"/>
      <c r="AS372" s="1"/>
      <c r="AT372" s="1"/>
      <c r="AU372" s="4"/>
      <c r="AV372" s="4"/>
      <c r="AW372" s="4"/>
      <c r="AX372" s="5"/>
      <c r="AY372" s="4"/>
      <c r="AZ372" s="5"/>
      <c r="BA372" s="1"/>
      <c r="BB372" s="1"/>
      <c r="BC372" s="1"/>
      <c r="BD372" s="6"/>
      <c r="BE372" s="1"/>
      <c r="BF372" s="6"/>
      <c r="BG372" s="6"/>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2"/>
      <c r="AR373" s="3"/>
      <c r="AS373" s="1"/>
      <c r="AT373" s="1"/>
      <c r="AU373" s="4"/>
      <c r="AV373" s="4"/>
      <c r="AW373" s="4"/>
      <c r="AX373" s="5"/>
      <c r="AY373" s="4"/>
      <c r="AZ373" s="5"/>
      <c r="BA373" s="1"/>
      <c r="BB373" s="1"/>
      <c r="BC373" s="1"/>
      <c r="BD373" s="6"/>
      <c r="BE373" s="1"/>
      <c r="BF373" s="6"/>
      <c r="BG373" s="6"/>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2"/>
      <c r="AR374" s="3"/>
      <c r="AS374" s="1"/>
      <c r="AT374" s="1"/>
      <c r="AU374" s="4"/>
      <c r="AV374" s="4"/>
      <c r="AW374" s="4"/>
      <c r="AX374" s="5"/>
      <c r="AY374" s="4"/>
      <c r="AZ374" s="5"/>
      <c r="BA374" s="1"/>
      <c r="BB374" s="1"/>
      <c r="BC374" s="1"/>
      <c r="BD374" s="6"/>
      <c r="BE374" s="1"/>
      <c r="BF374" s="6"/>
      <c r="BG374" s="6"/>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2"/>
      <c r="AR375" s="3"/>
      <c r="AS375" s="1"/>
      <c r="AT375" s="1"/>
      <c r="AU375" s="4"/>
      <c r="AV375" s="4"/>
      <c r="AW375" s="4"/>
      <c r="AX375" s="5"/>
      <c r="AY375" s="4"/>
      <c r="AZ375" s="5"/>
      <c r="BA375" s="1"/>
      <c r="BB375" s="1"/>
      <c r="BC375" s="1"/>
      <c r="BD375" s="6"/>
      <c r="BE375" s="1"/>
      <c r="BF375" s="6"/>
      <c r="BG375" s="6"/>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2"/>
      <c r="AR376" s="3"/>
      <c r="AS376" s="1"/>
      <c r="AT376" s="1"/>
      <c r="AU376" s="4"/>
      <c r="AV376" s="4"/>
      <c r="AW376" s="4"/>
      <c r="AX376" s="5"/>
      <c r="AY376" s="4"/>
      <c r="AZ376" s="5"/>
      <c r="BA376" s="1"/>
      <c r="BB376" s="1"/>
      <c r="BC376" s="1"/>
      <c r="BD376" s="6"/>
      <c r="BE376" s="1"/>
      <c r="BF376" s="6"/>
      <c r="BG376" s="6"/>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2"/>
      <c r="AR377" s="3"/>
      <c r="AS377" s="1"/>
      <c r="AT377" s="1"/>
      <c r="AU377" s="4"/>
      <c r="AV377" s="4"/>
      <c r="AW377" s="4"/>
      <c r="AX377" s="5"/>
      <c r="AY377" s="4"/>
      <c r="AZ377" s="5"/>
      <c r="BA377" s="1"/>
      <c r="BB377" s="1"/>
      <c r="BC377" s="1"/>
      <c r="BD377" s="6"/>
      <c r="BE377" s="1"/>
      <c r="BF377" s="6"/>
      <c r="BG377" s="6"/>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2"/>
      <c r="AR378" s="3"/>
      <c r="AS378" s="1"/>
      <c r="AT378" s="1"/>
      <c r="AU378" s="4"/>
      <c r="AV378" s="4"/>
      <c r="AW378" s="4"/>
      <c r="AX378" s="5"/>
      <c r="AY378" s="4"/>
      <c r="AZ378" s="5"/>
      <c r="BA378" s="1"/>
      <c r="BB378" s="1"/>
      <c r="BC378" s="1"/>
      <c r="BD378" s="6"/>
      <c r="BE378" s="1"/>
      <c r="BF378" s="6"/>
      <c r="BG378" s="6"/>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2"/>
      <c r="AR379" s="3"/>
      <c r="AS379" s="1"/>
      <c r="AT379" s="1"/>
      <c r="AU379" s="4"/>
      <c r="AV379" s="4"/>
      <c r="AW379" s="4"/>
      <c r="AX379" s="5"/>
      <c r="AY379" s="4"/>
      <c r="AZ379" s="5"/>
      <c r="BA379" s="1"/>
      <c r="BB379" s="1"/>
      <c r="BC379" s="1"/>
      <c r="BD379" s="6"/>
      <c r="BE379" s="1"/>
      <c r="BF379" s="6"/>
      <c r="BG379" s="6"/>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2"/>
      <c r="AR380" s="3"/>
      <c r="AS380" s="1"/>
      <c r="AT380" s="1"/>
      <c r="AU380" s="4"/>
      <c r="AV380" s="4"/>
      <c r="AW380" s="4"/>
      <c r="AX380" s="5"/>
      <c r="AY380" s="4"/>
      <c r="AZ380" s="5"/>
      <c r="BA380" s="1"/>
      <c r="BB380" s="1"/>
      <c r="BC380" s="1"/>
      <c r="BD380" s="6"/>
      <c r="BE380" s="1"/>
      <c r="BF380" s="6"/>
      <c r="BG380" s="6"/>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2"/>
      <c r="AR381" s="3"/>
      <c r="AS381" s="1"/>
      <c r="AT381" s="1"/>
      <c r="AU381" s="4"/>
      <c r="AV381" s="4"/>
      <c r="AW381" s="4"/>
      <c r="AX381" s="5"/>
      <c r="AY381" s="4"/>
      <c r="AZ381" s="5"/>
      <c r="BA381" s="1"/>
      <c r="BB381" s="1"/>
      <c r="BC381" s="1"/>
      <c r="BD381" s="6"/>
      <c r="BE381" s="1"/>
      <c r="BF381" s="6"/>
      <c r="BG381" s="6"/>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2"/>
      <c r="AR382" s="3"/>
      <c r="AS382" s="1"/>
      <c r="AT382" s="1"/>
      <c r="AU382" s="4"/>
      <c r="AV382" s="4"/>
      <c r="AW382" s="4"/>
      <c r="AX382" s="5"/>
      <c r="AY382" s="4"/>
      <c r="AZ382" s="5"/>
      <c r="BA382" s="1"/>
      <c r="BB382" s="1"/>
      <c r="BC382" s="1"/>
      <c r="BD382" s="6"/>
      <c r="BE382" s="1"/>
      <c r="BF382" s="6"/>
      <c r="BG382" s="6"/>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2"/>
      <c r="AR383" s="3"/>
      <c r="AS383" s="1"/>
      <c r="AT383" s="1"/>
      <c r="AU383" s="4"/>
      <c r="AV383" s="4"/>
      <c r="AW383" s="4"/>
      <c r="AX383" s="5"/>
      <c r="AY383" s="4"/>
      <c r="AZ383" s="5"/>
      <c r="BA383" s="1"/>
      <c r="BB383" s="1"/>
      <c r="BC383" s="1"/>
      <c r="BD383" s="6"/>
      <c r="BE383" s="1"/>
      <c r="BF383" s="6"/>
      <c r="BG383" s="6"/>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2"/>
      <c r="AR384" s="3"/>
      <c r="AS384" s="1"/>
      <c r="AT384" s="1"/>
      <c r="AU384" s="4"/>
      <c r="AV384" s="4"/>
      <c r="AW384" s="4"/>
      <c r="AX384" s="5"/>
      <c r="AY384" s="4"/>
      <c r="AZ384" s="5"/>
      <c r="BA384" s="1"/>
      <c r="BB384" s="1"/>
      <c r="BC384" s="1"/>
      <c r="BD384" s="6"/>
      <c r="BE384" s="1"/>
      <c r="BF384" s="6"/>
      <c r="BG384" s="6"/>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2"/>
      <c r="AR385" s="3"/>
      <c r="AS385" s="1"/>
      <c r="AT385" s="1"/>
      <c r="AU385" s="4"/>
      <c r="AV385" s="4"/>
      <c r="AW385" s="4"/>
      <c r="AX385" s="5"/>
      <c r="AY385" s="4"/>
      <c r="AZ385" s="5"/>
      <c r="BA385" s="1"/>
      <c r="BB385" s="1"/>
      <c r="BC385" s="1"/>
      <c r="BD385" s="6"/>
      <c r="BE385" s="1"/>
      <c r="BF385" s="6"/>
      <c r="BG385" s="6"/>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2"/>
      <c r="AR386" s="3"/>
      <c r="AS386" s="1"/>
      <c r="AT386" s="1"/>
      <c r="AU386" s="4"/>
      <c r="AV386" s="4"/>
      <c r="AW386" s="4"/>
      <c r="AX386" s="5"/>
      <c r="AY386" s="4"/>
      <c r="AZ386" s="5"/>
      <c r="BA386" s="1"/>
      <c r="BB386" s="1"/>
      <c r="BC386" s="1"/>
      <c r="BD386" s="6"/>
      <c r="BE386" s="1"/>
      <c r="BF386" s="6"/>
      <c r="BG386" s="6"/>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2"/>
      <c r="AR387" s="3"/>
      <c r="AS387" s="1"/>
      <c r="AT387" s="1"/>
      <c r="AU387" s="4"/>
      <c r="AV387" s="4"/>
      <c r="AW387" s="4"/>
      <c r="AX387" s="5"/>
      <c r="AY387" s="4"/>
      <c r="AZ387" s="5"/>
      <c r="BA387" s="1"/>
      <c r="BB387" s="1"/>
      <c r="BC387" s="1"/>
      <c r="BD387" s="6"/>
      <c r="BE387" s="1"/>
      <c r="BF387" s="6"/>
      <c r="BG387" s="6"/>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2"/>
      <c r="AR388" s="3"/>
      <c r="AS388" s="1"/>
      <c r="AT388" s="1"/>
      <c r="AU388" s="4"/>
      <c r="AV388" s="4"/>
      <c r="AW388" s="4"/>
      <c r="AX388" s="5"/>
      <c r="AY388" s="4"/>
      <c r="AZ388" s="5"/>
      <c r="BA388" s="1"/>
      <c r="BB388" s="1"/>
      <c r="BC388" s="1"/>
      <c r="BD388" s="6"/>
      <c r="BE388" s="1"/>
      <c r="BF388" s="6"/>
      <c r="BG388" s="6"/>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2"/>
      <c r="AR389" s="3"/>
      <c r="AS389" s="1"/>
      <c r="AT389" s="1"/>
      <c r="AU389" s="4"/>
      <c r="AV389" s="4"/>
      <c r="AW389" s="4"/>
      <c r="AX389" s="5"/>
      <c r="AY389" s="4"/>
      <c r="AZ389" s="5"/>
      <c r="BA389" s="1"/>
      <c r="BB389" s="1"/>
      <c r="BC389" s="1"/>
      <c r="BD389" s="6"/>
      <c r="BE389" s="1"/>
      <c r="BF389" s="6"/>
      <c r="BG389" s="6"/>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2"/>
      <c r="AR390" s="3"/>
      <c r="AS390" s="1"/>
      <c r="AT390" s="1"/>
      <c r="AU390" s="4"/>
      <c r="AV390" s="4"/>
      <c r="AW390" s="4"/>
      <c r="AX390" s="5"/>
      <c r="AY390" s="4"/>
      <c r="AZ390" s="5"/>
      <c r="BA390" s="1"/>
      <c r="BB390" s="1"/>
      <c r="BC390" s="1"/>
      <c r="BD390" s="6"/>
      <c r="BE390" s="1"/>
      <c r="BF390" s="6"/>
      <c r="BG390" s="6"/>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2"/>
      <c r="AR391" s="3"/>
      <c r="AS391" s="1"/>
      <c r="AT391" s="1"/>
      <c r="AU391" s="4"/>
      <c r="AV391" s="4"/>
      <c r="AW391" s="4"/>
      <c r="AX391" s="5"/>
      <c r="AY391" s="4"/>
      <c r="AZ391" s="5"/>
      <c r="BA391" s="1"/>
      <c r="BB391" s="1"/>
      <c r="BC391" s="1"/>
      <c r="BD391" s="6"/>
      <c r="BE391" s="1"/>
      <c r="BF391" s="6"/>
      <c r="BG391" s="6"/>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2"/>
      <c r="AR392" s="3"/>
      <c r="AS392" s="1"/>
      <c r="AT392" s="1"/>
      <c r="AU392" s="4"/>
      <c r="AV392" s="4"/>
      <c r="AW392" s="4"/>
      <c r="AX392" s="5"/>
      <c r="AY392" s="4"/>
      <c r="AZ392" s="5"/>
      <c r="BA392" s="1"/>
      <c r="BB392" s="1"/>
      <c r="BC392" s="1"/>
      <c r="BD392" s="6"/>
      <c r="BE392" s="1"/>
      <c r="BF392" s="6"/>
      <c r="BG392" s="6"/>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2"/>
      <c r="AR393" s="3"/>
      <c r="AS393" s="1"/>
      <c r="AT393" s="1"/>
      <c r="AU393" s="4"/>
      <c r="AV393" s="4"/>
      <c r="AW393" s="4"/>
      <c r="AX393" s="5"/>
      <c r="AY393" s="4"/>
      <c r="AZ393" s="5"/>
      <c r="BA393" s="1"/>
      <c r="BB393" s="1"/>
      <c r="BC393" s="1"/>
      <c r="BD393" s="6"/>
      <c r="BE393" s="1"/>
      <c r="BF393" s="6"/>
      <c r="BG393" s="6"/>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2"/>
      <c r="AR394" s="3"/>
      <c r="AS394" s="1"/>
      <c r="AT394" s="1"/>
      <c r="AU394" s="4"/>
      <c r="AV394" s="4"/>
      <c r="AW394" s="4"/>
      <c r="AX394" s="5"/>
      <c r="AY394" s="4"/>
      <c r="AZ394" s="5"/>
      <c r="BA394" s="1"/>
      <c r="BB394" s="1"/>
      <c r="BC394" s="1"/>
      <c r="BD394" s="6"/>
      <c r="BE394" s="1"/>
      <c r="BF394" s="6"/>
      <c r="BG394" s="6"/>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2"/>
      <c r="AR395" s="3"/>
      <c r="AS395" s="1"/>
      <c r="AT395" s="1"/>
      <c r="AU395" s="4"/>
      <c r="AV395" s="4"/>
      <c r="AW395" s="4"/>
      <c r="AX395" s="5"/>
      <c r="AY395" s="4"/>
      <c r="AZ395" s="5"/>
      <c r="BA395" s="1"/>
      <c r="BB395" s="1"/>
      <c r="BC395" s="1"/>
      <c r="BD395" s="6"/>
      <c r="BE395" s="1"/>
      <c r="BF395" s="6"/>
      <c r="BG395" s="6"/>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2"/>
      <c r="AR396" s="3"/>
      <c r="AS396" s="1"/>
      <c r="AT396" s="1"/>
      <c r="AU396" s="4"/>
      <c r="AV396" s="4"/>
      <c r="AW396" s="4"/>
      <c r="AX396" s="5"/>
      <c r="AY396" s="4"/>
      <c r="AZ396" s="5"/>
      <c r="BA396" s="1"/>
      <c r="BB396" s="1"/>
      <c r="BC396" s="1"/>
      <c r="BD396" s="6"/>
      <c r="BE396" s="1"/>
      <c r="BF396" s="6"/>
      <c r="BG396" s="6"/>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2"/>
      <c r="AR397" s="3"/>
      <c r="AS397" s="1"/>
      <c r="AT397" s="1"/>
      <c r="AU397" s="4"/>
      <c r="AV397" s="4"/>
      <c r="AW397" s="4"/>
      <c r="AX397" s="5"/>
      <c r="AY397" s="4"/>
      <c r="AZ397" s="5"/>
      <c r="BA397" s="1"/>
      <c r="BB397" s="1"/>
      <c r="BC397" s="1"/>
      <c r="BD397" s="6"/>
      <c r="BE397" s="1"/>
      <c r="BF397" s="6"/>
      <c r="BG397" s="6"/>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2"/>
      <c r="AR398" s="3"/>
      <c r="AS398" s="1"/>
      <c r="AT398" s="1"/>
      <c r="AU398" s="4"/>
      <c r="AV398" s="4"/>
      <c r="AW398" s="4"/>
      <c r="AX398" s="5"/>
      <c r="AY398" s="4"/>
      <c r="AZ398" s="5"/>
      <c r="BA398" s="1"/>
      <c r="BB398" s="1"/>
      <c r="BC398" s="1"/>
      <c r="BD398" s="6"/>
      <c r="BE398" s="1"/>
      <c r="BF398" s="6"/>
      <c r="BG398" s="6"/>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2"/>
      <c r="AR399" s="3"/>
      <c r="AS399" s="1"/>
      <c r="AT399" s="1"/>
      <c r="AU399" s="4"/>
      <c r="AV399" s="4"/>
      <c r="AW399" s="4"/>
      <c r="AX399" s="5"/>
      <c r="AY399" s="4"/>
      <c r="AZ399" s="5"/>
      <c r="BA399" s="1"/>
      <c r="BB399" s="1"/>
      <c r="BC399" s="1"/>
      <c r="BD399" s="6"/>
      <c r="BE399" s="1"/>
      <c r="BF399" s="6"/>
      <c r="BG399" s="6"/>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2"/>
      <c r="AR400" s="3"/>
      <c r="AS400" s="1"/>
      <c r="AT400" s="1"/>
      <c r="AU400" s="4"/>
      <c r="AV400" s="4"/>
      <c r="AW400" s="4"/>
      <c r="AX400" s="5"/>
      <c r="AY400" s="4"/>
      <c r="AZ400" s="5"/>
      <c r="BA400" s="1"/>
      <c r="BB400" s="1"/>
      <c r="BC400" s="1"/>
      <c r="BD400" s="6"/>
      <c r="BE400" s="1"/>
      <c r="BF400" s="6"/>
      <c r="BG400" s="6"/>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2"/>
      <c r="AR401" s="3"/>
      <c r="AS401" s="1"/>
      <c r="AT401" s="1"/>
      <c r="AU401" s="4"/>
      <c r="AV401" s="4"/>
      <c r="AW401" s="4"/>
      <c r="AX401" s="5"/>
      <c r="AY401" s="4"/>
      <c r="AZ401" s="5"/>
      <c r="BA401" s="1"/>
      <c r="BB401" s="1"/>
      <c r="BC401" s="1"/>
      <c r="BD401" s="6"/>
      <c r="BE401" s="1"/>
      <c r="BF401" s="6"/>
      <c r="BG401" s="6"/>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2"/>
      <c r="AR402" s="3"/>
      <c r="AS402" s="1"/>
      <c r="AT402" s="1"/>
      <c r="AU402" s="4"/>
      <c r="AV402" s="4"/>
      <c r="AW402" s="4"/>
      <c r="AX402" s="5"/>
      <c r="AY402" s="4"/>
      <c r="AZ402" s="5"/>
      <c r="BA402" s="1"/>
      <c r="BB402" s="1"/>
      <c r="BC402" s="1"/>
      <c r="BD402" s="6"/>
      <c r="BE402" s="1"/>
      <c r="BF402" s="6"/>
      <c r="BG402" s="6"/>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2"/>
      <c r="AR403" s="3"/>
      <c r="AS403" s="1"/>
      <c r="AT403" s="1"/>
      <c r="AU403" s="4"/>
      <c r="AV403" s="4"/>
      <c r="AW403" s="4"/>
      <c r="AX403" s="5"/>
      <c r="AY403" s="4"/>
      <c r="AZ403" s="5"/>
      <c r="BA403" s="1"/>
      <c r="BB403" s="1"/>
      <c r="BC403" s="1"/>
      <c r="BD403" s="6"/>
      <c r="BE403" s="1"/>
      <c r="BF403" s="6"/>
      <c r="BG403" s="6"/>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2"/>
      <c r="AR404" s="3"/>
      <c r="AS404" s="1"/>
      <c r="AT404" s="1"/>
      <c r="AU404" s="4"/>
      <c r="AV404" s="4"/>
      <c r="AW404" s="4"/>
      <c r="AX404" s="5"/>
      <c r="AY404" s="4"/>
      <c r="AZ404" s="5"/>
      <c r="BA404" s="1"/>
      <c r="BB404" s="1"/>
      <c r="BC404" s="1"/>
      <c r="BD404" s="6"/>
      <c r="BE404" s="1"/>
      <c r="BF404" s="6"/>
      <c r="BG404" s="6"/>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2"/>
      <c r="AR405" s="3"/>
      <c r="AS405" s="1"/>
      <c r="AT405" s="1"/>
      <c r="AU405" s="4"/>
      <c r="AV405" s="4"/>
      <c r="AW405" s="4"/>
      <c r="AX405" s="5"/>
      <c r="AY405" s="4"/>
      <c r="AZ405" s="5"/>
      <c r="BA405" s="1"/>
      <c r="BB405" s="1"/>
      <c r="BC405" s="1"/>
      <c r="BD405" s="6"/>
      <c r="BE405" s="1"/>
      <c r="BF405" s="6"/>
      <c r="BG405" s="6"/>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2"/>
      <c r="AR406" s="3"/>
      <c r="AS406" s="1"/>
      <c r="AT406" s="1"/>
      <c r="AU406" s="4"/>
      <c r="AV406" s="4"/>
      <c r="AW406" s="4"/>
      <c r="AX406" s="5"/>
      <c r="AY406" s="4"/>
      <c r="AZ406" s="5"/>
      <c r="BA406" s="1"/>
      <c r="BB406" s="1"/>
      <c r="BC406" s="1"/>
      <c r="BD406" s="6"/>
      <c r="BE406" s="1"/>
      <c r="BF406" s="6"/>
      <c r="BG406" s="6"/>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2"/>
      <c r="AR407" s="3"/>
      <c r="AS407" s="1"/>
      <c r="AT407" s="1"/>
      <c r="AU407" s="4"/>
      <c r="AV407" s="4"/>
      <c r="AW407" s="4"/>
      <c r="AX407" s="5"/>
      <c r="AY407" s="4"/>
      <c r="AZ407" s="5"/>
      <c r="BA407" s="1"/>
      <c r="BB407" s="1"/>
      <c r="BC407" s="1"/>
      <c r="BD407" s="6"/>
      <c r="BE407" s="1"/>
      <c r="BF407" s="6"/>
      <c r="BG407" s="6"/>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2"/>
      <c r="AR408" s="3"/>
      <c r="AS408" s="1"/>
      <c r="AT408" s="1"/>
      <c r="AU408" s="4"/>
      <c r="AV408" s="4"/>
      <c r="AW408" s="4"/>
      <c r="AX408" s="5"/>
      <c r="AY408" s="4"/>
      <c r="AZ408" s="5"/>
      <c r="BA408" s="1"/>
      <c r="BB408" s="1"/>
      <c r="BC408" s="1"/>
      <c r="BD408" s="6"/>
      <c r="BE408" s="1"/>
      <c r="BF408" s="6"/>
      <c r="BG408" s="6"/>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2"/>
      <c r="AR409" s="3"/>
      <c r="AS409" s="1"/>
      <c r="AT409" s="1"/>
      <c r="AU409" s="4"/>
      <c r="AV409" s="4"/>
      <c r="AW409" s="4"/>
      <c r="AX409" s="5"/>
      <c r="AY409" s="4"/>
      <c r="AZ409" s="5"/>
      <c r="BA409" s="1"/>
      <c r="BB409" s="1"/>
      <c r="BC409" s="1"/>
      <c r="BD409" s="6"/>
      <c r="BE409" s="1"/>
      <c r="BF409" s="6"/>
      <c r="BG409" s="6"/>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2"/>
      <c r="AR410" s="3"/>
      <c r="AS410" s="1"/>
      <c r="AT410" s="1"/>
      <c r="AU410" s="4"/>
      <c r="AV410" s="4"/>
      <c r="AW410" s="4"/>
      <c r="AX410" s="5"/>
      <c r="AY410" s="4"/>
      <c r="AZ410" s="5"/>
      <c r="BA410" s="1"/>
      <c r="BB410" s="1"/>
      <c r="BC410" s="1"/>
      <c r="BD410" s="6"/>
      <c r="BE410" s="1"/>
      <c r="BF410" s="6"/>
      <c r="BG410" s="6"/>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2"/>
      <c r="AR411" s="3"/>
      <c r="AS411" s="1"/>
      <c r="AT411" s="1"/>
      <c r="AU411" s="4"/>
      <c r="AV411" s="4"/>
      <c r="AW411" s="4"/>
      <c r="AX411" s="5"/>
      <c r="AY411" s="4"/>
      <c r="AZ411" s="5"/>
      <c r="BA411" s="1"/>
      <c r="BB411" s="1"/>
      <c r="BC411" s="1"/>
      <c r="BD411" s="6"/>
      <c r="BE411" s="1"/>
      <c r="BF411" s="6"/>
      <c r="BG411" s="6"/>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2"/>
      <c r="AR412" s="3"/>
      <c r="AS412" s="1"/>
      <c r="AT412" s="1"/>
      <c r="AU412" s="4"/>
      <c r="AV412" s="4"/>
      <c r="AW412" s="4"/>
      <c r="AX412" s="5"/>
      <c r="AY412" s="4"/>
      <c r="AZ412" s="5"/>
      <c r="BA412" s="1"/>
      <c r="BB412" s="1"/>
      <c r="BC412" s="1"/>
      <c r="BD412" s="6"/>
      <c r="BE412" s="1"/>
      <c r="BF412" s="6"/>
      <c r="BG412" s="6"/>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2"/>
      <c r="AR413" s="3"/>
      <c r="AS413" s="1"/>
      <c r="AT413" s="1"/>
      <c r="AU413" s="4"/>
      <c r="AV413" s="4"/>
      <c r="AW413" s="4"/>
      <c r="AX413" s="5"/>
      <c r="AY413" s="4"/>
      <c r="AZ413" s="5"/>
      <c r="BA413" s="1"/>
      <c r="BB413" s="1"/>
      <c r="BC413" s="1"/>
      <c r="BD413" s="6"/>
      <c r="BE413" s="1"/>
      <c r="BF413" s="6"/>
      <c r="BG413" s="6"/>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2"/>
      <c r="AR414" s="3"/>
      <c r="AS414" s="1"/>
      <c r="AT414" s="1"/>
      <c r="AU414" s="4"/>
      <c r="AV414" s="4"/>
      <c r="AW414" s="4"/>
      <c r="AX414" s="5"/>
      <c r="AY414" s="4"/>
      <c r="AZ414" s="5"/>
      <c r="BA414" s="1"/>
      <c r="BB414" s="1"/>
      <c r="BC414" s="1"/>
      <c r="BD414" s="6"/>
      <c r="BE414" s="1"/>
      <c r="BF414" s="6"/>
      <c r="BG414" s="6"/>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2"/>
      <c r="AR415" s="3"/>
      <c r="AS415" s="1"/>
      <c r="AT415" s="1"/>
      <c r="AU415" s="4"/>
      <c r="AV415" s="4"/>
      <c r="AW415" s="4"/>
      <c r="AX415" s="5"/>
      <c r="AY415" s="4"/>
      <c r="AZ415" s="5"/>
      <c r="BA415" s="1"/>
      <c r="BB415" s="1"/>
      <c r="BC415" s="1"/>
      <c r="BD415" s="6"/>
      <c r="BE415" s="1"/>
      <c r="BF415" s="6"/>
      <c r="BG415" s="6"/>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2"/>
      <c r="AR416" s="3"/>
      <c r="AS416" s="1"/>
      <c r="AT416" s="1"/>
      <c r="AU416" s="4"/>
      <c r="AV416" s="4"/>
      <c r="AW416" s="4"/>
      <c r="AX416" s="5"/>
      <c r="AY416" s="4"/>
      <c r="AZ416" s="5"/>
      <c r="BA416" s="1"/>
      <c r="BB416" s="1"/>
      <c r="BC416" s="1"/>
      <c r="BD416" s="6"/>
      <c r="BE416" s="1"/>
      <c r="BF416" s="6"/>
      <c r="BG416" s="6"/>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2"/>
      <c r="AR417" s="3"/>
      <c r="AS417" s="1"/>
      <c r="AT417" s="1"/>
      <c r="AU417" s="4"/>
      <c r="AV417" s="4"/>
      <c r="AW417" s="4"/>
      <c r="AX417" s="5"/>
      <c r="AY417" s="4"/>
      <c r="AZ417" s="5"/>
      <c r="BA417" s="1"/>
      <c r="BB417" s="1"/>
      <c r="BC417" s="1"/>
      <c r="BD417" s="6"/>
      <c r="BE417" s="1"/>
      <c r="BF417" s="6"/>
      <c r="BG417" s="6"/>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2"/>
      <c r="AR418" s="3"/>
      <c r="AS418" s="1"/>
      <c r="AT418" s="1"/>
      <c r="AU418" s="4"/>
      <c r="AV418" s="4"/>
      <c r="AW418" s="4"/>
      <c r="AX418" s="5"/>
      <c r="AY418" s="4"/>
      <c r="AZ418" s="5"/>
      <c r="BA418" s="1"/>
      <c r="BB418" s="1"/>
      <c r="BC418" s="1"/>
      <c r="BD418" s="6"/>
      <c r="BE418" s="1"/>
      <c r="BF418" s="6"/>
      <c r="BG418" s="6"/>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2"/>
      <c r="AR419" s="3"/>
      <c r="AS419" s="1"/>
      <c r="AT419" s="1"/>
      <c r="AU419" s="4"/>
      <c r="AV419" s="4"/>
      <c r="AW419" s="4"/>
      <c r="AX419" s="5"/>
      <c r="AY419" s="4"/>
      <c r="AZ419" s="5"/>
      <c r="BA419" s="1"/>
      <c r="BB419" s="1"/>
      <c r="BC419" s="1"/>
      <c r="BD419" s="6"/>
      <c r="BE419" s="1"/>
      <c r="BF419" s="6"/>
      <c r="BG419" s="6"/>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2"/>
      <c r="AR420" s="3"/>
      <c r="AS420" s="1"/>
      <c r="AT420" s="1"/>
      <c r="AU420" s="4"/>
      <c r="AV420" s="4"/>
      <c r="AW420" s="4"/>
      <c r="AX420" s="5"/>
      <c r="AY420" s="4"/>
      <c r="AZ420" s="5"/>
      <c r="BA420" s="1"/>
      <c r="BB420" s="1"/>
      <c r="BC420" s="1"/>
      <c r="BD420" s="6"/>
      <c r="BE420" s="1"/>
      <c r="BF420" s="6"/>
      <c r="BG420" s="6"/>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2"/>
      <c r="AR421" s="3"/>
      <c r="AS421" s="1"/>
      <c r="AT421" s="1"/>
      <c r="AU421" s="4"/>
      <c r="AV421" s="4"/>
      <c r="AW421" s="4"/>
      <c r="AX421" s="5"/>
      <c r="AY421" s="4"/>
      <c r="AZ421" s="5"/>
      <c r="BA421" s="1"/>
      <c r="BB421" s="1"/>
      <c r="BC421" s="1"/>
      <c r="BD421" s="6"/>
      <c r="BE421" s="1"/>
      <c r="BF421" s="6"/>
      <c r="BG421" s="6"/>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2"/>
      <c r="AR422" s="3"/>
      <c r="AS422" s="1"/>
      <c r="AT422" s="1"/>
      <c r="AU422" s="4"/>
      <c r="AV422" s="4"/>
      <c r="AW422" s="4"/>
      <c r="AX422" s="5"/>
      <c r="AY422" s="4"/>
      <c r="AZ422" s="5"/>
      <c r="BA422" s="1"/>
      <c r="BB422" s="1"/>
      <c r="BC422" s="1"/>
      <c r="BD422" s="6"/>
      <c r="BE422" s="1"/>
      <c r="BF422" s="6"/>
      <c r="BG422" s="6"/>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2"/>
      <c r="AR423" s="3"/>
      <c r="AS423" s="1"/>
      <c r="AT423" s="1"/>
      <c r="AU423" s="4"/>
      <c r="AV423" s="4"/>
      <c r="AW423" s="4"/>
      <c r="AX423" s="5"/>
      <c r="AY423" s="4"/>
      <c r="AZ423" s="5"/>
      <c r="BA423" s="1"/>
      <c r="BB423" s="1"/>
      <c r="BC423" s="1"/>
      <c r="BD423" s="6"/>
      <c r="BE423" s="1"/>
      <c r="BF423" s="6"/>
      <c r="BG423" s="6"/>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2"/>
      <c r="AR424" s="3"/>
      <c r="AS424" s="1"/>
      <c r="AT424" s="1"/>
      <c r="AU424" s="4"/>
      <c r="AV424" s="4"/>
      <c r="AW424" s="4"/>
      <c r="AX424" s="5"/>
      <c r="AY424" s="4"/>
      <c r="AZ424" s="5"/>
      <c r="BA424" s="1"/>
      <c r="BB424" s="1"/>
      <c r="BC424" s="1"/>
      <c r="BD424" s="6"/>
      <c r="BE424" s="1"/>
      <c r="BF424" s="6"/>
      <c r="BG424" s="6"/>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2"/>
      <c r="AR425" s="3"/>
      <c r="AS425" s="1"/>
      <c r="AT425" s="1"/>
      <c r="AU425" s="4"/>
      <c r="AV425" s="4"/>
      <c r="AW425" s="4"/>
      <c r="AX425" s="5"/>
      <c r="AY425" s="4"/>
      <c r="AZ425" s="5"/>
      <c r="BA425" s="1"/>
      <c r="BB425" s="1"/>
      <c r="BC425" s="1"/>
      <c r="BD425" s="6"/>
      <c r="BE425" s="1"/>
      <c r="BF425" s="6"/>
      <c r="BG425" s="6"/>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2"/>
      <c r="AR426" s="3"/>
      <c r="AS426" s="1"/>
      <c r="AT426" s="1"/>
      <c r="AU426" s="4"/>
      <c r="AV426" s="4"/>
      <c r="AW426" s="4"/>
      <c r="AX426" s="5"/>
      <c r="AY426" s="4"/>
      <c r="AZ426" s="5"/>
      <c r="BA426" s="1"/>
      <c r="BB426" s="1"/>
      <c r="BC426" s="1"/>
      <c r="BD426" s="6"/>
      <c r="BE426" s="1"/>
      <c r="BF426" s="6"/>
      <c r="BG426" s="6"/>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2"/>
      <c r="AR427" s="3"/>
      <c r="AS427" s="1"/>
      <c r="AT427" s="1"/>
      <c r="AU427" s="4"/>
      <c r="AV427" s="4"/>
      <c r="AW427" s="4"/>
      <c r="AX427" s="5"/>
      <c r="AY427" s="4"/>
      <c r="AZ427" s="5"/>
      <c r="BA427" s="1"/>
      <c r="BB427" s="1"/>
      <c r="BC427" s="1"/>
      <c r="BD427" s="6"/>
      <c r="BE427" s="1"/>
      <c r="BF427" s="6"/>
      <c r="BG427" s="6"/>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2"/>
      <c r="AR428" s="3"/>
      <c r="AS428" s="1"/>
      <c r="AT428" s="1"/>
      <c r="AU428" s="4"/>
      <c r="AV428" s="4"/>
      <c r="AW428" s="4"/>
      <c r="AX428" s="5"/>
      <c r="AY428" s="4"/>
      <c r="AZ428" s="5"/>
      <c r="BA428" s="1"/>
      <c r="BB428" s="1"/>
      <c r="BC428" s="1"/>
      <c r="BD428" s="6"/>
      <c r="BE428" s="1"/>
      <c r="BF428" s="6"/>
      <c r="BG428" s="6"/>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2"/>
      <c r="AR429" s="3"/>
      <c r="AS429" s="1"/>
      <c r="AT429" s="1"/>
      <c r="AU429" s="4"/>
      <c r="AV429" s="4"/>
      <c r="AW429" s="4"/>
      <c r="AX429" s="5"/>
      <c r="AY429" s="4"/>
      <c r="AZ429" s="5"/>
      <c r="BA429" s="1"/>
      <c r="BB429" s="1"/>
      <c r="BC429" s="1"/>
      <c r="BD429" s="6"/>
      <c r="BE429" s="1"/>
      <c r="BF429" s="6"/>
      <c r="BG429" s="6"/>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2"/>
      <c r="AR430" s="3"/>
      <c r="AS430" s="1"/>
      <c r="AT430" s="1"/>
      <c r="AU430" s="4"/>
      <c r="AV430" s="4"/>
      <c r="AW430" s="4"/>
      <c r="AX430" s="5"/>
      <c r="AY430" s="4"/>
      <c r="AZ430" s="5"/>
      <c r="BA430" s="1"/>
      <c r="BB430" s="1"/>
      <c r="BC430" s="1"/>
      <c r="BD430" s="6"/>
      <c r="BE430" s="1"/>
      <c r="BF430" s="6"/>
      <c r="BG430" s="6"/>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2"/>
      <c r="AR431" s="3"/>
      <c r="AS431" s="1"/>
      <c r="AT431" s="1"/>
      <c r="AU431" s="4"/>
      <c r="AV431" s="4"/>
      <c r="AW431" s="4"/>
      <c r="AX431" s="5"/>
      <c r="AY431" s="4"/>
      <c r="AZ431" s="5"/>
      <c r="BA431" s="1"/>
      <c r="BB431" s="1"/>
      <c r="BC431" s="1"/>
      <c r="BD431" s="6"/>
      <c r="BE431" s="1"/>
      <c r="BF431" s="6"/>
      <c r="BG431" s="6"/>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2"/>
      <c r="AR432" s="3"/>
      <c r="AS432" s="1"/>
      <c r="AT432" s="1"/>
      <c r="AU432" s="4"/>
      <c r="AV432" s="4"/>
      <c r="AW432" s="4"/>
      <c r="AX432" s="5"/>
      <c r="AY432" s="4"/>
      <c r="AZ432" s="5"/>
      <c r="BA432" s="1"/>
      <c r="BB432" s="1"/>
      <c r="BC432" s="1"/>
      <c r="BD432" s="6"/>
      <c r="BE432" s="1"/>
      <c r="BF432" s="6"/>
      <c r="BG432" s="6"/>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2"/>
      <c r="AR433" s="3"/>
      <c r="AS433" s="1"/>
      <c r="AT433" s="1"/>
      <c r="AU433" s="4"/>
      <c r="AV433" s="4"/>
      <c r="AW433" s="4"/>
      <c r="AX433" s="5"/>
      <c r="AY433" s="4"/>
      <c r="AZ433" s="5"/>
      <c r="BA433" s="1"/>
      <c r="BB433" s="1"/>
      <c r="BC433" s="1"/>
      <c r="BD433" s="6"/>
      <c r="BE433" s="1"/>
      <c r="BF433" s="6"/>
      <c r="BG433" s="6"/>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2"/>
      <c r="AR434" s="3"/>
      <c r="AS434" s="1"/>
      <c r="AT434" s="1"/>
      <c r="AU434" s="4"/>
      <c r="AV434" s="4"/>
      <c r="AW434" s="4"/>
      <c r="AX434" s="5"/>
      <c r="AY434" s="4"/>
      <c r="AZ434" s="5"/>
      <c r="BA434" s="1"/>
      <c r="BB434" s="1"/>
      <c r="BC434" s="1"/>
      <c r="BD434" s="6"/>
      <c r="BE434" s="1"/>
      <c r="BF434" s="6"/>
      <c r="BG434" s="6"/>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2"/>
      <c r="AR435" s="3"/>
      <c r="AS435" s="1"/>
      <c r="AT435" s="1"/>
      <c r="AU435" s="4"/>
      <c r="AV435" s="4"/>
      <c r="AW435" s="4"/>
      <c r="AX435" s="5"/>
      <c r="AY435" s="4"/>
      <c r="AZ435" s="5"/>
      <c r="BA435" s="1"/>
      <c r="BB435" s="1"/>
      <c r="BC435" s="1"/>
      <c r="BD435" s="6"/>
      <c r="BE435" s="1"/>
      <c r="BF435" s="6"/>
      <c r="BG435" s="6"/>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2"/>
      <c r="AR436" s="3"/>
      <c r="AS436" s="1"/>
      <c r="AT436" s="1"/>
      <c r="AU436" s="4"/>
      <c r="AV436" s="4"/>
      <c r="AW436" s="4"/>
      <c r="AX436" s="5"/>
      <c r="AY436" s="4"/>
      <c r="AZ436" s="5"/>
      <c r="BA436" s="1"/>
      <c r="BB436" s="1"/>
      <c r="BC436" s="1"/>
      <c r="BD436" s="6"/>
      <c r="BE436" s="1"/>
      <c r="BF436" s="6"/>
      <c r="BG436" s="6"/>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2"/>
      <c r="AR437" s="3"/>
      <c r="AS437" s="1"/>
      <c r="AT437" s="1"/>
      <c r="AU437" s="4"/>
      <c r="AV437" s="4"/>
      <c r="AW437" s="4"/>
      <c r="AX437" s="5"/>
      <c r="AY437" s="4"/>
      <c r="AZ437" s="5"/>
      <c r="BA437" s="1"/>
      <c r="BB437" s="1"/>
      <c r="BC437" s="1"/>
      <c r="BD437" s="6"/>
      <c r="BE437" s="1"/>
      <c r="BF437" s="6"/>
      <c r="BG437" s="6"/>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2"/>
      <c r="AR438" s="3"/>
      <c r="AS438" s="1"/>
      <c r="AT438" s="1"/>
      <c r="AU438" s="4"/>
      <c r="AV438" s="4"/>
      <c r="AW438" s="4"/>
      <c r="AX438" s="5"/>
      <c r="AY438" s="4"/>
      <c r="AZ438" s="5"/>
      <c r="BA438" s="1"/>
      <c r="BB438" s="1"/>
      <c r="BC438" s="1"/>
      <c r="BD438" s="6"/>
      <c r="BE438" s="1"/>
      <c r="BF438" s="6"/>
      <c r="BG438" s="6"/>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2"/>
      <c r="AR439" s="3"/>
      <c r="AS439" s="1"/>
      <c r="AT439" s="1"/>
      <c r="AU439" s="4"/>
      <c r="AV439" s="4"/>
      <c r="AW439" s="4"/>
      <c r="AX439" s="5"/>
      <c r="AY439" s="4"/>
      <c r="AZ439" s="5"/>
      <c r="BA439" s="1"/>
      <c r="BB439" s="1"/>
      <c r="BC439" s="1"/>
      <c r="BD439" s="6"/>
      <c r="BE439" s="1"/>
      <c r="BF439" s="6"/>
      <c r="BG439" s="6"/>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2"/>
      <c r="AR440" s="3"/>
      <c r="AS440" s="1"/>
      <c r="AT440" s="1"/>
      <c r="AU440" s="4"/>
      <c r="AV440" s="4"/>
      <c r="AW440" s="4"/>
      <c r="AX440" s="5"/>
      <c r="AY440" s="4"/>
      <c r="AZ440" s="5"/>
      <c r="BA440" s="1"/>
      <c r="BB440" s="1"/>
      <c r="BC440" s="1"/>
      <c r="BD440" s="6"/>
      <c r="BE440" s="1"/>
      <c r="BF440" s="6"/>
      <c r="BG440" s="6"/>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2"/>
      <c r="AR441" s="3"/>
      <c r="AS441" s="1"/>
      <c r="AT441" s="1"/>
      <c r="AU441" s="4"/>
      <c r="AV441" s="4"/>
      <c r="AW441" s="4"/>
      <c r="AX441" s="5"/>
      <c r="AY441" s="4"/>
      <c r="AZ441" s="5"/>
      <c r="BA441" s="1"/>
      <c r="BB441" s="1"/>
      <c r="BC441" s="1"/>
      <c r="BD441" s="6"/>
      <c r="BE441" s="1"/>
      <c r="BF441" s="6"/>
      <c r="BG441" s="6"/>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2"/>
      <c r="AR442" s="3"/>
      <c r="AS442" s="1"/>
      <c r="AT442" s="1"/>
      <c r="AU442" s="4"/>
      <c r="AV442" s="4"/>
      <c r="AW442" s="4"/>
      <c r="AX442" s="5"/>
      <c r="AY442" s="4"/>
      <c r="AZ442" s="5"/>
      <c r="BA442" s="1"/>
      <c r="BB442" s="1"/>
      <c r="BC442" s="1"/>
      <c r="BD442" s="6"/>
      <c r="BE442" s="1"/>
      <c r="BF442" s="6"/>
      <c r="BG442" s="6"/>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2"/>
      <c r="AR443" s="3"/>
      <c r="AS443" s="1"/>
      <c r="AT443" s="1"/>
      <c r="AU443" s="4"/>
      <c r="AV443" s="4"/>
      <c r="AW443" s="4"/>
      <c r="AX443" s="5"/>
      <c r="AY443" s="4"/>
      <c r="AZ443" s="5"/>
      <c r="BA443" s="1"/>
      <c r="BB443" s="1"/>
      <c r="BC443" s="1"/>
      <c r="BD443" s="6"/>
      <c r="BE443" s="1"/>
      <c r="BF443" s="6"/>
      <c r="BG443" s="6"/>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2"/>
      <c r="AR444" s="3"/>
      <c r="AS444" s="1"/>
      <c r="AT444" s="1"/>
      <c r="AU444" s="4"/>
      <c r="AV444" s="4"/>
      <c r="AW444" s="4"/>
      <c r="AX444" s="5"/>
      <c r="AY444" s="4"/>
      <c r="AZ444" s="5"/>
      <c r="BA444" s="1"/>
      <c r="BB444" s="1"/>
      <c r="BC444" s="1"/>
      <c r="BD444" s="6"/>
      <c r="BE444" s="1"/>
      <c r="BF444" s="6"/>
      <c r="BG444" s="6"/>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2"/>
      <c r="AR445" s="3"/>
      <c r="AS445" s="1"/>
      <c r="AT445" s="1"/>
      <c r="AU445" s="4"/>
      <c r="AV445" s="4"/>
      <c r="AW445" s="4"/>
      <c r="AX445" s="5"/>
      <c r="AY445" s="4"/>
      <c r="AZ445" s="5"/>
      <c r="BA445" s="1"/>
      <c r="BB445" s="1"/>
      <c r="BC445" s="1"/>
      <c r="BD445" s="6"/>
      <c r="BE445" s="1"/>
      <c r="BF445" s="6"/>
      <c r="BG445" s="6"/>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2"/>
      <c r="AR446" s="3"/>
      <c r="AS446" s="1"/>
      <c r="AT446" s="1"/>
      <c r="AU446" s="4"/>
      <c r="AV446" s="4"/>
      <c r="AW446" s="4"/>
      <c r="AX446" s="5"/>
      <c r="AY446" s="4"/>
      <c r="AZ446" s="5"/>
      <c r="BA446" s="1"/>
      <c r="BB446" s="1"/>
      <c r="BC446" s="1"/>
      <c r="BD446" s="6"/>
      <c r="BE446" s="1"/>
      <c r="BF446" s="6"/>
      <c r="BG446" s="6"/>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2"/>
      <c r="AR447" s="3"/>
      <c r="AS447" s="1"/>
      <c r="AT447" s="1"/>
      <c r="AU447" s="4"/>
      <c r="AV447" s="4"/>
      <c r="AW447" s="4"/>
      <c r="AX447" s="5"/>
      <c r="AY447" s="4"/>
      <c r="AZ447" s="5"/>
      <c r="BA447" s="1"/>
      <c r="BB447" s="1"/>
      <c r="BC447" s="1"/>
      <c r="BD447" s="6"/>
      <c r="BE447" s="1"/>
      <c r="BF447" s="6"/>
      <c r="BG447" s="6"/>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2"/>
      <c r="AR448" s="3"/>
      <c r="AS448" s="1"/>
      <c r="AT448" s="1"/>
      <c r="AU448" s="4"/>
      <c r="AV448" s="4"/>
      <c r="AW448" s="4"/>
      <c r="AX448" s="5"/>
      <c r="AY448" s="4"/>
      <c r="AZ448" s="5"/>
      <c r="BA448" s="1"/>
      <c r="BB448" s="1"/>
      <c r="BC448" s="1"/>
      <c r="BD448" s="6"/>
      <c r="BE448" s="1"/>
      <c r="BF448" s="6"/>
      <c r="BG448" s="6"/>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2"/>
      <c r="AR449" s="3"/>
      <c r="AS449" s="1"/>
      <c r="AT449" s="1"/>
      <c r="AU449" s="4"/>
      <c r="AV449" s="4"/>
      <c r="AW449" s="4"/>
      <c r="AX449" s="5"/>
      <c r="AY449" s="4"/>
      <c r="AZ449" s="5"/>
      <c r="BA449" s="1"/>
      <c r="BB449" s="1"/>
      <c r="BC449" s="1"/>
      <c r="BD449" s="6"/>
      <c r="BE449" s="1"/>
      <c r="BF449" s="6"/>
      <c r="BG449" s="6"/>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2"/>
      <c r="AR450" s="3"/>
      <c r="AS450" s="1"/>
      <c r="AT450" s="1"/>
      <c r="AU450" s="4"/>
      <c r="AV450" s="4"/>
      <c r="AW450" s="4"/>
      <c r="AX450" s="5"/>
      <c r="AY450" s="4"/>
      <c r="AZ450" s="5"/>
      <c r="BA450" s="1"/>
      <c r="BB450" s="1"/>
      <c r="BC450" s="1"/>
      <c r="BD450" s="6"/>
      <c r="BE450" s="1"/>
      <c r="BF450" s="6"/>
      <c r="BG450" s="6"/>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2"/>
      <c r="AR451" s="3"/>
      <c r="AS451" s="1"/>
      <c r="AT451" s="1"/>
      <c r="AU451" s="4"/>
      <c r="AV451" s="4"/>
      <c r="AW451" s="4"/>
      <c r="AX451" s="5"/>
      <c r="AY451" s="4"/>
      <c r="AZ451" s="5"/>
      <c r="BA451" s="1"/>
      <c r="BB451" s="1"/>
      <c r="BC451" s="1"/>
      <c r="BD451" s="6"/>
      <c r="BE451" s="1"/>
      <c r="BF451" s="6"/>
      <c r="BG451" s="6"/>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2"/>
      <c r="AR452" s="3"/>
      <c r="AS452" s="1"/>
      <c r="AT452" s="1"/>
      <c r="AU452" s="4"/>
      <c r="AV452" s="4"/>
      <c r="AW452" s="4"/>
      <c r="AX452" s="5"/>
      <c r="AY452" s="4"/>
      <c r="AZ452" s="5"/>
      <c r="BA452" s="1"/>
      <c r="BB452" s="1"/>
      <c r="BC452" s="1"/>
      <c r="BD452" s="6"/>
      <c r="BE452" s="1"/>
      <c r="BF452" s="6"/>
      <c r="BG452" s="6"/>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2"/>
      <c r="AR453" s="3"/>
      <c r="AS453" s="1"/>
      <c r="AT453" s="1"/>
      <c r="AU453" s="4"/>
      <c r="AV453" s="4"/>
      <c r="AW453" s="4"/>
      <c r="AX453" s="5"/>
      <c r="AY453" s="4"/>
      <c r="AZ453" s="5"/>
      <c r="BA453" s="1"/>
      <c r="BB453" s="1"/>
      <c r="BC453" s="1"/>
      <c r="BD453" s="6"/>
      <c r="BE453" s="1"/>
      <c r="BF453" s="6"/>
      <c r="BG453" s="6"/>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2"/>
      <c r="AR454" s="3"/>
      <c r="AS454" s="1"/>
      <c r="AT454" s="1"/>
      <c r="AU454" s="4"/>
      <c r="AV454" s="4"/>
      <c r="AW454" s="4"/>
      <c r="AX454" s="5"/>
      <c r="AY454" s="4"/>
      <c r="AZ454" s="5"/>
      <c r="BA454" s="1"/>
      <c r="BB454" s="1"/>
      <c r="BC454" s="1"/>
      <c r="BD454" s="6"/>
      <c r="BE454" s="1"/>
      <c r="BF454" s="6"/>
      <c r="BG454" s="6"/>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2"/>
      <c r="AR455" s="3"/>
      <c r="AS455" s="1"/>
      <c r="AT455" s="1"/>
      <c r="AU455" s="4"/>
      <c r="AV455" s="4"/>
      <c r="AW455" s="4"/>
      <c r="AX455" s="5"/>
      <c r="AY455" s="4"/>
      <c r="AZ455" s="5"/>
      <c r="BA455" s="1"/>
      <c r="BB455" s="1"/>
      <c r="BC455" s="1"/>
      <c r="BD455" s="6"/>
      <c r="BE455" s="1"/>
      <c r="BF455" s="6"/>
      <c r="BG455" s="6"/>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2"/>
      <c r="AR456" s="3"/>
      <c r="AS456" s="1"/>
      <c r="AT456" s="1"/>
      <c r="AU456" s="4"/>
      <c r="AV456" s="4"/>
      <c r="AW456" s="4"/>
      <c r="AX456" s="5"/>
      <c r="AY456" s="4"/>
      <c r="AZ456" s="5"/>
      <c r="BA456" s="1"/>
      <c r="BB456" s="1"/>
      <c r="BC456" s="1"/>
      <c r="BD456" s="6"/>
      <c r="BE456" s="1"/>
      <c r="BF456" s="6"/>
      <c r="BG456" s="6"/>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2"/>
      <c r="AR457" s="3"/>
      <c r="AS457" s="1"/>
      <c r="AT457" s="1"/>
      <c r="AU457" s="4"/>
      <c r="AV457" s="4"/>
      <c r="AW457" s="4"/>
      <c r="AX457" s="5"/>
      <c r="AY457" s="4"/>
      <c r="AZ457" s="5"/>
      <c r="BA457" s="1"/>
      <c r="BB457" s="1"/>
      <c r="BC457" s="1"/>
      <c r="BD457" s="6"/>
      <c r="BE457" s="1"/>
      <c r="BF457" s="6"/>
      <c r="BG457" s="6"/>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2"/>
      <c r="AR458" s="3"/>
      <c r="AS458" s="1"/>
      <c r="AT458" s="1"/>
      <c r="AU458" s="4"/>
      <c r="AV458" s="4"/>
      <c r="AW458" s="4"/>
      <c r="AX458" s="5"/>
      <c r="AY458" s="4"/>
      <c r="AZ458" s="5"/>
      <c r="BA458" s="1"/>
      <c r="BB458" s="1"/>
      <c r="BC458" s="1"/>
      <c r="BD458" s="6"/>
      <c r="BE458" s="1"/>
      <c r="BF458" s="6"/>
      <c r="BG458" s="6"/>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2"/>
      <c r="AR459" s="3"/>
      <c r="AS459" s="1"/>
      <c r="AT459" s="1"/>
      <c r="AU459" s="4"/>
      <c r="AV459" s="4"/>
      <c r="AW459" s="4"/>
      <c r="AX459" s="5"/>
      <c r="AY459" s="4"/>
      <c r="AZ459" s="5"/>
      <c r="BA459" s="1"/>
      <c r="BB459" s="1"/>
      <c r="BC459" s="1"/>
      <c r="BD459" s="6"/>
      <c r="BE459" s="1"/>
      <c r="BF459" s="6"/>
      <c r="BG459" s="6"/>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2"/>
      <c r="AR460" s="3"/>
      <c r="AS460" s="1"/>
      <c r="AT460" s="1"/>
      <c r="AU460" s="4"/>
      <c r="AV460" s="4"/>
      <c r="AW460" s="4"/>
      <c r="AX460" s="5"/>
      <c r="AY460" s="4"/>
      <c r="AZ460" s="5"/>
      <c r="BA460" s="1"/>
      <c r="BB460" s="1"/>
      <c r="BC460" s="1"/>
      <c r="BD460" s="6"/>
      <c r="BE460" s="1"/>
      <c r="BF460" s="6"/>
      <c r="BG460" s="6"/>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2"/>
      <c r="AR461" s="3"/>
      <c r="AS461" s="1"/>
      <c r="AT461" s="1"/>
      <c r="AU461" s="4"/>
      <c r="AV461" s="4"/>
      <c r="AW461" s="4"/>
      <c r="AX461" s="5"/>
      <c r="AY461" s="4"/>
      <c r="AZ461" s="5"/>
      <c r="BA461" s="1"/>
      <c r="BB461" s="1"/>
      <c r="BC461" s="1"/>
      <c r="BD461" s="6"/>
      <c r="BE461" s="1"/>
      <c r="BF461" s="6"/>
      <c r="BG461" s="6"/>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2"/>
      <c r="AR462" s="3"/>
      <c r="AS462" s="1"/>
      <c r="AT462" s="1"/>
      <c r="AU462" s="4"/>
      <c r="AV462" s="4"/>
      <c r="AW462" s="4"/>
      <c r="AX462" s="5"/>
      <c r="AY462" s="4"/>
      <c r="AZ462" s="5"/>
      <c r="BA462" s="1"/>
      <c r="BB462" s="1"/>
      <c r="BC462" s="1"/>
      <c r="BD462" s="6"/>
      <c r="BE462" s="1"/>
      <c r="BF462" s="6"/>
      <c r="BG462" s="6"/>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2"/>
      <c r="AR463" s="3"/>
      <c r="AS463" s="1"/>
      <c r="AT463" s="1"/>
      <c r="AU463" s="4"/>
      <c r="AV463" s="4"/>
      <c r="AW463" s="4"/>
      <c r="AX463" s="5"/>
      <c r="AY463" s="4"/>
      <c r="AZ463" s="5"/>
      <c r="BA463" s="1"/>
      <c r="BB463" s="1"/>
      <c r="BC463" s="1"/>
      <c r="BD463" s="6"/>
      <c r="BE463" s="1"/>
      <c r="BF463" s="6"/>
      <c r="BG463" s="6"/>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2"/>
      <c r="AR464" s="3"/>
      <c r="AS464" s="1"/>
      <c r="AT464" s="1"/>
      <c r="AU464" s="4"/>
      <c r="AV464" s="4"/>
      <c r="AW464" s="4"/>
      <c r="AX464" s="5"/>
      <c r="AY464" s="4"/>
      <c r="AZ464" s="5"/>
      <c r="BA464" s="1"/>
      <c r="BB464" s="1"/>
      <c r="BC464" s="1"/>
      <c r="BD464" s="6"/>
      <c r="BE464" s="1"/>
      <c r="BF464" s="6"/>
      <c r="BG464" s="6"/>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2"/>
      <c r="AR465" s="3"/>
      <c r="AS465" s="1"/>
      <c r="AT465" s="1"/>
      <c r="AU465" s="4"/>
      <c r="AV465" s="4"/>
      <c r="AW465" s="4"/>
      <c r="AX465" s="5"/>
      <c r="AY465" s="4"/>
      <c r="AZ465" s="5"/>
      <c r="BA465" s="1"/>
      <c r="BB465" s="1"/>
      <c r="BC465" s="1"/>
      <c r="BD465" s="6"/>
      <c r="BE465" s="1"/>
      <c r="BF465" s="6"/>
      <c r="BG465" s="6"/>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2"/>
      <c r="AR466" s="3"/>
      <c r="AS466" s="1"/>
      <c r="AT466" s="1"/>
      <c r="AU466" s="4"/>
      <c r="AV466" s="4"/>
      <c r="AW466" s="4"/>
      <c r="AX466" s="5"/>
      <c r="AY466" s="4"/>
      <c r="AZ466" s="5"/>
      <c r="BA466" s="1"/>
      <c r="BB466" s="1"/>
      <c r="BC466" s="1"/>
      <c r="BD466" s="6"/>
      <c r="BE466" s="1"/>
      <c r="BF466" s="6"/>
      <c r="BG466" s="6"/>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2"/>
      <c r="AR467" s="3"/>
      <c r="AS467" s="1"/>
      <c r="AT467" s="1"/>
      <c r="AU467" s="4"/>
      <c r="AV467" s="4"/>
      <c r="AW467" s="4"/>
      <c r="AX467" s="5"/>
      <c r="AY467" s="4"/>
      <c r="AZ467" s="5"/>
      <c r="BA467" s="1"/>
      <c r="BB467" s="1"/>
      <c r="BC467" s="1"/>
      <c r="BD467" s="6"/>
      <c r="BE467" s="1"/>
      <c r="BF467" s="6"/>
      <c r="BG467" s="6"/>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2"/>
      <c r="AR468" s="3"/>
      <c r="AS468" s="1"/>
      <c r="AT468" s="1"/>
      <c r="AU468" s="4"/>
      <c r="AV468" s="4"/>
      <c r="AW468" s="4"/>
      <c r="AX468" s="5"/>
      <c r="AY468" s="4"/>
      <c r="AZ468" s="5"/>
      <c r="BA468" s="1"/>
      <c r="BB468" s="1"/>
      <c r="BC468" s="1"/>
      <c r="BD468" s="6"/>
      <c r="BE468" s="1"/>
      <c r="BF468" s="6"/>
      <c r="BG468" s="6"/>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2"/>
      <c r="AR469" s="3"/>
      <c r="AS469" s="1"/>
      <c r="AT469" s="1"/>
      <c r="AU469" s="4"/>
      <c r="AV469" s="4"/>
      <c r="AW469" s="4"/>
      <c r="AX469" s="5"/>
      <c r="AY469" s="4"/>
      <c r="AZ469" s="5"/>
      <c r="BA469" s="1"/>
      <c r="BB469" s="1"/>
      <c r="BC469" s="1"/>
      <c r="BD469" s="6"/>
      <c r="BE469" s="1"/>
      <c r="BF469" s="6"/>
      <c r="BG469" s="6"/>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2"/>
      <c r="AR470" s="3"/>
      <c r="AS470" s="1"/>
      <c r="AT470" s="1"/>
      <c r="AU470" s="4"/>
      <c r="AV470" s="4"/>
      <c r="AW470" s="4"/>
      <c r="AX470" s="5"/>
      <c r="AY470" s="4"/>
      <c r="AZ470" s="5"/>
      <c r="BA470" s="1"/>
      <c r="BB470" s="1"/>
      <c r="BC470" s="1"/>
      <c r="BD470" s="6"/>
      <c r="BE470" s="1"/>
      <c r="BF470" s="6"/>
      <c r="BG470" s="6"/>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2"/>
      <c r="AR471" s="3"/>
      <c r="AS471" s="1"/>
      <c r="AT471" s="1"/>
      <c r="AU471" s="4"/>
      <c r="AV471" s="4"/>
      <c r="AW471" s="4"/>
      <c r="AX471" s="5"/>
      <c r="AY471" s="4"/>
      <c r="AZ471" s="5"/>
      <c r="BA471" s="1"/>
      <c r="BB471" s="1"/>
      <c r="BC471" s="1"/>
      <c r="BD471" s="6"/>
      <c r="BE471" s="1"/>
      <c r="BF471" s="6"/>
      <c r="BG471" s="6"/>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2"/>
      <c r="AR472" s="3"/>
      <c r="AS472" s="1"/>
      <c r="AT472" s="1"/>
      <c r="AU472" s="4"/>
      <c r="AV472" s="4"/>
      <c r="AW472" s="4"/>
      <c r="AX472" s="5"/>
      <c r="AY472" s="4"/>
      <c r="AZ472" s="5"/>
      <c r="BA472" s="1"/>
      <c r="BB472" s="1"/>
      <c r="BC472" s="1"/>
      <c r="BD472" s="6"/>
      <c r="BE472" s="1"/>
      <c r="BF472" s="6"/>
      <c r="BG472" s="6"/>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2"/>
      <c r="AR473" s="3"/>
      <c r="AS473" s="1"/>
      <c r="AT473" s="1"/>
      <c r="AU473" s="4"/>
      <c r="AV473" s="4"/>
      <c r="AW473" s="4"/>
      <c r="AX473" s="5"/>
      <c r="AY473" s="4"/>
      <c r="AZ473" s="5"/>
      <c r="BA473" s="1"/>
      <c r="BB473" s="1"/>
      <c r="BC473" s="1"/>
      <c r="BD473" s="6"/>
      <c r="BE473" s="1"/>
      <c r="BF473" s="6"/>
      <c r="BG473" s="6"/>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2"/>
      <c r="AR474" s="3"/>
      <c r="AS474" s="1"/>
      <c r="AT474" s="1"/>
      <c r="AU474" s="4"/>
      <c r="AV474" s="4"/>
      <c r="AW474" s="4"/>
      <c r="AX474" s="5"/>
      <c r="AY474" s="4"/>
      <c r="AZ474" s="5"/>
      <c r="BA474" s="1"/>
      <c r="BB474" s="1"/>
      <c r="BC474" s="1"/>
      <c r="BD474" s="6"/>
      <c r="BE474" s="1"/>
      <c r="BF474" s="6"/>
      <c r="BG474" s="6"/>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2"/>
      <c r="AR475" s="3"/>
      <c r="AS475" s="1"/>
      <c r="AT475" s="1"/>
      <c r="AU475" s="4"/>
      <c r="AV475" s="4"/>
      <c r="AW475" s="4"/>
      <c r="AX475" s="5"/>
      <c r="AY475" s="4"/>
      <c r="AZ475" s="5"/>
      <c r="BA475" s="1"/>
      <c r="BB475" s="1"/>
      <c r="BC475" s="1"/>
      <c r="BD475" s="6"/>
      <c r="BE475" s="1"/>
      <c r="BF475" s="6"/>
      <c r="BG475" s="6"/>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2"/>
      <c r="AR476" s="3"/>
      <c r="AS476" s="1"/>
      <c r="AT476" s="1"/>
      <c r="AU476" s="4"/>
      <c r="AV476" s="4"/>
      <c r="AW476" s="4"/>
      <c r="AX476" s="5"/>
      <c r="AY476" s="4"/>
      <c r="AZ476" s="5"/>
      <c r="BA476" s="1"/>
      <c r="BB476" s="1"/>
      <c r="BC476" s="1"/>
      <c r="BD476" s="6"/>
      <c r="BE476" s="1"/>
      <c r="BF476" s="6"/>
      <c r="BG476" s="6"/>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2"/>
      <c r="AR477" s="3"/>
      <c r="AS477" s="1"/>
      <c r="AT477" s="1"/>
      <c r="AU477" s="4"/>
      <c r="AV477" s="4"/>
      <c r="AW477" s="4"/>
      <c r="AX477" s="5"/>
      <c r="AY477" s="4"/>
      <c r="AZ477" s="5"/>
      <c r="BA477" s="1"/>
      <c r="BB477" s="1"/>
      <c r="BC477" s="1"/>
      <c r="BD477" s="6"/>
      <c r="BE477" s="1"/>
      <c r="BF477" s="6"/>
      <c r="BG477" s="6"/>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2"/>
      <c r="AR478" s="3"/>
      <c r="AS478" s="1"/>
      <c r="AT478" s="1"/>
      <c r="AU478" s="4"/>
      <c r="AV478" s="4"/>
      <c r="AW478" s="4"/>
      <c r="AX478" s="5"/>
      <c r="AY478" s="4"/>
      <c r="AZ478" s="5"/>
      <c r="BA478" s="1"/>
      <c r="BB478" s="1"/>
      <c r="BC478" s="1"/>
      <c r="BD478" s="6"/>
      <c r="BE478" s="1"/>
      <c r="BF478" s="6"/>
      <c r="BG478" s="6"/>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2"/>
      <c r="AR479" s="3"/>
      <c r="AS479" s="1"/>
      <c r="AT479" s="1"/>
      <c r="AU479" s="4"/>
      <c r="AV479" s="4"/>
      <c r="AW479" s="4"/>
      <c r="AX479" s="5"/>
      <c r="AY479" s="4"/>
      <c r="AZ479" s="5"/>
      <c r="BA479" s="1"/>
      <c r="BB479" s="1"/>
      <c r="BC479" s="1"/>
      <c r="BD479" s="6"/>
      <c r="BE479" s="1"/>
      <c r="BF479" s="6"/>
      <c r="BG479" s="6"/>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2"/>
      <c r="AR480" s="3"/>
      <c r="AS480" s="1"/>
      <c r="AT480" s="1"/>
      <c r="AU480" s="4"/>
      <c r="AV480" s="4"/>
      <c r="AW480" s="4"/>
      <c r="AX480" s="5"/>
      <c r="AY480" s="4"/>
      <c r="AZ480" s="5"/>
      <c r="BA480" s="1"/>
      <c r="BB480" s="1"/>
      <c r="BC480" s="1"/>
      <c r="BD480" s="6"/>
      <c r="BE480" s="1"/>
      <c r="BF480" s="6"/>
      <c r="BG480" s="6"/>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2"/>
      <c r="AR481" s="3"/>
      <c r="AS481" s="1"/>
      <c r="AT481" s="1"/>
      <c r="AU481" s="4"/>
      <c r="AV481" s="4"/>
      <c r="AW481" s="4"/>
      <c r="AX481" s="5"/>
      <c r="AY481" s="4"/>
      <c r="AZ481" s="5"/>
      <c r="BA481" s="1"/>
      <c r="BB481" s="1"/>
      <c r="BC481" s="1"/>
      <c r="BD481" s="6"/>
      <c r="BE481" s="1"/>
      <c r="BF481" s="6"/>
      <c r="BG481" s="6"/>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2"/>
      <c r="AR482" s="3"/>
      <c r="AS482" s="1"/>
      <c r="AT482" s="1"/>
      <c r="AU482" s="4"/>
      <c r="AV482" s="4"/>
      <c r="AW482" s="4"/>
      <c r="AX482" s="5"/>
      <c r="AY482" s="4"/>
      <c r="AZ482" s="5"/>
      <c r="BA482" s="1"/>
      <c r="BB482" s="1"/>
      <c r="BC482" s="1"/>
      <c r="BD482" s="6"/>
      <c r="BE482" s="1"/>
      <c r="BF482" s="6"/>
      <c r="BG482" s="6"/>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2"/>
      <c r="AR483" s="3"/>
      <c r="AS483" s="1"/>
      <c r="AT483" s="1"/>
      <c r="AU483" s="4"/>
      <c r="AV483" s="4"/>
      <c r="AW483" s="4"/>
      <c r="AX483" s="5"/>
      <c r="AY483" s="4"/>
      <c r="AZ483" s="5"/>
      <c r="BA483" s="1"/>
      <c r="BB483" s="1"/>
      <c r="BC483" s="1"/>
      <c r="BD483" s="6"/>
      <c r="BE483" s="1"/>
      <c r="BF483" s="6"/>
      <c r="BG483" s="6"/>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2"/>
      <c r="AR484" s="3"/>
      <c r="AS484" s="1"/>
      <c r="AT484" s="1"/>
      <c r="AU484" s="4"/>
      <c r="AV484" s="4"/>
      <c r="AW484" s="4"/>
      <c r="AX484" s="5"/>
      <c r="AY484" s="4"/>
      <c r="AZ484" s="5"/>
      <c r="BA484" s="1"/>
      <c r="BB484" s="1"/>
      <c r="BC484" s="1"/>
      <c r="BD484" s="6"/>
      <c r="BE484" s="1"/>
      <c r="BF484" s="6"/>
      <c r="BG484" s="6"/>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2"/>
      <c r="AR485" s="3"/>
      <c r="AS485" s="1"/>
      <c r="AT485" s="1"/>
      <c r="AU485" s="4"/>
      <c r="AV485" s="4"/>
      <c r="AW485" s="4"/>
      <c r="AX485" s="5"/>
      <c r="AY485" s="4"/>
      <c r="AZ485" s="5"/>
      <c r="BA485" s="1"/>
      <c r="BB485" s="1"/>
      <c r="BC485" s="1"/>
      <c r="BD485" s="6"/>
      <c r="BE485" s="1"/>
      <c r="BF485" s="6"/>
      <c r="BG485" s="6"/>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2"/>
      <c r="AR486" s="3"/>
      <c r="AS486" s="1"/>
      <c r="AT486" s="1"/>
      <c r="AU486" s="4"/>
      <c r="AV486" s="4"/>
      <c r="AW486" s="4"/>
      <c r="AX486" s="5"/>
      <c r="AY486" s="4"/>
      <c r="AZ486" s="5"/>
      <c r="BA486" s="1"/>
      <c r="BB486" s="1"/>
      <c r="BC486" s="1"/>
      <c r="BD486" s="6"/>
      <c r="BE486" s="1"/>
      <c r="BF486" s="6"/>
      <c r="BG486" s="6"/>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2"/>
      <c r="AR487" s="3"/>
      <c r="AS487" s="1"/>
      <c r="AT487" s="1"/>
      <c r="AU487" s="4"/>
      <c r="AV487" s="4"/>
      <c r="AW487" s="4"/>
      <c r="AX487" s="5"/>
      <c r="AY487" s="4"/>
      <c r="AZ487" s="5"/>
      <c r="BA487" s="1"/>
      <c r="BB487" s="1"/>
      <c r="BC487" s="1"/>
      <c r="BD487" s="6"/>
      <c r="BE487" s="1"/>
      <c r="BF487" s="6"/>
      <c r="BG487" s="6"/>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2"/>
      <c r="AR488" s="3"/>
      <c r="AS488" s="1"/>
      <c r="AT488" s="1"/>
      <c r="AU488" s="4"/>
      <c r="AV488" s="4"/>
      <c r="AW488" s="4"/>
      <c r="AX488" s="5"/>
      <c r="AY488" s="4"/>
      <c r="AZ488" s="5"/>
      <c r="BA488" s="1"/>
      <c r="BB488" s="1"/>
      <c r="BC488" s="1"/>
      <c r="BD488" s="6"/>
      <c r="BE488" s="1"/>
      <c r="BF488" s="6"/>
      <c r="BG488" s="6"/>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2"/>
      <c r="AR489" s="3"/>
      <c r="AS489" s="1"/>
      <c r="AT489" s="1"/>
      <c r="AU489" s="4"/>
      <c r="AV489" s="4"/>
      <c r="AW489" s="4"/>
      <c r="AX489" s="5"/>
      <c r="AY489" s="4"/>
      <c r="AZ489" s="5"/>
      <c r="BA489" s="1"/>
      <c r="BB489" s="1"/>
      <c r="BC489" s="1"/>
      <c r="BD489" s="6"/>
      <c r="BE489" s="1"/>
      <c r="BF489" s="6"/>
      <c r="BG489" s="6"/>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2"/>
      <c r="AR490" s="3"/>
      <c r="AS490" s="1"/>
      <c r="AT490" s="1"/>
      <c r="AU490" s="4"/>
      <c r="AV490" s="4"/>
      <c r="AW490" s="4"/>
      <c r="AX490" s="5"/>
      <c r="AY490" s="4"/>
      <c r="AZ490" s="5"/>
      <c r="BA490" s="1"/>
      <c r="BB490" s="1"/>
      <c r="BC490" s="1"/>
      <c r="BD490" s="6"/>
      <c r="BE490" s="1"/>
      <c r="BF490" s="6"/>
      <c r="BG490" s="6"/>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2"/>
      <c r="AR491" s="3"/>
      <c r="AS491" s="1"/>
      <c r="AT491" s="1"/>
      <c r="AU491" s="4"/>
      <c r="AV491" s="4"/>
      <c r="AW491" s="4"/>
      <c r="AX491" s="5"/>
      <c r="AY491" s="4"/>
      <c r="AZ491" s="5"/>
      <c r="BA491" s="1"/>
      <c r="BB491" s="1"/>
      <c r="BC491" s="1"/>
      <c r="BD491" s="6"/>
      <c r="BE491" s="1"/>
      <c r="BF491" s="6"/>
      <c r="BG491" s="6"/>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2"/>
      <c r="AR492" s="3"/>
      <c r="AS492" s="1"/>
      <c r="AT492" s="1"/>
      <c r="AU492" s="4"/>
      <c r="AV492" s="4"/>
      <c r="AW492" s="4"/>
      <c r="AX492" s="5"/>
      <c r="AY492" s="4"/>
      <c r="AZ492" s="5"/>
      <c r="BA492" s="1"/>
      <c r="BB492" s="1"/>
      <c r="BC492" s="1"/>
      <c r="BD492" s="6"/>
      <c r="BE492" s="1"/>
      <c r="BF492" s="6"/>
      <c r="BG492" s="6"/>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2"/>
      <c r="AR493" s="3"/>
      <c r="AS493" s="1"/>
      <c r="AT493" s="1"/>
      <c r="AU493" s="4"/>
      <c r="AV493" s="4"/>
      <c r="AW493" s="4"/>
      <c r="AX493" s="5"/>
      <c r="AY493" s="4"/>
      <c r="AZ493" s="5"/>
      <c r="BA493" s="1"/>
      <c r="BB493" s="1"/>
      <c r="BC493" s="1"/>
      <c r="BD493" s="6"/>
      <c r="BE493" s="1"/>
      <c r="BF493" s="6"/>
      <c r="BG493" s="6"/>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2"/>
      <c r="AR494" s="3"/>
      <c r="AS494" s="1"/>
      <c r="AT494" s="1"/>
      <c r="AU494" s="4"/>
      <c r="AV494" s="4"/>
      <c r="AW494" s="4"/>
      <c r="AX494" s="5"/>
      <c r="AY494" s="4"/>
      <c r="AZ494" s="5"/>
      <c r="BA494" s="1"/>
      <c r="BB494" s="1"/>
      <c r="BC494" s="1"/>
      <c r="BD494" s="6"/>
      <c r="BE494" s="1"/>
      <c r="BF494" s="6"/>
      <c r="BG494" s="6"/>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2"/>
      <c r="AR495" s="3"/>
      <c r="AS495" s="1"/>
      <c r="AT495" s="1"/>
      <c r="AU495" s="4"/>
      <c r="AV495" s="4"/>
      <c r="AW495" s="4"/>
      <c r="AX495" s="5"/>
      <c r="AY495" s="4"/>
      <c r="AZ495" s="5"/>
      <c r="BA495" s="1"/>
      <c r="BB495" s="1"/>
      <c r="BC495" s="1"/>
      <c r="BD495" s="6"/>
      <c r="BE495" s="1"/>
      <c r="BF495" s="6"/>
      <c r="BG495" s="6"/>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2"/>
      <c r="AR496" s="3"/>
      <c r="AS496" s="1"/>
      <c r="AT496" s="1"/>
      <c r="AU496" s="4"/>
      <c r="AV496" s="4"/>
      <c r="AW496" s="4"/>
      <c r="AX496" s="5"/>
      <c r="AY496" s="4"/>
      <c r="AZ496" s="5"/>
      <c r="BA496" s="1"/>
      <c r="BB496" s="1"/>
      <c r="BC496" s="1"/>
      <c r="BD496" s="6"/>
      <c r="BE496" s="1"/>
      <c r="BF496" s="6"/>
      <c r="BG496" s="6"/>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2"/>
      <c r="AR497" s="3"/>
      <c r="AS497" s="1"/>
      <c r="AT497" s="1"/>
      <c r="AU497" s="4"/>
      <c r="AV497" s="4"/>
      <c r="AW497" s="4"/>
      <c r="AX497" s="5"/>
      <c r="AY497" s="4"/>
      <c r="AZ497" s="5"/>
      <c r="BA497" s="1"/>
      <c r="BB497" s="1"/>
      <c r="BC497" s="1"/>
      <c r="BD497" s="6"/>
      <c r="BE497" s="1"/>
      <c r="BF497" s="6"/>
      <c r="BG497" s="6"/>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2"/>
      <c r="AR498" s="3"/>
      <c r="AS498" s="1"/>
      <c r="AT498" s="1"/>
      <c r="AU498" s="4"/>
      <c r="AV498" s="4"/>
      <c r="AW498" s="4"/>
      <c r="AX498" s="5"/>
      <c r="AY498" s="4"/>
      <c r="AZ498" s="5"/>
      <c r="BA498" s="1"/>
      <c r="BB498" s="1"/>
      <c r="BC498" s="1"/>
      <c r="BD498" s="6"/>
      <c r="BE498" s="1"/>
      <c r="BF498" s="6"/>
      <c r="BG498" s="6"/>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2"/>
      <c r="AR499" s="3"/>
      <c r="AS499" s="1"/>
      <c r="AT499" s="1"/>
      <c r="AU499" s="4"/>
      <c r="AV499" s="4"/>
      <c r="AW499" s="4"/>
      <c r="AX499" s="5"/>
      <c r="AY499" s="4"/>
      <c r="AZ499" s="5"/>
      <c r="BA499" s="1"/>
      <c r="BB499" s="1"/>
      <c r="BC499" s="1"/>
      <c r="BD499" s="6"/>
      <c r="BE499" s="1"/>
      <c r="BF499" s="6"/>
      <c r="BG499" s="6"/>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2"/>
      <c r="AR500" s="3"/>
      <c r="AS500" s="1"/>
      <c r="AT500" s="1"/>
      <c r="AU500" s="4"/>
      <c r="AV500" s="4"/>
      <c r="AW500" s="4"/>
      <c r="AX500" s="5"/>
      <c r="AY500" s="4"/>
      <c r="AZ500" s="5"/>
      <c r="BA500" s="1"/>
      <c r="BB500" s="1"/>
      <c r="BC500" s="1"/>
      <c r="BD500" s="6"/>
      <c r="BE500" s="1"/>
      <c r="BF500" s="6"/>
      <c r="BG500" s="6"/>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2"/>
      <c r="AR501" s="3"/>
      <c r="AS501" s="1"/>
      <c r="AT501" s="1"/>
      <c r="AU501" s="4"/>
      <c r="AV501" s="4"/>
      <c r="AW501" s="4"/>
      <c r="AX501" s="5"/>
      <c r="AY501" s="4"/>
      <c r="AZ501" s="5"/>
      <c r="BA501" s="1"/>
      <c r="BB501" s="1"/>
      <c r="BC501" s="1"/>
      <c r="BD501" s="6"/>
      <c r="BE501" s="1"/>
      <c r="BF501" s="6"/>
      <c r="BG501" s="6"/>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2"/>
      <c r="AR502" s="3"/>
      <c r="AS502" s="1"/>
      <c r="AT502" s="1"/>
      <c r="AU502" s="4"/>
      <c r="AV502" s="4"/>
      <c r="AW502" s="4"/>
      <c r="AX502" s="5"/>
      <c r="AY502" s="4"/>
      <c r="AZ502" s="5"/>
      <c r="BA502" s="1"/>
      <c r="BB502" s="1"/>
      <c r="BC502" s="1"/>
      <c r="BD502" s="6"/>
      <c r="BE502" s="1"/>
      <c r="BF502" s="6"/>
      <c r="BG502" s="6"/>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2"/>
      <c r="AR503" s="3"/>
      <c r="AS503" s="1"/>
      <c r="AT503" s="1"/>
      <c r="AU503" s="4"/>
      <c r="AV503" s="4"/>
      <c r="AW503" s="4"/>
      <c r="AX503" s="5"/>
      <c r="AY503" s="4"/>
      <c r="AZ503" s="5"/>
      <c r="BA503" s="1"/>
      <c r="BB503" s="1"/>
      <c r="BC503" s="1"/>
      <c r="BD503" s="6"/>
      <c r="BE503" s="1"/>
      <c r="BF503" s="6"/>
      <c r="BG503" s="6"/>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2"/>
      <c r="AR504" s="3"/>
      <c r="AS504" s="1"/>
      <c r="AT504" s="1"/>
      <c r="AU504" s="4"/>
      <c r="AV504" s="4"/>
      <c r="AW504" s="4"/>
      <c r="AX504" s="5"/>
      <c r="AY504" s="4"/>
      <c r="AZ504" s="5"/>
      <c r="BA504" s="1"/>
      <c r="BB504" s="1"/>
      <c r="BC504" s="1"/>
      <c r="BD504" s="6"/>
      <c r="BE504" s="1"/>
      <c r="BF504" s="6"/>
      <c r="BG504" s="6"/>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2"/>
      <c r="AR505" s="3"/>
      <c r="AS505" s="1"/>
      <c r="AT505" s="1"/>
      <c r="AU505" s="4"/>
      <c r="AV505" s="4"/>
      <c r="AW505" s="4"/>
      <c r="AX505" s="5"/>
      <c r="AY505" s="4"/>
      <c r="AZ505" s="5"/>
      <c r="BA505" s="1"/>
      <c r="BB505" s="1"/>
      <c r="BC505" s="1"/>
      <c r="BD505" s="6"/>
      <c r="BE505" s="1"/>
      <c r="BF505" s="6"/>
      <c r="BG505" s="6"/>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2"/>
      <c r="AR506" s="3"/>
      <c r="AS506" s="1"/>
      <c r="AT506" s="1"/>
      <c r="AU506" s="4"/>
      <c r="AV506" s="4"/>
      <c r="AW506" s="4"/>
      <c r="AX506" s="5"/>
      <c r="AY506" s="4"/>
      <c r="AZ506" s="5"/>
      <c r="BA506" s="1"/>
      <c r="BB506" s="1"/>
      <c r="BC506" s="1"/>
      <c r="BD506" s="6"/>
      <c r="BE506" s="1"/>
      <c r="BF506" s="6"/>
      <c r="BG506" s="6"/>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2"/>
      <c r="AR507" s="3"/>
      <c r="AS507" s="1"/>
      <c r="AT507" s="1"/>
      <c r="AU507" s="4"/>
      <c r="AV507" s="4"/>
      <c r="AW507" s="4"/>
      <c r="AX507" s="5"/>
      <c r="AY507" s="4"/>
      <c r="AZ507" s="5"/>
      <c r="BA507" s="1"/>
      <c r="BB507" s="1"/>
      <c r="BC507" s="1"/>
      <c r="BD507" s="6"/>
      <c r="BE507" s="1"/>
      <c r="BF507" s="6"/>
      <c r="BG507" s="6"/>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2"/>
      <c r="AR508" s="3"/>
      <c r="AS508" s="1"/>
      <c r="AT508" s="1"/>
      <c r="AU508" s="4"/>
      <c r="AV508" s="4"/>
      <c r="AW508" s="4"/>
      <c r="AX508" s="5"/>
      <c r="AY508" s="4"/>
      <c r="AZ508" s="5"/>
      <c r="BA508" s="1"/>
      <c r="BB508" s="1"/>
      <c r="BC508" s="1"/>
      <c r="BD508" s="6"/>
      <c r="BE508" s="1"/>
      <c r="BF508" s="6"/>
      <c r="BG508" s="6"/>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2"/>
      <c r="AR509" s="3"/>
      <c r="AS509" s="1"/>
      <c r="AT509" s="1"/>
      <c r="AU509" s="4"/>
      <c r="AV509" s="4"/>
      <c r="AW509" s="4"/>
      <c r="AX509" s="5"/>
      <c r="AY509" s="4"/>
      <c r="AZ509" s="5"/>
      <c r="BA509" s="1"/>
      <c r="BB509" s="1"/>
      <c r="BC509" s="1"/>
      <c r="BD509" s="6"/>
      <c r="BE509" s="1"/>
      <c r="BF509" s="6"/>
      <c r="BG509" s="6"/>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2"/>
      <c r="AR510" s="3"/>
      <c r="AS510" s="1"/>
      <c r="AT510" s="1"/>
      <c r="AU510" s="4"/>
      <c r="AV510" s="4"/>
      <c r="AW510" s="4"/>
      <c r="AX510" s="5"/>
      <c r="AY510" s="4"/>
      <c r="AZ510" s="5"/>
      <c r="BA510" s="1"/>
      <c r="BB510" s="1"/>
      <c r="BC510" s="1"/>
      <c r="BD510" s="6"/>
      <c r="BE510" s="1"/>
      <c r="BF510" s="6"/>
      <c r="BG510" s="6"/>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2"/>
      <c r="AR511" s="3"/>
      <c r="AS511" s="1"/>
      <c r="AT511" s="1"/>
      <c r="AU511" s="4"/>
      <c r="AV511" s="4"/>
      <c r="AW511" s="4"/>
      <c r="AX511" s="5"/>
      <c r="AY511" s="4"/>
      <c r="AZ511" s="5"/>
      <c r="BA511" s="1"/>
      <c r="BB511" s="1"/>
      <c r="BC511" s="1"/>
      <c r="BD511" s="6"/>
      <c r="BE511" s="1"/>
      <c r="BF511" s="6"/>
      <c r="BG511" s="6"/>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2"/>
      <c r="AR512" s="3"/>
      <c r="AS512" s="1"/>
      <c r="AT512" s="1"/>
      <c r="AU512" s="4"/>
      <c r="AV512" s="4"/>
      <c r="AW512" s="4"/>
      <c r="AX512" s="5"/>
      <c r="AY512" s="4"/>
      <c r="AZ512" s="5"/>
      <c r="BA512" s="1"/>
      <c r="BB512" s="1"/>
      <c r="BC512" s="1"/>
      <c r="BD512" s="6"/>
      <c r="BE512" s="1"/>
      <c r="BF512" s="6"/>
      <c r="BG512" s="6"/>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2"/>
      <c r="AR513" s="3"/>
      <c r="AS513" s="1"/>
      <c r="AT513" s="1"/>
      <c r="AU513" s="4"/>
      <c r="AV513" s="4"/>
      <c r="AW513" s="4"/>
      <c r="AX513" s="5"/>
      <c r="AY513" s="4"/>
      <c r="AZ513" s="5"/>
      <c r="BA513" s="1"/>
      <c r="BB513" s="1"/>
      <c r="BC513" s="1"/>
      <c r="BD513" s="6"/>
      <c r="BE513" s="1"/>
      <c r="BF513" s="6"/>
      <c r="BG513" s="6"/>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2"/>
      <c r="AR514" s="3"/>
      <c r="AS514" s="1"/>
      <c r="AT514" s="1"/>
      <c r="AU514" s="4"/>
      <c r="AV514" s="4"/>
      <c r="AW514" s="4"/>
      <c r="AX514" s="5"/>
      <c r="AY514" s="4"/>
      <c r="AZ514" s="5"/>
      <c r="BA514" s="1"/>
      <c r="BB514" s="1"/>
      <c r="BC514" s="1"/>
      <c r="BD514" s="6"/>
      <c r="BE514" s="1"/>
      <c r="BF514" s="6"/>
      <c r="BG514" s="6"/>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2"/>
      <c r="AR515" s="3"/>
      <c r="AS515" s="1"/>
      <c r="AT515" s="1"/>
      <c r="AU515" s="4"/>
      <c r="AV515" s="4"/>
      <c r="AW515" s="4"/>
      <c r="AX515" s="5"/>
      <c r="AY515" s="4"/>
      <c r="AZ515" s="5"/>
      <c r="BA515" s="1"/>
      <c r="BB515" s="1"/>
      <c r="BC515" s="1"/>
      <c r="BD515" s="6"/>
      <c r="BE515" s="1"/>
      <c r="BF515" s="6"/>
      <c r="BG515" s="6"/>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2"/>
      <c r="AR516" s="3"/>
      <c r="AS516" s="1"/>
      <c r="AT516" s="1"/>
      <c r="AU516" s="4"/>
      <c r="AV516" s="4"/>
      <c r="AW516" s="4"/>
      <c r="AX516" s="5"/>
      <c r="AY516" s="4"/>
      <c r="AZ516" s="5"/>
      <c r="BA516" s="1"/>
      <c r="BB516" s="1"/>
      <c r="BC516" s="1"/>
      <c r="BD516" s="6"/>
      <c r="BE516" s="1"/>
      <c r="BF516" s="6"/>
      <c r="BG516" s="6"/>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2"/>
      <c r="AR517" s="3"/>
      <c r="AS517" s="1"/>
      <c r="AT517" s="1"/>
      <c r="AU517" s="4"/>
      <c r="AV517" s="4"/>
      <c r="AW517" s="4"/>
      <c r="AX517" s="5"/>
      <c r="AY517" s="4"/>
      <c r="AZ517" s="5"/>
      <c r="BA517" s="1"/>
      <c r="BB517" s="1"/>
      <c r="BC517" s="1"/>
      <c r="BD517" s="6"/>
      <c r="BE517" s="1"/>
      <c r="BF517" s="6"/>
      <c r="BG517" s="6"/>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2"/>
      <c r="AR518" s="3"/>
      <c r="AS518" s="1"/>
      <c r="AT518" s="1"/>
      <c r="AU518" s="4"/>
      <c r="AV518" s="4"/>
      <c r="AW518" s="4"/>
      <c r="AX518" s="5"/>
      <c r="AY518" s="4"/>
      <c r="AZ518" s="5"/>
      <c r="BA518" s="1"/>
      <c r="BB518" s="1"/>
      <c r="BC518" s="1"/>
      <c r="BD518" s="6"/>
      <c r="BE518" s="1"/>
      <c r="BF518" s="6"/>
      <c r="BG518" s="6"/>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2"/>
      <c r="AR519" s="3"/>
      <c r="AS519" s="1"/>
      <c r="AT519" s="1"/>
      <c r="AU519" s="4"/>
      <c r="AV519" s="4"/>
      <c r="AW519" s="4"/>
      <c r="AX519" s="5"/>
      <c r="AY519" s="4"/>
      <c r="AZ519" s="5"/>
      <c r="BA519" s="1"/>
      <c r="BB519" s="1"/>
      <c r="BC519" s="1"/>
      <c r="BD519" s="6"/>
      <c r="BE519" s="1"/>
      <c r="BF519" s="6"/>
      <c r="BG519" s="6"/>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2"/>
      <c r="AR520" s="3"/>
      <c r="AS520" s="1"/>
      <c r="AT520" s="1"/>
      <c r="AU520" s="4"/>
      <c r="AV520" s="4"/>
      <c r="AW520" s="4"/>
      <c r="AX520" s="5"/>
      <c r="AY520" s="4"/>
      <c r="AZ520" s="5"/>
      <c r="BA520" s="1"/>
      <c r="BB520" s="1"/>
      <c r="BC520" s="1"/>
      <c r="BD520" s="6"/>
      <c r="BE520" s="1"/>
      <c r="BF520" s="6"/>
      <c r="BG520" s="6"/>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2"/>
      <c r="AR521" s="3"/>
      <c r="AS521" s="1"/>
      <c r="AT521" s="1"/>
      <c r="AU521" s="4"/>
      <c r="AV521" s="4"/>
      <c r="AW521" s="4"/>
      <c r="AX521" s="5"/>
      <c r="AY521" s="4"/>
      <c r="AZ521" s="5"/>
      <c r="BA521" s="1"/>
      <c r="BB521" s="1"/>
      <c r="BC521" s="1"/>
      <c r="BD521" s="6"/>
      <c r="BE521" s="1"/>
      <c r="BF521" s="6"/>
      <c r="BG521" s="6"/>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2"/>
      <c r="AR522" s="3"/>
      <c r="AS522" s="1"/>
      <c r="AT522" s="1"/>
      <c r="AU522" s="4"/>
      <c r="AV522" s="4"/>
      <c r="AW522" s="4"/>
      <c r="AX522" s="5"/>
      <c r="AY522" s="4"/>
      <c r="AZ522" s="5"/>
      <c r="BA522" s="1"/>
      <c r="BB522" s="1"/>
      <c r="BC522" s="1"/>
      <c r="BD522" s="6"/>
      <c r="BE522" s="1"/>
      <c r="BF522" s="6"/>
      <c r="BG522" s="6"/>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2"/>
      <c r="AR523" s="3"/>
      <c r="AS523" s="1"/>
      <c r="AT523" s="1"/>
      <c r="AU523" s="4"/>
      <c r="AV523" s="4"/>
      <c r="AW523" s="4"/>
      <c r="AX523" s="5"/>
      <c r="AY523" s="4"/>
      <c r="AZ523" s="5"/>
      <c r="BA523" s="1"/>
      <c r="BB523" s="1"/>
      <c r="BC523" s="1"/>
      <c r="BD523" s="6"/>
      <c r="BE523" s="1"/>
      <c r="BF523" s="6"/>
      <c r="BG523" s="6"/>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2"/>
      <c r="AR524" s="3"/>
      <c r="AS524" s="1"/>
      <c r="AT524" s="1"/>
      <c r="AU524" s="4"/>
      <c r="AV524" s="4"/>
      <c r="AW524" s="4"/>
      <c r="AX524" s="5"/>
      <c r="AY524" s="4"/>
      <c r="AZ524" s="5"/>
      <c r="BA524" s="1"/>
      <c r="BB524" s="1"/>
      <c r="BC524" s="1"/>
      <c r="BD524" s="6"/>
      <c r="BE524" s="1"/>
      <c r="BF524" s="6"/>
      <c r="BG524" s="6"/>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2"/>
      <c r="AR525" s="3"/>
      <c r="AS525" s="1"/>
      <c r="AT525" s="1"/>
      <c r="AU525" s="4"/>
      <c r="AV525" s="4"/>
      <c r="AW525" s="4"/>
      <c r="AX525" s="5"/>
      <c r="AY525" s="4"/>
      <c r="AZ525" s="5"/>
      <c r="BA525" s="1"/>
      <c r="BB525" s="1"/>
      <c r="BC525" s="1"/>
      <c r="BD525" s="6"/>
      <c r="BE525" s="1"/>
      <c r="BF525" s="6"/>
      <c r="BG525" s="6"/>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2"/>
      <c r="AR526" s="3"/>
      <c r="AS526" s="1"/>
      <c r="AT526" s="1"/>
      <c r="AU526" s="4"/>
      <c r="AV526" s="4"/>
      <c r="AW526" s="4"/>
      <c r="AX526" s="5"/>
      <c r="AY526" s="4"/>
      <c r="AZ526" s="5"/>
      <c r="BA526" s="1"/>
      <c r="BB526" s="1"/>
      <c r="BC526" s="1"/>
      <c r="BD526" s="6"/>
      <c r="BE526" s="1"/>
      <c r="BF526" s="6"/>
      <c r="BG526" s="6"/>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2"/>
      <c r="AR527" s="3"/>
      <c r="AS527" s="1"/>
      <c r="AT527" s="1"/>
      <c r="AU527" s="4"/>
      <c r="AV527" s="4"/>
      <c r="AW527" s="4"/>
      <c r="AX527" s="5"/>
      <c r="AY527" s="4"/>
      <c r="AZ527" s="5"/>
      <c r="BA527" s="1"/>
      <c r="BB527" s="1"/>
      <c r="BC527" s="1"/>
      <c r="BD527" s="6"/>
      <c r="BE527" s="1"/>
      <c r="BF527" s="6"/>
      <c r="BG527" s="6"/>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2"/>
      <c r="AR528" s="3"/>
      <c r="AS528" s="1"/>
      <c r="AT528" s="1"/>
      <c r="AU528" s="4"/>
      <c r="AV528" s="4"/>
      <c r="AW528" s="4"/>
      <c r="AX528" s="5"/>
      <c r="AY528" s="4"/>
      <c r="AZ528" s="5"/>
      <c r="BA528" s="1"/>
      <c r="BB528" s="1"/>
      <c r="BC528" s="1"/>
      <c r="BD528" s="6"/>
      <c r="BE528" s="1"/>
      <c r="BF528" s="6"/>
      <c r="BG528" s="6"/>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2"/>
      <c r="AR529" s="3"/>
      <c r="AS529" s="1"/>
      <c r="AT529" s="1"/>
      <c r="AU529" s="4"/>
      <c r="AV529" s="4"/>
      <c r="AW529" s="4"/>
      <c r="AX529" s="5"/>
      <c r="AY529" s="4"/>
      <c r="AZ529" s="5"/>
      <c r="BA529" s="1"/>
      <c r="BB529" s="1"/>
      <c r="BC529" s="1"/>
      <c r="BD529" s="6"/>
      <c r="BE529" s="1"/>
      <c r="BF529" s="6"/>
      <c r="BG529" s="6"/>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2"/>
      <c r="AR530" s="3"/>
      <c r="AS530" s="1"/>
      <c r="AT530" s="1"/>
      <c r="AU530" s="4"/>
      <c r="AV530" s="4"/>
      <c r="AW530" s="4"/>
      <c r="AX530" s="5"/>
      <c r="AY530" s="4"/>
      <c r="AZ530" s="5"/>
      <c r="BA530" s="1"/>
      <c r="BB530" s="1"/>
      <c r="BC530" s="1"/>
      <c r="BD530" s="6"/>
      <c r="BE530" s="1"/>
      <c r="BF530" s="6"/>
      <c r="BG530" s="6"/>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2"/>
      <c r="AR531" s="3"/>
      <c r="AS531" s="1"/>
      <c r="AT531" s="1"/>
      <c r="AU531" s="4"/>
      <c r="AV531" s="4"/>
      <c r="AW531" s="4"/>
      <c r="AX531" s="5"/>
      <c r="AY531" s="4"/>
      <c r="AZ531" s="5"/>
      <c r="BA531" s="1"/>
      <c r="BB531" s="1"/>
      <c r="BC531" s="1"/>
      <c r="BD531" s="6"/>
      <c r="BE531" s="1"/>
      <c r="BF531" s="6"/>
      <c r="BG531" s="6"/>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2"/>
      <c r="AR532" s="3"/>
      <c r="AS532" s="1"/>
      <c r="AT532" s="1"/>
      <c r="AU532" s="4"/>
      <c r="AV532" s="4"/>
      <c r="AW532" s="4"/>
      <c r="AX532" s="5"/>
      <c r="AY532" s="4"/>
      <c r="AZ532" s="5"/>
      <c r="BA532" s="1"/>
      <c r="BB532" s="1"/>
      <c r="BC532" s="1"/>
      <c r="BD532" s="6"/>
      <c r="BE532" s="1"/>
      <c r="BF532" s="6"/>
      <c r="BG532" s="6"/>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2"/>
      <c r="AR533" s="3"/>
      <c r="AS533" s="1"/>
      <c r="AT533" s="1"/>
      <c r="AU533" s="4"/>
      <c r="AV533" s="4"/>
      <c r="AW533" s="4"/>
      <c r="AX533" s="5"/>
      <c r="AY533" s="4"/>
      <c r="AZ533" s="5"/>
      <c r="BA533" s="1"/>
      <c r="BB533" s="1"/>
      <c r="BC533" s="1"/>
      <c r="BD533" s="6"/>
      <c r="BE533" s="1"/>
      <c r="BF533" s="6"/>
      <c r="BG533" s="6"/>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2"/>
      <c r="AR534" s="3"/>
      <c r="AS534" s="1"/>
      <c r="AT534" s="1"/>
      <c r="AU534" s="4"/>
      <c r="AV534" s="4"/>
      <c r="AW534" s="4"/>
      <c r="AX534" s="5"/>
      <c r="AY534" s="4"/>
      <c r="AZ534" s="5"/>
      <c r="BA534" s="1"/>
      <c r="BB534" s="1"/>
      <c r="BC534" s="1"/>
      <c r="BD534" s="6"/>
      <c r="BE534" s="1"/>
      <c r="BF534" s="6"/>
      <c r="BG534" s="6"/>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2"/>
      <c r="AR535" s="3"/>
      <c r="AS535" s="1"/>
      <c r="AT535" s="1"/>
      <c r="AU535" s="4"/>
      <c r="AV535" s="4"/>
      <c r="AW535" s="4"/>
      <c r="AX535" s="5"/>
      <c r="AY535" s="4"/>
      <c r="AZ535" s="5"/>
      <c r="BA535" s="1"/>
      <c r="BB535" s="1"/>
      <c r="BC535" s="1"/>
      <c r="BD535" s="6"/>
      <c r="BE535" s="1"/>
      <c r="BF535" s="6"/>
      <c r="BG535" s="6"/>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2"/>
      <c r="AR536" s="3"/>
      <c r="AS536" s="1"/>
      <c r="AT536" s="1"/>
      <c r="AU536" s="4"/>
      <c r="AV536" s="4"/>
      <c r="AW536" s="4"/>
      <c r="AX536" s="5"/>
      <c r="AY536" s="4"/>
      <c r="AZ536" s="5"/>
      <c r="BA536" s="1"/>
      <c r="BB536" s="1"/>
      <c r="BC536" s="1"/>
      <c r="BD536" s="6"/>
      <c r="BE536" s="1"/>
      <c r="BF536" s="6"/>
      <c r="BG536" s="6"/>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2"/>
      <c r="AR537" s="3"/>
      <c r="AS537" s="1"/>
      <c r="AT537" s="1"/>
      <c r="AU537" s="4"/>
      <c r="AV537" s="4"/>
      <c r="AW537" s="4"/>
      <c r="AX537" s="5"/>
      <c r="AY537" s="4"/>
      <c r="AZ537" s="5"/>
      <c r="BA537" s="1"/>
      <c r="BB537" s="1"/>
      <c r="BC537" s="1"/>
      <c r="BD537" s="6"/>
      <c r="BE537" s="1"/>
      <c r="BF537" s="6"/>
      <c r="BG537" s="6"/>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2"/>
      <c r="AR538" s="3"/>
      <c r="AS538" s="1"/>
      <c r="AT538" s="1"/>
      <c r="AU538" s="4"/>
      <c r="AV538" s="4"/>
      <c r="AW538" s="4"/>
      <c r="AX538" s="5"/>
      <c r="AY538" s="4"/>
      <c r="AZ538" s="5"/>
      <c r="BA538" s="1"/>
      <c r="BB538" s="1"/>
      <c r="BC538" s="1"/>
      <c r="BD538" s="6"/>
      <c r="BE538" s="1"/>
      <c r="BF538" s="6"/>
      <c r="BG538" s="6"/>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2"/>
      <c r="AR539" s="3"/>
      <c r="AS539" s="1"/>
      <c r="AT539" s="1"/>
      <c r="AU539" s="4"/>
      <c r="AV539" s="4"/>
      <c r="AW539" s="4"/>
      <c r="AX539" s="5"/>
      <c r="AY539" s="4"/>
      <c r="AZ539" s="5"/>
      <c r="BA539" s="1"/>
      <c r="BB539" s="1"/>
      <c r="BC539" s="1"/>
      <c r="BD539" s="6"/>
      <c r="BE539" s="1"/>
      <c r="BF539" s="6"/>
      <c r="BG539" s="6"/>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2"/>
      <c r="AR540" s="3"/>
      <c r="AS540" s="1"/>
      <c r="AT540" s="1"/>
      <c r="AU540" s="4"/>
      <c r="AV540" s="4"/>
      <c r="AW540" s="4"/>
      <c r="AX540" s="5"/>
      <c r="AY540" s="4"/>
      <c r="AZ540" s="5"/>
      <c r="BA540" s="1"/>
      <c r="BB540" s="1"/>
      <c r="BC540" s="1"/>
      <c r="BD540" s="6"/>
      <c r="BE540" s="1"/>
      <c r="BF540" s="6"/>
      <c r="BG540" s="6"/>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2"/>
      <c r="AR541" s="3"/>
      <c r="AS541" s="1"/>
      <c r="AT541" s="1"/>
      <c r="AU541" s="4"/>
      <c r="AV541" s="4"/>
      <c r="AW541" s="4"/>
      <c r="AX541" s="5"/>
      <c r="AY541" s="4"/>
      <c r="AZ541" s="5"/>
      <c r="BA541" s="1"/>
      <c r="BB541" s="1"/>
      <c r="BC541" s="1"/>
      <c r="BD541" s="6"/>
      <c r="BE541" s="1"/>
      <c r="BF541" s="6"/>
      <c r="BG541" s="6"/>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2"/>
      <c r="AR542" s="3"/>
      <c r="AS542" s="1"/>
      <c r="AT542" s="1"/>
      <c r="AU542" s="4"/>
      <c r="AV542" s="4"/>
      <c r="AW542" s="4"/>
      <c r="AX542" s="5"/>
      <c r="AY542" s="4"/>
      <c r="AZ542" s="5"/>
      <c r="BA542" s="1"/>
      <c r="BB542" s="1"/>
      <c r="BC542" s="1"/>
      <c r="BD542" s="6"/>
      <c r="BE542" s="1"/>
      <c r="BF542" s="6"/>
      <c r="BG542" s="6"/>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2"/>
      <c r="AR543" s="3"/>
      <c r="AS543" s="1"/>
      <c r="AT543" s="1"/>
      <c r="AU543" s="4"/>
      <c r="AV543" s="4"/>
      <c r="AW543" s="4"/>
      <c r="AX543" s="5"/>
      <c r="AY543" s="4"/>
      <c r="AZ543" s="5"/>
      <c r="BA543" s="1"/>
      <c r="BB543" s="1"/>
      <c r="BC543" s="1"/>
      <c r="BD543" s="6"/>
      <c r="BE543" s="1"/>
      <c r="BF543" s="6"/>
      <c r="BG543" s="6"/>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2"/>
      <c r="AR544" s="3"/>
      <c r="AS544" s="1"/>
      <c r="AT544" s="1"/>
      <c r="AU544" s="4"/>
      <c r="AV544" s="4"/>
      <c r="AW544" s="4"/>
      <c r="AX544" s="5"/>
      <c r="AY544" s="4"/>
      <c r="AZ544" s="5"/>
      <c r="BA544" s="1"/>
      <c r="BB544" s="1"/>
      <c r="BC544" s="1"/>
      <c r="BD544" s="6"/>
      <c r="BE544" s="1"/>
      <c r="BF544" s="6"/>
      <c r="BG544" s="6"/>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2"/>
      <c r="AR545" s="3"/>
      <c r="AS545" s="1"/>
      <c r="AT545" s="1"/>
      <c r="AU545" s="4"/>
      <c r="AV545" s="4"/>
      <c r="AW545" s="4"/>
      <c r="AX545" s="5"/>
      <c r="AY545" s="4"/>
      <c r="AZ545" s="5"/>
      <c r="BA545" s="1"/>
      <c r="BB545" s="1"/>
      <c r="BC545" s="1"/>
      <c r="BD545" s="6"/>
      <c r="BE545" s="1"/>
      <c r="BF545" s="6"/>
      <c r="BG545" s="6"/>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2"/>
      <c r="AR546" s="3"/>
      <c r="AS546" s="1"/>
      <c r="AT546" s="1"/>
      <c r="AU546" s="4"/>
      <c r="AV546" s="4"/>
      <c r="AW546" s="4"/>
      <c r="AX546" s="5"/>
      <c r="AY546" s="4"/>
      <c r="AZ546" s="5"/>
      <c r="BA546" s="1"/>
      <c r="BB546" s="1"/>
      <c r="BC546" s="1"/>
      <c r="BD546" s="6"/>
      <c r="BE546" s="1"/>
      <c r="BF546" s="6"/>
      <c r="BG546" s="6"/>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2"/>
      <c r="AR547" s="3"/>
      <c r="AS547" s="1"/>
      <c r="AT547" s="1"/>
      <c r="AU547" s="4"/>
      <c r="AV547" s="4"/>
      <c r="AW547" s="4"/>
      <c r="AX547" s="5"/>
      <c r="AY547" s="4"/>
      <c r="AZ547" s="5"/>
      <c r="BA547" s="1"/>
      <c r="BB547" s="1"/>
      <c r="BC547" s="1"/>
      <c r="BD547" s="6"/>
      <c r="BE547" s="1"/>
      <c r="BF547" s="6"/>
      <c r="BG547" s="6"/>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2"/>
      <c r="AR548" s="3"/>
      <c r="AS548" s="1"/>
      <c r="AT548" s="1"/>
      <c r="AU548" s="4"/>
      <c r="AV548" s="4"/>
      <c r="AW548" s="4"/>
      <c r="AX548" s="5"/>
      <c r="AY548" s="4"/>
      <c r="AZ548" s="5"/>
      <c r="BA548" s="1"/>
      <c r="BB548" s="1"/>
      <c r="BC548" s="1"/>
      <c r="BD548" s="6"/>
      <c r="BE548" s="1"/>
      <c r="BF548" s="6"/>
      <c r="BG548" s="6"/>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2"/>
      <c r="AR549" s="3"/>
      <c r="AS549" s="1"/>
      <c r="AT549" s="1"/>
      <c r="AU549" s="4"/>
      <c r="AV549" s="4"/>
      <c r="AW549" s="4"/>
      <c r="AX549" s="5"/>
      <c r="AY549" s="4"/>
      <c r="AZ549" s="5"/>
      <c r="BA549" s="1"/>
      <c r="BB549" s="1"/>
      <c r="BC549" s="1"/>
      <c r="BD549" s="6"/>
      <c r="BE549" s="1"/>
      <c r="BF549" s="6"/>
      <c r="BG549" s="6"/>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2"/>
      <c r="AR550" s="3"/>
      <c r="AS550" s="1"/>
      <c r="AT550" s="1"/>
      <c r="AU550" s="4"/>
      <c r="AV550" s="4"/>
      <c r="AW550" s="4"/>
      <c r="AX550" s="5"/>
      <c r="AY550" s="4"/>
      <c r="AZ550" s="5"/>
      <c r="BA550" s="1"/>
      <c r="BB550" s="1"/>
      <c r="BC550" s="1"/>
      <c r="BD550" s="6"/>
      <c r="BE550" s="1"/>
      <c r="BF550" s="6"/>
      <c r="BG550" s="6"/>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2"/>
      <c r="AR551" s="3"/>
      <c r="AS551" s="1"/>
      <c r="AT551" s="1"/>
      <c r="AU551" s="4"/>
      <c r="AV551" s="4"/>
      <c r="AW551" s="4"/>
      <c r="AX551" s="5"/>
      <c r="AY551" s="4"/>
      <c r="AZ551" s="5"/>
      <c r="BA551" s="1"/>
      <c r="BB551" s="1"/>
      <c r="BC551" s="1"/>
      <c r="BD551" s="6"/>
      <c r="BE551" s="1"/>
      <c r="BF551" s="6"/>
      <c r="BG551" s="6"/>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2"/>
      <c r="AR552" s="3"/>
      <c r="AS552" s="1"/>
      <c r="AT552" s="1"/>
      <c r="AU552" s="4"/>
      <c r="AV552" s="4"/>
      <c r="AW552" s="4"/>
      <c r="AX552" s="5"/>
      <c r="AY552" s="4"/>
      <c r="AZ552" s="5"/>
      <c r="BA552" s="1"/>
      <c r="BB552" s="1"/>
      <c r="BC552" s="1"/>
      <c r="BD552" s="6"/>
      <c r="BE552" s="1"/>
      <c r="BF552" s="6"/>
      <c r="BG552" s="6"/>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2"/>
      <c r="AR553" s="3"/>
      <c r="AS553" s="1"/>
      <c r="AT553" s="1"/>
      <c r="AU553" s="4"/>
      <c r="AV553" s="4"/>
      <c r="AW553" s="4"/>
      <c r="AX553" s="5"/>
      <c r="AY553" s="4"/>
      <c r="AZ553" s="5"/>
      <c r="BA553" s="1"/>
      <c r="BB553" s="1"/>
      <c r="BC553" s="1"/>
      <c r="BD553" s="6"/>
      <c r="BE553" s="1"/>
      <c r="BF553" s="6"/>
      <c r="BG553" s="6"/>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2"/>
      <c r="AR554" s="3"/>
      <c r="AS554" s="1"/>
      <c r="AT554" s="1"/>
      <c r="AU554" s="4"/>
      <c r="AV554" s="4"/>
      <c r="AW554" s="4"/>
      <c r="AX554" s="5"/>
      <c r="AY554" s="4"/>
      <c r="AZ554" s="5"/>
      <c r="BA554" s="1"/>
      <c r="BB554" s="1"/>
      <c r="BC554" s="1"/>
      <c r="BD554" s="6"/>
      <c r="BE554" s="1"/>
      <c r="BF554" s="6"/>
      <c r="BG554" s="6"/>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2"/>
      <c r="AR555" s="3"/>
      <c r="AS555" s="1"/>
      <c r="AT555" s="1"/>
      <c r="AU555" s="4"/>
      <c r="AV555" s="4"/>
      <c r="AW555" s="4"/>
      <c r="AX555" s="5"/>
      <c r="AY555" s="4"/>
      <c r="AZ555" s="5"/>
      <c r="BA555" s="1"/>
      <c r="BB555" s="1"/>
      <c r="BC555" s="1"/>
      <c r="BD555" s="6"/>
      <c r="BE555" s="1"/>
      <c r="BF555" s="6"/>
      <c r="BG555" s="6"/>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2"/>
      <c r="AR556" s="3"/>
      <c r="AS556" s="1"/>
      <c r="AT556" s="1"/>
      <c r="AU556" s="4"/>
      <c r="AV556" s="4"/>
      <c r="AW556" s="4"/>
      <c r="AX556" s="5"/>
      <c r="AY556" s="4"/>
      <c r="AZ556" s="5"/>
      <c r="BA556" s="1"/>
      <c r="BB556" s="1"/>
      <c r="BC556" s="1"/>
      <c r="BD556" s="6"/>
      <c r="BE556" s="1"/>
      <c r="BF556" s="6"/>
      <c r="BG556" s="6"/>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2"/>
      <c r="AR557" s="3"/>
      <c r="AS557" s="1"/>
      <c r="AT557" s="1"/>
      <c r="AU557" s="4"/>
      <c r="AV557" s="4"/>
      <c r="AW557" s="4"/>
      <c r="AX557" s="5"/>
      <c r="AY557" s="4"/>
      <c r="AZ557" s="5"/>
      <c r="BA557" s="1"/>
      <c r="BB557" s="1"/>
      <c r="BC557" s="1"/>
      <c r="BD557" s="6"/>
      <c r="BE557" s="1"/>
      <c r="BF557" s="6"/>
      <c r="BG557" s="6"/>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2"/>
      <c r="AR558" s="3"/>
      <c r="AS558" s="1"/>
      <c r="AT558" s="1"/>
      <c r="AU558" s="4"/>
      <c r="AV558" s="4"/>
      <c r="AW558" s="4"/>
      <c r="AX558" s="5"/>
      <c r="AY558" s="4"/>
      <c r="AZ558" s="5"/>
      <c r="BA558" s="1"/>
      <c r="BB558" s="1"/>
      <c r="BC558" s="1"/>
      <c r="BD558" s="6"/>
      <c r="BE558" s="1"/>
      <c r="BF558" s="6"/>
      <c r="BG558" s="6"/>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2"/>
      <c r="AR559" s="3"/>
      <c r="AS559" s="1"/>
      <c r="AT559" s="1"/>
      <c r="AU559" s="4"/>
      <c r="AV559" s="4"/>
      <c r="AW559" s="4"/>
      <c r="AX559" s="5"/>
      <c r="AY559" s="4"/>
      <c r="AZ559" s="5"/>
      <c r="BA559" s="1"/>
      <c r="BB559" s="1"/>
      <c r="BC559" s="1"/>
      <c r="BD559" s="6"/>
      <c r="BE559" s="1"/>
      <c r="BF559" s="6"/>
      <c r="BG559" s="6"/>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2"/>
      <c r="AR560" s="3"/>
      <c r="AS560" s="1"/>
      <c r="AT560" s="1"/>
      <c r="AU560" s="4"/>
      <c r="AV560" s="4"/>
      <c r="AW560" s="4"/>
      <c r="AX560" s="5"/>
      <c r="AY560" s="4"/>
      <c r="AZ560" s="5"/>
      <c r="BA560" s="1"/>
      <c r="BB560" s="1"/>
      <c r="BC560" s="1"/>
      <c r="BD560" s="6"/>
      <c r="BE560" s="1"/>
      <c r="BF560" s="6"/>
      <c r="BG560" s="6"/>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2"/>
      <c r="AR561" s="3"/>
      <c r="AS561" s="1"/>
      <c r="AT561" s="1"/>
      <c r="AU561" s="4"/>
      <c r="AV561" s="4"/>
      <c r="AW561" s="4"/>
      <c r="AX561" s="5"/>
      <c r="AY561" s="4"/>
      <c r="AZ561" s="5"/>
      <c r="BA561" s="1"/>
      <c r="BB561" s="1"/>
      <c r="BC561" s="1"/>
      <c r="BD561" s="6"/>
      <c r="BE561" s="1"/>
      <c r="BF561" s="6"/>
      <c r="BG561" s="6"/>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2"/>
      <c r="AR562" s="3"/>
      <c r="AS562" s="1"/>
      <c r="AT562" s="1"/>
      <c r="AU562" s="4"/>
      <c r="AV562" s="4"/>
      <c r="AW562" s="4"/>
      <c r="AX562" s="5"/>
      <c r="AY562" s="4"/>
      <c r="AZ562" s="5"/>
      <c r="BA562" s="1"/>
      <c r="BB562" s="1"/>
      <c r="BC562" s="1"/>
      <c r="BD562" s="6"/>
      <c r="BE562" s="1"/>
      <c r="BF562" s="6"/>
      <c r="BG562" s="6"/>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2"/>
      <c r="AR563" s="3"/>
      <c r="AS563" s="1"/>
      <c r="AT563" s="1"/>
      <c r="AU563" s="4"/>
      <c r="AV563" s="4"/>
      <c r="AW563" s="4"/>
      <c r="AX563" s="5"/>
      <c r="AY563" s="4"/>
      <c r="AZ563" s="5"/>
      <c r="BA563" s="1"/>
      <c r="BB563" s="1"/>
      <c r="BC563" s="1"/>
      <c r="BD563" s="6"/>
      <c r="BE563" s="1"/>
      <c r="BF563" s="6"/>
      <c r="BG563" s="6"/>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2"/>
      <c r="AR564" s="3"/>
      <c r="AS564" s="1"/>
      <c r="AT564" s="1"/>
      <c r="AU564" s="4"/>
      <c r="AV564" s="4"/>
      <c r="AW564" s="4"/>
      <c r="AX564" s="5"/>
      <c r="AY564" s="4"/>
      <c r="AZ564" s="5"/>
      <c r="BA564" s="1"/>
      <c r="BB564" s="1"/>
      <c r="BC564" s="1"/>
      <c r="BD564" s="6"/>
      <c r="BE564" s="1"/>
      <c r="BF564" s="6"/>
      <c r="BG564" s="6"/>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2"/>
      <c r="AR565" s="3"/>
      <c r="AS565" s="1"/>
      <c r="AT565" s="1"/>
      <c r="AU565" s="4"/>
      <c r="AV565" s="4"/>
      <c r="AW565" s="4"/>
      <c r="AX565" s="5"/>
      <c r="AY565" s="4"/>
      <c r="AZ565" s="5"/>
      <c r="BA565" s="1"/>
      <c r="BB565" s="1"/>
      <c r="BC565" s="1"/>
      <c r="BD565" s="6"/>
      <c r="BE565" s="1"/>
      <c r="BF565" s="6"/>
      <c r="BG565" s="6"/>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2"/>
      <c r="AR566" s="3"/>
      <c r="AS566" s="1"/>
      <c r="AT566" s="1"/>
      <c r="AU566" s="4"/>
      <c r="AV566" s="4"/>
      <c r="AW566" s="4"/>
      <c r="AX566" s="5"/>
      <c r="AY566" s="4"/>
      <c r="AZ566" s="5"/>
      <c r="BA566" s="1"/>
      <c r="BB566" s="1"/>
      <c r="BC566" s="1"/>
      <c r="BD566" s="6"/>
      <c r="BE566" s="1"/>
      <c r="BF566" s="6"/>
      <c r="BG566" s="6"/>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2"/>
      <c r="AR567" s="3"/>
      <c r="AS567" s="1"/>
      <c r="AT567" s="1"/>
      <c r="AU567" s="4"/>
      <c r="AV567" s="4"/>
      <c r="AW567" s="4"/>
      <c r="AX567" s="5"/>
      <c r="AY567" s="4"/>
      <c r="AZ567" s="5"/>
      <c r="BA567" s="1"/>
      <c r="BB567" s="1"/>
      <c r="BC567" s="1"/>
      <c r="BD567" s="6"/>
      <c r="BE567" s="1"/>
      <c r="BF567" s="6"/>
      <c r="BG567" s="6"/>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2"/>
      <c r="AR568" s="3"/>
      <c r="AS568" s="1"/>
      <c r="AT568" s="1"/>
      <c r="AU568" s="4"/>
      <c r="AV568" s="4"/>
      <c r="AW568" s="4"/>
      <c r="AX568" s="5"/>
      <c r="AY568" s="4"/>
      <c r="AZ568" s="5"/>
      <c r="BA568" s="1"/>
      <c r="BB568" s="1"/>
      <c r="BC568" s="1"/>
      <c r="BD568" s="6"/>
      <c r="BE568" s="1"/>
      <c r="BF568" s="6"/>
      <c r="BG568" s="6"/>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2"/>
      <c r="AR569" s="3"/>
      <c r="AS569" s="1"/>
      <c r="AT569" s="1"/>
      <c r="AU569" s="4"/>
      <c r="AV569" s="4"/>
      <c r="AW569" s="4"/>
      <c r="AX569" s="5"/>
      <c r="AY569" s="4"/>
      <c r="AZ569" s="5"/>
      <c r="BA569" s="1"/>
      <c r="BB569" s="1"/>
      <c r="BC569" s="1"/>
      <c r="BD569" s="6"/>
      <c r="BE569" s="1"/>
      <c r="BF569" s="6"/>
      <c r="BG569" s="6"/>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2"/>
      <c r="AR570" s="3"/>
      <c r="AS570" s="1"/>
      <c r="AT570" s="1"/>
      <c r="AU570" s="4"/>
      <c r="AV570" s="4"/>
      <c r="AW570" s="4"/>
      <c r="AX570" s="5"/>
      <c r="AY570" s="4"/>
      <c r="AZ570" s="5"/>
      <c r="BA570" s="1"/>
      <c r="BB570" s="1"/>
      <c r="BC570" s="1"/>
      <c r="BD570" s="6"/>
      <c r="BE570" s="1"/>
      <c r="BF570" s="6"/>
      <c r="BG570" s="6"/>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2"/>
      <c r="AR571" s="3"/>
      <c r="AS571" s="1"/>
      <c r="AT571" s="1"/>
      <c r="AU571" s="4"/>
      <c r="AV571" s="4"/>
      <c r="AW571" s="4"/>
      <c r="AX571" s="5"/>
      <c r="AY571" s="4"/>
      <c r="AZ571" s="5"/>
      <c r="BA571" s="1"/>
      <c r="BB571" s="1"/>
      <c r="BC571" s="1"/>
      <c r="BD571" s="6"/>
      <c r="BE571" s="1"/>
      <c r="BF571" s="6"/>
      <c r="BG571" s="6"/>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2"/>
      <c r="AR572" s="3"/>
      <c r="AS572" s="1"/>
      <c r="AT572" s="1"/>
      <c r="AU572" s="4"/>
      <c r="AV572" s="4"/>
      <c r="AW572" s="4"/>
      <c r="AX572" s="5"/>
      <c r="AY572" s="4"/>
      <c r="AZ572" s="5"/>
      <c r="BA572" s="1"/>
      <c r="BB572" s="1"/>
      <c r="BC572" s="1"/>
      <c r="BD572" s="6"/>
      <c r="BE572" s="1"/>
      <c r="BF572" s="6"/>
      <c r="BG572" s="6"/>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2"/>
      <c r="AR573" s="3"/>
      <c r="AS573" s="1"/>
      <c r="AT573" s="1"/>
      <c r="AU573" s="4"/>
      <c r="AV573" s="4"/>
      <c r="AW573" s="4"/>
      <c r="AX573" s="5"/>
      <c r="AY573" s="4"/>
      <c r="AZ573" s="5"/>
      <c r="BA573" s="1"/>
      <c r="BB573" s="1"/>
      <c r="BC573" s="1"/>
      <c r="BD573" s="6"/>
      <c r="BE573" s="1"/>
      <c r="BF573" s="6"/>
      <c r="BG573" s="6"/>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2"/>
      <c r="AR574" s="3"/>
      <c r="AS574" s="1"/>
      <c r="AT574" s="1"/>
      <c r="AU574" s="4"/>
      <c r="AV574" s="4"/>
      <c r="AW574" s="4"/>
      <c r="AX574" s="5"/>
      <c r="AY574" s="4"/>
      <c r="AZ574" s="5"/>
      <c r="BA574" s="1"/>
      <c r="BB574" s="1"/>
      <c r="BC574" s="1"/>
      <c r="BD574" s="6"/>
      <c r="BE574" s="1"/>
      <c r="BF574" s="6"/>
      <c r="BG574" s="6"/>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2"/>
      <c r="AR575" s="3"/>
      <c r="AS575" s="1"/>
      <c r="AT575" s="1"/>
      <c r="AU575" s="4"/>
      <c r="AV575" s="4"/>
      <c r="AW575" s="4"/>
      <c r="AX575" s="5"/>
      <c r="AY575" s="4"/>
      <c r="AZ575" s="5"/>
      <c r="BA575" s="1"/>
      <c r="BB575" s="1"/>
      <c r="BC575" s="1"/>
      <c r="BD575" s="6"/>
      <c r="BE575" s="1"/>
      <c r="BF575" s="6"/>
      <c r="BG575" s="6"/>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2"/>
      <c r="AR576" s="3"/>
      <c r="AS576" s="1"/>
      <c r="AT576" s="1"/>
      <c r="AU576" s="4"/>
      <c r="AV576" s="4"/>
      <c r="AW576" s="4"/>
      <c r="AX576" s="5"/>
      <c r="AY576" s="4"/>
      <c r="AZ576" s="5"/>
      <c r="BA576" s="1"/>
      <c r="BB576" s="1"/>
      <c r="BC576" s="1"/>
      <c r="BD576" s="6"/>
      <c r="BE576" s="1"/>
      <c r="BF576" s="6"/>
      <c r="BG576" s="6"/>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2"/>
      <c r="AR577" s="3"/>
      <c r="AS577" s="1"/>
      <c r="AT577" s="1"/>
      <c r="AU577" s="4"/>
      <c r="AV577" s="4"/>
      <c r="AW577" s="4"/>
      <c r="AX577" s="5"/>
      <c r="AY577" s="4"/>
      <c r="AZ577" s="5"/>
      <c r="BA577" s="1"/>
      <c r="BB577" s="1"/>
      <c r="BC577" s="1"/>
      <c r="BD577" s="6"/>
      <c r="BE577" s="1"/>
      <c r="BF577" s="6"/>
      <c r="BG577" s="6"/>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2"/>
      <c r="AR578" s="3"/>
      <c r="AS578" s="1"/>
      <c r="AT578" s="1"/>
      <c r="AU578" s="4"/>
      <c r="AV578" s="4"/>
      <c r="AW578" s="4"/>
      <c r="AX578" s="5"/>
      <c r="AY578" s="4"/>
      <c r="AZ578" s="5"/>
      <c r="BA578" s="1"/>
      <c r="BB578" s="1"/>
      <c r="BC578" s="1"/>
      <c r="BD578" s="6"/>
      <c r="BE578" s="1"/>
      <c r="BF578" s="6"/>
      <c r="BG578" s="6"/>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2"/>
      <c r="AR579" s="3"/>
      <c r="AS579" s="1"/>
      <c r="AT579" s="1"/>
      <c r="AU579" s="4"/>
      <c r="AV579" s="4"/>
      <c r="AW579" s="4"/>
      <c r="AX579" s="5"/>
      <c r="AY579" s="4"/>
      <c r="AZ579" s="5"/>
      <c r="BA579" s="1"/>
      <c r="BB579" s="1"/>
      <c r="BC579" s="1"/>
      <c r="BD579" s="6"/>
      <c r="BE579" s="1"/>
      <c r="BF579" s="6"/>
      <c r="BG579" s="6"/>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2"/>
      <c r="AR580" s="3"/>
      <c r="AS580" s="1"/>
      <c r="AT580" s="1"/>
      <c r="AU580" s="4"/>
      <c r="AV580" s="4"/>
      <c r="AW580" s="4"/>
      <c r="AX580" s="5"/>
      <c r="AY580" s="4"/>
      <c r="AZ580" s="5"/>
      <c r="BA580" s="1"/>
      <c r="BB580" s="1"/>
      <c r="BC580" s="1"/>
      <c r="BD580" s="6"/>
      <c r="BE580" s="1"/>
      <c r="BF580" s="6"/>
      <c r="BG580" s="6"/>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2"/>
      <c r="AR581" s="3"/>
      <c r="AS581" s="1"/>
      <c r="AT581" s="1"/>
      <c r="AU581" s="4"/>
      <c r="AV581" s="4"/>
      <c r="AW581" s="4"/>
      <c r="AX581" s="5"/>
      <c r="AY581" s="4"/>
      <c r="AZ581" s="5"/>
      <c r="BA581" s="1"/>
      <c r="BB581" s="1"/>
      <c r="BC581" s="1"/>
      <c r="BD581" s="6"/>
      <c r="BE581" s="1"/>
      <c r="BF581" s="6"/>
      <c r="BG581" s="6"/>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2"/>
      <c r="AR582" s="3"/>
      <c r="AS582" s="1"/>
      <c r="AT582" s="1"/>
      <c r="AU582" s="4"/>
      <c r="AV582" s="4"/>
      <c r="AW582" s="4"/>
      <c r="AX582" s="5"/>
      <c r="AY582" s="4"/>
      <c r="AZ582" s="5"/>
      <c r="BA582" s="1"/>
      <c r="BB582" s="1"/>
      <c r="BC582" s="1"/>
      <c r="BD582" s="6"/>
      <c r="BE582" s="1"/>
      <c r="BF582" s="6"/>
      <c r="BG582" s="6"/>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2"/>
      <c r="AR583" s="3"/>
      <c r="AS583" s="1"/>
      <c r="AT583" s="1"/>
      <c r="AU583" s="4"/>
      <c r="AV583" s="4"/>
      <c r="AW583" s="4"/>
      <c r="AX583" s="5"/>
      <c r="AY583" s="4"/>
      <c r="AZ583" s="5"/>
      <c r="BA583" s="1"/>
      <c r="BB583" s="1"/>
      <c r="BC583" s="1"/>
      <c r="BD583" s="6"/>
      <c r="BE583" s="1"/>
      <c r="BF583" s="6"/>
      <c r="BG583" s="6"/>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2"/>
      <c r="AR584" s="3"/>
      <c r="AS584" s="1"/>
      <c r="AT584" s="1"/>
      <c r="AU584" s="4"/>
      <c r="AV584" s="4"/>
      <c r="AW584" s="4"/>
      <c r="AX584" s="5"/>
      <c r="AY584" s="4"/>
      <c r="AZ584" s="5"/>
      <c r="BA584" s="1"/>
      <c r="BB584" s="1"/>
      <c r="BC584" s="1"/>
      <c r="BD584" s="6"/>
      <c r="BE584" s="1"/>
      <c r="BF584" s="6"/>
      <c r="BG584" s="6"/>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2"/>
      <c r="AR585" s="3"/>
      <c r="AS585" s="1"/>
      <c r="AT585" s="1"/>
      <c r="AU585" s="4"/>
      <c r="AV585" s="4"/>
      <c r="AW585" s="4"/>
      <c r="AX585" s="5"/>
      <c r="AY585" s="4"/>
      <c r="AZ585" s="5"/>
      <c r="BA585" s="1"/>
      <c r="BB585" s="1"/>
      <c r="BC585" s="1"/>
      <c r="BD585" s="6"/>
      <c r="BE585" s="1"/>
      <c r="BF585" s="6"/>
      <c r="BG585" s="6"/>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2"/>
      <c r="AR586" s="3"/>
      <c r="AS586" s="1"/>
      <c r="AT586" s="1"/>
      <c r="AU586" s="4"/>
      <c r="AV586" s="4"/>
      <c r="AW586" s="4"/>
      <c r="AX586" s="5"/>
      <c r="AY586" s="4"/>
      <c r="AZ586" s="5"/>
      <c r="BA586" s="1"/>
      <c r="BB586" s="1"/>
      <c r="BC586" s="1"/>
      <c r="BD586" s="6"/>
      <c r="BE586" s="1"/>
      <c r="BF586" s="6"/>
      <c r="BG586" s="6"/>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2"/>
      <c r="AR587" s="3"/>
      <c r="AS587" s="1"/>
      <c r="AT587" s="1"/>
      <c r="AU587" s="4"/>
      <c r="AV587" s="4"/>
      <c r="AW587" s="4"/>
      <c r="AX587" s="5"/>
      <c r="AY587" s="4"/>
      <c r="AZ587" s="5"/>
      <c r="BA587" s="1"/>
      <c r="BB587" s="1"/>
      <c r="BC587" s="1"/>
      <c r="BD587" s="6"/>
      <c r="BE587" s="1"/>
      <c r="BF587" s="6"/>
      <c r="BG587" s="6"/>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2"/>
      <c r="AR588" s="3"/>
      <c r="AS588" s="1"/>
      <c r="AT588" s="1"/>
      <c r="AU588" s="4"/>
      <c r="AV588" s="4"/>
      <c r="AW588" s="4"/>
      <c r="AX588" s="5"/>
      <c r="AY588" s="4"/>
      <c r="AZ588" s="5"/>
      <c r="BA588" s="1"/>
      <c r="BB588" s="1"/>
      <c r="BC588" s="1"/>
      <c r="BD588" s="6"/>
      <c r="BE588" s="1"/>
      <c r="BF588" s="6"/>
      <c r="BG588" s="6"/>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2"/>
      <c r="AR589" s="3"/>
      <c r="AS589" s="1"/>
      <c r="AT589" s="1"/>
      <c r="AU589" s="4"/>
      <c r="AV589" s="4"/>
      <c r="AW589" s="4"/>
      <c r="AX589" s="5"/>
      <c r="AY589" s="4"/>
      <c r="AZ589" s="5"/>
      <c r="BA589" s="1"/>
      <c r="BB589" s="1"/>
      <c r="BC589" s="1"/>
      <c r="BD589" s="6"/>
      <c r="BE589" s="1"/>
      <c r="BF589" s="6"/>
      <c r="BG589" s="6"/>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2"/>
      <c r="AR590" s="3"/>
      <c r="AS590" s="1"/>
      <c r="AT590" s="1"/>
      <c r="AU590" s="4"/>
      <c r="AV590" s="4"/>
      <c r="AW590" s="4"/>
      <c r="AX590" s="5"/>
      <c r="AY590" s="4"/>
      <c r="AZ590" s="5"/>
      <c r="BA590" s="1"/>
      <c r="BB590" s="1"/>
      <c r="BC590" s="1"/>
      <c r="BD590" s="6"/>
      <c r="BE590" s="1"/>
      <c r="BF590" s="6"/>
      <c r="BG590" s="6"/>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2"/>
      <c r="AR591" s="3"/>
      <c r="AS591" s="1"/>
      <c r="AT591" s="1"/>
      <c r="AU591" s="4"/>
      <c r="AV591" s="4"/>
      <c r="AW591" s="4"/>
      <c r="AX591" s="5"/>
      <c r="AY591" s="4"/>
      <c r="AZ591" s="5"/>
      <c r="BA591" s="1"/>
      <c r="BB591" s="1"/>
      <c r="BC591" s="1"/>
      <c r="BD591" s="6"/>
      <c r="BE591" s="1"/>
      <c r="BF591" s="6"/>
      <c r="BG591" s="6"/>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2"/>
      <c r="AR592" s="3"/>
      <c r="AS592" s="1"/>
      <c r="AT592" s="1"/>
      <c r="AU592" s="4"/>
      <c r="AV592" s="4"/>
      <c r="AW592" s="4"/>
      <c r="AX592" s="5"/>
      <c r="AY592" s="4"/>
      <c r="AZ592" s="5"/>
      <c r="BA592" s="1"/>
      <c r="BB592" s="1"/>
      <c r="BC592" s="1"/>
      <c r="BD592" s="6"/>
      <c r="BE592" s="1"/>
      <c r="BF592" s="6"/>
      <c r="BG592" s="6"/>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2"/>
      <c r="AR593" s="3"/>
      <c r="AS593" s="1"/>
      <c r="AT593" s="1"/>
      <c r="AU593" s="4"/>
      <c r="AV593" s="4"/>
      <c r="AW593" s="4"/>
      <c r="AX593" s="5"/>
      <c r="AY593" s="4"/>
      <c r="AZ593" s="5"/>
      <c r="BA593" s="1"/>
      <c r="BB593" s="1"/>
      <c r="BC593" s="1"/>
      <c r="BD593" s="6"/>
      <c r="BE593" s="1"/>
      <c r="BF593" s="6"/>
      <c r="BG593" s="6"/>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2"/>
      <c r="AR594" s="3"/>
      <c r="AS594" s="1"/>
      <c r="AT594" s="1"/>
      <c r="AU594" s="4"/>
      <c r="AV594" s="4"/>
      <c r="AW594" s="4"/>
      <c r="AX594" s="5"/>
      <c r="AY594" s="4"/>
      <c r="AZ594" s="5"/>
      <c r="BA594" s="1"/>
      <c r="BB594" s="1"/>
      <c r="BC594" s="1"/>
      <c r="BD594" s="6"/>
      <c r="BE594" s="1"/>
      <c r="BF594" s="6"/>
      <c r="BG594" s="6"/>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2"/>
      <c r="AR595" s="3"/>
      <c r="AS595" s="1"/>
      <c r="AT595" s="1"/>
      <c r="AU595" s="4"/>
      <c r="AV595" s="4"/>
      <c r="AW595" s="4"/>
      <c r="AX595" s="5"/>
      <c r="AY595" s="4"/>
      <c r="AZ595" s="5"/>
      <c r="BA595" s="1"/>
      <c r="BB595" s="1"/>
      <c r="BC595" s="1"/>
      <c r="BD595" s="6"/>
      <c r="BE595" s="1"/>
      <c r="BF595" s="6"/>
      <c r="BG595" s="6"/>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2"/>
      <c r="AR596" s="3"/>
      <c r="AS596" s="1"/>
      <c r="AT596" s="1"/>
      <c r="AU596" s="4"/>
      <c r="AV596" s="4"/>
      <c r="AW596" s="4"/>
      <c r="AX596" s="5"/>
      <c r="AY596" s="4"/>
      <c r="AZ596" s="5"/>
      <c r="BA596" s="1"/>
      <c r="BB596" s="1"/>
      <c r="BC596" s="1"/>
      <c r="BD596" s="6"/>
      <c r="BE596" s="1"/>
      <c r="BF596" s="6"/>
      <c r="BG596" s="6"/>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2"/>
      <c r="AR597" s="3"/>
      <c r="AS597" s="1"/>
      <c r="AT597" s="1"/>
      <c r="AU597" s="4"/>
      <c r="AV597" s="4"/>
      <c r="AW597" s="4"/>
      <c r="AX597" s="5"/>
      <c r="AY597" s="4"/>
      <c r="AZ597" s="5"/>
      <c r="BA597" s="1"/>
      <c r="BB597" s="1"/>
      <c r="BC597" s="1"/>
      <c r="BD597" s="6"/>
      <c r="BE597" s="1"/>
      <c r="BF597" s="6"/>
      <c r="BG597" s="6"/>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2"/>
      <c r="AR598" s="3"/>
      <c r="AS598" s="1"/>
      <c r="AT598" s="1"/>
      <c r="AU598" s="4"/>
      <c r="AV598" s="4"/>
      <c r="AW598" s="4"/>
      <c r="AX598" s="5"/>
      <c r="AY598" s="4"/>
      <c r="AZ598" s="5"/>
      <c r="BA598" s="1"/>
      <c r="BB598" s="1"/>
      <c r="BC598" s="1"/>
      <c r="BD598" s="6"/>
      <c r="BE598" s="1"/>
      <c r="BF598" s="6"/>
      <c r="BG598" s="6"/>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2"/>
      <c r="AR599" s="3"/>
      <c r="AS599" s="1"/>
      <c r="AT599" s="1"/>
      <c r="AU599" s="4"/>
      <c r="AV599" s="4"/>
      <c r="AW599" s="4"/>
      <c r="AX599" s="5"/>
      <c r="AY599" s="4"/>
      <c r="AZ599" s="5"/>
      <c r="BA599" s="1"/>
      <c r="BB599" s="1"/>
      <c r="BC599" s="1"/>
      <c r="BD599" s="6"/>
      <c r="BE599" s="1"/>
      <c r="BF599" s="6"/>
      <c r="BG599" s="6"/>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2"/>
      <c r="AR600" s="3"/>
      <c r="AS600" s="1"/>
      <c r="AT600" s="1"/>
      <c r="AU600" s="4"/>
      <c r="AV600" s="4"/>
      <c r="AW600" s="4"/>
      <c r="AX600" s="5"/>
      <c r="AY600" s="4"/>
      <c r="AZ600" s="5"/>
      <c r="BA600" s="1"/>
      <c r="BB600" s="1"/>
      <c r="BC600" s="1"/>
      <c r="BD600" s="6"/>
      <c r="BE600" s="1"/>
      <c r="BF600" s="6"/>
      <c r="BG600" s="6"/>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2"/>
      <c r="AR601" s="3"/>
      <c r="AS601" s="1"/>
      <c r="AT601" s="1"/>
      <c r="AU601" s="4"/>
      <c r="AV601" s="4"/>
      <c r="AW601" s="4"/>
      <c r="AX601" s="5"/>
      <c r="AY601" s="4"/>
      <c r="AZ601" s="5"/>
      <c r="BA601" s="1"/>
      <c r="BB601" s="1"/>
      <c r="BC601" s="1"/>
      <c r="BD601" s="6"/>
      <c r="BE601" s="1"/>
      <c r="BF601" s="6"/>
      <c r="BG601" s="6"/>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2"/>
      <c r="AR602" s="3"/>
      <c r="AS602" s="1"/>
      <c r="AT602" s="1"/>
      <c r="AU602" s="4"/>
      <c r="AV602" s="4"/>
      <c r="AW602" s="4"/>
      <c r="AX602" s="5"/>
      <c r="AY602" s="4"/>
      <c r="AZ602" s="5"/>
      <c r="BA602" s="1"/>
      <c r="BB602" s="1"/>
      <c r="BC602" s="1"/>
      <c r="BD602" s="6"/>
      <c r="BE602" s="1"/>
      <c r="BF602" s="6"/>
      <c r="BG602" s="6"/>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2"/>
      <c r="AR603" s="3"/>
      <c r="AS603" s="1"/>
      <c r="AT603" s="1"/>
      <c r="AU603" s="4"/>
      <c r="AV603" s="4"/>
      <c r="AW603" s="4"/>
      <c r="AX603" s="5"/>
      <c r="AY603" s="4"/>
      <c r="AZ603" s="5"/>
      <c r="BA603" s="1"/>
      <c r="BB603" s="1"/>
      <c r="BC603" s="1"/>
      <c r="BD603" s="6"/>
      <c r="BE603" s="1"/>
      <c r="BF603" s="6"/>
      <c r="BG603" s="6"/>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2"/>
      <c r="AR604" s="3"/>
      <c r="AS604" s="1"/>
      <c r="AT604" s="1"/>
      <c r="AU604" s="4"/>
      <c r="AV604" s="4"/>
      <c r="AW604" s="4"/>
      <c r="AX604" s="5"/>
      <c r="AY604" s="4"/>
      <c r="AZ604" s="5"/>
      <c r="BA604" s="1"/>
      <c r="BB604" s="1"/>
      <c r="BC604" s="1"/>
      <c r="BD604" s="6"/>
      <c r="BE604" s="1"/>
      <c r="BF604" s="6"/>
      <c r="BG604" s="6"/>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2"/>
      <c r="AR605" s="3"/>
      <c r="AS605" s="1"/>
      <c r="AT605" s="1"/>
      <c r="AU605" s="4"/>
      <c r="AV605" s="4"/>
      <c r="AW605" s="4"/>
      <c r="AX605" s="5"/>
      <c r="AY605" s="4"/>
      <c r="AZ605" s="5"/>
      <c r="BA605" s="1"/>
      <c r="BB605" s="1"/>
      <c r="BC605" s="1"/>
      <c r="BD605" s="6"/>
      <c r="BE605" s="1"/>
      <c r="BF605" s="6"/>
      <c r="BG605" s="6"/>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2"/>
      <c r="AR606" s="3"/>
      <c r="AS606" s="1"/>
      <c r="AT606" s="1"/>
      <c r="AU606" s="4"/>
      <c r="AV606" s="4"/>
      <c r="AW606" s="4"/>
      <c r="AX606" s="5"/>
      <c r="AY606" s="4"/>
      <c r="AZ606" s="5"/>
      <c r="BA606" s="1"/>
      <c r="BB606" s="1"/>
      <c r="BC606" s="1"/>
      <c r="BD606" s="6"/>
      <c r="BE606" s="1"/>
      <c r="BF606" s="6"/>
      <c r="BG606" s="6"/>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2"/>
      <c r="AR607" s="3"/>
      <c r="AS607" s="1"/>
      <c r="AT607" s="1"/>
      <c r="AU607" s="4"/>
      <c r="AV607" s="4"/>
      <c r="AW607" s="4"/>
      <c r="AX607" s="5"/>
      <c r="AY607" s="4"/>
      <c r="AZ607" s="5"/>
      <c r="BA607" s="1"/>
      <c r="BB607" s="1"/>
      <c r="BC607" s="1"/>
      <c r="BD607" s="6"/>
      <c r="BE607" s="1"/>
      <c r="BF607" s="6"/>
      <c r="BG607" s="6"/>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2"/>
      <c r="AR608" s="3"/>
      <c r="AS608" s="1"/>
      <c r="AT608" s="1"/>
      <c r="AU608" s="4"/>
      <c r="AV608" s="4"/>
      <c r="AW608" s="4"/>
      <c r="AX608" s="5"/>
      <c r="AY608" s="4"/>
      <c r="AZ608" s="5"/>
      <c r="BA608" s="1"/>
      <c r="BB608" s="1"/>
      <c r="BC608" s="1"/>
      <c r="BD608" s="6"/>
      <c r="BE608" s="1"/>
      <c r="BF608" s="6"/>
      <c r="BG608" s="6"/>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2"/>
      <c r="AR609" s="3"/>
      <c r="AS609" s="1"/>
      <c r="AT609" s="1"/>
      <c r="AU609" s="4"/>
      <c r="AV609" s="4"/>
      <c r="AW609" s="4"/>
      <c r="AX609" s="5"/>
      <c r="AY609" s="4"/>
      <c r="AZ609" s="5"/>
      <c r="BA609" s="1"/>
      <c r="BB609" s="1"/>
      <c r="BC609" s="1"/>
      <c r="BD609" s="6"/>
      <c r="BE609" s="1"/>
      <c r="BF609" s="6"/>
      <c r="BG609" s="6"/>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2"/>
      <c r="AR610" s="3"/>
      <c r="AS610" s="1"/>
      <c r="AT610" s="1"/>
      <c r="AU610" s="4"/>
      <c r="AV610" s="4"/>
      <c r="AW610" s="4"/>
      <c r="AX610" s="5"/>
      <c r="AY610" s="4"/>
      <c r="AZ610" s="5"/>
      <c r="BA610" s="1"/>
      <c r="BB610" s="1"/>
      <c r="BC610" s="1"/>
      <c r="BD610" s="6"/>
      <c r="BE610" s="1"/>
      <c r="BF610" s="6"/>
      <c r="BG610" s="6"/>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2"/>
      <c r="AR611" s="3"/>
      <c r="AS611" s="1"/>
      <c r="AT611" s="1"/>
      <c r="AU611" s="4"/>
      <c r="AV611" s="4"/>
      <c r="AW611" s="4"/>
      <c r="AX611" s="5"/>
      <c r="AY611" s="4"/>
      <c r="AZ611" s="5"/>
      <c r="BA611" s="1"/>
      <c r="BB611" s="1"/>
      <c r="BC611" s="1"/>
      <c r="BD611" s="6"/>
      <c r="BE611" s="1"/>
      <c r="BF611" s="6"/>
      <c r="BG611" s="6"/>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2"/>
      <c r="AR612" s="3"/>
      <c r="AS612" s="1"/>
      <c r="AT612" s="1"/>
      <c r="AU612" s="4"/>
      <c r="AV612" s="4"/>
      <c r="AW612" s="4"/>
      <c r="AX612" s="5"/>
      <c r="AY612" s="4"/>
      <c r="AZ612" s="5"/>
      <c r="BA612" s="1"/>
      <c r="BB612" s="1"/>
      <c r="BC612" s="1"/>
      <c r="BD612" s="6"/>
      <c r="BE612" s="1"/>
      <c r="BF612" s="6"/>
      <c r="BG612" s="6"/>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2"/>
      <c r="AR613" s="3"/>
      <c r="AS613" s="1"/>
      <c r="AT613" s="1"/>
      <c r="AU613" s="4"/>
      <c r="AV613" s="4"/>
      <c r="AW613" s="4"/>
      <c r="AX613" s="5"/>
      <c r="AY613" s="4"/>
      <c r="AZ613" s="5"/>
      <c r="BA613" s="1"/>
      <c r="BB613" s="1"/>
      <c r="BC613" s="1"/>
      <c r="BD613" s="6"/>
      <c r="BE613" s="1"/>
      <c r="BF613" s="6"/>
      <c r="BG613" s="6"/>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2"/>
      <c r="AR614" s="3"/>
      <c r="AS614" s="1"/>
      <c r="AT614" s="1"/>
      <c r="AU614" s="4"/>
      <c r="AV614" s="4"/>
      <c r="AW614" s="4"/>
      <c r="AX614" s="5"/>
      <c r="AY614" s="4"/>
      <c r="AZ614" s="5"/>
      <c r="BA614" s="1"/>
      <c r="BB614" s="1"/>
      <c r="BC614" s="1"/>
      <c r="BD614" s="6"/>
      <c r="BE614" s="1"/>
      <c r="BF614" s="6"/>
      <c r="BG614" s="6"/>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2"/>
      <c r="AR615" s="3"/>
      <c r="AS615" s="1"/>
      <c r="AT615" s="1"/>
      <c r="AU615" s="4"/>
      <c r="AV615" s="4"/>
      <c r="AW615" s="4"/>
      <c r="AX615" s="5"/>
      <c r="AY615" s="4"/>
      <c r="AZ615" s="5"/>
      <c r="BA615" s="1"/>
      <c r="BB615" s="1"/>
      <c r="BC615" s="1"/>
      <c r="BD615" s="6"/>
      <c r="BE615" s="1"/>
      <c r="BF615" s="6"/>
      <c r="BG615" s="6"/>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2"/>
      <c r="AR616" s="3"/>
      <c r="AS616" s="1"/>
      <c r="AT616" s="1"/>
      <c r="AU616" s="4"/>
      <c r="AV616" s="4"/>
      <c r="AW616" s="4"/>
      <c r="AX616" s="5"/>
      <c r="AY616" s="4"/>
      <c r="AZ616" s="5"/>
      <c r="BA616" s="1"/>
      <c r="BB616" s="1"/>
      <c r="BC616" s="1"/>
      <c r="BD616" s="6"/>
      <c r="BE616" s="1"/>
      <c r="BF616" s="6"/>
      <c r="BG616" s="6"/>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2"/>
      <c r="AR617" s="3"/>
      <c r="AS617" s="1"/>
      <c r="AT617" s="1"/>
      <c r="AU617" s="4"/>
      <c r="AV617" s="4"/>
      <c r="AW617" s="4"/>
      <c r="AX617" s="5"/>
      <c r="AY617" s="4"/>
      <c r="AZ617" s="5"/>
      <c r="BA617" s="1"/>
      <c r="BB617" s="1"/>
      <c r="BC617" s="1"/>
      <c r="BD617" s="6"/>
      <c r="BE617" s="1"/>
      <c r="BF617" s="6"/>
      <c r="BG617" s="6"/>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2"/>
      <c r="AR618" s="3"/>
      <c r="AS618" s="1"/>
      <c r="AT618" s="1"/>
      <c r="AU618" s="4"/>
      <c r="AV618" s="4"/>
      <c r="AW618" s="4"/>
      <c r="AX618" s="5"/>
      <c r="AY618" s="4"/>
      <c r="AZ618" s="5"/>
      <c r="BA618" s="1"/>
      <c r="BB618" s="1"/>
      <c r="BC618" s="1"/>
      <c r="BD618" s="6"/>
      <c r="BE618" s="1"/>
      <c r="BF618" s="6"/>
      <c r="BG618" s="6"/>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2"/>
      <c r="AR619" s="3"/>
      <c r="AS619" s="1"/>
      <c r="AT619" s="1"/>
      <c r="AU619" s="4"/>
      <c r="AV619" s="4"/>
      <c r="AW619" s="4"/>
      <c r="AX619" s="5"/>
      <c r="AY619" s="4"/>
      <c r="AZ619" s="5"/>
      <c r="BA619" s="1"/>
      <c r="BB619" s="1"/>
      <c r="BC619" s="1"/>
      <c r="BD619" s="6"/>
      <c r="BE619" s="1"/>
      <c r="BF619" s="6"/>
      <c r="BG619" s="6"/>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2"/>
      <c r="AR620" s="3"/>
      <c r="AS620" s="1"/>
      <c r="AT620" s="1"/>
      <c r="AU620" s="4"/>
      <c r="AV620" s="4"/>
      <c r="AW620" s="4"/>
      <c r="AX620" s="5"/>
      <c r="AY620" s="4"/>
      <c r="AZ620" s="5"/>
      <c r="BA620" s="1"/>
      <c r="BB620" s="1"/>
      <c r="BC620" s="1"/>
      <c r="BD620" s="6"/>
      <c r="BE620" s="1"/>
      <c r="BF620" s="6"/>
      <c r="BG620" s="6"/>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2"/>
      <c r="AR621" s="3"/>
      <c r="AS621" s="1"/>
      <c r="AT621" s="1"/>
      <c r="AU621" s="4"/>
      <c r="AV621" s="4"/>
      <c r="AW621" s="4"/>
      <c r="AX621" s="5"/>
      <c r="AY621" s="4"/>
      <c r="AZ621" s="5"/>
      <c r="BA621" s="1"/>
      <c r="BB621" s="1"/>
      <c r="BC621" s="1"/>
      <c r="BD621" s="6"/>
      <c r="BE621" s="1"/>
      <c r="BF621" s="6"/>
      <c r="BG621" s="6"/>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2"/>
      <c r="AR622" s="3"/>
      <c r="AS622" s="1"/>
      <c r="AT622" s="1"/>
      <c r="AU622" s="4"/>
      <c r="AV622" s="4"/>
      <c r="AW622" s="4"/>
      <c r="AX622" s="5"/>
      <c r="AY622" s="4"/>
      <c r="AZ622" s="5"/>
      <c r="BA622" s="1"/>
      <c r="BB622" s="1"/>
      <c r="BC622" s="1"/>
      <c r="BD622" s="6"/>
      <c r="BE622" s="1"/>
      <c r="BF622" s="6"/>
      <c r="BG622" s="6"/>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2"/>
      <c r="AR623" s="3"/>
      <c r="AS623" s="1"/>
      <c r="AT623" s="1"/>
      <c r="AU623" s="4"/>
      <c r="AV623" s="4"/>
      <c r="AW623" s="4"/>
      <c r="AX623" s="5"/>
      <c r="AY623" s="4"/>
      <c r="AZ623" s="5"/>
      <c r="BA623" s="1"/>
      <c r="BB623" s="1"/>
      <c r="BC623" s="1"/>
      <c r="BD623" s="6"/>
      <c r="BE623" s="1"/>
      <c r="BF623" s="6"/>
      <c r="BG623" s="6"/>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2"/>
      <c r="AR624" s="3"/>
      <c r="AS624" s="1"/>
      <c r="AT624" s="1"/>
      <c r="AU624" s="4"/>
      <c r="AV624" s="4"/>
      <c r="AW624" s="4"/>
      <c r="AX624" s="5"/>
      <c r="AY624" s="4"/>
      <c r="AZ624" s="5"/>
      <c r="BA624" s="1"/>
      <c r="BB624" s="1"/>
      <c r="BC624" s="1"/>
      <c r="BD624" s="6"/>
      <c r="BE624" s="1"/>
      <c r="BF624" s="6"/>
      <c r="BG624" s="6"/>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2"/>
      <c r="AR625" s="3"/>
      <c r="AS625" s="1"/>
      <c r="AT625" s="1"/>
      <c r="AU625" s="4"/>
      <c r="AV625" s="4"/>
      <c r="AW625" s="4"/>
      <c r="AX625" s="5"/>
      <c r="AY625" s="4"/>
      <c r="AZ625" s="5"/>
      <c r="BA625" s="1"/>
      <c r="BB625" s="1"/>
      <c r="BC625" s="1"/>
      <c r="BD625" s="6"/>
      <c r="BE625" s="1"/>
      <c r="BF625" s="6"/>
      <c r="BG625" s="6"/>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2"/>
      <c r="AR626" s="3"/>
      <c r="AS626" s="1"/>
      <c r="AT626" s="1"/>
      <c r="AU626" s="4"/>
      <c r="AV626" s="4"/>
      <c r="AW626" s="4"/>
      <c r="AX626" s="5"/>
      <c r="AY626" s="4"/>
      <c r="AZ626" s="5"/>
      <c r="BA626" s="1"/>
      <c r="BB626" s="1"/>
      <c r="BC626" s="1"/>
      <c r="BD626" s="6"/>
      <c r="BE626" s="1"/>
      <c r="BF626" s="6"/>
      <c r="BG626" s="6"/>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2"/>
      <c r="AR627" s="3"/>
      <c r="AS627" s="1"/>
      <c r="AT627" s="1"/>
      <c r="AU627" s="4"/>
      <c r="AV627" s="4"/>
      <c r="AW627" s="4"/>
      <c r="AX627" s="5"/>
      <c r="AY627" s="4"/>
      <c r="AZ627" s="5"/>
      <c r="BA627" s="1"/>
      <c r="BB627" s="1"/>
      <c r="BC627" s="1"/>
      <c r="BD627" s="6"/>
      <c r="BE627" s="1"/>
      <c r="BF627" s="6"/>
      <c r="BG627" s="6"/>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2"/>
      <c r="AR628" s="3"/>
      <c r="AS628" s="1"/>
      <c r="AT628" s="1"/>
      <c r="AU628" s="4"/>
      <c r="AV628" s="4"/>
      <c r="AW628" s="4"/>
      <c r="AX628" s="5"/>
      <c r="AY628" s="4"/>
      <c r="AZ628" s="5"/>
      <c r="BA628" s="1"/>
      <c r="BB628" s="1"/>
      <c r="BC628" s="1"/>
      <c r="BD628" s="6"/>
      <c r="BE628" s="1"/>
      <c r="BF628" s="6"/>
      <c r="BG628" s="6"/>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2"/>
      <c r="AR629" s="3"/>
      <c r="AS629" s="1"/>
      <c r="AT629" s="1"/>
      <c r="AU629" s="4"/>
      <c r="AV629" s="4"/>
      <c r="AW629" s="4"/>
      <c r="AX629" s="5"/>
      <c r="AY629" s="4"/>
      <c r="AZ629" s="5"/>
      <c r="BA629" s="1"/>
      <c r="BB629" s="1"/>
      <c r="BC629" s="1"/>
      <c r="BD629" s="6"/>
      <c r="BE629" s="1"/>
      <c r="BF629" s="6"/>
      <c r="BG629" s="6"/>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2"/>
      <c r="AR630" s="3"/>
      <c r="AS630" s="1"/>
      <c r="AT630" s="1"/>
      <c r="AU630" s="4"/>
      <c r="AV630" s="4"/>
      <c r="AW630" s="4"/>
      <c r="AX630" s="5"/>
      <c r="AY630" s="4"/>
      <c r="AZ630" s="5"/>
      <c r="BA630" s="1"/>
      <c r="BB630" s="1"/>
      <c r="BC630" s="1"/>
      <c r="BD630" s="6"/>
      <c r="BE630" s="1"/>
      <c r="BF630" s="6"/>
      <c r="BG630" s="6"/>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2"/>
      <c r="AR631" s="3"/>
      <c r="AS631" s="1"/>
      <c r="AT631" s="1"/>
      <c r="AU631" s="4"/>
      <c r="AV631" s="4"/>
      <c r="AW631" s="4"/>
      <c r="AX631" s="5"/>
      <c r="AY631" s="4"/>
      <c r="AZ631" s="5"/>
      <c r="BA631" s="1"/>
      <c r="BB631" s="1"/>
      <c r="BC631" s="1"/>
      <c r="BD631" s="6"/>
      <c r="BE631" s="1"/>
      <c r="BF631" s="6"/>
      <c r="BG631" s="6"/>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2"/>
      <c r="AR632" s="3"/>
      <c r="AS632" s="1"/>
      <c r="AT632" s="1"/>
      <c r="AU632" s="4"/>
      <c r="AV632" s="4"/>
      <c r="AW632" s="4"/>
      <c r="AX632" s="5"/>
      <c r="AY632" s="4"/>
      <c r="AZ632" s="5"/>
      <c r="BA632" s="1"/>
      <c r="BB632" s="1"/>
      <c r="BC632" s="1"/>
      <c r="BD632" s="6"/>
      <c r="BE632" s="1"/>
      <c r="BF632" s="6"/>
      <c r="BG632" s="6"/>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2"/>
      <c r="AR633" s="3"/>
      <c r="AS633" s="1"/>
      <c r="AT633" s="1"/>
      <c r="AU633" s="4"/>
      <c r="AV633" s="4"/>
      <c r="AW633" s="4"/>
      <c r="AX633" s="5"/>
      <c r="AY633" s="4"/>
      <c r="AZ633" s="5"/>
      <c r="BA633" s="1"/>
      <c r="BB633" s="1"/>
      <c r="BC633" s="1"/>
      <c r="BD633" s="6"/>
      <c r="BE633" s="1"/>
      <c r="BF633" s="6"/>
      <c r="BG633" s="6"/>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2"/>
      <c r="AR634" s="3"/>
      <c r="AS634" s="1"/>
      <c r="AT634" s="1"/>
      <c r="AU634" s="4"/>
      <c r="AV634" s="4"/>
      <c r="AW634" s="4"/>
      <c r="AX634" s="5"/>
      <c r="AY634" s="4"/>
      <c r="AZ634" s="5"/>
      <c r="BA634" s="1"/>
      <c r="BB634" s="1"/>
      <c r="BC634" s="1"/>
      <c r="BD634" s="6"/>
      <c r="BE634" s="1"/>
      <c r="BF634" s="6"/>
      <c r="BG634" s="6"/>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2"/>
      <c r="AR635" s="3"/>
      <c r="AS635" s="1"/>
      <c r="AT635" s="1"/>
      <c r="AU635" s="4"/>
      <c r="AV635" s="4"/>
      <c r="AW635" s="4"/>
      <c r="AX635" s="5"/>
      <c r="AY635" s="4"/>
      <c r="AZ635" s="5"/>
      <c r="BA635" s="1"/>
      <c r="BB635" s="1"/>
      <c r="BC635" s="1"/>
      <c r="BD635" s="6"/>
      <c r="BE635" s="1"/>
      <c r="BF635" s="6"/>
      <c r="BG635" s="6"/>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2"/>
      <c r="AR636" s="3"/>
      <c r="AS636" s="1"/>
      <c r="AT636" s="1"/>
      <c r="AU636" s="4"/>
      <c r="AV636" s="4"/>
      <c r="AW636" s="4"/>
      <c r="AX636" s="5"/>
      <c r="AY636" s="4"/>
      <c r="AZ636" s="5"/>
      <c r="BA636" s="1"/>
      <c r="BB636" s="1"/>
      <c r="BC636" s="1"/>
      <c r="BD636" s="6"/>
      <c r="BE636" s="1"/>
      <c r="BF636" s="6"/>
      <c r="BG636" s="6"/>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2"/>
      <c r="AR637" s="3"/>
      <c r="AS637" s="1"/>
      <c r="AT637" s="1"/>
      <c r="AU637" s="4"/>
      <c r="AV637" s="4"/>
      <c r="AW637" s="4"/>
      <c r="AX637" s="5"/>
      <c r="AY637" s="4"/>
      <c r="AZ637" s="5"/>
      <c r="BA637" s="1"/>
      <c r="BB637" s="1"/>
      <c r="BC637" s="1"/>
      <c r="BD637" s="6"/>
      <c r="BE637" s="1"/>
      <c r="BF637" s="6"/>
      <c r="BG637" s="6"/>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2"/>
      <c r="AR638" s="3"/>
      <c r="AS638" s="1"/>
      <c r="AT638" s="1"/>
      <c r="AU638" s="4"/>
      <c r="AV638" s="4"/>
      <c r="AW638" s="4"/>
      <c r="AX638" s="5"/>
      <c r="AY638" s="4"/>
      <c r="AZ638" s="5"/>
      <c r="BA638" s="1"/>
      <c r="BB638" s="1"/>
      <c r="BC638" s="1"/>
      <c r="BD638" s="6"/>
      <c r="BE638" s="1"/>
      <c r="BF638" s="6"/>
      <c r="BG638" s="6"/>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2"/>
      <c r="AR639" s="3"/>
      <c r="AS639" s="1"/>
      <c r="AT639" s="1"/>
      <c r="AU639" s="4"/>
      <c r="AV639" s="4"/>
      <c r="AW639" s="4"/>
      <c r="AX639" s="5"/>
      <c r="AY639" s="4"/>
      <c r="AZ639" s="5"/>
      <c r="BA639" s="1"/>
      <c r="BB639" s="1"/>
      <c r="BC639" s="1"/>
      <c r="BD639" s="6"/>
      <c r="BE639" s="1"/>
      <c r="BF639" s="6"/>
      <c r="BG639" s="6"/>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2"/>
      <c r="AR640" s="3"/>
      <c r="AS640" s="1"/>
      <c r="AT640" s="1"/>
      <c r="AU640" s="4"/>
      <c r="AV640" s="4"/>
      <c r="AW640" s="4"/>
      <c r="AX640" s="5"/>
      <c r="AY640" s="4"/>
      <c r="AZ640" s="5"/>
      <c r="BA640" s="1"/>
      <c r="BB640" s="1"/>
      <c r="BC640" s="1"/>
      <c r="BD640" s="6"/>
      <c r="BE640" s="1"/>
      <c r="BF640" s="6"/>
      <c r="BG640" s="6"/>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2"/>
      <c r="AR641" s="3"/>
      <c r="AS641" s="1"/>
      <c r="AT641" s="1"/>
      <c r="AU641" s="4"/>
      <c r="AV641" s="4"/>
      <c r="AW641" s="4"/>
      <c r="AX641" s="5"/>
      <c r="AY641" s="4"/>
      <c r="AZ641" s="5"/>
      <c r="BA641" s="1"/>
      <c r="BB641" s="1"/>
      <c r="BC641" s="1"/>
      <c r="BD641" s="6"/>
      <c r="BE641" s="1"/>
      <c r="BF641" s="6"/>
      <c r="BG641" s="6"/>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2"/>
      <c r="AR642" s="3"/>
      <c r="AS642" s="1"/>
      <c r="AT642" s="1"/>
      <c r="AU642" s="4"/>
      <c r="AV642" s="4"/>
      <c r="AW642" s="4"/>
      <c r="AX642" s="5"/>
      <c r="AY642" s="4"/>
      <c r="AZ642" s="5"/>
      <c r="BA642" s="1"/>
      <c r="BB642" s="1"/>
      <c r="BC642" s="1"/>
      <c r="BD642" s="6"/>
      <c r="BE642" s="1"/>
      <c r="BF642" s="6"/>
      <c r="BG642" s="6"/>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2"/>
      <c r="AR643" s="3"/>
      <c r="AS643" s="1"/>
      <c r="AT643" s="1"/>
      <c r="AU643" s="4"/>
      <c r="AV643" s="4"/>
      <c r="AW643" s="4"/>
      <c r="AX643" s="5"/>
      <c r="AY643" s="4"/>
      <c r="AZ643" s="5"/>
      <c r="BA643" s="1"/>
      <c r="BB643" s="1"/>
      <c r="BC643" s="1"/>
      <c r="BD643" s="6"/>
      <c r="BE643" s="1"/>
      <c r="BF643" s="6"/>
      <c r="BG643" s="6"/>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2"/>
      <c r="AR644" s="3"/>
      <c r="AS644" s="1"/>
      <c r="AT644" s="1"/>
      <c r="AU644" s="4"/>
      <c r="AV644" s="4"/>
      <c r="AW644" s="4"/>
      <c r="AX644" s="5"/>
      <c r="AY644" s="4"/>
      <c r="AZ644" s="5"/>
      <c r="BA644" s="1"/>
      <c r="BB644" s="1"/>
      <c r="BC644" s="1"/>
      <c r="BD644" s="6"/>
      <c r="BE644" s="1"/>
      <c r="BF644" s="6"/>
      <c r="BG644" s="6"/>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2"/>
      <c r="AR645" s="3"/>
      <c r="AS645" s="1"/>
      <c r="AT645" s="1"/>
      <c r="AU645" s="4"/>
      <c r="AV645" s="4"/>
      <c r="AW645" s="4"/>
      <c r="AX645" s="5"/>
      <c r="AY645" s="4"/>
      <c r="AZ645" s="5"/>
      <c r="BA645" s="1"/>
      <c r="BB645" s="1"/>
      <c r="BC645" s="1"/>
      <c r="BD645" s="6"/>
      <c r="BE645" s="1"/>
      <c r="BF645" s="6"/>
      <c r="BG645" s="6"/>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2"/>
      <c r="AR646" s="3"/>
      <c r="AS646" s="1"/>
      <c r="AT646" s="1"/>
      <c r="AU646" s="4"/>
      <c r="AV646" s="4"/>
      <c r="AW646" s="4"/>
      <c r="AX646" s="5"/>
      <c r="AY646" s="4"/>
      <c r="AZ646" s="5"/>
      <c r="BA646" s="1"/>
      <c r="BB646" s="1"/>
      <c r="BC646" s="1"/>
      <c r="BD646" s="6"/>
      <c r="BE646" s="1"/>
      <c r="BF646" s="6"/>
      <c r="BG646" s="6"/>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2"/>
      <c r="AR647" s="3"/>
      <c r="AS647" s="1"/>
      <c r="AT647" s="1"/>
      <c r="AU647" s="4"/>
      <c r="AV647" s="4"/>
      <c r="AW647" s="4"/>
      <c r="AX647" s="5"/>
      <c r="AY647" s="4"/>
      <c r="AZ647" s="5"/>
      <c r="BA647" s="1"/>
      <c r="BB647" s="1"/>
      <c r="BC647" s="1"/>
      <c r="BD647" s="6"/>
      <c r="BE647" s="1"/>
      <c r="BF647" s="6"/>
      <c r="BG647" s="6"/>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2"/>
      <c r="AR648" s="3"/>
      <c r="AS648" s="1"/>
      <c r="AT648" s="1"/>
      <c r="AU648" s="4"/>
      <c r="AV648" s="4"/>
      <c r="AW648" s="4"/>
      <c r="AX648" s="5"/>
      <c r="AY648" s="4"/>
      <c r="AZ648" s="5"/>
      <c r="BA648" s="1"/>
      <c r="BB648" s="1"/>
      <c r="BC648" s="1"/>
      <c r="BD648" s="6"/>
      <c r="BE648" s="1"/>
      <c r="BF648" s="6"/>
      <c r="BG648" s="6"/>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2"/>
      <c r="AR649" s="3"/>
      <c r="AS649" s="1"/>
      <c r="AT649" s="1"/>
      <c r="AU649" s="4"/>
      <c r="AV649" s="4"/>
      <c r="AW649" s="4"/>
      <c r="AX649" s="5"/>
      <c r="AY649" s="4"/>
      <c r="AZ649" s="5"/>
      <c r="BA649" s="1"/>
      <c r="BB649" s="1"/>
      <c r="BC649" s="1"/>
      <c r="BD649" s="6"/>
      <c r="BE649" s="1"/>
      <c r="BF649" s="6"/>
      <c r="BG649" s="6"/>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2"/>
      <c r="AR650" s="3"/>
      <c r="AS650" s="1"/>
      <c r="AT650" s="1"/>
      <c r="AU650" s="4"/>
      <c r="AV650" s="4"/>
      <c r="AW650" s="4"/>
      <c r="AX650" s="5"/>
      <c r="AY650" s="4"/>
      <c r="AZ650" s="5"/>
      <c r="BA650" s="1"/>
      <c r="BB650" s="1"/>
      <c r="BC650" s="1"/>
      <c r="BD650" s="6"/>
      <c r="BE650" s="1"/>
      <c r="BF650" s="6"/>
      <c r="BG650" s="6"/>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2"/>
      <c r="AR651" s="3"/>
      <c r="AS651" s="1"/>
      <c r="AT651" s="1"/>
      <c r="AU651" s="4"/>
      <c r="AV651" s="4"/>
      <c r="AW651" s="4"/>
      <c r="AX651" s="5"/>
      <c r="AY651" s="4"/>
      <c r="AZ651" s="5"/>
      <c r="BA651" s="1"/>
      <c r="BB651" s="1"/>
      <c r="BC651" s="1"/>
      <c r="BD651" s="6"/>
      <c r="BE651" s="1"/>
      <c r="BF651" s="6"/>
      <c r="BG651" s="6"/>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2"/>
      <c r="AR652" s="3"/>
      <c r="AS652" s="1"/>
      <c r="AT652" s="1"/>
      <c r="AU652" s="4"/>
      <c r="AV652" s="4"/>
      <c r="AW652" s="4"/>
      <c r="AX652" s="5"/>
      <c r="AY652" s="4"/>
      <c r="AZ652" s="5"/>
      <c r="BA652" s="1"/>
      <c r="BB652" s="1"/>
      <c r="BC652" s="1"/>
      <c r="BD652" s="6"/>
      <c r="BE652" s="1"/>
      <c r="BF652" s="6"/>
      <c r="BG652" s="6"/>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2"/>
      <c r="AR653" s="3"/>
      <c r="AS653" s="1"/>
      <c r="AT653" s="1"/>
      <c r="AU653" s="4"/>
      <c r="AV653" s="4"/>
      <c r="AW653" s="4"/>
      <c r="AX653" s="5"/>
      <c r="AY653" s="4"/>
      <c r="AZ653" s="5"/>
      <c r="BA653" s="1"/>
      <c r="BB653" s="1"/>
      <c r="BC653" s="1"/>
      <c r="BD653" s="6"/>
      <c r="BE653" s="1"/>
      <c r="BF653" s="6"/>
      <c r="BG653" s="6"/>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2"/>
      <c r="AR654" s="3"/>
      <c r="AS654" s="1"/>
      <c r="AT654" s="1"/>
      <c r="AU654" s="4"/>
      <c r="AV654" s="4"/>
      <c r="AW654" s="4"/>
      <c r="AX654" s="5"/>
      <c r="AY654" s="4"/>
      <c r="AZ654" s="5"/>
      <c r="BA654" s="1"/>
      <c r="BB654" s="1"/>
      <c r="BC654" s="1"/>
      <c r="BD654" s="6"/>
      <c r="BE654" s="1"/>
      <c r="BF654" s="6"/>
      <c r="BG654" s="6"/>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2"/>
      <c r="AR655" s="3"/>
      <c r="AS655" s="1"/>
      <c r="AT655" s="1"/>
      <c r="AU655" s="4"/>
      <c r="AV655" s="4"/>
      <c r="AW655" s="4"/>
      <c r="AX655" s="5"/>
      <c r="AY655" s="4"/>
      <c r="AZ655" s="5"/>
      <c r="BA655" s="1"/>
      <c r="BB655" s="1"/>
      <c r="BC655" s="1"/>
      <c r="BD655" s="6"/>
      <c r="BE655" s="1"/>
      <c r="BF655" s="6"/>
      <c r="BG655" s="6"/>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2"/>
      <c r="AR656" s="3"/>
      <c r="AS656" s="1"/>
      <c r="AT656" s="1"/>
      <c r="AU656" s="4"/>
      <c r="AV656" s="4"/>
      <c r="AW656" s="4"/>
      <c r="AX656" s="5"/>
      <c r="AY656" s="4"/>
      <c r="AZ656" s="5"/>
      <c r="BA656" s="1"/>
      <c r="BB656" s="1"/>
      <c r="BC656" s="1"/>
      <c r="BD656" s="6"/>
      <c r="BE656" s="1"/>
      <c r="BF656" s="6"/>
      <c r="BG656" s="6"/>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2"/>
      <c r="AR657" s="3"/>
      <c r="AS657" s="1"/>
      <c r="AT657" s="1"/>
      <c r="AU657" s="4"/>
      <c r="AV657" s="4"/>
      <c r="AW657" s="4"/>
      <c r="AX657" s="5"/>
      <c r="AY657" s="4"/>
      <c r="AZ657" s="5"/>
      <c r="BA657" s="1"/>
      <c r="BB657" s="1"/>
      <c r="BC657" s="1"/>
      <c r="BD657" s="6"/>
      <c r="BE657" s="1"/>
      <c r="BF657" s="6"/>
      <c r="BG657" s="6"/>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2"/>
      <c r="AR658" s="3"/>
      <c r="AS658" s="1"/>
      <c r="AT658" s="1"/>
      <c r="AU658" s="4"/>
      <c r="AV658" s="4"/>
      <c r="AW658" s="4"/>
      <c r="AX658" s="5"/>
      <c r="AY658" s="4"/>
      <c r="AZ658" s="5"/>
      <c r="BA658" s="1"/>
      <c r="BB658" s="1"/>
      <c r="BC658" s="1"/>
      <c r="BD658" s="6"/>
      <c r="BE658" s="1"/>
      <c r="BF658" s="6"/>
      <c r="BG658" s="6"/>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2"/>
      <c r="AR659" s="3"/>
      <c r="AS659" s="1"/>
      <c r="AT659" s="1"/>
      <c r="AU659" s="4"/>
      <c r="AV659" s="4"/>
      <c r="AW659" s="4"/>
      <c r="AX659" s="5"/>
      <c r="AY659" s="4"/>
      <c r="AZ659" s="5"/>
      <c r="BA659" s="1"/>
      <c r="BB659" s="1"/>
      <c r="BC659" s="1"/>
      <c r="BD659" s="6"/>
      <c r="BE659" s="1"/>
      <c r="BF659" s="6"/>
      <c r="BG659" s="6"/>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2"/>
      <c r="AR660" s="3"/>
      <c r="AS660" s="1"/>
      <c r="AT660" s="1"/>
      <c r="AU660" s="4"/>
      <c r="AV660" s="4"/>
      <c r="AW660" s="4"/>
      <c r="AX660" s="5"/>
      <c r="AY660" s="4"/>
      <c r="AZ660" s="5"/>
      <c r="BA660" s="1"/>
      <c r="BB660" s="1"/>
      <c r="BC660" s="1"/>
      <c r="BD660" s="6"/>
      <c r="BE660" s="1"/>
      <c r="BF660" s="6"/>
      <c r="BG660" s="6"/>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2"/>
      <c r="AR661" s="3"/>
      <c r="AS661" s="1"/>
      <c r="AT661" s="1"/>
      <c r="AU661" s="4"/>
      <c r="AV661" s="4"/>
      <c r="AW661" s="4"/>
      <c r="AX661" s="5"/>
      <c r="AY661" s="4"/>
      <c r="AZ661" s="5"/>
      <c r="BA661" s="1"/>
      <c r="BB661" s="1"/>
      <c r="BC661" s="1"/>
      <c r="BD661" s="6"/>
      <c r="BE661" s="1"/>
      <c r="BF661" s="6"/>
      <c r="BG661" s="6"/>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2"/>
      <c r="AR662" s="3"/>
      <c r="AS662" s="1"/>
      <c r="AT662" s="1"/>
      <c r="AU662" s="4"/>
      <c r="AV662" s="4"/>
      <c r="AW662" s="4"/>
      <c r="AX662" s="5"/>
      <c r="AY662" s="4"/>
      <c r="AZ662" s="5"/>
      <c r="BA662" s="1"/>
      <c r="BB662" s="1"/>
      <c r="BC662" s="1"/>
      <c r="BD662" s="6"/>
      <c r="BE662" s="1"/>
      <c r="BF662" s="6"/>
      <c r="BG662" s="6"/>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2"/>
      <c r="AR663" s="3"/>
      <c r="AS663" s="1"/>
      <c r="AT663" s="1"/>
      <c r="AU663" s="4"/>
      <c r="AV663" s="4"/>
      <c r="AW663" s="4"/>
      <c r="AX663" s="5"/>
      <c r="AY663" s="4"/>
      <c r="AZ663" s="5"/>
      <c r="BA663" s="1"/>
      <c r="BB663" s="1"/>
      <c r="BC663" s="1"/>
      <c r="BD663" s="6"/>
      <c r="BE663" s="1"/>
      <c r="BF663" s="6"/>
      <c r="BG663" s="6"/>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2"/>
      <c r="AR664" s="3"/>
      <c r="AS664" s="1"/>
      <c r="AT664" s="1"/>
      <c r="AU664" s="4"/>
      <c r="AV664" s="4"/>
      <c r="AW664" s="4"/>
      <c r="AX664" s="5"/>
      <c r="AY664" s="4"/>
      <c r="AZ664" s="5"/>
      <c r="BA664" s="1"/>
      <c r="BB664" s="1"/>
      <c r="BC664" s="1"/>
      <c r="BD664" s="6"/>
      <c r="BE664" s="1"/>
      <c r="BF664" s="6"/>
      <c r="BG664" s="6"/>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2"/>
      <c r="AR665" s="3"/>
      <c r="AS665" s="1"/>
      <c r="AT665" s="1"/>
      <c r="AU665" s="4"/>
      <c r="AV665" s="4"/>
      <c r="AW665" s="4"/>
      <c r="AX665" s="5"/>
      <c r="AY665" s="4"/>
      <c r="AZ665" s="5"/>
      <c r="BA665" s="1"/>
      <c r="BB665" s="1"/>
      <c r="BC665" s="1"/>
      <c r="BD665" s="6"/>
      <c r="BE665" s="1"/>
      <c r="BF665" s="6"/>
      <c r="BG665" s="6"/>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2"/>
      <c r="AR666" s="3"/>
      <c r="AS666" s="1"/>
      <c r="AT666" s="1"/>
      <c r="AU666" s="4"/>
      <c r="AV666" s="4"/>
      <c r="AW666" s="4"/>
      <c r="AX666" s="5"/>
      <c r="AY666" s="4"/>
      <c r="AZ666" s="5"/>
      <c r="BA666" s="1"/>
      <c r="BB666" s="1"/>
      <c r="BC666" s="1"/>
      <c r="BD666" s="6"/>
      <c r="BE666" s="1"/>
      <c r="BF666" s="6"/>
      <c r="BG666" s="6"/>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2"/>
      <c r="AR667" s="3"/>
      <c r="AS667" s="1"/>
      <c r="AT667" s="1"/>
      <c r="AU667" s="4"/>
      <c r="AV667" s="4"/>
      <c r="AW667" s="4"/>
      <c r="AX667" s="5"/>
      <c r="AY667" s="4"/>
      <c r="AZ667" s="5"/>
      <c r="BA667" s="1"/>
      <c r="BB667" s="1"/>
      <c r="BC667" s="1"/>
      <c r="BD667" s="6"/>
      <c r="BE667" s="1"/>
      <c r="BF667" s="6"/>
      <c r="BG667" s="6"/>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2"/>
      <c r="AR668" s="3"/>
      <c r="AS668" s="1"/>
      <c r="AT668" s="1"/>
      <c r="AU668" s="4"/>
      <c r="AV668" s="4"/>
      <c r="AW668" s="4"/>
      <c r="AX668" s="5"/>
      <c r="AY668" s="4"/>
      <c r="AZ668" s="5"/>
      <c r="BA668" s="1"/>
      <c r="BB668" s="1"/>
      <c r="BC668" s="1"/>
      <c r="BD668" s="6"/>
      <c r="BE668" s="1"/>
      <c r="BF668" s="6"/>
      <c r="BG668" s="6"/>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2"/>
      <c r="AR669" s="3"/>
      <c r="AS669" s="1"/>
      <c r="AT669" s="1"/>
      <c r="AU669" s="4"/>
      <c r="AV669" s="4"/>
      <c r="AW669" s="4"/>
      <c r="AX669" s="5"/>
      <c r="AY669" s="4"/>
      <c r="AZ669" s="5"/>
      <c r="BA669" s="1"/>
      <c r="BB669" s="1"/>
      <c r="BC669" s="1"/>
      <c r="BD669" s="6"/>
      <c r="BE669" s="1"/>
      <c r="BF669" s="6"/>
      <c r="BG669" s="6"/>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2"/>
      <c r="AR670" s="3"/>
      <c r="AS670" s="1"/>
      <c r="AT670" s="1"/>
      <c r="AU670" s="4"/>
      <c r="AV670" s="4"/>
      <c r="AW670" s="4"/>
      <c r="AX670" s="5"/>
      <c r="AY670" s="4"/>
      <c r="AZ670" s="5"/>
      <c r="BA670" s="1"/>
      <c r="BB670" s="1"/>
      <c r="BC670" s="1"/>
      <c r="BD670" s="6"/>
      <c r="BE670" s="1"/>
      <c r="BF670" s="6"/>
      <c r="BG670" s="6"/>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2"/>
      <c r="AR671" s="3"/>
      <c r="AS671" s="1"/>
      <c r="AT671" s="1"/>
      <c r="AU671" s="4"/>
      <c r="AV671" s="4"/>
      <c r="AW671" s="4"/>
      <c r="AX671" s="5"/>
      <c r="AY671" s="4"/>
      <c r="AZ671" s="5"/>
      <c r="BA671" s="1"/>
      <c r="BB671" s="1"/>
      <c r="BC671" s="1"/>
      <c r="BD671" s="6"/>
      <c r="BE671" s="1"/>
      <c r="BF671" s="6"/>
      <c r="BG671" s="6"/>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2"/>
      <c r="AR672" s="3"/>
      <c r="AS672" s="1"/>
      <c r="AT672" s="1"/>
      <c r="AU672" s="4"/>
      <c r="AV672" s="4"/>
      <c r="AW672" s="4"/>
      <c r="AX672" s="5"/>
      <c r="AY672" s="4"/>
      <c r="AZ672" s="5"/>
      <c r="BA672" s="1"/>
      <c r="BB672" s="1"/>
      <c r="BC672" s="1"/>
      <c r="BD672" s="6"/>
      <c r="BE672" s="1"/>
      <c r="BF672" s="6"/>
      <c r="BG672" s="6"/>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2"/>
      <c r="AR673" s="3"/>
      <c r="AS673" s="1"/>
      <c r="AT673" s="1"/>
      <c r="AU673" s="4"/>
      <c r="AV673" s="4"/>
      <c r="AW673" s="4"/>
      <c r="AX673" s="5"/>
      <c r="AY673" s="4"/>
      <c r="AZ673" s="5"/>
      <c r="BA673" s="1"/>
      <c r="BB673" s="1"/>
      <c r="BC673" s="1"/>
      <c r="BD673" s="6"/>
      <c r="BE673" s="1"/>
      <c r="BF673" s="6"/>
      <c r="BG673" s="6"/>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2"/>
      <c r="AR674" s="3"/>
      <c r="AS674" s="1"/>
      <c r="AT674" s="1"/>
      <c r="AU674" s="4"/>
      <c r="AV674" s="4"/>
      <c r="AW674" s="4"/>
      <c r="AX674" s="5"/>
      <c r="AY674" s="4"/>
      <c r="AZ674" s="5"/>
      <c r="BA674" s="1"/>
      <c r="BB674" s="1"/>
      <c r="BC674" s="1"/>
      <c r="BD674" s="6"/>
      <c r="BE674" s="1"/>
      <c r="BF674" s="6"/>
      <c r="BG674" s="6"/>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2"/>
      <c r="AR675" s="3"/>
      <c r="AS675" s="1"/>
      <c r="AT675" s="1"/>
      <c r="AU675" s="4"/>
      <c r="AV675" s="4"/>
      <c r="AW675" s="4"/>
      <c r="AX675" s="5"/>
      <c r="AY675" s="4"/>
      <c r="AZ675" s="5"/>
      <c r="BA675" s="1"/>
      <c r="BB675" s="1"/>
      <c r="BC675" s="1"/>
      <c r="BD675" s="6"/>
      <c r="BE675" s="1"/>
      <c r="BF675" s="6"/>
      <c r="BG675" s="6"/>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2"/>
      <c r="AR676" s="3"/>
      <c r="AS676" s="1"/>
      <c r="AT676" s="1"/>
      <c r="AU676" s="4"/>
      <c r="AV676" s="4"/>
      <c r="AW676" s="4"/>
      <c r="AX676" s="5"/>
      <c r="AY676" s="4"/>
      <c r="AZ676" s="5"/>
      <c r="BA676" s="1"/>
      <c r="BB676" s="1"/>
      <c r="BC676" s="1"/>
      <c r="BD676" s="6"/>
      <c r="BE676" s="1"/>
      <c r="BF676" s="6"/>
      <c r="BG676" s="6"/>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2"/>
      <c r="AR677" s="3"/>
      <c r="AS677" s="1"/>
      <c r="AT677" s="1"/>
      <c r="AU677" s="4"/>
      <c r="AV677" s="4"/>
      <c r="AW677" s="4"/>
      <c r="AX677" s="5"/>
      <c r="AY677" s="4"/>
      <c r="AZ677" s="5"/>
      <c r="BA677" s="1"/>
      <c r="BB677" s="1"/>
      <c r="BC677" s="1"/>
      <c r="BD677" s="6"/>
      <c r="BE677" s="1"/>
      <c r="BF677" s="6"/>
      <c r="BG677" s="6"/>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2"/>
      <c r="AR678" s="3"/>
      <c r="AS678" s="1"/>
      <c r="AT678" s="1"/>
      <c r="AU678" s="4"/>
      <c r="AV678" s="4"/>
      <c r="AW678" s="4"/>
      <c r="AX678" s="5"/>
      <c r="AY678" s="4"/>
      <c r="AZ678" s="5"/>
      <c r="BA678" s="1"/>
      <c r="BB678" s="1"/>
      <c r="BC678" s="1"/>
      <c r="BD678" s="6"/>
      <c r="BE678" s="1"/>
      <c r="BF678" s="6"/>
      <c r="BG678" s="6"/>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2"/>
      <c r="AR679" s="3"/>
      <c r="AS679" s="1"/>
      <c r="AT679" s="1"/>
      <c r="AU679" s="4"/>
      <c r="AV679" s="4"/>
      <c r="AW679" s="4"/>
      <c r="AX679" s="5"/>
      <c r="AY679" s="4"/>
      <c r="AZ679" s="5"/>
      <c r="BA679" s="1"/>
      <c r="BB679" s="1"/>
      <c r="BC679" s="1"/>
      <c r="BD679" s="6"/>
      <c r="BE679" s="1"/>
      <c r="BF679" s="6"/>
      <c r="BG679" s="6"/>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2"/>
      <c r="AR680" s="3"/>
      <c r="AS680" s="1"/>
      <c r="AT680" s="1"/>
      <c r="AU680" s="4"/>
      <c r="AV680" s="4"/>
      <c r="AW680" s="4"/>
      <c r="AX680" s="5"/>
      <c r="AY680" s="4"/>
      <c r="AZ680" s="5"/>
      <c r="BA680" s="1"/>
      <c r="BB680" s="1"/>
      <c r="BC680" s="1"/>
      <c r="BD680" s="6"/>
      <c r="BE680" s="1"/>
      <c r="BF680" s="6"/>
      <c r="BG680" s="6"/>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2"/>
      <c r="AR681" s="3"/>
      <c r="AS681" s="1"/>
      <c r="AT681" s="1"/>
      <c r="AU681" s="4"/>
      <c r="AV681" s="4"/>
      <c r="AW681" s="4"/>
      <c r="AX681" s="5"/>
      <c r="AY681" s="4"/>
      <c r="AZ681" s="5"/>
      <c r="BA681" s="1"/>
      <c r="BB681" s="1"/>
      <c r="BC681" s="1"/>
      <c r="BD681" s="6"/>
      <c r="BE681" s="1"/>
      <c r="BF681" s="6"/>
      <c r="BG681" s="6"/>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2"/>
      <c r="AR682" s="3"/>
      <c r="AS682" s="1"/>
      <c r="AT682" s="1"/>
      <c r="AU682" s="4"/>
      <c r="AV682" s="4"/>
      <c r="AW682" s="4"/>
      <c r="AX682" s="5"/>
      <c r="AY682" s="4"/>
      <c r="AZ682" s="5"/>
      <c r="BA682" s="1"/>
      <c r="BB682" s="1"/>
      <c r="BC682" s="1"/>
      <c r="BD682" s="6"/>
      <c r="BE682" s="1"/>
      <c r="BF682" s="6"/>
      <c r="BG682" s="6"/>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2"/>
      <c r="AR683" s="3"/>
      <c r="AS683" s="1"/>
      <c r="AT683" s="1"/>
      <c r="AU683" s="4"/>
      <c r="AV683" s="4"/>
      <c r="AW683" s="4"/>
      <c r="AX683" s="5"/>
      <c r="AY683" s="4"/>
      <c r="AZ683" s="5"/>
      <c r="BA683" s="1"/>
      <c r="BB683" s="1"/>
      <c r="BC683" s="1"/>
      <c r="BD683" s="6"/>
      <c r="BE683" s="1"/>
      <c r="BF683" s="6"/>
      <c r="BG683" s="6"/>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2"/>
      <c r="AR684" s="3"/>
      <c r="AS684" s="1"/>
      <c r="AT684" s="1"/>
      <c r="AU684" s="4"/>
      <c r="AV684" s="4"/>
      <c r="AW684" s="4"/>
      <c r="AX684" s="5"/>
      <c r="AY684" s="4"/>
      <c r="AZ684" s="5"/>
      <c r="BA684" s="1"/>
      <c r="BB684" s="1"/>
      <c r="BC684" s="1"/>
      <c r="BD684" s="6"/>
      <c r="BE684" s="1"/>
      <c r="BF684" s="6"/>
      <c r="BG684" s="6"/>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2"/>
      <c r="AR685" s="3"/>
      <c r="AS685" s="1"/>
      <c r="AT685" s="1"/>
      <c r="AU685" s="4"/>
      <c r="AV685" s="4"/>
      <c r="AW685" s="4"/>
      <c r="AX685" s="5"/>
      <c r="AY685" s="4"/>
      <c r="AZ685" s="5"/>
      <c r="BA685" s="1"/>
      <c r="BB685" s="1"/>
      <c r="BC685" s="1"/>
      <c r="BD685" s="6"/>
      <c r="BE685" s="1"/>
      <c r="BF685" s="6"/>
      <c r="BG685" s="6"/>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2"/>
      <c r="AR686" s="3"/>
      <c r="AS686" s="1"/>
      <c r="AT686" s="1"/>
      <c r="AU686" s="4"/>
      <c r="AV686" s="4"/>
      <c r="AW686" s="4"/>
      <c r="AX686" s="5"/>
      <c r="AY686" s="4"/>
      <c r="AZ686" s="5"/>
      <c r="BA686" s="1"/>
      <c r="BB686" s="1"/>
      <c r="BC686" s="1"/>
      <c r="BD686" s="6"/>
      <c r="BE686" s="1"/>
      <c r="BF686" s="6"/>
      <c r="BG686" s="6"/>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2"/>
      <c r="AR687" s="3"/>
      <c r="AS687" s="1"/>
      <c r="AT687" s="1"/>
      <c r="AU687" s="4"/>
      <c r="AV687" s="4"/>
      <c r="AW687" s="4"/>
      <c r="AX687" s="5"/>
      <c r="AY687" s="4"/>
      <c r="AZ687" s="5"/>
      <c r="BA687" s="1"/>
      <c r="BB687" s="1"/>
      <c r="BC687" s="1"/>
      <c r="BD687" s="6"/>
      <c r="BE687" s="1"/>
      <c r="BF687" s="6"/>
      <c r="BG687" s="6"/>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2"/>
      <c r="AR688" s="3"/>
      <c r="AS688" s="1"/>
      <c r="AT688" s="1"/>
      <c r="AU688" s="4"/>
      <c r="AV688" s="4"/>
      <c r="AW688" s="4"/>
      <c r="AX688" s="5"/>
      <c r="AY688" s="4"/>
      <c r="AZ688" s="5"/>
      <c r="BA688" s="1"/>
      <c r="BB688" s="1"/>
      <c r="BC688" s="1"/>
      <c r="BD688" s="6"/>
      <c r="BE688" s="1"/>
      <c r="BF688" s="6"/>
      <c r="BG688" s="6"/>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2"/>
      <c r="AR689" s="3"/>
      <c r="AS689" s="1"/>
      <c r="AT689" s="1"/>
      <c r="AU689" s="4"/>
      <c r="AV689" s="4"/>
      <c r="AW689" s="4"/>
      <c r="AX689" s="5"/>
      <c r="AY689" s="4"/>
      <c r="AZ689" s="5"/>
      <c r="BA689" s="1"/>
      <c r="BB689" s="1"/>
      <c r="BC689" s="1"/>
      <c r="BD689" s="6"/>
      <c r="BE689" s="1"/>
      <c r="BF689" s="6"/>
      <c r="BG689" s="6"/>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2"/>
      <c r="AR690" s="3"/>
      <c r="AS690" s="1"/>
      <c r="AT690" s="1"/>
      <c r="AU690" s="4"/>
      <c r="AV690" s="4"/>
      <c r="AW690" s="4"/>
      <c r="AX690" s="5"/>
      <c r="AY690" s="4"/>
      <c r="AZ690" s="5"/>
      <c r="BA690" s="1"/>
      <c r="BB690" s="1"/>
      <c r="BC690" s="1"/>
      <c r="BD690" s="6"/>
      <c r="BE690" s="1"/>
      <c r="BF690" s="6"/>
      <c r="BG690" s="6"/>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2"/>
      <c r="AR691" s="3"/>
      <c r="AS691" s="1"/>
      <c r="AT691" s="1"/>
      <c r="AU691" s="4"/>
      <c r="AV691" s="4"/>
      <c r="AW691" s="4"/>
      <c r="AX691" s="5"/>
      <c r="AY691" s="4"/>
      <c r="AZ691" s="5"/>
      <c r="BA691" s="1"/>
      <c r="BB691" s="1"/>
      <c r="BC691" s="1"/>
      <c r="BD691" s="6"/>
      <c r="BE691" s="1"/>
      <c r="BF691" s="6"/>
      <c r="BG691" s="6"/>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2"/>
      <c r="AR692" s="3"/>
      <c r="AS692" s="1"/>
      <c r="AT692" s="1"/>
      <c r="AU692" s="4"/>
      <c r="AV692" s="4"/>
      <c r="AW692" s="4"/>
      <c r="AX692" s="5"/>
      <c r="AY692" s="4"/>
      <c r="AZ692" s="5"/>
      <c r="BA692" s="1"/>
      <c r="BB692" s="1"/>
      <c r="BC692" s="1"/>
      <c r="BD692" s="6"/>
      <c r="BE692" s="1"/>
      <c r="BF692" s="6"/>
      <c r="BG692" s="6"/>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2"/>
      <c r="AR693" s="3"/>
      <c r="AS693" s="1"/>
      <c r="AT693" s="1"/>
      <c r="AU693" s="4"/>
      <c r="AV693" s="4"/>
      <c r="AW693" s="4"/>
      <c r="AX693" s="5"/>
      <c r="AY693" s="4"/>
      <c r="AZ693" s="5"/>
      <c r="BA693" s="1"/>
      <c r="BB693" s="1"/>
      <c r="BC693" s="1"/>
      <c r="BD693" s="6"/>
      <c r="BE693" s="1"/>
      <c r="BF693" s="6"/>
      <c r="BG693" s="6"/>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2"/>
      <c r="AR694" s="3"/>
      <c r="AS694" s="1"/>
      <c r="AT694" s="1"/>
      <c r="AU694" s="4"/>
      <c r="AV694" s="4"/>
      <c r="AW694" s="4"/>
      <c r="AX694" s="5"/>
      <c r="AY694" s="4"/>
      <c r="AZ694" s="5"/>
      <c r="BA694" s="1"/>
      <c r="BB694" s="1"/>
      <c r="BC694" s="1"/>
      <c r="BD694" s="6"/>
      <c r="BE694" s="1"/>
      <c r="BF694" s="6"/>
      <c r="BG694" s="6"/>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2"/>
      <c r="AR695" s="3"/>
      <c r="AS695" s="1"/>
      <c r="AT695" s="1"/>
      <c r="AU695" s="4"/>
      <c r="AV695" s="4"/>
      <c r="AW695" s="4"/>
      <c r="AX695" s="5"/>
      <c r="AY695" s="4"/>
      <c r="AZ695" s="5"/>
      <c r="BA695" s="1"/>
      <c r="BB695" s="1"/>
      <c r="BC695" s="1"/>
      <c r="BD695" s="6"/>
      <c r="BE695" s="1"/>
      <c r="BF695" s="6"/>
      <c r="BG695" s="6"/>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2"/>
      <c r="AR696" s="3"/>
      <c r="AS696" s="1"/>
      <c r="AT696" s="1"/>
      <c r="AU696" s="4"/>
      <c r="AV696" s="4"/>
      <c r="AW696" s="4"/>
      <c r="AX696" s="5"/>
      <c r="AY696" s="4"/>
      <c r="AZ696" s="5"/>
      <c r="BA696" s="1"/>
      <c r="BB696" s="1"/>
      <c r="BC696" s="1"/>
      <c r="BD696" s="6"/>
      <c r="BE696" s="1"/>
      <c r="BF696" s="6"/>
      <c r="BG696" s="6"/>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2"/>
      <c r="AR697" s="3"/>
      <c r="AS697" s="1"/>
      <c r="AT697" s="1"/>
      <c r="AU697" s="4"/>
      <c r="AV697" s="4"/>
      <c r="AW697" s="4"/>
      <c r="AX697" s="5"/>
      <c r="AY697" s="4"/>
      <c r="AZ697" s="5"/>
      <c r="BA697" s="1"/>
      <c r="BB697" s="1"/>
      <c r="BC697" s="1"/>
      <c r="BD697" s="6"/>
      <c r="BE697" s="1"/>
      <c r="BF697" s="6"/>
      <c r="BG697" s="6"/>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2"/>
      <c r="AR698" s="3"/>
      <c r="AS698" s="1"/>
      <c r="AT698" s="1"/>
      <c r="AU698" s="4"/>
      <c r="AV698" s="4"/>
      <c r="AW698" s="4"/>
      <c r="AX698" s="5"/>
      <c r="AY698" s="4"/>
      <c r="AZ698" s="5"/>
      <c r="BA698" s="1"/>
      <c r="BB698" s="1"/>
      <c r="BC698" s="1"/>
      <c r="BD698" s="6"/>
      <c r="BE698" s="1"/>
      <c r="BF698" s="6"/>
      <c r="BG698" s="6"/>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2"/>
      <c r="AR699" s="3"/>
      <c r="AS699" s="1"/>
      <c r="AT699" s="1"/>
      <c r="AU699" s="4"/>
      <c r="AV699" s="4"/>
      <c r="AW699" s="4"/>
      <c r="AX699" s="5"/>
      <c r="AY699" s="4"/>
      <c r="AZ699" s="5"/>
      <c r="BA699" s="1"/>
      <c r="BB699" s="1"/>
      <c r="BC699" s="1"/>
      <c r="BD699" s="6"/>
      <c r="BE699" s="1"/>
      <c r="BF699" s="6"/>
      <c r="BG699" s="6"/>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2"/>
      <c r="AR700" s="3"/>
      <c r="AS700" s="1"/>
      <c r="AT700" s="1"/>
      <c r="AU700" s="4"/>
      <c r="AV700" s="4"/>
      <c r="AW700" s="4"/>
      <c r="AX700" s="5"/>
      <c r="AY700" s="4"/>
      <c r="AZ700" s="5"/>
      <c r="BA700" s="1"/>
      <c r="BB700" s="1"/>
      <c r="BC700" s="1"/>
      <c r="BD700" s="6"/>
      <c r="BE700" s="1"/>
      <c r="BF700" s="6"/>
      <c r="BG700" s="6"/>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2"/>
      <c r="AR701" s="3"/>
      <c r="AS701" s="1"/>
      <c r="AT701" s="1"/>
      <c r="AU701" s="4"/>
      <c r="AV701" s="4"/>
      <c r="AW701" s="4"/>
      <c r="AX701" s="5"/>
      <c r="AY701" s="4"/>
      <c r="AZ701" s="5"/>
      <c r="BA701" s="1"/>
      <c r="BB701" s="1"/>
      <c r="BC701" s="1"/>
      <c r="BD701" s="6"/>
      <c r="BE701" s="1"/>
      <c r="BF701" s="6"/>
      <c r="BG701" s="6"/>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2"/>
      <c r="AR702" s="3"/>
      <c r="AS702" s="1"/>
      <c r="AT702" s="1"/>
      <c r="AU702" s="4"/>
      <c r="AV702" s="4"/>
      <c r="AW702" s="4"/>
      <c r="AX702" s="5"/>
      <c r="AY702" s="4"/>
      <c r="AZ702" s="5"/>
      <c r="BA702" s="1"/>
      <c r="BB702" s="1"/>
      <c r="BC702" s="1"/>
      <c r="BD702" s="6"/>
      <c r="BE702" s="1"/>
      <c r="BF702" s="6"/>
      <c r="BG702" s="6"/>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2"/>
      <c r="AR703" s="3"/>
      <c r="AS703" s="1"/>
      <c r="AT703" s="1"/>
      <c r="AU703" s="4"/>
      <c r="AV703" s="4"/>
      <c r="AW703" s="4"/>
      <c r="AX703" s="5"/>
      <c r="AY703" s="4"/>
      <c r="AZ703" s="5"/>
      <c r="BA703" s="1"/>
      <c r="BB703" s="1"/>
      <c r="BC703" s="1"/>
      <c r="BD703" s="6"/>
      <c r="BE703" s="1"/>
      <c r="BF703" s="6"/>
      <c r="BG703" s="6"/>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2"/>
      <c r="AR704" s="3"/>
      <c r="AS704" s="1"/>
      <c r="AT704" s="1"/>
      <c r="AU704" s="4"/>
      <c r="AV704" s="4"/>
      <c r="AW704" s="4"/>
      <c r="AX704" s="5"/>
      <c r="AY704" s="4"/>
      <c r="AZ704" s="5"/>
      <c r="BA704" s="1"/>
      <c r="BB704" s="1"/>
      <c r="BC704" s="1"/>
      <c r="BD704" s="6"/>
      <c r="BE704" s="1"/>
      <c r="BF704" s="6"/>
      <c r="BG704" s="6"/>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2"/>
      <c r="AR705" s="3"/>
      <c r="AS705" s="1"/>
      <c r="AT705" s="1"/>
      <c r="AU705" s="4"/>
      <c r="AV705" s="4"/>
      <c r="AW705" s="4"/>
      <c r="AX705" s="5"/>
      <c r="AY705" s="4"/>
      <c r="AZ705" s="5"/>
      <c r="BA705" s="1"/>
      <c r="BB705" s="1"/>
      <c r="BC705" s="1"/>
      <c r="BD705" s="6"/>
      <c r="BE705" s="1"/>
      <c r="BF705" s="6"/>
      <c r="BG705" s="6"/>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2"/>
      <c r="AR706" s="3"/>
      <c r="AS706" s="1"/>
      <c r="AT706" s="1"/>
      <c r="AU706" s="4"/>
      <c r="AV706" s="4"/>
      <c r="AW706" s="4"/>
      <c r="AX706" s="5"/>
      <c r="AY706" s="4"/>
      <c r="AZ706" s="5"/>
      <c r="BA706" s="1"/>
      <c r="BB706" s="1"/>
      <c r="BC706" s="1"/>
      <c r="BD706" s="6"/>
      <c r="BE706" s="1"/>
      <c r="BF706" s="6"/>
      <c r="BG706" s="6"/>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2"/>
      <c r="AR707" s="3"/>
      <c r="AS707" s="1"/>
      <c r="AT707" s="1"/>
      <c r="AU707" s="4"/>
      <c r="AV707" s="4"/>
      <c r="AW707" s="4"/>
      <c r="AX707" s="5"/>
      <c r="AY707" s="4"/>
      <c r="AZ707" s="5"/>
      <c r="BA707" s="1"/>
      <c r="BB707" s="1"/>
      <c r="BC707" s="1"/>
      <c r="BD707" s="6"/>
      <c r="BE707" s="1"/>
      <c r="BF707" s="6"/>
      <c r="BG707" s="6"/>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2"/>
      <c r="AR708" s="3"/>
      <c r="AS708" s="1"/>
      <c r="AT708" s="1"/>
      <c r="AU708" s="4"/>
      <c r="AV708" s="4"/>
      <c r="AW708" s="4"/>
      <c r="AX708" s="5"/>
      <c r="AY708" s="4"/>
      <c r="AZ708" s="5"/>
      <c r="BA708" s="1"/>
      <c r="BB708" s="1"/>
      <c r="BC708" s="1"/>
      <c r="BD708" s="6"/>
      <c r="BE708" s="1"/>
      <c r="BF708" s="6"/>
      <c r="BG708" s="6"/>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2"/>
      <c r="AR709" s="3"/>
      <c r="AS709" s="1"/>
      <c r="AT709" s="1"/>
      <c r="AU709" s="4"/>
      <c r="AV709" s="4"/>
      <c r="AW709" s="4"/>
      <c r="AX709" s="5"/>
      <c r="AY709" s="4"/>
      <c r="AZ709" s="5"/>
      <c r="BA709" s="1"/>
      <c r="BB709" s="1"/>
      <c r="BC709" s="1"/>
      <c r="BD709" s="6"/>
      <c r="BE709" s="1"/>
      <c r="BF709" s="6"/>
      <c r="BG709" s="6"/>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2"/>
      <c r="AR710" s="3"/>
      <c r="AS710" s="1"/>
      <c r="AT710" s="1"/>
      <c r="AU710" s="4"/>
      <c r="AV710" s="4"/>
      <c r="AW710" s="4"/>
      <c r="AX710" s="5"/>
      <c r="AY710" s="4"/>
      <c r="AZ710" s="5"/>
      <c r="BA710" s="1"/>
      <c r="BB710" s="1"/>
      <c r="BC710" s="1"/>
      <c r="BD710" s="6"/>
      <c r="BE710" s="1"/>
      <c r="BF710" s="6"/>
      <c r="BG710" s="6"/>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2"/>
      <c r="AR711" s="3"/>
      <c r="AS711" s="1"/>
      <c r="AT711" s="1"/>
      <c r="AU711" s="4"/>
      <c r="AV711" s="4"/>
      <c r="AW711" s="4"/>
      <c r="AX711" s="5"/>
      <c r="AY711" s="4"/>
      <c r="AZ711" s="5"/>
      <c r="BA711" s="1"/>
      <c r="BB711" s="1"/>
      <c r="BC711" s="1"/>
      <c r="BD711" s="6"/>
      <c r="BE711" s="1"/>
      <c r="BF711" s="6"/>
      <c r="BG711" s="6"/>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2"/>
      <c r="AR712" s="3"/>
      <c r="AS712" s="1"/>
      <c r="AT712" s="1"/>
      <c r="AU712" s="4"/>
      <c r="AV712" s="4"/>
      <c r="AW712" s="4"/>
      <c r="AX712" s="5"/>
      <c r="AY712" s="4"/>
      <c r="AZ712" s="5"/>
      <c r="BA712" s="1"/>
      <c r="BB712" s="1"/>
      <c r="BC712" s="1"/>
      <c r="BD712" s="6"/>
      <c r="BE712" s="1"/>
      <c r="BF712" s="6"/>
      <c r="BG712" s="6"/>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2"/>
      <c r="AR713" s="3"/>
      <c r="AS713" s="1"/>
      <c r="AT713" s="1"/>
      <c r="AU713" s="4"/>
      <c r="AV713" s="4"/>
      <c r="AW713" s="4"/>
      <c r="AX713" s="5"/>
      <c r="AY713" s="4"/>
      <c r="AZ713" s="5"/>
      <c r="BA713" s="1"/>
      <c r="BB713" s="1"/>
      <c r="BC713" s="1"/>
      <c r="BD713" s="6"/>
      <c r="BE713" s="1"/>
      <c r="BF713" s="6"/>
      <c r="BG713" s="6"/>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2"/>
      <c r="AR714" s="3"/>
      <c r="AS714" s="1"/>
      <c r="AT714" s="1"/>
      <c r="AU714" s="4"/>
      <c r="AV714" s="4"/>
      <c r="AW714" s="4"/>
      <c r="AX714" s="5"/>
      <c r="AY714" s="4"/>
      <c r="AZ714" s="5"/>
      <c r="BA714" s="1"/>
      <c r="BB714" s="1"/>
      <c r="BC714" s="1"/>
      <c r="BD714" s="6"/>
      <c r="BE714" s="1"/>
      <c r="BF714" s="6"/>
      <c r="BG714" s="6"/>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2"/>
      <c r="AR715" s="3"/>
      <c r="AS715" s="1"/>
      <c r="AT715" s="1"/>
      <c r="AU715" s="4"/>
      <c r="AV715" s="4"/>
      <c r="AW715" s="4"/>
      <c r="AX715" s="5"/>
      <c r="AY715" s="4"/>
      <c r="AZ715" s="5"/>
      <c r="BA715" s="1"/>
      <c r="BB715" s="1"/>
      <c r="BC715" s="1"/>
      <c r="BD715" s="6"/>
      <c r="BE715" s="1"/>
      <c r="BF715" s="6"/>
      <c r="BG715" s="6"/>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2"/>
      <c r="AR716" s="3"/>
      <c r="AS716" s="1"/>
      <c r="AT716" s="1"/>
      <c r="AU716" s="4"/>
      <c r="AV716" s="4"/>
      <c r="AW716" s="4"/>
      <c r="AX716" s="5"/>
      <c r="AY716" s="4"/>
      <c r="AZ716" s="5"/>
      <c r="BA716" s="1"/>
      <c r="BB716" s="1"/>
      <c r="BC716" s="1"/>
      <c r="BD716" s="6"/>
      <c r="BE716" s="1"/>
      <c r="BF716" s="6"/>
      <c r="BG716" s="6"/>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2"/>
      <c r="AR717" s="3"/>
      <c r="AS717" s="1"/>
      <c r="AT717" s="1"/>
      <c r="AU717" s="4"/>
      <c r="AV717" s="4"/>
      <c r="AW717" s="4"/>
      <c r="AX717" s="5"/>
      <c r="AY717" s="4"/>
      <c r="AZ717" s="5"/>
      <c r="BA717" s="1"/>
      <c r="BB717" s="1"/>
      <c r="BC717" s="1"/>
      <c r="BD717" s="6"/>
      <c r="BE717" s="1"/>
      <c r="BF717" s="6"/>
      <c r="BG717" s="6"/>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2"/>
      <c r="AR718" s="3"/>
      <c r="AS718" s="1"/>
      <c r="AT718" s="1"/>
      <c r="AU718" s="4"/>
      <c r="AV718" s="4"/>
      <c r="AW718" s="4"/>
      <c r="AX718" s="5"/>
      <c r="AY718" s="4"/>
      <c r="AZ718" s="5"/>
      <c r="BA718" s="1"/>
      <c r="BB718" s="1"/>
      <c r="BC718" s="1"/>
      <c r="BD718" s="6"/>
      <c r="BE718" s="1"/>
      <c r="BF718" s="6"/>
      <c r="BG718" s="6"/>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2"/>
      <c r="AR719" s="3"/>
      <c r="AS719" s="1"/>
      <c r="AT719" s="1"/>
      <c r="AU719" s="4"/>
      <c r="AV719" s="4"/>
      <c r="AW719" s="4"/>
      <c r="AX719" s="5"/>
      <c r="AY719" s="4"/>
      <c r="AZ719" s="5"/>
      <c r="BA719" s="1"/>
      <c r="BB719" s="1"/>
      <c r="BC719" s="1"/>
      <c r="BD719" s="6"/>
      <c r="BE719" s="1"/>
      <c r="BF719" s="6"/>
      <c r="BG719" s="6"/>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2"/>
      <c r="AR720" s="3"/>
      <c r="AS720" s="1"/>
      <c r="AT720" s="1"/>
      <c r="AU720" s="4"/>
      <c r="AV720" s="4"/>
      <c r="AW720" s="4"/>
      <c r="AX720" s="5"/>
      <c r="AY720" s="4"/>
      <c r="AZ720" s="5"/>
      <c r="BA720" s="1"/>
      <c r="BB720" s="1"/>
      <c r="BC720" s="1"/>
      <c r="BD720" s="6"/>
      <c r="BE720" s="1"/>
      <c r="BF720" s="6"/>
      <c r="BG720" s="6"/>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2"/>
      <c r="AR721" s="3"/>
      <c r="AS721" s="1"/>
      <c r="AT721" s="1"/>
      <c r="AU721" s="4"/>
      <c r="AV721" s="4"/>
      <c r="AW721" s="4"/>
      <c r="AX721" s="5"/>
      <c r="AY721" s="4"/>
      <c r="AZ721" s="5"/>
      <c r="BA721" s="1"/>
      <c r="BB721" s="1"/>
      <c r="BC721" s="1"/>
      <c r="BD721" s="6"/>
      <c r="BE721" s="1"/>
      <c r="BF721" s="6"/>
      <c r="BG721" s="6"/>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2"/>
      <c r="AR722" s="3"/>
      <c r="AS722" s="1"/>
      <c r="AT722" s="1"/>
      <c r="AU722" s="4"/>
      <c r="AV722" s="4"/>
      <c r="AW722" s="4"/>
      <c r="AX722" s="5"/>
      <c r="AY722" s="4"/>
      <c r="AZ722" s="5"/>
      <c r="BA722" s="1"/>
      <c r="BB722" s="1"/>
      <c r="BC722" s="1"/>
      <c r="BD722" s="6"/>
      <c r="BE722" s="1"/>
      <c r="BF722" s="6"/>
      <c r="BG722" s="6"/>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2"/>
      <c r="AR723" s="3"/>
      <c r="AS723" s="1"/>
      <c r="AT723" s="1"/>
      <c r="AU723" s="4"/>
      <c r="AV723" s="4"/>
      <c r="AW723" s="4"/>
      <c r="AX723" s="5"/>
      <c r="AY723" s="4"/>
      <c r="AZ723" s="5"/>
      <c r="BA723" s="1"/>
      <c r="BB723" s="1"/>
      <c r="BC723" s="1"/>
      <c r="BD723" s="6"/>
      <c r="BE723" s="1"/>
      <c r="BF723" s="6"/>
      <c r="BG723" s="6"/>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2"/>
      <c r="AR724" s="3"/>
      <c r="AS724" s="1"/>
      <c r="AT724" s="1"/>
      <c r="AU724" s="4"/>
      <c r="AV724" s="4"/>
      <c r="AW724" s="4"/>
      <c r="AX724" s="5"/>
      <c r="AY724" s="4"/>
      <c r="AZ724" s="5"/>
      <c r="BA724" s="1"/>
      <c r="BB724" s="1"/>
      <c r="BC724" s="1"/>
      <c r="BD724" s="6"/>
      <c r="BE724" s="1"/>
      <c r="BF724" s="6"/>
      <c r="BG724" s="6"/>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2"/>
      <c r="AR725" s="3"/>
      <c r="AS725" s="1"/>
      <c r="AT725" s="1"/>
      <c r="AU725" s="4"/>
      <c r="AV725" s="4"/>
      <c r="AW725" s="4"/>
      <c r="AX725" s="5"/>
      <c r="AY725" s="4"/>
      <c r="AZ725" s="5"/>
      <c r="BA725" s="1"/>
      <c r="BB725" s="1"/>
      <c r="BC725" s="1"/>
      <c r="BD725" s="6"/>
      <c r="BE725" s="1"/>
      <c r="BF725" s="6"/>
      <c r="BG725" s="6"/>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2"/>
      <c r="AR726" s="3"/>
      <c r="AS726" s="1"/>
      <c r="AT726" s="1"/>
      <c r="AU726" s="4"/>
      <c r="AV726" s="4"/>
      <c r="AW726" s="4"/>
      <c r="AX726" s="5"/>
      <c r="AY726" s="4"/>
      <c r="AZ726" s="5"/>
      <c r="BA726" s="1"/>
      <c r="BB726" s="1"/>
      <c r="BC726" s="1"/>
      <c r="BD726" s="6"/>
      <c r="BE726" s="1"/>
      <c r="BF726" s="6"/>
      <c r="BG726" s="6"/>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2"/>
      <c r="AR727" s="3"/>
      <c r="AS727" s="1"/>
      <c r="AT727" s="1"/>
      <c r="AU727" s="4"/>
      <c r="AV727" s="4"/>
      <c r="AW727" s="4"/>
      <c r="AX727" s="5"/>
      <c r="AY727" s="4"/>
      <c r="AZ727" s="5"/>
      <c r="BA727" s="1"/>
      <c r="BB727" s="1"/>
      <c r="BC727" s="1"/>
      <c r="BD727" s="6"/>
      <c r="BE727" s="1"/>
      <c r="BF727" s="6"/>
      <c r="BG727" s="6"/>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2"/>
      <c r="AR728" s="3"/>
      <c r="AS728" s="1"/>
      <c r="AT728" s="1"/>
      <c r="AU728" s="4"/>
      <c r="AV728" s="4"/>
      <c r="AW728" s="4"/>
      <c r="AX728" s="5"/>
      <c r="AY728" s="4"/>
      <c r="AZ728" s="5"/>
      <c r="BA728" s="1"/>
      <c r="BB728" s="1"/>
      <c r="BC728" s="1"/>
      <c r="BD728" s="6"/>
      <c r="BE728" s="1"/>
      <c r="BF728" s="6"/>
      <c r="BG728" s="6"/>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2"/>
      <c r="AR729" s="3"/>
      <c r="AS729" s="1"/>
      <c r="AT729" s="1"/>
      <c r="AU729" s="4"/>
      <c r="AV729" s="4"/>
      <c r="AW729" s="4"/>
      <c r="AX729" s="5"/>
      <c r="AY729" s="4"/>
      <c r="AZ729" s="5"/>
      <c r="BA729" s="1"/>
      <c r="BB729" s="1"/>
      <c r="BC729" s="1"/>
      <c r="BD729" s="6"/>
      <c r="BE729" s="1"/>
      <c r="BF729" s="6"/>
      <c r="BG729" s="6"/>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2"/>
      <c r="AR730" s="3"/>
      <c r="AS730" s="1"/>
      <c r="AT730" s="1"/>
      <c r="AU730" s="4"/>
      <c r="AV730" s="4"/>
      <c r="AW730" s="4"/>
      <c r="AX730" s="5"/>
      <c r="AY730" s="4"/>
      <c r="AZ730" s="5"/>
      <c r="BA730" s="1"/>
      <c r="BB730" s="1"/>
      <c r="BC730" s="1"/>
      <c r="BD730" s="6"/>
      <c r="BE730" s="1"/>
      <c r="BF730" s="6"/>
      <c r="BG730" s="6"/>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2"/>
      <c r="AR731" s="3"/>
      <c r="AS731" s="1"/>
      <c r="AT731" s="1"/>
      <c r="AU731" s="4"/>
      <c r="AV731" s="4"/>
      <c r="AW731" s="4"/>
      <c r="AX731" s="5"/>
      <c r="AY731" s="4"/>
      <c r="AZ731" s="5"/>
      <c r="BA731" s="1"/>
      <c r="BB731" s="1"/>
      <c r="BC731" s="1"/>
      <c r="BD731" s="6"/>
      <c r="BE731" s="1"/>
      <c r="BF731" s="6"/>
      <c r="BG731" s="6"/>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2"/>
      <c r="AR732" s="3"/>
      <c r="AS732" s="1"/>
      <c r="AT732" s="1"/>
      <c r="AU732" s="4"/>
      <c r="AV732" s="4"/>
      <c r="AW732" s="4"/>
      <c r="AX732" s="5"/>
      <c r="AY732" s="4"/>
      <c r="AZ732" s="5"/>
      <c r="BA732" s="1"/>
      <c r="BB732" s="1"/>
      <c r="BC732" s="1"/>
      <c r="BD732" s="6"/>
      <c r="BE732" s="1"/>
      <c r="BF732" s="6"/>
      <c r="BG732" s="6"/>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2"/>
      <c r="AR733" s="3"/>
      <c r="AS733" s="1"/>
      <c r="AT733" s="1"/>
      <c r="AU733" s="4"/>
      <c r="AV733" s="4"/>
      <c r="AW733" s="4"/>
      <c r="AX733" s="5"/>
      <c r="AY733" s="4"/>
      <c r="AZ733" s="5"/>
      <c r="BA733" s="1"/>
      <c r="BB733" s="1"/>
      <c r="BC733" s="1"/>
      <c r="BD733" s="6"/>
      <c r="BE733" s="1"/>
      <c r="BF733" s="6"/>
      <c r="BG733" s="6"/>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2"/>
      <c r="AR734" s="3"/>
      <c r="AS734" s="1"/>
      <c r="AT734" s="1"/>
      <c r="AU734" s="4"/>
      <c r="AV734" s="4"/>
      <c r="AW734" s="4"/>
      <c r="AX734" s="5"/>
      <c r="AY734" s="4"/>
      <c r="AZ734" s="5"/>
      <c r="BA734" s="1"/>
      <c r="BB734" s="1"/>
      <c r="BC734" s="1"/>
      <c r="BD734" s="6"/>
      <c r="BE734" s="1"/>
      <c r="BF734" s="6"/>
      <c r="BG734" s="6"/>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2"/>
      <c r="AR735" s="3"/>
      <c r="AS735" s="1"/>
      <c r="AT735" s="1"/>
      <c r="AU735" s="4"/>
      <c r="AV735" s="4"/>
      <c r="AW735" s="4"/>
      <c r="AX735" s="5"/>
      <c r="AY735" s="4"/>
      <c r="AZ735" s="5"/>
      <c r="BA735" s="1"/>
      <c r="BB735" s="1"/>
      <c r="BC735" s="1"/>
      <c r="BD735" s="6"/>
      <c r="BE735" s="1"/>
      <c r="BF735" s="6"/>
      <c r="BG735" s="6"/>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2"/>
      <c r="AR736" s="3"/>
      <c r="AS736" s="1"/>
      <c r="AT736" s="1"/>
      <c r="AU736" s="4"/>
      <c r="AV736" s="4"/>
      <c r="AW736" s="4"/>
      <c r="AX736" s="5"/>
      <c r="AY736" s="4"/>
      <c r="AZ736" s="5"/>
      <c r="BA736" s="1"/>
      <c r="BB736" s="1"/>
      <c r="BC736" s="1"/>
      <c r="BD736" s="6"/>
      <c r="BE736" s="1"/>
      <c r="BF736" s="6"/>
      <c r="BG736" s="6"/>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2"/>
      <c r="AR737" s="3"/>
      <c r="AS737" s="1"/>
      <c r="AT737" s="1"/>
      <c r="AU737" s="4"/>
      <c r="AV737" s="4"/>
      <c r="AW737" s="4"/>
      <c r="AX737" s="5"/>
      <c r="AY737" s="4"/>
      <c r="AZ737" s="5"/>
      <c r="BA737" s="1"/>
      <c r="BB737" s="1"/>
      <c r="BC737" s="1"/>
      <c r="BD737" s="6"/>
      <c r="BE737" s="1"/>
      <c r="BF737" s="6"/>
      <c r="BG737" s="6"/>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2"/>
      <c r="AR738" s="3"/>
      <c r="AS738" s="1"/>
      <c r="AT738" s="1"/>
      <c r="AU738" s="4"/>
      <c r="AV738" s="4"/>
      <c r="AW738" s="4"/>
      <c r="AX738" s="5"/>
      <c r="AY738" s="4"/>
      <c r="AZ738" s="5"/>
      <c r="BA738" s="1"/>
      <c r="BB738" s="1"/>
      <c r="BC738" s="1"/>
      <c r="BD738" s="6"/>
      <c r="BE738" s="1"/>
      <c r="BF738" s="6"/>
      <c r="BG738" s="6"/>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2"/>
      <c r="AR739" s="3"/>
      <c r="AS739" s="1"/>
      <c r="AT739" s="1"/>
      <c r="AU739" s="4"/>
      <c r="AV739" s="4"/>
      <c r="AW739" s="4"/>
      <c r="AX739" s="5"/>
      <c r="AY739" s="4"/>
      <c r="AZ739" s="5"/>
      <c r="BA739" s="1"/>
      <c r="BB739" s="1"/>
      <c r="BC739" s="1"/>
      <c r="BD739" s="6"/>
      <c r="BE739" s="1"/>
      <c r="BF739" s="6"/>
      <c r="BG739" s="6"/>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2"/>
      <c r="AR740" s="3"/>
      <c r="AS740" s="1"/>
      <c r="AT740" s="1"/>
      <c r="AU740" s="4"/>
      <c r="AV740" s="4"/>
      <c r="AW740" s="4"/>
      <c r="AX740" s="5"/>
      <c r="AY740" s="4"/>
      <c r="AZ740" s="5"/>
      <c r="BA740" s="1"/>
      <c r="BB740" s="1"/>
      <c r="BC740" s="1"/>
      <c r="BD740" s="6"/>
      <c r="BE740" s="1"/>
      <c r="BF740" s="6"/>
      <c r="BG740" s="6"/>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2"/>
      <c r="AR741" s="3"/>
      <c r="AS741" s="1"/>
      <c r="AT741" s="1"/>
      <c r="AU741" s="4"/>
      <c r="AV741" s="4"/>
      <c r="AW741" s="4"/>
      <c r="AX741" s="5"/>
      <c r="AY741" s="4"/>
      <c r="AZ741" s="5"/>
      <c r="BA741" s="1"/>
      <c r="BB741" s="1"/>
      <c r="BC741" s="1"/>
      <c r="BD741" s="6"/>
      <c r="BE741" s="1"/>
      <c r="BF741" s="6"/>
      <c r="BG741" s="6"/>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2"/>
      <c r="AR742" s="3"/>
      <c r="AS742" s="1"/>
      <c r="AT742" s="1"/>
      <c r="AU742" s="4"/>
      <c r="AV742" s="4"/>
      <c r="AW742" s="4"/>
      <c r="AX742" s="5"/>
      <c r="AY742" s="4"/>
      <c r="AZ742" s="5"/>
      <c r="BA742" s="1"/>
      <c r="BB742" s="1"/>
      <c r="BC742" s="1"/>
      <c r="BD742" s="6"/>
      <c r="BE742" s="1"/>
      <c r="BF742" s="6"/>
      <c r="BG742" s="6"/>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2"/>
      <c r="AR743" s="3"/>
      <c r="AS743" s="1"/>
      <c r="AT743" s="1"/>
      <c r="AU743" s="4"/>
      <c r="AV743" s="4"/>
      <c r="AW743" s="4"/>
      <c r="AX743" s="5"/>
      <c r="AY743" s="4"/>
      <c r="AZ743" s="5"/>
      <c r="BA743" s="1"/>
      <c r="BB743" s="1"/>
      <c r="BC743" s="1"/>
      <c r="BD743" s="6"/>
      <c r="BE743" s="1"/>
      <c r="BF743" s="6"/>
      <c r="BG743" s="6"/>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2"/>
      <c r="AR744" s="3"/>
      <c r="AS744" s="1"/>
      <c r="AT744" s="1"/>
      <c r="AU744" s="4"/>
      <c r="AV744" s="4"/>
      <c r="AW744" s="4"/>
      <c r="AX744" s="5"/>
      <c r="AY744" s="4"/>
      <c r="AZ744" s="5"/>
      <c r="BA744" s="1"/>
      <c r="BB744" s="1"/>
      <c r="BC744" s="1"/>
      <c r="BD744" s="6"/>
      <c r="BE744" s="1"/>
      <c r="BF744" s="6"/>
      <c r="BG744" s="6"/>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2"/>
      <c r="AR745" s="3"/>
      <c r="AS745" s="1"/>
      <c r="AT745" s="1"/>
      <c r="AU745" s="4"/>
      <c r="AV745" s="4"/>
      <c r="AW745" s="4"/>
      <c r="AX745" s="5"/>
      <c r="AY745" s="4"/>
      <c r="AZ745" s="5"/>
      <c r="BA745" s="1"/>
      <c r="BB745" s="1"/>
      <c r="BC745" s="1"/>
      <c r="BD745" s="6"/>
      <c r="BE745" s="1"/>
      <c r="BF745" s="6"/>
      <c r="BG745" s="6"/>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2"/>
      <c r="AR746" s="3"/>
      <c r="AS746" s="1"/>
      <c r="AT746" s="1"/>
      <c r="AU746" s="4"/>
      <c r="AV746" s="4"/>
      <c r="AW746" s="4"/>
      <c r="AX746" s="5"/>
      <c r="AY746" s="4"/>
      <c r="AZ746" s="5"/>
      <c r="BA746" s="1"/>
      <c r="BB746" s="1"/>
      <c r="BC746" s="1"/>
      <c r="BD746" s="6"/>
      <c r="BE746" s="1"/>
      <c r="BF746" s="6"/>
      <c r="BG746" s="6"/>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2"/>
      <c r="AR747" s="3"/>
      <c r="AS747" s="1"/>
      <c r="AT747" s="1"/>
      <c r="AU747" s="4"/>
      <c r="AV747" s="4"/>
      <c r="AW747" s="4"/>
      <c r="AX747" s="5"/>
      <c r="AY747" s="4"/>
      <c r="AZ747" s="5"/>
      <c r="BA747" s="1"/>
      <c r="BB747" s="1"/>
      <c r="BC747" s="1"/>
      <c r="BD747" s="6"/>
      <c r="BE747" s="1"/>
      <c r="BF747" s="6"/>
      <c r="BG747" s="6"/>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2"/>
      <c r="AR748" s="3"/>
      <c r="AS748" s="1"/>
      <c r="AT748" s="1"/>
      <c r="AU748" s="4"/>
      <c r="AV748" s="4"/>
      <c r="AW748" s="4"/>
      <c r="AX748" s="5"/>
      <c r="AY748" s="4"/>
      <c r="AZ748" s="5"/>
      <c r="BA748" s="1"/>
      <c r="BB748" s="1"/>
      <c r="BC748" s="1"/>
      <c r="BD748" s="6"/>
      <c r="BE748" s="1"/>
      <c r="BF748" s="6"/>
      <c r="BG748" s="6"/>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2"/>
      <c r="AR749" s="3"/>
      <c r="AS749" s="1"/>
      <c r="AT749" s="1"/>
      <c r="AU749" s="4"/>
      <c r="AV749" s="4"/>
      <c r="AW749" s="4"/>
      <c r="AX749" s="5"/>
      <c r="AY749" s="4"/>
      <c r="AZ749" s="5"/>
      <c r="BA749" s="1"/>
      <c r="BB749" s="1"/>
      <c r="BC749" s="1"/>
      <c r="BD749" s="6"/>
      <c r="BE749" s="1"/>
      <c r="BF749" s="6"/>
      <c r="BG749" s="6"/>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2"/>
      <c r="AR750" s="3"/>
      <c r="AS750" s="1"/>
      <c r="AT750" s="1"/>
      <c r="AU750" s="4"/>
      <c r="AV750" s="4"/>
      <c r="AW750" s="4"/>
      <c r="AX750" s="5"/>
      <c r="AY750" s="4"/>
      <c r="AZ750" s="5"/>
      <c r="BA750" s="1"/>
      <c r="BB750" s="1"/>
      <c r="BC750" s="1"/>
      <c r="BD750" s="6"/>
      <c r="BE750" s="1"/>
      <c r="BF750" s="6"/>
      <c r="BG750" s="6"/>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2"/>
      <c r="AR751" s="3"/>
      <c r="AS751" s="1"/>
      <c r="AT751" s="1"/>
      <c r="AU751" s="4"/>
      <c r="AV751" s="4"/>
      <c r="AW751" s="4"/>
      <c r="AX751" s="5"/>
      <c r="AY751" s="4"/>
      <c r="AZ751" s="5"/>
      <c r="BA751" s="1"/>
      <c r="BB751" s="1"/>
      <c r="BC751" s="1"/>
      <c r="BD751" s="6"/>
      <c r="BE751" s="1"/>
      <c r="BF751" s="6"/>
      <c r="BG751" s="6"/>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2"/>
      <c r="AR752" s="3"/>
      <c r="AS752" s="1"/>
      <c r="AT752" s="1"/>
      <c r="AU752" s="4"/>
      <c r="AV752" s="4"/>
      <c r="AW752" s="4"/>
      <c r="AX752" s="5"/>
      <c r="AY752" s="4"/>
      <c r="AZ752" s="5"/>
      <c r="BA752" s="1"/>
      <c r="BB752" s="1"/>
      <c r="BC752" s="1"/>
      <c r="BD752" s="6"/>
      <c r="BE752" s="1"/>
      <c r="BF752" s="6"/>
      <c r="BG752" s="6"/>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2"/>
      <c r="AR753" s="3"/>
      <c r="AS753" s="1"/>
      <c r="AT753" s="1"/>
      <c r="AU753" s="4"/>
      <c r="AV753" s="4"/>
      <c r="AW753" s="4"/>
      <c r="AX753" s="5"/>
      <c r="AY753" s="4"/>
      <c r="AZ753" s="5"/>
      <c r="BA753" s="1"/>
      <c r="BB753" s="1"/>
      <c r="BC753" s="1"/>
      <c r="BD753" s="6"/>
      <c r="BE753" s="1"/>
      <c r="BF753" s="6"/>
      <c r="BG753" s="6"/>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2"/>
      <c r="AR754" s="3"/>
      <c r="AS754" s="1"/>
      <c r="AT754" s="1"/>
      <c r="AU754" s="4"/>
      <c r="AV754" s="4"/>
      <c r="AW754" s="4"/>
      <c r="AX754" s="5"/>
      <c r="AY754" s="4"/>
      <c r="AZ754" s="5"/>
      <c r="BA754" s="1"/>
      <c r="BB754" s="1"/>
      <c r="BC754" s="1"/>
      <c r="BD754" s="6"/>
      <c r="BE754" s="1"/>
      <c r="BF754" s="6"/>
      <c r="BG754" s="6"/>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2"/>
      <c r="AR755" s="3"/>
      <c r="AS755" s="1"/>
      <c r="AT755" s="1"/>
      <c r="AU755" s="4"/>
      <c r="AV755" s="4"/>
      <c r="AW755" s="4"/>
      <c r="AX755" s="5"/>
      <c r="AY755" s="4"/>
      <c r="AZ755" s="5"/>
      <c r="BA755" s="1"/>
      <c r="BB755" s="1"/>
      <c r="BC755" s="1"/>
      <c r="BD755" s="6"/>
      <c r="BE755" s="1"/>
      <c r="BF755" s="6"/>
      <c r="BG755" s="6"/>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2"/>
      <c r="AR756" s="3"/>
      <c r="AS756" s="1"/>
      <c r="AT756" s="1"/>
      <c r="AU756" s="4"/>
      <c r="AV756" s="4"/>
      <c r="AW756" s="4"/>
      <c r="AX756" s="5"/>
      <c r="AY756" s="4"/>
      <c r="AZ756" s="5"/>
      <c r="BA756" s="1"/>
      <c r="BB756" s="1"/>
      <c r="BC756" s="1"/>
      <c r="BD756" s="6"/>
      <c r="BE756" s="1"/>
      <c r="BF756" s="6"/>
      <c r="BG756" s="6"/>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2"/>
      <c r="AR757" s="3"/>
      <c r="AS757" s="1"/>
      <c r="AT757" s="1"/>
      <c r="AU757" s="4"/>
      <c r="AV757" s="4"/>
      <c r="AW757" s="4"/>
      <c r="AX757" s="5"/>
      <c r="AY757" s="4"/>
      <c r="AZ757" s="5"/>
      <c r="BA757" s="1"/>
      <c r="BB757" s="1"/>
      <c r="BC757" s="1"/>
      <c r="BD757" s="6"/>
      <c r="BE757" s="1"/>
      <c r="BF757" s="6"/>
      <c r="BG757" s="6"/>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2"/>
      <c r="AR758" s="3"/>
      <c r="AS758" s="1"/>
      <c r="AT758" s="1"/>
      <c r="AU758" s="4"/>
      <c r="AV758" s="4"/>
      <c r="AW758" s="4"/>
      <c r="AX758" s="5"/>
      <c r="AY758" s="4"/>
      <c r="AZ758" s="5"/>
      <c r="BA758" s="1"/>
      <c r="BB758" s="1"/>
      <c r="BC758" s="1"/>
      <c r="BD758" s="6"/>
      <c r="BE758" s="1"/>
      <c r="BF758" s="6"/>
      <c r="BG758" s="6"/>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2"/>
      <c r="AR759" s="3"/>
      <c r="AS759" s="1"/>
      <c r="AT759" s="1"/>
      <c r="AU759" s="4"/>
      <c r="AV759" s="4"/>
      <c r="AW759" s="4"/>
      <c r="AX759" s="5"/>
      <c r="AY759" s="4"/>
      <c r="AZ759" s="5"/>
      <c r="BA759" s="1"/>
      <c r="BB759" s="1"/>
      <c r="BC759" s="1"/>
      <c r="BD759" s="6"/>
      <c r="BE759" s="1"/>
      <c r="BF759" s="6"/>
      <c r="BG759" s="6"/>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2"/>
      <c r="AR760" s="3"/>
      <c r="AS760" s="1"/>
      <c r="AT760" s="1"/>
      <c r="AU760" s="4"/>
      <c r="AV760" s="4"/>
      <c r="AW760" s="4"/>
      <c r="AX760" s="5"/>
      <c r="AY760" s="4"/>
      <c r="AZ760" s="5"/>
      <c r="BA760" s="1"/>
      <c r="BB760" s="1"/>
      <c r="BC760" s="1"/>
      <c r="BD760" s="6"/>
      <c r="BE760" s="1"/>
      <c r="BF760" s="6"/>
      <c r="BG760" s="6"/>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2"/>
      <c r="AR761" s="3"/>
      <c r="AS761" s="1"/>
      <c r="AT761" s="1"/>
      <c r="AU761" s="4"/>
      <c r="AV761" s="4"/>
      <c r="AW761" s="4"/>
      <c r="AX761" s="5"/>
      <c r="AY761" s="4"/>
      <c r="AZ761" s="5"/>
      <c r="BA761" s="1"/>
      <c r="BB761" s="1"/>
      <c r="BC761" s="1"/>
      <c r="BD761" s="6"/>
      <c r="BE761" s="1"/>
      <c r="BF761" s="6"/>
      <c r="BG761" s="6"/>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2"/>
      <c r="AR762" s="3"/>
      <c r="AS762" s="1"/>
      <c r="AT762" s="1"/>
      <c r="AU762" s="4"/>
      <c r="AV762" s="4"/>
      <c r="AW762" s="4"/>
      <c r="AX762" s="5"/>
      <c r="AY762" s="4"/>
      <c r="AZ762" s="5"/>
      <c r="BA762" s="1"/>
      <c r="BB762" s="1"/>
      <c r="BC762" s="1"/>
      <c r="BD762" s="6"/>
      <c r="BE762" s="1"/>
      <c r="BF762" s="6"/>
      <c r="BG762" s="6"/>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2"/>
      <c r="AR763" s="3"/>
      <c r="AS763" s="1"/>
      <c r="AT763" s="1"/>
      <c r="AU763" s="4"/>
      <c r="AV763" s="4"/>
      <c r="AW763" s="4"/>
      <c r="AX763" s="5"/>
      <c r="AY763" s="4"/>
      <c r="AZ763" s="5"/>
      <c r="BA763" s="1"/>
      <c r="BB763" s="1"/>
      <c r="BC763" s="1"/>
      <c r="BD763" s="6"/>
      <c r="BE763" s="1"/>
      <c r="BF763" s="6"/>
      <c r="BG763" s="6"/>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2"/>
      <c r="AR764" s="3"/>
      <c r="AS764" s="1"/>
      <c r="AT764" s="1"/>
      <c r="AU764" s="4"/>
      <c r="AV764" s="4"/>
      <c r="AW764" s="4"/>
      <c r="AX764" s="5"/>
      <c r="AY764" s="4"/>
      <c r="AZ764" s="5"/>
      <c r="BA764" s="1"/>
      <c r="BB764" s="1"/>
      <c r="BC764" s="1"/>
      <c r="BD764" s="6"/>
      <c r="BE764" s="1"/>
      <c r="BF764" s="6"/>
      <c r="BG764" s="6"/>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2"/>
      <c r="AR765" s="3"/>
      <c r="AS765" s="1"/>
      <c r="AT765" s="1"/>
      <c r="AU765" s="4"/>
      <c r="AV765" s="4"/>
      <c r="AW765" s="4"/>
      <c r="AX765" s="5"/>
      <c r="AY765" s="4"/>
      <c r="AZ765" s="5"/>
      <c r="BA765" s="1"/>
      <c r="BB765" s="1"/>
      <c r="BC765" s="1"/>
      <c r="BD765" s="6"/>
      <c r="BE765" s="1"/>
      <c r="BF765" s="6"/>
      <c r="BG765" s="6"/>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2"/>
      <c r="AR766" s="3"/>
      <c r="AS766" s="1"/>
      <c r="AT766" s="1"/>
      <c r="AU766" s="4"/>
      <c r="AV766" s="4"/>
      <c r="AW766" s="4"/>
      <c r="AX766" s="5"/>
      <c r="AY766" s="4"/>
      <c r="AZ766" s="5"/>
      <c r="BA766" s="1"/>
      <c r="BB766" s="1"/>
      <c r="BC766" s="1"/>
      <c r="BD766" s="6"/>
      <c r="BE766" s="1"/>
      <c r="BF766" s="6"/>
      <c r="BG766" s="6"/>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2"/>
      <c r="AR767" s="3"/>
      <c r="AS767" s="1"/>
      <c r="AT767" s="1"/>
      <c r="AU767" s="4"/>
      <c r="AV767" s="4"/>
      <c r="AW767" s="4"/>
      <c r="AX767" s="5"/>
      <c r="AY767" s="4"/>
      <c r="AZ767" s="5"/>
      <c r="BA767" s="1"/>
      <c r="BB767" s="1"/>
      <c r="BC767" s="1"/>
      <c r="BD767" s="6"/>
      <c r="BE767" s="1"/>
      <c r="BF767" s="6"/>
      <c r="BG767" s="6"/>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2"/>
      <c r="AR768" s="3"/>
      <c r="AS768" s="1"/>
      <c r="AT768" s="1"/>
      <c r="AU768" s="4"/>
      <c r="AV768" s="4"/>
      <c r="AW768" s="4"/>
      <c r="AX768" s="5"/>
      <c r="AY768" s="4"/>
      <c r="AZ768" s="5"/>
      <c r="BA768" s="1"/>
      <c r="BB768" s="1"/>
      <c r="BC768" s="1"/>
      <c r="BD768" s="6"/>
      <c r="BE768" s="1"/>
      <c r="BF768" s="6"/>
      <c r="BG768" s="6"/>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2"/>
      <c r="AR769" s="3"/>
      <c r="AS769" s="1"/>
      <c r="AT769" s="1"/>
      <c r="AU769" s="4"/>
      <c r="AV769" s="4"/>
      <c r="AW769" s="4"/>
      <c r="AX769" s="5"/>
      <c r="AY769" s="4"/>
      <c r="AZ769" s="5"/>
      <c r="BA769" s="1"/>
      <c r="BB769" s="1"/>
      <c r="BC769" s="1"/>
      <c r="BD769" s="6"/>
      <c r="BE769" s="1"/>
      <c r="BF769" s="6"/>
      <c r="BG769" s="6"/>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2"/>
      <c r="AR770" s="3"/>
      <c r="AS770" s="1"/>
      <c r="AT770" s="1"/>
      <c r="AU770" s="4"/>
      <c r="AV770" s="4"/>
      <c r="AW770" s="4"/>
      <c r="AX770" s="5"/>
      <c r="AY770" s="4"/>
      <c r="AZ770" s="5"/>
      <c r="BA770" s="1"/>
      <c r="BB770" s="1"/>
      <c r="BC770" s="1"/>
      <c r="BD770" s="6"/>
      <c r="BE770" s="1"/>
      <c r="BF770" s="6"/>
      <c r="BG770" s="6"/>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2"/>
      <c r="AR771" s="3"/>
      <c r="AS771" s="1"/>
      <c r="AT771" s="1"/>
      <c r="AU771" s="4"/>
      <c r="AV771" s="4"/>
      <c r="AW771" s="4"/>
      <c r="AX771" s="5"/>
      <c r="AY771" s="4"/>
      <c r="AZ771" s="5"/>
      <c r="BA771" s="1"/>
      <c r="BB771" s="1"/>
      <c r="BC771" s="1"/>
      <c r="BD771" s="6"/>
      <c r="BE771" s="1"/>
      <c r="BF771" s="6"/>
      <c r="BG771" s="6"/>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2"/>
      <c r="AR772" s="3"/>
      <c r="AS772" s="1"/>
      <c r="AT772" s="1"/>
      <c r="AU772" s="4"/>
      <c r="AV772" s="4"/>
      <c r="AW772" s="4"/>
      <c r="AX772" s="5"/>
      <c r="AY772" s="4"/>
      <c r="AZ772" s="5"/>
      <c r="BA772" s="1"/>
      <c r="BB772" s="1"/>
      <c r="BC772" s="1"/>
      <c r="BD772" s="6"/>
      <c r="BE772" s="1"/>
      <c r="BF772" s="6"/>
      <c r="BG772" s="6"/>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2"/>
      <c r="AR773" s="3"/>
      <c r="AS773" s="1"/>
      <c r="AT773" s="1"/>
      <c r="AU773" s="4"/>
      <c r="AV773" s="4"/>
      <c r="AW773" s="4"/>
      <c r="AX773" s="5"/>
      <c r="AY773" s="4"/>
      <c r="AZ773" s="5"/>
      <c r="BA773" s="1"/>
      <c r="BB773" s="1"/>
      <c r="BC773" s="1"/>
      <c r="BD773" s="6"/>
      <c r="BE773" s="1"/>
      <c r="BF773" s="6"/>
      <c r="BG773" s="6"/>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2"/>
      <c r="AR774" s="3"/>
      <c r="AS774" s="1"/>
      <c r="AT774" s="1"/>
      <c r="AU774" s="4"/>
      <c r="AV774" s="4"/>
      <c r="AW774" s="4"/>
      <c r="AX774" s="5"/>
      <c r="AY774" s="4"/>
      <c r="AZ774" s="5"/>
      <c r="BA774" s="1"/>
      <c r="BB774" s="1"/>
      <c r="BC774" s="1"/>
      <c r="BD774" s="6"/>
      <c r="BE774" s="1"/>
      <c r="BF774" s="6"/>
      <c r="BG774" s="6"/>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2"/>
      <c r="AR775" s="3"/>
      <c r="AS775" s="1"/>
      <c r="AT775" s="1"/>
      <c r="AU775" s="4"/>
      <c r="AV775" s="4"/>
      <c r="AW775" s="4"/>
      <c r="AX775" s="5"/>
      <c r="AY775" s="4"/>
      <c r="AZ775" s="5"/>
      <c r="BA775" s="1"/>
      <c r="BB775" s="1"/>
      <c r="BC775" s="1"/>
      <c r="BD775" s="6"/>
      <c r="BE775" s="1"/>
      <c r="BF775" s="6"/>
      <c r="BG775" s="6"/>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2"/>
      <c r="AR776" s="3"/>
      <c r="AS776" s="1"/>
      <c r="AT776" s="1"/>
      <c r="AU776" s="4"/>
      <c r="AV776" s="4"/>
      <c r="AW776" s="4"/>
      <c r="AX776" s="5"/>
      <c r="AY776" s="4"/>
      <c r="AZ776" s="5"/>
      <c r="BA776" s="1"/>
      <c r="BB776" s="1"/>
      <c r="BC776" s="1"/>
      <c r="BD776" s="6"/>
      <c r="BE776" s="1"/>
      <c r="BF776" s="6"/>
      <c r="BG776" s="6"/>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2"/>
      <c r="AR777" s="3"/>
      <c r="AS777" s="1"/>
      <c r="AT777" s="1"/>
      <c r="AU777" s="4"/>
      <c r="AV777" s="4"/>
      <c r="AW777" s="4"/>
      <c r="AX777" s="5"/>
      <c r="AY777" s="4"/>
      <c r="AZ777" s="5"/>
      <c r="BA777" s="1"/>
      <c r="BB777" s="1"/>
      <c r="BC777" s="1"/>
      <c r="BD777" s="6"/>
      <c r="BE777" s="1"/>
      <c r="BF777" s="6"/>
      <c r="BG777" s="6"/>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2"/>
      <c r="AR778" s="3"/>
      <c r="AS778" s="1"/>
      <c r="AT778" s="1"/>
      <c r="AU778" s="4"/>
      <c r="AV778" s="4"/>
      <c r="AW778" s="4"/>
      <c r="AX778" s="5"/>
      <c r="AY778" s="4"/>
      <c r="AZ778" s="5"/>
      <c r="BA778" s="1"/>
      <c r="BB778" s="1"/>
      <c r="BC778" s="1"/>
      <c r="BD778" s="6"/>
      <c r="BE778" s="1"/>
      <c r="BF778" s="6"/>
      <c r="BG778" s="6"/>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2"/>
      <c r="AR779" s="3"/>
      <c r="AS779" s="1"/>
      <c r="AT779" s="1"/>
      <c r="AU779" s="4"/>
      <c r="AV779" s="4"/>
      <c r="AW779" s="4"/>
      <c r="AX779" s="5"/>
      <c r="AY779" s="4"/>
      <c r="AZ779" s="5"/>
      <c r="BA779" s="1"/>
      <c r="BB779" s="1"/>
      <c r="BC779" s="1"/>
      <c r="BD779" s="6"/>
      <c r="BE779" s="1"/>
      <c r="BF779" s="6"/>
      <c r="BG779" s="6"/>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2"/>
      <c r="AR780" s="3"/>
      <c r="AS780" s="1"/>
      <c r="AT780" s="1"/>
      <c r="AU780" s="4"/>
      <c r="AV780" s="4"/>
      <c r="AW780" s="4"/>
      <c r="AX780" s="5"/>
      <c r="AY780" s="4"/>
      <c r="AZ780" s="5"/>
      <c r="BA780" s="1"/>
      <c r="BB780" s="1"/>
      <c r="BC780" s="1"/>
      <c r="BD780" s="6"/>
      <c r="BE780" s="1"/>
      <c r="BF780" s="6"/>
      <c r="BG780" s="6"/>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2"/>
      <c r="AR781" s="3"/>
      <c r="AS781" s="1"/>
      <c r="AT781" s="1"/>
      <c r="AU781" s="4"/>
      <c r="AV781" s="4"/>
      <c r="AW781" s="4"/>
      <c r="AX781" s="5"/>
      <c r="AY781" s="4"/>
      <c r="AZ781" s="5"/>
      <c r="BA781" s="1"/>
      <c r="BB781" s="1"/>
      <c r="BC781" s="1"/>
      <c r="BD781" s="6"/>
      <c r="BE781" s="1"/>
      <c r="BF781" s="6"/>
      <c r="BG781" s="6"/>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2"/>
      <c r="AR782" s="3"/>
      <c r="AS782" s="1"/>
      <c r="AT782" s="1"/>
      <c r="AU782" s="4"/>
      <c r="AV782" s="4"/>
      <c r="AW782" s="4"/>
      <c r="AX782" s="5"/>
      <c r="AY782" s="4"/>
      <c r="AZ782" s="5"/>
      <c r="BA782" s="1"/>
      <c r="BB782" s="1"/>
      <c r="BC782" s="1"/>
      <c r="BD782" s="6"/>
      <c r="BE782" s="1"/>
      <c r="BF782" s="6"/>
      <c r="BG782" s="6"/>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2"/>
      <c r="AR783" s="3"/>
      <c r="AS783" s="1"/>
      <c r="AT783" s="1"/>
      <c r="AU783" s="4"/>
      <c r="AV783" s="4"/>
      <c r="AW783" s="4"/>
      <c r="AX783" s="5"/>
      <c r="AY783" s="4"/>
      <c r="AZ783" s="5"/>
      <c r="BA783" s="1"/>
      <c r="BB783" s="1"/>
      <c r="BC783" s="1"/>
      <c r="BD783" s="6"/>
      <c r="BE783" s="1"/>
      <c r="BF783" s="6"/>
      <c r="BG783" s="6"/>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2"/>
      <c r="AR784" s="3"/>
      <c r="AS784" s="1"/>
      <c r="AT784" s="1"/>
      <c r="AU784" s="4"/>
      <c r="AV784" s="4"/>
      <c r="AW784" s="4"/>
      <c r="AX784" s="5"/>
      <c r="AY784" s="4"/>
      <c r="AZ784" s="5"/>
      <c r="BA784" s="1"/>
      <c r="BB784" s="1"/>
      <c r="BC784" s="1"/>
      <c r="BD784" s="6"/>
      <c r="BE784" s="1"/>
      <c r="BF784" s="6"/>
      <c r="BG784" s="6"/>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2"/>
      <c r="AR785" s="3"/>
      <c r="AS785" s="1"/>
      <c r="AT785" s="1"/>
      <c r="AU785" s="4"/>
      <c r="AV785" s="4"/>
      <c r="AW785" s="4"/>
      <c r="AX785" s="5"/>
      <c r="AY785" s="4"/>
      <c r="AZ785" s="5"/>
      <c r="BA785" s="1"/>
      <c r="BB785" s="1"/>
      <c r="BC785" s="1"/>
      <c r="BD785" s="6"/>
      <c r="BE785" s="1"/>
      <c r="BF785" s="6"/>
      <c r="BG785" s="6"/>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2"/>
      <c r="AR786" s="3"/>
      <c r="AS786" s="1"/>
      <c r="AT786" s="1"/>
      <c r="AU786" s="4"/>
      <c r="AV786" s="4"/>
      <c r="AW786" s="4"/>
      <c r="AX786" s="5"/>
      <c r="AY786" s="4"/>
      <c r="AZ786" s="5"/>
      <c r="BA786" s="1"/>
      <c r="BB786" s="1"/>
      <c r="BC786" s="1"/>
      <c r="BD786" s="6"/>
      <c r="BE786" s="1"/>
      <c r="BF786" s="6"/>
      <c r="BG786" s="6"/>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2"/>
      <c r="AR787" s="3"/>
      <c r="AS787" s="1"/>
      <c r="AT787" s="1"/>
      <c r="AU787" s="4"/>
      <c r="AV787" s="4"/>
      <c r="AW787" s="4"/>
      <c r="AX787" s="5"/>
      <c r="AY787" s="4"/>
      <c r="AZ787" s="5"/>
      <c r="BA787" s="1"/>
      <c r="BB787" s="1"/>
      <c r="BC787" s="1"/>
      <c r="BD787" s="6"/>
      <c r="BE787" s="1"/>
      <c r="BF787" s="6"/>
      <c r="BG787" s="6"/>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2"/>
      <c r="AR788" s="3"/>
      <c r="AS788" s="1"/>
      <c r="AT788" s="1"/>
      <c r="AU788" s="4"/>
      <c r="AV788" s="4"/>
      <c r="AW788" s="4"/>
      <c r="AX788" s="5"/>
      <c r="AY788" s="4"/>
      <c r="AZ788" s="5"/>
      <c r="BA788" s="1"/>
      <c r="BB788" s="1"/>
      <c r="BC788" s="1"/>
      <c r="BD788" s="6"/>
      <c r="BE788" s="1"/>
      <c r="BF788" s="6"/>
      <c r="BG788" s="6"/>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2"/>
      <c r="AR789" s="3"/>
      <c r="AS789" s="1"/>
      <c r="AT789" s="1"/>
      <c r="AU789" s="4"/>
      <c r="AV789" s="4"/>
      <c r="AW789" s="4"/>
      <c r="AX789" s="5"/>
      <c r="AY789" s="4"/>
      <c r="AZ789" s="5"/>
      <c r="BA789" s="1"/>
      <c r="BB789" s="1"/>
      <c r="BC789" s="1"/>
      <c r="BD789" s="6"/>
      <c r="BE789" s="1"/>
      <c r="BF789" s="6"/>
      <c r="BG789" s="6"/>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2"/>
      <c r="AR790" s="3"/>
      <c r="AS790" s="1"/>
      <c r="AT790" s="1"/>
      <c r="AU790" s="4"/>
      <c r="AV790" s="4"/>
      <c r="AW790" s="4"/>
      <c r="AX790" s="5"/>
      <c r="AY790" s="4"/>
      <c r="AZ790" s="5"/>
      <c r="BA790" s="1"/>
      <c r="BB790" s="1"/>
      <c r="BC790" s="1"/>
      <c r="BD790" s="6"/>
      <c r="BE790" s="1"/>
      <c r="BF790" s="6"/>
      <c r="BG790" s="6"/>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2"/>
      <c r="AR791" s="3"/>
      <c r="AS791" s="1"/>
      <c r="AT791" s="1"/>
      <c r="AU791" s="4"/>
      <c r="AV791" s="4"/>
      <c r="AW791" s="4"/>
      <c r="AX791" s="5"/>
      <c r="AY791" s="4"/>
      <c r="AZ791" s="5"/>
      <c r="BA791" s="1"/>
      <c r="BB791" s="1"/>
      <c r="BC791" s="1"/>
      <c r="BD791" s="6"/>
      <c r="BE791" s="1"/>
      <c r="BF791" s="6"/>
      <c r="BG791" s="6"/>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2"/>
      <c r="AR792" s="3"/>
      <c r="AS792" s="1"/>
      <c r="AT792" s="1"/>
      <c r="AU792" s="4"/>
      <c r="AV792" s="4"/>
      <c r="AW792" s="4"/>
      <c r="AX792" s="5"/>
      <c r="AY792" s="4"/>
      <c r="AZ792" s="5"/>
      <c r="BA792" s="1"/>
      <c r="BB792" s="1"/>
      <c r="BC792" s="1"/>
      <c r="BD792" s="6"/>
      <c r="BE792" s="1"/>
      <c r="BF792" s="6"/>
      <c r="BG792" s="6"/>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2"/>
      <c r="AR793" s="3"/>
      <c r="AS793" s="1"/>
      <c r="AT793" s="1"/>
      <c r="AU793" s="4"/>
      <c r="AV793" s="4"/>
      <c r="AW793" s="4"/>
      <c r="AX793" s="5"/>
      <c r="AY793" s="4"/>
      <c r="AZ793" s="5"/>
      <c r="BA793" s="1"/>
      <c r="BB793" s="1"/>
      <c r="BC793" s="1"/>
      <c r="BD793" s="6"/>
      <c r="BE793" s="1"/>
      <c r="BF793" s="6"/>
      <c r="BG793" s="6"/>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2"/>
      <c r="AR794" s="3"/>
      <c r="AS794" s="1"/>
      <c r="AT794" s="1"/>
      <c r="AU794" s="4"/>
      <c r="AV794" s="4"/>
      <c r="AW794" s="4"/>
      <c r="AX794" s="5"/>
      <c r="AY794" s="4"/>
      <c r="AZ794" s="5"/>
      <c r="BA794" s="1"/>
      <c r="BB794" s="1"/>
      <c r="BC794" s="1"/>
      <c r="BD794" s="6"/>
      <c r="BE794" s="1"/>
      <c r="BF794" s="6"/>
      <c r="BG794" s="6"/>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2"/>
      <c r="AR795" s="3"/>
      <c r="AS795" s="1"/>
      <c r="AT795" s="1"/>
      <c r="AU795" s="4"/>
      <c r="AV795" s="4"/>
      <c r="AW795" s="4"/>
      <c r="AX795" s="5"/>
      <c r="AY795" s="4"/>
      <c r="AZ795" s="5"/>
      <c r="BA795" s="1"/>
      <c r="BB795" s="1"/>
      <c r="BC795" s="1"/>
      <c r="BD795" s="6"/>
      <c r="BE795" s="1"/>
      <c r="BF795" s="6"/>
      <c r="BG795" s="6"/>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2"/>
      <c r="AR796" s="3"/>
      <c r="AS796" s="1"/>
      <c r="AT796" s="1"/>
      <c r="AU796" s="4"/>
      <c r="AV796" s="4"/>
      <c r="AW796" s="4"/>
      <c r="AX796" s="5"/>
      <c r="AY796" s="4"/>
      <c r="AZ796" s="5"/>
      <c r="BA796" s="1"/>
      <c r="BB796" s="1"/>
      <c r="BC796" s="1"/>
      <c r="BD796" s="6"/>
      <c r="BE796" s="1"/>
      <c r="BF796" s="6"/>
      <c r="BG796" s="6"/>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2"/>
      <c r="AR797" s="3"/>
      <c r="AS797" s="1"/>
      <c r="AT797" s="1"/>
      <c r="AU797" s="4"/>
      <c r="AV797" s="4"/>
      <c r="AW797" s="4"/>
      <c r="AX797" s="5"/>
      <c r="AY797" s="4"/>
      <c r="AZ797" s="5"/>
      <c r="BA797" s="1"/>
      <c r="BB797" s="1"/>
      <c r="BC797" s="1"/>
      <c r="BD797" s="6"/>
      <c r="BE797" s="1"/>
      <c r="BF797" s="6"/>
      <c r="BG797" s="6"/>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2"/>
      <c r="AR798" s="3"/>
      <c r="AS798" s="1"/>
      <c r="AT798" s="1"/>
      <c r="AU798" s="4"/>
      <c r="AV798" s="4"/>
      <c r="AW798" s="4"/>
      <c r="AX798" s="5"/>
      <c r="AY798" s="4"/>
      <c r="AZ798" s="5"/>
      <c r="BA798" s="1"/>
      <c r="BB798" s="1"/>
      <c r="BC798" s="1"/>
      <c r="BD798" s="6"/>
      <c r="BE798" s="1"/>
      <c r="BF798" s="6"/>
      <c r="BG798" s="6"/>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2"/>
      <c r="AR799" s="3"/>
      <c r="AS799" s="1"/>
      <c r="AT799" s="1"/>
      <c r="AU799" s="4"/>
      <c r="AV799" s="4"/>
      <c r="AW799" s="4"/>
      <c r="AX799" s="5"/>
      <c r="AY799" s="4"/>
      <c r="AZ799" s="5"/>
      <c r="BA799" s="1"/>
      <c r="BB799" s="1"/>
      <c r="BC799" s="1"/>
      <c r="BD799" s="6"/>
      <c r="BE799" s="1"/>
      <c r="BF799" s="6"/>
      <c r="BG799" s="6"/>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2"/>
      <c r="AR800" s="3"/>
      <c r="AS800" s="1"/>
      <c r="AT800" s="1"/>
      <c r="AU800" s="4"/>
      <c r="AV800" s="4"/>
      <c r="AW800" s="4"/>
      <c r="AX800" s="5"/>
      <c r="AY800" s="4"/>
      <c r="AZ800" s="5"/>
      <c r="BA800" s="1"/>
      <c r="BB800" s="1"/>
      <c r="BC800" s="1"/>
      <c r="BD800" s="6"/>
      <c r="BE800" s="1"/>
      <c r="BF800" s="6"/>
      <c r="BG800" s="6"/>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2"/>
      <c r="AR801" s="3"/>
      <c r="AS801" s="1"/>
      <c r="AT801" s="1"/>
      <c r="AU801" s="4"/>
      <c r="AV801" s="4"/>
      <c r="AW801" s="4"/>
      <c r="AX801" s="5"/>
      <c r="AY801" s="4"/>
      <c r="AZ801" s="5"/>
      <c r="BA801" s="1"/>
      <c r="BB801" s="1"/>
      <c r="BC801" s="1"/>
      <c r="BD801" s="6"/>
      <c r="BE801" s="1"/>
      <c r="BF801" s="6"/>
      <c r="BG801" s="6"/>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2"/>
      <c r="AR802" s="3"/>
      <c r="AS802" s="1"/>
      <c r="AT802" s="1"/>
      <c r="AU802" s="4"/>
      <c r="AV802" s="4"/>
      <c r="AW802" s="4"/>
      <c r="AX802" s="5"/>
      <c r="AY802" s="4"/>
      <c r="AZ802" s="5"/>
      <c r="BA802" s="1"/>
      <c r="BB802" s="1"/>
      <c r="BC802" s="1"/>
      <c r="BD802" s="6"/>
      <c r="BE802" s="1"/>
      <c r="BF802" s="6"/>
      <c r="BG802" s="6"/>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2"/>
      <c r="AR803" s="3"/>
      <c r="AS803" s="1"/>
      <c r="AT803" s="1"/>
      <c r="AU803" s="4"/>
      <c r="AV803" s="4"/>
      <c r="AW803" s="4"/>
      <c r="AX803" s="5"/>
      <c r="AY803" s="4"/>
      <c r="AZ803" s="5"/>
      <c r="BA803" s="1"/>
      <c r="BB803" s="1"/>
      <c r="BC803" s="1"/>
      <c r="BD803" s="6"/>
      <c r="BE803" s="1"/>
      <c r="BF803" s="6"/>
      <c r="BG803" s="6"/>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2"/>
      <c r="AR804" s="3"/>
      <c r="AS804" s="1"/>
      <c r="AT804" s="1"/>
      <c r="AU804" s="4"/>
      <c r="AV804" s="4"/>
      <c r="AW804" s="4"/>
      <c r="AX804" s="5"/>
      <c r="AY804" s="4"/>
      <c r="AZ804" s="5"/>
      <c r="BA804" s="1"/>
      <c r="BB804" s="1"/>
      <c r="BC804" s="1"/>
      <c r="BD804" s="6"/>
      <c r="BE804" s="1"/>
      <c r="BF804" s="6"/>
      <c r="BG804" s="6"/>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2"/>
      <c r="AR805" s="3"/>
      <c r="AS805" s="1"/>
      <c r="AT805" s="1"/>
      <c r="AU805" s="4"/>
      <c r="AV805" s="4"/>
      <c r="AW805" s="4"/>
      <c r="AX805" s="5"/>
      <c r="AY805" s="4"/>
      <c r="AZ805" s="5"/>
      <c r="BA805" s="1"/>
      <c r="BB805" s="1"/>
      <c r="BC805" s="1"/>
      <c r="BD805" s="6"/>
      <c r="BE805" s="1"/>
      <c r="BF805" s="6"/>
      <c r="BG805" s="6"/>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2"/>
      <c r="AR806" s="3"/>
      <c r="AS806" s="1"/>
      <c r="AT806" s="1"/>
      <c r="AU806" s="4"/>
      <c r="AV806" s="4"/>
      <c r="AW806" s="4"/>
      <c r="AX806" s="5"/>
      <c r="AY806" s="4"/>
      <c r="AZ806" s="5"/>
      <c r="BA806" s="1"/>
      <c r="BB806" s="1"/>
      <c r="BC806" s="1"/>
      <c r="BD806" s="6"/>
      <c r="BE806" s="1"/>
      <c r="BF806" s="6"/>
      <c r="BG806" s="6"/>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2"/>
      <c r="AR807" s="3"/>
      <c r="AS807" s="1"/>
      <c r="AT807" s="1"/>
      <c r="AU807" s="4"/>
      <c r="AV807" s="4"/>
      <c r="AW807" s="4"/>
      <c r="AX807" s="5"/>
      <c r="AY807" s="4"/>
      <c r="AZ807" s="5"/>
      <c r="BA807" s="1"/>
      <c r="BB807" s="1"/>
      <c r="BC807" s="1"/>
      <c r="BD807" s="6"/>
      <c r="BE807" s="1"/>
      <c r="BF807" s="6"/>
      <c r="BG807" s="6"/>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2"/>
      <c r="AR808" s="3"/>
      <c r="AS808" s="1"/>
      <c r="AT808" s="1"/>
      <c r="AU808" s="4"/>
      <c r="AV808" s="4"/>
      <c r="AW808" s="4"/>
      <c r="AX808" s="5"/>
      <c r="AY808" s="4"/>
      <c r="AZ808" s="5"/>
      <c r="BA808" s="1"/>
      <c r="BB808" s="1"/>
      <c r="BC808" s="1"/>
      <c r="BD808" s="6"/>
      <c r="BE808" s="1"/>
      <c r="BF808" s="6"/>
      <c r="BG808" s="6"/>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2"/>
      <c r="AR809" s="3"/>
      <c r="AS809" s="1"/>
      <c r="AT809" s="1"/>
      <c r="AU809" s="4"/>
      <c r="AV809" s="4"/>
      <c r="AW809" s="4"/>
      <c r="AX809" s="5"/>
      <c r="AY809" s="4"/>
      <c r="AZ809" s="5"/>
      <c r="BA809" s="1"/>
      <c r="BB809" s="1"/>
      <c r="BC809" s="1"/>
      <c r="BD809" s="6"/>
      <c r="BE809" s="1"/>
      <c r="BF809" s="6"/>
      <c r="BG809" s="6"/>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2"/>
      <c r="AR810" s="3"/>
      <c r="AS810" s="1"/>
      <c r="AT810" s="1"/>
      <c r="AU810" s="4"/>
      <c r="AV810" s="4"/>
      <c r="AW810" s="4"/>
      <c r="AX810" s="5"/>
      <c r="AY810" s="4"/>
      <c r="AZ810" s="5"/>
      <c r="BA810" s="1"/>
      <c r="BB810" s="1"/>
      <c r="BC810" s="1"/>
      <c r="BD810" s="6"/>
      <c r="BE810" s="1"/>
      <c r="BF810" s="6"/>
      <c r="BG810" s="6"/>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2"/>
      <c r="AR811" s="3"/>
      <c r="AS811" s="1"/>
      <c r="AT811" s="1"/>
      <c r="AU811" s="4"/>
      <c r="AV811" s="4"/>
      <c r="AW811" s="4"/>
      <c r="AX811" s="5"/>
      <c r="AY811" s="4"/>
      <c r="AZ811" s="5"/>
      <c r="BA811" s="1"/>
      <c r="BB811" s="1"/>
      <c r="BC811" s="1"/>
      <c r="BD811" s="6"/>
      <c r="BE811" s="1"/>
      <c r="BF811" s="6"/>
      <c r="BG811" s="6"/>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2"/>
      <c r="AR812" s="3"/>
      <c r="AS812" s="1"/>
      <c r="AT812" s="1"/>
      <c r="AU812" s="4"/>
      <c r="AV812" s="4"/>
      <c r="AW812" s="4"/>
      <c r="AX812" s="5"/>
      <c r="AY812" s="4"/>
      <c r="AZ812" s="5"/>
      <c r="BA812" s="1"/>
      <c r="BB812" s="1"/>
      <c r="BC812" s="1"/>
      <c r="BD812" s="6"/>
      <c r="BE812" s="1"/>
      <c r="BF812" s="6"/>
      <c r="BG812" s="6"/>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2"/>
      <c r="AR813" s="3"/>
      <c r="AS813" s="1"/>
      <c r="AT813" s="1"/>
      <c r="AU813" s="4"/>
      <c r="AV813" s="4"/>
      <c r="AW813" s="4"/>
      <c r="AX813" s="5"/>
      <c r="AY813" s="4"/>
      <c r="AZ813" s="5"/>
      <c r="BA813" s="1"/>
      <c r="BB813" s="1"/>
      <c r="BC813" s="1"/>
      <c r="BD813" s="6"/>
      <c r="BE813" s="1"/>
      <c r="BF813" s="6"/>
      <c r="BG813" s="6"/>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2"/>
      <c r="AR814" s="3"/>
      <c r="AS814" s="1"/>
      <c r="AT814" s="1"/>
      <c r="AU814" s="4"/>
      <c r="AV814" s="4"/>
      <c r="AW814" s="4"/>
      <c r="AX814" s="5"/>
      <c r="AY814" s="4"/>
      <c r="AZ814" s="5"/>
      <c r="BA814" s="1"/>
      <c r="BB814" s="1"/>
      <c r="BC814" s="1"/>
      <c r="BD814" s="6"/>
      <c r="BE814" s="1"/>
      <c r="BF814" s="6"/>
      <c r="BG814" s="6"/>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2"/>
      <c r="AR815" s="3"/>
      <c r="AS815" s="1"/>
      <c r="AT815" s="1"/>
      <c r="AU815" s="4"/>
      <c r="AV815" s="4"/>
      <c r="AW815" s="4"/>
      <c r="AX815" s="5"/>
      <c r="AY815" s="4"/>
      <c r="AZ815" s="5"/>
      <c r="BA815" s="1"/>
      <c r="BB815" s="1"/>
      <c r="BC815" s="1"/>
      <c r="BD815" s="6"/>
      <c r="BE815" s="1"/>
      <c r="BF815" s="6"/>
      <c r="BG815" s="6"/>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2"/>
      <c r="AR816" s="3"/>
      <c r="AS816" s="1"/>
      <c r="AT816" s="1"/>
      <c r="AU816" s="4"/>
      <c r="AV816" s="4"/>
      <c r="AW816" s="4"/>
      <c r="AX816" s="5"/>
      <c r="AY816" s="4"/>
      <c r="AZ816" s="5"/>
      <c r="BA816" s="1"/>
      <c r="BB816" s="1"/>
      <c r="BC816" s="1"/>
      <c r="BD816" s="6"/>
      <c r="BE816" s="1"/>
      <c r="BF816" s="6"/>
      <c r="BG816" s="6"/>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2"/>
      <c r="AR817" s="3"/>
      <c r="AS817" s="1"/>
      <c r="AT817" s="1"/>
      <c r="AU817" s="4"/>
      <c r="AV817" s="4"/>
      <c r="AW817" s="4"/>
      <c r="AX817" s="5"/>
      <c r="AY817" s="4"/>
      <c r="AZ817" s="5"/>
      <c r="BA817" s="1"/>
      <c r="BB817" s="1"/>
      <c r="BC817" s="1"/>
      <c r="BD817" s="6"/>
      <c r="BE817" s="1"/>
      <c r="BF817" s="6"/>
      <c r="BG817" s="6"/>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2"/>
      <c r="AR818" s="3"/>
      <c r="AS818" s="1"/>
      <c r="AT818" s="1"/>
      <c r="AU818" s="4"/>
      <c r="AV818" s="4"/>
      <c r="AW818" s="4"/>
      <c r="AX818" s="5"/>
      <c r="AY818" s="4"/>
      <c r="AZ818" s="5"/>
      <c r="BA818" s="1"/>
      <c r="BB818" s="1"/>
      <c r="BC818" s="1"/>
      <c r="BD818" s="6"/>
      <c r="BE818" s="1"/>
      <c r="BF818" s="6"/>
      <c r="BG818" s="6"/>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2"/>
      <c r="AR819" s="3"/>
      <c r="AS819" s="1"/>
      <c r="AT819" s="1"/>
      <c r="AU819" s="4"/>
      <c r="AV819" s="4"/>
      <c r="AW819" s="4"/>
      <c r="AX819" s="5"/>
      <c r="AY819" s="4"/>
      <c r="AZ819" s="5"/>
      <c r="BA819" s="1"/>
      <c r="BB819" s="1"/>
      <c r="BC819" s="1"/>
      <c r="BD819" s="6"/>
      <c r="BE819" s="1"/>
      <c r="BF819" s="6"/>
      <c r="BG819" s="6"/>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2"/>
      <c r="AR820" s="3"/>
      <c r="AS820" s="1"/>
      <c r="AT820" s="1"/>
      <c r="AU820" s="4"/>
      <c r="AV820" s="4"/>
      <c r="AW820" s="4"/>
      <c r="AX820" s="5"/>
      <c r="AY820" s="4"/>
      <c r="AZ820" s="5"/>
      <c r="BA820" s="1"/>
      <c r="BB820" s="1"/>
      <c r="BC820" s="1"/>
      <c r="BD820" s="6"/>
      <c r="BE820" s="1"/>
      <c r="BF820" s="6"/>
      <c r="BG820" s="6"/>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2"/>
      <c r="AR821" s="3"/>
      <c r="AS821" s="1"/>
      <c r="AT821" s="1"/>
      <c r="AU821" s="4"/>
      <c r="AV821" s="4"/>
      <c r="AW821" s="4"/>
      <c r="AX821" s="5"/>
      <c r="AY821" s="4"/>
      <c r="AZ821" s="5"/>
      <c r="BA821" s="1"/>
      <c r="BB821" s="1"/>
      <c r="BC821" s="1"/>
      <c r="BD821" s="6"/>
      <c r="BE821" s="1"/>
      <c r="BF821" s="6"/>
      <c r="BG821" s="6"/>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2"/>
      <c r="AR822" s="3"/>
      <c r="AS822" s="1"/>
      <c r="AT822" s="1"/>
      <c r="AU822" s="4"/>
      <c r="AV822" s="4"/>
      <c r="AW822" s="4"/>
      <c r="AX822" s="5"/>
      <c r="AY822" s="4"/>
      <c r="AZ822" s="5"/>
      <c r="BA822" s="1"/>
      <c r="BB822" s="1"/>
      <c r="BC822" s="1"/>
      <c r="BD822" s="6"/>
      <c r="BE822" s="1"/>
      <c r="BF822" s="6"/>
      <c r="BG822" s="6"/>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2"/>
      <c r="AR823" s="3"/>
      <c r="AS823" s="1"/>
      <c r="AT823" s="1"/>
      <c r="AU823" s="4"/>
      <c r="AV823" s="4"/>
      <c r="AW823" s="4"/>
      <c r="AX823" s="5"/>
      <c r="AY823" s="4"/>
      <c r="AZ823" s="5"/>
      <c r="BA823" s="1"/>
      <c r="BB823" s="1"/>
      <c r="BC823" s="1"/>
      <c r="BD823" s="6"/>
      <c r="BE823" s="1"/>
      <c r="BF823" s="6"/>
      <c r="BG823" s="6"/>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2"/>
      <c r="AR824" s="3"/>
      <c r="AS824" s="1"/>
      <c r="AT824" s="1"/>
      <c r="AU824" s="4"/>
      <c r="AV824" s="4"/>
      <c r="AW824" s="4"/>
      <c r="AX824" s="5"/>
      <c r="AY824" s="4"/>
      <c r="AZ824" s="5"/>
      <c r="BA824" s="1"/>
      <c r="BB824" s="1"/>
      <c r="BC824" s="1"/>
      <c r="BD824" s="6"/>
      <c r="BE824" s="1"/>
      <c r="BF824" s="6"/>
      <c r="BG824" s="6"/>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2"/>
      <c r="AR825" s="3"/>
      <c r="AS825" s="1"/>
      <c r="AT825" s="1"/>
      <c r="AU825" s="4"/>
      <c r="AV825" s="4"/>
      <c r="AW825" s="4"/>
      <c r="AX825" s="5"/>
      <c r="AY825" s="4"/>
      <c r="AZ825" s="5"/>
      <c r="BA825" s="1"/>
      <c r="BB825" s="1"/>
      <c r="BC825" s="1"/>
      <c r="BD825" s="6"/>
      <c r="BE825" s="1"/>
      <c r="BF825" s="6"/>
      <c r="BG825" s="6"/>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2"/>
      <c r="AR826" s="3"/>
      <c r="AS826" s="1"/>
      <c r="AT826" s="1"/>
      <c r="AU826" s="4"/>
      <c r="AV826" s="4"/>
      <c r="AW826" s="4"/>
      <c r="AX826" s="5"/>
      <c r="AY826" s="4"/>
      <c r="AZ826" s="5"/>
      <c r="BA826" s="1"/>
      <c r="BB826" s="1"/>
      <c r="BC826" s="1"/>
      <c r="BD826" s="6"/>
      <c r="BE826" s="1"/>
      <c r="BF826" s="6"/>
      <c r="BG826" s="6"/>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2"/>
      <c r="AR827" s="3"/>
      <c r="AS827" s="1"/>
      <c r="AT827" s="1"/>
      <c r="AU827" s="4"/>
      <c r="AV827" s="4"/>
      <c r="AW827" s="4"/>
      <c r="AX827" s="5"/>
      <c r="AY827" s="4"/>
      <c r="AZ827" s="5"/>
      <c r="BA827" s="1"/>
      <c r="BB827" s="1"/>
      <c r="BC827" s="1"/>
      <c r="BD827" s="6"/>
      <c r="BE827" s="1"/>
      <c r="BF827" s="6"/>
      <c r="BG827" s="6"/>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2"/>
      <c r="AR828" s="3"/>
      <c r="AS828" s="1"/>
      <c r="AT828" s="1"/>
      <c r="AU828" s="4"/>
      <c r="AV828" s="4"/>
      <c r="AW828" s="4"/>
      <c r="AX828" s="5"/>
      <c r="AY828" s="4"/>
      <c r="AZ828" s="5"/>
      <c r="BA828" s="1"/>
      <c r="BB828" s="1"/>
      <c r="BC828" s="1"/>
      <c r="BD828" s="6"/>
      <c r="BE828" s="1"/>
      <c r="BF828" s="6"/>
      <c r="BG828" s="6"/>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2"/>
      <c r="AR829" s="3"/>
      <c r="AS829" s="1"/>
      <c r="AT829" s="1"/>
      <c r="AU829" s="4"/>
      <c r="AV829" s="4"/>
      <c r="AW829" s="4"/>
      <c r="AX829" s="5"/>
      <c r="AY829" s="4"/>
      <c r="AZ829" s="5"/>
      <c r="BA829" s="1"/>
      <c r="BB829" s="1"/>
      <c r="BC829" s="1"/>
      <c r="BD829" s="6"/>
      <c r="BE829" s="1"/>
      <c r="BF829" s="6"/>
      <c r="BG829" s="6"/>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2"/>
      <c r="AR830" s="3"/>
      <c r="AS830" s="1"/>
      <c r="AT830" s="1"/>
      <c r="AU830" s="4"/>
      <c r="AV830" s="4"/>
      <c r="AW830" s="4"/>
      <c r="AX830" s="5"/>
      <c r="AY830" s="4"/>
      <c r="AZ830" s="5"/>
      <c r="BA830" s="1"/>
      <c r="BB830" s="1"/>
      <c r="BC830" s="1"/>
      <c r="BD830" s="6"/>
      <c r="BE830" s="1"/>
      <c r="BF830" s="6"/>
      <c r="BG830" s="6"/>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2"/>
      <c r="AR831" s="3"/>
      <c r="AS831" s="1"/>
      <c r="AT831" s="1"/>
      <c r="AU831" s="4"/>
      <c r="AV831" s="4"/>
      <c r="AW831" s="4"/>
      <c r="AX831" s="5"/>
      <c r="AY831" s="4"/>
      <c r="AZ831" s="5"/>
      <c r="BA831" s="1"/>
      <c r="BB831" s="1"/>
      <c r="BC831" s="1"/>
      <c r="BD831" s="6"/>
      <c r="BE831" s="1"/>
      <c r="BF831" s="6"/>
      <c r="BG831" s="6"/>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2"/>
      <c r="AR832" s="3"/>
      <c r="AS832" s="1"/>
      <c r="AT832" s="1"/>
      <c r="AU832" s="4"/>
      <c r="AV832" s="4"/>
      <c r="AW832" s="4"/>
      <c r="AX832" s="5"/>
      <c r="AY832" s="4"/>
      <c r="AZ832" s="5"/>
      <c r="BA832" s="1"/>
      <c r="BB832" s="1"/>
      <c r="BC832" s="1"/>
      <c r="BD832" s="6"/>
      <c r="BE832" s="1"/>
      <c r="BF832" s="6"/>
      <c r="BG832" s="6"/>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2"/>
      <c r="AR833" s="3"/>
      <c r="AS833" s="1"/>
      <c r="AT833" s="1"/>
      <c r="AU833" s="4"/>
      <c r="AV833" s="4"/>
      <c r="AW833" s="4"/>
      <c r="AX833" s="5"/>
      <c r="AY833" s="4"/>
      <c r="AZ833" s="5"/>
      <c r="BA833" s="1"/>
      <c r="BB833" s="1"/>
      <c r="BC833" s="1"/>
      <c r="BD833" s="6"/>
      <c r="BE833" s="1"/>
      <c r="BF833" s="6"/>
      <c r="BG833" s="6"/>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2"/>
      <c r="AR834" s="3"/>
      <c r="AS834" s="1"/>
      <c r="AT834" s="1"/>
      <c r="AU834" s="4"/>
      <c r="AV834" s="4"/>
      <c r="AW834" s="4"/>
      <c r="AX834" s="5"/>
      <c r="AY834" s="4"/>
      <c r="AZ834" s="5"/>
      <c r="BA834" s="1"/>
      <c r="BB834" s="1"/>
      <c r="BC834" s="1"/>
      <c r="BD834" s="6"/>
      <c r="BE834" s="1"/>
      <c r="BF834" s="6"/>
      <c r="BG834" s="6"/>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2"/>
      <c r="AR835" s="3"/>
      <c r="AS835" s="1"/>
      <c r="AT835" s="1"/>
      <c r="AU835" s="4"/>
      <c r="AV835" s="4"/>
      <c r="AW835" s="4"/>
      <c r="AX835" s="5"/>
      <c r="AY835" s="4"/>
      <c r="AZ835" s="5"/>
      <c r="BA835" s="1"/>
      <c r="BB835" s="1"/>
      <c r="BC835" s="1"/>
      <c r="BD835" s="6"/>
      <c r="BE835" s="1"/>
      <c r="BF835" s="6"/>
      <c r="BG835" s="6"/>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2"/>
      <c r="AR836" s="3"/>
      <c r="AS836" s="1"/>
      <c r="AT836" s="1"/>
      <c r="AU836" s="4"/>
      <c r="AV836" s="4"/>
      <c r="AW836" s="4"/>
      <c r="AX836" s="5"/>
      <c r="AY836" s="4"/>
      <c r="AZ836" s="5"/>
      <c r="BA836" s="1"/>
      <c r="BB836" s="1"/>
      <c r="BC836" s="1"/>
      <c r="BD836" s="6"/>
      <c r="BE836" s="1"/>
      <c r="BF836" s="6"/>
      <c r="BG836" s="6"/>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2"/>
      <c r="AR837" s="3"/>
      <c r="AS837" s="1"/>
      <c r="AT837" s="1"/>
      <c r="AU837" s="4"/>
      <c r="AV837" s="4"/>
      <c r="AW837" s="4"/>
      <c r="AX837" s="5"/>
      <c r="AY837" s="4"/>
      <c r="AZ837" s="5"/>
      <c r="BA837" s="1"/>
      <c r="BB837" s="1"/>
      <c r="BC837" s="1"/>
      <c r="BD837" s="6"/>
      <c r="BE837" s="1"/>
      <c r="BF837" s="6"/>
      <c r="BG837" s="6"/>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2"/>
      <c r="AR838" s="3"/>
      <c r="AS838" s="1"/>
      <c r="AT838" s="1"/>
      <c r="AU838" s="4"/>
      <c r="AV838" s="4"/>
      <c r="AW838" s="4"/>
      <c r="AX838" s="5"/>
      <c r="AY838" s="4"/>
      <c r="AZ838" s="5"/>
      <c r="BA838" s="1"/>
      <c r="BB838" s="1"/>
      <c r="BC838" s="1"/>
      <c r="BD838" s="6"/>
      <c r="BE838" s="1"/>
      <c r="BF838" s="6"/>
      <c r="BG838" s="6"/>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2"/>
      <c r="AR839" s="3"/>
      <c r="AS839" s="1"/>
      <c r="AT839" s="1"/>
      <c r="AU839" s="4"/>
      <c r="AV839" s="4"/>
      <c r="AW839" s="4"/>
      <c r="AX839" s="5"/>
      <c r="AY839" s="4"/>
      <c r="AZ839" s="5"/>
      <c r="BA839" s="1"/>
      <c r="BB839" s="1"/>
      <c r="BC839" s="1"/>
      <c r="BD839" s="6"/>
      <c r="BE839" s="1"/>
      <c r="BF839" s="6"/>
      <c r="BG839" s="6"/>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2"/>
      <c r="AR840" s="3"/>
      <c r="AS840" s="1"/>
      <c r="AT840" s="1"/>
      <c r="AU840" s="4"/>
      <c r="AV840" s="4"/>
      <c r="AW840" s="4"/>
      <c r="AX840" s="5"/>
      <c r="AY840" s="4"/>
      <c r="AZ840" s="5"/>
      <c r="BA840" s="1"/>
      <c r="BB840" s="1"/>
      <c r="BC840" s="1"/>
      <c r="BD840" s="6"/>
      <c r="BE840" s="1"/>
      <c r="BF840" s="6"/>
      <c r="BG840" s="6"/>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2"/>
      <c r="AR841" s="3"/>
      <c r="AS841" s="1"/>
      <c r="AT841" s="1"/>
      <c r="AU841" s="4"/>
      <c r="AV841" s="4"/>
      <c r="AW841" s="4"/>
      <c r="AX841" s="5"/>
      <c r="AY841" s="4"/>
      <c r="AZ841" s="5"/>
      <c r="BA841" s="1"/>
      <c r="BB841" s="1"/>
      <c r="BC841" s="1"/>
      <c r="BD841" s="6"/>
      <c r="BE841" s="1"/>
      <c r="BF841" s="6"/>
      <c r="BG841" s="6"/>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2"/>
      <c r="AR842" s="3"/>
      <c r="AS842" s="1"/>
      <c r="AT842" s="1"/>
      <c r="AU842" s="4"/>
      <c r="AV842" s="4"/>
      <c r="AW842" s="4"/>
      <c r="AX842" s="5"/>
      <c r="AY842" s="4"/>
      <c r="AZ842" s="5"/>
      <c r="BA842" s="1"/>
      <c r="BB842" s="1"/>
      <c r="BC842" s="1"/>
      <c r="BD842" s="6"/>
      <c r="BE842" s="1"/>
      <c r="BF842" s="6"/>
      <c r="BG842" s="6"/>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2"/>
      <c r="AR843" s="3"/>
      <c r="AS843" s="1"/>
      <c r="AT843" s="1"/>
      <c r="AU843" s="4"/>
      <c r="AV843" s="4"/>
      <c r="AW843" s="4"/>
      <c r="AX843" s="5"/>
      <c r="AY843" s="4"/>
      <c r="AZ843" s="5"/>
      <c r="BA843" s="1"/>
      <c r="BB843" s="1"/>
      <c r="BC843" s="1"/>
      <c r="BD843" s="6"/>
      <c r="BE843" s="1"/>
      <c r="BF843" s="6"/>
      <c r="BG843" s="6"/>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2"/>
      <c r="AR844" s="3"/>
      <c r="AS844" s="1"/>
      <c r="AT844" s="1"/>
      <c r="AU844" s="4"/>
      <c r="AV844" s="4"/>
      <c r="AW844" s="4"/>
      <c r="AX844" s="5"/>
      <c r="AY844" s="4"/>
      <c r="AZ844" s="5"/>
      <c r="BA844" s="1"/>
      <c r="BB844" s="1"/>
      <c r="BC844" s="1"/>
      <c r="BD844" s="6"/>
      <c r="BE844" s="1"/>
      <c r="BF844" s="6"/>
      <c r="BG844" s="6"/>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2"/>
      <c r="AR845" s="3"/>
      <c r="AS845" s="1"/>
      <c r="AT845" s="1"/>
      <c r="AU845" s="4"/>
      <c r="AV845" s="4"/>
      <c r="AW845" s="4"/>
      <c r="AX845" s="5"/>
      <c r="AY845" s="4"/>
      <c r="AZ845" s="5"/>
      <c r="BA845" s="1"/>
      <c r="BB845" s="1"/>
      <c r="BC845" s="1"/>
      <c r="BD845" s="6"/>
      <c r="BE845" s="1"/>
      <c r="BF845" s="6"/>
      <c r="BG845" s="6"/>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2"/>
      <c r="AR846" s="3"/>
      <c r="AS846" s="1"/>
      <c r="AT846" s="1"/>
      <c r="AU846" s="4"/>
      <c r="AV846" s="4"/>
      <c r="AW846" s="4"/>
      <c r="AX846" s="5"/>
      <c r="AY846" s="4"/>
      <c r="AZ846" s="5"/>
      <c r="BA846" s="1"/>
      <c r="BB846" s="1"/>
      <c r="BC846" s="1"/>
      <c r="BD846" s="6"/>
      <c r="BE846" s="1"/>
      <c r="BF846" s="6"/>
      <c r="BG846" s="6"/>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2"/>
      <c r="AR847" s="3"/>
      <c r="AS847" s="1"/>
      <c r="AT847" s="1"/>
      <c r="AU847" s="4"/>
      <c r="AV847" s="4"/>
      <c r="AW847" s="4"/>
      <c r="AX847" s="5"/>
      <c r="AY847" s="4"/>
      <c r="AZ847" s="5"/>
      <c r="BA847" s="1"/>
      <c r="BB847" s="1"/>
      <c r="BC847" s="1"/>
      <c r="BD847" s="6"/>
      <c r="BE847" s="1"/>
      <c r="BF847" s="6"/>
      <c r="BG847" s="6"/>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2"/>
      <c r="AR848" s="3"/>
      <c r="AS848" s="1"/>
      <c r="AT848" s="1"/>
      <c r="AU848" s="4"/>
      <c r="AV848" s="4"/>
      <c r="AW848" s="4"/>
      <c r="AX848" s="5"/>
      <c r="AY848" s="4"/>
      <c r="AZ848" s="5"/>
      <c r="BA848" s="1"/>
      <c r="BB848" s="1"/>
      <c r="BC848" s="1"/>
      <c r="BD848" s="6"/>
      <c r="BE848" s="1"/>
      <c r="BF848" s="6"/>
      <c r="BG848" s="6"/>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2"/>
      <c r="AR849" s="3"/>
      <c r="AS849" s="1"/>
      <c r="AT849" s="1"/>
      <c r="AU849" s="4"/>
      <c r="AV849" s="4"/>
      <c r="AW849" s="4"/>
      <c r="AX849" s="5"/>
      <c r="AY849" s="4"/>
      <c r="AZ849" s="5"/>
      <c r="BA849" s="1"/>
      <c r="BB849" s="1"/>
      <c r="BC849" s="1"/>
      <c r="BD849" s="6"/>
      <c r="BE849" s="1"/>
      <c r="BF849" s="6"/>
      <c r="BG849" s="6"/>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2"/>
      <c r="AR850" s="3"/>
      <c r="AS850" s="1"/>
      <c r="AT850" s="1"/>
      <c r="AU850" s="4"/>
      <c r="AV850" s="4"/>
      <c r="AW850" s="4"/>
      <c r="AX850" s="5"/>
      <c r="AY850" s="4"/>
      <c r="AZ850" s="5"/>
      <c r="BA850" s="1"/>
      <c r="BB850" s="1"/>
      <c r="BC850" s="1"/>
      <c r="BD850" s="6"/>
      <c r="BE850" s="1"/>
      <c r="BF850" s="6"/>
      <c r="BG850" s="6"/>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2"/>
      <c r="AR851" s="3"/>
      <c r="AS851" s="1"/>
      <c r="AT851" s="1"/>
      <c r="AU851" s="4"/>
      <c r="AV851" s="4"/>
      <c r="AW851" s="4"/>
      <c r="AX851" s="5"/>
      <c r="AY851" s="4"/>
      <c r="AZ851" s="5"/>
      <c r="BA851" s="1"/>
      <c r="BB851" s="1"/>
      <c r="BC851" s="1"/>
      <c r="BD851" s="6"/>
      <c r="BE851" s="1"/>
      <c r="BF851" s="6"/>
      <c r="BG851" s="6"/>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2"/>
      <c r="AR852" s="3"/>
      <c r="AS852" s="1"/>
      <c r="AT852" s="1"/>
      <c r="AU852" s="4"/>
      <c r="AV852" s="4"/>
      <c r="AW852" s="4"/>
      <c r="AX852" s="5"/>
      <c r="AY852" s="4"/>
      <c r="AZ852" s="5"/>
      <c r="BA852" s="1"/>
      <c r="BB852" s="1"/>
      <c r="BC852" s="1"/>
      <c r="BD852" s="6"/>
      <c r="BE852" s="1"/>
      <c r="BF852" s="6"/>
      <c r="BG852" s="6"/>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2"/>
      <c r="AR853" s="3"/>
      <c r="AS853" s="1"/>
      <c r="AT853" s="1"/>
      <c r="AU853" s="4"/>
      <c r="AV853" s="4"/>
      <c r="AW853" s="4"/>
      <c r="AX853" s="5"/>
      <c r="AY853" s="4"/>
      <c r="AZ853" s="5"/>
      <c r="BA853" s="1"/>
      <c r="BB853" s="1"/>
      <c r="BC853" s="1"/>
      <c r="BD853" s="6"/>
      <c r="BE853" s="1"/>
      <c r="BF853" s="6"/>
      <c r="BG853" s="6"/>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2"/>
      <c r="AR854" s="3"/>
      <c r="AS854" s="1"/>
      <c r="AT854" s="1"/>
      <c r="AU854" s="4"/>
      <c r="AV854" s="4"/>
      <c r="AW854" s="4"/>
      <c r="AX854" s="5"/>
      <c r="AY854" s="4"/>
      <c r="AZ854" s="5"/>
      <c r="BA854" s="1"/>
      <c r="BB854" s="1"/>
      <c r="BC854" s="1"/>
      <c r="BD854" s="6"/>
      <c r="BE854" s="1"/>
      <c r="BF854" s="6"/>
      <c r="BG854" s="6"/>
      <c r="BH854" s="1"/>
      <c r="BI854" s="1"/>
    </row>
    <row r="855" spans="25:61" x14ac:dyDescent="0.2">
      <c r="Y855" s="1"/>
      <c r="Z855" s="1"/>
      <c r="AB855" s="1"/>
      <c r="AC855" s="1"/>
      <c r="AD855" s="1"/>
      <c r="AE855" s="1"/>
      <c r="AF855" s="1"/>
      <c r="AG855" s="1"/>
      <c r="AH855" s="1"/>
      <c r="AI855" s="1"/>
      <c r="AJ855" s="1"/>
      <c r="AL855" s="1"/>
      <c r="AM855" s="1"/>
      <c r="AN855" s="1"/>
      <c r="AO855" s="1"/>
      <c r="AP855" s="1"/>
      <c r="AQ855" s="2"/>
      <c r="AR855" s="3"/>
      <c r="AS855" s="1"/>
      <c r="AT855" s="1"/>
      <c r="AU855" s="4"/>
      <c r="AV855" s="4"/>
      <c r="AW855" s="4"/>
      <c r="AX855" s="5"/>
      <c r="AY855" s="4"/>
      <c r="AZ855" s="5"/>
      <c r="BA855" s="1"/>
      <c r="BB855" s="1"/>
      <c r="BC855" s="1"/>
      <c r="BD855" s="6"/>
      <c r="BE855" s="1"/>
      <c r="BF855" s="6"/>
      <c r="BG855" s="6"/>
      <c r="BH855" s="1"/>
      <c r="BI8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2022-03-17T19:21:48Z</dcterms:modified>
</cp:coreProperties>
</file>