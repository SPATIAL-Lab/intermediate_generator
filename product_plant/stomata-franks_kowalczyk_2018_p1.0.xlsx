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C:\Users\droyer\Desktop\"/>
    </mc:Choice>
  </mc:AlternateContent>
  <xr:revisionPtr revIDLastSave="0" documentId="13_ncr:1_{5333ACF6-B949-4C93-933C-B44A0B4973CF}" xr6:coauthVersionLast="45" xr6:coauthVersionMax="47" xr10:uidLastSave="{00000000-0000-0000-0000-000000000000}"/>
  <bookViews>
    <workbookView xWindow="705" yWindow="1620" windowWidth="26970" windowHeight="1398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1" l="1"/>
  <c r="L7" i="1"/>
  <c r="AT7" i="1"/>
  <c r="K7" i="1" s="1"/>
  <c r="AS7" i="1"/>
  <c r="H7" i="1"/>
  <c r="I7" i="1"/>
  <c r="G7" i="1"/>
  <c r="F5" i="1" l="1"/>
  <c r="F6" i="1"/>
  <c r="F7" i="1"/>
  <c r="F4" i="1"/>
  <c r="J5" i="1" l="1"/>
  <c r="J6" i="1"/>
  <c r="J4" i="1"/>
  <c r="L6" i="1"/>
  <c r="K6" i="1"/>
  <c r="I6" i="1"/>
  <c r="H6" i="1"/>
  <c r="G6" i="1"/>
  <c r="L5" i="1"/>
  <c r="K5" i="1"/>
  <c r="I5" i="1"/>
  <c r="H5" i="1"/>
  <c r="G5" i="1"/>
  <c r="L4" i="1"/>
  <c r="K4" i="1"/>
  <c r="I4" i="1"/>
  <c r="H4" i="1"/>
  <c r="G4" i="1"/>
</calcChain>
</file>

<file path=xl/sharedStrings.xml><?xml version="1.0" encoding="utf-8"?>
<sst xmlns="http://schemas.openxmlformats.org/spreadsheetml/2006/main" count="383" uniqueCount="204">
  <si>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</si>
  <si>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</si>
  <si>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</si>
  <si>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</si>
  <si>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</si>
  <si>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</si>
  <si>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</si>
  <si>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</si>
  <si>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</si>
  <si>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</si>
  <si>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</si>
  <si>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</si>
  <si>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</si>
  <si>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</si>
  <si>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</si>
  <si>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</si>
  <si>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</si>
  <si>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</si>
  <si>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</si>
  <si>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</si>
  <si>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</si>
  <si>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</si>
  <si>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</si>
  <si>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</si>
  <si>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</si>
  <si>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</si>
  <si>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</si>
  <si>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</si>
  <si>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</si>
  <si>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</si>
  <si>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</si>
  <si>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</si>
  <si>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</si>
  <si>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</si>
  <si>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</si>
  <si>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</si>
  <si>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</si>
  <si>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</si>
  <si>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</si>
  <si>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</si>
  <si>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</si>
  <si>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</si>
  <si>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</si>
  <si>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</si>
  <si>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</si>
  <si>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</si>
  <si>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</si>
  <si>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</si>
  <si>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</si>
  <si>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</si>
  <si>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</si>
  <si>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</si>
  <si>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</si>
  <si>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</si>
  <si>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</si>
  <si>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</si>
  <si>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</si>
  <si>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</si>
  <si>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</si>
  <si>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</si>
  <si>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</si>
  <si>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</si>
  <si>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</si>
  <si>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</si>
  <si>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</si>
  <si>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</si>
  <si>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</si>
  <si>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</si>
  <si>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</si>
  <si>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</si>
  <si>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</si>
  <si>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</si>
  <si>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</si>
  <si>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</si>
  <si>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</si>
  <si>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</si>
  <si>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</si>
  <si>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</si>
  <si>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</si>
  <si>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</si>
  <si>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</si>
  <si>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</si>
  <si>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</si>
  <si>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</si>
  <si>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</si>
  <si>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</si>
  <si>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</si>
  <si>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</si>
  <si>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</si>
  <si>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</si>
  <si>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</si>
  <si>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</si>
  <si>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</si>
  <si>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</si>
  <si>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</si>
  <si>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</si>
  <si>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</si>
  <si>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</si>
  <si>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</si>
  <si>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</si>
  <si>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</si>
  <si>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</si>
  <si>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</si>
  <si>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</si>
  <si>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</si>
  <si>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</si>
  <si>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</si>
  <si>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</si>
  <si>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</si>
  <si>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</si>
  <si>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</si>
  <si>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</si>
  <si>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</si>
  <si>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</si>
  <si>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</si>
  <si>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</si>
  <si>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</si>
  <si>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</si>
  <si>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</si>
  <si>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</si>
  <si>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</si>
  <si>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</si>
  <si>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</si>
  <si>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</si>
  <si>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</si>
  <si>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</si>
  <si>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</si>
  <si>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</si>
  <si>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</si>
  <si>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</si>
  <si>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</si>
  <si>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</si>
  <si>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</si>
  <si>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</si>
  <si>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10.1029/2018PA003356</t>
  </si>
  <si>
    <t>cf. Sassafras (CR 10)</t>
  </si>
  <si>
    <t>Lauraceae</t>
  </si>
  <si>
    <t>Sassafras</t>
  </si>
  <si>
    <t>Denver Museum of Nature and Science</t>
  </si>
  <si>
    <t>Denver Formation</t>
  </si>
  <si>
    <t>Castle Rock flora; near the top of the "D1" sequence</t>
  </si>
  <si>
    <t>U/Pb geochronology of detrital zircon grains</t>
  </si>
  <si>
    <t>median</t>
  </si>
  <si>
    <t>2.5 and 97.5 percentiles</t>
  </si>
  <si>
    <t>right skewed</t>
  </si>
  <si>
    <t>microscope</t>
  </si>
  <si>
    <t>448 x 334</t>
  </si>
  <si>
    <t>4 leaves</t>
  </si>
  <si>
    <t>age model of Tipple et al. (2010; 10.1029/2009PA001851)</t>
  </si>
  <si>
    <t>calculated from 12 leaves from a single Sassafras albidum tree</t>
  </si>
  <si>
    <t>from compilation of present-day species by Diefendorf et al. (2010; 10.1073/pnas.0910513107); see Kowalczyk et al. (2018) for details; 1 sigma error is 5% of mean</t>
  </si>
  <si>
    <t>generic value from Franks et al. (2014); 1 sigma error is 5% of mean</t>
  </si>
  <si>
    <t>pore length was measured directly, so this scalar has no error</t>
  </si>
  <si>
    <t>derived from the general value of 0.2 suggested by Franks et al. (2014) but adjusted for the fraction of epidermis with non-stomatal areas, e.g., over top veins; see Kowalczyk et al. for details; 1 sigma error is 5% of mean</t>
  </si>
  <si>
    <t>no</t>
  </si>
  <si>
    <t>Lauraceae sp. (CR 20)</t>
  </si>
  <si>
    <t>10 leaves</t>
  </si>
  <si>
    <t>Ginkgo (CR 125)</t>
  </si>
  <si>
    <t>Ginkgoaceae</t>
  </si>
  <si>
    <t>Ginkgo</t>
  </si>
  <si>
    <t>adiantoides</t>
  </si>
  <si>
    <t>15 leaves</t>
  </si>
  <si>
    <t>calculated from 17 leaves from a single Ginkgo biloba tree</t>
  </si>
  <si>
    <t>based on measurements of 17 leaves from living Ginkgo biloba; adjusted for the fraction of epidermis with non-stomatal areas, e.g., over top veins; see Kowalczyk et al. for details; 1 sigma error is 5% of mean</t>
  </si>
  <si>
    <t>combined estimate of the three species directly above</t>
  </si>
  <si>
    <t>proxy</t>
  </si>
  <si>
    <t>first_author_last_name</t>
  </si>
  <si>
    <t>publication_year</t>
  </si>
  <si>
    <t>age_ka</t>
  </si>
  <si>
    <t>Age_uncertainty_pos_ka</t>
  </si>
  <si>
    <t>Age_uncertainty_neg_ka</t>
  </si>
  <si>
    <t>stomata-franks</t>
  </si>
  <si>
    <t>Kowalczyk</t>
  </si>
  <si>
    <t>true/false</t>
  </si>
  <si>
    <t>name of person entering product data</t>
  </si>
  <si>
    <t>email of person entering product data</t>
  </si>
  <si>
    <t>specify reason for age revision</t>
  </si>
  <si>
    <t>droyer@wesleyan.edu</t>
  </si>
  <si>
    <t>specify reason for quarantine</t>
  </si>
  <si>
    <t>CO2 was estimated independently with three species; to avoid pseudo-replication, only the combined estimate is retained</t>
  </si>
  <si>
    <t>This is a new CO2 estimate based on combining the published estimates for the three species; the uncertainties span the 2.5 to 97.5 percentiles of the simulations, where the mean of each set of three resamples was first computed</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</si>
  <si>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</si>
  <si>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</si>
  <si>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</si>
  <si>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</si>
  <si>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</si>
  <si>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</si>
  <si>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</si>
  <si>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</si>
  <si>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</si>
  <si>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</si>
  <si>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</si>
  <si>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</si>
  <si>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</si>
  <si>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</si>
  <si>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</si>
  <si>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</si>
  <si>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</si>
  <si>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</si>
  <si>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</si>
  <si>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</si>
  <si>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</si>
  <si>
    <t>comments</t>
  </si>
  <si>
    <t>combined estimate of the three species directly above. Please note that this study also reports CO2 using two other proxy methods (Konrad gas-exchange and liverwort methods). All three estimates fall into category 1, and we retain all three as separate estimates. We note that this leads to overrepresentation of this site. Other users may wish to combine the three estimates into a single combined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</si>
</sst>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2"/>
      <color theme="1"/>
      <name val="Calibri"/>
      <family val="2"/>
      <scheme val="minor"/>
    </font>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3"/>
      <color rgb="FF000000"/>
      <name val="Helvetica"/>
      <family val="2"/>
    </font>
    <font>
      <sz val="11"/>
      <color rgb="FF000000"/>
      <name val="Calibri"/>
      <family val="2"/>
      <charset val="1"/>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cellStyleXfs>
  <cellXfs count="54">
    <xf numFmtId="0" fontId="0" fillId="0" borderId="0" xfId="0"/>
    <xf numFmtId="0" fontId="0" fillId="0" borderId="0" xfId="0" applyBorder="1"/>
    <xf numFmtId="0" fontId="0" fillId="2" borderId="0" xfId="0" applyFill="1" applyBorder="1" applyAlignment="1">
      <alignment vertical="top"/>
    </xf>
    <xf numFmtId="0" fontId="2" fillId="3" borderId="0" xfId="0" applyFont="1" applyFill="1" applyBorder="1" applyAlignment="1"/>
    <xf numFmtId="0" fontId="2" fillId="4" borderId="0" xfId="0" applyFont="1" applyFill="1" applyBorder="1" applyAlignment="1"/>
    <xf numFmtId="0" fontId="2" fillId="5" borderId="0" xfId="0" applyFont="1" applyFill="1" applyBorder="1" applyAlignment="1"/>
    <xf numFmtId="0" fontId="2" fillId="2" borderId="0" xfId="0" applyFont="1" applyFill="1" applyBorder="1" applyAlignment="1"/>
    <xf numFmtId="0" fontId="0" fillId="0" borderId="0" xfId="0" applyBorder="1" applyAlignment="1"/>
    <xf numFmtId="0" fontId="3" fillId="2" borderId="0" xfId="0" applyFont="1" applyFill="1" applyBorder="1" applyAlignment="1">
      <alignment vertical="top" wrapText="1"/>
    </xf>
    <xf numFmtId="0" fontId="4" fillId="2" borderId="0" xfId="0" applyFont="1" applyFill="1" applyBorder="1" applyAlignment="1">
      <alignment horizontal="center" vertical="top" wrapText="1"/>
    </xf>
    <xf numFmtId="0" fontId="3" fillId="3" borderId="0" xfId="0" applyFont="1" applyFill="1" applyBorder="1" applyAlignment="1">
      <alignment vertical="top" wrapText="1"/>
    </xf>
    <xf numFmtId="0" fontId="3" fillId="4" borderId="0" xfId="0" applyFont="1" applyFill="1" applyBorder="1" applyAlignment="1">
      <alignment vertical="top" wrapText="1"/>
    </xf>
    <xf numFmtId="0" fontId="3" fillId="5" borderId="0" xfId="0" applyFont="1" applyFill="1" applyBorder="1" applyAlignment="1">
      <alignment vertical="top" wrapText="1"/>
    </xf>
    <xf numFmtId="0" fontId="4" fillId="0" borderId="0" xfId="0" applyFont="1" applyBorder="1"/>
    <xf numFmtId="0" fontId="2" fillId="0" borderId="0" xfId="0" applyFont="1" applyBorder="1" applyAlignment="1"/>
    <xf numFmtId="0" fontId="2" fillId="0" borderId="0" xfId="0" applyFont="1" applyBorder="1" applyAlignment="1">
      <alignment horizontal="right"/>
    </xf>
    <xf numFmtId="1" fontId="2" fillId="0" borderId="0" xfId="0" applyNumberFormat="1" applyFont="1" applyBorder="1" applyAlignment="1">
      <alignment horizontal="right"/>
    </xf>
    <xf numFmtId="11" fontId="2" fillId="0" borderId="0" xfId="0" applyNumberFormat="1" applyFont="1" applyBorder="1" applyAlignment="1">
      <alignment horizontal="right"/>
    </xf>
    <xf numFmtId="2" fontId="2" fillId="0" borderId="0" xfId="0" applyNumberFormat="1" applyFont="1" applyBorder="1" applyAlignment="1">
      <alignment horizontal="right"/>
    </xf>
    <xf numFmtId="164" fontId="2" fillId="0" borderId="0" xfId="0" applyNumberFormat="1" applyFont="1" applyBorder="1" applyAlignment="1">
      <alignment horizontal="right"/>
    </xf>
    <xf numFmtId="11" fontId="0" fillId="0" borderId="0" xfId="0" applyNumberFormat="1" applyBorder="1" applyAlignment="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1" fontId="0" fillId="0" borderId="0" xfId="0" applyNumberFormat="1"/>
    <xf numFmtId="0" fontId="0" fillId="0" borderId="0" xfId="0" applyAlignment="1"/>
    <xf numFmtId="0" fontId="2" fillId="0" borderId="0" xfId="0" applyFont="1" applyFill="1" applyBorder="1" applyAlignment="1">
      <alignment vertical="center"/>
    </xf>
    <xf numFmtId="0" fontId="2" fillId="0" borderId="0" xfId="0" applyFont="1" applyFill="1" applyBorder="1" applyAlignment="1">
      <alignment wrapText="1"/>
    </xf>
    <xf numFmtId="0" fontId="5" fillId="4" borderId="0" xfId="0" applyFont="1" applyFill="1" applyBorder="1" applyAlignment="1">
      <alignment horizontal="center" vertical="center" wrapText="1"/>
    </xf>
    <xf numFmtId="0" fontId="0" fillId="0" borderId="0" xfId="0" applyFill="1" applyBorder="1" applyAlignment="1">
      <alignment horizontal="right"/>
    </xf>
    <xf numFmtId="0" fontId="6" fillId="0" borderId="0" xfId="0" applyFont="1"/>
    <xf numFmtId="1" fontId="6" fillId="0" borderId="0" xfId="0" applyNumberFormat="1" applyFont="1"/>
    <xf numFmtId="1" fontId="0" fillId="0" borderId="0" xfId="0" applyNumberFormat="1" applyFont="1"/>
    <xf numFmtId="1" fontId="0" fillId="0" borderId="0" xfId="0" applyNumberFormat="1" applyBorder="1" applyAlignment="1"/>
    <xf numFmtId="0" fontId="0" fillId="0" borderId="2" xfId="0" applyBorder="1" applyAlignment="1">
      <alignment wrapText="1"/>
    </xf>
    <xf numFmtId="0" fontId="7" fillId="0" borderId="0" xfId="0" applyFont="1"/>
    <xf numFmtId="0" fontId="0" fillId="0" borderId="0" xfId="0" applyAlignment="1">
      <alignment horizontal="center"/>
    </xf>
    <xf numFmtId="0" fontId="3" fillId="0" borderId="0" xfId="0" applyFont="1" applyFill="1" applyBorder="1" applyAlignment="1">
      <alignment vertical="top" wrapText="1"/>
    </xf>
    <xf numFmtId="0" fontId="1" fillId="0" borderId="0" xfId="1" applyFont="1"/>
  </cellXfs>
  <cellStyles count="2">
    <cellStyle name="Normal" xfId="0" builtinId="0"/>
    <cellStyle name="Normal 3" xfId="1" xr:uid="{05A43056-29F5-41FB-9DB9-44AECE95A5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A43"/>
  <sheetViews>
    <sheetView tabSelected="1" topLeftCell="CI1" workbookViewId="0">
      <pane ySplit="3" topLeftCell="A4" activePane="bottomLeft" state="frozen"/>
      <selection pane="bottomLeft" activeCell="DA7" sqref="DA7"/>
    </sheetView>
  </sheetViews>
  <sheetFormatPr defaultColWidth="11" defaultRowHeight="15.75" x14ac:dyDescent="0.25"/>
  <cols>
    <col min="1" max="32" width="11" style="1"/>
    <col min="33" max="33" width="11.625" style="1" customWidth="1"/>
    <col min="34" max="34" width="11" style="1"/>
    <col min="35" max="35" width="11.875" style="1" customWidth="1"/>
    <col min="36" max="36" width="12.375" style="1" customWidth="1"/>
    <col min="37" max="37" width="11" style="1"/>
    <col min="38" max="38" width="11.875" style="1" customWidth="1"/>
    <col min="39" max="42" width="11" style="1"/>
    <col min="43" max="43" width="15.375" style="1" customWidth="1"/>
    <col min="44" max="47" width="11" style="1"/>
    <col min="48" max="48" width="13.125" style="1" customWidth="1"/>
    <col min="49" max="16384" width="11" style="1"/>
  </cols>
  <sheetData>
    <row r="2" spans="1:105" s="7" customFormat="1" x14ac:dyDescent="0.25">
      <c r="A2" s="21"/>
      <c r="B2" s="22"/>
      <c r="C2" s="22"/>
      <c r="D2" s="22"/>
      <c r="E2" s="22"/>
      <c r="F2" s="22"/>
      <c r="G2" s="22"/>
      <c r="H2" s="22"/>
      <c r="I2" s="22"/>
      <c r="J2" s="22"/>
      <c r="K2" s="22"/>
      <c r="L2" s="23"/>
      <c r="M2" s="24" t="s">
        <v>173</v>
      </c>
      <c r="N2" s="24"/>
      <c r="O2" s="24"/>
      <c r="P2" s="24"/>
      <c r="Q2"/>
      <c r="R2" s="25"/>
      <c r="S2" s="51"/>
      <c r="T2" s="51"/>
      <c r="U2" s="51"/>
      <c r="V2" s="51"/>
      <c r="W2" s="51"/>
      <c r="X2" s="25"/>
      <c r="Y2" s="2"/>
      <c r="Z2" s="2"/>
      <c r="AA2" s="2"/>
      <c r="AB2" s="2"/>
      <c r="AC2" s="2"/>
      <c r="AD2" s="2"/>
      <c r="AE2" s="2"/>
      <c r="AF2" s="2"/>
      <c r="AG2" s="2"/>
      <c r="AH2" s="2"/>
      <c r="AI2" s="2"/>
      <c r="AJ2" s="2"/>
      <c r="AK2" s="2"/>
      <c r="AL2" s="2"/>
      <c r="AM2" s="2"/>
      <c r="AN2" s="2"/>
      <c r="AO2" s="2"/>
      <c r="AP2" s="2"/>
      <c r="AQ2" s="2"/>
      <c r="AR2" s="2"/>
      <c r="AS2" s="2"/>
      <c r="AT2" s="2"/>
      <c r="AU2" s="2"/>
      <c r="AV2" s="2"/>
      <c r="AW2" s="2"/>
      <c r="AX2" s="2"/>
      <c r="AY2" s="3" t="s">
        <v>4</v>
      </c>
      <c r="AZ2" s="3" t="s">
        <v>5</v>
      </c>
      <c r="BA2" s="3" t="s">
        <v>6</v>
      </c>
      <c r="BB2" s="3" t="s">
        <v>7</v>
      </c>
      <c r="BC2" s="3" t="s">
        <v>8</v>
      </c>
      <c r="BD2" s="3" t="s">
        <v>9</v>
      </c>
      <c r="BE2" s="3" t="s">
        <v>10</v>
      </c>
      <c r="BF2" s="3" t="s">
        <v>11</v>
      </c>
      <c r="BG2" s="3" t="s">
        <v>12</v>
      </c>
      <c r="BH2" s="3" t="s">
        <v>13</v>
      </c>
      <c r="BI2" s="3" t="s">
        <v>14</v>
      </c>
      <c r="BJ2" s="3" t="s">
        <v>15</v>
      </c>
      <c r="BK2" s="3" t="s">
        <v>16</v>
      </c>
      <c r="BL2" s="3" t="s">
        <v>17</v>
      </c>
      <c r="BM2" s="3" t="s">
        <v>18</v>
      </c>
      <c r="BN2" s="3" t="s">
        <v>19</v>
      </c>
      <c r="BO2" s="3" t="s">
        <v>20</v>
      </c>
      <c r="BP2" s="3" t="s">
        <v>21</v>
      </c>
      <c r="BQ2" s="3" t="s">
        <v>22</v>
      </c>
      <c r="BR2" s="3" t="s">
        <v>23</v>
      </c>
      <c r="BS2" s="3" t="s">
        <v>24</v>
      </c>
      <c r="BT2" s="4" t="s">
        <v>25</v>
      </c>
      <c r="BU2" s="4" t="s">
        <v>26</v>
      </c>
      <c r="BV2" s="4" t="s">
        <v>27</v>
      </c>
      <c r="BW2" s="4" t="s">
        <v>28</v>
      </c>
      <c r="BX2" s="5" t="s">
        <v>29</v>
      </c>
      <c r="BY2" s="5" t="s">
        <v>30</v>
      </c>
      <c r="BZ2" s="5" t="s">
        <v>31</v>
      </c>
      <c r="CA2" s="5" t="s">
        <v>32</v>
      </c>
      <c r="CB2" s="5" t="s">
        <v>33</v>
      </c>
      <c r="CC2" s="5" t="s">
        <v>34</v>
      </c>
      <c r="CD2" s="5" t="s">
        <v>35</v>
      </c>
      <c r="CE2" s="5" t="s">
        <v>36</v>
      </c>
      <c r="CF2" s="5" t="s">
        <v>37</v>
      </c>
      <c r="CG2" s="5" t="s">
        <v>38</v>
      </c>
      <c r="CH2" s="5" t="s">
        <v>39</v>
      </c>
      <c r="CI2" s="5" t="s">
        <v>40</v>
      </c>
      <c r="CJ2" s="5" t="s">
        <v>41</v>
      </c>
      <c r="CK2" s="5" t="s">
        <v>42</v>
      </c>
      <c r="CL2" s="5" t="s">
        <v>43</v>
      </c>
      <c r="CM2" s="5" t="s">
        <v>44</v>
      </c>
      <c r="CN2" s="5" t="s">
        <v>45</v>
      </c>
      <c r="CO2" s="5" t="s">
        <v>46</v>
      </c>
      <c r="CP2" s="5" t="s">
        <v>47</v>
      </c>
      <c r="CQ2" s="5" t="s">
        <v>48</v>
      </c>
      <c r="CR2" s="5" t="s">
        <v>49</v>
      </c>
      <c r="CS2" s="5" t="s">
        <v>50</v>
      </c>
      <c r="CT2" s="5" t="s">
        <v>51</v>
      </c>
      <c r="CU2" s="5" t="s">
        <v>52</v>
      </c>
      <c r="CV2" s="6" t="s">
        <v>53</v>
      </c>
      <c r="CW2" s="6" t="s">
        <v>54</v>
      </c>
      <c r="CX2" s="6" t="s">
        <v>55</v>
      </c>
      <c r="CY2" s="5" t="s">
        <v>56</v>
      </c>
      <c r="CZ2" s="6" t="s">
        <v>57</v>
      </c>
    </row>
    <row r="3" spans="1:105" s="13" customFormat="1" ht="83.25" customHeight="1" x14ac:dyDescent="0.25">
      <c r="A3" s="26" t="s">
        <v>174</v>
      </c>
      <c r="B3" s="27" t="s">
        <v>175</v>
      </c>
      <c r="C3" s="28" t="s">
        <v>165</v>
      </c>
      <c r="D3" s="29" t="s">
        <v>166</v>
      </c>
      <c r="E3" s="29" t="s">
        <v>167</v>
      </c>
      <c r="F3" s="30" t="s">
        <v>58</v>
      </c>
      <c r="G3" s="30" t="s">
        <v>168</v>
      </c>
      <c r="H3" s="31" t="s">
        <v>169</v>
      </c>
      <c r="I3" s="31" t="s">
        <v>170</v>
      </c>
      <c r="J3" s="29" t="s">
        <v>181</v>
      </c>
      <c r="K3" s="31" t="s">
        <v>182</v>
      </c>
      <c r="L3" s="32" t="s">
        <v>192</v>
      </c>
      <c r="M3" s="33" t="s">
        <v>183</v>
      </c>
      <c r="N3" s="49" t="s">
        <v>199</v>
      </c>
      <c r="O3" s="49" t="s">
        <v>200</v>
      </c>
      <c r="P3" s="33" t="s">
        <v>184</v>
      </c>
      <c r="Q3" s="34" t="s">
        <v>185</v>
      </c>
      <c r="R3" s="35" t="s">
        <v>186</v>
      </c>
      <c r="S3" s="36" t="s">
        <v>187</v>
      </c>
      <c r="T3" s="33" t="s">
        <v>188</v>
      </c>
      <c r="U3" s="33" t="s">
        <v>178</v>
      </c>
      <c r="V3" s="33" t="s">
        <v>189</v>
      </c>
      <c r="W3" s="37" t="s">
        <v>190</v>
      </c>
      <c r="X3" s="38" t="s">
        <v>176</v>
      </c>
      <c r="Y3" s="8" t="s">
        <v>193</v>
      </c>
      <c r="Z3" s="8" t="s">
        <v>194</v>
      </c>
      <c r="AA3" s="8" t="s">
        <v>59</v>
      </c>
      <c r="AB3" s="8" t="s">
        <v>60</v>
      </c>
      <c r="AC3" s="8" t="s">
        <v>61</v>
      </c>
      <c r="AD3" s="8" t="s">
        <v>62</v>
      </c>
      <c r="AE3" s="8" t="s">
        <v>63</v>
      </c>
      <c r="AF3" s="8" t="s">
        <v>64</v>
      </c>
      <c r="AG3" s="8" t="s">
        <v>65</v>
      </c>
      <c r="AH3" s="8" t="s">
        <v>66</v>
      </c>
      <c r="AI3" s="8" t="s">
        <v>67</v>
      </c>
      <c r="AJ3" s="8" t="s">
        <v>68</v>
      </c>
      <c r="AK3" s="8" t="s">
        <v>69</v>
      </c>
      <c r="AL3" s="8" t="s">
        <v>70</v>
      </c>
      <c r="AM3" s="8" t="s">
        <v>195</v>
      </c>
      <c r="AN3" s="8" t="s">
        <v>196</v>
      </c>
      <c r="AO3" s="43" t="s">
        <v>197</v>
      </c>
      <c r="AP3" s="43" t="s">
        <v>198</v>
      </c>
      <c r="AQ3" s="8" t="s">
        <v>71</v>
      </c>
      <c r="AR3" s="8" t="s">
        <v>72</v>
      </c>
      <c r="AS3" s="8" t="s">
        <v>73</v>
      </c>
      <c r="AT3" s="8" t="s">
        <v>74</v>
      </c>
      <c r="AU3" s="8" t="s">
        <v>75</v>
      </c>
      <c r="AV3" s="8" t="s">
        <v>76</v>
      </c>
      <c r="AW3" s="9" t="s">
        <v>77</v>
      </c>
      <c r="AX3" s="9" t="s">
        <v>78</v>
      </c>
      <c r="AY3" s="10" t="s">
        <v>79</v>
      </c>
      <c r="AZ3" s="10" t="s">
        <v>80</v>
      </c>
      <c r="BA3" s="10" t="s">
        <v>81</v>
      </c>
      <c r="BB3" s="10" t="s">
        <v>82</v>
      </c>
      <c r="BC3" s="10" t="s">
        <v>83</v>
      </c>
      <c r="BD3" s="10" t="s">
        <v>84</v>
      </c>
      <c r="BE3" s="10" t="s">
        <v>85</v>
      </c>
      <c r="BF3" s="10" t="s">
        <v>86</v>
      </c>
      <c r="BG3" s="10" t="s">
        <v>87</v>
      </c>
      <c r="BH3" s="10" t="s">
        <v>88</v>
      </c>
      <c r="BI3" s="10" t="s">
        <v>89</v>
      </c>
      <c r="BJ3" s="10" t="s">
        <v>90</v>
      </c>
      <c r="BK3" s="10" t="s">
        <v>91</v>
      </c>
      <c r="BL3" s="10" t="s">
        <v>92</v>
      </c>
      <c r="BM3" s="10" t="s">
        <v>93</v>
      </c>
      <c r="BN3" s="10" t="s">
        <v>94</v>
      </c>
      <c r="BO3" s="10" t="s">
        <v>95</v>
      </c>
      <c r="BP3" s="10" t="s">
        <v>96</v>
      </c>
      <c r="BQ3" s="10" t="s">
        <v>97</v>
      </c>
      <c r="BR3" s="10" t="s">
        <v>98</v>
      </c>
      <c r="BS3" s="10" t="s">
        <v>99</v>
      </c>
      <c r="BT3" s="11" t="s">
        <v>100</v>
      </c>
      <c r="BU3" s="11" t="s">
        <v>101</v>
      </c>
      <c r="BV3" s="11" t="s">
        <v>102</v>
      </c>
      <c r="BW3" s="11" t="s">
        <v>103</v>
      </c>
      <c r="BX3" s="12" t="s">
        <v>104</v>
      </c>
      <c r="BY3" s="12" t="s">
        <v>105</v>
      </c>
      <c r="BZ3" s="12" t="s">
        <v>106</v>
      </c>
      <c r="CA3" s="12" t="s">
        <v>107</v>
      </c>
      <c r="CB3" s="12" t="s">
        <v>108</v>
      </c>
      <c r="CC3" s="12" t="s">
        <v>109</v>
      </c>
      <c r="CD3" s="12" t="s">
        <v>110</v>
      </c>
      <c r="CE3" s="12" t="s">
        <v>111</v>
      </c>
      <c r="CF3" s="12" t="s">
        <v>112</v>
      </c>
      <c r="CG3" s="12" t="s">
        <v>113</v>
      </c>
      <c r="CH3" s="12" t="s">
        <v>114</v>
      </c>
      <c r="CI3" s="12" t="s">
        <v>115</v>
      </c>
      <c r="CJ3" s="12" t="s">
        <v>116</v>
      </c>
      <c r="CK3" s="12" t="s">
        <v>117</v>
      </c>
      <c r="CL3" s="12" t="s">
        <v>118</v>
      </c>
      <c r="CM3" s="12" t="s">
        <v>119</v>
      </c>
      <c r="CN3" s="12" t="s">
        <v>120</v>
      </c>
      <c r="CO3" s="12" t="s">
        <v>121</v>
      </c>
      <c r="CP3" s="12" t="s">
        <v>122</v>
      </c>
      <c r="CQ3" s="12" t="s">
        <v>123</v>
      </c>
      <c r="CR3" s="12" t="s">
        <v>124</v>
      </c>
      <c r="CS3" s="12" t="s">
        <v>125</v>
      </c>
      <c r="CT3" s="12" t="s">
        <v>126</v>
      </c>
      <c r="CU3" s="12" t="s">
        <v>127</v>
      </c>
      <c r="CV3" s="8" t="s">
        <v>128</v>
      </c>
      <c r="CW3" s="8" t="s">
        <v>129</v>
      </c>
      <c r="CX3" s="8" t="s">
        <v>130</v>
      </c>
      <c r="CY3" s="12" t="s">
        <v>131</v>
      </c>
      <c r="CZ3" s="8" t="s">
        <v>132</v>
      </c>
      <c r="DA3" s="52" t="s">
        <v>202</v>
      </c>
    </row>
    <row r="4" spans="1:105" s="7" customFormat="1" x14ac:dyDescent="0.25">
      <c r="A4" t="s">
        <v>133</v>
      </c>
      <c r="B4" t="s">
        <v>177</v>
      </c>
      <c r="C4" t="s">
        <v>171</v>
      </c>
      <c r="D4" t="s">
        <v>172</v>
      </c>
      <c r="E4">
        <v>2018</v>
      </c>
      <c r="F4" t="str">
        <f>Z4</f>
        <v>10.1029/2018PA003356</v>
      </c>
      <c r="G4" s="45">
        <f t="shared" ref="G4" si="0">AH4*1000</f>
        <v>63800</v>
      </c>
      <c r="H4" s="45">
        <f t="shared" ref="H4" si="1">(AI4-AH4)*1000</f>
        <v>200.00000000000284</v>
      </c>
      <c r="I4" s="45">
        <f t="shared" ref="I4" si="2">(AH4-AJ4)*1000</f>
        <v>200.00000000000284</v>
      </c>
      <c r="J4" s="47">
        <f>AQ4</f>
        <v>470.62359724726599</v>
      </c>
      <c r="K4" s="46">
        <f>AT4-AQ4</f>
        <v>114.738817285979</v>
      </c>
      <c r="L4" s="46">
        <f>AQ4-AS4</f>
        <v>88.667814914004964</v>
      </c>
      <c r="M4" t="b">
        <v>1</v>
      </c>
      <c r="N4">
        <v>3</v>
      </c>
      <c r="O4" t="s">
        <v>179</v>
      </c>
      <c r="P4" t="s">
        <v>191</v>
      </c>
      <c r="Q4" t="b">
        <v>0</v>
      </c>
      <c r="R4" t="s">
        <v>191</v>
      </c>
      <c r="S4" t="b">
        <v>1</v>
      </c>
      <c r="T4" t="b">
        <v>0</v>
      </c>
      <c r="U4" t="s">
        <v>191</v>
      </c>
      <c r="V4" t="s">
        <v>191</v>
      </c>
      <c r="W4" t="b">
        <v>0</v>
      </c>
      <c r="X4" t="s">
        <v>191</v>
      </c>
      <c r="Y4" s="14" t="s">
        <v>3</v>
      </c>
      <c r="Z4" s="14" t="s">
        <v>134</v>
      </c>
      <c r="AA4" s="14" t="s">
        <v>135</v>
      </c>
      <c r="AB4" s="14" t="s">
        <v>136</v>
      </c>
      <c r="AC4" s="14" t="s">
        <v>137</v>
      </c>
      <c r="AD4" s="14" t="s">
        <v>191</v>
      </c>
      <c r="AE4" s="14" t="s">
        <v>138</v>
      </c>
      <c r="AF4" s="14" t="s">
        <v>139</v>
      </c>
      <c r="AG4" s="14" t="s">
        <v>140</v>
      </c>
      <c r="AH4" s="15">
        <v>63.8</v>
      </c>
      <c r="AI4" s="15">
        <v>64</v>
      </c>
      <c r="AJ4" s="15">
        <v>63.599999999999994</v>
      </c>
      <c r="AK4" s="14" t="s">
        <v>191</v>
      </c>
      <c r="AL4" s="14" t="s">
        <v>141</v>
      </c>
      <c r="AM4" s="15">
        <v>39.380000000000003</v>
      </c>
      <c r="AN4" s="15">
        <v>-104.85</v>
      </c>
      <c r="AO4" s="44" t="s">
        <v>191</v>
      </c>
      <c r="AP4" s="44" t="s">
        <v>191</v>
      </c>
      <c r="AQ4" s="16">
        <v>470.62359724726599</v>
      </c>
      <c r="AR4" s="14" t="s">
        <v>142</v>
      </c>
      <c r="AS4" s="16">
        <v>381.95578233326103</v>
      </c>
      <c r="AT4" s="16">
        <v>585.36241453324499</v>
      </c>
      <c r="AU4" s="14" t="s">
        <v>143</v>
      </c>
      <c r="AV4" s="14" t="s">
        <v>144</v>
      </c>
      <c r="AW4" s="14" t="s">
        <v>145</v>
      </c>
      <c r="AX4" s="14" t="s">
        <v>146</v>
      </c>
      <c r="AY4" s="17">
        <v>230000000</v>
      </c>
      <c r="AZ4" s="17">
        <v>6000000</v>
      </c>
      <c r="BA4" s="14" t="s">
        <v>147</v>
      </c>
      <c r="BB4" s="17">
        <v>0</v>
      </c>
      <c r="BC4" s="17">
        <v>0</v>
      </c>
      <c r="BD4" s="14" t="s">
        <v>147</v>
      </c>
      <c r="BE4" s="17">
        <v>9.5999999999999996E-6</v>
      </c>
      <c r="BF4" s="17">
        <v>4.9999999999999998E-7</v>
      </c>
      <c r="BG4" s="14" t="s">
        <v>147</v>
      </c>
      <c r="BH4" s="17">
        <v>0</v>
      </c>
      <c r="BI4" s="17">
        <v>0</v>
      </c>
      <c r="BJ4" s="14" t="s">
        <v>147</v>
      </c>
      <c r="BK4" s="17">
        <v>5.93E-6</v>
      </c>
      <c r="BL4" s="17">
        <v>3.0899999999999997E-7</v>
      </c>
      <c r="BM4" s="14" t="s">
        <v>147</v>
      </c>
      <c r="BN4" s="17">
        <v>0</v>
      </c>
      <c r="BO4" s="17">
        <v>0</v>
      </c>
      <c r="BP4" s="14" t="s">
        <v>147</v>
      </c>
      <c r="BQ4" s="15">
        <v>-25.47</v>
      </c>
      <c r="BR4" s="15">
        <v>0.41</v>
      </c>
      <c r="BS4" s="14" t="s">
        <v>147</v>
      </c>
      <c r="BT4" s="15">
        <v>-5</v>
      </c>
      <c r="BU4" s="15">
        <v>0.3</v>
      </c>
      <c r="BV4" s="14" t="s">
        <v>148</v>
      </c>
      <c r="BW4" s="15">
        <v>379</v>
      </c>
      <c r="BX4" s="15">
        <v>13.24</v>
      </c>
      <c r="BY4" s="15">
        <v>0.43</v>
      </c>
      <c r="BZ4" s="14" t="s">
        <v>149</v>
      </c>
      <c r="CA4" s="15">
        <v>0.71</v>
      </c>
      <c r="CB4" s="15">
        <v>3.5499999999999997E-2</v>
      </c>
      <c r="CC4" s="14" t="s">
        <v>150</v>
      </c>
      <c r="CD4" s="15">
        <v>2</v>
      </c>
      <c r="CE4" s="15">
        <v>0.1</v>
      </c>
      <c r="CF4" s="14" t="s">
        <v>151</v>
      </c>
      <c r="CG4" s="15">
        <v>1</v>
      </c>
      <c r="CH4" s="15">
        <v>0</v>
      </c>
      <c r="CI4" s="14" t="s">
        <v>152</v>
      </c>
      <c r="CJ4" s="15">
        <v>1</v>
      </c>
      <c r="CK4" s="15">
        <v>0.05</v>
      </c>
      <c r="CL4" s="14" t="s">
        <v>151</v>
      </c>
      <c r="CM4" s="15">
        <v>1</v>
      </c>
      <c r="CN4" s="15">
        <v>0.05</v>
      </c>
      <c r="CO4" s="14" t="s">
        <v>151</v>
      </c>
      <c r="CP4" s="18">
        <v>0.23809523799999999</v>
      </c>
      <c r="CQ4" s="18">
        <v>1.1904761999999999E-2</v>
      </c>
      <c r="CR4" s="14" t="s">
        <v>153</v>
      </c>
      <c r="CS4" s="15">
        <v>1.2999999999999999E-2</v>
      </c>
      <c r="CT4" s="15">
        <v>6.4999999999999997E-4</v>
      </c>
      <c r="CU4" s="14" t="s">
        <v>151</v>
      </c>
      <c r="CV4" s="14" t="s">
        <v>154</v>
      </c>
      <c r="CW4" s="15">
        <v>30</v>
      </c>
      <c r="CX4" s="15">
        <v>9.4009599999999997E-4</v>
      </c>
      <c r="CY4" s="15">
        <v>40</v>
      </c>
      <c r="CZ4" s="15">
        <v>25</v>
      </c>
    </row>
    <row r="5" spans="1:105" s="7" customFormat="1" x14ac:dyDescent="0.25">
      <c r="A5" t="s">
        <v>133</v>
      </c>
      <c r="B5" t="s">
        <v>177</v>
      </c>
      <c r="C5" t="s">
        <v>171</v>
      </c>
      <c r="D5" t="s">
        <v>172</v>
      </c>
      <c r="E5">
        <v>2019</v>
      </c>
      <c r="F5" t="str">
        <f t="shared" ref="F5:F7" si="3">Z5</f>
        <v>10.1029/2018PA003356</v>
      </c>
      <c r="G5" s="45">
        <f t="shared" ref="G5:G7" si="4">AH5*1000</f>
        <v>63800</v>
      </c>
      <c r="H5" s="45">
        <f t="shared" ref="H5:H6" si="5">(AI5-AH5)*1000</f>
        <v>200.00000000000284</v>
      </c>
      <c r="I5" s="45">
        <f t="shared" ref="I5:I6" si="6">(AH5-AJ5)*1000</f>
        <v>200.00000000000284</v>
      </c>
      <c r="J5" s="47">
        <f t="shared" ref="J5:J6" si="7">AQ5</f>
        <v>579.12422502065704</v>
      </c>
      <c r="K5" s="46">
        <f t="shared" ref="K5:K6" si="8">AT5-AQ5</f>
        <v>111.66549135177399</v>
      </c>
      <c r="L5" s="46">
        <f t="shared" ref="L5:L6" si="9">AQ5-AS5</f>
        <v>91.036556443118059</v>
      </c>
      <c r="M5" t="b">
        <v>1</v>
      </c>
      <c r="N5">
        <v>3</v>
      </c>
      <c r="O5" t="s">
        <v>179</v>
      </c>
      <c r="P5" t="s">
        <v>191</v>
      </c>
      <c r="Q5" t="b">
        <v>0</v>
      </c>
      <c r="R5" t="s">
        <v>191</v>
      </c>
      <c r="S5" t="b">
        <v>1</v>
      </c>
      <c r="T5" t="b">
        <v>0</v>
      </c>
      <c r="U5" t="s">
        <v>191</v>
      </c>
      <c r="V5" t="s">
        <v>191</v>
      </c>
      <c r="W5" t="b">
        <v>0</v>
      </c>
      <c r="X5" t="s">
        <v>191</v>
      </c>
      <c r="Y5" s="14" t="s">
        <v>3</v>
      </c>
      <c r="Z5" s="14" t="s">
        <v>134</v>
      </c>
      <c r="AA5" s="14" t="s">
        <v>155</v>
      </c>
      <c r="AB5" s="14" t="s">
        <v>136</v>
      </c>
      <c r="AC5" s="14" t="s">
        <v>191</v>
      </c>
      <c r="AD5" s="14" t="s">
        <v>191</v>
      </c>
      <c r="AE5" s="14" t="s">
        <v>138</v>
      </c>
      <c r="AF5" s="14" t="s">
        <v>139</v>
      </c>
      <c r="AG5" s="14" t="s">
        <v>140</v>
      </c>
      <c r="AH5" s="15">
        <v>63.8</v>
      </c>
      <c r="AI5" s="15">
        <v>64</v>
      </c>
      <c r="AJ5" s="15">
        <v>63.599999999999994</v>
      </c>
      <c r="AK5" s="14" t="s">
        <v>191</v>
      </c>
      <c r="AL5" s="14" t="s">
        <v>141</v>
      </c>
      <c r="AM5" s="15">
        <v>39.380000000000003</v>
      </c>
      <c r="AN5" s="15">
        <v>-104.85</v>
      </c>
      <c r="AO5" s="44" t="s">
        <v>191</v>
      </c>
      <c r="AP5" s="44" t="s">
        <v>191</v>
      </c>
      <c r="AQ5" s="16">
        <v>579.12422502065704</v>
      </c>
      <c r="AR5" s="14" t="s">
        <v>142</v>
      </c>
      <c r="AS5" s="16">
        <v>488.08766857753898</v>
      </c>
      <c r="AT5" s="16">
        <v>690.78971637243103</v>
      </c>
      <c r="AU5" s="14" t="s">
        <v>143</v>
      </c>
      <c r="AV5" s="14" t="s">
        <v>144</v>
      </c>
      <c r="AW5" s="14" t="s">
        <v>145</v>
      </c>
      <c r="AX5" s="14" t="s">
        <v>146</v>
      </c>
      <c r="AY5" s="17">
        <v>123000000</v>
      </c>
      <c r="AZ5" s="17">
        <v>50000</v>
      </c>
      <c r="BA5" s="14" t="s">
        <v>156</v>
      </c>
      <c r="BB5" s="17">
        <v>0</v>
      </c>
      <c r="BC5" s="17">
        <v>0</v>
      </c>
      <c r="BD5" s="14" t="s">
        <v>156</v>
      </c>
      <c r="BE5" s="17">
        <v>1.2300000000000001E-5</v>
      </c>
      <c r="BF5" s="17">
        <v>2.9999999999999999E-7</v>
      </c>
      <c r="BG5" s="14" t="s">
        <v>156</v>
      </c>
      <c r="BH5" s="17">
        <v>0</v>
      </c>
      <c r="BI5" s="17">
        <v>0</v>
      </c>
      <c r="BJ5" s="14" t="s">
        <v>156</v>
      </c>
      <c r="BK5" s="17">
        <v>7.6000000000000001E-6</v>
      </c>
      <c r="BL5" s="17">
        <v>1.85E-7</v>
      </c>
      <c r="BM5" s="14" t="s">
        <v>156</v>
      </c>
      <c r="BN5" s="17">
        <v>0</v>
      </c>
      <c r="BO5" s="17">
        <v>0</v>
      </c>
      <c r="BP5" s="14" t="s">
        <v>156</v>
      </c>
      <c r="BQ5" s="15">
        <v>-25.58</v>
      </c>
      <c r="BR5" s="15">
        <v>0.21</v>
      </c>
      <c r="BS5" s="14" t="s">
        <v>156</v>
      </c>
      <c r="BT5" s="15">
        <v>-5</v>
      </c>
      <c r="BU5" s="15">
        <v>0.3</v>
      </c>
      <c r="BV5" s="14" t="s">
        <v>148</v>
      </c>
      <c r="BW5" s="15">
        <v>360</v>
      </c>
      <c r="BX5" s="15">
        <v>12</v>
      </c>
      <c r="BY5" s="15">
        <v>0.6</v>
      </c>
      <c r="BZ5" s="14" t="s">
        <v>151</v>
      </c>
      <c r="CA5" s="15">
        <v>0.71</v>
      </c>
      <c r="CB5" s="15">
        <v>3.5499999999999997E-2</v>
      </c>
      <c r="CC5" s="14" t="s">
        <v>150</v>
      </c>
      <c r="CD5" s="15">
        <v>2</v>
      </c>
      <c r="CE5" s="15">
        <v>0.1</v>
      </c>
      <c r="CF5" s="14" t="s">
        <v>151</v>
      </c>
      <c r="CG5" s="15">
        <v>1</v>
      </c>
      <c r="CH5" s="15">
        <v>0</v>
      </c>
      <c r="CI5" s="14" t="s">
        <v>152</v>
      </c>
      <c r="CJ5" s="15">
        <v>1</v>
      </c>
      <c r="CK5" s="15">
        <v>0.05</v>
      </c>
      <c r="CL5" s="14" t="s">
        <v>151</v>
      </c>
      <c r="CM5" s="15">
        <v>1</v>
      </c>
      <c r="CN5" s="15">
        <v>0.05</v>
      </c>
      <c r="CO5" s="14" t="s">
        <v>151</v>
      </c>
      <c r="CP5" s="18">
        <v>0.23809523799999999</v>
      </c>
      <c r="CQ5" s="18">
        <v>1.1904761999999999E-2</v>
      </c>
      <c r="CR5" s="14" t="s">
        <v>153</v>
      </c>
      <c r="CS5" s="15">
        <v>1.2999999999999999E-2</v>
      </c>
      <c r="CT5" s="15">
        <v>6.4999999999999997E-4</v>
      </c>
      <c r="CU5" s="14" t="s">
        <v>151</v>
      </c>
      <c r="CV5" s="14" t="s">
        <v>154</v>
      </c>
      <c r="CW5" s="15">
        <v>30</v>
      </c>
      <c r="CX5" s="15">
        <v>9.4009599999999997E-4</v>
      </c>
      <c r="CY5" s="15">
        <v>40</v>
      </c>
      <c r="CZ5" s="15">
        <v>25</v>
      </c>
    </row>
    <row r="6" spans="1:105" s="7" customFormat="1" x14ac:dyDescent="0.25">
      <c r="A6" t="s">
        <v>133</v>
      </c>
      <c r="B6" t="s">
        <v>177</v>
      </c>
      <c r="C6" t="s">
        <v>171</v>
      </c>
      <c r="D6" t="s">
        <v>172</v>
      </c>
      <c r="E6">
        <v>2020</v>
      </c>
      <c r="F6" t="str">
        <f t="shared" si="3"/>
        <v>10.1029/2018PA003356</v>
      </c>
      <c r="G6" s="45">
        <f t="shared" si="4"/>
        <v>63800</v>
      </c>
      <c r="H6" s="45">
        <f t="shared" si="5"/>
        <v>200.00000000000284</v>
      </c>
      <c r="I6" s="45">
        <f t="shared" si="6"/>
        <v>200.00000000000284</v>
      </c>
      <c r="J6" s="47">
        <f t="shared" si="7"/>
        <v>623</v>
      </c>
      <c r="K6" s="46">
        <f t="shared" si="8"/>
        <v>140</v>
      </c>
      <c r="L6" s="46">
        <f t="shared" si="9"/>
        <v>112</v>
      </c>
      <c r="M6" t="b">
        <v>1</v>
      </c>
      <c r="N6">
        <v>3</v>
      </c>
      <c r="O6" t="s">
        <v>179</v>
      </c>
      <c r="P6" t="s">
        <v>191</v>
      </c>
      <c r="Q6" t="b">
        <v>0</v>
      </c>
      <c r="R6" t="s">
        <v>191</v>
      </c>
      <c r="S6" t="b">
        <v>1</v>
      </c>
      <c r="T6" t="b">
        <v>0</v>
      </c>
      <c r="U6" t="s">
        <v>191</v>
      </c>
      <c r="V6" t="s">
        <v>191</v>
      </c>
      <c r="W6" t="b">
        <v>0</v>
      </c>
      <c r="X6" t="s">
        <v>191</v>
      </c>
      <c r="Y6" s="14" t="s">
        <v>3</v>
      </c>
      <c r="Z6" s="14" t="s">
        <v>134</v>
      </c>
      <c r="AA6" s="14" t="s">
        <v>157</v>
      </c>
      <c r="AB6" s="14" t="s">
        <v>158</v>
      </c>
      <c r="AC6" s="14" t="s">
        <v>159</v>
      </c>
      <c r="AD6" s="14" t="s">
        <v>160</v>
      </c>
      <c r="AE6" s="14" t="s">
        <v>138</v>
      </c>
      <c r="AF6" s="14" t="s">
        <v>139</v>
      </c>
      <c r="AG6" s="14" t="s">
        <v>140</v>
      </c>
      <c r="AH6" s="15">
        <v>63.8</v>
      </c>
      <c r="AI6" s="15">
        <v>64</v>
      </c>
      <c r="AJ6" s="15">
        <v>63.599999999999994</v>
      </c>
      <c r="AK6" s="14" t="s">
        <v>191</v>
      </c>
      <c r="AL6" s="14" t="s">
        <v>141</v>
      </c>
      <c r="AM6" s="15">
        <v>39.380000000000003</v>
      </c>
      <c r="AN6" s="15">
        <v>-104.85</v>
      </c>
      <c r="AO6" s="44" t="s">
        <v>191</v>
      </c>
      <c r="AP6" s="44" t="s">
        <v>191</v>
      </c>
      <c r="AQ6" s="16">
        <v>623</v>
      </c>
      <c r="AR6" s="14" t="s">
        <v>142</v>
      </c>
      <c r="AS6" s="16">
        <v>511</v>
      </c>
      <c r="AT6" s="16">
        <v>763</v>
      </c>
      <c r="AU6" s="14" t="s">
        <v>143</v>
      </c>
      <c r="AV6" s="14" t="s">
        <v>144</v>
      </c>
      <c r="AW6" s="14" t="s">
        <v>145</v>
      </c>
      <c r="AX6" s="14" t="s">
        <v>146</v>
      </c>
      <c r="AY6" s="17">
        <v>136000000</v>
      </c>
      <c r="AZ6" s="17">
        <v>6170000</v>
      </c>
      <c r="BA6" s="14" t="s">
        <v>161</v>
      </c>
      <c r="BB6" s="17">
        <v>0</v>
      </c>
      <c r="BC6" s="17">
        <v>0</v>
      </c>
      <c r="BD6" s="14" t="s">
        <v>161</v>
      </c>
      <c r="BE6" s="17">
        <v>1.01E-5</v>
      </c>
      <c r="BF6" s="17">
        <v>2.9999999999999999E-7</v>
      </c>
      <c r="BG6" s="14" t="s">
        <v>161</v>
      </c>
      <c r="BH6" s="17">
        <v>0</v>
      </c>
      <c r="BI6" s="17">
        <v>0</v>
      </c>
      <c r="BJ6" s="14" t="s">
        <v>161</v>
      </c>
      <c r="BK6" s="17">
        <v>1.3699999999999999E-5</v>
      </c>
      <c r="BL6" s="17">
        <v>3.9999999999999998E-7</v>
      </c>
      <c r="BM6" s="14" t="s">
        <v>161</v>
      </c>
      <c r="BN6" s="17">
        <v>0</v>
      </c>
      <c r="BO6" s="17">
        <v>0</v>
      </c>
      <c r="BP6" s="14" t="s">
        <v>161</v>
      </c>
      <c r="BQ6" s="15">
        <v>-25.57</v>
      </c>
      <c r="BR6" s="15">
        <v>0.17</v>
      </c>
      <c r="BS6" s="14" t="s">
        <v>161</v>
      </c>
      <c r="BT6" s="15">
        <v>-5</v>
      </c>
      <c r="BU6" s="15">
        <v>0.3</v>
      </c>
      <c r="BV6" s="14" t="s">
        <v>148</v>
      </c>
      <c r="BW6" s="15">
        <v>397</v>
      </c>
      <c r="BX6" s="15">
        <v>8.09</v>
      </c>
      <c r="BY6" s="15">
        <v>0.23</v>
      </c>
      <c r="BZ6" s="14" t="s">
        <v>162</v>
      </c>
      <c r="CA6" s="18">
        <v>0.526808991</v>
      </c>
      <c r="CB6" s="19">
        <v>1.4126425E-2</v>
      </c>
      <c r="CC6" s="14" t="s">
        <v>162</v>
      </c>
      <c r="CD6" s="15">
        <v>2</v>
      </c>
      <c r="CE6" s="15">
        <v>0.1</v>
      </c>
      <c r="CF6" s="14" t="s">
        <v>151</v>
      </c>
      <c r="CG6" s="15">
        <v>1</v>
      </c>
      <c r="CH6" s="15">
        <v>0</v>
      </c>
      <c r="CI6" s="14" t="s">
        <v>152</v>
      </c>
      <c r="CJ6" s="15">
        <v>1</v>
      </c>
      <c r="CK6" s="15">
        <v>0.05</v>
      </c>
      <c r="CL6" s="14" t="s">
        <v>151</v>
      </c>
      <c r="CM6" s="15">
        <v>0.6</v>
      </c>
      <c r="CN6" s="15">
        <v>0.03</v>
      </c>
      <c r="CO6" s="14" t="s">
        <v>151</v>
      </c>
      <c r="CP6" s="18">
        <v>0.40270756200000002</v>
      </c>
      <c r="CQ6" s="18">
        <v>2.3535038000000001E-2</v>
      </c>
      <c r="CR6" s="14" t="s">
        <v>163</v>
      </c>
      <c r="CS6" s="15">
        <v>1.2999999999999999E-2</v>
      </c>
      <c r="CT6" s="15">
        <v>6.4999999999999997E-4</v>
      </c>
      <c r="CU6" s="14" t="s">
        <v>151</v>
      </c>
      <c r="CV6" s="14" t="s">
        <v>154</v>
      </c>
      <c r="CW6" s="15">
        <v>30</v>
      </c>
      <c r="CX6" s="15">
        <v>9.4009599999999997E-4</v>
      </c>
      <c r="CY6" s="15">
        <v>40</v>
      </c>
      <c r="CZ6" s="15">
        <v>25</v>
      </c>
    </row>
    <row r="7" spans="1:105" s="7" customFormat="1" ht="16.5" x14ac:dyDescent="0.25">
      <c r="A7" t="s">
        <v>133</v>
      </c>
      <c r="B7" t="s">
        <v>177</v>
      </c>
      <c r="C7" t="s">
        <v>171</v>
      </c>
      <c r="D7" t="s">
        <v>172</v>
      </c>
      <c r="E7">
        <v>2021</v>
      </c>
      <c r="F7" t="str">
        <f t="shared" si="3"/>
        <v>10.1029/2018PA003356</v>
      </c>
      <c r="G7" s="45">
        <f t="shared" si="4"/>
        <v>63800</v>
      </c>
      <c r="H7" s="45">
        <f t="shared" ref="H7" si="10">(AI7-AH7)*1000</f>
        <v>200.00000000000284</v>
      </c>
      <c r="I7" s="45">
        <f t="shared" ref="I7" si="11">(AH7-AJ7)*1000</f>
        <v>200.00000000000284</v>
      </c>
      <c r="J7" s="47">
        <f t="shared" ref="J7" si="12">AQ7</f>
        <v>559.33333333333337</v>
      </c>
      <c r="K7" s="46">
        <f t="shared" ref="K7" si="13">AT7-AQ7</f>
        <v>69</v>
      </c>
      <c r="L7" s="46">
        <f t="shared" ref="L7" si="14">AQ7-AS7</f>
        <v>59</v>
      </c>
      <c r="M7" t="s">
        <v>191</v>
      </c>
      <c r="N7">
        <v>1</v>
      </c>
      <c r="O7" s="50" t="s">
        <v>201</v>
      </c>
      <c r="P7" t="s">
        <v>191</v>
      </c>
      <c r="Q7" s="40" t="b">
        <v>1</v>
      </c>
      <c r="R7" s="40" t="s">
        <v>180</v>
      </c>
      <c r="S7" t="b">
        <v>1</v>
      </c>
      <c r="T7" t="b">
        <v>0</v>
      </c>
      <c r="U7" t="s">
        <v>191</v>
      </c>
      <c r="V7" t="s">
        <v>191</v>
      </c>
      <c r="W7" t="b">
        <v>0</v>
      </c>
      <c r="X7" t="s">
        <v>191</v>
      </c>
      <c r="Y7" s="14" t="s">
        <v>3</v>
      </c>
      <c r="Z7" s="14" t="s">
        <v>134</v>
      </c>
      <c r="AA7" s="7" t="s">
        <v>164</v>
      </c>
      <c r="AB7" s="14" t="s">
        <v>191</v>
      </c>
      <c r="AC7" s="14" t="s">
        <v>191</v>
      </c>
      <c r="AD7" s="14" t="s">
        <v>191</v>
      </c>
      <c r="AE7" s="14" t="s">
        <v>191</v>
      </c>
      <c r="AF7" s="14" t="s">
        <v>191</v>
      </c>
      <c r="AG7" s="14" t="s">
        <v>140</v>
      </c>
      <c r="AH7" s="15">
        <v>63.8</v>
      </c>
      <c r="AI7" s="15">
        <v>64</v>
      </c>
      <c r="AJ7" s="15">
        <v>63.599999999999994</v>
      </c>
      <c r="AK7" s="14" t="s">
        <v>191</v>
      </c>
      <c r="AL7" s="14" t="s">
        <v>141</v>
      </c>
      <c r="AM7" s="15">
        <v>39.380000000000003</v>
      </c>
      <c r="AN7" s="15">
        <v>-104.85</v>
      </c>
      <c r="AO7" s="44" t="s">
        <v>191</v>
      </c>
      <c r="AP7" s="44" t="s">
        <v>191</v>
      </c>
      <c r="AQ7" s="39">
        <v>559.33333333333337</v>
      </c>
      <c r="AR7" s="14" t="s">
        <v>142</v>
      </c>
      <c r="AS7" s="48">
        <f>AQ7-59</f>
        <v>500.33333333333337</v>
      </c>
      <c r="AT7" s="16">
        <f>AQ7+69</f>
        <v>628.33333333333337</v>
      </c>
      <c r="AU7" s="14" t="s">
        <v>143</v>
      </c>
      <c r="AV7" s="14" t="s">
        <v>144</v>
      </c>
      <c r="AW7" s="14" t="s">
        <v>191</v>
      </c>
      <c r="AX7" s="14" t="s">
        <v>191</v>
      </c>
      <c r="AY7" s="14" t="s">
        <v>191</v>
      </c>
      <c r="AZ7" s="14" t="s">
        <v>191</v>
      </c>
      <c r="BA7" s="14" t="s">
        <v>191</v>
      </c>
      <c r="BB7" s="14" t="s">
        <v>191</v>
      </c>
      <c r="BC7" s="14" t="s">
        <v>191</v>
      </c>
      <c r="BD7" s="14" t="s">
        <v>191</v>
      </c>
      <c r="BE7" s="14" t="s">
        <v>191</v>
      </c>
      <c r="BF7" s="14" t="s">
        <v>191</v>
      </c>
      <c r="BG7" s="14" t="s">
        <v>191</v>
      </c>
      <c r="BH7" s="14" t="s">
        <v>191</v>
      </c>
      <c r="BI7" s="14" t="s">
        <v>191</v>
      </c>
      <c r="BJ7" s="14" t="s">
        <v>191</v>
      </c>
      <c r="BK7" s="14" t="s">
        <v>191</v>
      </c>
      <c r="BL7" s="14" t="s">
        <v>191</v>
      </c>
      <c r="BM7" s="14" t="s">
        <v>191</v>
      </c>
      <c r="BN7" s="14" t="s">
        <v>191</v>
      </c>
      <c r="BO7" s="14" t="s">
        <v>191</v>
      </c>
      <c r="BP7" s="14" t="s">
        <v>191</v>
      </c>
      <c r="BQ7" s="14" t="s">
        <v>191</v>
      </c>
      <c r="BR7" s="14" t="s">
        <v>191</v>
      </c>
      <c r="BS7" s="14" t="s">
        <v>191</v>
      </c>
      <c r="BT7" s="14" t="s">
        <v>191</v>
      </c>
      <c r="BU7" s="14" t="s">
        <v>191</v>
      </c>
      <c r="BV7" s="14" t="s">
        <v>191</v>
      </c>
      <c r="BW7" s="14" t="s">
        <v>191</v>
      </c>
      <c r="BX7" s="14" t="s">
        <v>191</v>
      </c>
      <c r="BY7" s="14" t="s">
        <v>191</v>
      </c>
      <c r="BZ7" s="14" t="s">
        <v>191</v>
      </c>
      <c r="CA7" s="14" t="s">
        <v>191</v>
      </c>
      <c r="CB7" s="14" t="s">
        <v>191</v>
      </c>
      <c r="CC7" s="14" t="s">
        <v>191</v>
      </c>
      <c r="CD7" s="14" t="s">
        <v>191</v>
      </c>
      <c r="CE7" s="14" t="s">
        <v>191</v>
      </c>
      <c r="CF7" s="14" t="s">
        <v>191</v>
      </c>
      <c r="CG7" s="14" t="s">
        <v>191</v>
      </c>
      <c r="CH7" s="14" t="s">
        <v>191</v>
      </c>
      <c r="CI7" s="14" t="s">
        <v>191</v>
      </c>
      <c r="CJ7" s="14" t="s">
        <v>191</v>
      </c>
      <c r="CK7" s="14" t="s">
        <v>191</v>
      </c>
      <c r="CL7" s="14" t="s">
        <v>191</v>
      </c>
      <c r="CM7" s="14" t="s">
        <v>191</v>
      </c>
      <c r="CN7" s="14" t="s">
        <v>191</v>
      </c>
      <c r="CO7" s="14" t="s">
        <v>191</v>
      </c>
      <c r="CP7" s="14" t="s">
        <v>191</v>
      </c>
      <c r="CQ7" s="14" t="s">
        <v>191</v>
      </c>
      <c r="CR7" s="14" t="s">
        <v>191</v>
      </c>
      <c r="CS7" s="14" t="s">
        <v>191</v>
      </c>
      <c r="CT7" s="14" t="s">
        <v>191</v>
      </c>
      <c r="CU7" s="14" t="s">
        <v>191</v>
      </c>
      <c r="CV7" s="14" t="s">
        <v>191</v>
      </c>
      <c r="CW7" s="14" t="s">
        <v>191</v>
      </c>
      <c r="CX7" s="14" t="s">
        <v>191</v>
      </c>
      <c r="CY7" s="14" t="s">
        <v>191</v>
      </c>
      <c r="CZ7" s="14" t="s">
        <v>191</v>
      </c>
      <c r="DA7" s="53" t="s">
        <v>203</v>
      </c>
    </row>
    <row r="8" spans="1:105" s="7" customFormat="1" x14ac:dyDescent="0.25">
      <c r="AY8" s="20"/>
      <c r="AZ8" s="20"/>
      <c r="BB8" s="20"/>
      <c r="BC8" s="20"/>
      <c r="BE8" s="20"/>
      <c r="BF8" s="20"/>
      <c r="BH8" s="20"/>
      <c r="BI8" s="20"/>
      <c r="BK8" s="20"/>
      <c r="BL8" s="20"/>
      <c r="BN8" s="20"/>
      <c r="BO8" s="20"/>
    </row>
    <row r="9" spans="1:105" s="7" customFormat="1" x14ac:dyDescent="0.25">
      <c r="AY9" s="20"/>
      <c r="AZ9" s="20"/>
      <c r="BB9" s="20"/>
      <c r="BC9" s="20"/>
      <c r="BE9" s="20"/>
      <c r="BF9" s="20"/>
      <c r="BH9" s="20"/>
      <c r="BI9" s="20"/>
      <c r="BK9" s="20"/>
      <c r="BL9" s="20"/>
      <c r="BN9" s="20"/>
      <c r="BO9" s="20"/>
    </row>
    <row r="10" spans="1:105" s="7" customFormat="1" x14ac:dyDescent="0.25">
      <c r="AR10" s="39"/>
      <c r="AS10" s="39"/>
      <c r="AY10" s="20"/>
      <c r="AZ10" s="20"/>
      <c r="BE10" s="20"/>
      <c r="BF10" s="20"/>
      <c r="BH10" s="20"/>
      <c r="BI10" s="20"/>
      <c r="BK10" s="20"/>
      <c r="BL10" s="20"/>
      <c r="BN10" s="20"/>
      <c r="BO10" s="20"/>
    </row>
    <row r="11" spans="1:105" s="7" customFormat="1" x14ac:dyDescent="0.25"/>
    <row r="12" spans="1:105" s="7" customFormat="1" x14ac:dyDescent="0.25"/>
    <row r="13" spans="1:105" s="7" customFormat="1" x14ac:dyDescent="0.25"/>
    <row r="14" spans="1:105" s="7" customFormat="1" x14ac:dyDescent="0.25"/>
    <row r="15" spans="1:105" s="7" customFormat="1" x14ac:dyDescent="0.25"/>
    <row r="16" spans="1:105" s="7" customFormat="1" x14ac:dyDescent="0.25"/>
    <row r="17" s="7" customFormat="1" x14ac:dyDescent="0.25"/>
    <row r="18" s="7" customFormat="1" x14ac:dyDescent="0.25"/>
    <row r="19" s="7" customFormat="1" x14ac:dyDescent="0.25"/>
    <row r="20" s="7" customFormat="1" x14ac:dyDescent="0.25"/>
    <row r="21" s="7" customFormat="1" x14ac:dyDescent="0.25"/>
    <row r="22" s="7" customFormat="1" x14ac:dyDescent="0.25"/>
    <row r="23" s="7" customFormat="1" x14ac:dyDescent="0.25"/>
    <row r="24" s="7" customFormat="1" x14ac:dyDescent="0.25"/>
    <row r="25" s="7" customFormat="1" x14ac:dyDescent="0.25"/>
    <row r="26" s="7" customFormat="1" x14ac:dyDescent="0.25"/>
    <row r="27" s="7" customFormat="1" x14ac:dyDescent="0.25"/>
    <row r="28" s="7" customFormat="1" x14ac:dyDescent="0.25"/>
    <row r="29" s="7" customFormat="1" x14ac:dyDescent="0.25"/>
    <row r="30" s="7" customFormat="1" x14ac:dyDescent="0.25"/>
    <row r="31" s="7" customFormat="1" x14ac:dyDescent="0.25"/>
    <row r="32" s="7" customFormat="1" x14ac:dyDescent="0.25"/>
    <row r="33" s="7" customFormat="1" x14ac:dyDescent="0.25"/>
    <row r="34" s="7" customFormat="1" x14ac:dyDescent="0.25"/>
    <row r="35" s="7" customFormat="1" x14ac:dyDescent="0.25"/>
    <row r="36" s="7" customFormat="1" x14ac:dyDescent="0.25"/>
    <row r="37" s="7" customFormat="1" x14ac:dyDescent="0.25"/>
    <row r="38" s="7" customFormat="1" x14ac:dyDescent="0.25"/>
    <row r="39" s="7" customFormat="1" x14ac:dyDescent="0.25"/>
    <row r="40" s="7" customFormat="1" x14ac:dyDescent="0.25"/>
    <row r="41" s="7" customFormat="1" x14ac:dyDescent="0.25"/>
    <row r="42" s="7" customFormat="1" x14ac:dyDescent="0.25"/>
    <row r="43" s="7" customFormat="1" x14ac:dyDescent="0.25"/>
  </sheetData>
  <mergeCells count="1">
    <mergeCell ref="S2:W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defaultColWidth="11" defaultRowHeight="15.75" x14ac:dyDescent="0.25"/>
  <sheetData>
    <row r="1" spans="1:1" x14ac:dyDescent="0.25">
      <c r="A1" s="41" t="s">
        <v>0</v>
      </c>
    </row>
    <row r="2" spans="1:1" x14ac:dyDescent="0.25">
      <c r="A2" s="42" t="s">
        <v>1</v>
      </c>
    </row>
    <row r="3" spans="1:1" x14ac:dyDescent="0.25">
      <c r="A3" s="41" t="s">
        <v>2</v>
      </c>
    </row>
    <row r="4" spans="1:1" x14ac:dyDescent="0.25">
      <c r="A4" s="4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Dana Royer</cp:lastModifiedBy>
  <dcterms:created xsi:type="dcterms:W3CDTF">2019-02-07T19:27:24Z</dcterms:created>
  <dcterms:modified xsi:type="dcterms:W3CDTF">2022-03-30T13:32:57Z</dcterms:modified>
</cp:coreProperties>
</file>