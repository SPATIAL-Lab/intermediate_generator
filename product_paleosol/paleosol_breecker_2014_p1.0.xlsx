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E35A9D54-9944-B448-AE37-B814B433EC4A}" xr6:coauthVersionLast="47" xr6:coauthVersionMax="47" xr10:uidLastSave="{00000000-0000-0000-0000-000000000000}"/>
  <bookViews>
    <workbookView xWindow="-500" yWindow="3500" windowWidth="28480" windowHeight="15900" xr2:uid="{00000000-000D-0000-FFFF-FFFF00000000}"/>
  </bookViews>
  <sheets>
    <sheet name="Sheet1" sheetId="1" r:id="rId1"/>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N5" i="1" l="1"/>
  <c r="EO5" i="1"/>
  <c r="EN6" i="1"/>
  <c r="EO6" i="1"/>
  <c r="EN7" i="1"/>
  <c r="EO7" i="1"/>
  <c r="EN8" i="1"/>
  <c r="EO8" i="1"/>
  <c r="EN9" i="1"/>
  <c r="EO9" i="1"/>
  <c r="EN10" i="1"/>
  <c r="EO10" i="1"/>
  <c r="EN11" i="1"/>
  <c r="EO11" i="1"/>
  <c r="EN12" i="1"/>
  <c r="EO12" i="1"/>
  <c r="EN13" i="1"/>
  <c r="EO13" i="1"/>
  <c r="EN14" i="1"/>
  <c r="EO14" i="1"/>
  <c r="EO4" i="1"/>
  <c r="EN4" i="1"/>
  <c r="BK4" i="1"/>
</calcChain>
</file>

<file path=xl/sharedStrings.xml><?xml version="1.0" encoding="utf-8"?>
<sst xmlns="http://schemas.openxmlformats.org/spreadsheetml/2006/main" count="1319" uniqueCount="234">
  <si>
    <t>proxy</t>
  </si>
  <si>
    <t>doi</t>
  </si>
  <si>
    <t>first_author_last_name</t>
  </si>
  <si>
    <t>publication_year</t>
  </si>
  <si>
    <t>age_ka</t>
  </si>
  <si>
    <t>Age_uncertainty_pos_ka</t>
  </si>
  <si>
    <t>Age_uncertainty_neg_ka</t>
  </si>
  <si>
    <t>specify reason for age revision</t>
  </si>
  <si>
    <t>specify reason for quarantine</t>
  </si>
  <si>
    <t>Dan Breecker</t>
  </si>
  <si>
    <t>breecker@jsg.utexas.edu</t>
  </si>
  <si>
    <t>Breecker</t>
  </si>
  <si>
    <t>10.1016/j.palaeo.2014.04.012</t>
  </si>
  <si>
    <t>specify reason for CO2 revision</t>
  </si>
  <si>
    <t>NA</t>
  </si>
  <si>
    <t>paleosols</t>
  </si>
  <si>
    <t>CO2_uncertainty_pos_ppm</t>
  </si>
  <si>
    <t>Contextual Information</t>
  </si>
  <si>
    <t>Measured Values</t>
  </si>
  <si>
    <t>Derived Values</t>
  </si>
  <si>
    <t>Other measurements/observations</t>
  </si>
  <si>
    <r>
      <t>CO</t>
    </r>
    <r>
      <rPr>
        <vertAlign val="subscript"/>
        <sz val="18"/>
        <color theme="1"/>
        <rFont val="Arial"/>
        <family val="2"/>
      </rPr>
      <t>2</t>
    </r>
    <r>
      <rPr>
        <sz val="18"/>
        <color theme="1"/>
        <rFont val="Arial"/>
        <family val="2"/>
      </rPr>
      <t xml:space="preserve"> estimates</t>
    </r>
  </si>
  <si>
    <t>Sample ID</t>
  </si>
  <si>
    <t>Rock formation name</t>
  </si>
  <si>
    <t>Reference(s) for age</t>
  </si>
  <si>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</si>
  <si>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</si>
  <si>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</si>
  <si>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</si>
  <si>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om</t>
    </r>
  </si>
  <si>
    <r>
      <t xml:space="preserve">n </t>
    </r>
    <r>
      <rPr>
        <sz val="13"/>
        <color rgb="FF000000"/>
        <rFont val="Symbol"/>
        <charset val="2"/>
      </rPr>
      <t>D</t>
    </r>
    <r>
      <rPr>
        <vertAlign val="subscript"/>
        <sz val="13"/>
        <color rgb="FF000000"/>
        <rFont val="Arial"/>
        <family val="2"/>
      </rPr>
      <t>47</t>
    </r>
  </si>
  <si>
    <r>
      <t xml:space="preserve">Reference for </t>
    </r>
    <r>
      <rPr>
        <sz val="13"/>
        <color rgb="FF000000"/>
        <rFont val="Symbol"/>
        <charset val="2"/>
      </rPr>
      <t>D</t>
    </r>
    <r>
      <rPr>
        <vertAlign val="subscript"/>
        <sz val="13"/>
        <color rgb="FF000000"/>
        <rFont val="Arial"/>
        <family val="2"/>
      </rPr>
      <t xml:space="preserve">47 </t>
    </r>
    <r>
      <rPr>
        <sz val="13"/>
        <color rgb="FF000000"/>
        <rFont val="Arial"/>
        <family val="2"/>
      </rPr>
      <t>analytical method and</t>
    </r>
    <r>
      <rPr>
        <vertAlign val="subscript"/>
        <sz val="13"/>
        <color rgb="FF000000"/>
        <rFont val="Arial"/>
        <family val="2"/>
      </rPr>
      <t xml:space="preserve"> </t>
    </r>
    <r>
      <rPr>
        <sz val="13"/>
        <color rgb="FF000000"/>
        <rFont val="Arial"/>
        <family val="2"/>
      </rPr>
      <t>corrections</t>
    </r>
  </si>
  <si>
    <t>n geochemical analyses</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</si>
  <si>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</si>
  <si>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</si>
  <si>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</si>
  <si>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</si>
  <si>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uncertainty</t>
    </r>
  </si>
  <si>
    <t>Temperature estimation approach</t>
  </si>
  <si>
    <r>
      <t xml:space="preserve">Reference for </t>
    </r>
    <r>
      <rPr>
        <sz val="13"/>
        <color rgb="FF000000"/>
        <rFont val="Symbol"/>
        <charset val="2"/>
      </rPr>
      <t>D</t>
    </r>
    <r>
      <rPr>
        <vertAlign val="subscript"/>
        <sz val="13"/>
        <color rgb="FF000000"/>
        <rFont val="Arial"/>
        <family val="2"/>
      </rPr>
      <t>47</t>
    </r>
    <r>
      <rPr>
        <sz val="13"/>
        <color rgb="FF000000"/>
        <rFont val="Arial"/>
        <family val="2"/>
      </rPr>
      <t xml:space="preserve"> - temperature calibration</t>
    </r>
  </si>
  <si>
    <t>Reference(s) for other temperature approach</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</si>
  <si>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</si>
  <si>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uncertainty</t>
    </r>
  </si>
  <si>
    <t>MAP approach</t>
  </si>
  <si>
    <t>MAP reference(s)</t>
  </si>
  <si>
    <t>S(z) approach</t>
  </si>
  <si>
    <t>Soil order</t>
  </si>
  <si>
    <t>Soil texture (Grain size)</t>
  </si>
  <si>
    <t>Soil horizon for organic matter</t>
  </si>
  <si>
    <t>Depth of om sample in soil horizon</t>
  </si>
  <si>
    <t>Organic matter type</t>
  </si>
  <si>
    <t>Method of removal of calcium carbonate prior to om analysis</t>
  </si>
  <si>
    <t>Defining features for soil order designation</t>
  </si>
  <si>
    <t>error propagation method</t>
  </si>
  <si>
    <t>variables considered in error propagation</t>
  </si>
  <si>
    <t>Additional publications that are part of the  dataset</t>
  </si>
  <si>
    <t>Explanation for each additional publications link to the dataset</t>
  </si>
  <si>
    <r>
      <t>Breecker, D. O., &amp; Retallack, G. J. (2014). Refining the pedogenic carbonate atmospheric CO2 proxy and application to Miocene CO2. </t>
    </r>
    <r>
      <rPr>
        <i/>
        <sz val="13"/>
        <color rgb="FF222222"/>
        <rFont val="Arial"/>
        <family val="2"/>
      </rPr>
      <t>Palaeogeography, Palaeoclimatology, Palaeoecology</t>
    </r>
    <r>
      <rPr>
        <sz val="13"/>
        <color rgb="FF222222"/>
        <rFont val="Arial"/>
        <family val="2"/>
      </rPr>
      <t>, </t>
    </r>
    <r>
      <rPr>
        <i/>
        <sz val="13"/>
        <color rgb="FF222222"/>
        <rFont val="Arial"/>
        <family val="2"/>
      </rPr>
      <t>406</t>
    </r>
    <r>
      <rPr>
        <sz val="13"/>
        <color rgb="FF222222"/>
        <rFont val="Arial"/>
        <family val="2"/>
      </rPr>
      <t>, 1-8.</t>
    </r>
  </si>
  <si>
    <r>
      <t>Cotton, J. M., &amp; Sheldon, N. D. (2012). New constraints on using paleosols to reconstruct atmospheric p CO2. </t>
    </r>
    <r>
      <rPr>
        <i/>
        <sz val="13"/>
        <color rgb="FF222222"/>
        <rFont val="Arial"/>
        <family val="2"/>
      </rPr>
      <t>Bulletin</t>
    </r>
    <r>
      <rPr>
        <sz val="13"/>
        <color rgb="FF222222"/>
        <rFont val="Arial"/>
        <family val="2"/>
      </rPr>
      <t>, </t>
    </r>
    <r>
      <rPr>
        <i/>
        <sz val="13"/>
        <color rgb="FF222222"/>
        <rFont val="Arial"/>
        <family val="2"/>
      </rPr>
      <t>124</t>
    </r>
    <r>
      <rPr>
        <sz val="13"/>
        <color rgb="FF222222"/>
        <rFont val="Arial"/>
        <family val="2"/>
      </rPr>
      <t>(9-10), 1411-1423.</t>
    </r>
  </si>
  <si>
    <t>source of paleosol carbonate and organic matter d13C values</t>
  </si>
  <si>
    <t>Beaverhead locality, Sixmile Creek</t>
  </si>
  <si>
    <r>
      <t>Hoffman, D. S. (1971). Tertiary stratigraphy, vertebrate paleontology and paleoecology of a portion of the lower Beaverhead River basin. </t>
    </r>
    <r>
      <rPr>
        <i/>
        <sz val="13"/>
        <color rgb="FF222222"/>
        <rFont val="Arial"/>
        <family val="2"/>
      </rPr>
      <t>Madison and Beaverhead counties, Montana [Ph. D. Dissertation]: Missoula, University of Montana, Kuenzi, W. D., &amp; Fields, R. W. (1971). Tertiary stratigraphy, structure, and geologic history, Jefferson Basin, Montana. Geological Society of America Bulletin, 82(12), 3373-3394.</t>
    </r>
  </si>
  <si>
    <t>Cotton, J. M., &amp; Sheldon, N. D. (2012). New constraints on using paleosols to reconstruct atmospheric p CO2. Bulletin, 124(9-10), 1411-1423.</t>
  </si>
  <si>
    <r>
      <t>1 +/- 0.5 ‰ (1</t>
    </r>
    <r>
      <rPr>
        <sz val="12"/>
        <color theme="1"/>
        <rFont val="Symbol"/>
        <charset val="2"/>
      </rPr>
      <t>s</t>
    </r>
    <r>
      <rPr>
        <sz val="12"/>
        <color theme="1"/>
        <rFont val="Arial"/>
        <family val="2"/>
      </rPr>
      <t xml:space="preserve">) lower than </t>
    </r>
    <r>
      <rPr>
        <sz val="12"/>
        <color theme="1"/>
        <rFont val="Symbol"/>
        <charset val="2"/>
      </rPr>
      <t>d</t>
    </r>
    <r>
      <rPr>
        <sz val="12"/>
        <color theme="1"/>
        <rFont val="Arial"/>
        <family val="2"/>
      </rPr>
      <t>13C occluded om</t>
    </r>
  </si>
  <si>
    <t>Breecker, D. O. (2013). Quantifying and understanding the uncertainty of atmospheric CO2 concentrations determined from calcic paleosols. Geochemistry, Geophysics, Geosystems, 14(8), 3210-3220.</t>
  </si>
  <si>
    <t>from benthic forams</t>
  </si>
  <si>
    <t>Tipple, B. J., Meyers, S. R., &amp; Pagani, M. (2010). Carbon isotope ratio of Cenozoic CO2: A comparative evaluation of available geochemical proxies. Paleoceanography and Paleoclimatology, 25(3).</t>
  </si>
  <si>
    <t>from MAT reported by Retallack, G. J. (2007). Cenozoic paleoclimate on land in North America. The Journal of Geology, 115(3), 271-294.</t>
  </si>
  <si>
    <t>Breecker, D. O. (2013). Quantifying and understanding the uncertainty of atmospheric CO2 concentrations determined from calcic paleosols. Geochemistry, Geophysics, Geosystems, 14(8), 3210-3220. Sheldon, N. D., Retallack, G. J., &amp; Tanaka, S. (2002). Geochemical climofunctions from North American soils and application to paleosols across the Eocene-Oligocene boundary in Oregon. The Journal of geology, 110(6), 687-696.</t>
  </si>
  <si>
    <t>propoagated</t>
  </si>
  <si>
    <t>based on soil order</t>
  </si>
  <si>
    <t>B</t>
  </si>
  <si>
    <t>Aridisol</t>
  </si>
  <si>
    <t>56 - 200</t>
  </si>
  <si>
    <t>silt, silty clay, fine sand</t>
  </si>
  <si>
    <t>nodules</t>
  </si>
  <si>
    <t>Yes</t>
  </si>
  <si>
    <t>organic matter occluded in pedogenic calcium carbonate</t>
  </si>
  <si>
    <t>aliquots of carbonates nodules were dissolved in 7% HCl then rinsed with deionized water</t>
  </si>
  <si>
    <t>well developed Bk horizons along with absence of slickensides, wedge-shaped peds, or Mollic epipedons</t>
  </si>
  <si>
    <t>by Retallack, G. J. (2007). Cenozoic paleoclimate on land in North America. The Journal of Geology, 115(3), 271-294.</t>
  </si>
  <si>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paleosol carbonate</t>
    </r>
    <r>
      <rPr>
        <sz val="12"/>
        <color theme="1"/>
        <rFont val="Arial"/>
        <family val="2"/>
      </rPr>
      <t xml:space="preserv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organic matter</t>
    </r>
    <r>
      <rPr>
        <sz val="12"/>
        <color theme="1"/>
        <rFont val="Arial"/>
        <family val="2"/>
      </rPr>
      <t xml:space="preserve">, </t>
    </r>
    <r>
      <rPr>
        <sz val="12"/>
        <color theme="1"/>
        <rFont val="Symbol"/>
        <charset val="2"/>
      </rPr>
      <t>D</t>
    </r>
    <r>
      <rPr>
        <sz val="12"/>
        <color theme="1"/>
        <rFont val="Arial"/>
        <family val="2"/>
      </rPr>
      <t>13C</t>
    </r>
    <r>
      <rPr>
        <vertAlign val="subscript"/>
        <sz val="12"/>
        <color theme="1"/>
        <rFont val="Arial"/>
        <family val="2"/>
      </rPr>
      <t>respired CO2-om</t>
    </r>
    <r>
      <rPr>
        <sz val="12"/>
        <color theme="1"/>
        <rFont val="Arial"/>
        <family val="2"/>
      </rPr>
      <t xml:space="preserve">, temperature,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S(z)</t>
    </r>
  </si>
  <si>
    <r>
      <t>Fox, D. L., &amp; Koch, P. L. (2003). Tertiary history of C4 biomass in the Great Plains, USA. </t>
    </r>
    <r>
      <rPr>
        <i/>
        <sz val="13"/>
        <color rgb="FF222222"/>
        <rFont val="Arial"/>
        <family val="2"/>
      </rPr>
      <t>Geology</t>
    </r>
    <r>
      <rPr>
        <sz val="13"/>
        <color rgb="FF222222"/>
        <rFont val="Arial"/>
        <family val="2"/>
      </rPr>
      <t>, </t>
    </r>
    <r>
      <rPr>
        <i/>
        <sz val="13"/>
        <color rgb="FF222222"/>
        <rFont val="Arial"/>
        <family val="2"/>
      </rPr>
      <t>31</t>
    </r>
    <r>
      <rPr>
        <sz val="13"/>
        <color rgb="FF222222"/>
        <rFont val="Arial"/>
        <family val="2"/>
      </rPr>
      <t>(9), 809-812.</t>
    </r>
  </si>
  <si>
    <t>22.4.00.2.1 - 22.4.00.2.15</t>
  </si>
  <si>
    <t>Ogallala</t>
  </si>
  <si>
    <r>
      <t>Gustavson, T. C. (1996). </t>
    </r>
    <r>
      <rPr>
        <i/>
        <sz val="13"/>
        <color rgb="FF222222"/>
        <rFont val="Arial"/>
        <family val="2"/>
      </rPr>
      <t>Fluvial and eolian depositional systems, paleosols, and paleoclimate of the upper Cenozoic Ogallala and Blackwater Draw formations, southern High Plains, Texas and New Mexico</t>
    </r>
    <r>
      <rPr>
        <sz val="13"/>
        <color rgb="FF222222"/>
        <rFont val="Arial"/>
        <family val="2"/>
      </rPr>
      <t> (Vol. 239). Bureau of Economic Geology, The University of Texas at Austin. Tedford, R.H., Skinner, M.F., Fields, R.W., Rensberger, J.M., Whistler, D.P., Galusha, T., Taylor, B.E., Macdonald,
J.R., and Webb, S.D., 1987, Fauna! succession and biochronology of the Arikareean through Hemphillian internal
(late Oligocene through earliest Pliocene epochs) in North America, in Woodburne, M.O., ed., Cenozoic mammals of
North America: Berkeley, University of California Press, p. 153-210.</t>
    </r>
  </si>
  <si>
    <t>Fox, D. L., &amp; Koch, P. L. (2003). Tertiary history of C4 biomass in the Great Plains, USA. Geology, 31(9), 809-812.</t>
  </si>
  <si>
    <t>from modern MAT</t>
  </si>
  <si>
    <t>Mollisol</t>
  </si>
  <si>
    <t>HCl insolubale fraction analyzed</t>
  </si>
  <si>
    <t>mollic epipedon</t>
  </si>
  <si>
    <t>No</t>
  </si>
  <si>
    <t>S(z) and CO2 distributions are skewed high, soil carbonates collected &gt; 50 cm below top of paleosol</t>
  </si>
  <si>
    <t>30.5.01</t>
  </si>
  <si>
    <t>24.4.00.2 - 23.4.00.1</t>
  </si>
  <si>
    <t>Bridwell</t>
  </si>
  <si>
    <t>Alroy, J., 2003, North American mammalian paleofaunal database: http://www.nceas.ucsb.edu/-alroy/nampfd.html (May 2003). Winkler, D.A., 1990, Sedimentary facies and biochronology of the Upper Tertiary Ogallala Group, Blanco and Yellow
House Canyons, Texas Panhandle, in Gustavson, T.C., ed., Geologic Framework and Regional Hydrology: Upper
Cenozoic Blackwater Draw and Ogallala Formations, Great Plains: Bureau of Economic Geology, Austin, p. 39-55.</t>
  </si>
  <si>
    <t>28.5.01 -29.5.01</t>
  </si>
  <si>
    <t>Alroy, J., 2003, North American mammalian paleofaunal database: http://www.nceas.ucsb.edu/-alroy/nampfd.html (May 2003). Schultz, G.E., 1990, Clarendonian and Hemphillian vertebrate faunas from the Ogallala Formation (late Mioceneearly
Pliocene) of the Texas Panhandle and adjacent Oklahoma, in Gustavson, T.C., ed., Geologic Framework and
Regional Hydrology: Upper Cenozoic Blackwater Draw and Ogallala Formations, Great Plains: Bureau of Economic
Geology, Austin, p. 83-94. Tedford, R.H., Skinner, M.F., Fields, R.W., Rensberger, J.M., Whistler, D.P., Galusha, T., Taylor, B.E., Macdonald,
J.R., and Webb, S.D., 1987, Fauna! succession and biochronology of the Arikareean through Hemphillian internal
(late Oligocene through earliest Pliocene epochs) in North America, in Woodburne, M.O., ed., Cenozoic mammals of
North America: Berkeley, University of California Press, p. 153-210.</t>
  </si>
  <si>
    <t>17.9.00.2</t>
  </si>
  <si>
    <t>Ash Hollow</t>
  </si>
  <si>
    <t>Alroy, J., 2003, North American mammalian paleofaunal database: http://www.nceas.ucsb.edu/-alroy/nampfd.html (May 2003). Breyer, J.A., 1981, The Kimballian land-mammal age: Mene, mene, tekel, upharsin (Dan. 5:25): Journal of Paleontology, v. 55, p. 1207-1216.</t>
  </si>
  <si>
    <t>14.9.00.1</t>
  </si>
  <si>
    <t>Alroy, J., 2003, North American mammalian paleofaunal database: http://www.nceas.ucsb.edu/-alroy/nampfd.html (May 2003).</t>
  </si>
  <si>
    <t>1.10.99.2 - 1.10.99.3</t>
  </si>
  <si>
    <t>Dawes Clay Mbr, Box Butte Fm</t>
  </si>
  <si>
    <t>Galusha, T., 1975, Stratigraphy of the Box Butte Formation, Nebraska: Bulletin of the American Museum of Natural History, v. 156, p. 1-68. Tedford, R.H., Skinner, M.F., Fields, R.W., Rensberger, J.M., Whistler, D.P., Galusha, T., Taylor, B.E., Macdonald,
J.R., and Webb, S.D., 1987, Faunal succession and biochronology of the Arikareean through Hemphillian internal
(late Oligocene through earliest Pliocene epochs) in North America, in Woodburne, M.O., ed., Cenozoic mammals of
North America: Berkeley, University of California Press, p. 153-210.</t>
  </si>
  <si>
    <t>Bestland, E. A., &amp; Krull, E. S. (1999). Palaeoenvironments of Early Miocene Kisingiri volcano Proconsul sites: evidence from carbon isotopes, palaeosols and hydromagmatic deposits. Journal of the Geological Society, 156(5), 965-976.</t>
  </si>
  <si>
    <t>WT &amp; KN-M</t>
  </si>
  <si>
    <t>Hiwegi</t>
  </si>
  <si>
    <t>Drake, R. E., Van Couvering, J. A., Pickford, M. H., Curtis, G. H., &amp; Harris, J. A. (1988). New chronology for the Early Miocene mammalian faunas of Kisingiri, Western Kenya. Journal of the Geological Society, 145(3), 479-491.</t>
  </si>
  <si>
    <t>reported in Bestland, E. A., &amp; Retallack, G. J. (1993). Volcanically influenced calcareous palaeosols from the Miocene Kiahera Formation, Rusinga Island, Kenya. Journal of the Geological Society, 150(2), 293-310.</t>
  </si>
  <si>
    <t>equal to MAT</t>
  </si>
  <si>
    <t>vertic Inceptisol</t>
  </si>
  <si>
    <t>treated with 2N HCl overnight and then washed until neutral</t>
  </si>
  <si>
    <t>vertic features without well developed Bt or Bk horizon</t>
  </si>
  <si>
    <t>G3</t>
  </si>
  <si>
    <t>Wayondo</t>
  </si>
  <si>
    <t>Alfisol</t>
  </si>
  <si>
    <t>subsurface accumulation of clay</t>
  </si>
  <si>
    <t>30.9.99.1 - 18.9.00.4</t>
  </si>
  <si>
    <t>Monroe Creek - Harrison</t>
  </si>
  <si>
    <t>Summary</t>
  </si>
  <si>
    <t>CO2_ppm</t>
  </si>
  <si>
    <t>CO2 data as originally published (TRUE or FALSE)</t>
  </si>
  <si>
    <t>CO2 data superseded by (please list doi if TRUE, otherwise FALSE)</t>
  </si>
  <si>
    <t>CO2 recalculated by paleo-CO2.org (TRUE or FALSE)</t>
  </si>
  <si>
    <t>age data as originally published (TRUE or FALSE)</t>
  </si>
  <si>
    <t>age data quarantined (TRUE of FALSE)</t>
  </si>
  <si>
    <t>age data superseded by (please list doi if TRUE, otherwise FALSE)</t>
  </si>
  <si>
    <t>age recalculated by paleo-CO2.org (TRUE or FALSE)</t>
  </si>
  <si>
    <t>CO2_uncertainty_neg_ppm</t>
  </si>
  <si>
    <t>name_of_individual_entering_data</t>
  </si>
  <si>
    <t>contact_email_of_individual_entering_data</t>
  </si>
  <si>
    <t>Reference of the data product</t>
  </si>
  <si>
    <t>Modern Latitude (decimal degree, south negative)</t>
  </si>
  <si>
    <t>Modern Longitude (decimal degree, west negative)</t>
  </si>
  <si>
    <t>Stratigraphic level (m)</t>
  </si>
  <si>
    <t>Age (Ma)</t>
  </si>
  <si>
    <t>Age_max (Ma)</t>
  </si>
  <si>
    <t>Age_min (Ma)</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</si>
  <si>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</si>
  <si>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</si>
  <si>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</si>
  <si>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</si>
  <si>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</si>
  <si>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uncertainty ±2s (‰ PDB)</t>
    </r>
  </si>
  <si>
    <r>
      <rPr>
        <sz val="13"/>
        <color rgb="FF000000"/>
        <rFont val="Symbol"/>
        <charset val="2"/>
      </rPr>
      <t>D</t>
    </r>
    <r>
      <rPr>
        <vertAlign val="subscript"/>
        <sz val="13"/>
        <color rgb="FF000000"/>
        <rFont val="Arial"/>
        <family val="2"/>
      </rPr>
      <t>47</t>
    </r>
    <r>
      <rPr>
        <sz val="13"/>
        <color rgb="FF000000"/>
        <rFont val="Arial"/>
        <family val="2"/>
      </rPr>
      <t xml:space="preserve"> (‰)</t>
    </r>
  </si>
  <si>
    <r>
      <rPr>
        <sz val="13"/>
        <color rgb="FF000000"/>
        <rFont val="Symbol"/>
        <charset val="2"/>
      </rPr>
      <t>D</t>
    </r>
    <r>
      <rPr>
        <vertAlign val="subscript"/>
        <sz val="13"/>
        <color rgb="FF000000"/>
        <rFont val="Arial"/>
        <family val="2"/>
      </rPr>
      <t xml:space="preserve">47 </t>
    </r>
    <r>
      <rPr>
        <sz val="13"/>
        <color rgb="FF000000"/>
        <rFont val="Arial"/>
        <family val="2"/>
      </rPr>
      <t>uncertainty ±2s (‰ PDB)</t>
    </r>
  </si>
  <si>
    <t>Depth to carbonate horizon (cm)</t>
  </si>
  <si>
    <t>Burial Depth (m)</t>
  </si>
  <si>
    <r>
      <t>SiO</t>
    </r>
    <r>
      <rPr>
        <vertAlign val="subscript"/>
        <sz val="13"/>
        <color rgb="FF000000"/>
        <rFont val="Arial"/>
        <family val="2"/>
      </rPr>
      <t>2</t>
    </r>
    <r>
      <rPr>
        <sz val="13"/>
        <color rgb="FF000000"/>
        <rFont val="Arial"/>
        <family val="2"/>
      </rPr>
      <t xml:space="preserve"> wt%</t>
    </r>
  </si>
  <si>
    <r>
      <t>SiO</t>
    </r>
    <r>
      <rPr>
        <vertAlign val="subscript"/>
        <sz val="13"/>
        <color rgb="FF000000"/>
        <rFont val="Arial"/>
        <family val="2"/>
      </rPr>
      <t>2</t>
    </r>
    <r>
      <rPr>
        <sz val="13"/>
        <color rgb="FF000000"/>
        <rFont val="Arial"/>
        <family val="2"/>
      </rPr>
      <t xml:space="preserve"> uncertainty ± 2s stdev (wt%)</t>
    </r>
  </si>
  <si>
    <r>
      <t>TiO</t>
    </r>
    <r>
      <rPr>
        <vertAlign val="subscript"/>
        <sz val="13"/>
        <color rgb="FF000000"/>
        <rFont val="Arial"/>
        <family val="2"/>
      </rPr>
      <t>2</t>
    </r>
    <r>
      <rPr>
        <sz val="13"/>
        <color rgb="FF000000"/>
        <rFont val="Arial"/>
        <family val="2"/>
      </rPr>
      <t xml:space="preserve"> wt%</t>
    </r>
  </si>
  <si>
    <r>
      <t>TiO</t>
    </r>
    <r>
      <rPr>
        <vertAlign val="subscript"/>
        <sz val="13"/>
        <color rgb="FF000000"/>
        <rFont val="Arial"/>
        <family val="2"/>
      </rPr>
      <t>2</t>
    </r>
    <r>
      <rPr>
        <sz val="13"/>
        <color rgb="FF000000"/>
        <rFont val="Arial"/>
        <family val="2"/>
      </rPr>
      <t xml:space="preserve"> uncertainty ± 2s stdev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</si>
  <si>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</si>
  <si>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</si>
  <si>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</si>
  <si>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</si>
  <si>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t>MnO wt%</t>
  </si>
  <si>
    <t>MnO uncertainty ± 2s stdev (wt%)</t>
  </si>
  <si>
    <t>MgO wt%</t>
  </si>
  <si>
    <t>MgO uncertainty ± 2s stdev (wt%)</t>
  </si>
  <si>
    <t>CaO wt%</t>
  </si>
  <si>
    <t>CaO uncertainty ± 2s stdev (wt%)</t>
  </si>
  <si>
    <r>
      <t>Na</t>
    </r>
    <r>
      <rPr>
        <vertAlign val="subscript"/>
        <sz val="13"/>
        <color rgb="FF000000"/>
        <rFont val="Arial"/>
        <family val="2"/>
      </rPr>
      <t>2</t>
    </r>
    <r>
      <rPr>
        <sz val="13"/>
        <color rgb="FF000000"/>
        <rFont val="Arial"/>
        <family val="2"/>
      </rPr>
      <t>O wt%</t>
    </r>
  </si>
  <si>
    <r>
      <t>Na</t>
    </r>
    <r>
      <rPr>
        <vertAlign val="subscript"/>
        <sz val="13"/>
        <color rgb="FF000000"/>
        <rFont val="Arial"/>
        <family val="2"/>
      </rPr>
      <t>2</t>
    </r>
    <r>
      <rPr>
        <sz val="13"/>
        <color rgb="FF000000"/>
        <rFont val="Arial"/>
        <family val="2"/>
      </rPr>
      <t>O uncertainty ± 2s stdev (wt%)</t>
    </r>
  </si>
  <si>
    <r>
      <t>K</t>
    </r>
    <r>
      <rPr>
        <vertAlign val="subscript"/>
        <sz val="13"/>
        <color rgb="FF000000"/>
        <rFont val="Arial"/>
        <family val="2"/>
      </rPr>
      <t>2</t>
    </r>
    <r>
      <rPr>
        <sz val="13"/>
        <color rgb="FF000000"/>
        <rFont val="Arial"/>
        <family val="2"/>
      </rPr>
      <t>O wt%</t>
    </r>
  </si>
  <si>
    <r>
      <t>K</t>
    </r>
    <r>
      <rPr>
        <vertAlign val="subscript"/>
        <sz val="13"/>
        <color rgb="FF000000"/>
        <rFont val="Arial"/>
        <family val="2"/>
      </rPr>
      <t>2</t>
    </r>
    <r>
      <rPr>
        <sz val="13"/>
        <color rgb="FF000000"/>
        <rFont val="Arial"/>
        <family val="2"/>
      </rPr>
      <t>O uncertainty ± 2s stdev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</si>
  <si>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</si>
  <si>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uncertainty ± 2s stdev (wt%)</t>
    </r>
  </si>
  <si>
    <r>
      <t>ZrO</t>
    </r>
    <r>
      <rPr>
        <vertAlign val="subscript"/>
        <sz val="13"/>
        <color rgb="FF000000"/>
        <rFont val="Arial"/>
        <family val="2"/>
      </rPr>
      <t>2</t>
    </r>
    <r>
      <rPr>
        <sz val="13"/>
        <color rgb="FF000000"/>
        <rFont val="Arial"/>
        <family val="2"/>
      </rPr>
      <t xml:space="preserve"> wt%</t>
    </r>
  </si>
  <si>
    <r>
      <t>ZrO</t>
    </r>
    <r>
      <rPr>
        <vertAlign val="subscript"/>
        <sz val="13"/>
        <color rgb="FF000000"/>
        <rFont val="Arial"/>
        <family val="2"/>
      </rPr>
      <t>2</t>
    </r>
    <r>
      <rPr>
        <sz val="13"/>
        <color rgb="FF000000"/>
        <rFont val="Arial"/>
        <family val="2"/>
      </rPr>
      <t xml:space="preserve"> uncertainty ± 2s stdev (wt%)</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</si>
  <si>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r</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</si>
  <si>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a</t>
    </r>
    <r>
      <rPr>
        <sz val="13"/>
        <color rgb="FF000000"/>
        <rFont val="Arial"/>
        <family val="2"/>
      </rPr>
      <t xml:space="preserve"> (‰ PDB)</t>
    </r>
  </si>
  <si>
    <t>Temperature of calcium carbonate formation (°C)</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</si>
  <si>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s</t>
    </r>
    <r>
      <rPr>
        <sz val="13"/>
        <color rgb="FF000000"/>
        <rFont val="Arial"/>
        <family val="2"/>
      </rPr>
      <t xml:space="preserve"> (‰ PDB)</t>
    </r>
  </si>
  <si>
    <t>Uncompacted depth to carbonate horizon (cm)</t>
  </si>
  <si>
    <t>Mean Annual Precipitation (MAP) (mm)</t>
  </si>
  <si>
    <t>MAP uncertainty (mm)</t>
  </si>
  <si>
    <t>Soil horizon for organic matter A, B, C, etc.</t>
  </si>
  <si>
    <t>Soil depth (cm)</t>
  </si>
  <si>
    <t>Depth of carbonte sample in horizon (cm)</t>
  </si>
  <si>
    <t>Carbonate type e.g., nodules, rhizoliths, clast coatings</t>
  </si>
  <si>
    <t>Calcite spar (large crystals) avoided? Yes/No</t>
  </si>
  <si>
    <t>Analyzed for bulk geochemistry? Yes/No</t>
  </si>
  <si>
    <t>Bulk geochem type which elements were measured?</t>
  </si>
  <si>
    <r>
      <t>Atmospheric CO</t>
    </r>
    <r>
      <rPr>
        <vertAlign val="subscript"/>
        <sz val="13"/>
        <color rgb="FF000000"/>
        <rFont val="Arial"/>
        <family val="2"/>
      </rPr>
      <t xml:space="preserve">2 </t>
    </r>
    <r>
      <rPr>
        <sz val="13"/>
        <color rgb="FF000000"/>
        <rFont val="Arial"/>
        <family val="2"/>
      </rPr>
      <t>mean ppmV</t>
    </r>
  </si>
  <si>
    <r>
      <t>Atmospheric CO</t>
    </r>
    <r>
      <rPr>
        <vertAlign val="subscript"/>
        <sz val="13"/>
        <color rgb="FF000000"/>
        <rFont val="Arial"/>
        <family val="2"/>
      </rPr>
      <t xml:space="preserve">2 </t>
    </r>
    <r>
      <rPr>
        <sz val="13"/>
        <color rgb="FF000000"/>
        <rFont val="Arial"/>
        <family val="2"/>
      </rPr>
      <t>median ppmV</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</si>
  <si>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 PDB)</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</si>
  <si>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</si>
  <si>
    <t>doi link to reference</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</si>
  <si>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enamel </t>
    </r>
    <r>
      <rPr>
        <sz val="13"/>
        <color rgb="FF000000"/>
        <rFont val="Arial"/>
        <family val="2"/>
      </rPr>
      <t>uncertainty ±2s (‰ PDB)</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</si>
  <si>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</si>
  <si>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</si>
  <si>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r>
      <rPr>
        <sz val="13"/>
        <color rgb="FF000000"/>
        <rFont val="Arial"/>
        <family val="2"/>
      </rPr>
      <t xml:space="preserve"> uncertainty ±2s (‰ PDB)</t>
    </r>
  </si>
  <si>
    <r>
      <t xml:space="preserve">n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</si>
  <si>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</si>
  <si>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 xml:space="preserve">uncertainty </t>
    </r>
  </si>
  <si>
    <t>which factors constitute the uncertainty?</t>
  </si>
  <si>
    <t>type of uncertainty (e.g. 2sd, 2se, 97.5/2.5 percentile)</t>
  </si>
  <si>
    <t xml:space="preserve">Temperature uncertainty (°C) </t>
  </si>
  <si>
    <t>Component of soil pore space CO2 from respiration, i.e. S(z) ppm</t>
  </si>
  <si>
    <t>S(z) uncertainty pos ppm</t>
  </si>
  <si>
    <t>S(z) uncertainty  neg ppm</t>
  </si>
  <si>
    <r>
      <t>Atmospheric CO</t>
    </r>
    <r>
      <rPr>
        <vertAlign val="subscript"/>
        <sz val="13"/>
        <color rgb="FF000000"/>
        <rFont val="Arial"/>
        <family val="2"/>
      </rPr>
      <t xml:space="preserve">2 </t>
    </r>
    <r>
      <rPr>
        <sz val="13"/>
        <color rgb="FF000000"/>
        <rFont val="Arial"/>
        <family val="2"/>
      </rPr>
      <t>uncertaintypos  ppmV</t>
    </r>
  </si>
  <si>
    <r>
      <t>Atmospheric CO</t>
    </r>
    <r>
      <rPr>
        <vertAlign val="subscript"/>
        <sz val="13"/>
        <color rgb="FF000000"/>
        <rFont val="Arial"/>
        <family val="2"/>
      </rPr>
      <t xml:space="preserve">2 </t>
    </r>
    <r>
      <rPr>
        <sz val="13"/>
        <color rgb="FF000000"/>
        <rFont val="Arial"/>
        <family val="2"/>
      </rPr>
      <t>uncertainty neg ppmV</t>
    </r>
  </si>
  <si>
    <r>
      <t>Atmospheric CO</t>
    </r>
    <r>
      <rPr>
        <vertAlign val="subscript"/>
        <sz val="13"/>
        <color rgb="FF000000"/>
        <rFont val="Arial"/>
        <family val="2"/>
      </rPr>
      <t>2</t>
    </r>
    <r>
      <rPr>
        <sz val="13"/>
        <color rgb="FF000000"/>
        <rFont val="Arial"/>
        <family val="2"/>
      </rPr>
      <t>_97.5 percentile ppmV</t>
    </r>
  </si>
  <si>
    <r>
      <t>Atmospheric CO</t>
    </r>
    <r>
      <rPr>
        <vertAlign val="subscript"/>
        <sz val="13"/>
        <color rgb="FF000000"/>
        <rFont val="Arial"/>
        <family val="2"/>
      </rPr>
      <t>2</t>
    </r>
    <r>
      <rPr>
        <sz val="13"/>
        <color rgb="FF000000"/>
        <rFont val="Arial"/>
        <family val="2"/>
      </rPr>
      <t>_2.5 percentile ppmV</t>
    </r>
  </si>
  <si>
    <t>Notes</t>
  </si>
  <si>
    <t>propagated</t>
  </si>
  <si>
    <t>analytical error and error (+/- 0.5%) associated with relating occluded om d13C values to d13Cr</t>
  </si>
  <si>
    <t>variance of 5 values reported by Tipple et al nearest in age</t>
  </si>
  <si>
    <t>1 sd</t>
  </si>
  <si>
    <t>regression error</t>
  </si>
  <si>
    <t>1 se</t>
  </si>
  <si>
    <t>variability of S(z) associated with designated soil order</t>
  </si>
  <si>
    <t>averages and standard deviations are for four individual paleosols, S(z) and CO2 distrbutions are skewed high</t>
  </si>
  <si>
    <t>estimate</t>
  </si>
  <si>
    <t>Alroy, J., 2003, North American mammalian paleofaunal database: http://www.nceas.ucsb.edu/-alroy/nampfd.html (May 2003). Passey, B.H., Gerling, T.E., Perkins, M.E., Voorhies, M.R., Harris, J.M., and Tucker, S.T., 2002, Environmental
change in the Great Plains: an isotopic record from fossil horses: Journal of Geology, v. 110, p. 123-140. Schultz, G.E., 1990, Clarendonian and Hemphillian vertebrate faunas from the Ogallala Formation (late Mioceneearly
Pliocene) of the Texas Panhandle and adjacent Oklahoma, in Gustavson, T.C., ed., Geologic Framework and
Regional Hydrology: Upper Cenozoic Blackwater Draw and Ogallala Formations, Great Plains: Bureau of Economic
Geology, Austin, p. 83-94.</t>
  </si>
  <si>
    <t>0,.23</t>
  </si>
  <si>
    <t>S(z) and CO2 distributions are skewed high</t>
  </si>
  <si>
    <t>S(z) and CO2 distributions are skewed high, age estimated, error associated with d13C values of pedogeic carbonates and organic matter estimated</t>
  </si>
  <si>
    <t>Tedford, R.H., Skinner, M.F., Fields, R.W., Rensberger, J.M., Whistler, D.P., Galusha, T., Taylor, B.E., Macdonald,
J.R., and Webb, S.D., 1987, Faunal succession and biochronology of the Arikareean through Hemphillian internal
(late Oligocene through earliest Pliocene epochs) in North America, in Woodburne, M.O., ed., Cenozoic mammals of
North America: Berkeley, University of California Press, p. 153-210.</t>
  </si>
  <si>
    <t>Data Sources</t>
  </si>
  <si>
    <t>Paleo Latitude (decimal degree, south negative)</t>
  </si>
  <si>
    <t>Paleo Longitude (decimal degree, west negative)</t>
  </si>
  <si>
    <t>recalculate error to get 97.5 and 2.5 percentile values</t>
  </si>
  <si>
    <t>The presence of Maichorodus at Greenwood Canyon Quarry indicates maximum age of 7.5 Ma according to GTS 2012. Age assigned as late early Hemphillian (Hh2) with midpoint as new reported age and error bars extending to beginning and end of Hh2.</t>
  </si>
  <si>
    <t>length of error bar extending to 97.5 and 2.5 percentiles</t>
  </si>
  <si>
    <t>add age error bars</t>
  </si>
  <si>
    <t xml:space="preserve">Includes all the measurements that would otherwise make record cat 1 (i.e., no missing data) but the proxy-based S(z) values are probably not fully quantified, as suggested by non-overlapping S(z) distributions estimated from application to Eocene paleosols (data from Hyland et al 2013a,b) of i) the MAP (from CIA-K) approach and ii) the soil order based approach </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</si>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</sst>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x14ac:knownFonts="1">
    <font>
      <sz val="12"/>
      <color theme="1"/>
      <name val="Calibri"/>
      <family val="2"/>
      <scheme val="minor"/>
    </font>
    <font>
      <sz val="12"/>
      <color theme="1"/>
      <name val="Arial"/>
      <family val="2"/>
    </font>
    <font>
      <sz val="13"/>
      <color theme="1"/>
      <name val="Arial"/>
      <family val="2"/>
    </font>
    <font>
      <u/>
      <sz val="12"/>
      <color theme="10"/>
      <name val="Calibri"/>
      <family val="2"/>
      <scheme val="minor"/>
    </font>
    <font>
      <sz val="12"/>
      <color rgb="FF000000"/>
      <name val="Arial"/>
      <family val="2"/>
    </font>
    <font>
      <sz val="18"/>
      <color theme="1"/>
      <name val="Arial"/>
      <family val="2"/>
    </font>
    <font>
      <vertAlign val="subscript"/>
      <sz val="18"/>
      <color theme="1"/>
      <name val="Arial"/>
      <family val="2"/>
    </font>
    <font>
      <sz val="13"/>
      <color rgb="FF000000"/>
      <name val="Arial"/>
      <family val="2"/>
    </font>
    <font>
      <sz val="13"/>
      <color rgb="FF000000"/>
      <name val="Symbol"/>
      <charset val="2"/>
    </font>
    <font>
      <vertAlign val="superscript"/>
      <sz val="13"/>
      <color rgb="FF000000"/>
      <name val="Arial"/>
      <family val="2"/>
    </font>
    <font>
      <vertAlign val="subscript"/>
      <sz val="13"/>
      <color rgb="FF000000"/>
      <name val="Arial"/>
      <family val="2"/>
    </font>
    <font>
      <sz val="13"/>
      <color rgb="FF222222"/>
      <name val="Arial"/>
      <family val="2"/>
    </font>
    <font>
      <i/>
      <sz val="13"/>
      <color rgb="FF222222"/>
      <name val="Arial"/>
      <family val="2"/>
    </font>
    <font>
      <sz val="12"/>
      <color rgb="FF222222"/>
      <name val="Arial"/>
      <family val="2"/>
    </font>
    <font>
      <sz val="12"/>
      <color theme="1"/>
      <name val="Symbol"/>
      <charset val="2"/>
    </font>
    <font>
      <vertAlign val="superscript"/>
      <sz val="12"/>
      <color theme="1"/>
      <name val="Arial"/>
      <family val="2"/>
    </font>
    <font>
      <vertAlign val="subscript"/>
      <sz val="12"/>
      <color theme="1"/>
      <name val="Arial"/>
      <family val="2"/>
    </font>
    <font>
      <sz val="13"/>
      <color theme="1"/>
      <name val="Helvetica"/>
      <family val="2"/>
    </font>
    <font>
      <sz val="12"/>
      <color rgb="FF000000"/>
      <name val="Calibri"/>
      <family val="2"/>
      <scheme val="minor"/>
    </font>
    <font>
      <sz val="14"/>
      <name val="Arial"/>
      <family val="2"/>
    </font>
    <font>
      <sz val="14"/>
      <color theme="1"/>
      <name val="Arial"/>
      <family val="2"/>
    </font>
    <font>
      <sz val="11"/>
      <name val="Arial"/>
      <family val="2"/>
    </font>
    <font>
      <sz val="13"/>
      <color rgb="FF000000"/>
      <name val="Arial"/>
      <family val="2"/>
      <charset val="2"/>
    </font>
    <font>
      <sz val="12"/>
      <name val="Calibri"/>
      <family val="2"/>
      <scheme val="minor"/>
    </font>
  </fonts>
  <fills count="13">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EDEDED"/>
        <bgColor indexed="64"/>
      </patternFill>
    </fill>
    <fill>
      <patternFill patternType="solid">
        <fgColor theme="8" tint="0.79998168889431442"/>
        <bgColor rgb="FF000000"/>
      </patternFill>
    </fill>
    <fill>
      <patternFill patternType="solid">
        <fgColor theme="7" tint="0.79998168889431442"/>
        <bgColor rgb="FF000000"/>
      </patternFill>
    </fill>
    <fill>
      <patternFill patternType="solid">
        <fgColor theme="5" tint="0.79998168889431442"/>
        <bgColor rgb="FF000000"/>
      </patternFill>
    </fill>
  </fills>
  <borders count="8">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2">
    <xf numFmtId="0" fontId="0" fillId="0" borderId="0"/>
    <xf numFmtId="0" fontId="3" fillId="0" borderId="0" applyNumberFormat="0" applyFill="0" applyBorder="0" applyAlignment="0" applyProtection="0"/>
  </cellStyleXfs>
  <cellXfs count="118">
    <xf numFmtId="0" fontId="0" fillId="0" borderId="0" xfId="0"/>
    <xf numFmtId="0" fontId="0" fillId="0" borderId="3" xfId="0" applyBorder="1"/>
    <xf numFmtId="0" fontId="1" fillId="0" borderId="3" xfId="0" applyFont="1" applyBorder="1"/>
    <xf numFmtId="0" fontId="2" fillId="0" borderId="6" xfId="0" applyFont="1" applyBorder="1" applyAlignment="1"/>
    <xf numFmtId="0" fontId="1" fillId="0" borderId="3" xfId="0" applyFont="1" applyFill="1" applyBorder="1" applyAlignment="1">
      <alignment horizontal="center"/>
    </xf>
    <xf numFmtId="0" fontId="1" fillId="0" borderId="6" xfId="1" applyFont="1" applyBorder="1" applyAlignment="1"/>
    <xf numFmtId="1" fontId="1" fillId="0" borderId="7" xfId="0" applyNumberFormat="1" applyFont="1" applyBorder="1" applyAlignment="1">
      <alignment horizontal="center"/>
    </xf>
    <xf numFmtId="1" fontId="1" fillId="0" borderId="3" xfId="0" applyNumberFormat="1" applyFont="1" applyFill="1" applyBorder="1" applyAlignment="1">
      <alignment horizontal="center"/>
    </xf>
    <xf numFmtId="1" fontId="1" fillId="0" borderId="3" xfId="0" applyNumberFormat="1" applyFont="1" applyBorder="1" applyAlignment="1">
      <alignment horizontal="center"/>
    </xf>
    <xf numFmtId="0" fontId="4" fillId="0" borderId="3" xfId="0" applyFont="1" applyBorder="1"/>
    <xf numFmtId="0" fontId="4" fillId="0" borderId="7" xfId="0" applyFont="1" applyBorder="1"/>
    <xf numFmtId="0" fontId="11" fillId="0" borderId="3" xfId="0" applyFont="1" applyBorder="1"/>
    <xf numFmtId="0" fontId="1" fillId="2" borderId="3" xfId="0" applyFont="1" applyFill="1" applyBorder="1" applyAlignment="1">
      <alignment horizontal="left"/>
    </xf>
    <xf numFmtId="2" fontId="1" fillId="2" borderId="3" xfId="0" applyNumberFormat="1" applyFont="1" applyFill="1" applyBorder="1" applyAlignment="1">
      <alignment horizontal="center"/>
    </xf>
    <xf numFmtId="164" fontId="1" fillId="3" borderId="3" xfId="0" applyNumberFormat="1" applyFont="1" applyFill="1" applyBorder="1" applyAlignment="1">
      <alignment horizontal="center"/>
    </xf>
    <xf numFmtId="0" fontId="11" fillId="3" borderId="3" xfId="0" applyFont="1" applyFill="1" applyBorder="1" applyAlignment="1">
      <alignment horizontal="left"/>
    </xf>
    <xf numFmtId="164" fontId="1" fillId="4" borderId="3" xfId="0" applyNumberFormat="1" applyFont="1" applyFill="1" applyBorder="1" applyAlignment="1">
      <alignment horizontal="center"/>
    </xf>
    <xf numFmtId="0" fontId="13" fillId="4" borderId="3" xfId="0" applyFont="1" applyFill="1" applyBorder="1"/>
    <xf numFmtId="0" fontId="1" fillId="5" borderId="3" xfId="0" applyFont="1" applyFill="1" applyBorder="1" applyAlignment="1">
      <alignment horizontal="center"/>
    </xf>
    <xf numFmtId="0" fontId="17" fillId="7" borderId="3" xfId="0" applyFont="1" applyFill="1" applyBorder="1"/>
    <xf numFmtId="0" fontId="11" fillId="0" borderId="3" xfId="0" applyFont="1" applyBorder="1" applyAlignment="1">
      <alignment horizontal="left"/>
    </xf>
    <xf numFmtId="0" fontId="2" fillId="7" borderId="3" xfId="0" applyFont="1" applyFill="1" applyBorder="1" applyAlignment="1">
      <alignment horizontal="left"/>
    </xf>
    <xf numFmtId="0" fontId="1" fillId="0" borderId="5" xfId="0" applyFont="1" applyBorder="1"/>
    <xf numFmtId="1" fontId="1" fillId="0" borderId="3" xfId="0" applyNumberFormat="1" applyFont="1" applyBorder="1"/>
    <xf numFmtId="0" fontId="1" fillId="5" borderId="3" xfId="0" applyFont="1" applyFill="1" applyBorder="1"/>
    <xf numFmtId="0" fontId="2" fillId="7" borderId="3" xfId="0" applyFont="1" applyFill="1" applyBorder="1" applyAlignment="1"/>
    <xf numFmtId="0" fontId="1" fillId="0" borderId="1" xfId="0" applyFont="1" applyBorder="1"/>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5" xfId="0" applyBorder="1" applyAlignment="1">
      <alignment wrapText="1"/>
    </xf>
    <xf numFmtId="0" fontId="18" fillId="0" borderId="2" xfId="0" applyFont="1" applyBorder="1" applyAlignment="1">
      <alignment wrapText="1"/>
    </xf>
    <xf numFmtId="0" fontId="18" fillId="0" borderId="3" xfId="0" applyFont="1" applyBorder="1" applyAlignment="1">
      <alignment wrapText="1"/>
    </xf>
    <xf numFmtId="0" fontId="1" fillId="0" borderId="3" xfId="0" applyFont="1" applyBorder="1" applyAlignment="1">
      <alignment vertical="center"/>
    </xf>
    <xf numFmtId="0" fontId="1" fillId="0" borderId="3" xfId="0" applyFont="1" applyBorder="1" applyAlignment="1">
      <alignment vertical="center" wrapText="1"/>
    </xf>
    <xf numFmtId="0" fontId="1" fillId="0" borderId="3" xfId="0" quotePrefix="1" applyFont="1" applyBorder="1" applyAlignment="1">
      <alignment vertical="center" wrapText="1"/>
    </xf>
    <xf numFmtId="49" fontId="19" fillId="0" borderId="5" xfId="0" applyNumberFormat="1" applyFont="1" applyBorder="1" applyAlignment="1">
      <alignment vertical="center" wrapText="1"/>
    </xf>
    <xf numFmtId="49" fontId="19" fillId="0" borderId="1" xfId="0" applyNumberFormat="1" applyFont="1" applyBorder="1" applyAlignment="1">
      <alignment vertical="center" wrapText="1"/>
    </xf>
    <xf numFmtId="0" fontId="20" fillId="8" borderId="1" xfId="0" applyFont="1" applyFill="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5" xfId="0" applyFont="1" applyBorder="1" applyAlignment="1">
      <alignment vertical="center" wrapText="1"/>
    </xf>
    <xf numFmtId="0" fontId="7" fillId="2" borderId="3" xfId="0" applyFont="1" applyFill="1" applyBorder="1" applyAlignment="1">
      <alignment vertical="center" wrapText="1"/>
    </xf>
    <xf numFmtId="0" fontId="21" fillId="9" borderId="3" xfId="0" applyFont="1" applyFill="1" applyBorder="1" applyAlignment="1">
      <alignment vertical="center" wrapText="1"/>
    </xf>
    <xf numFmtId="0" fontId="7" fillId="3" borderId="3" xfId="0" applyFont="1" applyFill="1" applyBorder="1" applyAlignment="1">
      <alignment vertical="center" wrapText="1"/>
    </xf>
    <xf numFmtId="0" fontId="7" fillId="4" borderId="3" xfId="0" applyFont="1" applyFill="1" applyBorder="1" applyAlignment="1">
      <alignment vertical="center" wrapText="1"/>
    </xf>
    <xf numFmtId="0" fontId="7" fillId="5" borderId="3" xfId="0" applyFont="1" applyFill="1" applyBorder="1" applyAlignment="1">
      <alignment vertical="center" wrapText="1"/>
    </xf>
    <xf numFmtId="0" fontId="22" fillId="10" borderId="3" xfId="0" applyFont="1" applyFill="1" applyBorder="1" applyAlignment="1">
      <alignment vertical="center" wrapText="1"/>
    </xf>
    <xf numFmtId="0" fontId="7" fillId="10" borderId="3" xfId="0" applyFont="1" applyFill="1" applyBorder="1" applyAlignment="1">
      <alignment vertical="center" wrapText="1"/>
    </xf>
    <xf numFmtId="0" fontId="1" fillId="3" borderId="7" xfId="0" applyFont="1" applyFill="1" applyBorder="1" applyAlignment="1">
      <alignment horizontal="center"/>
    </xf>
    <xf numFmtId="0" fontId="13" fillId="3" borderId="7" xfId="0" applyFont="1" applyFill="1" applyBorder="1" applyAlignment="1">
      <alignment horizontal="center"/>
    </xf>
    <xf numFmtId="0" fontId="4" fillId="2" borderId="7" xfId="0" applyFont="1" applyFill="1" applyBorder="1" applyAlignment="1">
      <alignment horizontal="center"/>
    </xf>
    <xf numFmtId="164" fontId="4" fillId="2" borderId="7" xfId="0" applyNumberFormat="1" applyFont="1" applyFill="1" applyBorder="1" applyAlignment="1">
      <alignment horizontal="center"/>
    </xf>
    <xf numFmtId="0" fontId="2" fillId="0" borderId="4" xfId="0" applyFont="1" applyFill="1" applyBorder="1" applyAlignment="1">
      <alignment wrapText="1"/>
    </xf>
    <xf numFmtId="0" fontId="1" fillId="0" borderId="1" xfId="0" applyFont="1" applyFill="1" applyBorder="1"/>
    <xf numFmtId="0" fontId="1" fillId="0" borderId="2" xfId="0" applyFont="1" applyFill="1" applyBorder="1"/>
    <xf numFmtId="0" fontId="1" fillId="3" borderId="5" xfId="0" applyFont="1" applyFill="1" applyBorder="1"/>
    <xf numFmtId="0" fontId="1" fillId="3" borderId="1" xfId="0" applyFont="1" applyFill="1" applyBorder="1"/>
    <xf numFmtId="0" fontId="1" fillId="4" borderId="5" xfId="0" applyFont="1" applyFill="1" applyBorder="1"/>
    <xf numFmtId="0" fontId="1" fillId="4" borderId="1" xfId="0" applyFont="1" applyFill="1" applyBorder="1"/>
    <xf numFmtId="0" fontId="1" fillId="4" borderId="0" xfId="0" applyFont="1" applyFill="1" applyBorder="1"/>
    <xf numFmtId="0" fontId="1" fillId="4" borderId="0" xfId="0" applyFont="1" applyFill="1"/>
    <xf numFmtId="0" fontId="1" fillId="6" borderId="5" xfId="0" applyFont="1" applyFill="1" applyBorder="1"/>
    <xf numFmtId="0" fontId="1" fillId="6" borderId="1" xfId="0" applyFont="1" applyFill="1" applyBorder="1"/>
    <xf numFmtId="0" fontId="1" fillId="0" borderId="0" xfId="0" applyFont="1"/>
    <xf numFmtId="0" fontId="5" fillId="4" borderId="1" xfId="0" applyFont="1" applyFill="1" applyBorder="1" applyAlignment="1">
      <alignment horizontal="center" vertical="center" wrapText="1"/>
    </xf>
    <xf numFmtId="164" fontId="22" fillId="11" borderId="3" xfId="0" applyNumberFormat="1" applyFont="1" applyFill="1" applyBorder="1" applyAlignment="1">
      <alignment vertical="center" wrapText="1"/>
    </xf>
    <xf numFmtId="0" fontId="7" fillId="11" borderId="3" xfId="0" applyFont="1" applyFill="1" applyBorder="1" applyAlignment="1">
      <alignment vertical="center" wrapText="1"/>
    </xf>
    <xf numFmtId="0" fontId="22" fillId="11" borderId="3" xfId="0" applyFont="1" applyFill="1" applyBorder="1" applyAlignment="1">
      <alignment vertical="center" wrapText="1"/>
    </xf>
    <xf numFmtId="0" fontId="7" fillId="12" borderId="3" xfId="0" applyFont="1" applyFill="1" applyBorder="1" applyAlignment="1">
      <alignment vertical="center" wrapText="1"/>
    </xf>
    <xf numFmtId="0" fontId="7" fillId="6" borderId="3" xfId="0" applyFont="1" applyFill="1" applyBorder="1" applyAlignment="1">
      <alignment vertical="center" wrapText="1"/>
    </xf>
    <xf numFmtId="0" fontId="22" fillId="12" borderId="3" xfId="0" applyFont="1" applyFill="1" applyBorder="1" applyAlignment="1">
      <alignment vertical="center" wrapText="1"/>
    </xf>
    <xf numFmtId="0" fontId="7" fillId="0" borderId="3" xfId="0" applyFont="1" applyBorder="1" applyAlignment="1">
      <alignment horizontal="center" vertical="center" wrapText="1"/>
    </xf>
    <xf numFmtId="0" fontId="11" fillId="0" borderId="7" xfId="0" applyFont="1" applyBorder="1"/>
    <xf numFmtId="0" fontId="3" fillId="0" borderId="7" xfId="1" applyBorder="1"/>
    <xf numFmtId="0" fontId="11" fillId="0" borderId="7" xfId="0" applyFont="1" applyBorder="1" applyAlignment="1">
      <alignment horizontal="left"/>
    </xf>
    <xf numFmtId="0" fontId="4" fillId="2" borderId="7" xfId="0" applyFont="1" applyFill="1" applyBorder="1" applyAlignment="1">
      <alignment horizontal="left"/>
    </xf>
    <xf numFmtId="2" fontId="1" fillId="2" borderId="7" xfId="0" applyNumberFormat="1" applyFont="1" applyFill="1" applyBorder="1" applyAlignment="1">
      <alignment horizontal="center"/>
    </xf>
    <xf numFmtId="0" fontId="11" fillId="7" borderId="7" xfId="0" applyFont="1" applyFill="1" applyBorder="1" applyAlignment="1"/>
    <xf numFmtId="164" fontId="1" fillId="3" borderId="7" xfId="0" applyNumberFormat="1" applyFont="1" applyFill="1" applyBorder="1" applyAlignment="1">
      <alignment horizontal="center"/>
    </xf>
    <xf numFmtId="1" fontId="1" fillId="3" borderId="7" xfId="0" applyNumberFormat="1" applyFont="1" applyFill="1" applyBorder="1" applyAlignment="1">
      <alignment horizontal="center"/>
    </xf>
    <xf numFmtId="0" fontId="11" fillId="3" borderId="7" xfId="0" applyFont="1" applyFill="1" applyBorder="1" applyAlignment="1">
      <alignment horizontal="left"/>
    </xf>
    <xf numFmtId="164" fontId="1" fillId="4" borderId="7" xfId="0" applyNumberFormat="1" applyFont="1" applyFill="1" applyBorder="1" applyAlignment="1">
      <alignment horizontal="center"/>
    </xf>
    <xf numFmtId="0" fontId="1" fillId="4" borderId="7" xfId="0" applyFont="1" applyFill="1" applyBorder="1"/>
    <xf numFmtId="0" fontId="13" fillId="4" borderId="7" xfId="0" applyFont="1" applyFill="1" applyBorder="1"/>
    <xf numFmtId="0" fontId="1" fillId="4" borderId="7" xfId="0" applyFont="1" applyFill="1" applyBorder="1" applyAlignment="1">
      <alignment horizontal="center"/>
    </xf>
    <xf numFmtId="0" fontId="1" fillId="4" borderId="7" xfId="0" applyFont="1" applyFill="1" applyBorder="1" applyAlignment="1">
      <alignment horizontal="left"/>
    </xf>
    <xf numFmtId="2" fontId="1" fillId="4" borderId="7" xfId="0" applyNumberFormat="1" applyFont="1" applyFill="1" applyBorder="1" applyAlignment="1">
      <alignment horizontal="center"/>
    </xf>
    <xf numFmtId="164" fontId="1" fillId="4" borderId="7" xfId="0" applyNumberFormat="1" applyFont="1" applyFill="1" applyBorder="1" applyAlignment="1">
      <alignment horizontal="left"/>
    </xf>
    <xf numFmtId="1" fontId="1" fillId="4" borderId="7" xfId="0" applyNumberFormat="1" applyFont="1" applyFill="1" applyBorder="1" applyAlignment="1">
      <alignment horizontal="center"/>
    </xf>
    <xf numFmtId="2" fontId="2" fillId="4" borderId="7" xfId="0" applyNumberFormat="1" applyFont="1" applyFill="1" applyBorder="1" applyAlignment="1">
      <alignment horizontal="center"/>
    </xf>
    <xf numFmtId="0" fontId="4" fillId="11" borderId="7" xfId="0" applyFont="1" applyFill="1" applyBorder="1" applyAlignment="1">
      <alignment horizontal="center"/>
    </xf>
    <xf numFmtId="0" fontId="1" fillId="5" borderId="7" xfId="0" applyFont="1" applyFill="1" applyBorder="1" applyAlignment="1">
      <alignment horizontal="center"/>
    </xf>
    <xf numFmtId="0" fontId="1" fillId="5" borderId="7" xfId="0" applyFont="1" applyFill="1" applyBorder="1" applyAlignment="1">
      <alignment horizontal="left"/>
    </xf>
    <xf numFmtId="0" fontId="1" fillId="5" borderId="7" xfId="0" applyFont="1" applyFill="1" applyBorder="1"/>
    <xf numFmtId="1" fontId="1" fillId="6" borderId="7" xfId="0" applyNumberFormat="1" applyFont="1" applyFill="1" applyBorder="1" applyAlignment="1">
      <alignment horizontal="center"/>
    </xf>
    <xf numFmtId="0" fontId="1" fillId="6" borderId="7" xfId="0" applyFont="1" applyFill="1" applyBorder="1"/>
    <xf numFmtId="1" fontId="1" fillId="0" borderId="7" xfId="0" applyNumberFormat="1" applyFont="1" applyFill="1" applyBorder="1"/>
    <xf numFmtId="0" fontId="11" fillId="7" borderId="3" xfId="0" applyFont="1" applyFill="1" applyBorder="1" applyAlignment="1"/>
    <xf numFmtId="0" fontId="17" fillId="7" borderId="3" xfId="0" applyFont="1" applyFill="1" applyBorder="1" applyAlignment="1"/>
    <xf numFmtId="0" fontId="1" fillId="3" borderId="7" xfId="0" applyFont="1" applyFill="1" applyBorder="1" applyAlignment="1">
      <alignment horizontal="left"/>
    </xf>
    <xf numFmtId="0" fontId="0" fillId="2" borderId="3" xfId="0" applyFill="1" applyBorder="1" applyAlignment="1">
      <alignment horizontal="center" vertical="center"/>
    </xf>
    <xf numFmtId="0" fontId="23" fillId="2" borderId="3" xfId="0" applyFont="1" applyFill="1" applyBorder="1" applyAlignment="1">
      <alignment horizontal="center" vertical="center" wrapText="1"/>
    </xf>
    <xf numFmtId="0" fontId="1" fillId="0" borderId="3" xfId="0" applyFont="1" applyBorder="1" applyAlignment="1">
      <alignment horizontal="center"/>
    </xf>
    <xf numFmtId="0" fontId="1" fillId="0" borderId="3" xfId="0" applyFont="1" applyFill="1" applyBorder="1" applyAlignment="1">
      <alignment horizontal="left" vertical="center" indent="1"/>
    </xf>
    <xf numFmtId="0" fontId="5" fillId="6" borderId="5" xfId="0" applyFont="1" applyFill="1" applyBorder="1" applyAlignment="1">
      <alignment horizontal="center" vertical="center" wrapText="1"/>
    </xf>
    <xf numFmtId="0" fontId="0" fillId="6" borderId="1" xfId="0" applyFill="1" applyBorder="1" applyAlignment="1">
      <alignment horizontal="center" vertical="center" wrapText="1"/>
    </xf>
    <xf numFmtId="0" fontId="5" fillId="0" borderId="5" xfId="0" applyFont="1" applyBorder="1" applyAlignment="1">
      <alignment horizontal="center"/>
    </xf>
    <xf numFmtId="0" fontId="5" fillId="0" borderId="1" xfId="0" applyFont="1" applyBorder="1" applyAlignment="1">
      <alignment horizontal="center"/>
    </xf>
    <xf numFmtId="0" fontId="5" fillId="0" borderId="2" xfId="0" applyFont="1" applyBorder="1" applyAlignment="1">
      <alignment horizontal="center"/>
    </xf>
    <xf numFmtId="0" fontId="5" fillId="0" borderId="4" xfId="0" applyFont="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5" borderId="3"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breecker@jsg.utexas.edu" TargetMode="External"/><Relationship Id="rId13" Type="http://schemas.openxmlformats.org/officeDocument/2006/relationships/hyperlink" Target="https://doi.org/10.1016/j.palaeo.2014.04.012" TargetMode="External"/><Relationship Id="rId18" Type="http://schemas.openxmlformats.org/officeDocument/2006/relationships/hyperlink" Target="https://doi.org/10.1016/j.palaeo.2014.04.012" TargetMode="External"/><Relationship Id="rId3" Type="http://schemas.openxmlformats.org/officeDocument/2006/relationships/hyperlink" Target="mailto:breecker@jsg.utexas.edu" TargetMode="External"/><Relationship Id="rId21" Type="http://schemas.openxmlformats.org/officeDocument/2006/relationships/hyperlink" Target="https://doi.org/10.1016/j.palaeo.2014.04.012" TargetMode="External"/><Relationship Id="rId7" Type="http://schemas.openxmlformats.org/officeDocument/2006/relationships/hyperlink" Target="mailto:breecker@jsg.utexas.edu" TargetMode="External"/><Relationship Id="rId12" Type="http://schemas.openxmlformats.org/officeDocument/2006/relationships/hyperlink" Target="https://doi.org/10.1016/j.palaeo.2014.04.012" TargetMode="External"/><Relationship Id="rId17" Type="http://schemas.openxmlformats.org/officeDocument/2006/relationships/hyperlink" Target="https://doi.org/10.1016/j.palaeo.2014.04.012" TargetMode="External"/><Relationship Id="rId2" Type="http://schemas.openxmlformats.org/officeDocument/2006/relationships/hyperlink" Target="mailto:breecker@jsg.utexas.edu" TargetMode="External"/><Relationship Id="rId16" Type="http://schemas.openxmlformats.org/officeDocument/2006/relationships/hyperlink" Target="https://doi.org/10.1016/j.palaeo.2014.04.012" TargetMode="External"/><Relationship Id="rId20" Type="http://schemas.openxmlformats.org/officeDocument/2006/relationships/hyperlink" Target="https://doi.org/10.1016/j.palaeo.2014.04.012" TargetMode="External"/><Relationship Id="rId1" Type="http://schemas.openxmlformats.org/officeDocument/2006/relationships/hyperlink" Target="mailto:breecker@jsg.utexas.edu" TargetMode="External"/><Relationship Id="rId6" Type="http://schemas.openxmlformats.org/officeDocument/2006/relationships/hyperlink" Target="mailto:breecker@jsg.utexas.edu" TargetMode="External"/><Relationship Id="rId11" Type="http://schemas.openxmlformats.org/officeDocument/2006/relationships/hyperlink" Target="mailto:breecker@jsg.utexas.edu" TargetMode="External"/><Relationship Id="rId5" Type="http://schemas.openxmlformats.org/officeDocument/2006/relationships/hyperlink" Target="mailto:breecker@jsg.utexas.edu" TargetMode="External"/><Relationship Id="rId15" Type="http://schemas.openxmlformats.org/officeDocument/2006/relationships/hyperlink" Target="https://doi.org/10.1016/j.palaeo.2014.04.012" TargetMode="External"/><Relationship Id="rId10" Type="http://schemas.openxmlformats.org/officeDocument/2006/relationships/hyperlink" Target="mailto:breecker@jsg.utexas.edu" TargetMode="External"/><Relationship Id="rId19" Type="http://schemas.openxmlformats.org/officeDocument/2006/relationships/hyperlink" Target="https://doi.org/10.1016/j.palaeo.2014.04.012" TargetMode="External"/><Relationship Id="rId4" Type="http://schemas.openxmlformats.org/officeDocument/2006/relationships/hyperlink" Target="mailto:breecker@jsg.utexas.edu" TargetMode="External"/><Relationship Id="rId9" Type="http://schemas.openxmlformats.org/officeDocument/2006/relationships/hyperlink" Target="mailto:breecker@jsg.utexas.edu" TargetMode="External"/><Relationship Id="rId14" Type="http://schemas.openxmlformats.org/officeDocument/2006/relationships/hyperlink" Target="https://doi.org/10.1016/j.palaeo.2014.04.012" TargetMode="External"/><Relationship Id="rId22" Type="http://schemas.openxmlformats.org/officeDocument/2006/relationships/hyperlink" Target="https://doi.org/10.1016/j.palaeo.2014.04.0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P166"/>
  <sheetViews>
    <sheetView tabSelected="1" topLeftCell="D1" zoomScale="80" zoomScaleNormal="80" workbookViewId="0">
      <selection activeCell="N3" sqref="N3:O3"/>
    </sheetView>
  </sheetViews>
  <sheetFormatPr baseColWidth="10" defaultColWidth="10.6640625" defaultRowHeight="16" x14ac:dyDescent="0.2"/>
  <cols>
    <col min="1" max="1" width="22.83203125" customWidth="1"/>
    <col min="2" max="2" width="19.33203125" bestFit="1" customWidth="1"/>
    <col min="8" max="8" width="12.6640625" customWidth="1"/>
    <col min="9" max="9" width="12.5" customWidth="1"/>
    <col min="25" max="123" width="17.1640625" customWidth="1"/>
  </cols>
  <sheetData>
    <row r="1" spans="1:146" ht="17" x14ac:dyDescent="0.2">
      <c r="A1" s="26"/>
      <c r="Y1" s="53"/>
      <c r="Z1" s="53"/>
      <c r="AA1" s="53"/>
      <c r="AB1" s="53"/>
      <c r="AC1" s="54"/>
      <c r="AD1" s="54"/>
      <c r="AE1" s="54"/>
      <c r="AF1" s="54"/>
      <c r="AG1" s="54"/>
      <c r="AH1" s="54"/>
      <c r="AI1" s="54"/>
      <c r="AJ1" s="54"/>
      <c r="AK1" s="54"/>
      <c r="AL1" s="54"/>
      <c r="AM1" s="55"/>
      <c r="AN1" s="56"/>
      <c r="AO1" s="57"/>
      <c r="AP1" s="57"/>
      <c r="AQ1" s="57"/>
      <c r="AR1" s="57"/>
      <c r="AS1" s="57"/>
      <c r="AT1" s="57"/>
      <c r="AU1" s="57"/>
      <c r="AV1" s="57"/>
      <c r="AW1" s="57"/>
      <c r="AX1" s="57"/>
      <c r="AY1" s="57"/>
      <c r="AZ1" s="57"/>
      <c r="BA1" s="57"/>
      <c r="BB1" s="57"/>
      <c r="BC1" s="57"/>
      <c r="BD1" s="57"/>
      <c r="BE1" s="57"/>
      <c r="BF1" s="57"/>
      <c r="BG1" s="57"/>
      <c r="BH1" s="57"/>
      <c r="BI1" s="57"/>
      <c r="BJ1" s="57"/>
      <c r="BK1" s="57"/>
      <c r="BL1" s="57"/>
      <c r="BM1" s="57"/>
      <c r="BN1" s="57"/>
      <c r="BO1" s="57"/>
      <c r="BP1" s="57"/>
      <c r="BQ1" s="57"/>
      <c r="BR1" s="57"/>
      <c r="BS1" s="57"/>
      <c r="BT1" s="57"/>
      <c r="BU1" s="57"/>
      <c r="BV1" s="57"/>
      <c r="BW1" s="57"/>
      <c r="BX1" s="57"/>
      <c r="BY1" s="57"/>
      <c r="BZ1" s="57"/>
      <c r="CA1" s="57"/>
      <c r="CB1" s="57"/>
      <c r="CC1" s="57"/>
      <c r="CD1" s="57"/>
      <c r="CE1" s="57"/>
      <c r="CF1" s="57"/>
      <c r="CG1" s="57"/>
      <c r="CH1" s="57"/>
      <c r="CI1" s="57"/>
      <c r="CJ1" s="58"/>
      <c r="CK1" s="59"/>
      <c r="CL1" s="59"/>
      <c r="CM1" s="59"/>
      <c r="CN1" s="59"/>
      <c r="CO1" s="59"/>
      <c r="CP1" s="59"/>
      <c r="CQ1" s="59"/>
      <c r="CR1" s="59"/>
      <c r="CS1" s="59"/>
      <c r="CT1" s="59"/>
      <c r="CU1" s="59"/>
      <c r="CV1" s="59"/>
      <c r="CW1" s="59"/>
      <c r="CX1" s="59"/>
      <c r="CY1" s="60"/>
      <c r="CZ1" s="60"/>
      <c r="DA1" s="61"/>
      <c r="DB1" s="59"/>
      <c r="DC1" s="59"/>
      <c r="DD1" s="59"/>
      <c r="DE1" s="59"/>
      <c r="DF1" s="59"/>
      <c r="DG1" s="59"/>
      <c r="DH1" s="59"/>
      <c r="DI1" s="59"/>
      <c r="DJ1" s="59"/>
      <c r="DK1" s="59"/>
      <c r="DL1" s="59"/>
      <c r="DM1" s="59"/>
      <c r="DN1" s="59"/>
      <c r="DO1" s="59"/>
      <c r="DP1" s="59"/>
      <c r="DQ1" s="59"/>
      <c r="DR1" s="59"/>
      <c r="DS1" s="24"/>
      <c r="DT1" s="24"/>
      <c r="DU1" s="24"/>
      <c r="DV1" s="24"/>
      <c r="DW1" s="24"/>
      <c r="DX1" s="24"/>
      <c r="DY1" s="24"/>
      <c r="DZ1" s="24"/>
      <c r="EA1" s="24"/>
      <c r="EB1" s="24"/>
      <c r="EC1" s="24"/>
      <c r="ED1" s="24"/>
      <c r="EE1" s="24"/>
      <c r="EF1" s="24"/>
      <c r="EG1" s="62"/>
      <c r="EH1" s="63"/>
      <c r="EI1" s="63"/>
      <c r="EJ1" s="63"/>
      <c r="EK1" s="63"/>
      <c r="EL1" s="63"/>
      <c r="EM1" s="63"/>
      <c r="EN1" s="63"/>
      <c r="EO1" s="63"/>
      <c r="EP1" s="64"/>
    </row>
    <row r="2" spans="1:146" ht="23" customHeight="1" x14ac:dyDescent="0.25">
      <c r="A2" s="107" t="s">
        <v>122</v>
      </c>
      <c r="B2" s="108"/>
      <c r="C2" s="108"/>
      <c r="D2" s="108"/>
      <c r="E2" s="108"/>
      <c r="F2" s="108"/>
      <c r="G2" s="108"/>
      <c r="H2" s="108"/>
      <c r="I2" s="108"/>
      <c r="J2" s="108"/>
      <c r="K2" s="108"/>
      <c r="L2" s="108"/>
      <c r="M2" s="108"/>
      <c r="N2" s="108"/>
      <c r="O2" s="108"/>
      <c r="P2" s="108"/>
      <c r="Q2" s="108"/>
      <c r="R2" s="108"/>
      <c r="S2" s="108"/>
      <c r="T2" s="108"/>
      <c r="U2" s="108"/>
      <c r="V2" s="108"/>
      <c r="W2" s="108"/>
      <c r="X2" s="109"/>
      <c r="Y2" s="110" t="s">
        <v>224</v>
      </c>
      <c r="Z2" s="110"/>
      <c r="AA2" s="110"/>
      <c r="AB2" s="110"/>
      <c r="AC2" s="111" t="s">
        <v>17</v>
      </c>
      <c r="AD2" s="111"/>
      <c r="AE2" s="111"/>
      <c r="AF2" s="111"/>
      <c r="AG2" s="111"/>
      <c r="AH2" s="111"/>
      <c r="AI2" s="111"/>
      <c r="AJ2" s="111"/>
      <c r="AK2" s="111"/>
      <c r="AL2" s="111"/>
      <c r="AM2" s="112"/>
      <c r="AN2" s="113" t="s">
        <v>18</v>
      </c>
      <c r="AO2" s="114"/>
      <c r="AP2" s="114"/>
      <c r="AQ2" s="114"/>
      <c r="AR2" s="114"/>
      <c r="AS2" s="114"/>
      <c r="AT2" s="114"/>
      <c r="AU2" s="114"/>
      <c r="AV2" s="114"/>
      <c r="AW2" s="114"/>
      <c r="AX2" s="114"/>
      <c r="AY2" s="114"/>
      <c r="AZ2" s="114"/>
      <c r="BA2" s="114"/>
      <c r="BB2" s="114"/>
      <c r="BC2" s="114"/>
      <c r="BD2" s="114"/>
      <c r="BE2" s="114"/>
      <c r="BF2" s="114"/>
      <c r="BG2" s="114"/>
      <c r="BH2" s="114"/>
      <c r="BI2" s="114"/>
      <c r="BJ2" s="114"/>
      <c r="BK2" s="114"/>
      <c r="BL2" s="114"/>
      <c r="BM2" s="114"/>
      <c r="BN2" s="114"/>
      <c r="BO2" s="114"/>
      <c r="BP2" s="114"/>
      <c r="BQ2" s="114"/>
      <c r="BR2" s="114"/>
      <c r="BS2" s="114"/>
      <c r="BT2" s="114"/>
      <c r="BU2" s="114"/>
      <c r="BV2" s="114"/>
      <c r="BW2" s="114"/>
      <c r="BX2" s="114"/>
      <c r="BY2" s="114"/>
      <c r="BZ2" s="114"/>
      <c r="CA2" s="114"/>
      <c r="CB2" s="114"/>
      <c r="CC2" s="114"/>
      <c r="CD2" s="114"/>
      <c r="CE2" s="114"/>
      <c r="CF2" s="114"/>
      <c r="CG2" s="114"/>
      <c r="CH2" s="114"/>
      <c r="CI2" s="114"/>
      <c r="CJ2" s="115" t="s">
        <v>19</v>
      </c>
      <c r="CK2" s="116"/>
      <c r="CL2" s="116"/>
      <c r="CM2" s="116"/>
      <c r="CN2" s="116"/>
      <c r="CO2" s="116"/>
      <c r="CP2" s="116"/>
      <c r="CQ2" s="116"/>
      <c r="CR2" s="116"/>
      <c r="CS2" s="116"/>
      <c r="CT2" s="116"/>
      <c r="CU2" s="116"/>
      <c r="CV2" s="116"/>
      <c r="CW2" s="116"/>
      <c r="CX2" s="116"/>
      <c r="CY2" s="116"/>
      <c r="CZ2" s="116"/>
      <c r="DA2" s="116"/>
      <c r="DB2" s="116"/>
      <c r="DC2" s="116"/>
      <c r="DD2" s="116"/>
      <c r="DE2" s="116"/>
      <c r="DF2" s="116"/>
      <c r="DG2" s="116"/>
      <c r="DH2" s="116"/>
      <c r="DI2" s="116"/>
      <c r="DJ2" s="116"/>
      <c r="DK2" s="116"/>
      <c r="DL2" s="116"/>
      <c r="DM2" s="116"/>
      <c r="DN2" s="116"/>
      <c r="DO2" s="116"/>
      <c r="DP2" s="65"/>
      <c r="DQ2" s="65"/>
      <c r="DR2" s="65"/>
      <c r="DS2" s="117" t="s">
        <v>20</v>
      </c>
      <c r="DT2" s="117"/>
      <c r="DU2" s="117"/>
      <c r="DV2" s="117"/>
      <c r="DW2" s="117"/>
      <c r="DX2" s="117"/>
      <c r="DY2" s="117"/>
      <c r="DZ2" s="117"/>
      <c r="EA2" s="117"/>
      <c r="EB2" s="117"/>
      <c r="EC2" s="117"/>
      <c r="ED2" s="117"/>
      <c r="EE2" s="117"/>
      <c r="EF2" s="117"/>
      <c r="EG2" s="105" t="s">
        <v>21</v>
      </c>
      <c r="EH2" s="106"/>
      <c r="EI2" s="106"/>
      <c r="EJ2" s="106"/>
      <c r="EK2" s="106"/>
      <c r="EL2" s="106"/>
      <c r="EM2" s="106"/>
      <c r="EN2" s="106"/>
      <c r="EO2" s="106"/>
      <c r="EP2" s="64"/>
    </row>
    <row r="3" spans="1:146" ht="68" customHeight="1" x14ac:dyDescent="0.2">
      <c r="A3" s="36" t="s">
        <v>132</v>
      </c>
      <c r="B3" s="37" t="s">
        <v>133</v>
      </c>
      <c r="C3" s="33" t="s">
        <v>0</v>
      </c>
      <c r="D3" s="34" t="s">
        <v>2</v>
      </c>
      <c r="E3" s="34" t="s">
        <v>3</v>
      </c>
      <c r="F3" s="33" t="s">
        <v>1</v>
      </c>
      <c r="G3" s="33" t="s">
        <v>4</v>
      </c>
      <c r="H3" s="35" t="s">
        <v>5</v>
      </c>
      <c r="I3" s="35" t="s">
        <v>6</v>
      </c>
      <c r="J3" s="34" t="s">
        <v>123</v>
      </c>
      <c r="K3" s="35" t="s">
        <v>16</v>
      </c>
      <c r="L3" s="35" t="s">
        <v>131</v>
      </c>
      <c r="M3" s="27" t="s">
        <v>124</v>
      </c>
      <c r="N3" s="27" t="s">
        <v>232</v>
      </c>
      <c r="O3" s="27" t="s">
        <v>233</v>
      </c>
      <c r="P3" s="27" t="s">
        <v>125</v>
      </c>
      <c r="Q3" s="28" t="s">
        <v>126</v>
      </c>
      <c r="R3" s="29" t="s">
        <v>13</v>
      </c>
      <c r="S3" s="30" t="s">
        <v>127</v>
      </c>
      <c r="T3" s="27" t="s">
        <v>128</v>
      </c>
      <c r="U3" s="27" t="s">
        <v>8</v>
      </c>
      <c r="V3" s="27" t="s">
        <v>129</v>
      </c>
      <c r="W3" s="31" t="s">
        <v>130</v>
      </c>
      <c r="X3" s="32" t="s">
        <v>7</v>
      </c>
      <c r="Y3" s="38" t="s">
        <v>134</v>
      </c>
      <c r="Z3" s="40" t="s">
        <v>191</v>
      </c>
      <c r="AA3" s="41" t="s">
        <v>55</v>
      </c>
      <c r="AB3" s="39" t="s">
        <v>56</v>
      </c>
      <c r="AC3" s="42" t="s">
        <v>22</v>
      </c>
      <c r="AD3" s="42" t="s">
        <v>23</v>
      </c>
      <c r="AE3" s="43" t="s">
        <v>135</v>
      </c>
      <c r="AF3" s="42" t="s">
        <v>136</v>
      </c>
      <c r="AG3" s="102" t="s">
        <v>225</v>
      </c>
      <c r="AH3" s="102" t="s">
        <v>226</v>
      </c>
      <c r="AI3" s="42" t="s">
        <v>137</v>
      </c>
      <c r="AJ3" s="42" t="s">
        <v>138</v>
      </c>
      <c r="AK3" s="42" t="s">
        <v>139</v>
      </c>
      <c r="AL3" s="42" t="s">
        <v>140</v>
      </c>
      <c r="AM3" s="42" t="s">
        <v>24</v>
      </c>
      <c r="AN3" s="47" t="s">
        <v>141</v>
      </c>
      <c r="AO3" s="47" t="s">
        <v>142</v>
      </c>
      <c r="AP3" s="48" t="s">
        <v>25</v>
      </c>
      <c r="AQ3" s="48" t="s">
        <v>26</v>
      </c>
      <c r="AR3" s="47" t="s">
        <v>143</v>
      </c>
      <c r="AS3" s="47" t="s">
        <v>144</v>
      </c>
      <c r="AT3" s="48" t="s">
        <v>27</v>
      </c>
      <c r="AU3" s="47" t="s">
        <v>145</v>
      </c>
      <c r="AV3" s="47" t="s">
        <v>146</v>
      </c>
      <c r="AW3" s="48" t="s">
        <v>28</v>
      </c>
      <c r="AX3" s="48" t="s">
        <v>29</v>
      </c>
      <c r="AY3" s="47" t="s">
        <v>189</v>
      </c>
      <c r="AZ3" s="47" t="s">
        <v>192</v>
      </c>
      <c r="BA3" s="44" t="s">
        <v>193</v>
      </c>
      <c r="BB3" s="48" t="s">
        <v>190</v>
      </c>
      <c r="BC3" s="47" t="s">
        <v>194</v>
      </c>
      <c r="BD3" s="47" t="s">
        <v>195</v>
      </c>
      <c r="BE3" s="48" t="s">
        <v>196</v>
      </c>
      <c r="BF3" s="48" t="s">
        <v>197</v>
      </c>
      <c r="BG3" s="47" t="s">
        <v>147</v>
      </c>
      <c r="BH3" s="47" t="s">
        <v>148</v>
      </c>
      <c r="BI3" s="48" t="s">
        <v>30</v>
      </c>
      <c r="BJ3" s="48" t="s">
        <v>31</v>
      </c>
      <c r="BK3" s="44" t="s">
        <v>149</v>
      </c>
      <c r="BL3" s="44" t="s">
        <v>150</v>
      </c>
      <c r="BM3" s="44" t="s">
        <v>151</v>
      </c>
      <c r="BN3" s="44" t="s">
        <v>152</v>
      </c>
      <c r="BO3" s="44" t="s">
        <v>153</v>
      </c>
      <c r="BP3" s="44" t="s">
        <v>154</v>
      </c>
      <c r="BQ3" s="44" t="s">
        <v>155</v>
      </c>
      <c r="BR3" s="44" t="s">
        <v>156</v>
      </c>
      <c r="BS3" s="44" t="s">
        <v>157</v>
      </c>
      <c r="BT3" s="44" t="s">
        <v>158</v>
      </c>
      <c r="BU3" s="44" t="s">
        <v>159</v>
      </c>
      <c r="BV3" s="44" t="s">
        <v>160</v>
      </c>
      <c r="BW3" s="44" t="s">
        <v>161</v>
      </c>
      <c r="BX3" s="44" t="s">
        <v>162</v>
      </c>
      <c r="BY3" s="44" t="s">
        <v>163</v>
      </c>
      <c r="BZ3" s="44" t="s">
        <v>164</v>
      </c>
      <c r="CA3" s="44" t="s">
        <v>165</v>
      </c>
      <c r="CB3" s="44" t="s">
        <v>166</v>
      </c>
      <c r="CC3" s="44" t="s">
        <v>167</v>
      </c>
      <c r="CD3" s="44" t="s">
        <v>168</v>
      </c>
      <c r="CE3" s="44" t="s">
        <v>169</v>
      </c>
      <c r="CF3" s="44" t="s">
        <v>170</v>
      </c>
      <c r="CG3" s="44" t="s">
        <v>171</v>
      </c>
      <c r="CH3" s="44" t="s">
        <v>172</v>
      </c>
      <c r="CI3" s="44" t="s">
        <v>32</v>
      </c>
      <c r="CJ3" s="66" t="s">
        <v>173</v>
      </c>
      <c r="CK3" s="67" t="s">
        <v>33</v>
      </c>
      <c r="CL3" s="67" t="s">
        <v>34</v>
      </c>
      <c r="CM3" s="68" t="s">
        <v>198</v>
      </c>
      <c r="CN3" s="68" t="s">
        <v>199</v>
      </c>
      <c r="CO3" s="68" t="s">
        <v>200</v>
      </c>
      <c r="CP3" s="66" t="s">
        <v>174</v>
      </c>
      <c r="CQ3" s="67" t="s">
        <v>35</v>
      </c>
      <c r="CR3" s="67" t="s">
        <v>36</v>
      </c>
      <c r="CS3" s="67" t="s">
        <v>37</v>
      </c>
      <c r="CT3" s="68" t="s">
        <v>199</v>
      </c>
      <c r="CU3" s="68" t="s">
        <v>200</v>
      </c>
      <c r="CV3" s="45" t="s">
        <v>175</v>
      </c>
      <c r="CW3" s="45" t="s">
        <v>38</v>
      </c>
      <c r="CX3" s="45" t="s">
        <v>201</v>
      </c>
      <c r="CY3" s="68" t="s">
        <v>199</v>
      </c>
      <c r="CZ3" s="68" t="s">
        <v>200</v>
      </c>
      <c r="DA3" s="67" t="s">
        <v>39</v>
      </c>
      <c r="DB3" s="45" t="s">
        <v>40</v>
      </c>
      <c r="DC3" s="68" t="s">
        <v>176</v>
      </c>
      <c r="DD3" s="67" t="s">
        <v>41</v>
      </c>
      <c r="DE3" s="67" t="s">
        <v>42</v>
      </c>
      <c r="DF3" s="45" t="s">
        <v>177</v>
      </c>
      <c r="DG3" s="45" t="s">
        <v>178</v>
      </c>
      <c r="DH3" s="45" t="s">
        <v>43</v>
      </c>
      <c r="DI3" s="45" t="s">
        <v>179</v>
      </c>
      <c r="DJ3" s="68" t="s">
        <v>199</v>
      </c>
      <c r="DK3" s="68" t="s">
        <v>200</v>
      </c>
      <c r="DL3" s="45" t="s">
        <v>44</v>
      </c>
      <c r="DM3" s="45" t="s">
        <v>202</v>
      </c>
      <c r="DN3" s="45" t="s">
        <v>45</v>
      </c>
      <c r="DO3" s="45" t="s">
        <v>203</v>
      </c>
      <c r="DP3" s="45" t="s">
        <v>204</v>
      </c>
      <c r="DQ3" s="68" t="s">
        <v>199</v>
      </c>
      <c r="DR3" s="68" t="s">
        <v>200</v>
      </c>
      <c r="DS3" s="46" t="s">
        <v>180</v>
      </c>
      <c r="DT3" s="46" t="s">
        <v>46</v>
      </c>
      <c r="DU3" s="46" t="s">
        <v>181</v>
      </c>
      <c r="DV3" s="46" t="s">
        <v>182</v>
      </c>
      <c r="DW3" s="46" t="s">
        <v>47</v>
      </c>
      <c r="DX3" s="46" t="s">
        <v>183</v>
      </c>
      <c r="DY3" s="46" t="s">
        <v>184</v>
      </c>
      <c r="DZ3" s="46" t="s">
        <v>48</v>
      </c>
      <c r="EA3" s="46" t="s">
        <v>49</v>
      </c>
      <c r="EB3" s="46" t="s">
        <v>50</v>
      </c>
      <c r="EC3" s="46" t="s">
        <v>51</v>
      </c>
      <c r="ED3" s="46" t="s">
        <v>52</v>
      </c>
      <c r="EE3" s="46" t="s">
        <v>185</v>
      </c>
      <c r="EF3" s="46" t="s">
        <v>186</v>
      </c>
      <c r="EG3" s="69" t="s">
        <v>187</v>
      </c>
      <c r="EH3" s="69" t="s">
        <v>188</v>
      </c>
      <c r="EI3" s="69" t="s">
        <v>205</v>
      </c>
      <c r="EJ3" s="69" t="s">
        <v>206</v>
      </c>
      <c r="EK3" s="70" t="s">
        <v>54</v>
      </c>
      <c r="EL3" s="70" t="s">
        <v>53</v>
      </c>
      <c r="EM3" s="71" t="s">
        <v>200</v>
      </c>
      <c r="EN3" s="69" t="s">
        <v>207</v>
      </c>
      <c r="EO3" s="69" t="s">
        <v>208</v>
      </c>
      <c r="EP3" s="72" t="s">
        <v>209</v>
      </c>
    </row>
    <row r="4" spans="1:146" ht="19" x14ac:dyDescent="0.25">
      <c r="A4" s="3" t="s">
        <v>9</v>
      </c>
      <c r="B4" s="5" t="s">
        <v>10</v>
      </c>
      <c r="C4" s="2" t="s">
        <v>15</v>
      </c>
      <c r="D4" s="2" t="s">
        <v>11</v>
      </c>
      <c r="E4" s="2">
        <v>2014</v>
      </c>
      <c r="F4" s="2" t="s">
        <v>12</v>
      </c>
      <c r="G4" s="2">
        <v>5500</v>
      </c>
      <c r="H4" s="9">
        <v>1100</v>
      </c>
      <c r="I4" s="2">
        <v>600</v>
      </c>
      <c r="J4" s="6">
        <v>214.739919271519</v>
      </c>
      <c r="K4" s="6">
        <v>819.99397147483091</v>
      </c>
      <c r="L4" s="6">
        <v>180.67124132587179</v>
      </c>
      <c r="M4" s="2" t="b">
        <v>0</v>
      </c>
      <c r="N4" s="103">
        <v>2</v>
      </c>
      <c r="O4" s="104" t="s">
        <v>231</v>
      </c>
      <c r="P4" s="2" t="b">
        <v>0</v>
      </c>
      <c r="Q4" s="2" t="b">
        <v>1</v>
      </c>
      <c r="R4" s="2" t="s">
        <v>227</v>
      </c>
      <c r="S4" s="2" t="b">
        <v>0</v>
      </c>
      <c r="T4" s="2" t="b">
        <v>0</v>
      </c>
      <c r="U4" s="2" t="s">
        <v>14</v>
      </c>
      <c r="V4" s="2" t="b">
        <v>0</v>
      </c>
      <c r="W4" s="2" t="b">
        <v>1</v>
      </c>
      <c r="X4" s="22" t="s">
        <v>230</v>
      </c>
      <c r="Y4" s="73" t="s">
        <v>57</v>
      </c>
      <c r="Z4" s="74" t="s">
        <v>12</v>
      </c>
      <c r="AA4" s="73" t="s">
        <v>58</v>
      </c>
      <c r="AB4" s="75" t="s">
        <v>59</v>
      </c>
      <c r="AC4" s="51" t="s">
        <v>14</v>
      </c>
      <c r="AD4" s="76" t="s">
        <v>60</v>
      </c>
      <c r="AE4" s="51">
        <v>45.43</v>
      </c>
      <c r="AF4" s="51">
        <v>-112.44</v>
      </c>
      <c r="AG4" s="101" t="s">
        <v>14</v>
      </c>
      <c r="AH4" s="101" t="s">
        <v>14</v>
      </c>
      <c r="AI4" s="52" t="s">
        <v>14</v>
      </c>
      <c r="AJ4" s="77">
        <v>5.5</v>
      </c>
      <c r="AK4" s="51">
        <v>6.6</v>
      </c>
      <c r="AL4" s="51">
        <v>4.9000000000000004</v>
      </c>
      <c r="AM4" s="78" t="s">
        <v>61</v>
      </c>
      <c r="AN4" s="79">
        <v>-6.04</v>
      </c>
      <c r="AO4" s="79">
        <v>0.13366625103842281</v>
      </c>
      <c r="AP4" s="80">
        <v>4</v>
      </c>
      <c r="AQ4" s="81" t="s">
        <v>62</v>
      </c>
      <c r="AR4" s="79">
        <v>-22.73</v>
      </c>
      <c r="AS4" s="79">
        <v>1.0027960909377351</v>
      </c>
      <c r="AT4" s="49">
        <v>4</v>
      </c>
      <c r="AU4" s="49" t="s">
        <v>14</v>
      </c>
      <c r="AV4" s="49" t="s">
        <v>14</v>
      </c>
      <c r="AW4" s="49" t="s">
        <v>14</v>
      </c>
      <c r="AX4" s="81" t="s">
        <v>62</v>
      </c>
      <c r="AY4" s="49" t="s">
        <v>14</v>
      </c>
      <c r="AZ4" s="49" t="s">
        <v>14</v>
      </c>
      <c r="BA4" s="49" t="s">
        <v>14</v>
      </c>
      <c r="BB4" s="50" t="s">
        <v>14</v>
      </c>
      <c r="BC4" s="50" t="s">
        <v>14</v>
      </c>
      <c r="BD4" s="50" t="s">
        <v>14</v>
      </c>
      <c r="BE4" s="50" t="s">
        <v>14</v>
      </c>
      <c r="BF4" s="50" t="s">
        <v>14</v>
      </c>
      <c r="BG4" s="49" t="s">
        <v>14</v>
      </c>
      <c r="BH4" s="49" t="s">
        <v>14</v>
      </c>
      <c r="BI4" s="49" t="s">
        <v>14</v>
      </c>
      <c r="BJ4" s="50" t="s">
        <v>14</v>
      </c>
      <c r="BK4" s="80">
        <f>AVERAGE(40,31,40,32)</f>
        <v>35.75</v>
      </c>
      <c r="BL4" s="49">
        <v>370</v>
      </c>
      <c r="BM4" s="49" t="s">
        <v>14</v>
      </c>
      <c r="BN4" s="49" t="s">
        <v>14</v>
      </c>
      <c r="BO4" s="49" t="s">
        <v>14</v>
      </c>
      <c r="BP4" s="49" t="s">
        <v>14</v>
      </c>
      <c r="BQ4" s="49" t="s">
        <v>14</v>
      </c>
      <c r="BR4" s="49" t="s">
        <v>14</v>
      </c>
      <c r="BS4" s="49" t="s">
        <v>14</v>
      </c>
      <c r="BT4" s="49" t="s">
        <v>14</v>
      </c>
      <c r="BU4" s="49" t="s">
        <v>14</v>
      </c>
      <c r="BV4" s="49" t="s">
        <v>14</v>
      </c>
      <c r="BW4" s="49" t="s">
        <v>14</v>
      </c>
      <c r="BX4" s="49" t="s">
        <v>14</v>
      </c>
      <c r="BY4" s="49" t="s">
        <v>14</v>
      </c>
      <c r="BZ4" s="49" t="s">
        <v>14</v>
      </c>
      <c r="CA4" s="49" t="s">
        <v>14</v>
      </c>
      <c r="CB4" s="49" t="s">
        <v>14</v>
      </c>
      <c r="CC4" s="49" t="s">
        <v>14</v>
      </c>
      <c r="CD4" s="49" t="s">
        <v>14</v>
      </c>
      <c r="CE4" s="49" t="s">
        <v>14</v>
      </c>
      <c r="CF4" s="49" t="s">
        <v>14</v>
      </c>
      <c r="CG4" s="49" t="s">
        <v>14</v>
      </c>
      <c r="CH4" s="49" t="s">
        <v>14</v>
      </c>
      <c r="CI4" s="49" t="s">
        <v>14</v>
      </c>
      <c r="CJ4" s="82">
        <v>-23.73</v>
      </c>
      <c r="CK4" s="83" t="s">
        <v>63</v>
      </c>
      <c r="CL4" s="84" t="s">
        <v>64</v>
      </c>
      <c r="CM4" s="85" t="s">
        <v>210</v>
      </c>
      <c r="CN4" s="86" t="s">
        <v>211</v>
      </c>
      <c r="CO4" s="85" t="s">
        <v>14</v>
      </c>
      <c r="CP4" s="82">
        <v>-6.2</v>
      </c>
      <c r="CQ4" s="83" t="s">
        <v>65</v>
      </c>
      <c r="CR4" s="84" t="s">
        <v>66</v>
      </c>
      <c r="CS4" s="87">
        <v>0.15</v>
      </c>
      <c r="CT4" s="88" t="s">
        <v>212</v>
      </c>
      <c r="CU4" s="82" t="s">
        <v>213</v>
      </c>
      <c r="CV4" s="89">
        <v>22.816420000000001</v>
      </c>
      <c r="CW4" s="83" t="s">
        <v>67</v>
      </c>
      <c r="CX4" s="85">
        <v>4.4000000000000004</v>
      </c>
      <c r="CY4" s="85" t="s">
        <v>214</v>
      </c>
      <c r="CZ4" s="85" t="s">
        <v>215</v>
      </c>
      <c r="DA4" s="90" t="s">
        <v>14</v>
      </c>
      <c r="DB4" s="84" t="s">
        <v>68</v>
      </c>
      <c r="DC4" s="82">
        <v>-15.142085993046408</v>
      </c>
      <c r="DD4" s="85" t="s">
        <v>14</v>
      </c>
      <c r="DE4" s="85" t="s">
        <v>69</v>
      </c>
      <c r="DF4" s="85" t="s">
        <v>14</v>
      </c>
      <c r="DG4" s="85" t="s">
        <v>14</v>
      </c>
      <c r="DH4" s="85" t="s">
        <v>14</v>
      </c>
      <c r="DI4" s="85" t="s">
        <v>14</v>
      </c>
      <c r="DJ4" s="85" t="s">
        <v>14</v>
      </c>
      <c r="DK4" s="85" t="s">
        <v>14</v>
      </c>
      <c r="DL4" s="91" t="s">
        <v>14</v>
      </c>
      <c r="DM4" s="85">
        <v>440</v>
      </c>
      <c r="DN4" s="83" t="s">
        <v>70</v>
      </c>
      <c r="DO4" s="85">
        <v>512</v>
      </c>
      <c r="DP4" s="85">
        <v>512</v>
      </c>
      <c r="DQ4" s="86" t="s">
        <v>216</v>
      </c>
      <c r="DR4" s="85" t="s">
        <v>213</v>
      </c>
      <c r="DS4" s="92" t="s">
        <v>71</v>
      </c>
      <c r="DT4" s="92" t="s">
        <v>72</v>
      </c>
      <c r="DU4" s="92" t="s">
        <v>73</v>
      </c>
      <c r="DV4" s="92" t="s">
        <v>14</v>
      </c>
      <c r="DW4" s="93" t="s">
        <v>74</v>
      </c>
      <c r="DX4" s="94" t="s">
        <v>75</v>
      </c>
      <c r="DY4" s="92" t="s">
        <v>76</v>
      </c>
      <c r="DZ4" s="92" t="s">
        <v>71</v>
      </c>
      <c r="EA4" s="92" t="s">
        <v>14</v>
      </c>
      <c r="EB4" s="93" t="s">
        <v>77</v>
      </c>
      <c r="EC4" s="93" t="s">
        <v>78</v>
      </c>
      <c r="ED4" s="93" t="s">
        <v>79</v>
      </c>
      <c r="EE4" s="93" t="s">
        <v>80</v>
      </c>
      <c r="EF4" s="92" t="s">
        <v>14</v>
      </c>
      <c r="EG4" s="95">
        <v>309.52119052184702</v>
      </c>
      <c r="EH4" s="95">
        <v>214.739919271519</v>
      </c>
      <c r="EI4" s="95">
        <v>819.99397147483091</v>
      </c>
      <c r="EJ4" s="95">
        <v>180.67124132587179</v>
      </c>
      <c r="EK4" s="96" t="s">
        <v>81</v>
      </c>
      <c r="EL4" s="96" t="s">
        <v>64</v>
      </c>
      <c r="EM4" s="96" t="s">
        <v>229</v>
      </c>
      <c r="EN4" s="95">
        <f>EH4+EI4</f>
        <v>1034.73389074635</v>
      </c>
      <c r="EO4" s="95">
        <f>EH4-EJ4</f>
        <v>34.06867794564721</v>
      </c>
      <c r="EP4" s="97" t="s">
        <v>217</v>
      </c>
    </row>
    <row r="5" spans="1:146" ht="19" x14ac:dyDescent="0.25">
      <c r="A5" s="3" t="s">
        <v>9</v>
      </c>
      <c r="B5" s="5" t="s">
        <v>10</v>
      </c>
      <c r="C5" s="2" t="s">
        <v>15</v>
      </c>
      <c r="D5" s="2" t="s">
        <v>11</v>
      </c>
      <c r="E5" s="2">
        <v>2014</v>
      </c>
      <c r="F5" s="2" t="s">
        <v>12</v>
      </c>
      <c r="G5" s="2">
        <v>6400</v>
      </c>
      <c r="H5" s="10">
        <v>1900</v>
      </c>
      <c r="I5" s="2">
        <v>1400</v>
      </c>
      <c r="J5" s="6">
        <v>213.25182019782301</v>
      </c>
      <c r="K5" s="6">
        <v>560.48027067479097</v>
      </c>
      <c r="L5" s="6">
        <v>149.98054403674661</v>
      </c>
      <c r="M5" s="2" t="b">
        <v>0</v>
      </c>
      <c r="N5" s="103">
        <v>2</v>
      </c>
      <c r="O5" s="104" t="s">
        <v>231</v>
      </c>
      <c r="P5" s="2" t="b">
        <v>0</v>
      </c>
      <c r="Q5" s="2" t="b">
        <v>1</v>
      </c>
      <c r="R5" s="2" t="s">
        <v>227</v>
      </c>
      <c r="S5" s="2" t="b">
        <v>0</v>
      </c>
      <c r="T5" s="2" t="b">
        <v>0</v>
      </c>
      <c r="U5" s="2" t="s">
        <v>14</v>
      </c>
      <c r="V5" s="2" t="b">
        <v>0</v>
      </c>
      <c r="W5" s="2" t="b">
        <v>1</v>
      </c>
      <c r="X5" s="22" t="s">
        <v>230</v>
      </c>
      <c r="Y5" s="11" t="s">
        <v>57</v>
      </c>
      <c r="Z5" s="74" t="s">
        <v>12</v>
      </c>
      <c r="AA5" s="11" t="s">
        <v>82</v>
      </c>
      <c r="AB5" s="75" t="s">
        <v>59</v>
      </c>
      <c r="AC5" s="76" t="s">
        <v>83</v>
      </c>
      <c r="AD5" s="12" t="s">
        <v>84</v>
      </c>
      <c r="AE5" s="51">
        <v>34.9</v>
      </c>
      <c r="AF5" s="51">
        <v>-103.1</v>
      </c>
      <c r="AG5" s="101" t="s">
        <v>14</v>
      </c>
      <c r="AH5" s="101" t="s">
        <v>14</v>
      </c>
      <c r="AI5" s="52" t="s">
        <v>14</v>
      </c>
      <c r="AJ5" s="13">
        <v>6.4</v>
      </c>
      <c r="AK5" s="51">
        <v>8.3000000000000007</v>
      </c>
      <c r="AL5" s="51">
        <v>5</v>
      </c>
      <c r="AM5" s="98" t="s">
        <v>85</v>
      </c>
      <c r="AN5" s="14">
        <v>-7.1966666666666681</v>
      </c>
      <c r="AO5" s="14">
        <v>0.66536654836124787</v>
      </c>
      <c r="AP5" s="80">
        <v>30</v>
      </c>
      <c r="AQ5" s="15" t="s">
        <v>86</v>
      </c>
      <c r="AR5" s="79">
        <v>-22.7</v>
      </c>
      <c r="AS5" s="79">
        <v>2</v>
      </c>
      <c r="AT5" s="49" t="s">
        <v>14</v>
      </c>
      <c r="AU5" s="49" t="s">
        <v>14</v>
      </c>
      <c r="AV5" s="49" t="s">
        <v>14</v>
      </c>
      <c r="AW5" s="49" t="s">
        <v>14</v>
      </c>
      <c r="AX5" s="15" t="s">
        <v>86</v>
      </c>
      <c r="AY5" s="49" t="s">
        <v>14</v>
      </c>
      <c r="AZ5" s="49" t="s">
        <v>14</v>
      </c>
      <c r="BA5" s="49" t="s">
        <v>14</v>
      </c>
      <c r="BB5" s="50" t="s">
        <v>14</v>
      </c>
      <c r="BC5" s="50" t="s">
        <v>14</v>
      </c>
      <c r="BD5" s="50" t="s">
        <v>14</v>
      </c>
      <c r="BE5" s="50" t="s">
        <v>14</v>
      </c>
      <c r="BF5" s="50" t="s">
        <v>14</v>
      </c>
      <c r="BG5" s="49" t="s">
        <v>14</v>
      </c>
      <c r="BH5" s="49" t="s">
        <v>14</v>
      </c>
      <c r="BI5" s="49" t="s">
        <v>14</v>
      </c>
      <c r="BJ5" s="50" t="s">
        <v>14</v>
      </c>
      <c r="BK5" s="49" t="s">
        <v>14</v>
      </c>
      <c r="BL5" s="49" t="s">
        <v>14</v>
      </c>
      <c r="BM5" s="49" t="s">
        <v>14</v>
      </c>
      <c r="BN5" s="49" t="s">
        <v>14</v>
      </c>
      <c r="BO5" s="49" t="s">
        <v>14</v>
      </c>
      <c r="BP5" s="49" t="s">
        <v>14</v>
      </c>
      <c r="BQ5" s="49" t="s">
        <v>14</v>
      </c>
      <c r="BR5" s="49" t="s">
        <v>14</v>
      </c>
      <c r="BS5" s="49" t="s">
        <v>14</v>
      </c>
      <c r="BT5" s="49" t="s">
        <v>14</v>
      </c>
      <c r="BU5" s="49" t="s">
        <v>14</v>
      </c>
      <c r="BV5" s="49" t="s">
        <v>14</v>
      </c>
      <c r="BW5" s="49" t="s">
        <v>14</v>
      </c>
      <c r="BX5" s="49" t="s">
        <v>14</v>
      </c>
      <c r="BY5" s="49" t="s">
        <v>14</v>
      </c>
      <c r="BZ5" s="49" t="s">
        <v>14</v>
      </c>
      <c r="CA5" s="49" t="s">
        <v>14</v>
      </c>
      <c r="CB5" s="49" t="s">
        <v>14</v>
      </c>
      <c r="CC5" s="49" t="s">
        <v>14</v>
      </c>
      <c r="CD5" s="49" t="s">
        <v>14</v>
      </c>
      <c r="CE5" s="49" t="s">
        <v>14</v>
      </c>
      <c r="CF5" s="49" t="s">
        <v>14</v>
      </c>
      <c r="CG5" s="49" t="s">
        <v>14</v>
      </c>
      <c r="CH5" s="49" t="s">
        <v>14</v>
      </c>
      <c r="CI5" s="49" t="s">
        <v>14</v>
      </c>
      <c r="CJ5" s="16">
        <v>-23.7</v>
      </c>
      <c r="CK5" s="83" t="s">
        <v>63</v>
      </c>
      <c r="CL5" s="17" t="s">
        <v>64</v>
      </c>
      <c r="CM5" s="85" t="s">
        <v>210</v>
      </c>
      <c r="CN5" s="86" t="s">
        <v>211</v>
      </c>
      <c r="CO5" s="85" t="s">
        <v>14</v>
      </c>
      <c r="CP5" s="16">
        <v>-6.3975</v>
      </c>
      <c r="CQ5" s="83" t="s">
        <v>65</v>
      </c>
      <c r="CR5" s="17" t="s">
        <v>66</v>
      </c>
      <c r="CS5" s="87">
        <v>0.1</v>
      </c>
      <c r="CT5" s="88" t="s">
        <v>212</v>
      </c>
      <c r="CU5" s="82" t="s">
        <v>213</v>
      </c>
      <c r="CV5" s="89">
        <v>25.564</v>
      </c>
      <c r="CW5" s="83" t="s">
        <v>87</v>
      </c>
      <c r="CX5" s="85">
        <v>5</v>
      </c>
      <c r="CY5" s="85" t="s">
        <v>218</v>
      </c>
      <c r="CZ5" s="85" t="s">
        <v>218</v>
      </c>
      <c r="DA5" s="90" t="s">
        <v>14</v>
      </c>
      <c r="DB5" s="84" t="s">
        <v>68</v>
      </c>
      <c r="DC5" s="16">
        <v>-15.966686447705229</v>
      </c>
      <c r="DD5" s="85" t="s">
        <v>14</v>
      </c>
      <c r="DE5" s="85" t="s">
        <v>69</v>
      </c>
      <c r="DF5" s="85" t="s">
        <v>14</v>
      </c>
      <c r="DG5" s="85" t="s">
        <v>14</v>
      </c>
      <c r="DH5" s="85" t="s">
        <v>14</v>
      </c>
      <c r="DI5" s="85" t="s">
        <v>14</v>
      </c>
      <c r="DJ5" s="85" t="s">
        <v>14</v>
      </c>
      <c r="DK5" s="85" t="s">
        <v>14</v>
      </c>
      <c r="DL5" s="91" t="s">
        <v>14</v>
      </c>
      <c r="DM5" s="85">
        <v>596</v>
      </c>
      <c r="DN5" s="83" t="s">
        <v>70</v>
      </c>
      <c r="DO5" s="85">
        <v>350</v>
      </c>
      <c r="DP5" s="85">
        <v>350</v>
      </c>
      <c r="DQ5" s="86" t="s">
        <v>216</v>
      </c>
      <c r="DR5" s="85" t="s">
        <v>213</v>
      </c>
      <c r="DS5" s="92" t="s">
        <v>71</v>
      </c>
      <c r="DT5" s="92" t="s">
        <v>88</v>
      </c>
      <c r="DU5" s="92" t="s">
        <v>14</v>
      </c>
      <c r="DV5" s="92" t="s">
        <v>14</v>
      </c>
      <c r="DW5" s="92" t="s">
        <v>14</v>
      </c>
      <c r="DX5" s="92" t="s">
        <v>14</v>
      </c>
      <c r="DY5" s="92" t="s">
        <v>76</v>
      </c>
      <c r="DZ5" s="92" t="s">
        <v>71</v>
      </c>
      <c r="EA5" s="92" t="s">
        <v>14</v>
      </c>
      <c r="EB5" s="93" t="s">
        <v>77</v>
      </c>
      <c r="EC5" s="93" t="s">
        <v>89</v>
      </c>
      <c r="ED5" s="93" t="s">
        <v>90</v>
      </c>
      <c r="EE5" s="18" t="s">
        <v>91</v>
      </c>
      <c r="EF5" s="92" t="s">
        <v>14</v>
      </c>
      <c r="EG5" s="95">
        <v>297</v>
      </c>
      <c r="EH5" s="95">
        <v>213.25182019782301</v>
      </c>
      <c r="EI5" s="95">
        <v>560.48027067479097</v>
      </c>
      <c r="EJ5" s="95">
        <v>149.98054403674661</v>
      </c>
      <c r="EK5" s="96" t="s">
        <v>81</v>
      </c>
      <c r="EL5" s="96" t="s">
        <v>64</v>
      </c>
      <c r="EM5" s="96" t="s">
        <v>229</v>
      </c>
      <c r="EN5" s="95">
        <f t="shared" ref="EN5:EN14" si="0">EH5+EI5</f>
        <v>773.73209087261398</v>
      </c>
      <c r="EO5" s="95">
        <f t="shared" ref="EO5:EO14" si="1">EH5-EJ5</f>
        <v>63.271276161076401</v>
      </c>
      <c r="EP5" s="97" t="s">
        <v>92</v>
      </c>
    </row>
    <row r="6" spans="1:146" ht="20" customHeight="1" x14ac:dyDescent="0.25">
      <c r="A6" s="3" t="s">
        <v>9</v>
      </c>
      <c r="B6" s="5" t="s">
        <v>10</v>
      </c>
      <c r="C6" s="2" t="s">
        <v>15</v>
      </c>
      <c r="D6" s="2" t="s">
        <v>11</v>
      </c>
      <c r="E6" s="2">
        <v>2014</v>
      </c>
      <c r="F6" s="2" t="s">
        <v>12</v>
      </c>
      <c r="G6" s="2">
        <v>6650</v>
      </c>
      <c r="H6" s="10">
        <v>83</v>
      </c>
      <c r="I6" s="2">
        <v>30</v>
      </c>
      <c r="J6" s="6">
        <v>283.17034197948198</v>
      </c>
      <c r="K6" s="6">
        <v>813.1364911841581</v>
      </c>
      <c r="L6" s="6">
        <v>212.74710383951407</v>
      </c>
      <c r="M6" s="2" t="b">
        <v>0</v>
      </c>
      <c r="N6" s="103">
        <v>2</v>
      </c>
      <c r="O6" s="104" t="s">
        <v>231</v>
      </c>
      <c r="P6" s="2" t="b">
        <v>0</v>
      </c>
      <c r="Q6" s="2" t="b">
        <v>1</v>
      </c>
      <c r="R6" s="2" t="s">
        <v>227</v>
      </c>
      <c r="S6" s="2" t="b">
        <v>0</v>
      </c>
      <c r="T6" s="2" t="b">
        <v>0</v>
      </c>
      <c r="U6" s="2" t="s">
        <v>14</v>
      </c>
      <c r="V6" s="2" t="b">
        <v>0</v>
      </c>
      <c r="W6" s="2" t="b">
        <v>1</v>
      </c>
      <c r="X6" s="22" t="s">
        <v>230</v>
      </c>
      <c r="Y6" s="11" t="s">
        <v>57</v>
      </c>
      <c r="Z6" s="74" t="s">
        <v>12</v>
      </c>
      <c r="AA6" s="11" t="s">
        <v>82</v>
      </c>
      <c r="AB6" s="75" t="s">
        <v>59</v>
      </c>
      <c r="AC6" s="76" t="s">
        <v>93</v>
      </c>
      <c r="AD6" s="12" t="s">
        <v>84</v>
      </c>
      <c r="AE6" s="51">
        <v>35.700000000000003</v>
      </c>
      <c r="AF6" s="51">
        <v>-100.5</v>
      </c>
      <c r="AG6" s="101" t="s">
        <v>14</v>
      </c>
      <c r="AH6" s="101" t="s">
        <v>14</v>
      </c>
      <c r="AI6" s="52" t="s">
        <v>14</v>
      </c>
      <c r="AJ6" s="13">
        <v>6.65</v>
      </c>
      <c r="AK6" s="51">
        <v>6.7330000000000005</v>
      </c>
      <c r="AL6" s="51">
        <v>6.62</v>
      </c>
      <c r="AM6" s="25" t="s">
        <v>219</v>
      </c>
      <c r="AN6" s="14">
        <v>-6.9230769230769234</v>
      </c>
      <c r="AO6" s="14">
        <v>1.7816730829080116</v>
      </c>
      <c r="AP6" s="80">
        <v>13</v>
      </c>
      <c r="AQ6" s="15" t="s">
        <v>86</v>
      </c>
      <c r="AR6" s="79">
        <v>-23</v>
      </c>
      <c r="AS6" s="79">
        <v>2</v>
      </c>
      <c r="AT6" s="49" t="s">
        <v>14</v>
      </c>
      <c r="AU6" s="49" t="s">
        <v>14</v>
      </c>
      <c r="AV6" s="49" t="s">
        <v>14</v>
      </c>
      <c r="AW6" s="49" t="s">
        <v>14</v>
      </c>
      <c r="AX6" s="15" t="s">
        <v>86</v>
      </c>
      <c r="AY6" s="49" t="s">
        <v>14</v>
      </c>
      <c r="AZ6" s="49" t="s">
        <v>14</v>
      </c>
      <c r="BA6" s="49" t="s">
        <v>14</v>
      </c>
      <c r="BB6" s="50" t="s">
        <v>14</v>
      </c>
      <c r="BC6" s="50" t="s">
        <v>14</v>
      </c>
      <c r="BD6" s="50" t="s">
        <v>14</v>
      </c>
      <c r="BE6" s="50" t="s">
        <v>14</v>
      </c>
      <c r="BF6" s="50" t="s">
        <v>14</v>
      </c>
      <c r="BG6" s="49" t="s">
        <v>14</v>
      </c>
      <c r="BH6" s="49" t="s">
        <v>14</v>
      </c>
      <c r="BI6" s="49" t="s">
        <v>14</v>
      </c>
      <c r="BJ6" s="50" t="s">
        <v>14</v>
      </c>
      <c r="BK6" s="49" t="s">
        <v>14</v>
      </c>
      <c r="BL6" s="49" t="s">
        <v>14</v>
      </c>
      <c r="BM6" s="49" t="s">
        <v>14</v>
      </c>
      <c r="BN6" s="49" t="s">
        <v>14</v>
      </c>
      <c r="BO6" s="49" t="s">
        <v>14</v>
      </c>
      <c r="BP6" s="49" t="s">
        <v>14</v>
      </c>
      <c r="BQ6" s="49" t="s">
        <v>14</v>
      </c>
      <c r="BR6" s="49" t="s">
        <v>14</v>
      </c>
      <c r="BS6" s="49" t="s">
        <v>14</v>
      </c>
      <c r="BT6" s="49" t="s">
        <v>14</v>
      </c>
      <c r="BU6" s="49" t="s">
        <v>14</v>
      </c>
      <c r="BV6" s="49" t="s">
        <v>14</v>
      </c>
      <c r="BW6" s="49" t="s">
        <v>14</v>
      </c>
      <c r="BX6" s="49" t="s">
        <v>14</v>
      </c>
      <c r="BY6" s="49" t="s">
        <v>14</v>
      </c>
      <c r="BZ6" s="49" t="s">
        <v>14</v>
      </c>
      <c r="CA6" s="49" t="s">
        <v>14</v>
      </c>
      <c r="CB6" s="49" t="s">
        <v>14</v>
      </c>
      <c r="CC6" s="49" t="s">
        <v>14</v>
      </c>
      <c r="CD6" s="49" t="s">
        <v>14</v>
      </c>
      <c r="CE6" s="49" t="s">
        <v>14</v>
      </c>
      <c r="CF6" s="49" t="s">
        <v>14</v>
      </c>
      <c r="CG6" s="49" t="s">
        <v>14</v>
      </c>
      <c r="CH6" s="49" t="s">
        <v>14</v>
      </c>
      <c r="CI6" s="49" t="s">
        <v>14</v>
      </c>
      <c r="CJ6" s="16">
        <v>-24</v>
      </c>
      <c r="CK6" s="83" t="s">
        <v>63</v>
      </c>
      <c r="CL6" s="17" t="s">
        <v>64</v>
      </c>
      <c r="CM6" s="85" t="s">
        <v>210</v>
      </c>
      <c r="CN6" s="86" t="s">
        <v>211</v>
      </c>
      <c r="CO6" s="85" t="s">
        <v>14</v>
      </c>
      <c r="CP6" s="16">
        <v>-6.3</v>
      </c>
      <c r="CQ6" s="83" t="s">
        <v>65</v>
      </c>
      <c r="CR6" s="17" t="s">
        <v>66</v>
      </c>
      <c r="CS6" s="87">
        <v>0.22</v>
      </c>
      <c r="CT6" s="88" t="s">
        <v>212</v>
      </c>
      <c r="CU6" s="82" t="s">
        <v>213</v>
      </c>
      <c r="CV6" s="89">
        <v>28.094000000000001</v>
      </c>
      <c r="CW6" s="83" t="s">
        <v>87</v>
      </c>
      <c r="CX6" s="85">
        <v>5</v>
      </c>
      <c r="CY6" s="85" t="s">
        <v>218</v>
      </c>
      <c r="CZ6" s="85" t="s">
        <v>218</v>
      </c>
      <c r="DA6" s="90" t="s">
        <v>14</v>
      </c>
      <c r="DB6" s="84" t="s">
        <v>68</v>
      </c>
      <c r="DC6" s="16">
        <v>-15.399229270075011</v>
      </c>
      <c r="DD6" s="85" t="s">
        <v>14</v>
      </c>
      <c r="DE6" s="85" t="s">
        <v>69</v>
      </c>
      <c r="DF6" s="85" t="s">
        <v>14</v>
      </c>
      <c r="DG6" s="85" t="s">
        <v>14</v>
      </c>
      <c r="DH6" s="85" t="s">
        <v>14</v>
      </c>
      <c r="DI6" s="85" t="s">
        <v>14</v>
      </c>
      <c r="DJ6" s="85" t="s">
        <v>14</v>
      </c>
      <c r="DK6" s="85" t="s">
        <v>14</v>
      </c>
      <c r="DL6" s="91" t="s">
        <v>14</v>
      </c>
      <c r="DM6" s="85">
        <v>596</v>
      </c>
      <c r="DN6" s="83" t="s">
        <v>70</v>
      </c>
      <c r="DO6" s="85">
        <v>350</v>
      </c>
      <c r="DP6" s="85">
        <v>350</v>
      </c>
      <c r="DQ6" s="86" t="s">
        <v>216</v>
      </c>
      <c r="DR6" s="85" t="s">
        <v>213</v>
      </c>
      <c r="DS6" s="92" t="s">
        <v>71</v>
      </c>
      <c r="DT6" s="92" t="s">
        <v>88</v>
      </c>
      <c r="DU6" s="92" t="s">
        <v>14</v>
      </c>
      <c r="DV6" s="92" t="s">
        <v>14</v>
      </c>
      <c r="DW6" s="92" t="s">
        <v>14</v>
      </c>
      <c r="DX6" s="92" t="s">
        <v>14</v>
      </c>
      <c r="DY6" s="92" t="s">
        <v>76</v>
      </c>
      <c r="DZ6" s="92" t="s">
        <v>71</v>
      </c>
      <c r="EA6" s="92" t="s">
        <v>14</v>
      </c>
      <c r="EB6" s="93" t="s">
        <v>77</v>
      </c>
      <c r="EC6" s="93" t="s">
        <v>89</v>
      </c>
      <c r="ED6" s="93" t="s">
        <v>90</v>
      </c>
      <c r="EE6" s="18" t="s">
        <v>91</v>
      </c>
      <c r="EF6" s="92" t="s">
        <v>14</v>
      </c>
      <c r="EG6" s="95">
        <v>391</v>
      </c>
      <c r="EH6" s="95">
        <v>283.17034197948198</v>
      </c>
      <c r="EI6" s="95">
        <v>813.1364911841581</v>
      </c>
      <c r="EJ6" s="95">
        <v>212.74710383951407</v>
      </c>
      <c r="EK6" s="96" t="s">
        <v>81</v>
      </c>
      <c r="EL6" s="96" t="s">
        <v>64</v>
      </c>
      <c r="EM6" s="96" t="s">
        <v>229</v>
      </c>
      <c r="EN6" s="95">
        <f t="shared" si="0"/>
        <v>1096.30683316364</v>
      </c>
      <c r="EO6" s="95">
        <f t="shared" si="1"/>
        <v>70.423238139967907</v>
      </c>
      <c r="EP6" s="97" t="s">
        <v>92</v>
      </c>
    </row>
    <row r="7" spans="1:146" ht="19" x14ac:dyDescent="0.25">
      <c r="A7" s="3" t="s">
        <v>9</v>
      </c>
      <c r="B7" s="5" t="s">
        <v>10</v>
      </c>
      <c r="C7" s="2" t="s">
        <v>15</v>
      </c>
      <c r="D7" s="2" t="s">
        <v>11</v>
      </c>
      <c r="E7" s="2">
        <v>2014</v>
      </c>
      <c r="F7" s="2" t="s">
        <v>12</v>
      </c>
      <c r="G7" s="2">
        <v>6800</v>
      </c>
      <c r="H7" s="10">
        <v>700</v>
      </c>
      <c r="I7" s="2">
        <v>1900</v>
      </c>
      <c r="J7" s="6">
        <v>371.50130145429199</v>
      </c>
      <c r="K7" s="6">
        <v>907.68634313105804</v>
      </c>
      <c r="L7" s="6">
        <v>227.93379245891799</v>
      </c>
      <c r="M7" s="2" t="b">
        <v>0</v>
      </c>
      <c r="N7" s="103">
        <v>2</v>
      </c>
      <c r="O7" s="104" t="s">
        <v>231</v>
      </c>
      <c r="P7" s="2" t="b">
        <v>0</v>
      </c>
      <c r="Q7" s="2" t="b">
        <v>1</v>
      </c>
      <c r="R7" s="2" t="s">
        <v>227</v>
      </c>
      <c r="S7" s="2" t="b">
        <v>0</v>
      </c>
      <c r="T7" s="2" t="b">
        <v>0</v>
      </c>
      <c r="U7" s="2" t="s">
        <v>14</v>
      </c>
      <c r="V7" s="2" t="b">
        <v>0</v>
      </c>
      <c r="W7" s="2" t="b">
        <v>1</v>
      </c>
      <c r="X7" s="22" t="s">
        <v>230</v>
      </c>
      <c r="Y7" s="11" t="s">
        <v>57</v>
      </c>
      <c r="Z7" s="74" t="s">
        <v>12</v>
      </c>
      <c r="AA7" s="11" t="s">
        <v>82</v>
      </c>
      <c r="AB7" s="75" t="s">
        <v>59</v>
      </c>
      <c r="AC7" s="76" t="s">
        <v>94</v>
      </c>
      <c r="AD7" s="12" t="s">
        <v>95</v>
      </c>
      <c r="AE7" s="51">
        <v>33.5</v>
      </c>
      <c r="AF7" s="51">
        <v>-101.6</v>
      </c>
      <c r="AG7" s="101" t="s">
        <v>14</v>
      </c>
      <c r="AH7" s="101" t="s">
        <v>14</v>
      </c>
      <c r="AI7" s="52" t="s">
        <v>14</v>
      </c>
      <c r="AJ7" s="13">
        <v>6.8</v>
      </c>
      <c r="AK7" s="51">
        <v>7.5</v>
      </c>
      <c r="AL7" s="51">
        <v>4.9000000000000004</v>
      </c>
      <c r="AM7" s="25" t="s">
        <v>96</v>
      </c>
      <c r="AN7" s="14">
        <v>-6.5079999999999973</v>
      </c>
      <c r="AO7" s="14">
        <v>1.3698175060934865</v>
      </c>
      <c r="AP7" s="80">
        <v>25</v>
      </c>
      <c r="AQ7" s="15" t="s">
        <v>86</v>
      </c>
      <c r="AR7" s="79">
        <v>-23.75</v>
      </c>
      <c r="AS7" s="79">
        <v>2</v>
      </c>
      <c r="AT7" s="49" t="s">
        <v>14</v>
      </c>
      <c r="AU7" s="49" t="s">
        <v>14</v>
      </c>
      <c r="AV7" s="49" t="s">
        <v>14</v>
      </c>
      <c r="AW7" s="49" t="s">
        <v>14</v>
      </c>
      <c r="AX7" s="15" t="s">
        <v>86</v>
      </c>
      <c r="AY7" s="49" t="s">
        <v>14</v>
      </c>
      <c r="AZ7" s="49" t="s">
        <v>14</v>
      </c>
      <c r="BA7" s="49" t="s">
        <v>14</v>
      </c>
      <c r="BB7" s="50" t="s">
        <v>14</v>
      </c>
      <c r="BC7" s="50" t="s">
        <v>14</v>
      </c>
      <c r="BD7" s="50" t="s">
        <v>14</v>
      </c>
      <c r="BE7" s="50" t="s">
        <v>14</v>
      </c>
      <c r="BF7" s="50" t="s">
        <v>14</v>
      </c>
      <c r="BG7" s="49" t="s">
        <v>14</v>
      </c>
      <c r="BH7" s="49" t="s">
        <v>14</v>
      </c>
      <c r="BI7" s="49" t="s">
        <v>14</v>
      </c>
      <c r="BJ7" s="50" t="s">
        <v>14</v>
      </c>
      <c r="BK7" s="49" t="s">
        <v>14</v>
      </c>
      <c r="BL7" s="49" t="s">
        <v>14</v>
      </c>
      <c r="BM7" s="49" t="s">
        <v>14</v>
      </c>
      <c r="BN7" s="49" t="s">
        <v>14</v>
      </c>
      <c r="BO7" s="49" t="s">
        <v>14</v>
      </c>
      <c r="BP7" s="49" t="s">
        <v>14</v>
      </c>
      <c r="BQ7" s="49" t="s">
        <v>14</v>
      </c>
      <c r="BR7" s="49" t="s">
        <v>14</v>
      </c>
      <c r="BS7" s="49" t="s">
        <v>14</v>
      </c>
      <c r="BT7" s="49" t="s">
        <v>14</v>
      </c>
      <c r="BU7" s="49" t="s">
        <v>14</v>
      </c>
      <c r="BV7" s="49" t="s">
        <v>14</v>
      </c>
      <c r="BW7" s="49" t="s">
        <v>14</v>
      </c>
      <c r="BX7" s="49" t="s">
        <v>14</v>
      </c>
      <c r="BY7" s="49" t="s">
        <v>14</v>
      </c>
      <c r="BZ7" s="49" t="s">
        <v>14</v>
      </c>
      <c r="CA7" s="49" t="s">
        <v>14</v>
      </c>
      <c r="CB7" s="49" t="s">
        <v>14</v>
      </c>
      <c r="CC7" s="49" t="s">
        <v>14</v>
      </c>
      <c r="CD7" s="49" t="s">
        <v>14</v>
      </c>
      <c r="CE7" s="49" t="s">
        <v>14</v>
      </c>
      <c r="CF7" s="49" t="s">
        <v>14</v>
      </c>
      <c r="CG7" s="49" t="s">
        <v>14</v>
      </c>
      <c r="CH7" s="49" t="s">
        <v>14</v>
      </c>
      <c r="CI7" s="49" t="s">
        <v>14</v>
      </c>
      <c r="CJ7" s="16">
        <v>-24.75</v>
      </c>
      <c r="CK7" s="83" t="s">
        <v>63</v>
      </c>
      <c r="CL7" s="17" t="s">
        <v>64</v>
      </c>
      <c r="CM7" s="85" t="s">
        <v>210</v>
      </c>
      <c r="CN7" s="86" t="s">
        <v>211</v>
      </c>
      <c r="CO7" s="85" t="s">
        <v>14</v>
      </c>
      <c r="CP7" s="16">
        <v>-6.1924999999999999</v>
      </c>
      <c r="CQ7" s="83" t="s">
        <v>65</v>
      </c>
      <c r="CR7" s="17" t="s">
        <v>66</v>
      </c>
      <c r="CS7" s="87">
        <v>0.25</v>
      </c>
      <c r="CT7" s="88" t="s">
        <v>212</v>
      </c>
      <c r="CU7" s="82" t="s">
        <v>213</v>
      </c>
      <c r="CV7" s="89">
        <v>28.094000000000001</v>
      </c>
      <c r="CW7" s="83" t="s">
        <v>87</v>
      </c>
      <c r="CX7" s="85">
        <v>5</v>
      </c>
      <c r="CY7" s="85" t="s">
        <v>218</v>
      </c>
      <c r="CZ7" s="85" t="s">
        <v>218</v>
      </c>
      <c r="DA7" s="90" t="s">
        <v>14</v>
      </c>
      <c r="DB7" s="84" t="s">
        <v>68</v>
      </c>
      <c r="DC7" s="16">
        <v>-14.9876951291875</v>
      </c>
      <c r="DD7" s="85" t="s">
        <v>14</v>
      </c>
      <c r="DE7" s="85" t="s">
        <v>69</v>
      </c>
      <c r="DF7" s="85" t="s">
        <v>14</v>
      </c>
      <c r="DG7" s="85" t="s">
        <v>14</v>
      </c>
      <c r="DH7" s="85" t="s">
        <v>14</v>
      </c>
      <c r="DI7" s="85" t="s">
        <v>14</v>
      </c>
      <c r="DJ7" s="85" t="s">
        <v>14</v>
      </c>
      <c r="DK7" s="85" t="s">
        <v>14</v>
      </c>
      <c r="DL7" s="91" t="s">
        <v>14</v>
      </c>
      <c r="DM7" s="85">
        <v>596</v>
      </c>
      <c r="DN7" s="83" t="s">
        <v>70</v>
      </c>
      <c r="DO7" s="85">
        <v>350</v>
      </c>
      <c r="DP7" s="85">
        <v>350</v>
      </c>
      <c r="DQ7" s="86" t="s">
        <v>216</v>
      </c>
      <c r="DR7" s="85" t="s">
        <v>213</v>
      </c>
      <c r="DS7" s="92" t="s">
        <v>71</v>
      </c>
      <c r="DT7" s="92" t="s">
        <v>88</v>
      </c>
      <c r="DU7" s="92" t="s">
        <v>14</v>
      </c>
      <c r="DV7" s="92" t="s">
        <v>14</v>
      </c>
      <c r="DW7" s="92" t="s">
        <v>14</v>
      </c>
      <c r="DX7" s="92" t="s">
        <v>14</v>
      </c>
      <c r="DY7" s="92" t="s">
        <v>76</v>
      </c>
      <c r="DZ7" s="92" t="s">
        <v>71</v>
      </c>
      <c r="EA7" s="92" t="s">
        <v>14</v>
      </c>
      <c r="EB7" s="93" t="s">
        <v>77</v>
      </c>
      <c r="EC7" s="93" t="s">
        <v>89</v>
      </c>
      <c r="ED7" s="93" t="s">
        <v>90</v>
      </c>
      <c r="EE7" s="18" t="s">
        <v>91</v>
      </c>
      <c r="EF7" s="92" t="s">
        <v>14</v>
      </c>
      <c r="EG7" s="95">
        <v>523</v>
      </c>
      <c r="EH7" s="95">
        <v>371.50130145429199</v>
      </c>
      <c r="EI7" s="95">
        <v>907.68634313105804</v>
      </c>
      <c r="EJ7" s="95">
        <v>227.93379245891799</v>
      </c>
      <c r="EK7" s="96" t="s">
        <v>81</v>
      </c>
      <c r="EL7" s="96" t="s">
        <v>64</v>
      </c>
      <c r="EM7" s="96" t="s">
        <v>229</v>
      </c>
      <c r="EN7" s="95">
        <f t="shared" si="0"/>
        <v>1279.18764458535</v>
      </c>
      <c r="EO7" s="95">
        <f t="shared" si="1"/>
        <v>143.567508995374</v>
      </c>
      <c r="EP7" s="97" t="s">
        <v>92</v>
      </c>
    </row>
    <row r="8" spans="1:146" ht="19" x14ac:dyDescent="0.25">
      <c r="A8" s="3" t="s">
        <v>9</v>
      </c>
      <c r="B8" s="5" t="s">
        <v>10</v>
      </c>
      <c r="C8" s="2" t="s">
        <v>15</v>
      </c>
      <c r="D8" s="2" t="s">
        <v>11</v>
      </c>
      <c r="E8" s="2">
        <v>2014</v>
      </c>
      <c r="F8" s="2" t="s">
        <v>12</v>
      </c>
      <c r="G8" s="2">
        <v>8750</v>
      </c>
      <c r="H8" s="10">
        <v>250</v>
      </c>
      <c r="I8" s="2">
        <v>2150</v>
      </c>
      <c r="J8" s="6">
        <v>273.78774511348502</v>
      </c>
      <c r="K8" s="6">
        <v>662.53727830614696</v>
      </c>
      <c r="L8" s="6">
        <v>165.05296209421101</v>
      </c>
      <c r="M8" s="2" t="b">
        <v>0</v>
      </c>
      <c r="N8" s="103">
        <v>2</v>
      </c>
      <c r="O8" s="104" t="s">
        <v>231</v>
      </c>
      <c r="P8" s="2" t="b">
        <v>0</v>
      </c>
      <c r="Q8" s="2" t="b">
        <v>1</v>
      </c>
      <c r="R8" s="2" t="s">
        <v>227</v>
      </c>
      <c r="S8" s="2" t="b">
        <v>0</v>
      </c>
      <c r="T8" s="2" t="b">
        <v>0</v>
      </c>
      <c r="U8" s="2" t="s">
        <v>14</v>
      </c>
      <c r="V8" s="2" t="b">
        <v>0</v>
      </c>
      <c r="W8" s="2" t="b">
        <v>1</v>
      </c>
      <c r="X8" s="22" t="s">
        <v>230</v>
      </c>
      <c r="Y8" s="11" t="s">
        <v>57</v>
      </c>
      <c r="Z8" s="74" t="s">
        <v>12</v>
      </c>
      <c r="AA8" s="11" t="s">
        <v>82</v>
      </c>
      <c r="AB8" s="75" t="s">
        <v>59</v>
      </c>
      <c r="AC8" s="76" t="s">
        <v>97</v>
      </c>
      <c r="AD8" s="12" t="s">
        <v>84</v>
      </c>
      <c r="AE8" s="51">
        <v>36.1</v>
      </c>
      <c r="AF8" s="51">
        <v>-100</v>
      </c>
      <c r="AG8" s="101" t="s">
        <v>14</v>
      </c>
      <c r="AH8" s="101" t="s">
        <v>14</v>
      </c>
      <c r="AI8" s="52" t="s">
        <v>14</v>
      </c>
      <c r="AJ8" s="13">
        <v>8.75</v>
      </c>
      <c r="AK8" s="51">
        <v>9</v>
      </c>
      <c r="AL8" s="51">
        <v>6.6</v>
      </c>
      <c r="AM8" s="99" t="s">
        <v>98</v>
      </c>
      <c r="AN8" s="14">
        <v>-7.1</v>
      </c>
      <c r="AO8" s="14">
        <v>0</v>
      </c>
      <c r="AP8" s="80">
        <v>10</v>
      </c>
      <c r="AQ8" s="15" t="s">
        <v>86</v>
      </c>
      <c r="AR8" s="79">
        <v>-23.4</v>
      </c>
      <c r="AS8" s="79">
        <v>2</v>
      </c>
      <c r="AT8" s="49" t="s">
        <v>14</v>
      </c>
      <c r="AU8" s="49" t="s">
        <v>14</v>
      </c>
      <c r="AV8" s="49" t="s">
        <v>14</v>
      </c>
      <c r="AW8" s="49" t="s">
        <v>14</v>
      </c>
      <c r="AX8" s="15" t="s">
        <v>86</v>
      </c>
      <c r="AY8" s="49" t="s">
        <v>14</v>
      </c>
      <c r="AZ8" s="49" t="s">
        <v>14</v>
      </c>
      <c r="BA8" s="49" t="s">
        <v>14</v>
      </c>
      <c r="BB8" s="50" t="s">
        <v>14</v>
      </c>
      <c r="BC8" s="50" t="s">
        <v>14</v>
      </c>
      <c r="BD8" s="50" t="s">
        <v>14</v>
      </c>
      <c r="BE8" s="50" t="s">
        <v>14</v>
      </c>
      <c r="BF8" s="50" t="s">
        <v>14</v>
      </c>
      <c r="BG8" s="49" t="s">
        <v>14</v>
      </c>
      <c r="BH8" s="49" t="s">
        <v>14</v>
      </c>
      <c r="BI8" s="49" t="s">
        <v>14</v>
      </c>
      <c r="BJ8" s="50" t="s">
        <v>14</v>
      </c>
      <c r="BK8" s="49" t="s">
        <v>14</v>
      </c>
      <c r="BL8" s="49" t="s">
        <v>14</v>
      </c>
      <c r="BM8" s="49" t="s">
        <v>14</v>
      </c>
      <c r="BN8" s="49" t="s">
        <v>14</v>
      </c>
      <c r="BO8" s="49" t="s">
        <v>14</v>
      </c>
      <c r="BP8" s="49" t="s">
        <v>14</v>
      </c>
      <c r="BQ8" s="49" t="s">
        <v>14</v>
      </c>
      <c r="BR8" s="49" t="s">
        <v>14</v>
      </c>
      <c r="BS8" s="49" t="s">
        <v>14</v>
      </c>
      <c r="BT8" s="49" t="s">
        <v>14</v>
      </c>
      <c r="BU8" s="49" t="s">
        <v>14</v>
      </c>
      <c r="BV8" s="49" t="s">
        <v>14</v>
      </c>
      <c r="BW8" s="49" t="s">
        <v>14</v>
      </c>
      <c r="BX8" s="49" t="s">
        <v>14</v>
      </c>
      <c r="BY8" s="49" t="s">
        <v>14</v>
      </c>
      <c r="BZ8" s="49" t="s">
        <v>14</v>
      </c>
      <c r="CA8" s="49" t="s">
        <v>14</v>
      </c>
      <c r="CB8" s="49" t="s">
        <v>14</v>
      </c>
      <c r="CC8" s="49" t="s">
        <v>14</v>
      </c>
      <c r="CD8" s="49" t="s">
        <v>14</v>
      </c>
      <c r="CE8" s="49" t="s">
        <v>14</v>
      </c>
      <c r="CF8" s="49" t="s">
        <v>14</v>
      </c>
      <c r="CG8" s="49" t="s">
        <v>14</v>
      </c>
      <c r="CH8" s="49" t="s">
        <v>14</v>
      </c>
      <c r="CI8" s="49" t="s">
        <v>14</v>
      </c>
      <c r="CJ8" s="16">
        <v>-24.4</v>
      </c>
      <c r="CK8" s="83" t="s">
        <v>63</v>
      </c>
      <c r="CL8" s="17" t="s">
        <v>64</v>
      </c>
      <c r="CM8" s="85" t="s">
        <v>210</v>
      </c>
      <c r="CN8" s="86" t="s">
        <v>211</v>
      </c>
      <c r="CO8" s="85" t="s">
        <v>14</v>
      </c>
      <c r="CP8" s="16">
        <v>-5.7725</v>
      </c>
      <c r="CQ8" s="83" t="s">
        <v>65</v>
      </c>
      <c r="CR8" s="17" t="s">
        <v>66</v>
      </c>
      <c r="CS8" s="87">
        <v>0.28000000000000003</v>
      </c>
      <c r="CT8" s="88" t="s">
        <v>212</v>
      </c>
      <c r="CU8" s="82" t="s">
        <v>213</v>
      </c>
      <c r="CV8" s="89">
        <v>28.094000000000001</v>
      </c>
      <c r="CW8" s="83" t="s">
        <v>87</v>
      </c>
      <c r="CX8" s="85">
        <v>5</v>
      </c>
      <c r="CY8" s="85" t="s">
        <v>218</v>
      </c>
      <c r="CZ8" s="85" t="s">
        <v>218</v>
      </c>
      <c r="DA8" s="90" t="s">
        <v>14</v>
      </c>
      <c r="DB8" s="84" t="s">
        <v>68</v>
      </c>
      <c r="DC8" s="16">
        <v>-15.574642265635021</v>
      </c>
      <c r="DD8" s="85" t="s">
        <v>14</v>
      </c>
      <c r="DE8" s="85" t="s">
        <v>69</v>
      </c>
      <c r="DF8" s="85" t="s">
        <v>14</v>
      </c>
      <c r="DG8" s="85" t="s">
        <v>14</v>
      </c>
      <c r="DH8" s="85" t="s">
        <v>14</v>
      </c>
      <c r="DI8" s="85" t="s">
        <v>14</v>
      </c>
      <c r="DJ8" s="85" t="s">
        <v>14</v>
      </c>
      <c r="DK8" s="85" t="s">
        <v>14</v>
      </c>
      <c r="DL8" s="91" t="s">
        <v>14</v>
      </c>
      <c r="DM8" s="85">
        <v>596</v>
      </c>
      <c r="DN8" s="83" t="s">
        <v>70</v>
      </c>
      <c r="DO8" s="85">
        <v>350</v>
      </c>
      <c r="DP8" s="85">
        <v>350</v>
      </c>
      <c r="DQ8" s="86" t="s">
        <v>216</v>
      </c>
      <c r="DR8" s="85" t="s">
        <v>213</v>
      </c>
      <c r="DS8" s="92" t="s">
        <v>71</v>
      </c>
      <c r="DT8" s="92" t="s">
        <v>88</v>
      </c>
      <c r="DU8" s="92" t="s">
        <v>14</v>
      </c>
      <c r="DV8" s="92" t="s">
        <v>14</v>
      </c>
      <c r="DW8" s="92" t="s">
        <v>14</v>
      </c>
      <c r="DX8" s="92" t="s">
        <v>14</v>
      </c>
      <c r="DY8" s="92" t="s">
        <v>76</v>
      </c>
      <c r="DZ8" s="92" t="s">
        <v>71</v>
      </c>
      <c r="EA8" s="92" t="s">
        <v>14</v>
      </c>
      <c r="EB8" s="93" t="s">
        <v>77</v>
      </c>
      <c r="EC8" s="93" t="s">
        <v>89</v>
      </c>
      <c r="ED8" s="93" t="s">
        <v>90</v>
      </c>
      <c r="EE8" s="18" t="s">
        <v>91</v>
      </c>
      <c r="EF8" s="92" t="s">
        <v>14</v>
      </c>
      <c r="EG8" s="95">
        <v>387</v>
      </c>
      <c r="EH8" s="95">
        <v>273.78774511348502</v>
      </c>
      <c r="EI8" s="95">
        <v>662.53727830614696</v>
      </c>
      <c r="EJ8" s="95">
        <v>165.05296209421101</v>
      </c>
      <c r="EK8" s="96" t="s">
        <v>81</v>
      </c>
      <c r="EL8" s="96" t="s">
        <v>64</v>
      </c>
      <c r="EM8" s="96" t="s">
        <v>229</v>
      </c>
      <c r="EN8" s="95">
        <f t="shared" si="0"/>
        <v>936.32502341963198</v>
      </c>
      <c r="EO8" s="95">
        <f t="shared" si="1"/>
        <v>108.734783019274</v>
      </c>
      <c r="EP8" s="97" t="s">
        <v>92</v>
      </c>
    </row>
    <row r="9" spans="1:146" ht="19" x14ac:dyDescent="0.25">
      <c r="A9" s="3" t="s">
        <v>9</v>
      </c>
      <c r="B9" s="5" t="s">
        <v>10</v>
      </c>
      <c r="C9" s="2" t="s">
        <v>15</v>
      </c>
      <c r="D9" s="2" t="s">
        <v>11</v>
      </c>
      <c r="E9" s="2">
        <v>2014</v>
      </c>
      <c r="F9" s="2" t="s">
        <v>12</v>
      </c>
      <c r="G9" s="2">
        <v>7050</v>
      </c>
      <c r="H9" s="10">
        <v>450</v>
      </c>
      <c r="I9" s="2">
        <v>450</v>
      </c>
      <c r="J9" s="6">
        <v>197.14878517745501</v>
      </c>
      <c r="K9" s="6">
        <v>771.53682907429402</v>
      </c>
      <c r="L9" s="6">
        <v>166.62314766287682</v>
      </c>
      <c r="M9" s="2" t="b">
        <v>0</v>
      </c>
      <c r="N9" s="103">
        <v>2</v>
      </c>
      <c r="O9" s="104" t="s">
        <v>231</v>
      </c>
      <c r="P9" s="2" t="b">
        <v>0</v>
      </c>
      <c r="Q9" s="2" t="b">
        <v>1</v>
      </c>
      <c r="R9" s="2" t="s">
        <v>227</v>
      </c>
      <c r="S9" s="2" t="b">
        <v>0</v>
      </c>
      <c r="T9" s="2" t="b">
        <v>0</v>
      </c>
      <c r="U9" s="2" t="s">
        <v>14</v>
      </c>
      <c r="V9" s="2" t="b">
        <v>0</v>
      </c>
      <c r="W9" s="2" t="b">
        <v>1</v>
      </c>
      <c r="X9" s="22" t="s">
        <v>228</v>
      </c>
      <c r="Y9" s="11" t="s">
        <v>57</v>
      </c>
      <c r="Z9" s="74" t="s">
        <v>12</v>
      </c>
      <c r="AA9" s="11" t="s">
        <v>82</v>
      </c>
      <c r="AB9" s="75" t="s">
        <v>59</v>
      </c>
      <c r="AC9" s="76" t="s">
        <v>99</v>
      </c>
      <c r="AD9" s="12" t="s">
        <v>100</v>
      </c>
      <c r="AE9" s="51">
        <v>41.5</v>
      </c>
      <c r="AF9" s="51">
        <v>-103.1</v>
      </c>
      <c r="AG9" s="101" t="s">
        <v>14</v>
      </c>
      <c r="AH9" s="101" t="s">
        <v>14</v>
      </c>
      <c r="AI9" s="52" t="s">
        <v>14</v>
      </c>
      <c r="AJ9" s="13">
        <v>9.1</v>
      </c>
      <c r="AK9" s="51">
        <v>9.5499999999999989</v>
      </c>
      <c r="AL9" s="51">
        <v>8.65</v>
      </c>
      <c r="AM9" s="19" t="s">
        <v>101</v>
      </c>
      <c r="AN9" s="14">
        <v>-6.7947368421052632</v>
      </c>
      <c r="AO9" s="14">
        <v>0.90547393167096313</v>
      </c>
      <c r="AP9" s="80">
        <v>19</v>
      </c>
      <c r="AQ9" s="15" t="s">
        <v>86</v>
      </c>
      <c r="AR9" s="79">
        <v>-23.5</v>
      </c>
      <c r="AS9" s="79">
        <v>2</v>
      </c>
      <c r="AT9" s="49" t="s">
        <v>14</v>
      </c>
      <c r="AU9" s="49" t="s">
        <v>14</v>
      </c>
      <c r="AV9" s="49" t="s">
        <v>14</v>
      </c>
      <c r="AW9" s="49" t="s">
        <v>14</v>
      </c>
      <c r="AX9" s="15" t="s">
        <v>86</v>
      </c>
      <c r="AY9" s="49" t="s">
        <v>14</v>
      </c>
      <c r="AZ9" s="49" t="s">
        <v>14</v>
      </c>
      <c r="BA9" s="49" t="s">
        <v>14</v>
      </c>
      <c r="BB9" s="50" t="s">
        <v>14</v>
      </c>
      <c r="BC9" s="50" t="s">
        <v>14</v>
      </c>
      <c r="BD9" s="50" t="s">
        <v>14</v>
      </c>
      <c r="BE9" s="50" t="s">
        <v>14</v>
      </c>
      <c r="BF9" s="50" t="s">
        <v>14</v>
      </c>
      <c r="BG9" s="49" t="s">
        <v>14</v>
      </c>
      <c r="BH9" s="49" t="s">
        <v>14</v>
      </c>
      <c r="BI9" s="49" t="s">
        <v>14</v>
      </c>
      <c r="BJ9" s="50" t="s">
        <v>14</v>
      </c>
      <c r="BK9" s="49" t="s">
        <v>14</v>
      </c>
      <c r="BL9" s="49" t="s">
        <v>14</v>
      </c>
      <c r="BM9" s="49" t="s">
        <v>14</v>
      </c>
      <c r="BN9" s="49" t="s">
        <v>14</v>
      </c>
      <c r="BO9" s="49" t="s">
        <v>14</v>
      </c>
      <c r="BP9" s="49" t="s">
        <v>14</v>
      </c>
      <c r="BQ9" s="49" t="s">
        <v>14</v>
      </c>
      <c r="BR9" s="49" t="s">
        <v>14</v>
      </c>
      <c r="BS9" s="49" t="s">
        <v>14</v>
      </c>
      <c r="BT9" s="49" t="s">
        <v>14</v>
      </c>
      <c r="BU9" s="49" t="s">
        <v>14</v>
      </c>
      <c r="BV9" s="49" t="s">
        <v>14</v>
      </c>
      <c r="BW9" s="49" t="s">
        <v>14</v>
      </c>
      <c r="BX9" s="49" t="s">
        <v>14</v>
      </c>
      <c r="BY9" s="49" t="s">
        <v>14</v>
      </c>
      <c r="BZ9" s="49" t="s">
        <v>14</v>
      </c>
      <c r="CA9" s="49" t="s">
        <v>14</v>
      </c>
      <c r="CB9" s="49" t="s">
        <v>14</v>
      </c>
      <c r="CC9" s="49" t="s">
        <v>14</v>
      </c>
      <c r="CD9" s="49" t="s">
        <v>14</v>
      </c>
      <c r="CE9" s="49" t="s">
        <v>14</v>
      </c>
      <c r="CF9" s="49" t="s">
        <v>14</v>
      </c>
      <c r="CG9" s="49" t="s">
        <v>14</v>
      </c>
      <c r="CH9" s="49" t="s">
        <v>14</v>
      </c>
      <c r="CI9" s="49" t="s">
        <v>14</v>
      </c>
      <c r="CJ9" s="16">
        <v>-24.5</v>
      </c>
      <c r="CK9" s="83" t="s">
        <v>63</v>
      </c>
      <c r="CL9" s="17" t="s">
        <v>64</v>
      </c>
      <c r="CM9" s="85" t="s">
        <v>210</v>
      </c>
      <c r="CN9" s="86" t="s">
        <v>211</v>
      </c>
      <c r="CO9" s="85" t="s">
        <v>14</v>
      </c>
      <c r="CP9" s="16">
        <v>-5.79</v>
      </c>
      <c r="CQ9" s="83" t="s">
        <v>65</v>
      </c>
      <c r="CR9" s="17" t="s">
        <v>66</v>
      </c>
      <c r="CS9" s="87">
        <v>0.13</v>
      </c>
      <c r="CT9" s="88" t="s">
        <v>212</v>
      </c>
      <c r="CU9" s="82" t="s">
        <v>213</v>
      </c>
      <c r="CV9" s="89">
        <v>23.033999999999999</v>
      </c>
      <c r="CW9" s="83" t="s">
        <v>87</v>
      </c>
      <c r="CX9" s="85">
        <v>5</v>
      </c>
      <c r="CY9" s="85" t="s">
        <v>218</v>
      </c>
      <c r="CZ9" s="85" t="s">
        <v>218</v>
      </c>
      <c r="DA9" s="90" t="s">
        <v>14</v>
      </c>
      <c r="DB9" s="84" t="s">
        <v>68</v>
      </c>
      <c r="DC9" s="16">
        <v>-15.864451327824099</v>
      </c>
      <c r="DD9" s="85" t="s">
        <v>14</v>
      </c>
      <c r="DE9" s="85" t="s">
        <v>69</v>
      </c>
      <c r="DF9" s="85" t="s">
        <v>14</v>
      </c>
      <c r="DG9" s="85" t="s">
        <v>14</v>
      </c>
      <c r="DH9" s="85" t="s">
        <v>14</v>
      </c>
      <c r="DI9" s="85" t="s">
        <v>14</v>
      </c>
      <c r="DJ9" s="85" t="s">
        <v>14</v>
      </c>
      <c r="DK9" s="85" t="s">
        <v>14</v>
      </c>
      <c r="DL9" s="91" t="s">
        <v>14</v>
      </c>
      <c r="DM9" s="85">
        <v>440</v>
      </c>
      <c r="DN9" s="83" t="s">
        <v>70</v>
      </c>
      <c r="DO9" s="85">
        <v>512</v>
      </c>
      <c r="DP9" s="85">
        <v>512</v>
      </c>
      <c r="DQ9" s="86" t="s">
        <v>216</v>
      </c>
      <c r="DR9" s="85" t="s">
        <v>213</v>
      </c>
      <c r="DS9" s="92" t="s">
        <v>71</v>
      </c>
      <c r="DT9" s="92" t="s">
        <v>72</v>
      </c>
      <c r="DU9" s="92" t="s">
        <v>14</v>
      </c>
      <c r="DV9" s="92" t="s">
        <v>14</v>
      </c>
      <c r="DW9" s="92" t="s">
        <v>14</v>
      </c>
      <c r="DX9" s="92" t="s">
        <v>14</v>
      </c>
      <c r="DY9" s="92" t="s">
        <v>76</v>
      </c>
      <c r="DZ9" s="92" t="s">
        <v>71</v>
      </c>
      <c r="EA9" s="92" t="s">
        <v>14</v>
      </c>
      <c r="EB9" s="93" t="s">
        <v>77</v>
      </c>
      <c r="EC9" s="93" t="s">
        <v>89</v>
      </c>
      <c r="ED9" s="93" t="s">
        <v>79</v>
      </c>
      <c r="EE9" s="18" t="s">
        <v>91</v>
      </c>
      <c r="EF9" s="92" t="s">
        <v>14</v>
      </c>
      <c r="EG9" s="95">
        <v>283</v>
      </c>
      <c r="EH9" s="95">
        <v>197.14878517745501</v>
      </c>
      <c r="EI9" s="95">
        <v>771.53682907429402</v>
      </c>
      <c r="EJ9" s="95">
        <v>166.62314766287682</v>
      </c>
      <c r="EK9" s="96" t="s">
        <v>81</v>
      </c>
      <c r="EL9" s="96" t="s">
        <v>64</v>
      </c>
      <c r="EM9" s="96" t="s">
        <v>229</v>
      </c>
      <c r="EN9" s="95">
        <f t="shared" si="0"/>
        <v>968.68561425174903</v>
      </c>
      <c r="EO9" s="95">
        <f t="shared" si="1"/>
        <v>30.525637514578193</v>
      </c>
      <c r="EP9" s="97" t="s">
        <v>92</v>
      </c>
    </row>
    <row r="10" spans="1:146" ht="19" x14ac:dyDescent="0.25">
      <c r="A10" s="3" t="s">
        <v>9</v>
      </c>
      <c r="B10" s="5" t="s">
        <v>10</v>
      </c>
      <c r="C10" s="2" t="s">
        <v>15</v>
      </c>
      <c r="D10" s="2" t="s">
        <v>11</v>
      </c>
      <c r="E10" s="2">
        <v>2014</v>
      </c>
      <c r="F10" s="2" t="s">
        <v>12</v>
      </c>
      <c r="G10" s="2">
        <v>12700</v>
      </c>
      <c r="H10" s="10">
        <v>900</v>
      </c>
      <c r="I10" s="2">
        <v>840</v>
      </c>
      <c r="J10" s="6">
        <v>267.14736569538798</v>
      </c>
      <c r="K10" s="6">
        <v>985.94818351804213</v>
      </c>
      <c r="L10" s="6">
        <v>226.88163559336016</v>
      </c>
      <c r="M10" s="2" t="b">
        <v>0</v>
      </c>
      <c r="N10" s="103">
        <v>2</v>
      </c>
      <c r="O10" s="104" t="s">
        <v>231</v>
      </c>
      <c r="P10" s="2" t="b">
        <v>0</v>
      </c>
      <c r="Q10" s="2" t="b">
        <v>1</v>
      </c>
      <c r="R10" s="2" t="s">
        <v>227</v>
      </c>
      <c r="S10" s="2" t="b">
        <v>0</v>
      </c>
      <c r="T10" s="2" t="b">
        <v>0</v>
      </c>
      <c r="U10" s="2" t="s">
        <v>14</v>
      </c>
      <c r="V10" s="2" t="b">
        <v>0</v>
      </c>
      <c r="W10" s="2" t="b">
        <v>1</v>
      </c>
      <c r="X10" s="22" t="s">
        <v>230</v>
      </c>
      <c r="Y10" s="11" t="s">
        <v>57</v>
      </c>
      <c r="Z10" s="74" t="s">
        <v>12</v>
      </c>
      <c r="AA10" s="11" t="s">
        <v>82</v>
      </c>
      <c r="AB10" s="75" t="s">
        <v>59</v>
      </c>
      <c r="AC10" s="76" t="s">
        <v>102</v>
      </c>
      <c r="AD10" s="12" t="s">
        <v>100</v>
      </c>
      <c r="AE10" s="51">
        <v>42.4</v>
      </c>
      <c r="AF10" s="51">
        <v>-98.2</v>
      </c>
      <c r="AG10" s="101" t="s">
        <v>14</v>
      </c>
      <c r="AH10" s="101" t="s">
        <v>14</v>
      </c>
      <c r="AI10" s="52" t="s">
        <v>14</v>
      </c>
      <c r="AJ10" s="13">
        <v>12.7</v>
      </c>
      <c r="AK10" s="51">
        <v>13.6</v>
      </c>
      <c r="AL10" s="51">
        <v>11.86</v>
      </c>
      <c r="AM10" s="19" t="s">
        <v>103</v>
      </c>
      <c r="AN10" s="14">
        <v>-7</v>
      </c>
      <c r="AO10" s="14">
        <v>0.56568542494923857</v>
      </c>
      <c r="AP10" s="80">
        <v>2</v>
      </c>
      <c r="AQ10" s="15" t="s">
        <v>86</v>
      </c>
      <c r="AR10" s="79">
        <v>-25.1</v>
      </c>
      <c r="AS10" s="79">
        <v>2</v>
      </c>
      <c r="AT10" s="49" t="s">
        <v>14</v>
      </c>
      <c r="AU10" s="49" t="s">
        <v>14</v>
      </c>
      <c r="AV10" s="49" t="s">
        <v>14</v>
      </c>
      <c r="AW10" s="49" t="s">
        <v>14</v>
      </c>
      <c r="AX10" s="15" t="s">
        <v>86</v>
      </c>
      <c r="AY10" s="49" t="s">
        <v>14</v>
      </c>
      <c r="AZ10" s="49" t="s">
        <v>14</v>
      </c>
      <c r="BA10" s="49" t="s">
        <v>14</v>
      </c>
      <c r="BB10" s="50" t="s">
        <v>14</v>
      </c>
      <c r="BC10" s="50" t="s">
        <v>14</v>
      </c>
      <c r="BD10" s="50" t="s">
        <v>14</v>
      </c>
      <c r="BE10" s="50" t="s">
        <v>14</v>
      </c>
      <c r="BF10" s="50" t="s">
        <v>14</v>
      </c>
      <c r="BG10" s="49" t="s">
        <v>14</v>
      </c>
      <c r="BH10" s="49" t="s">
        <v>14</v>
      </c>
      <c r="BI10" s="49" t="s">
        <v>14</v>
      </c>
      <c r="BJ10" s="50" t="s">
        <v>14</v>
      </c>
      <c r="BK10" s="49" t="s">
        <v>14</v>
      </c>
      <c r="BL10" s="49" t="s">
        <v>14</v>
      </c>
      <c r="BM10" s="49" t="s">
        <v>14</v>
      </c>
      <c r="BN10" s="49" t="s">
        <v>14</v>
      </c>
      <c r="BO10" s="49" t="s">
        <v>14</v>
      </c>
      <c r="BP10" s="49" t="s">
        <v>14</v>
      </c>
      <c r="BQ10" s="49" t="s">
        <v>14</v>
      </c>
      <c r="BR10" s="49" t="s">
        <v>14</v>
      </c>
      <c r="BS10" s="49" t="s">
        <v>14</v>
      </c>
      <c r="BT10" s="49" t="s">
        <v>14</v>
      </c>
      <c r="BU10" s="49" t="s">
        <v>14</v>
      </c>
      <c r="BV10" s="49" t="s">
        <v>14</v>
      </c>
      <c r="BW10" s="49" t="s">
        <v>14</v>
      </c>
      <c r="BX10" s="49" t="s">
        <v>14</v>
      </c>
      <c r="BY10" s="49" t="s">
        <v>14</v>
      </c>
      <c r="BZ10" s="49" t="s">
        <v>14</v>
      </c>
      <c r="CA10" s="49" t="s">
        <v>14</v>
      </c>
      <c r="CB10" s="49" t="s">
        <v>14</v>
      </c>
      <c r="CC10" s="49" t="s">
        <v>14</v>
      </c>
      <c r="CD10" s="49" t="s">
        <v>14</v>
      </c>
      <c r="CE10" s="49" t="s">
        <v>14</v>
      </c>
      <c r="CF10" s="49" t="s">
        <v>14</v>
      </c>
      <c r="CG10" s="49" t="s">
        <v>14</v>
      </c>
      <c r="CH10" s="49" t="s">
        <v>14</v>
      </c>
      <c r="CI10" s="49" t="s">
        <v>14</v>
      </c>
      <c r="CJ10" s="16">
        <v>-26.1</v>
      </c>
      <c r="CK10" s="83" t="s">
        <v>63</v>
      </c>
      <c r="CL10" s="17" t="s">
        <v>64</v>
      </c>
      <c r="CM10" s="85" t="s">
        <v>210</v>
      </c>
      <c r="CN10" s="86" t="s">
        <v>211</v>
      </c>
      <c r="CO10" s="85" t="s">
        <v>14</v>
      </c>
      <c r="CP10" s="16">
        <v>-6.0724999999999998</v>
      </c>
      <c r="CQ10" s="83" t="s">
        <v>65</v>
      </c>
      <c r="CR10" s="17" t="s">
        <v>66</v>
      </c>
      <c r="CS10" s="87" t="s">
        <v>220</v>
      </c>
      <c r="CT10" s="88" t="s">
        <v>212</v>
      </c>
      <c r="CU10" s="82" t="s">
        <v>213</v>
      </c>
      <c r="CV10" s="89">
        <v>23.033999999999999</v>
      </c>
      <c r="CW10" s="83" t="s">
        <v>87</v>
      </c>
      <c r="CX10" s="85">
        <v>5</v>
      </c>
      <c r="CY10" s="85" t="s">
        <v>218</v>
      </c>
      <c r="CZ10" s="85" t="s">
        <v>218</v>
      </c>
      <c r="DA10" s="90" t="s">
        <v>14</v>
      </c>
      <c r="DB10" s="84" t="s">
        <v>68</v>
      </c>
      <c r="DC10" s="16">
        <v>-16.067840071329783</v>
      </c>
      <c r="DD10" s="85" t="s">
        <v>14</v>
      </c>
      <c r="DE10" s="85" t="s">
        <v>69</v>
      </c>
      <c r="DF10" s="85" t="s">
        <v>14</v>
      </c>
      <c r="DG10" s="85" t="s">
        <v>14</v>
      </c>
      <c r="DH10" s="85" t="s">
        <v>14</v>
      </c>
      <c r="DI10" s="85" t="s">
        <v>14</v>
      </c>
      <c r="DJ10" s="85" t="s">
        <v>14</v>
      </c>
      <c r="DK10" s="85" t="s">
        <v>14</v>
      </c>
      <c r="DL10" s="91" t="s">
        <v>14</v>
      </c>
      <c r="DM10" s="85">
        <v>440</v>
      </c>
      <c r="DN10" s="83" t="s">
        <v>70</v>
      </c>
      <c r="DO10" s="85">
        <v>512</v>
      </c>
      <c r="DP10" s="85">
        <v>512</v>
      </c>
      <c r="DQ10" s="86" t="s">
        <v>216</v>
      </c>
      <c r="DR10" s="85" t="s">
        <v>213</v>
      </c>
      <c r="DS10" s="92" t="s">
        <v>71</v>
      </c>
      <c r="DT10" s="92" t="s">
        <v>72</v>
      </c>
      <c r="DU10" s="92" t="s">
        <v>14</v>
      </c>
      <c r="DV10" s="92" t="s">
        <v>14</v>
      </c>
      <c r="DW10" s="92" t="s">
        <v>14</v>
      </c>
      <c r="DX10" s="92" t="s">
        <v>14</v>
      </c>
      <c r="DY10" s="92" t="s">
        <v>76</v>
      </c>
      <c r="DZ10" s="92" t="s">
        <v>71</v>
      </c>
      <c r="EA10" s="92" t="s">
        <v>14</v>
      </c>
      <c r="EB10" s="93" t="s">
        <v>77</v>
      </c>
      <c r="EC10" s="93" t="s">
        <v>89</v>
      </c>
      <c r="ED10" s="93" t="s">
        <v>79</v>
      </c>
      <c r="EE10" s="18" t="s">
        <v>91</v>
      </c>
      <c r="EF10" s="92" t="s">
        <v>14</v>
      </c>
      <c r="EG10" s="95">
        <v>370</v>
      </c>
      <c r="EH10" s="95">
        <v>267.14736569538798</v>
      </c>
      <c r="EI10" s="95">
        <v>985.94818351804213</v>
      </c>
      <c r="EJ10" s="95">
        <v>226.88163559336016</v>
      </c>
      <c r="EK10" s="96" t="s">
        <v>81</v>
      </c>
      <c r="EL10" s="96" t="s">
        <v>64</v>
      </c>
      <c r="EM10" s="96" t="s">
        <v>229</v>
      </c>
      <c r="EN10" s="95">
        <f t="shared" si="0"/>
        <v>1253.0955492134301</v>
      </c>
      <c r="EO10" s="95">
        <f t="shared" si="1"/>
        <v>40.265730102027817</v>
      </c>
      <c r="EP10" s="97" t="s">
        <v>92</v>
      </c>
    </row>
    <row r="11" spans="1:146" ht="19" x14ac:dyDescent="0.25">
      <c r="A11" s="3" t="s">
        <v>9</v>
      </c>
      <c r="B11" s="5" t="s">
        <v>10</v>
      </c>
      <c r="C11" s="2" t="s">
        <v>15</v>
      </c>
      <c r="D11" s="2" t="s">
        <v>11</v>
      </c>
      <c r="E11" s="2">
        <v>2014</v>
      </c>
      <c r="F11" s="2" t="s">
        <v>12</v>
      </c>
      <c r="G11" s="2">
        <v>17500</v>
      </c>
      <c r="H11" s="10">
        <v>3100</v>
      </c>
      <c r="I11" s="2">
        <v>1200</v>
      </c>
      <c r="J11" s="6">
        <v>260.59522299516601</v>
      </c>
      <c r="K11" s="6">
        <v>952.64543937308395</v>
      </c>
      <c r="L11" s="6">
        <v>219.71667901139841</v>
      </c>
      <c r="M11" s="2" t="b">
        <v>0</v>
      </c>
      <c r="N11" s="103">
        <v>2</v>
      </c>
      <c r="O11" s="104" t="s">
        <v>231</v>
      </c>
      <c r="P11" s="2" t="b">
        <v>0</v>
      </c>
      <c r="Q11" s="2" t="b">
        <v>1</v>
      </c>
      <c r="R11" s="2" t="s">
        <v>227</v>
      </c>
      <c r="S11" s="2" t="b">
        <v>0</v>
      </c>
      <c r="T11" s="2" t="b">
        <v>0</v>
      </c>
      <c r="U11" s="2" t="s">
        <v>14</v>
      </c>
      <c r="V11" s="2" t="b">
        <v>0</v>
      </c>
      <c r="W11" s="2" t="b">
        <v>1</v>
      </c>
      <c r="X11" s="22" t="s">
        <v>230</v>
      </c>
      <c r="Y11" s="11" t="s">
        <v>57</v>
      </c>
      <c r="Z11" s="74" t="s">
        <v>12</v>
      </c>
      <c r="AA11" s="11" t="s">
        <v>82</v>
      </c>
      <c r="AB11" s="75" t="s">
        <v>59</v>
      </c>
      <c r="AC11" s="76" t="s">
        <v>104</v>
      </c>
      <c r="AD11" s="12" t="s">
        <v>105</v>
      </c>
      <c r="AE11" s="51">
        <v>42.4</v>
      </c>
      <c r="AF11" s="51">
        <v>-103.3</v>
      </c>
      <c r="AG11" s="101" t="s">
        <v>14</v>
      </c>
      <c r="AH11" s="101" t="s">
        <v>14</v>
      </c>
      <c r="AI11" s="52" t="s">
        <v>14</v>
      </c>
      <c r="AJ11" s="13">
        <v>17.5</v>
      </c>
      <c r="AK11" s="51">
        <v>20.6</v>
      </c>
      <c r="AL11" s="51">
        <v>16.3</v>
      </c>
      <c r="AM11" s="99" t="s">
        <v>106</v>
      </c>
      <c r="AN11" s="14">
        <v>-7.0900000000000007</v>
      </c>
      <c r="AO11" s="14">
        <v>1.1331372379372238</v>
      </c>
      <c r="AP11" s="80">
        <v>21</v>
      </c>
      <c r="AQ11" s="15" t="s">
        <v>86</v>
      </c>
      <c r="AR11" s="79">
        <v>-25.3</v>
      </c>
      <c r="AS11" s="79">
        <v>2</v>
      </c>
      <c r="AT11" s="49" t="s">
        <v>14</v>
      </c>
      <c r="AU11" s="49" t="s">
        <v>14</v>
      </c>
      <c r="AV11" s="49" t="s">
        <v>14</v>
      </c>
      <c r="AW11" s="49" t="s">
        <v>14</v>
      </c>
      <c r="AX11" s="15" t="s">
        <v>86</v>
      </c>
      <c r="AY11" s="49" t="s">
        <v>14</v>
      </c>
      <c r="AZ11" s="49" t="s">
        <v>14</v>
      </c>
      <c r="BA11" s="49" t="s">
        <v>14</v>
      </c>
      <c r="BB11" s="50" t="s">
        <v>14</v>
      </c>
      <c r="BC11" s="50" t="s">
        <v>14</v>
      </c>
      <c r="BD11" s="50" t="s">
        <v>14</v>
      </c>
      <c r="BE11" s="50" t="s">
        <v>14</v>
      </c>
      <c r="BF11" s="50" t="s">
        <v>14</v>
      </c>
      <c r="BG11" s="49" t="s">
        <v>14</v>
      </c>
      <c r="BH11" s="49" t="s">
        <v>14</v>
      </c>
      <c r="BI11" s="49" t="s">
        <v>14</v>
      </c>
      <c r="BJ11" s="50" t="s">
        <v>14</v>
      </c>
      <c r="BK11" s="49" t="s">
        <v>14</v>
      </c>
      <c r="BL11" s="49" t="s">
        <v>14</v>
      </c>
      <c r="BM11" s="49" t="s">
        <v>14</v>
      </c>
      <c r="BN11" s="49" t="s">
        <v>14</v>
      </c>
      <c r="BO11" s="49" t="s">
        <v>14</v>
      </c>
      <c r="BP11" s="49" t="s">
        <v>14</v>
      </c>
      <c r="BQ11" s="49" t="s">
        <v>14</v>
      </c>
      <c r="BR11" s="49" t="s">
        <v>14</v>
      </c>
      <c r="BS11" s="49" t="s">
        <v>14</v>
      </c>
      <c r="BT11" s="49" t="s">
        <v>14</v>
      </c>
      <c r="BU11" s="49" t="s">
        <v>14</v>
      </c>
      <c r="BV11" s="49" t="s">
        <v>14</v>
      </c>
      <c r="BW11" s="49" t="s">
        <v>14</v>
      </c>
      <c r="BX11" s="49" t="s">
        <v>14</v>
      </c>
      <c r="BY11" s="49" t="s">
        <v>14</v>
      </c>
      <c r="BZ11" s="49" t="s">
        <v>14</v>
      </c>
      <c r="CA11" s="49" t="s">
        <v>14</v>
      </c>
      <c r="CB11" s="49" t="s">
        <v>14</v>
      </c>
      <c r="CC11" s="49" t="s">
        <v>14</v>
      </c>
      <c r="CD11" s="49" t="s">
        <v>14</v>
      </c>
      <c r="CE11" s="49" t="s">
        <v>14</v>
      </c>
      <c r="CF11" s="49" t="s">
        <v>14</v>
      </c>
      <c r="CG11" s="49" t="s">
        <v>14</v>
      </c>
      <c r="CH11" s="49" t="s">
        <v>14</v>
      </c>
      <c r="CI11" s="49" t="s">
        <v>14</v>
      </c>
      <c r="CJ11" s="16">
        <v>-26.3</v>
      </c>
      <c r="CK11" s="83" t="s">
        <v>63</v>
      </c>
      <c r="CL11" s="17" t="s">
        <v>64</v>
      </c>
      <c r="CM11" s="85" t="s">
        <v>210</v>
      </c>
      <c r="CN11" s="86" t="s">
        <v>211</v>
      </c>
      <c r="CO11" s="85" t="s">
        <v>14</v>
      </c>
      <c r="CP11" s="16">
        <v>-5.8449999999999998</v>
      </c>
      <c r="CQ11" s="83" t="s">
        <v>65</v>
      </c>
      <c r="CR11" s="17" t="s">
        <v>66</v>
      </c>
      <c r="CS11" s="87">
        <v>0.08</v>
      </c>
      <c r="CT11" s="88" t="s">
        <v>212</v>
      </c>
      <c r="CU11" s="82" t="s">
        <v>213</v>
      </c>
      <c r="CV11" s="89">
        <v>23.033999999999999</v>
      </c>
      <c r="CW11" s="83" t="s">
        <v>87</v>
      </c>
      <c r="CX11" s="85">
        <v>5</v>
      </c>
      <c r="CY11" s="85" t="s">
        <v>218</v>
      </c>
      <c r="CZ11" s="85" t="s">
        <v>218</v>
      </c>
      <c r="DA11" s="90" t="s">
        <v>14</v>
      </c>
      <c r="DB11" s="84" t="s">
        <v>68</v>
      </c>
      <c r="DC11" s="16">
        <v>-16.157018212713069</v>
      </c>
      <c r="DD11" s="85" t="s">
        <v>14</v>
      </c>
      <c r="DE11" s="85" t="s">
        <v>69</v>
      </c>
      <c r="DF11" s="85" t="s">
        <v>14</v>
      </c>
      <c r="DG11" s="85" t="s">
        <v>14</v>
      </c>
      <c r="DH11" s="85" t="s">
        <v>14</v>
      </c>
      <c r="DI11" s="85" t="s">
        <v>14</v>
      </c>
      <c r="DJ11" s="85" t="s">
        <v>14</v>
      </c>
      <c r="DK11" s="85" t="s">
        <v>14</v>
      </c>
      <c r="DL11" s="91" t="s">
        <v>14</v>
      </c>
      <c r="DM11" s="85">
        <v>440</v>
      </c>
      <c r="DN11" s="83" t="s">
        <v>70</v>
      </c>
      <c r="DO11" s="85">
        <v>512</v>
      </c>
      <c r="DP11" s="85">
        <v>512</v>
      </c>
      <c r="DQ11" s="86" t="s">
        <v>216</v>
      </c>
      <c r="DR11" s="85" t="s">
        <v>213</v>
      </c>
      <c r="DS11" s="92" t="s">
        <v>71</v>
      </c>
      <c r="DT11" s="92" t="s">
        <v>72</v>
      </c>
      <c r="DU11" s="92" t="s">
        <v>14</v>
      </c>
      <c r="DV11" s="92" t="s">
        <v>14</v>
      </c>
      <c r="DW11" s="92" t="s">
        <v>14</v>
      </c>
      <c r="DX11" s="92" t="s">
        <v>14</v>
      </c>
      <c r="DY11" s="92" t="s">
        <v>76</v>
      </c>
      <c r="DZ11" s="92" t="s">
        <v>71</v>
      </c>
      <c r="EA11" s="92" t="s">
        <v>14</v>
      </c>
      <c r="EB11" s="93" t="s">
        <v>77</v>
      </c>
      <c r="EC11" s="93" t="s">
        <v>89</v>
      </c>
      <c r="ED11" s="93" t="s">
        <v>79</v>
      </c>
      <c r="EE11" s="18" t="s">
        <v>91</v>
      </c>
      <c r="EF11" s="92" t="s">
        <v>14</v>
      </c>
      <c r="EG11" s="95">
        <v>362</v>
      </c>
      <c r="EH11" s="95">
        <v>260.59522299516601</v>
      </c>
      <c r="EI11" s="95">
        <v>952.64543937308395</v>
      </c>
      <c r="EJ11" s="95">
        <v>219.71667901139841</v>
      </c>
      <c r="EK11" s="96" t="s">
        <v>81</v>
      </c>
      <c r="EL11" s="96" t="s">
        <v>64</v>
      </c>
      <c r="EM11" s="96" t="s">
        <v>229</v>
      </c>
      <c r="EN11" s="95">
        <f t="shared" si="0"/>
        <v>1213.24066236825</v>
      </c>
      <c r="EO11" s="95">
        <f t="shared" si="1"/>
        <v>40.878543983767599</v>
      </c>
      <c r="EP11" s="97" t="s">
        <v>92</v>
      </c>
    </row>
    <row r="12" spans="1:146" ht="19" x14ac:dyDescent="0.25">
      <c r="A12" s="3" t="s">
        <v>9</v>
      </c>
      <c r="B12" s="5" t="s">
        <v>10</v>
      </c>
      <c r="C12" s="2" t="s">
        <v>15</v>
      </c>
      <c r="D12" s="2" t="s">
        <v>11</v>
      </c>
      <c r="E12" s="2">
        <v>2014</v>
      </c>
      <c r="F12" s="2" t="s">
        <v>12</v>
      </c>
      <c r="G12" s="2">
        <v>17800</v>
      </c>
      <c r="H12" s="10">
        <v>200</v>
      </c>
      <c r="I12" s="2">
        <v>200</v>
      </c>
      <c r="J12" s="6">
        <v>237</v>
      </c>
      <c r="K12" s="6">
        <v>2789.23399434063</v>
      </c>
      <c r="L12" s="6">
        <v>215.73849693961699</v>
      </c>
      <c r="M12" s="2" t="b">
        <v>0</v>
      </c>
      <c r="N12" s="103">
        <v>2</v>
      </c>
      <c r="O12" s="104" t="s">
        <v>231</v>
      </c>
      <c r="P12" s="2" t="b">
        <v>0</v>
      </c>
      <c r="Q12" s="2" t="b">
        <v>1</v>
      </c>
      <c r="R12" s="2" t="s">
        <v>227</v>
      </c>
      <c r="S12" s="2" t="b">
        <v>0</v>
      </c>
      <c r="T12" s="2" t="b">
        <v>0</v>
      </c>
      <c r="U12" s="2" t="s">
        <v>14</v>
      </c>
      <c r="V12" s="2" t="b">
        <v>0</v>
      </c>
      <c r="W12" s="2" t="b">
        <v>1</v>
      </c>
      <c r="X12" s="22" t="s">
        <v>230</v>
      </c>
      <c r="Y12" s="11" t="s">
        <v>57</v>
      </c>
      <c r="Z12" s="74" t="s">
        <v>12</v>
      </c>
      <c r="AA12" s="20" t="s">
        <v>107</v>
      </c>
      <c r="AB12" s="75" t="s">
        <v>59</v>
      </c>
      <c r="AC12" s="76" t="s">
        <v>108</v>
      </c>
      <c r="AD12" s="12" t="s">
        <v>109</v>
      </c>
      <c r="AE12" s="52" t="s">
        <v>14</v>
      </c>
      <c r="AF12" s="52" t="s">
        <v>14</v>
      </c>
      <c r="AG12" s="101" t="s">
        <v>14</v>
      </c>
      <c r="AH12" s="101" t="s">
        <v>14</v>
      </c>
      <c r="AI12" s="52" t="s">
        <v>14</v>
      </c>
      <c r="AJ12" s="13">
        <v>17.8</v>
      </c>
      <c r="AK12" s="51">
        <v>18</v>
      </c>
      <c r="AL12" s="51">
        <v>17.600000000000001</v>
      </c>
      <c r="AM12" s="19" t="s">
        <v>110</v>
      </c>
      <c r="AN12" s="14">
        <v>-7.2</v>
      </c>
      <c r="AO12" s="14">
        <v>2.8</v>
      </c>
      <c r="AP12" s="80">
        <v>5</v>
      </c>
      <c r="AQ12" s="15" t="s">
        <v>107</v>
      </c>
      <c r="AR12" s="49" t="s">
        <v>14</v>
      </c>
      <c r="AS12" s="49" t="s">
        <v>14</v>
      </c>
      <c r="AT12" s="49" t="s">
        <v>14</v>
      </c>
      <c r="AU12" s="79">
        <v>-23.7</v>
      </c>
      <c r="AV12" s="79">
        <v>1</v>
      </c>
      <c r="AW12" s="49">
        <v>4</v>
      </c>
      <c r="AX12" s="15" t="s">
        <v>107</v>
      </c>
      <c r="AY12" s="49" t="s">
        <v>14</v>
      </c>
      <c r="AZ12" s="49" t="s">
        <v>14</v>
      </c>
      <c r="BA12" s="49" t="s">
        <v>14</v>
      </c>
      <c r="BB12" s="50" t="s">
        <v>14</v>
      </c>
      <c r="BC12" s="50" t="s">
        <v>14</v>
      </c>
      <c r="BD12" s="50" t="s">
        <v>14</v>
      </c>
      <c r="BE12" s="50" t="s">
        <v>14</v>
      </c>
      <c r="BF12" s="50" t="s">
        <v>14</v>
      </c>
      <c r="BG12" s="49" t="s">
        <v>14</v>
      </c>
      <c r="BH12" s="49" t="s">
        <v>14</v>
      </c>
      <c r="BI12" s="49" t="s">
        <v>14</v>
      </c>
      <c r="BJ12" s="50" t="s">
        <v>14</v>
      </c>
      <c r="BK12" s="100" t="s">
        <v>111</v>
      </c>
      <c r="BL12" s="100" t="s">
        <v>111</v>
      </c>
      <c r="BM12" s="49" t="s">
        <v>14</v>
      </c>
      <c r="BN12" s="49" t="s">
        <v>14</v>
      </c>
      <c r="BO12" s="49" t="s">
        <v>14</v>
      </c>
      <c r="BP12" s="49" t="s">
        <v>14</v>
      </c>
      <c r="BQ12" s="49" t="s">
        <v>14</v>
      </c>
      <c r="BR12" s="49" t="s">
        <v>14</v>
      </c>
      <c r="BS12" s="49" t="s">
        <v>14</v>
      </c>
      <c r="BT12" s="49" t="s">
        <v>14</v>
      </c>
      <c r="BU12" s="49" t="s">
        <v>14</v>
      </c>
      <c r="BV12" s="49" t="s">
        <v>14</v>
      </c>
      <c r="BW12" s="49" t="s">
        <v>14</v>
      </c>
      <c r="BX12" s="49" t="s">
        <v>14</v>
      </c>
      <c r="BY12" s="49" t="s">
        <v>14</v>
      </c>
      <c r="BZ12" s="49" t="s">
        <v>14</v>
      </c>
      <c r="CA12" s="49" t="s">
        <v>14</v>
      </c>
      <c r="CB12" s="49" t="s">
        <v>14</v>
      </c>
      <c r="CC12" s="49" t="s">
        <v>14</v>
      </c>
      <c r="CD12" s="49" t="s">
        <v>14</v>
      </c>
      <c r="CE12" s="49" t="s">
        <v>14</v>
      </c>
      <c r="CF12" s="49" t="s">
        <v>14</v>
      </c>
      <c r="CG12" s="49" t="s">
        <v>14</v>
      </c>
      <c r="CH12" s="49" t="s">
        <v>14</v>
      </c>
      <c r="CI12" s="49" t="s">
        <v>14</v>
      </c>
      <c r="CJ12" s="16">
        <v>-24.7</v>
      </c>
      <c r="CK12" s="83" t="s">
        <v>63</v>
      </c>
      <c r="CL12" s="17" t="s">
        <v>64</v>
      </c>
      <c r="CM12" s="85" t="s">
        <v>210</v>
      </c>
      <c r="CN12" s="86" t="s">
        <v>211</v>
      </c>
      <c r="CO12" s="85" t="s">
        <v>14</v>
      </c>
      <c r="CP12" s="16">
        <v>-5.8</v>
      </c>
      <c r="CQ12" s="83" t="s">
        <v>65</v>
      </c>
      <c r="CR12" s="17" t="s">
        <v>66</v>
      </c>
      <c r="CS12" s="87">
        <v>0.34</v>
      </c>
      <c r="CT12" s="88" t="s">
        <v>212</v>
      </c>
      <c r="CU12" s="82" t="s">
        <v>213</v>
      </c>
      <c r="CV12" s="89">
        <v>20</v>
      </c>
      <c r="CW12" s="83" t="s">
        <v>112</v>
      </c>
      <c r="CX12" s="85">
        <v>5</v>
      </c>
      <c r="CY12" s="85" t="s">
        <v>218</v>
      </c>
      <c r="CZ12" s="85" t="s">
        <v>218</v>
      </c>
      <c r="DA12" s="90" t="s">
        <v>14</v>
      </c>
      <c r="DB12" s="90" t="s">
        <v>14</v>
      </c>
      <c r="DC12" s="16">
        <v>-16.620772994710592</v>
      </c>
      <c r="DD12" s="85" t="s">
        <v>14</v>
      </c>
      <c r="DE12" s="85" t="s">
        <v>69</v>
      </c>
      <c r="DF12" s="85" t="s">
        <v>14</v>
      </c>
      <c r="DG12" s="85" t="s">
        <v>14</v>
      </c>
      <c r="DH12" s="85" t="s">
        <v>14</v>
      </c>
      <c r="DI12" s="85" t="s">
        <v>14</v>
      </c>
      <c r="DJ12" s="85" t="s">
        <v>14</v>
      </c>
      <c r="DK12" s="85" t="s">
        <v>14</v>
      </c>
      <c r="DL12" s="91" t="s">
        <v>14</v>
      </c>
      <c r="DM12" s="85">
        <v>711</v>
      </c>
      <c r="DN12" s="83" t="s">
        <v>70</v>
      </c>
      <c r="DO12" s="85">
        <v>1810</v>
      </c>
      <c r="DP12" s="85">
        <v>1810</v>
      </c>
      <c r="DQ12" s="86" t="s">
        <v>216</v>
      </c>
      <c r="DR12" s="85" t="s">
        <v>213</v>
      </c>
      <c r="DS12" s="92" t="s">
        <v>71</v>
      </c>
      <c r="DT12" s="92" t="s">
        <v>113</v>
      </c>
      <c r="DU12" s="92" t="s">
        <v>14</v>
      </c>
      <c r="DV12" s="92" t="s">
        <v>14</v>
      </c>
      <c r="DW12" s="92" t="s">
        <v>14</v>
      </c>
      <c r="DX12" s="92" t="s">
        <v>14</v>
      </c>
      <c r="DY12" s="92" t="s">
        <v>76</v>
      </c>
      <c r="DZ12" s="92" t="s">
        <v>71</v>
      </c>
      <c r="EA12" s="92" t="s">
        <v>14</v>
      </c>
      <c r="EB12" s="93" t="s">
        <v>77</v>
      </c>
      <c r="EC12" s="93" t="s">
        <v>114</v>
      </c>
      <c r="ED12" s="93" t="s">
        <v>115</v>
      </c>
      <c r="EE12" s="18" t="s">
        <v>91</v>
      </c>
      <c r="EF12" s="92" t="s">
        <v>14</v>
      </c>
      <c r="EG12" s="95">
        <v>560</v>
      </c>
      <c r="EH12" s="95">
        <v>237</v>
      </c>
      <c r="EI12" s="95">
        <v>2789.23399434063</v>
      </c>
      <c r="EJ12" s="95">
        <v>215.73849693961699</v>
      </c>
      <c r="EK12" s="96" t="s">
        <v>81</v>
      </c>
      <c r="EL12" s="96" t="s">
        <v>64</v>
      </c>
      <c r="EM12" s="96" t="s">
        <v>229</v>
      </c>
      <c r="EN12" s="95">
        <f t="shared" si="0"/>
        <v>3026.23399434063</v>
      </c>
      <c r="EO12" s="95">
        <f t="shared" si="1"/>
        <v>21.261503060383006</v>
      </c>
      <c r="EP12" s="97" t="s">
        <v>221</v>
      </c>
    </row>
    <row r="13" spans="1:146" ht="19" x14ac:dyDescent="0.25">
      <c r="A13" s="3" t="s">
        <v>9</v>
      </c>
      <c r="B13" s="5" t="s">
        <v>10</v>
      </c>
      <c r="C13" s="2" t="s">
        <v>15</v>
      </c>
      <c r="D13" s="2" t="s">
        <v>11</v>
      </c>
      <c r="E13" s="2">
        <v>2014</v>
      </c>
      <c r="F13" s="2" t="s">
        <v>12</v>
      </c>
      <c r="G13" s="2">
        <v>18200</v>
      </c>
      <c r="H13" s="10">
        <v>1800</v>
      </c>
      <c r="I13" s="2">
        <v>200</v>
      </c>
      <c r="J13" s="7">
        <v>273.279893018282</v>
      </c>
      <c r="K13" s="8">
        <v>270.99022516773698</v>
      </c>
      <c r="L13" s="8">
        <v>262.22610253911239</v>
      </c>
      <c r="M13" s="2" t="b">
        <v>0</v>
      </c>
      <c r="N13" s="103">
        <v>2</v>
      </c>
      <c r="O13" s="104" t="s">
        <v>231</v>
      </c>
      <c r="P13" s="2" t="b">
        <v>0</v>
      </c>
      <c r="Q13" s="2" t="b">
        <v>1</v>
      </c>
      <c r="R13" s="2" t="s">
        <v>227</v>
      </c>
      <c r="S13" s="2" t="b">
        <v>0</v>
      </c>
      <c r="T13" s="2" t="b">
        <v>0</v>
      </c>
      <c r="U13" s="2" t="s">
        <v>14</v>
      </c>
      <c r="V13" s="2" t="b">
        <v>0</v>
      </c>
      <c r="W13" s="2" t="b">
        <v>1</v>
      </c>
      <c r="X13" s="22" t="s">
        <v>230</v>
      </c>
      <c r="Y13" s="11" t="s">
        <v>57</v>
      </c>
      <c r="Z13" s="74" t="s">
        <v>12</v>
      </c>
      <c r="AA13" s="20" t="s">
        <v>107</v>
      </c>
      <c r="AB13" s="75" t="s">
        <v>59</v>
      </c>
      <c r="AC13" s="76" t="s">
        <v>116</v>
      </c>
      <c r="AD13" s="12" t="s">
        <v>117</v>
      </c>
      <c r="AE13" s="52" t="s">
        <v>14</v>
      </c>
      <c r="AF13" s="52" t="s">
        <v>14</v>
      </c>
      <c r="AG13" s="101" t="s">
        <v>14</v>
      </c>
      <c r="AH13" s="101" t="s">
        <v>14</v>
      </c>
      <c r="AI13" s="52" t="s">
        <v>14</v>
      </c>
      <c r="AJ13" s="13">
        <v>18.2</v>
      </c>
      <c r="AK13" s="51">
        <v>20</v>
      </c>
      <c r="AL13" s="51">
        <v>18</v>
      </c>
      <c r="AM13" s="19" t="s">
        <v>110</v>
      </c>
      <c r="AN13" s="14">
        <v>-7.33</v>
      </c>
      <c r="AO13" s="14">
        <v>1</v>
      </c>
      <c r="AP13" s="80">
        <v>1</v>
      </c>
      <c r="AQ13" s="15" t="s">
        <v>107</v>
      </c>
      <c r="AR13" s="49" t="s">
        <v>14</v>
      </c>
      <c r="AS13" s="49" t="s">
        <v>14</v>
      </c>
      <c r="AT13" s="49" t="s">
        <v>14</v>
      </c>
      <c r="AU13" s="79">
        <v>-24.72</v>
      </c>
      <c r="AV13" s="79">
        <v>1</v>
      </c>
      <c r="AW13" s="49">
        <v>1</v>
      </c>
      <c r="AX13" s="15" t="s">
        <v>107</v>
      </c>
      <c r="AY13" s="49" t="s">
        <v>14</v>
      </c>
      <c r="AZ13" s="49" t="s">
        <v>14</v>
      </c>
      <c r="BA13" s="49" t="s">
        <v>14</v>
      </c>
      <c r="BB13" s="50" t="s">
        <v>14</v>
      </c>
      <c r="BC13" s="50" t="s">
        <v>14</v>
      </c>
      <c r="BD13" s="50" t="s">
        <v>14</v>
      </c>
      <c r="BE13" s="50" t="s">
        <v>14</v>
      </c>
      <c r="BF13" s="50" t="s">
        <v>14</v>
      </c>
      <c r="BG13" s="49" t="s">
        <v>14</v>
      </c>
      <c r="BH13" s="49" t="s">
        <v>14</v>
      </c>
      <c r="BI13" s="49" t="s">
        <v>14</v>
      </c>
      <c r="BJ13" s="50" t="s">
        <v>14</v>
      </c>
      <c r="BK13" s="100" t="s">
        <v>111</v>
      </c>
      <c r="BL13" s="100" t="s">
        <v>111</v>
      </c>
      <c r="BM13" s="49" t="s">
        <v>14</v>
      </c>
      <c r="BN13" s="49" t="s">
        <v>14</v>
      </c>
      <c r="BO13" s="49" t="s">
        <v>14</v>
      </c>
      <c r="BP13" s="49" t="s">
        <v>14</v>
      </c>
      <c r="BQ13" s="49" t="s">
        <v>14</v>
      </c>
      <c r="BR13" s="49" t="s">
        <v>14</v>
      </c>
      <c r="BS13" s="49" t="s">
        <v>14</v>
      </c>
      <c r="BT13" s="49" t="s">
        <v>14</v>
      </c>
      <c r="BU13" s="49" t="s">
        <v>14</v>
      </c>
      <c r="BV13" s="49" t="s">
        <v>14</v>
      </c>
      <c r="BW13" s="49" t="s">
        <v>14</v>
      </c>
      <c r="BX13" s="49" t="s">
        <v>14</v>
      </c>
      <c r="BY13" s="49" t="s">
        <v>14</v>
      </c>
      <c r="BZ13" s="49" t="s">
        <v>14</v>
      </c>
      <c r="CA13" s="49" t="s">
        <v>14</v>
      </c>
      <c r="CB13" s="49" t="s">
        <v>14</v>
      </c>
      <c r="CC13" s="49" t="s">
        <v>14</v>
      </c>
      <c r="CD13" s="49" t="s">
        <v>14</v>
      </c>
      <c r="CE13" s="49" t="s">
        <v>14</v>
      </c>
      <c r="CF13" s="49" t="s">
        <v>14</v>
      </c>
      <c r="CG13" s="49" t="s">
        <v>14</v>
      </c>
      <c r="CH13" s="49" t="s">
        <v>14</v>
      </c>
      <c r="CI13" s="49" t="s">
        <v>14</v>
      </c>
      <c r="CJ13" s="16">
        <v>-25.72</v>
      </c>
      <c r="CK13" s="83" t="s">
        <v>63</v>
      </c>
      <c r="CL13" s="17" t="s">
        <v>64</v>
      </c>
      <c r="CM13" s="85" t="s">
        <v>210</v>
      </c>
      <c r="CN13" s="86" t="s">
        <v>211</v>
      </c>
      <c r="CO13" s="85" t="s">
        <v>14</v>
      </c>
      <c r="CP13" s="16">
        <v>-5.8</v>
      </c>
      <c r="CQ13" s="83" t="s">
        <v>65</v>
      </c>
      <c r="CR13" s="17" t="s">
        <v>66</v>
      </c>
      <c r="CS13" s="87">
        <v>0.5</v>
      </c>
      <c r="CT13" s="88" t="s">
        <v>212</v>
      </c>
      <c r="CU13" s="82" t="s">
        <v>213</v>
      </c>
      <c r="CV13" s="89">
        <v>20</v>
      </c>
      <c r="CW13" s="83" t="s">
        <v>112</v>
      </c>
      <c r="CX13" s="85">
        <v>5</v>
      </c>
      <c r="CY13" s="85" t="s">
        <v>218</v>
      </c>
      <c r="CZ13" s="85" t="s">
        <v>218</v>
      </c>
      <c r="DA13" s="90" t="s">
        <v>14</v>
      </c>
      <c r="DB13" s="90" t="s">
        <v>14</v>
      </c>
      <c r="DC13" s="16">
        <v>-16.749539412428931</v>
      </c>
      <c r="DD13" s="85" t="s">
        <v>14</v>
      </c>
      <c r="DE13" s="85" t="s">
        <v>69</v>
      </c>
      <c r="DF13" s="85" t="s">
        <v>14</v>
      </c>
      <c r="DG13" s="85" t="s">
        <v>14</v>
      </c>
      <c r="DH13" s="85" t="s">
        <v>14</v>
      </c>
      <c r="DI13" s="85" t="s">
        <v>14</v>
      </c>
      <c r="DJ13" s="85" t="s">
        <v>14</v>
      </c>
      <c r="DK13" s="85" t="s">
        <v>14</v>
      </c>
      <c r="DL13" s="91" t="s">
        <v>14</v>
      </c>
      <c r="DM13" s="85">
        <v>629</v>
      </c>
      <c r="DN13" s="83" t="s">
        <v>70</v>
      </c>
      <c r="DO13" s="85">
        <v>233</v>
      </c>
      <c r="DP13" s="85">
        <v>233</v>
      </c>
      <c r="DQ13" s="86" t="s">
        <v>216</v>
      </c>
      <c r="DR13" s="85" t="s">
        <v>213</v>
      </c>
      <c r="DS13" s="92" t="s">
        <v>71</v>
      </c>
      <c r="DT13" s="92" t="s">
        <v>118</v>
      </c>
      <c r="DU13" s="92" t="s">
        <v>14</v>
      </c>
      <c r="DV13" s="92" t="s">
        <v>14</v>
      </c>
      <c r="DW13" s="92" t="s">
        <v>14</v>
      </c>
      <c r="DX13" s="92" t="s">
        <v>14</v>
      </c>
      <c r="DY13" s="92" t="s">
        <v>76</v>
      </c>
      <c r="DZ13" s="92" t="s">
        <v>71</v>
      </c>
      <c r="EA13" s="92" t="s">
        <v>14</v>
      </c>
      <c r="EB13" s="93" t="s">
        <v>77</v>
      </c>
      <c r="EC13" s="93" t="s">
        <v>114</v>
      </c>
      <c r="ED13" s="93" t="s">
        <v>119</v>
      </c>
      <c r="EE13" s="18" t="s">
        <v>91</v>
      </c>
      <c r="EF13" s="92" t="s">
        <v>14</v>
      </c>
      <c r="EG13" s="95">
        <v>286</v>
      </c>
      <c r="EH13" s="95">
        <v>273.279893018282</v>
      </c>
      <c r="EI13" s="95">
        <v>270.99022516773698</v>
      </c>
      <c r="EJ13" s="95">
        <v>262.22610253911239</v>
      </c>
      <c r="EK13" s="96" t="s">
        <v>81</v>
      </c>
      <c r="EL13" s="96" t="s">
        <v>64</v>
      </c>
      <c r="EM13" s="96" t="s">
        <v>229</v>
      </c>
      <c r="EN13" s="95">
        <f t="shared" si="0"/>
        <v>544.27011818601898</v>
      </c>
      <c r="EO13" s="95">
        <f t="shared" si="1"/>
        <v>11.053790479169606</v>
      </c>
      <c r="EP13" s="97" t="s">
        <v>222</v>
      </c>
    </row>
    <row r="14" spans="1:146" ht="19" x14ac:dyDescent="0.25">
      <c r="A14" s="3" t="s">
        <v>9</v>
      </c>
      <c r="B14" s="5" t="s">
        <v>10</v>
      </c>
      <c r="C14" s="2" t="s">
        <v>15</v>
      </c>
      <c r="D14" s="2" t="s">
        <v>11</v>
      </c>
      <c r="E14" s="2">
        <v>2014</v>
      </c>
      <c r="F14" s="2" t="s">
        <v>12</v>
      </c>
      <c r="G14" s="2">
        <v>23000</v>
      </c>
      <c r="H14" s="10">
        <v>5000</v>
      </c>
      <c r="I14" s="2">
        <v>3000</v>
      </c>
      <c r="J14" s="7">
        <v>197.36866003127599</v>
      </c>
      <c r="K14" s="8">
        <v>794.73555855536802</v>
      </c>
      <c r="L14" s="8">
        <v>166.55802379470771</v>
      </c>
      <c r="M14" s="2" t="b">
        <v>0</v>
      </c>
      <c r="N14" s="103">
        <v>2</v>
      </c>
      <c r="O14" s="104" t="s">
        <v>231</v>
      </c>
      <c r="P14" s="2" t="b">
        <v>0</v>
      </c>
      <c r="Q14" s="2" t="b">
        <v>1</v>
      </c>
      <c r="R14" s="2" t="s">
        <v>227</v>
      </c>
      <c r="S14" s="2" t="b">
        <v>0</v>
      </c>
      <c r="T14" s="2" t="b">
        <v>0</v>
      </c>
      <c r="U14" s="2" t="s">
        <v>14</v>
      </c>
      <c r="V14" s="2" t="b">
        <v>0</v>
      </c>
      <c r="W14" s="2" t="b">
        <v>1</v>
      </c>
      <c r="X14" s="22" t="s">
        <v>230</v>
      </c>
      <c r="Y14" s="11" t="s">
        <v>57</v>
      </c>
      <c r="Z14" s="74" t="s">
        <v>12</v>
      </c>
      <c r="AA14" s="11" t="s">
        <v>82</v>
      </c>
      <c r="AB14" s="75" t="s">
        <v>59</v>
      </c>
      <c r="AC14" s="76" t="s">
        <v>120</v>
      </c>
      <c r="AD14" s="12" t="s">
        <v>121</v>
      </c>
      <c r="AE14" s="51">
        <v>41.6</v>
      </c>
      <c r="AF14" s="51">
        <v>-102.8</v>
      </c>
      <c r="AG14" s="101" t="s">
        <v>14</v>
      </c>
      <c r="AH14" s="101" t="s">
        <v>14</v>
      </c>
      <c r="AI14" s="52" t="s">
        <v>14</v>
      </c>
      <c r="AJ14" s="13">
        <v>23</v>
      </c>
      <c r="AK14" s="51">
        <v>28</v>
      </c>
      <c r="AL14" s="51">
        <v>20</v>
      </c>
      <c r="AM14" s="21" t="s">
        <v>223</v>
      </c>
      <c r="AN14" s="14">
        <v>-7.2000000000000011</v>
      </c>
      <c r="AO14" s="14">
        <v>1.0954451150103326</v>
      </c>
      <c r="AP14" s="80">
        <v>9</v>
      </c>
      <c r="AQ14" s="15" t="s">
        <v>86</v>
      </c>
      <c r="AR14" s="79">
        <v>-24.3</v>
      </c>
      <c r="AS14" s="79">
        <v>2</v>
      </c>
      <c r="AT14" s="49" t="s">
        <v>14</v>
      </c>
      <c r="AU14" s="49" t="s">
        <v>14</v>
      </c>
      <c r="AV14" s="49" t="s">
        <v>14</v>
      </c>
      <c r="AW14" s="49" t="s">
        <v>14</v>
      </c>
      <c r="AX14" s="15" t="s">
        <v>86</v>
      </c>
      <c r="AY14" s="49" t="s">
        <v>14</v>
      </c>
      <c r="AZ14" s="49" t="s">
        <v>14</v>
      </c>
      <c r="BA14" s="49" t="s">
        <v>14</v>
      </c>
      <c r="BB14" s="50" t="s">
        <v>14</v>
      </c>
      <c r="BC14" s="50" t="s">
        <v>14</v>
      </c>
      <c r="BD14" s="50" t="s">
        <v>14</v>
      </c>
      <c r="BE14" s="50" t="s">
        <v>14</v>
      </c>
      <c r="BF14" s="50" t="s">
        <v>14</v>
      </c>
      <c r="BG14" s="49" t="s">
        <v>14</v>
      </c>
      <c r="BH14" s="49" t="s">
        <v>14</v>
      </c>
      <c r="BI14" s="49" t="s">
        <v>14</v>
      </c>
      <c r="BJ14" s="50" t="s">
        <v>14</v>
      </c>
      <c r="BK14" s="49" t="s">
        <v>14</v>
      </c>
      <c r="BL14" s="49" t="s">
        <v>14</v>
      </c>
      <c r="BM14" s="49" t="s">
        <v>14</v>
      </c>
      <c r="BN14" s="49" t="s">
        <v>14</v>
      </c>
      <c r="BO14" s="49" t="s">
        <v>14</v>
      </c>
      <c r="BP14" s="49" t="s">
        <v>14</v>
      </c>
      <c r="BQ14" s="49" t="s">
        <v>14</v>
      </c>
      <c r="BR14" s="49" t="s">
        <v>14</v>
      </c>
      <c r="BS14" s="49" t="s">
        <v>14</v>
      </c>
      <c r="BT14" s="49" t="s">
        <v>14</v>
      </c>
      <c r="BU14" s="49" t="s">
        <v>14</v>
      </c>
      <c r="BV14" s="49" t="s">
        <v>14</v>
      </c>
      <c r="BW14" s="49" t="s">
        <v>14</v>
      </c>
      <c r="BX14" s="49" t="s">
        <v>14</v>
      </c>
      <c r="BY14" s="49" t="s">
        <v>14</v>
      </c>
      <c r="BZ14" s="49" t="s">
        <v>14</v>
      </c>
      <c r="CA14" s="49" t="s">
        <v>14</v>
      </c>
      <c r="CB14" s="49" t="s">
        <v>14</v>
      </c>
      <c r="CC14" s="49" t="s">
        <v>14</v>
      </c>
      <c r="CD14" s="49" t="s">
        <v>14</v>
      </c>
      <c r="CE14" s="49" t="s">
        <v>14</v>
      </c>
      <c r="CF14" s="49" t="s">
        <v>14</v>
      </c>
      <c r="CG14" s="49" t="s">
        <v>14</v>
      </c>
      <c r="CH14" s="49" t="s">
        <v>14</v>
      </c>
      <c r="CI14" s="49" t="s">
        <v>14</v>
      </c>
      <c r="CJ14" s="16">
        <v>-25.3</v>
      </c>
      <c r="CK14" s="83" t="s">
        <v>63</v>
      </c>
      <c r="CL14" s="17" t="s">
        <v>64</v>
      </c>
      <c r="CM14" s="85" t="s">
        <v>210</v>
      </c>
      <c r="CN14" s="86" t="s">
        <v>211</v>
      </c>
      <c r="CO14" s="85" t="s">
        <v>14</v>
      </c>
      <c r="CP14" s="16">
        <v>-5.7</v>
      </c>
      <c r="CQ14" s="83" t="s">
        <v>65</v>
      </c>
      <c r="CR14" s="17" t="s">
        <v>66</v>
      </c>
      <c r="CS14" s="87">
        <v>0.28000000000000003</v>
      </c>
      <c r="CT14" s="88" t="s">
        <v>212</v>
      </c>
      <c r="CU14" s="82" t="s">
        <v>213</v>
      </c>
      <c r="CV14" s="89">
        <v>23.033999999999999</v>
      </c>
      <c r="CW14" s="83" t="s">
        <v>87</v>
      </c>
      <c r="CX14" s="85">
        <v>5</v>
      </c>
      <c r="CY14" s="85" t="s">
        <v>218</v>
      </c>
      <c r="CZ14" s="85" t="s">
        <v>218</v>
      </c>
      <c r="DA14" s="90" t="s">
        <v>14</v>
      </c>
      <c r="DB14" s="84" t="s">
        <v>68</v>
      </c>
      <c r="DC14" s="16">
        <v>-16.266013718848171</v>
      </c>
      <c r="DD14" s="85" t="s">
        <v>14</v>
      </c>
      <c r="DE14" s="85" t="s">
        <v>69</v>
      </c>
      <c r="DF14" s="85" t="s">
        <v>14</v>
      </c>
      <c r="DG14" s="85" t="s">
        <v>14</v>
      </c>
      <c r="DH14" s="85" t="s">
        <v>14</v>
      </c>
      <c r="DI14" s="85" t="s">
        <v>14</v>
      </c>
      <c r="DJ14" s="85" t="s">
        <v>14</v>
      </c>
      <c r="DK14" s="85" t="s">
        <v>14</v>
      </c>
      <c r="DL14" s="91" t="s">
        <v>14</v>
      </c>
      <c r="DM14" s="85">
        <v>440</v>
      </c>
      <c r="DN14" s="83" t="s">
        <v>70</v>
      </c>
      <c r="DO14" s="85">
        <v>512</v>
      </c>
      <c r="DP14" s="85">
        <v>512</v>
      </c>
      <c r="DQ14" s="86" t="s">
        <v>216</v>
      </c>
      <c r="DR14" s="85" t="s">
        <v>213</v>
      </c>
      <c r="DS14" s="92" t="s">
        <v>71</v>
      </c>
      <c r="DT14" s="92" t="s">
        <v>72</v>
      </c>
      <c r="DU14" s="92" t="s">
        <v>14</v>
      </c>
      <c r="DV14" s="92" t="s">
        <v>14</v>
      </c>
      <c r="DW14" s="92" t="s">
        <v>14</v>
      </c>
      <c r="DX14" s="92" t="s">
        <v>14</v>
      </c>
      <c r="DY14" s="92" t="s">
        <v>76</v>
      </c>
      <c r="DZ14" s="92" t="s">
        <v>71</v>
      </c>
      <c r="EA14" s="92" t="s">
        <v>14</v>
      </c>
      <c r="EB14" s="93" t="s">
        <v>77</v>
      </c>
      <c r="EC14" s="93" t="s">
        <v>89</v>
      </c>
      <c r="ED14" s="93" t="s">
        <v>79</v>
      </c>
      <c r="EE14" s="18" t="s">
        <v>91</v>
      </c>
      <c r="EF14" s="92" t="s">
        <v>14</v>
      </c>
      <c r="EG14" s="95">
        <v>289</v>
      </c>
      <c r="EH14" s="95">
        <v>197.36866003127599</v>
      </c>
      <c r="EI14" s="95">
        <v>794.73555855536802</v>
      </c>
      <c r="EJ14" s="95">
        <v>166.55802379470771</v>
      </c>
      <c r="EK14" s="96" t="s">
        <v>81</v>
      </c>
      <c r="EL14" s="96" t="s">
        <v>64</v>
      </c>
      <c r="EM14" s="96" t="s">
        <v>229</v>
      </c>
      <c r="EN14" s="95">
        <f t="shared" si="0"/>
        <v>992.10421858664404</v>
      </c>
      <c r="EO14" s="95">
        <f t="shared" si="1"/>
        <v>30.810636236568286</v>
      </c>
      <c r="EP14" s="97" t="s">
        <v>92</v>
      </c>
    </row>
    <row r="15" spans="1:146" ht="17" x14ac:dyDescent="0.2">
      <c r="A15" s="3"/>
      <c r="B15" s="3"/>
      <c r="C15" s="2"/>
      <c r="D15" s="2"/>
      <c r="E15" s="2"/>
      <c r="F15" s="2"/>
      <c r="G15" s="2"/>
      <c r="H15" s="2"/>
      <c r="I15" s="2"/>
      <c r="J15" s="4"/>
      <c r="K15" s="2"/>
      <c r="L15" s="2"/>
      <c r="M15" s="2"/>
      <c r="N15" s="2"/>
      <c r="O15" s="2"/>
      <c r="P15" s="2"/>
      <c r="Q15" s="2"/>
      <c r="R15" s="1"/>
      <c r="S15" s="2"/>
      <c r="T15" s="2"/>
      <c r="U15" s="2"/>
      <c r="V15" s="2"/>
      <c r="W15" s="2"/>
      <c r="X15" s="22"/>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row>
    <row r="16" spans="1:146" ht="17" x14ac:dyDescent="0.2">
      <c r="A16" s="3"/>
      <c r="B16" s="3"/>
      <c r="C16" s="2"/>
      <c r="D16" s="2"/>
      <c r="E16" s="2"/>
      <c r="F16" s="2"/>
      <c r="G16" s="2"/>
      <c r="H16" s="2"/>
      <c r="I16" s="2"/>
      <c r="J16" s="4"/>
      <c r="K16" s="2"/>
      <c r="L16" s="2"/>
      <c r="M16" s="2"/>
      <c r="N16" s="2"/>
      <c r="O16" s="2"/>
      <c r="P16" s="2"/>
      <c r="Q16" s="2"/>
      <c r="R16" s="1"/>
      <c r="S16" s="2"/>
      <c r="T16" s="2"/>
      <c r="U16" s="2"/>
      <c r="V16" s="2"/>
      <c r="W16" s="2"/>
      <c r="X16" s="22"/>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row>
    <row r="17" spans="1:123" ht="17" x14ac:dyDescent="0.2">
      <c r="A17" s="3"/>
      <c r="B17" s="3"/>
      <c r="C17" s="2"/>
      <c r="D17" s="2"/>
      <c r="E17" s="2"/>
      <c r="F17" s="2"/>
      <c r="G17" s="2"/>
      <c r="H17" s="2"/>
      <c r="I17" s="2"/>
      <c r="J17" s="4"/>
      <c r="K17" s="23"/>
      <c r="L17" s="2"/>
      <c r="M17" s="2"/>
      <c r="N17" s="2"/>
      <c r="O17" s="2"/>
      <c r="P17" s="2"/>
      <c r="Q17" s="2"/>
      <c r="R17" s="1"/>
      <c r="S17" s="2"/>
      <c r="T17" s="2"/>
      <c r="U17" s="2"/>
      <c r="V17" s="2"/>
      <c r="W17" s="2"/>
      <c r="X17" s="22"/>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row>
    <row r="18" spans="1:123" ht="17" x14ac:dyDescent="0.2">
      <c r="A18" s="3"/>
      <c r="B18" s="3"/>
      <c r="C18" s="2"/>
      <c r="D18" s="2"/>
      <c r="E18" s="2"/>
      <c r="F18" s="2"/>
      <c r="G18" s="2"/>
      <c r="H18" s="2"/>
      <c r="I18" s="2"/>
      <c r="J18" s="4"/>
      <c r="K18" s="23"/>
      <c r="L18" s="2"/>
      <c r="M18" s="2"/>
      <c r="N18" s="2"/>
      <c r="O18" s="2"/>
      <c r="P18" s="2"/>
      <c r="Q18" s="2"/>
      <c r="R18" s="1"/>
      <c r="S18" s="2"/>
      <c r="T18" s="2"/>
      <c r="U18" s="2"/>
      <c r="V18" s="2"/>
      <c r="W18" s="2"/>
      <c r="X18" s="22"/>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row>
    <row r="19" spans="1:123" ht="17" x14ac:dyDescent="0.2">
      <c r="A19" s="3"/>
      <c r="B19" s="3"/>
      <c r="C19" s="2"/>
      <c r="D19" s="2"/>
      <c r="E19" s="2"/>
      <c r="F19" s="2"/>
      <c r="G19" s="2"/>
      <c r="H19" s="2"/>
      <c r="I19" s="2"/>
      <c r="J19" s="4"/>
      <c r="K19" s="23"/>
      <c r="L19" s="2"/>
      <c r="M19" s="2"/>
      <c r="N19" s="2"/>
      <c r="O19" s="2"/>
      <c r="P19" s="2"/>
      <c r="Q19" s="2"/>
      <c r="R19" s="1"/>
      <c r="S19" s="2"/>
      <c r="T19" s="2"/>
      <c r="U19" s="2"/>
      <c r="V19" s="2"/>
      <c r="W19" s="2"/>
      <c r="X19" s="22"/>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row>
    <row r="20" spans="1:123" ht="17" x14ac:dyDescent="0.2">
      <c r="A20" s="3"/>
      <c r="B20" s="3"/>
      <c r="C20" s="2"/>
      <c r="D20" s="2"/>
      <c r="E20" s="2"/>
      <c r="F20" s="2"/>
      <c r="G20" s="2"/>
      <c r="H20" s="2"/>
      <c r="I20" s="2"/>
      <c r="J20" s="4"/>
      <c r="K20" s="23"/>
      <c r="L20" s="2"/>
      <c r="M20" s="2"/>
      <c r="N20" s="2"/>
      <c r="O20" s="2"/>
      <c r="P20" s="2"/>
      <c r="Q20" s="2"/>
      <c r="R20" s="1"/>
      <c r="S20" s="2"/>
      <c r="T20" s="2"/>
      <c r="U20" s="2"/>
      <c r="V20" s="2"/>
      <c r="W20" s="2"/>
      <c r="X20" s="22"/>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row>
    <row r="21" spans="1:123" ht="17" x14ac:dyDescent="0.2">
      <c r="A21" s="3"/>
      <c r="B21" s="3"/>
      <c r="C21" s="2"/>
      <c r="D21" s="2"/>
      <c r="E21" s="2"/>
      <c r="F21" s="2"/>
      <c r="G21" s="2"/>
      <c r="H21" s="2"/>
      <c r="I21" s="2"/>
      <c r="J21" s="4"/>
      <c r="K21" s="23"/>
      <c r="L21" s="2"/>
      <c r="M21" s="2"/>
      <c r="N21" s="2"/>
      <c r="O21" s="2"/>
      <c r="P21" s="2"/>
      <c r="Q21" s="2"/>
      <c r="R21" s="1"/>
      <c r="S21" s="2"/>
      <c r="T21" s="2"/>
      <c r="U21" s="2"/>
      <c r="V21" s="2"/>
      <c r="W21" s="2"/>
      <c r="X21" s="22"/>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row>
    <row r="22" spans="1:123" ht="17" x14ac:dyDescent="0.2">
      <c r="A22" s="3"/>
      <c r="B22" s="3"/>
      <c r="C22" s="2"/>
      <c r="D22" s="2"/>
      <c r="E22" s="2"/>
      <c r="F22" s="2"/>
      <c r="G22" s="2"/>
      <c r="H22" s="2"/>
      <c r="I22" s="2"/>
      <c r="J22" s="4"/>
      <c r="K22" s="23"/>
      <c r="L22" s="2"/>
      <c r="M22" s="2"/>
      <c r="N22" s="2"/>
      <c r="O22" s="2"/>
      <c r="P22" s="2"/>
      <c r="Q22" s="2"/>
      <c r="R22" s="1"/>
      <c r="S22" s="2"/>
      <c r="T22" s="2"/>
      <c r="U22" s="2"/>
      <c r="V22" s="2"/>
      <c r="W22" s="2"/>
      <c r="X22" s="22"/>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row>
    <row r="23" spans="1:123" ht="17" x14ac:dyDescent="0.2">
      <c r="A23" s="3"/>
      <c r="B23" s="3"/>
      <c r="C23" s="2"/>
      <c r="D23" s="2"/>
      <c r="E23" s="2"/>
      <c r="F23" s="2"/>
      <c r="G23" s="2"/>
      <c r="H23" s="2"/>
      <c r="I23" s="2"/>
      <c r="J23" s="4"/>
      <c r="K23" s="23"/>
      <c r="L23" s="2"/>
      <c r="M23" s="2"/>
      <c r="N23" s="2"/>
      <c r="O23" s="2"/>
      <c r="P23" s="2"/>
      <c r="Q23" s="2"/>
      <c r="R23" s="1"/>
      <c r="S23" s="2"/>
      <c r="T23" s="2"/>
      <c r="U23" s="2"/>
      <c r="V23" s="2"/>
      <c r="W23" s="2"/>
      <c r="X23" s="22"/>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row>
    <row r="24" spans="1:123" ht="17" x14ac:dyDescent="0.2">
      <c r="A24" s="3"/>
      <c r="B24" s="3"/>
      <c r="C24" s="2"/>
      <c r="D24" s="2"/>
      <c r="E24" s="2"/>
      <c r="F24" s="2"/>
      <c r="G24" s="2"/>
      <c r="H24" s="2"/>
      <c r="I24" s="2"/>
      <c r="J24" s="4"/>
      <c r="K24" s="23"/>
      <c r="L24" s="2"/>
      <c r="M24" s="2"/>
      <c r="N24" s="2"/>
      <c r="O24" s="2"/>
      <c r="P24" s="2"/>
      <c r="Q24" s="2"/>
      <c r="R24" s="1"/>
      <c r="S24" s="2"/>
      <c r="T24" s="2"/>
      <c r="U24" s="2"/>
      <c r="V24" s="2"/>
      <c r="W24" s="2"/>
      <c r="X24" s="22"/>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row>
    <row r="25" spans="1:123" ht="17" x14ac:dyDescent="0.2">
      <c r="A25" s="3"/>
      <c r="B25" s="3"/>
      <c r="C25" s="2"/>
      <c r="D25" s="2"/>
      <c r="E25" s="2"/>
      <c r="F25" s="2"/>
      <c r="G25" s="2"/>
      <c r="H25" s="2"/>
      <c r="I25" s="2"/>
      <c r="J25" s="4"/>
      <c r="K25" s="23"/>
      <c r="L25" s="2"/>
      <c r="M25" s="2"/>
      <c r="N25" s="2"/>
      <c r="O25" s="2"/>
      <c r="P25" s="2"/>
      <c r="Q25" s="2"/>
      <c r="R25" s="1"/>
      <c r="S25" s="2"/>
      <c r="T25" s="2"/>
      <c r="U25" s="2"/>
      <c r="V25" s="2"/>
      <c r="W25" s="2"/>
      <c r="X25" s="22"/>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row>
    <row r="26" spans="1:123" ht="17" x14ac:dyDescent="0.2">
      <c r="A26" s="3"/>
      <c r="B26" s="3"/>
      <c r="C26" s="2"/>
      <c r="D26" s="2"/>
      <c r="E26" s="2"/>
      <c r="F26" s="2"/>
      <c r="G26" s="2"/>
      <c r="H26" s="2"/>
      <c r="I26" s="2"/>
      <c r="J26" s="4"/>
      <c r="K26" s="23"/>
      <c r="L26" s="2"/>
      <c r="M26" s="2"/>
      <c r="N26" s="2"/>
      <c r="O26" s="2"/>
      <c r="P26" s="2"/>
      <c r="Q26" s="2"/>
      <c r="R26" s="1"/>
      <c r="S26" s="2"/>
      <c r="T26" s="2"/>
      <c r="U26" s="2"/>
      <c r="V26" s="2"/>
      <c r="W26" s="2"/>
      <c r="X26" s="22"/>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row>
    <row r="27" spans="1:123" ht="17" x14ac:dyDescent="0.2">
      <c r="A27" s="3"/>
      <c r="B27" s="3"/>
      <c r="C27" s="2"/>
      <c r="D27" s="2"/>
      <c r="E27" s="2"/>
      <c r="F27" s="2"/>
      <c r="G27" s="2"/>
      <c r="H27" s="2"/>
      <c r="I27" s="2"/>
      <c r="J27" s="4"/>
      <c r="K27" s="23"/>
      <c r="L27" s="2"/>
      <c r="M27" s="2"/>
      <c r="N27" s="2"/>
      <c r="O27" s="2"/>
      <c r="P27" s="2"/>
      <c r="Q27" s="2"/>
      <c r="R27" s="1"/>
      <c r="S27" s="2"/>
      <c r="T27" s="2"/>
      <c r="U27" s="2"/>
      <c r="V27" s="2"/>
      <c r="W27" s="2"/>
      <c r="X27" s="22"/>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row>
    <row r="28" spans="1:123" ht="17" x14ac:dyDescent="0.2">
      <c r="A28" s="3"/>
      <c r="B28" s="3"/>
      <c r="C28" s="2"/>
      <c r="D28" s="2"/>
      <c r="E28" s="2"/>
      <c r="F28" s="2"/>
      <c r="G28" s="2"/>
      <c r="H28" s="2"/>
      <c r="I28" s="2"/>
      <c r="J28" s="4"/>
      <c r="K28" s="2"/>
      <c r="L28" s="2"/>
      <c r="M28" s="2"/>
      <c r="N28" s="2"/>
      <c r="O28" s="2"/>
      <c r="P28" s="2"/>
      <c r="Q28" s="2"/>
      <c r="R28" s="1"/>
      <c r="S28" s="2"/>
      <c r="T28" s="2"/>
      <c r="U28" s="2"/>
      <c r="V28" s="2"/>
      <c r="W28" s="2"/>
      <c r="X28" s="22"/>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row>
    <row r="29" spans="1:123" ht="17" x14ac:dyDescent="0.2">
      <c r="A29" s="3"/>
      <c r="B29" s="3"/>
      <c r="C29" s="2"/>
      <c r="D29" s="2"/>
      <c r="E29" s="2"/>
      <c r="F29" s="2"/>
      <c r="G29" s="2"/>
      <c r="H29" s="2"/>
      <c r="I29" s="2"/>
      <c r="J29" s="4"/>
      <c r="K29" s="2"/>
      <c r="L29" s="2"/>
      <c r="M29" s="2"/>
      <c r="N29" s="2"/>
      <c r="O29" s="2"/>
      <c r="P29" s="2"/>
      <c r="Q29" s="2"/>
      <c r="R29" s="1"/>
      <c r="S29" s="2"/>
      <c r="T29" s="2"/>
      <c r="U29" s="2"/>
      <c r="V29" s="2"/>
      <c r="W29" s="2"/>
      <c r="X29" s="22"/>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row>
    <row r="30" spans="1:123" ht="17" x14ac:dyDescent="0.2">
      <c r="A30" s="3"/>
      <c r="B30" s="3"/>
      <c r="C30" s="2"/>
      <c r="D30" s="2"/>
      <c r="E30" s="2"/>
      <c r="F30" s="2"/>
      <c r="G30" s="2"/>
      <c r="H30" s="2"/>
      <c r="I30" s="2"/>
      <c r="J30" s="4"/>
      <c r="K30" s="2"/>
      <c r="L30" s="2"/>
      <c r="M30" s="2"/>
      <c r="N30" s="2"/>
      <c r="O30" s="2"/>
      <c r="P30" s="2"/>
      <c r="Q30" s="2"/>
      <c r="R30" s="1"/>
      <c r="S30" s="2"/>
      <c r="T30" s="2"/>
      <c r="U30" s="2"/>
      <c r="V30" s="2"/>
      <c r="W30" s="2"/>
      <c r="X30" s="22"/>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row>
    <row r="31" spans="1:123" ht="17" x14ac:dyDescent="0.2">
      <c r="A31" s="3"/>
      <c r="B31" s="3"/>
      <c r="C31" s="2"/>
      <c r="D31" s="2"/>
      <c r="E31" s="2"/>
      <c r="F31" s="2"/>
      <c r="G31" s="2"/>
      <c r="H31" s="2"/>
      <c r="I31" s="2"/>
      <c r="J31" s="4"/>
      <c r="K31" s="2"/>
      <c r="L31" s="2"/>
      <c r="M31" s="2"/>
      <c r="N31" s="2"/>
      <c r="O31" s="2"/>
      <c r="P31" s="2"/>
      <c r="Q31" s="2"/>
      <c r="R31" s="1"/>
      <c r="S31" s="2"/>
      <c r="T31" s="2"/>
      <c r="U31" s="2"/>
      <c r="V31" s="2"/>
      <c r="W31" s="2"/>
      <c r="X31" s="22"/>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row>
    <row r="32" spans="1:123" ht="17" x14ac:dyDescent="0.2">
      <c r="A32" s="3"/>
      <c r="B32" s="3"/>
      <c r="C32" s="2"/>
      <c r="D32" s="2"/>
      <c r="E32" s="2"/>
      <c r="F32" s="2"/>
      <c r="G32" s="2"/>
      <c r="H32" s="2"/>
      <c r="I32" s="2"/>
      <c r="J32" s="4"/>
      <c r="K32" s="2"/>
      <c r="L32" s="2"/>
      <c r="M32" s="2"/>
      <c r="N32" s="2"/>
      <c r="O32" s="2"/>
      <c r="P32" s="2"/>
      <c r="Q32" s="2"/>
      <c r="R32" s="1"/>
      <c r="S32" s="2"/>
      <c r="T32" s="2"/>
      <c r="U32" s="2"/>
      <c r="V32" s="2"/>
      <c r="W32" s="2"/>
      <c r="X32" s="22"/>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row>
    <row r="33" spans="1:123" ht="17" x14ac:dyDescent="0.2">
      <c r="A33" s="3"/>
      <c r="B33" s="3"/>
      <c r="C33" s="2"/>
      <c r="D33" s="2"/>
      <c r="E33" s="2"/>
      <c r="F33" s="2"/>
      <c r="G33" s="2"/>
      <c r="H33" s="2"/>
      <c r="I33" s="2"/>
      <c r="J33" s="4"/>
      <c r="K33" s="2"/>
      <c r="L33" s="2"/>
      <c r="M33" s="2"/>
      <c r="N33" s="2"/>
      <c r="O33" s="2"/>
      <c r="P33" s="2"/>
      <c r="Q33" s="2"/>
      <c r="R33" s="1"/>
      <c r="S33" s="2"/>
      <c r="T33" s="2"/>
      <c r="U33" s="2"/>
      <c r="V33" s="2"/>
      <c r="W33" s="2"/>
      <c r="X33" s="22"/>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row>
    <row r="34" spans="1:123" ht="17" x14ac:dyDescent="0.2">
      <c r="A34" s="3"/>
      <c r="B34" s="3"/>
      <c r="C34" s="2"/>
      <c r="D34" s="2"/>
      <c r="E34" s="2"/>
      <c r="F34" s="2"/>
      <c r="G34" s="2"/>
      <c r="H34" s="2"/>
      <c r="I34" s="2"/>
      <c r="J34" s="4"/>
      <c r="K34" s="2"/>
      <c r="L34" s="2"/>
      <c r="M34" s="2"/>
      <c r="N34" s="2"/>
      <c r="O34" s="2"/>
      <c r="P34" s="2"/>
      <c r="Q34" s="2"/>
      <c r="R34" s="1"/>
      <c r="S34" s="2"/>
      <c r="T34" s="2"/>
      <c r="U34" s="2"/>
      <c r="V34" s="2"/>
      <c r="W34" s="2"/>
      <c r="X34" s="22"/>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row>
    <row r="35" spans="1:123" ht="17" x14ac:dyDescent="0.2">
      <c r="A35" s="3"/>
      <c r="B35" s="3"/>
      <c r="C35" s="2"/>
      <c r="D35" s="2"/>
      <c r="E35" s="2"/>
      <c r="F35" s="2"/>
      <c r="G35" s="2"/>
      <c r="H35" s="2"/>
      <c r="I35" s="2"/>
      <c r="J35" s="4"/>
      <c r="K35" s="2"/>
      <c r="L35" s="2"/>
      <c r="M35" s="2"/>
      <c r="N35" s="2"/>
      <c r="O35" s="2"/>
      <c r="P35" s="2"/>
      <c r="Q35" s="2"/>
      <c r="R35" s="1"/>
      <c r="S35" s="2"/>
      <c r="T35" s="2"/>
      <c r="U35" s="2"/>
      <c r="V35" s="2"/>
      <c r="W35" s="2"/>
      <c r="X35" s="22"/>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row>
    <row r="36" spans="1:123" ht="17" x14ac:dyDescent="0.2">
      <c r="A36" s="3"/>
      <c r="B36" s="3"/>
      <c r="C36" s="2"/>
      <c r="D36" s="2"/>
      <c r="E36" s="2"/>
      <c r="F36" s="2"/>
      <c r="G36" s="2"/>
      <c r="H36" s="2"/>
      <c r="I36" s="2"/>
      <c r="J36" s="4"/>
      <c r="K36" s="2"/>
      <c r="L36" s="2"/>
      <c r="M36" s="2"/>
      <c r="N36" s="2"/>
      <c r="O36" s="2"/>
      <c r="P36" s="2"/>
      <c r="Q36" s="2"/>
      <c r="R36" s="1"/>
      <c r="S36" s="2"/>
      <c r="T36" s="2"/>
      <c r="U36" s="2"/>
      <c r="V36" s="2"/>
      <c r="W36" s="2"/>
      <c r="X36" s="22"/>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row>
    <row r="37" spans="1:123" ht="17" x14ac:dyDescent="0.2">
      <c r="A37" s="3"/>
      <c r="B37" s="3"/>
      <c r="C37" s="2"/>
      <c r="D37" s="2"/>
      <c r="E37" s="2"/>
      <c r="F37" s="2"/>
      <c r="G37" s="2"/>
      <c r="H37" s="2"/>
      <c r="I37" s="2"/>
      <c r="J37" s="4"/>
      <c r="K37" s="2"/>
      <c r="L37" s="2"/>
      <c r="M37" s="2"/>
      <c r="N37" s="2"/>
      <c r="O37" s="2"/>
      <c r="P37" s="2"/>
      <c r="Q37" s="2"/>
      <c r="R37" s="1"/>
      <c r="S37" s="2"/>
      <c r="T37" s="2"/>
      <c r="U37" s="2"/>
      <c r="V37" s="2"/>
      <c r="W37" s="2"/>
      <c r="X37" s="22"/>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row>
    <row r="38" spans="1:123" ht="17" x14ac:dyDescent="0.2">
      <c r="A38" s="3"/>
      <c r="B38" s="3"/>
      <c r="C38" s="2"/>
      <c r="D38" s="2"/>
      <c r="E38" s="2"/>
      <c r="F38" s="2"/>
      <c r="G38" s="2"/>
      <c r="H38" s="2"/>
      <c r="I38" s="2"/>
      <c r="J38" s="4"/>
      <c r="K38" s="2"/>
      <c r="L38" s="2"/>
      <c r="M38" s="2"/>
      <c r="N38" s="2"/>
      <c r="O38" s="2"/>
      <c r="P38" s="2"/>
      <c r="Q38" s="2"/>
      <c r="R38" s="1"/>
      <c r="S38" s="2"/>
      <c r="T38" s="2"/>
      <c r="U38" s="2"/>
      <c r="V38" s="2"/>
      <c r="W38" s="2"/>
      <c r="X38" s="22"/>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row>
    <row r="39" spans="1:123" x14ac:dyDescent="0.2">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row>
    <row r="40" spans="1:123" x14ac:dyDescent="0.2">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row>
    <row r="41" spans="1:123" x14ac:dyDescent="0.2">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row>
    <row r="42" spans="1:123" x14ac:dyDescent="0.2">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row>
    <row r="43" spans="1:123" x14ac:dyDescent="0.2">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row>
    <row r="44" spans="1:123" x14ac:dyDescent="0.2">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row>
    <row r="45" spans="1:123" x14ac:dyDescent="0.2">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row>
    <row r="46" spans="1:123" x14ac:dyDescent="0.2">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row>
    <row r="47" spans="1:123" x14ac:dyDescent="0.2">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row>
    <row r="48" spans="1:123" x14ac:dyDescent="0.2">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row>
    <row r="49" spans="25:123" x14ac:dyDescent="0.2">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row>
    <row r="50" spans="25:123" x14ac:dyDescent="0.2">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row>
    <row r="51" spans="25:123" x14ac:dyDescent="0.2">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row>
    <row r="52" spans="25:123" x14ac:dyDescent="0.2">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row>
    <row r="53" spans="25:123" x14ac:dyDescent="0.2">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row>
    <row r="54" spans="25:123" x14ac:dyDescent="0.2">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row>
    <row r="55" spans="25:123" x14ac:dyDescent="0.2">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row>
    <row r="56" spans="25:123" x14ac:dyDescent="0.2">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row>
    <row r="57" spans="25:123" x14ac:dyDescent="0.2">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row>
    <row r="58" spans="25:123" x14ac:dyDescent="0.2">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row>
    <row r="59" spans="25:123" x14ac:dyDescent="0.2">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row>
    <row r="60" spans="25:123" x14ac:dyDescent="0.2">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row>
    <row r="61" spans="25:123" x14ac:dyDescent="0.2">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row>
    <row r="62" spans="25:123" x14ac:dyDescent="0.2">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row>
    <row r="63" spans="25:123" x14ac:dyDescent="0.2">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row>
    <row r="64" spans="25:123" x14ac:dyDescent="0.2">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row>
    <row r="65" spans="25:123" x14ac:dyDescent="0.2">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row>
    <row r="66" spans="25:123" x14ac:dyDescent="0.2">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row>
    <row r="67" spans="25:123" x14ac:dyDescent="0.2">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row>
    <row r="68" spans="25:123" x14ac:dyDescent="0.2">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row>
    <row r="69" spans="25:123" x14ac:dyDescent="0.2">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row>
    <row r="70" spans="25:123" x14ac:dyDescent="0.2">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row>
    <row r="71" spans="25:123" x14ac:dyDescent="0.2">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row>
    <row r="72" spans="25:123" x14ac:dyDescent="0.2">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row>
    <row r="73" spans="25:123" x14ac:dyDescent="0.2">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row>
    <row r="74" spans="25:123" x14ac:dyDescent="0.2">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row>
    <row r="75" spans="25:123" x14ac:dyDescent="0.2">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row>
    <row r="76" spans="25:123" x14ac:dyDescent="0.2">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row>
    <row r="77" spans="25:123" x14ac:dyDescent="0.2">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row>
    <row r="78" spans="25:123" x14ac:dyDescent="0.2">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row>
    <row r="79" spans="25:123" x14ac:dyDescent="0.2">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row>
    <row r="80" spans="25:123" x14ac:dyDescent="0.2">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row>
    <row r="81" spans="25:123" x14ac:dyDescent="0.2">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row>
    <row r="82" spans="25:123" x14ac:dyDescent="0.2">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row>
    <row r="83" spans="25:123" x14ac:dyDescent="0.2">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row>
    <row r="84" spans="25:123" x14ac:dyDescent="0.2">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row>
    <row r="85" spans="25:123" x14ac:dyDescent="0.2">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row>
    <row r="86" spans="25:123" x14ac:dyDescent="0.2">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row>
    <row r="87" spans="25:123" x14ac:dyDescent="0.2">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row>
    <row r="88" spans="25:123" x14ac:dyDescent="0.2">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row>
    <row r="89" spans="25:123" x14ac:dyDescent="0.2">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row>
    <row r="90" spans="25:123" x14ac:dyDescent="0.2">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row>
    <row r="91" spans="25:123" x14ac:dyDescent="0.2">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row>
    <row r="92" spans="25:123" x14ac:dyDescent="0.2">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row>
    <row r="93" spans="25:123" x14ac:dyDescent="0.2">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row>
    <row r="94" spans="25:123" x14ac:dyDescent="0.2">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row>
    <row r="95" spans="25:123" x14ac:dyDescent="0.2">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row>
    <row r="96" spans="25:123" x14ac:dyDescent="0.2">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row>
    <row r="97" spans="25:123" x14ac:dyDescent="0.2">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row>
    <row r="98" spans="25:123" x14ac:dyDescent="0.2">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row>
    <row r="99" spans="25:123" x14ac:dyDescent="0.2">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row>
    <row r="100" spans="25:123" x14ac:dyDescent="0.2">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row>
    <row r="101" spans="25:123" x14ac:dyDescent="0.2">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row>
    <row r="102" spans="25:123" x14ac:dyDescent="0.2">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row>
    <row r="103" spans="25:123" x14ac:dyDescent="0.2">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row>
    <row r="104" spans="25:123" x14ac:dyDescent="0.2">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row>
    <row r="105" spans="25:123" x14ac:dyDescent="0.2">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row>
    <row r="106" spans="25:123" x14ac:dyDescent="0.2">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row>
    <row r="107" spans="25:123" x14ac:dyDescent="0.2">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row>
    <row r="108" spans="25:123" x14ac:dyDescent="0.2">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row>
    <row r="109" spans="25:123" x14ac:dyDescent="0.2">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row>
    <row r="110" spans="25:123" x14ac:dyDescent="0.2">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row>
    <row r="111" spans="25:123" x14ac:dyDescent="0.2">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row>
    <row r="112" spans="25:123" x14ac:dyDescent="0.2">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row>
    <row r="113" spans="25:123" x14ac:dyDescent="0.2">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row>
    <row r="114" spans="25:123" x14ac:dyDescent="0.2">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row>
    <row r="115" spans="25:123" x14ac:dyDescent="0.2">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row>
    <row r="116" spans="25:123" x14ac:dyDescent="0.2">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row>
    <row r="117" spans="25:123" x14ac:dyDescent="0.2">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row>
    <row r="118" spans="25:123" x14ac:dyDescent="0.2">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row>
    <row r="119" spans="25:123" x14ac:dyDescent="0.2">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row>
    <row r="120" spans="25:123" x14ac:dyDescent="0.2">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row>
    <row r="121" spans="25:123" x14ac:dyDescent="0.2">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row>
    <row r="122" spans="25:123" x14ac:dyDescent="0.2">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row>
    <row r="123" spans="25:123" x14ac:dyDescent="0.2">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row>
    <row r="124" spans="25:123" x14ac:dyDescent="0.2">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row>
    <row r="125" spans="25:123" x14ac:dyDescent="0.2">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row>
    <row r="126" spans="25:123" x14ac:dyDescent="0.2">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row>
    <row r="127" spans="25:123" x14ac:dyDescent="0.2">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row>
    <row r="128" spans="25:123" x14ac:dyDescent="0.2">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row>
    <row r="129" spans="25:123" x14ac:dyDescent="0.2">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row>
    <row r="130" spans="25:123" x14ac:dyDescent="0.2">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row>
    <row r="131" spans="25:123" x14ac:dyDescent="0.2">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row>
    <row r="132" spans="25:123" x14ac:dyDescent="0.2">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row>
    <row r="133" spans="25:123" x14ac:dyDescent="0.2">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row>
    <row r="134" spans="25:123" x14ac:dyDescent="0.2">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row>
    <row r="135" spans="25:123" x14ac:dyDescent="0.2">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row>
    <row r="136" spans="25:123" x14ac:dyDescent="0.2">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row>
    <row r="137" spans="25:123" x14ac:dyDescent="0.2">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row>
    <row r="138" spans="25:123" x14ac:dyDescent="0.2">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row>
    <row r="139" spans="25:123" x14ac:dyDescent="0.2">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row>
    <row r="140" spans="25:123" x14ac:dyDescent="0.2">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row>
    <row r="141" spans="25:123" x14ac:dyDescent="0.2">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row>
    <row r="142" spans="25:123" x14ac:dyDescent="0.2">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row>
    <row r="143" spans="25:123" x14ac:dyDescent="0.2">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row>
    <row r="144" spans="25:123" x14ac:dyDescent="0.2">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row>
    <row r="145" spans="25:123" x14ac:dyDescent="0.2">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row>
    <row r="146" spans="25:123" x14ac:dyDescent="0.2">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row>
    <row r="147" spans="25:123" x14ac:dyDescent="0.2">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row>
    <row r="148" spans="25:123" x14ac:dyDescent="0.2">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row>
    <row r="149" spans="25:123" x14ac:dyDescent="0.2">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row>
    <row r="150" spans="25:123" x14ac:dyDescent="0.2">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row>
    <row r="151" spans="25:123" x14ac:dyDescent="0.2">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row>
    <row r="152" spans="25:123" x14ac:dyDescent="0.2">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row>
    <row r="153" spans="25:123" x14ac:dyDescent="0.2">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row>
    <row r="154" spans="25:123" x14ac:dyDescent="0.2">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row>
    <row r="155" spans="25:123" x14ac:dyDescent="0.2">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row>
    <row r="156" spans="25:123" x14ac:dyDescent="0.2">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row>
    <row r="157" spans="25:123" x14ac:dyDescent="0.2">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row>
    <row r="158" spans="25:123" x14ac:dyDescent="0.2">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row>
    <row r="159" spans="25:123" x14ac:dyDescent="0.2">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row>
    <row r="160" spans="25:123" x14ac:dyDescent="0.2">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row>
    <row r="161" spans="25:123" x14ac:dyDescent="0.2">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row>
    <row r="162" spans="25:123" x14ac:dyDescent="0.2">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row>
    <row r="163" spans="25:123" x14ac:dyDescent="0.2">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row>
    <row r="164" spans="25:123" x14ac:dyDescent="0.2">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row>
    <row r="165" spans="25:123" x14ac:dyDescent="0.2">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row>
    <row r="166" spans="25:123" x14ac:dyDescent="0.2">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row>
  </sheetData>
  <mergeCells count="7">
    <mergeCell ref="EG2:EO2"/>
    <mergeCell ref="A2:X2"/>
    <mergeCell ref="Y2:AB2"/>
    <mergeCell ref="AC2:AM2"/>
    <mergeCell ref="AN2:CI2"/>
    <mergeCell ref="CJ2:DO2"/>
    <mergeCell ref="DS2:EF2"/>
  </mergeCells>
  <hyperlinks>
    <hyperlink ref="B4" r:id="rId1" xr:uid="{F7A2ADCA-AA48-4445-8937-89BE9EC10AAF}"/>
    <hyperlink ref="B5" r:id="rId2" xr:uid="{22ECE92F-E17D-7A49-9E73-A9F3D8E2EE24}"/>
    <hyperlink ref="B6" r:id="rId3" xr:uid="{D7CFE522-1712-714F-AC56-C10753BEE778}"/>
    <hyperlink ref="B7" r:id="rId4" xr:uid="{73975206-0E59-354E-8684-8646E817EC71}"/>
    <hyperlink ref="B8" r:id="rId5" xr:uid="{A45ECAEF-4044-F342-91A5-FC3BBC93CE9B}"/>
    <hyperlink ref="B9" r:id="rId6" xr:uid="{A6BE4285-13C6-F84E-A261-C69C33D4A709}"/>
    <hyperlink ref="B10" r:id="rId7" xr:uid="{C4367993-EB93-F34B-898C-7E08C7C1593C}"/>
    <hyperlink ref="B11" r:id="rId8" xr:uid="{3266BFE2-629B-3C4F-B243-65084196016F}"/>
    <hyperlink ref="B12" r:id="rId9" xr:uid="{01320EB4-B190-474C-BA35-2A226FD7773D}"/>
    <hyperlink ref="B13" r:id="rId10" xr:uid="{4EA9B93D-B5AA-BB41-8A82-D0F031F7C2B9}"/>
    <hyperlink ref="B14" r:id="rId11" xr:uid="{FA0704F3-CC80-544F-B0AA-1E9CAA9E8826}"/>
    <hyperlink ref="Z4" r:id="rId12" tooltip="Persistent link using digital object identifier" display="https://doi.org/10.1016/j.palaeo.2014.04.012" xr:uid="{2CDDD003-A17C-4F45-844D-DE3B3A782783}"/>
    <hyperlink ref="Z5" r:id="rId13" tooltip="Persistent link using digital object identifier" display="https://doi.org/10.1016/j.palaeo.2014.04.012" xr:uid="{191650F4-C119-D945-9892-8B4DA2ECA5DE}"/>
    <hyperlink ref="Z6" r:id="rId14" tooltip="Persistent link using digital object identifier" display="https://doi.org/10.1016/j.palaeo.2014.04.012" xr:uid="{C812E028-7EAF-E541-AE71-AE8F5C612993}"/>
    <hyperlink ref="Z7" r:id="rId15" tooltip="Persistent link using digital object identifier" display="https://doi.org/10.1016/j.palaeo.2014.04.012" xr:uid="{23C568EA-160F-864F-81BC-FA1EAC7545CF}"/>
    <hyperlink ref="Z8" r:id="rId16" tooltip="Persistent link using digital object identifier" display="https://doi.org/10.1016/j.palaeo.2014.04.012" xr:uid="{34945C31-DC7B-A045-978A-8B7D002CB46D}"/>
    <hyperlink ref="Z9" r:id="rId17" tooltip="Persistent link using digital object identifier" display="https://doi.org/10.1016/j.palaeo.2014.04.012" xr:uid="{62F754CB-7AAA-4B49-889F-E81B47DD6242}"/>
    <hyperlink ref="Z10" r:id="rId18" tooltip="Persistent link using digital object identifier" display="https://doi.org/10.1016/j.palaeo.2014.04.012" xr:uid="{F213A80D-3FFC-F046-8BFC-5FC16505240E}"/>
    <hyperlink ref="Z11" r:id="rId19" tooltip="Persistent link using digital object identifier" display="https://doi.org/10.1016/j.palaeo.2014.04.012" xr:uid="{19BAFC25-A73B-CB42-831F-92F3AB3FA1CB}"/>
    <hyperlink ref="Z12" r:id="rId20" tooltip="Persistent link using digital object identifier" display="https://doi.org/10.1016/j.palaeo.2014.04.012" xr:uid="{A3295DA4-C790-304F-9B4F-ABDBADADB39C}"/>
    <hyperlink ref="Z13" r:id="rId21" tooltip="Persistent link using digital object identifier" display="https://doi.org/10.1016/j.palaeo.2014.04.012" xr:uid="{DCCF320A-21E5-7E44-A1B2-1F72227F2305}"/>
    <hyperlink ref="Z14" r:id="rId22" tooltip="Persistent link using digital object identifier" display="https://doi.org/10.1016/j.palaeo.2014.04.012" xr:uid="{9D187930-0449-3644-8595-B341A18789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Baerbel Hoenisch</dc:creator>
  <cp:lastModifiedBy>Bärbel Hönisch</cp:lastModifiedBy>
  <dcterms:created xsi:type="dcterms:W3CDTF">2019-02-19T19:23:08Z</dcterms:created>
  <dcterms:modified xsi:type="dcterms:W3CDTF">2022-03-17T18:43:23Z</dcterms:modified>
</cp:coreProperties>
</file>