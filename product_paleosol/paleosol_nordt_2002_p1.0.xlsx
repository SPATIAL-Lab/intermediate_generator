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12B24D0F-ABB9-8E46-B911-263F365C8EA1}" xr6:coauthVersionLast="47" xr6:coauthVersionMax="47" xr10:uidLastSave="{00000000-0000-0000-0000-000000000000}"/>
  <bookViews>
    <workbookView xWindow="2860" yWindow="2720" windowWidth="25360" windowHeight="15280" tabRatio="500" xr2:uid="{00000000-000D-0000-FFFF-FFFF00000000}"/>
  </bookViews>
  <sheets>
    <sheet name="paleosol" sheetId="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AO9" i="1" l="1"/>
  <c r="AO8" i="1"/>
  <c r="AO7" i="1"/>
  <c r="AO6" i="1"/>
  <c r="AO5" i="1"/>
  <c r="AO4" i="1"/>
</calcChain>
</file>

<file path=xl/sharedStrings.xml><?xml version="1.0" encoding="utf-8"?>
<sst xmlns="http://schemas.openxmlformats.org/spreadsheetml/2006/main" count="852" uniqueCount="177">
  <si>
    <t>Data Sources</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</si>
  <si>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</si>
  <si>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</si>
  <si>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</si>
  <si>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</si>
  <si>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</si>
  <si>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</si>
  <si>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</si>
  <si>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</si>
  <si>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</si>
  <si>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</si>
  <si>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</si>
  <si>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</si>
  <si>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</si>
  <si>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</si>
  <si>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</si>
  <si>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</si>
  <si>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</si>
  <si>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</si>
  <si>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</si>
  <si>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</si>
  <si>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</si>
  <si>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</si>
  <si>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</si>
  <si>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</si>
  <si>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</si>
  <si>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</si>
  <si>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</si>
  <si>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</si>
  <si>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</si>
  <si>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</si>
  <si>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</si>
  <si>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</si>
  <si>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</si>
  <si>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</si>
  <si>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</si>
  <si>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</si>
  <si>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</si>
  <si>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</si>
  <si>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variables considered in error propagation</t>
  </si>
  <si>
    <t>error propagation method</t>
  </si>
  <si>
    <t>No</t>
  </si>
  <si>
    <t>Yes</t>
  </si>
  <si>
    <t>B</t>
  </si>
  <si>
    <t>nodules</t>
  </si>
  <si>
    <t>proxy</t>
  </si>
  <si>
    <t>first_author_last_name</t>
  </si>
  <si>
    <t>publication_year</t>
  </si>
  <si>
    <t>doi</t>
  </si>
  <si>
    <t>age_ka</t>
  </si>
  <si>
    <t>Age_uncertainty_pos_ka</t>
  </si>
  <si>
    <t>Age_uncertainty_neg_ka</t>
  </si>
  <si>
    <t>NA</t>
  </si>
  <si>
    <t>paleosols</t>
  </si>
  <si>
    <t>CO2_ppm</t>
  </si>
  <si>
    <t>CO2_uncertainty_pos_ppm</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</si>
  <si>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</si>
  <si>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</si>
  <si>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</si>
  <si>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</si>
  <si>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</si>
  <si>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</si>
  <si>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</si>
  <si>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</si>
  <si>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</si>
  <si>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</si>
  <si>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</si>
  <si>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</si>
  <si>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</si>
  <si>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</si>
  <si>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</si>
  <si>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</si>
  <si>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</si>
  <si>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</si>
  <si>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</si>
  <si>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</si>
  <si>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</si>
  <si>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</si>
  <si>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</si>
  <si>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</si>
  <si>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</si>
  <si>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</si>
  <si>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</si>
  <si>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</si>
  <si>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</si>
  <si>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</si>
  <si>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</si>
  <si>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</si>
  <si>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</si>
  <si>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</si>
  <si>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</si>
  <si>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</si>
  <si>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</si>
  <si>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</si>
  <si>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</si>
  <si>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</si>
  <si>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</si>
  <si>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</si>
  <si>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</si>
  <si>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</si>
  <si>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</si>
  <si>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</si>
  <si>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</si>
  <si>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</si>
  <si>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</si>
  <si>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</si>
  <si>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</si>
  <si>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</si>
  <si>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</si>
  <si>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</si>
  <si>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</si>
  <si>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</si>
  <si>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</si>
  <si>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</si>
  <si>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</si>
  <si>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</si>
  <si>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</si>
  <si>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</si>
  <si>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</si>
  <si>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</si>
  <si>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</si>
  <si>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</si>
  <si>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</si>
  <si>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</si>
  <si>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</si>
  <si>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</si>
  <si>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</si>
  <si>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r>
      <t>Atmospheric CO</t>
    </r>
    <r>
      <rPr>
        <vertAlign val="subscript"/>
        <sz val="13"/>
        <color rgb="FF000000"/>
        <rFont val="Arial"/>
        <family val="2"/>
      </rPr>
      <t xml:space="preserve">2 </t>
    </r>
    <r>
      <rPr>
        <sz val="13"/>
        <color rgb="FF000000"/>
        <rFont val="Arial"/>
        <family val="2"/>
      </rPr>
      <t>uncertainty neg ppmV</t>
    </r>
  </si>
  <si>
    <t xml:space="preserve">NA </t>
  </si>
  <si>
    <t>estimate</t>
  </si>
  <si>
    <t>S(z) uncertainty  neg ppm</t>
  </si>
  <si>
    <t>S(z) uncertainty pos ppm</t>
  </si>
  <si>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</si>
  <si>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</si>
  <si>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</si>
  <si>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</si>
  <si>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t>Paleo Latitude (decimal degree, south negative)</t>
  </si>
  <si>
    <t>Paleo Longitude (decimal degree, west negative)</t>
  </si>
  <si>
    <t>Nordt</t>
  </si>
  <si>
    <t>min/max</t>
  </si>
  <si>
    <t>S(z)</t>
  </si>
  <si>
    <t>max/min</t>
  </si>
  <si>
    <t>10.1130/0091-7613(2002)030%3C0703:PBIEFI%3E2.0.CO;2</t>
  </si>
  <si>
    <t>Nordt, L., Atchley, S., &amp; Dworkin, S. I. (2002). Paleosol barometer indicates extreme fluctuations in atmospheric CO2 across the Cretaceous-Tertiary boundary. Geology, 30(8), 703-706.</t>
  </si>
  <si>
    <t xml:space="preserve">Barrera, E., and Savin, S.M., 1998, Evolution of late Cam- panian–Maastrichtian marine climates and oceans, in Barrera, E., and Johnson, C.C., eds., Evolution of the Cretaceous ocean-climate system: Geological Society of America Special Paper 332, p. 245–282. Shackleton, N.J., and Bleil, U., 1985, Carbon-isotope stratig- raphy, Site 577, in Turner, K.L., Initial reports of the Deep Sea Drilling Project, Volume 86: Washington, D.C., U.S. Government Printing Office, p. 503–511. </t>
  </si>
  <si>
    <t>planktic and bulk carbonate d13C values used to calculate d13Ca</t>
  </si>
  <si>
    <t xml:space="preserve">Eberth, D.A., Braman, D.R., and Tokaryk, T.T., 1990, Stra- tigraphy, sedimentology and vertebrate paleontology of the Judith River Formation (Campanian) near Muddy Lake, west-central Saskatchewan: Bulletin of Canadian Petroleum Geology, v. 38, p. 387–406.  Eberth, D.A., and Hamlin, A.P., 1993, Tectonic, stratigraphic, and sedimentologic significance of a regional dis- continuity in the upper Judith River Group (Belly River wedge) of southern Alberta, Saskatchewan, and northern Montana: Canadian Journal of Earth Sciences, v. 30, p. 174–200. Jerzykiewicz, T., and Norris, D.K., 1994, Stratigraphy, structure and syntectonic sedimentation of the Cam- panian ‘‘Belly River’’ clastic wedge in the southern Canadian Cordillera: Cretaceous Research, v. 15, p. 367–399.  Lerbekmo, J.F., and Coulter, K.C., 1985, Late Cretaceous to early Tertiary magnetostratigraphy of a continental sequence: Red Deer Valley, Alberta, Canada: Canadian Journal of Earth Sciences, v. 22, p. 567–583.  Jerzykiewicz, T., and Sweet, A.R., 1988, Sedimentological and palynological evidence of regional climatic changes in the Campanian to Paleocene sediments of the Rocky Mountain Foothills, Canada: Sedimentary Geology, v. 59, p. 29–76. Lerbekmo, J.F., 1999, Magnetostratigraphy of the Canadian Continental Drilling Program Cretaceous-Tertiary (K-T) Boundary Project cores holes, western Canada: Canadian Journal of Earth Sciences, v. 36, p. 705–715. Catuneanu, O., and Sweet, A.R., 2000, Maastrichtian- Paleocene foreland basin stratigraphies, western Can- ada: A reciprocal sequence architecture: Canadian Journal of Earth Sciences, v. 36, p. 685–703. Sweet, A.R., Braman, D.R., and Lerbekmo, J.F., 1990, Pa- lynofloral response to K-T boundary events: A tran- sitory interruption within a dynamic system, in Sharpton, V.L., and Ward, P.D., eds., Global catastro- phes in Earth history: Geological Society of America Special Paper 247, p. 457–469. Lerbekmo, J.F., and Sweet, A.R., 2000, Magnetostratigra- phy and biostratigraphy of the continental Paleocene in the Calgary area, southwestern Alberta: Bulletin of Canadian Petroleum Geology, v. 48, p. 285–306. </t>
  </si>
  <si>
    <t>Lower Porcupine Hills</t>
  </si>
  <si>
    <t>Upper Willow Creek</t>
  </si>
  <si>
    <t>Upper Willow Creek/Lower Willow Creek</t>
  </si>
  <si>
    <t>Lower Willow Creek</t>
  </si>
  <si>
    <t>Lundbreck</t>
  </si>
  <si>
    <t>from measured d13C coal</t>
  </si>
  <si>
    <t>from interpolated d13C coal</t>
  </si>
  <si>
    <t xml:space="preserve">from planktic forams according to Ekart, D.D., Cerling, T.E., Montanez, I.P., and Tabor, N.J., 1999, A 400 million year carbon isotope record of pedogenic carbonate: Implications for paleoatmospheric carbon dioxide: American Journal of Science, v. 299, p. 805–827. Friedli, H., Lotscher, H., Oeschger, H., Siegenthaler, U., and Stauffer, B., 1986, Ice core record of the 13C/12C ratio of atmospheric CO2 in the past two centuries: Nature, v. 324, p. 237–238. </t>
  </si>
  <si>
    <t xml:space="preserve">Wolfe, J.A., and Upchurch, G.R., 1987, North American nonmarine climates and vegetation during the Late Cretaceous: Palaeogeography, Palaeoclimatology, Palaeoecology, v. 61, p. 33–77. </t>
  </si>
  <si>
    <t>leaf and wood assmeblages</t>
  </si>
  <si>
    <t>3 N HCl</t>
  </si>
  <si>
    <t>coal</t>
  </si>
  <si>
    <t>CO2 was reported in a plot but not a table in original paper</t>
  </si>
  <si>
    <r>
      <t>Atmospheric CO</t>
    </r>
    <r>
      <rPr>
        <vertAlign val="subscript"/>
        <sz val="13"/>
        <color rgb="FF000000"/>
        <rFont val="Arial"/>
        <family val="2"/>
      </rPr>
      <t xml:space="preserve">2 </t>
    </r>
    <r>
      <rPr>
        <sz val="13"/>
        <color rgb="FF000000"/>
        <rFont val="Arial"/>
        <family val="2"/>
      </rPr>
      <t>uncertainty pos  ppmV</t>
    </r>
  </si>
  <si>
    <t>Dan Breecker and Lee Nordt</t>
  </si>
  <si>
    <t>breecker@jsg.utexas.edu; Lee_Nordt@baylor.edu</t>
  </si>
  <si>
    <t>CO2 data as originally published (TRUE or FALSE)</t>
  </si>
  <si>
    <t>specify reason for quarantine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</si>
  <si>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</si>
  <si>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</si>
  <si>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</si>
  <si>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</si>
  <si>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</si>
  <si>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</si>
  <si>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</si>
  <si>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specify reason for age revision</t>
  </si>
  <si>
    <t>Summary</t>
  </si>
  <si>
    <t>S(z) value is assumed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</si>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</sst>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1"/>
      <color rgb="FF000000"/>
      <name val="Calibri"/>
      <family val="2"/>
      <charset val="1"/>
    </font>
    <font>
      <sz val="13"/>
      <color rgb="FF222222"/>
      <name val="Arial"/>
      <family val="2"/>
    </font>
    <font>
      <sz val="12"/>
      <color rgb="FF222222"/>
      <name val="Arial"/>
      <family val="2"/>
    </font>
    <font>
      <u/>
      <sz val="12"/>
      <color theme="11"/>
      <name val="Calibri"/>
      <family val="2"/>
      <scheme val="minor"/>
    </font>
    <font>
      <u/>
      <sz val="12"/>
      <color theme="1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Verdana"/>
      <family val="2"/>
    </font>
    <font>
      <sz val="8"/>
      <name val="Calibri"/>
      <family val="2"/>
      <scheme val="minor"/>
    </font>
    <font>
      <sz val="12"/>
      <color rgb="FF000000"/>
      <name val="Calibri"/>
      <family val="2"/>
      <scheme val="minor"/>
    </font>
    <font>
      <sz val="18"/>
      <color theme="1"/>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DEDED"/>
        <bgColor indexed="64"/>
      </patternFill>
    </fill>
    <fill>
      <patternFill patternType="solid">
        <fgColor theme="5" tint="0.79998168889431442"/>
        <bgColor rgb="FF000000"/>
      </patternFill>
    </fill>
    <fill>
      <patternFill patternType="solid">
        <fgColor theme="7" tint="0.79998168889431442"/>
        <bgColor rgb="FF000000"/>
      </patternFill>
    </fill>
    <fill>
      <patternFill patternType="solid">
        <fgColor theme="8" tint="0.79998168889431442"/>
        <bgColor rgb="FF000000"/>
      </patternFill>
    </fill>
    <fill>
      <patternFill patternType="solid">
        <fgColor theme="2"/>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bottom style="medium">
        <color indexed="64"/>
      </bottom>
      <diagonal/>
    </border>
  </borders>
  <cellStyleXfs count="6">
    <xf numFmtId="0" fontId="0" fillId="0" borderId="0"/>
    <xf numFmtId="0" fontId="11" fillId="0" borderId="0"/>
    <xf numFmtId="0" fontId="1"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cellStyleXfs>
  <cellXfs count="129">
    <xf numFmtId="0" fontId="0" fillId="0" borderId="0" xfId="0"/>
    <xf numFmtId="0" fontId="2" fillId="0" borderId="1" xfId="0" applyFont="1" applyFill="1" applyBorder="1" applyAlignment="1">
      <alignment wrapText="1"/>
    </xf>
    <xf numFmtId="0" fontId="3" fillId="0" borderId="2" xfId="0" applyFont="1" applyFill="1" applyBorder="1"/>
    <xf numFmtId="0" fontId="3" fillId="0" borderId="3" xfId="0" applyFont="1" applyFill="1" applyBorder="1"/>
    <xf numFmtId="0" fontId="3" fillId="0" borderId="0" xfId="0" applyFont="1" applyFill="1"/>
    <xf numFmtId="0" fontId="2" fillId="0" borderId="6" xfId="0" applyFont="1" applyBorder="1" applyAlignment="1">
      <alignment wrapText="1"/>
    </xf>
    <xf numFmtId="0" fontId="3" fillId="4" borderId="7" xfId="0" applyFont="1" applyFill="1" applyBorder="1"/>
    <xf numFmtId="0" fontId="3" fillId="5" borderId="7" xfId="0" applyFont="1" applyFill="1" applyBorder="1"/>
    <xf numFmtId="0" fontId="3" fillId="6" borderId="7" xfId="0" applyFont="1" applyFill="1" applyBorder="1"/>
    <xf numFmtId="0" fontId="3" fillId="0" borderId="0" xfId="0" applyFont="1"/>
    <xf numFmtId="0" fontId="2" fillId="0" borderId="3" xfId="0" applyFont="1" applyBorder="1" applyAlignment="1">
      <alignment wrapText="1"/>
    </xf>
    <xf numFmtId="0" fontId="3" fillId="2" borderId="5" xfId="0" applyFont="1" applyFill="1" applyBorder="1"/>
    <xf numFmtId="0" fontId="3" fillId="3" borderId="5" xfId="0" applyFont="1" applyFill="1" applyBorder="1"/>
    <xf numFmtId="0" fontId="3" fillId="4" borderId="5" xfId="0" applyFont="1" applyFill="1" applyBorder="1"/>
    <xf numFmtId="0" fontId="3" fillId="5" borderId="5" xfId="0" applyFont="1" applyFill="1" applyBorder="1"/>
    <xf numFmtId="0" fontId="3" fillId="6" borderId="5" xfId="0" applyFont="1" applyFill="1" applyBorder="1"/>
    <xf numFmtId="0" fontId="2" fillId="0" borderId="3" xfId="0" applyFont="1" applyBorder="1" applyAlignment="1"/>
    <xf numFmtId="0" fontId="3" fillId="3" borderId="7" xfId="0" applyFont="1" applyFill="1" applyBorder="1" applyAlignment="1">
      <alignment horizontal="center"/>
    </xf>
    <xf numFmtId="0" fontId="3" fillId="4" borderId="7" xfId="0" applyFont="1" applyFill="1" applyBorder="1" applyAlignment="1">
      <alignment horizontal="center"/>
    </xf>
    <xf numFmtId="0" fontId="3" fillId="5" borderId="7" xfId="0" applyFont="1" applyFill="1" applyBorder="1" applyAlignment="1">
      <alignment horizontal="center"/>
    </xf>
    <xf numFmtId="0" fontId="3" fillId="5" borderId="5" xfId="0" applyFont="1" applyFill="1" applyBorder="1" applyAlignment="1">
      <alignment horizontal="center"/>
    </xf>
    <xf numFmtId="164" fontId="3" fillId="3" borderId="7" xfId="0" applyNumberFormat="1" applyFont="1" applyFill="1" applyBorder="1" applyAlignment="1">
      <alignment horizontal="center"/>
    </xf>
    <xf numFmtId="164" fontId="3" fillId="3" borderId="5" xfId="0" applyNumberFormat="1" applyFont="1" applyFill="1" applyBorder="1"/>
    <xf numFmtId="0" fontId="10" fillId="2" borderId="7" xfId="0" applyFont="1" applyFill="1" applyBorder="1" applyAlignment="1">
      <alignment horizontal="center"/>
    </xf>
    <xf numFmtId="164" fontId="3" fillId="4" borderId="7" xfId="0" applyNumberFormat="1" applyFont="1" applyFill="1" applyBorder="1" applyAlignment="1">
      <alignment horizontal="center"/>
    </xf>
    <xf numFmtId="164" fontId="3" fillId="4" borderId="5" xfId="0" applyNumberFormat="1" applyFont="1" applyFill="1" applyBorder="1" applyAlignment="1">
      <alignment horizontal="center"/>
    </xf>
    <xf numFmtId="1" fontId="3" fillId="0" borderId="7" xfId="0" applyNumberFormat="1" applyFont="1" applyFill="1" applyBorder="1"/>
    <xf numFmtId="2" fontId="3" fillId="2" borderId="7" xfId="0" applyNumberFormat="1" applyFont="1" applyFill="1" applyBorder="1" applyAlignment="1">
      <alignment horizontal="center"/>
    </xf>
    <xf numFmtId="2" fontId="3" fillId="2" borderId="5" xfId="0" applyNumberFormat="1" applyFont="1" applyFill="1" applyBorder="1" applyAlignment="1">
      <alignment horizontal="center"/>
    </xf>
    <xf numFmtId="0" fontId="13" fillId="4" borderId="5" xfId="0" applyFont="1" applyFill="1" applyBorder="1"/>
    <xf numFmtId="0" fontId="13" fillId="4" borderId="7" xfId="0" applyFont="1" applyFill="1" applyBorder="1"/>
    <xf numFmtId="1" fontId="3" fillId="4" borderId="7" xfId="0" applyNumberFormat="1" applyFont="1" applyFill="1" applyBorder="1" applyAlignment="1">
      <alignment horizontal="center"/>
    </xf>
    <xf numFmtId="0" fontId="2" fillId="0" borderId="7" xfId="0" applyFont="1" applyBorder="1"/>
    <xf numFmtId="164" fontId="10" fillId="2" borderId="7" xfId="0" applyNumberFormat="1" applyFont="1" applyFill="1" applyBorder="1" applyAlignment="1">
      <alignment horizontal="center"/>
    </xf>
    <xf numFmtId="0" fontId="3" fillId="5" borderId="7" xfId="0" applyFont="1" applyFill="1" applyBorder="1" applyAlignment="1">
      <alignment horizontal="left"/>
    </xf>
    <xf numFmtId="1" fontId="3" fillId="6" borderId="7" xfId="0" applyNumberFormat="1" applyFont="1" applyFill="1" applyBorder="1" applyAlignment="1">
      <alignment horizontal="center"/>
    </xf>
    <xf numFmtId="1" fontId="3" fillId="3" borderId="7" xfId="0" applyNumberFormat="1" applyFont="1" applyFill="1" applyBorder="1" applyAlignment="1">
      <alignment horizontal="center"/>
    </xf>
    <xf numFmtId="0" fontId="12" fillId="0" borderId="5" xfId="0" applyFont="1" applyBorder="1"/>
    <xf numFmtId="0" fontId="15" fillId="0" borderId="5" xfId="4" applyBorder="1"/>
    <xf numFmtId="0" fontId="2" fillId="0" borderId="5" xfId="0" applyFont="1" applyBorder="1" applyAlignment="1">
      <alignment wrapText="1"/>
    </xf>
    <xf numFmtId="0" fontId="10" fillId="2" borderId="7" xfId="0" applyFont="1" applyFill="1" applyBorder="1" applyAlignment="1">
      <alignment horizontal="left"/>
    </xf>
    <xf numFmtId="0" fontId="3" fillId="2" borderId="5" xfId="0" applyFont="1" applyFill="1" applyBorder="1" applyAlignment="1">
      <alignment horizontal="left"/>
    </xf>
    <xf numFmtId="0" fontId="13" fillId="3" borderId="7" xfId="0" applyFont="1" applyFill="1" applyBorder="1" applyAlignment="1">
      <alignment horizontal="center"/>
    </xf>
    <xf numFmtId="2" fontId="2" fillId="4" borderId="7" xfId="0" applyNumberFormat="1" applyFont="1" applyFill="1" applyBorder="1" applyAlignment="1">
      <alignment horizontal="center"/>
    </xf>
    <xf numFmtId="0" fontId="12" fillId="0" borderId="5" xfId="0" applyFont="1" applyBorder="1" applyAlignment="1">
      <alignment horizontal="left"/>
    </xf>
    <xf numFmtId="0" fontId="3" fillId="2" borderId="5" xfId="0" applyFont="1" applyFill="1" applyBorder="1" applyAlignment="1"/>
    <xf numFmtId="0" fontId="12" fillId="7" borderId="7" xfId="0" applyFont="1" applyFill="1" applyBorder="1" applyAlignment="1"/>
    <xf numFmtId="0" fontId="3" fillId="0" borderId="5" xfId="0" applyFont="1" applyBorder="1"/>
    <xf numFmtId="1" fontId="3" fillId="0" borderId="5" xfId="0" applyNumberFormat="1" applyFont="1" applyBorder="1"/>
    <xf numFmtId="0" fontId="17" fillId="8" borderId="2"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6" fillId="2" borderId="5" xfId="0" applyFont="1" applyFill="1" applyBorder="1" applyAlignment="1">
      <alignment vertical="center" wrapText="1"/>
    </xf>
    <xf numFmtId="0" fontId="18" fillId="9" borderId="5" xfId="0" applyFont="1" applyFill="1" applyBorder="1" applyAlignment="1">
      <alignment vertical="center" wrapText="1"/>
    </xf>
    <xf numFmtId="0" fontId="6" fillId="3" borderId="5" xfId="0" applyFont="1" applyFill="1" applyBorder="1" applyAlignment="1">
      <alignment vertical="center" wrapText="1"/>
    </xf>
    <xf numFmtId="0" fontId="6" fillId="4" borderId="5" xfId="0" applyFont="1" applyFill="1" applyBorder="1" applyAlignment="1">
      <alignment vertical="center" wrapText="1"/>
    </xf>
    <xf numFmtId="0" fontId="6" fillId="5" borderId="5" xfId="0" applyFont="1" applyFill="1" applyBorder="1" applyAlignment="1">
      <alignment vertical="center" wrapText="1"/>
    </xf>
    <xf numFmtId="0" fontId="3" fillId="6" borderId="4" xfId="0" applyFont="1" applyFill="1" applyBorder="1"/>
    <xf numFmtId="0" fontId="3" fillId="6" borderId="2" xfId="0" applyFont="1" applyFill="1" applyBorder="1"/>
    <xf numFmtId="0" fontId="6" fillId="10" borderId="5" xfId="0" applyFont="1" applyFill="1" applyBorder="1" applyAlignment="1">
      <alignment vertical="center" wrapText="1"/>
    </xf>
    <xf numFmtId="0" fontId="3" fillId="6" borderId="0" xfId="0" applyFont="1" applyFill="1"/>
    <xf numFmtId="0" fontId="3" fillId="4" borderId="4" xfId="0" applyFont="1" applyFill="1" applyBorder="1"/>
    <xf numFmtId="0" fontId="3" fillId="4" borderId="2" xfId="0" applyFont="1" applyFill="1" applyBorder="1"/>
    <xf numFmtId="0" fontId="3" fillId="4" borderId="0" xfId="0" applyFont="1" applyFill="1"/>
    <xf numFmtId="0" fontId="19" fillId="11" borderId="5" xfId="0" applyFont="1" applyFill="1" applyBorder="1" applyAlignment="1">
      <alignment vertical="center" wrapText="1"/>
    </xf>
    <xf numFmtId="0" fontId="6" fillId="11" borderId="5" xfId="0" applyFont="1" applyFill="1" applyBorder="1" applyAlignment="1">
      <alignment vertical="center" wrapText="1"/>
    </xf>
    <xf numFmtId="0" fontId="10" fillId="11" borderId="7" xfId="0" applyFont="1" applyFill="1" applyBorder="1" applyAlignment="1">
      <alignment horizontal="center"/>
    </xf>
    <xf numFmtId="0" fontId="3" fillId="3" borderId="4" xfId="0" applyFont="1" applyFill="1" applyBorder="1"/>
    <xf numFmtId="0" fontId="3" fillId="3" borderId="2" xfId="0" applyFont="1" applyFill="1" applyBorder="1"/>
    <xf numFmtId="0" fontId="19" fillId="12" borderId="5" xfId="0" applyFont="1" applyFill="1" applyBorder="1" applyAlignment="1">
      <alignment vertical="center" wrapText="1"/>
    </xf>
    <xf numFmtId="0" fontId="6" fillId="12" borderId="5" xfId="0" applyFont="1" applyFill="1" applyBorder="1" applyAlignment="1">
      <alignment vertical="center" wrapText="1"/>
    </xf>
    <xf numFmtId="0" fontId="4" fillId="4" borderId="2" xfId="0" applyFont="1" applyFill="1" applyBorder="1" applyAlignment="1">
      <alignment horizontal="center" vertical="center" wrapText="1"/>
    </xf>
    <xf numFmtId="0" fontId="3" fillId="4" borderId="0" xfId="0" applyFont="1" applyFill="1" applyBorder="1"/>
    <xf numFmtId="164" fontId="19" fillId="11" borderId="5" xfId="0" applyNumberFormat="1" applyFont="1" applyFill="1" applyBorder="1" applyAlignment="1">
      <alignment vertical="center" wrapText="1"/>
    </xf>
    <xf numFmtId="0" fontId="6" fillId="6" borderId="5" xfId="0" applyFont="1" applyFill="1" applyBorder="1" applyAlignment="1">
      <alignment vertical="center" wrapText="1"/>
    </xf>
    <xf numFmtId="0" fontId="6" fillId="0" borderId="5" xfId="0" applyFont="1" applyBorder="1" applyAlignment="1">
      <alignment horizontal="center" vertical="center" wrapText="1"/>
    </xf>
    <xf numFmtId="2" fontId="3" fillId="4" borderId="7" xfId="0" applyNumberFormat="1" applyFont="1" applyFill="1" applyBorder="1" applyAlignment="1">
      <alignment horizontal="center"/>
    </xf>
    <xf numFmtId="0" fontId="4" fillId="4" borderId="2" xfId="0" applyFont="1" applyFill="1" applyBorder="1" applyAlignment="1">
      <alignment horizontal="center" vertical="center" wrapText="1"/>
    </xf>
    <xf numFmtId="0" fontId="3" fillId="4" borderId="7" xfId="0" applyFont="1" applyFill="1" applyBorder="1" applyAlignment="1">
      <alignment horizontal="left"/>
    </xf>
    <xf numFmtId="0" fontId="19" fillId="10" borderId="5" xfId="0" applyFont="1" applyFill="1" applyBorder="1" applyAlignment="1">
      <alignment vertical="center" wrapText="1"/>
    </xf>
    <xf numFmtId="0" fontId="3" fillId="2" borderId="7" xfId="0" applyFont="1" applyFill="1" applyBorder="1"/>
    <xf numFmtId="0" fontId="20" fillId="13" borderId="5" xfId="0" applyFont="1" applyFill="1" applyBorder="1" applyAlignment="1">
      <alignment horizontal="center" vertical="center" wrapText="1"/>
    </xf>
    <xf numFmtId="0" fontId="12" fillId="3" borderId="7" xfId="0" applyFont="1" applyFill="1" applyBorder="1" applyAlignment="1">
      <alignment horizontal="center"/>
    </xf>
    <xf numFmtId="0" fontId="12" fillId="3" borderId="5" xfId="0" applyFont="1" applyFill="1" applyBorder="1" applyAlignment="1">
      <alignment horizontal="center"/>
    </xf>
    <xf numFmtId="0" fontId="15" fillId="0" borderId="0" xfId="4"/>
    <xf numFmtId="0" fontId="3" fillId="0" borderId="8" xfId="0" applyFont="1" applyBorder="1" applyAlignment="1">
      <alignment vertical="center"/>
    </xf>
    <xf numFmtId="1" fontId="10" fillId="2" borderId="7" xfId="0" applyNumberFormat="1" applyFont="1" applyFill="1" applyBorder="1" applyAlignment="1">
      <alignment horizontal="center"/>
    </xf>
    <xf numFmtId="2" fontId="3" fillId="3" borderId="7" xfId="0" applyNumberFormat="1" applyFont="1" applyFill="1" applyBorder="1" applyAlignment="1">
      <alignment horizontal="center"/>
    </xf>
    <xf numFmtId="2" fontId="3" fillId="3" borderId="5" xfId="0" applyNumberFormat="1" applyFont="1" applyFill="1" applyBorder="1" applyAlignment="1">
      <alignment horizontal="center"/>
    </xf>
    <xf numFmtId="0" fontId="13" fillId="4" borderId="7" xfId="0" applyFont="1" applyFill="1" applyBorder="1" applyAlignment="1">
      <alignment horizontal="center"/>
    </xf>
    <xf numFmtId="2" fontId="3" fillId="4" borderId="5" xfId="0" applyNumberFormat="1" applyFont="1" applyFill="1" applyBorder="1" applyAlignment="1">
      <alignment horizontal="center"/>
    </xf>
    <xf numFmtId="0" fontId="3" fillId="4" borderId="7" xfId="0" applyNumberFormat="1" applyFont="1" applyFill="1" applyBorder="1" applyAlignment="1">
      <alignment horizontal="center"/>
    </xf>
    <xf numFmtId="0" fontId="3" fillId="4" borderId="5" xfId="0" applyNumberFormat="1" applyFont="1" applyFill="1" applyBorder="1" applyAlignment="1">
      <alignment horizontal="center"/>
    </xf>
    <xf numFmtId="0" fontId="2" fillId="3" borderId="5" xfId="0" applyFont="1" applyFill="1" applyBorder="1" applyAlignment="1">
      <alignment vertical="center" wrapText="1"/>
    </xf>
    <xf numFmtId="0" fontId="2" fillId="5" borderId="5" xfId="0" applyFont="1" applyFill="1" applyBorder="1" applyAlignment="1">
      <alignment vertical="center" wrapText="1"/>
    </xf>
    <xf numFmtId="0" fontId="12" fillId="0" borderId="6" xfId="0" applyFont="1" applyBorder="1"/>
    <xf numFmtId="0" fontId="0" fillId="0" borderId="5" xfId="0" applyBorder="1"/>
    <xf numFmtId="0" fontId="3" fillId="0" borderId="9" xfId="0" applyFont="1" applyBorder="1"/>
    <xf numFmtId="0" fontId="3" fillId="0" borderId="7" xfId="0" applyFont="1" applyBorder="1"/>
    <xf numFmtId="1" fontId="3" fillId="0" borderId="7" xfId="0" applyNumberFormat="1" applyFont="1" applyBorder="1"/>
    <xf numFmtId="0" fontId="0" fillId="0" borderId="7" xfId="0" applyBorder="1"/>
    <xf numFmtId="49" fontId="16" fillId="0" borderId="11" xfId="0" applyNumberFormat="1" applyFont="1" applyBorder="1" applyAlignment="1">
      <alignment vertical="center" wrapText="1"/>
    </xf>
    <xf numFmtId="0" fontId="3" fillId="0" borderId="8" xfId="0" applyFont="1" applyBorder="1" applyAlignment="1">
      <alignment vertical="center" wrapText="1"/>
    </xf>
    <xf numFmtId="1" fontId="3" fillId="0" borderId="8" xfId="0" applyNumberFormat="1" applyFont="1" applyFill="1" applyBorder="1" applyAlignment="1">
      <alignment vertical="center"/>
    </xf>
    <xf numFmtId="0" fontId="3" fillId="0" borderId="8" xfId="0" quotePrefix="1" applyFont="1" applyFill="1" applyBorder="1" applyAlignment="1">
      <alignment vertical="center" wrapText="1"/>
    </xf>
    <xf numFmtId="0" fontId="3" fillId="0" borderId="8" xfId="0" applyFont="1" applyFill="1" applyBorder="1" applyAlignment="1">
      <alignment vertical="center" wrapText="1"/>
    </xf>
    <xf numFmtId="0" fontId="0" fillId="0" borderId="11" xfId="0" applyBorder="1" applyAlignment="1">
      <alignment wrapText="1"/>
    </xf>
    <xf numFmtId="0" fontId="0" fillId="0" borderId="12" xfId="0" applyBorder="1" applyAlignment="1">
      <alignment wrapText="1"/>
    </xf>
    <xf numFmtId="0" fontId="0" fillId="0" borderId="8" xfId="0" applyBorder="1" applyAlignment="1">
      <alignment wrapText="1"/>
    </xf>
    <xf numFmtId="0" fontId="0" fillId="0" borderId="10" xfId="0" applyBorder="1" applyAlignment="1">
      <alignment wrapText="1"/>
    </xf>
    <xf numFmtId="0" fontId="22" fillId="0" borderId="12" xfId="0" applyFont="1" applyBorder="1" applyAlignment="1">
      <alignment wrapText="1"/>
    </xf>
    <xf numFmtId="0" fontId="22" fillId="0" borderId="8" xfId="0" applyFont="1" applyBorder="1" applyAlignment="1">
      <alignment wrapText="1"/>
    </xf>
    <xf numFmtId="0" fontId="2" fillId="0" borderId="0" xfId="0" applyFont="1" applyFill="1" applyBorder="1" applyAlignment="1">
      <alignment wrapText="1"/>
    </xf>
    <xf numFmtId="49" fontId="16" fillId="0" borderId="13" xfId="0" applyNumberFormat="1" applyFont="1" applyBorder="1" applyAlignment="1">
      <alignment vertical="center" wrapText="1"/>
    </xf>
    <xf numFmtId="0" fontId="4" fillId="0" borderId="2" xfId="0" applyFont="1" applyBorder="1" applyAlignment="1">
      <alignment horizontal="center" vertical="center" wrapText="1"/>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0" fillId="0" borderId="2" xfId="0" applyBorder="1" applyAlignment="1">
      <alignment horizontal="center" vertical="center" wrapText="1"/>
    </xf>
    <xf numFmtId="0" fontId="4" fillId="6" borderId="4" xfId="0" applyFont="1" applyFill="1" applyBorder="1" applyAlignment="1">
      <alignment horizontal="center" vertical="center" wrapText="1"/>
    </xf>
    <xf numFmtId="0" fontId="0" fillId="6" borderId="2" xfId="0"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0" fillId="0" borderId="2" xfId="0" applyBorder="1" applyAlignment="1">
      <alignment wrapText="1"/>
    </xf>
  </cellXfs>
  <cellStyles count="6">
    <cellStyle name="Followed Hyperlink" xfId="3" builtinId="9" hidden="1"/>
    <cellStyle name="Followed Hyperlink" xfId="5" builtinId="9" hidden="1"/>
    <cellStyle name="Hyperlink" xfId="4" builtinId="8"/>
    <cellStyle name="Normal" xfId="0" builtinId="0"/>
    <cellStyle name="Normal 3" xfId="1" xr:uid="{00000000-0005-0000-0000-000004000000}"/>
    <cellStyle name="Normal 4" xfId="2" xr:uid="{00000000-0005-0000-0000-000005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x.doi.org/10.1130/0091-7613(2002)030%3C0703:PBIEFI%3E2.0.CO;2" TargetMode="External"/><Relationship Id="rId3" Type="http://schemas.openxmlformats.org/officeDocument/2006/relationships/hyperlink" Target="http://dx.doi.org/10.1130/0091-7613(2002)030%3C0703:PBIEFI%3E2.0.CO;2" TargetMode="External"/><Relationship Id="rId7" Type="http://schemas.openxmlformats.org/officeDocument/2006/relationships/hyperlink" Target="http://dx.doi.org/10.1130/0091-7613(2002)030%3C0703:PBIEFI%3E2.0.CO;2" TargetMode="External"/><Relationship Id="rId12" Type="http://schemas.openxmlformats.org/officeDocument/2006/relationships/hyperlink" Target="http://dx.doi.org/10.1130/0091-7613(2002)030%3C0703:PBIEFI%3E2.0.CO;2" TargetMode="External"/><Relationship Id="rId2" Type="http://schemas.openxmlformats.org/officeDocument/2006/relationships/hyperlink" Target="http://dx.doi.org/10.1130/0091-7613(2002)030%3C0703:PBIEFI%3E2.0.CO;2" TargetMode="External"/><Relationship Id="rId1" Type="http://schemas.openxmlformats.org/officeDocument/2006/relationships/hyperlink" Target="http://dx.doi.org/10.1130/0091-7613(2002)030%3C0703:PBIEFI%3E2.0.CO;2" TargetMode="External"/><Relationship Id="rId6" Type="http://schemas.openxmlformats.org/officeDocument/2006/relationships/hyperlink" Target="http://dx.doi.org/10.1130/0091-7613(2002)030%3C0703:PBIEFI%3E2.0.CO;2" TargetMode="External"/><Relationship Id="rId11" Type="http://schemas.openxmlformats.org/officeDocument/2006/relationships/hyperlink" Target="http://dx.doi.org/10.1130/0091-7613(2002)030%3C0703:PBIEFI%3E2.0.CO;2" TargetMode="External"/><Relationship Id="rId5" Type="http://schemas.openxmlformats.org/officeDocument/2006/relationships/hyperlink" Target="http://dx.doi.org/10.1130/0091-7613(2002)030%3C0703:PBIEFI%3E2.0.CO;2" TargetMode="External"/><Relationship Id="rId10" Type="http://schemas.openxmlformats.org/officeDocument/2006/relationships/hyperlink" Target="http://dx.doi.org/10.1130/0091-7613(2002)030%3C0703:PBIEFI%3E2.0.CO;2" TargetMode="External"/><Relationship Id="rId4" Type="http://schemas.openxmlformats.org/officeDocument/2006/relationships/hyperlink" Target="http://dx.doi.org/10.1130/0091-7613(2002)030%3C0703:PBIEFI%3E2.0.CO;2" TargetMode="External"/><Relationship Id="rId9" Type="http://schemas.openxmlformats.org/officeDocument/2006/relationships/hyperlink" Target="http://dx.doi.org/10.1130/0091-7613(2002)030%3C0703:PBIEFI%3E2.0.CO;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882"/>
  <sheetViews>
    <sheetView tabSelected="1" topLeftCell="J1" zoomScale="75" zoomScaleNormal="100" workbookViewId="0">
      <selection activeCell="N3" sqref="N3:O3"/>
    </sheetView>
  </sheetViews>
  <sheetFormatPr baseColWidth="10" defaultColWidth="17.33203125" defaultRowHeight="17" x14ac:dyDescent="0.2"/>
  <cols>
    <col min="1" max="1" width="17.33203125" style="10"/>
    <col min="2" max="2" width="21.6640625" style="10" customWidth="1"/>
    <col min="3" max="12" width="17.33203125" style="9"/>
    <col min="25" max="27" width="17.33203125" style="10"/>
    <col min="28" max="28" width="22.33203125" style="10" customWidth="1"/>
    <col min="29" max="29" width="17.33203125" style="11"/>
    <col min="30" max="30" width="26.5" style="11" customWidth="1"/>
    <col min="31" max="38" width="17.33203125" style="11"/>
    <col min="39" max="39" width="17.33203125" style="45"/>
    <col min="40" max="84" width="17.33203125" style="12"/>
    <col min="85" max="85" width="20.83203125" style="12" customWidth="1"/>
    <col min="86" max="87" width="17.33203125" style="12"/>
    <col min="88" max="96" width="17.33203125" style="13"/>
    <col min="97" max="99" width="18.6640625" style="13" customWidth="1"/>
    <col min="100" max="122" width="17.33203125" style="13"/>
    <col min="123" max="136" width="17.33203125" style="14"/>
    <col min="137" max="138" width="17.33203125" style="15"/>
    <col min="139" max="143" width="16.6640625" style="15" customWidth="1"/>
    <col min="144" max="144" width="17.33203125" style="15"/>
    <col min="145" max="145" width="17.33203125" style="61"/>
    <col min="146" max="16384" width="17.33203125" style="9"/>
  </cols>
  <sheetData>
    <row r="1" spans="1:146" x14ac:dyDescent="0.2">
      <c r="A1" s="113"/>
      <c r="B1" s="113"/>
      <c r="C1" s="4"/>
      <c r="D1" s="4"/>
      <c r="E1" s="4"/>
      <c r="F1" s="4"/>
      <c r="G1" s="4"/>
      <c r="H1" s="4"/>
      <c r="I1" s="4"/>
      <c r="J1" s="4"/>
      <c r="K1" s="4"/>
      <c r="L1" s="4"/>
      <c r="Y1" s="1"/>
      <c r="Z1" s="1"/>
      <c r="AA1" s="1"/>
      <c r="AB1" s="1"/>
      <c r="AC1" s="2"/>
      <c r="AD1" s="2"/>
      <c r="AE1" s="2"/>
      <c r="AF1" s="2"/>
      <c r="AG1" s="2"/>
      <c r="AH1" s="2"/>
      <c r="AI1" s="2"/>
      <c r="AJ1" s="2"/>
      <c r="AK1" s="2"/>
      <c r="AL1" s="2"/>
      <c r="AM1" s="3"/>
      <c r="AN1" s="68"/>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2"/>
      <c r="CK1" s="63"/>
      <c r="CL1" s="63"/>
      <c r="CM1" s="63"/>
      <c r="CN1" s="63"/>
      <c r="CO1" s="63"/>
      <c r="CP1" s="63"/>
      <c r="CQ1" s="63"/>
      <c r="CR1" s="63"/>
      <c r="CS1" s="63"/>
      <c r="CT1" s="63"/>
      <c r="CU1" s="63"/>
      <c r="CV1" s="63"/>
      <c r="CW1" s="63"/>
      <c r="CX1" s="63"/>
      <c r="CY1" s="73"/>
      <c r="CZ1" s="73"/>
      <c r="DA1" s="64"/>
      <c r="DB1" s="63"/>
      <c r="DC1" s="63"/>
      <c r="DD1" s="63"/>
      <c r="DE1" s="63"/>
      <c r="DF1" s="63"/>
      <c r="DG1" s="63"/>
      <c r="DH1" s="63"/>
      <c r="DI1" s="63"/>
      <c r="DJ1" s="63"/>
      <c r="DK1" s="63"/>
      <c r="DL1" s="63"/>
      <c r="DM1" s="63"/>
      <c r="DN1" s="63"/>
      <c r="DO1" s="63"/>
      <c r="DP1" s="63"/>
      <c r="DQ1" s="63"/>
      <c r="DR1" s="63"/>
      <c r="EG1" s="58"/>
      <c r="EH1" s="59"/>
      <c r="EI1" s="59"/>
      <c r="EJ1" s="59"/>
      <c r="EK1" s="59"/>
      <c r="EL1" s="59"/>
      <c r="EM1" s="59"/>
      <c r="EN1" s="59"/>
      <c r="EO1" s="59"/>
    </row>
    <row r="2" spans="1:146" ht="24" x14ac:dyDescent="0.2">
      <c r="A2" s="115" t="s">
        <v>173</v>
      </c>
      <c r="B2" s="116"/>
      <c r="C2" s="116"/>
      <c r="D2" s="116"/>
      <c r="E2" s="116"/>
      <c r="F2" s="116"/>
      <c r="G2" s="116"/>
      <c r="H2" s="116"/>
      <c r="I2" s="116"/>
      <c r="J2" s="116"/>
      <c r="K2" s="116"/>
      <c r="L2" s="116"/>
      <c r="M2" s="116"/>
      <c r="N2" s="116"/>
      <c r="O2" s="116"/>
      <c r="P2" s="116"/>
      <c r="Q2" s="116"/>
      <c r="R2" s="116"/>
      <c r="S2" s="116"/>
      <c r="T2" s="116"/>
      <c r="U2" s="116"/>
      <c r="V2" s="116"/>
      <c r="W2" s="116"/>
      <c r="X2" s="117"/>
      <c r="Y2" s="115" t="s">
        <v>0</v>
      </c>
      <c r="Z2" s="118"/>
      <c r="AA2" s="118"/>
      <c r="AB2" s="118"/>
      <c r="AC2" s="121" t="s">
        <v>1</v>
      </c>
      <c r="AD2" s="121"/>
      <c r="AE2" s="121"/>
      <c r="AF2" s="121"/>
      <c r="AG2" s="121"/>
      <c r="AH2" s="121"/>
      <c r="AI2" s="121"/>
      <c r="AJ2" s="121"/>
      <c r="AK2" s="121"/>
      <c r="AL2" s="121"/>
      <c r="AM2" s="122"/>
      <c r="AN2" s="123" t="s">
        <v>2</v>
      </c>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5" t="s">
        <v>3</v>
      </c>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78"/>
      <c r="DQ2" s="72"/>
      <c r="DR2" s="72"/>
      <c r="DS2" s="127" t="s">
        <v>4</v>
      </c>
      <c r="DT2" s="127"/>
      <c r="DU2" s="127"/>
      <c r="DV2" s="127"/>
      <c r="DW2" s="127"/>
      <c r="DX2" s="127"/>
      <c r="DY2" s="127"/>
      <c r="DZ2" s="127"/>
      <c r="EA2" s="127"/>
      <c r="EB2" s="127"/>
      <c r="EC2" s="127"/>
      <c r="ED2" s="127"/>
      <c r="EE2" s="127"/>
      <c r="EF2" s="127"/>
      <c r="EG2" s="119" t="s">
        <v>5</v>
      </c>
      <c r="EH2" s="120"/>
      <c r="EI2" s="120"/>
      <c r="EJ2" s="120"/>
      <c r="EK2" s="120"/>
      <c r="EL2" s="120"/>
      <c r="EM2" s="120"/>
      <c r="EN2" s="120"/>
      <c r="EO2" s="120"/>
    </row>
    <row r="3" spans="1:146" ht="290" thickBot="1" x14ac:dyDescent="0.25">
      <c r="A3" s="114" t="s">
        <v>57</v>
      </c>
      <c r="B3" s="102" t="s">
        <v>58</v>
      </c>
      <c r="C3" s="86" t="s">
        <v>45</v>
      </c>
      <c r="D3" s="103" t="s">
        <v>46</v>
      </c>
      <c r="E3" s="103" t="s">
        <v>47</v>
      </c>
      <c r="F3" s="86" t="s">
        <v>48</v>
      </c>
      <c r="G3" s="104" t="s">
        <v>49</v>
      </c>
      <c r="H3" s="105" t="s">
        <v>50</v>
      </c>
      <c r="I3" s="105" t="s">
        <v>51</v>
      </c>
      <c r="J3" s="106" t="s">
        <v>54</v>
      </c>
      <c r="K3" s="105" t="s">
        <v>55</v>
      </c>
      <c r="L3" s="105" t="s">
        <v>56</v>
      </c>
      <c r="M3" s="107" t="s">
        <v>163</v>
      </c>
      <c r="N3" s="128" t="s">
        <v>175</v>
      </c>
      <c r="O3" s="128" t="s">
        <v>176</v>
      </c>
      <c r="P3" s="107" t="s">
        <v>165</v>
      </c>
      <c r="Q3" s="108" t="s">
        <v>166</v>
      </c>
      <c r="R3" s="109" t="s">
        <v>167</v>
      </c>
      <c r="S3" s="110" t="s">
        <v>168</v>
      </c>
      <c r="T3" s="107" t="s">
        <v>169</v>
      </c>
      <c r="U3" s="107" t="s">
        <v>164</v>
      </c>
      <c r="V3" s="107" t="s">
        <v>170</v>
      </c>
      <c r="W3" s="111" t="s">
        <v>171</v>
      </c>
      <c r="X3" s="112" t="s">
        <v>172</v>
      </c>
      <c r="Y3" s="49" t="s">
        <v>59</v>
      </c>
      <c r="Z3" s="51" t="s">
        <v>116</v>
      </c>
      <c r="AA3" s="52" t="s">
        <v>37</v>
      </c>
      <c r="AB3" s="50" t="s">
        <v>38</v>
      </c>
      <c r="AC3" s="53" t="s">
        <v>6</v>
      </c>
      <c r="AD3" s="53" t="s">
        <v>7</v>
      </c>
      <c r="AE3" s="54" t="s">
        <v>60</v>
      </c>
      <c r="AF3" s="53" t="s">
        <v>61</v>
      </c>
      <c r="AG3" s="82" t="s">
        <v>136</v>
      </c>
      <c r="AH3" s="82" t="s">
        <v>137</v>
      </c>
      <c r="AI3" s="53" t="s">
        <v>62</v>
      </c>
      <c r="AJ3" s="53" t="s">
        <v>63</v>
      </c>
      <c r="AK3" s="53" t="s">
        <v>64</v>
      </c>
      <c r="AL3" s="53" t="s">
        <v>65</v>
      </c>
      <c r="AM3" s="53" t="s">
        <v>8</v>
      </c>
      <c r="AN3" s="70" t="s">
        <v>66</v>
      </c>
      <c r="AO3" s="70" t="s">
        <v>67</v>
      </c>
      <c r="AP3" s="71" t="s">
        <v>9</v>
      </c>
      <c r="AQ3" s="71" t="s">
        <v>10</v>
      </c>
      <c r="AR3" s="70" t="s">
        <v>68</v>
      </c>
      <c r="AS3" s="70" t="s">
        <v>69</v>
      </c>
      <c r="AT3" s="71" t="s">
        <v>11</v>
      </c>
      <c r="AU3" s="70" t="s">
        <v>70</v>
      </c>
      <c r="AV3" s="70" t="s">
        <v>71</v>
      </c>
      <c r="AW3" s="71" t="s">
        <v>12</v>
      </c>
      <c r="AX3" s="71" t="s">
        <v>13</v>
      </c>
      <c r="AY3" s="70" t="s">
        <v>72</v>
      </c>
      <c r="AZ3" s="70" t="s">
        <v>117</v>
      </c>
      <c r="BA3" s="55" t="s">
        <v>118</v>
      </c>
      <c r="BB3" s="71" t="s">
        <v>73</v>
      </c>
      <c r="BC3" s="70" t="s">
        <v>132</v>
      </c>
      <c r="BD3" s="70" t="s">
        <v>133</v>
      </c>
      <c r="BE3" s="71" t="s">
        <v>134</v>
      </c>
      <c r="BF3" s="71" t="s">
        <v>135</v>
      </c>
      <c r="BG3" s="70" t="s">
        <v>74</v>
      </c>
      <c r="BH3" s="70" t="s">
        <v>75</v>
      </c>
      <c r="BI3" s="71" t="s">
        <v>14</v>
      </c>
      <c r="BJ3" s="71" t="s">
        <v>15</v>
      </c>
      <c r="BK3" s="94" t="s">
        <v>76</v>
      </c>
      <c r="BL3" s="55" t="s">
        <v>77</v>
      </c>
      <c r="BM3" s="55" t="s">
        <v>78</v>
      </c>
      <c r="BN3" s="55" t="s">
        <v>79</v>
      </c>
      <c r="BO3" s="55" t="s">
        <v>80</v>
      </c>
      <c r="BP3" s="55" t="s">
        <v>81</v>
      </c>
      <c r="BQ3" s="55" t="s">
        <v>82</v>
      </c>
      <c r="BR3" s="55" t="s">
        <v>83</v>
      </c>
      <c r="BS3" s="55" t="s">
        <v>84</v>
      </c>
      <c r="BT3" s="55" t="s">
        <v>85</v>
      </c>
      <c r="BU3" s="55" t="s">
        <v>86</v>
      </c>
      <c r="BV3" s="55" t="s">
        <v>87</v>
      </c>
      <c r="BW3" s="55" t="s">
        <v>88</v>
      </c>
      <c r="BX3" s="55" t="s">
        <v>89</v>
      </c>
      <c r="BY3" s="55" t="s">
        <v>90</v>
      </c>
      <c r="BZ3" s="55" t="s">
        <v>91</v>
      </c>
      <c r="CA3" s="55" t="s">
        <v>92</v>
      </c>
      <c r="CB3" s="55" t="s">
        <v>93</v>
      </c>
      <c r="CC3" s="55" t="s">
        <v>94</v>
      </c>
      <c r="CD3" s="55" t="s">
        <v>95</v>
      </c>
      <c r="CE3" s="55" t="s">
        <v>96</v>
      </c>
      <c r="CF3" s="55" t="s">
        <v>97</v>
      </c>
      <c r="CG3" s="55" t="s">
        <v>98</v>
      </c>
      <c r="CH3" s="55" t="s">
        <v>99</v>
      </c>
      <c r="CI3" s="55" t="s">
        <v>16</v>
      </c>
      <c r="CJ3" s="74" t="s">
        <v>100</v>
      </c>
      <c r="CK3" s="66" t="s">
        <v>17</v>
      </c>
      <c r="CL3" s="66" t="s">
        <v>18</v>
      </c>
      <c r="CM3" s="65" t="s">
        <v>119</v>
      </c>
      <c r="CN3" s="65" t="s">
        <v>120</v>
      </c>
      <c r="CO3" s="65" t="s">
        <v>121</v>
      </c>
      <c r="CP3" s="74" t="s">
        <v>101</v>
      </c>
      <c r="CQ3" s="66" t="s">
        <v>19</v>
      </c>
      <c r="CR3" s="66" t="s">
        <v>20</v>
      </c>
      <c r="CS3" s="66" t="s">
        <v>21</v>
      </c>
      <c r="CT3" s="65" t="s">
        <v>120</v>
      </c>
      <c r="CU3" s="65" t="s">
        <v>121</v>
      </c>
      <c r="CV3" s="56" t="s">
        <v>102</v>
      </c>
      <c r="CW3" s="56" t="s">
        <v>22</v>
      </c>
      <c r="CX3" s="56" t="s">
        <v>122</v>
      </c>
      <c r="CY3" s="65" t="s">
        <v>120</v>
      </c>
      <c r="CZ3" s="65" t="s">
        <v>121</v>
      </c>
      <c r="DA3" s="66" t="s">
        <v>23</v>
      </c>
      <c r="DB3" s="56" t="s">
        <v>24</v>
      </c>
      <c r="DC3" s="65" t="s">
        <v>103</v>
      </c>
      <c r="DD3" s="66" t="s">
        <v>25</v>
      </c>
      <c r="DE3" s="66" t="s">
        <v>26</v>
      </c>
      <c r="DF3" s="56" t="s">
        <v>104</v>
      </c>
      <c r="DG3" s="56" t="s">
        <v>105</v>
      </c>
      <c r="DH3" s="56" t="s">
        <v>27</v>
      </c>
      <c r="DI3" s="56" t="s">
        <v>106</v>
      </c>
      <c r="DJ3" s="65" t="s">
        <v>120</v>
      </c>
      <c r="DK3" s="65" t="s">
        <v>121</v>
      </c>
      <c r="DL3" s="56" t="s">
        <v>28</v>
      </c>
      <c r="DM3" s="56" t="s">
        <v>123</v>
      </c>
      <c r="DN3" s="56" t="s">
        <v>29</v>
      </c>
      <c r="DO3" s="56" t="s">
        <v>131</v>
      </c>
      <c r="DP3" s="56" t="s">
        <v>130</v>
      </c>
      <c r="DQ3" s="65" t="s">
        <v>120</v>
      </c>
      <c r="DR3" s="65" t="s">
        <v>121</v>
      </c>
      <c r="DS3" s="57" t="s">
        <v>107</v>
      </c>
      <c r="DT3" s="95" t="s">
        <v>31</v>
      </c>
      <c r="DU3" s="57" t="s">
        <v>108</v>
      </c>
      <c r="DV3" s="57" t="s">
        <v>109</v>
      </c>
      <c r="DW3" s="57" t="s">
        <v>32</v>
      </c>
      <c r="DX3" s="57" t="s">
        <v>110</v>
      </c>
      <c r="DY3" s="57" t="s">
        <v>111</v>
      </c>
      <c r="DZ3" s="57" t="s">
        <v>30</v>
      </c>
      <c r="EA3" s="57" t="s">
        <v>33</v>
      </c>
      <c r="EB3" s="57" t="s">
        <v>34</v>
      </c>
      <c r="EC3" s="57" t="s">
        <v>35</v>
      </c>
      <c r="ED3" s="95" t="s">
        <v>36</v>
      </c>
      <c r="EE3" s="57" t="s">
        <v>112</v>
      </c>
      <c r="EF3" s="57" t="s">
        <v>113</v>
      </c>
      <c r="EG3" s="60" t="s">
        <v>114</v>
      </c>
      <c r="EH3" s="60" t="s">
        <v>115</v>
      </c>
      <c r="EI3" s="60" t="s">
        <v>160</v>
      </c>
      <c r="EJ3" s="60" t="s">
        <v>127</v>
      </c>
      <c r="EK3" s="75" t="s">
        <v>39</v>
      </c>
      <c r="EL3" s="75" t="s">
        <v>40</v>
      </c>
      <c r="EM3" s="80" t="s">
        <v>121</v>
      </c>
      <c r="EN3" s="60" t="s">
        <v>124</v>
      </c>
      <c r="EO3" s="60" t="s">
        <v>125</v>
      </c>
      <c r="EP3" s="76" t="s">
        <v>126</v>
      </c>
    </row>
    <row r="4" spans="1:146" ht="36" x14ac:dyDescent="0.2">
      <c r="A4" s="5" t="s">
        <v>161</v>
      </c>
      <c r="B4" s="32" t="s">
        <v>162</v>
      </c>
      <c r="C4" s="98" t="s">
        <v>53</v>
      </c>
      <c r="D4" s="98" t="s">
        <v>138</v>
      </c>
      <c r="E4" s="98">
        <v>2002</v>
      </c>
      <c r="F4" s="85" t="s">
        <v>142</v>
      </c>
      <c r="G4" s="99">
        <v>63750</v>
      </c>
      <c r="H4" s="99" t="s">
        <v>52</v>
      </c>
      <c r="I4" s="99" t="s">
        <v>52</v>
      </c>
      <c r="J4" s="100">
        <v>999</v>
      </c>
      <c r="K4" s="100">
        <v>200</v>
      </c>
      <c r="L4" s="100">
        <v>200</v>
      </c>
      <c r="M4" s="101" t="b">
        <v>1</v>
      </c>
      <c r="N4" s="101">
        <v>3</v>
      </c>
      <c r="O4" t="s">
        <v>174</v>
      </c>
      <c r="P4" s="101" t="b">
        <v>0</v>
      </c>
      <c r="Q4" s="101" t="b">
        <v>0</v>
      </c>
      <c r="R4" s="101" t="s">
        <v>52</v>
      </c>
      <c r="S4" s="101" t="b">
        <v>1</v>
      </c>
      <c r="T4" s="101" t="b">
        <v>0</v>
      </c>
      <c r="U4" s="101" t="s">
        <v>52</v>
      </c>
      <c r="V4" s="101" t="b">
        <v>0</v>
      </c>
      <c r="W4" s="101" t="b">
        <v>0</v>
      </c>
      <c r="X4" s="101" t="s">
        <v>52</v>
      </c>
      <c r="Y4" s="96" t="s">
        <v>143</v>
      </c>
      <c r="Z4" s="85" t="s">
        <v>142</v>
      </c>
      <c r="AA4" s="37" t="s">
        <v>144</v>
      </c>
      <c r="AB4" s="44" t="s">
        <v>145</v>
      </c>
      <c r="AC4" s="23" t="s">
        <v>52</v>
      </c>
      <c r="AD4" s="40" t="s">
        <v>147</v>
      </c>
      <c r="AE4" s="87">
        <v>50</v>
      </c>
      <c r="AF4" s="23">
        <v>-114</v>
      </c>
      <c r="AG4" s="33" t="s">
        <v>52</v>
      </c>
      <c r="AH4" s="33" t="s">
        <v>52</v>
      </c>
      <c r="AI4" s="33" t="s">
        <v>52</v>
      </c>
      <c r="AJ4" s="27">
        <v>63.75</v>
      </c>
      <c r="AK4" s="23" t="s">
        <v>52</v>
      </c>
      <c r="AL4" s="23" t="s">
        <v>52</v>
      </c>
      <c r="AM4" s="46" t="s">
        <v>146</v>
      </c>
      <c r="AN4" s="88">
        <v>-8.27</v>
      </c>
      <c r="AO4" s="88">
        <f>0.52*2</f>
        <v>1.04</v>
      </c>
      <c r="AP4" s="36">
        <v>9</v>
      </c>
      <c r="AQ4" s="83" t="s">
        <v>52</v>
      </c>
      <c r="AR4" s="21" t="s">
        <v>52</v>
      </c>
      <c r="AS4" s="21" t="s">
        <v>52</v>
      </c>
      <c r="AT4" s="17" t="s">
        <v>52</v>
      </c>
      <c r="AU4" s="17">
        <v>-24.7</v>
      </c>
      <c r="AV4" s="17" t="s">
        <v>52</v>
      </c>
      <c r="AW4" s="17" t="s">
        <v>52</v>
      </c>
      <c r="AX4" s="83" t="s">
        <v>52</v>
      </c>
      <c r="AY4" s="17" t="s">
        <v>52</v>
      </c>
      <c r="AZ4" s="17" t="s">
        <v>52</v>
      </c>
      <c r="BA4" s="17" t="s">
        <v>52</v>
      </c>
      <c r="BB4" s="42" t="s">
        <v>52</v>
      </c>
      <c r="BC4" s="42" t="s">
        <v>52</v>
      </c>
      <c r="BD4" s="42" t="s">
        <v>52</v>
      </c>
      <c r="BE4" s="42" t="s">
        <v>52</v>
      </c>
      <c r="BF4" s="42" t="s">
        <v>52</v>
      </c>
      <c r="BG4" s="17" t="s">
        <v>52</v>
      </c>
      <c r="BH4" s="17" t="s">
        <v>52</v>
      </c>
      <c r="BI4" s="17" t="s">
        <v>52</v>
      </c>
      <c r="BJ4" s="42" t="s">
        <v>52</v>
      </c>
      <c r="BK4" s="42" t="s">
        <v>52</v>
      </c>
      <c r="BL4" s="17" t="s">
        <v>52</v>
      </c>
      <c r="BM4" s="17" t="s">
        <v>52</v>
      </c>
      <c r="BN4" s="17" t="s">
        <v>52</v>
      </c>
      <c r="BO4" s="17" t="s">
        <v>52</v>
      </c>
      <c r="BP4" s="17" t="s">
        <v>52</v>
      </c>
      <c r="BQ4" s="17" t="s">
        <v>52</v>
      </c>
      <c r="BR4" s="17" t="s">
        <v>52</v>
      </c>
      <c r="BS4" s="17" t="s">
        <v>52</v>
      </c>
      <c r="BT4" s="17" t="s">
        <v>52</v>
      </c>
      <c r="BU4" s="17" t="s">
        <v>52</v>
      </c>
      <c r="BV4" s="17" t="s">
        <v>52</v>
      </c>
      <c r="BW4" s="17" t="s">
        <v>52</v>
      </c>
      <c r="BX4" s="17" t="s">
        <v>52</v>
      </c>
      <c r="BY4" s="17" t="s">
        <v>52</v>
      </c>
      <c r="BZ4" s="17" t="s">
        <v>52</v>
      </c>
      <c r="CA4" s="17" t="s">
        <v>52</v>
      </c>
      <c r="CB4" s="17" t="s">
        <v>52</v>
      </c>
      <c r="CC4" s="17" t="s">
        <v>52</v>
      </c>
      <c r="CD4" s="17" t="s">
        <v>52</v>
      </c>
      <c r="CE4" s="17" t="s">
        <v>52</v>
      </c>
      <c r="CF4" s="17" t="s">
        <v>52</v>
      </c>
      <c r="CG4" s="17" t="s">
        <v>52</v>
      </c>
      <c r="CH4" s="17" t="s">
        <v>52</v>
      </c>
      <c r="CI4" s="17" t="s">
        <v>52</v>
      </c>
      <c r="CJ4" s="24">
        <v>-24.7</v>
      </c>
      <c r="CK4" s="6" t="s">
        <v>152</v>
      </c>
      <c r="CL4" s="90" t="s">
        <v>52</v>
      </c>
      <c r="CM4" s="18" t="s">
        <v>52</v>
      </c>
      <c r="CN4" s="18" t="s">
        <v>52</v>
      </c>
      <c r="CO4" s="18" t="s">
        <v>52</v>
      </c>
      <c r="CP4" s="77">
        <v>-5.76</v>
      </c>
      <c r="CQ4" s="6" t="s">
        <v>154</v>
      </c>
      <c r="CR4" s="29" t="s">
        <v>144</v>
      </c>
      <c r="CS4" s="77" t="s">
        <v>52</v>
      </c>
      <c r="CT4" s="24" t="s">
        <v>52</v>
      </c>
      <c r="CU4" s="24" t="s">
        <v>52</v>
      </c>
      <c r="CV4" s="31">
        <v>19</v>
      </c>
      <c r="CW4" s="6" t="s">
        <v>156</v>
      </c>
      <c r="CX4" s="18" t="s">
        <v>52</v>
      </c>
      <c r="CY4" s="18" t="s">
        <v>52</v>
      </c>
      <c r="CZ4" s="18" t="s">
        <v>52</v>
      </c>
      <c r="DA4" s="43" t="s">
        <v>52</v>
      </c>
      <c r="DB4" s="30" t="s">
        <v>155</v>
      </c>
      <c r="DC4" s="92">
        <v>-17.97</v>
      </c>
      <c r="DD4" s="18" t="s">
        <v>52</v>
      </c>
      <c r="DE4" s="18" t="s">
        <v>52</v>
      </c>
      <c r="DF4" s="18" t="s">
        <v>52</v>
      </c>
      <c r="DG4" s="18" t="s">
        <v>52</v>
      </c>
      <c r="DH4" s="18" t="s">
        <v>52</v>
      </c>
      <c r="DI4" s="18" t="s">
        <v>52</v>
      </c>
      <c r="DJ4" s="18" t="s">
        <v>52</v>
      </c>
      <c r="DK4" s="18" t="s">
        <v>52</v>
      </c>
      <c r="DL4" s="67" t="s">
        <v>52</v>
      </c>
      <c r="DM4" s="18">
        <v>5000</v>
      </c>
      <c r="DN4" s="6" t="s">
        <v>129</v>
      </c>
      <c r="DO4" s="18">
        <v>1000</v>
      </c>
      <c r="DP4" s="18">
        <v>1000</v>
      </c>
      <c r="DQ4" s="79" t="s">
        <v>129</v>
      </c>
      <c r="DR4" s="18" t="s">
        <v>139</v>
      </c>
      <c r="DS4" s="19" t="s">
        <v>43</v>
      </c>
      <c r="DT4" s="19" t="s">
        <v>52</v>
      </c>
      <c r="DU4" s="19" t="s">
        <v>52</v>
      </c>
      <c r="DV4" s="19" t="s">
        <v>52</v>
      </c>
      <c r="DW4" s="19" t="s">
        <v>52</v>
      </c>
      <c r="DX4" s="7" t="s">
        <v>44</v>
      </c>
      <c r="DY4" s="19" t="s">
        <v>42</v>
      </c>
      <c r="DZ4" s="19" t="s">
        <v>52</v>
      </c>
      <c r="EA4" s="19" t="s">
        <v>52</v>
      </c>
      <c r="EB4" s="34" t="s">
        <v>158</v>
      </c>
      <c r="EC4" s="34" t="s">
        <v>157</v>
      </c>
      <c r="ED4" s="19" t="s">
        <v>52</v>
      </c>
      <c r="EE4" s="19" t="s">
        <v>41</v>
      </c>
      <c r="EF4" s="19" t="s">
        <v>52</v>
      </c>
      <c r="EG4" s="35">
        <v>999</v>
      </c>
      <c r="EH4" s="35" t="s">
        <v>52</v>
      </c>
      <c r="EI4" s="35">
        <v>200</v>
      </c>
      <c r="EJ4" s="35">
        <v>200</v>
      </c>
      <c r="EK4" s="8" t="s">
        <v>140</v>
      </c>
      <c r="EL4" s="8" t="s">
        <v>141</v>
      </c>
      <c r="EM4" s="8" t="s">
        <v>141</v>
      </c>
      <c r="EN4" s="35" t="s">
        <v>128</v>
      </c>
      <c r="EO4" s="35" t="s">
        <v>128</v>
      </c>
      <c r="EP4" s="26" t="s">
        <v>159</v>
      </c>
    </row>
    <row r="5" spans="1:146" ht="36" x14ac:dyDescent="0.2">
      <c r="A5" s="5" t="s">
        <v>161</v>
      </c>
      <c r="B5" s="32" t="s">
        <v>162</v>
      </c>
      <c r="C5" s="47" t="s">
        <v>53</v>
      </c>
      <c r="D5" s="47" t="s">
        <v>138</v>
      </c>
      <c r="E5" s="47">
        <v>2002</v>
      </c>
      <c r="F5" s="85" t="s">
        <v>142</v>
      </c>
      <c r="G5" s="47">
        <v>64250</v>
      </c>
      <c r="H5" s="47" t="s">
        <v>52</v>
      </c>
      <c r="I5" s="47" t="s">
        <v>52</v>
      </c>
      <c r="J5" s="48">
        <v>833</v>
      </c>
      <c r="K5" s="48">
        <v>167</v>
      </c>
      <c r="L5" s="48">
        <v>167</v>
      </c>
      <c r="M5" s="97" t="b">
        <v>1</v>
      </c>
      <c r="N5" s="101">
        <v>3</v>
      </c>
      <c r="O5" s="97" t="s">
        <v>174</v>
      </c>
      <c r="P5" s="97" t="b">
        <v>0</v>
      </c>
      <c r="Q5" s="97" t="b">
        <v>0</v>
      </c>
      <c r="R5" s="97" t="s">
        <v>52</v>
      </c>
      <c r="S5" s="97" t="b">
        <v>1</v>
      </c>
      <c r="T5" s="97" t="b">
        <v>0</v>
      </c>
      <c r="U5" s="97" t="s">
        <v>52</v>
      </c>
      <c r="V5" s="97" t="b">
        <v>0</v>
      </c>
      <c r="W5" s="97" t="b">
        <v>0</v>
      </c>
      <c r="X5" s="97" t="s">
        <v>52</v>
      </c>
      <c r="Y5" s="96" t="s">
        <v>143</v>
      </c>
      <c r="Z5" s="85" t="s">
        <v>142</v>
      </c>
      <c r="AA5" s="37" t="s">
        <v>144</v>
      </c>
      <c r="AB5" s="44" t="s">
        <v>145</v>
      </c>
      <c r="AC5" s="23" t="s">
        <v>52</v>
      </c>
      <c r="AD5" s="41" t="s">
        <v>148</v>
      </c>
      <c r="AE5" s="87">
        <v>50</v>
      </c>
      <c r="AF5" s="23">
        <v>-114</v>
      </c>
      <c r="AG5" s="33" t="s">
        <v>52</v>
      </c>
      <c r="AH5" s="33" t="s">
        <v>52</v>
      </c>
      <c r="AI5" s="33" t="s">
        <v>52</v>
      </c>
      <c r="AJ5" s="28">
        <v>64.25</v>
      </c>
      <c r="AK5" s="23" t="s">
        <v>52</v>
      </c>
      <c r="AL5" s="23" t="s">
        <v>52</v>
      </c>
      <c r="AM5" s="46" t="s">
        <v>146</v>
      </c>
      <c r="AN5" s="89">
        <v>-8.4700000000000006</v>
      </c>
      <c r="AO5" s="89">
        <f>0.13*2</f>
        <v>0.26</v>
      </c>
      <c r="AP5" s="36">
        <v>3</v>
      </c>
      <c r="AQ5" s="83" t="s">
        <v>52</v>
      </c>
      <c r="AR5" s="21" t="s">
        <v>52</v>
      </c>
      <c r="AS5" s="21" t="s">
        <v>52</v>
      </c>
      <c r="AT5" s="17" t="s">
        <v>52</v>
      </c>
      <c r="AU5" s="17" t="s">
        <v>52</v>
      </c>
      <c r="AV5" s="17" t="s">
        <v>52</v>
      </c>
      <c r="AW5" s="17" t="s">
        <v>52</v>
      </c>
      <c r="AX5" s="84" t="s">
        <v>52</v>
      </c>
      <c r="AY5" s="17" t="s">
        <v>52</v>
      </c>
      <c r="AZ5" s="17" t="s">
        <v>52</v>
      </c>
      <c r="BA5" s="17" t="s">
        <v>52</v>
      </c>
      <c r="BB5" s="42" t="s">
        <v>52</v>
      </c>
      <c r="BC5" s="42" t="s">
        <v>52</v>
      </c>
      <c r="BD5" s="42" t="s">
        <v>52</v>
      </c>
      <c r="BE5" s="42" t="s">
        <v>52</v>
      </c>
      <c r="BF5" s="42" t="s">
        <v>52</v>
      </c>
      <c r="BG5" s="17" t="s">
        <v>52</v>
      </c>
      <c r="BH5" s="17" t="s">
        <v>52</v>
      </c>
      <c r="BI5" s="17" t="s">
        <v>52</v>
      </c>
      <c r="BJ5" s="42" t="s">
        <v>52</v>
      </c>
      <c r="BK5" s="42" t="s">
        <v>52</v>
      </c>
      <c r="BL5" s="17" t="s">
        <v>52</v>
      </c>
      <c r="BM5" s="17" t="s">
        <v>52</v>
      </c>
      <c r="BN5" s="17" t="s">
        <v>52</v>
      </c>
      <c r="BO5" s="17" t="s">
        <v>52</v>
      </c>
      <c r="BP5" s="17" t="s">
        <v>52</v>
      </c>
      <c r="BQ5" s="17" t="s">
        <v>52</v>
      </c>
      <c r="BR5" s="17" t="s">
        <v>52</v>
      </c>
      <c r="BS5" s="17" t="s">
        <v>52</v>
      </c>
      <c r="BT5" s="17" t="s">
        <v>52</v>
      </c>
      <c r="BU5" s="17" t="s">
        <v>52</v>
      </c>
      <c r="BV5" s="17" t="s">
        <v>52</v>
      </c>
      <c r="BW5" s="17" t="s">
        <v>52</v>
      </c>
      <c r="BX5" s="17" t="s">
        <v>52</v>
      </c>
      <c r="BY5" s="17" t="s">
        <v>52</v>
      </c>
      <c r="BZ5" s="17" t="s">
        <v>52</v>
      </c>
      <c r="CA5" s="17" t="s">
        <v>52</v>
      </c>
      <c r="CB5" s="17" t="s">
        <v>52</v>
      </c>
      <c r="CC5" s="17" t="s">
        <v>52</v>
      </c>
      <c r="CD5" s="17" t="s">
        <v>52</v>
      </c>
      <c r="CE5" s="17" t="s">
        <v>52</v>
      </c>
      <c r="CF5" s="17" t="s">
        <v>52</v>
      </c>
      <c r="CG5" s="17" t="s">
        <v>52</v>
      </c>
      <c r="CH5" s="17" t="s">
        <v>52</v>
      </c>
      <c r="CI5" s="17" t="s">
        <v>52</v>
      </c>
      <c r="CJ5" s="25">
        <v>-24.5</v>
      </c>
      <c r="CK5" s="6" t="s">
        <v>153</v>
      </c>
      <c r="CL5" s="90" t="s">
        <v>52</v>
      </c>
      <c r="CM5" s="18" t="s">
        <v>52</v>
      </c>
      <c r="CN5" s="18" t="s">
        <v>52</v>
      </c>
      <c r="CO5" s="18" t="s">
        <v>52</v>
      </c>
      <c r="CP5" s="91">
        <v>-5.94</v>
      </c>
      <c r="CQ5" s="6" t="s">
        <v>154</v>
      </c>
      <c r="CR5" s="29" t="s">
        <v>144</v>
      </c>
      <c r="CS5" s="77" t="s">
        <v>52</v>
      </c>
      <c r="CT5" s="24" t="s">
        <v>52</v>
      </c>
      <c r="CU5" s="24" t="s">
        <v>52</v>
      </c>
      <c r="CV5" s="31">
        <v>19</v>
      </c>
      <c r="CW5" s="6" t="s">
        <v>156</v>
      </c>
      <c r="CX5" s="18" t="s">
        <v>52</v>
      </c>
      <c r="CY5" s="18" t="s">
        <v>52</v>
      </c>
      <c r="CZ5" s="18" t="s">
        <v>52</v>
      </c>
      <c r="DA5" s="43" t="s">
        <v>52</v>
      </c>
      <c r="DB5" s="30" t="s">
        <v>155</v>
      </c>
      <c r="DC5" s="93">
        <v>-18.170000000000002</v>
      </c>
      <c r="DD5" s="18" t="s">
        <v>52</v>
      </c>
      <c r="DE5" s="18" t="s">
        <v>52</v>
      </c>
      <c r="DF5" s="18" t="s">
        <v>52</v>
      </c>
      <c r="DG5" s="18" t="s">
        <v>52</v>
      </c>
      <c r="DH5" s="18" t="s">
        <v>52</v>
      </c>
      <c r="DI5" s="18" t="s">
        <v>52</v>
      </c>
      <c r="DJ5" s="18" t="s">
        <v>52</v>
      </c>
      <c r="DK5" s="18" t="s">
        <v>52</v>
      </c>
      <c r="DL5" s="67" t="s">
        <v>52</v>
      </c>
      <c r="DM5" s="18">
        <v>5000</v>
      </c>
      <c r="DN5" s="6" t="s">
        <v>129</v>
      </c>
      <c r="DO5" s="18">
        <v>1000</v>
      </c>
      <c r="DP5" s="18">
        <v>1000</v>
      </c>
      <c r="DQ5" s="79" t="s">
        <v>129</v>
      </c>
      <c r="DR5" s="18" t="s">
        <v>139</v>
      </c>
      <c r="DS5" s="19" t="s">
        <v>43</v>
      </c>
      <c r="DT5" s="19" t="s">
        <v>52</v>
      </c>
      <c r="DU5" s="19" t="s">
        <v>52</v>
      </c>
      <c r="DV5" s="19" t="s">
        <v>52</v>
      </c>
      <c r="DW5" s="19" t="s">
        <v>52</v>
      </c>
      <c r="DX5" s="7" t="s">
        <v>44</v>
      </c>
      <c r="DY5" s="19" t="s">
        <v>42</v>
      </c>
      <c r="DZ5" s="19" t="s">
        <v>52</v>
      </c>
      <c r="EA5" s="19" t="s">
        <v>52</v>
      </c>
      <c r="EB5" s="34" t="s">
        <v>52</v>
      </c>
      <c r="EC5" s="34" t="s">
        <v>157</v>
      </c>
      <c r="ED5" s="19" t="s">
        <v>52</v>
      </c>
      <c r="EE5" s="20" t="s">
        <v>41</v>
      </c>
      <c r="EF5" s="19" t="s">
        <v>52</v>
      </c>
      <c r="EG5" s="35">
        <v>833</v>
      </c>
      <c r="EH5" s="35" t="s">
        <v>52</v>
      </c>
      <c r="EI5" s="35">
        <v>167</v>
      </c>
      <c r="EJ5" s="35">
        <v>167</v>
      </c>
      <c r="EK5" s="8" t="s">
        <v>140</v>
      </c>
      <c r="EL5" s="8" t="s">
        <v>141</v>
      </c>
      <c r="EM5" s="8" t="s">
        <v>141</v>
      </c>
      <c r="EN5" s="35" t="s">
        <v>128</v>
      </c>
      <c r="EO5" s="35" t="s">
        <v>128</v>
      </c>
      <c r="EP5" s="26" t="s">
        <v>159</v>
      </c>
    </row>
    <row r="6" spans="1:146" ht="36" x14ac:dyDescent="0.2">
      <c r="A6" s="5" t="s">
        <v>161</v>
      </c>
      <c r="B6" s="32" t="s">
        <v>162</v>
      </c>
      <c r="C6" s="47" t="s">
        <v>53</v>
      </c>
      <c r="D6" s="47" t="s">
        <v>138</v>
      </c>
      <c r="E6" s="47">
        <v>2002</v>
      </c>
      <c r="F6" s="85" t="s">
        <v>142</v>
      </c>
      <c r="G6" s="47">
        <v>65000</v>
      </c>
      <c r="H6" s="47" t="s">
        <v>52</v>
      </c>
      <c r="I6" s="47" t="s">
        <v>52</v>
      </c>
      <c r="J6" s="48">
        <v>759</v>
      </c>
      <c r="K6" s="48">
        <v>152</v>
      </c>
      <c r="L6" s="48">
        <v>152</v>
      </c>
      <c r="M6" s="97" t="b">
        <v>1</v>
      </c>
      <c r="N6" s="101">
        <v>3</v>
      </c>
      <c r="O6" s="97" t="s">
        <v>174</v>
      </c>
      <c r="P6" s="97" t="b">
        <v>0</v>
      </c>
      <c r="Q6" s="97" t="b">
        <v>0</v>
      </c>
      <c r="R6" s="97" t="s">
        <v>52</v>
      </c>
      <c r="S6" s="97" t="b">
        <v>1</v>
      </c>
      <c r="T6" s="97" t="b">
        <v>0</v>
      </c>
      <c r="U6" s="97" t="s">
        <v>52</v>
      </c>
      <c r="V6" s="97" t="b">
        <v>0</v>
      </c>
      <c r="W6" s="97" t="b">
        <v>0</v>
      </c>
      <c r="X6" s="97" t="s">
        <v>52</v>
      </c>
      <c r="Y6" s="96" t="s">
        <v>143</v>
      </c>
      <c r="Z6" s="85" t="s">
        <v>142</v>
      </c>
      <c r="AA6" s="37" t="s">
        <v>144</v>
      </c>
      <c r="AB6" s="44" t="s">
        <v>145</v>
      </c>
      <c r="AC6" s="23" t="s">
        <v>52</v>
      </c>
      <c r="AD6" s="41" t="s">
        <v>149</v>
      </c>
      <c r="AE6" s="87">
        <v>50</v>
      </c>
      <c r="AF6" s="23">
        <v>-114</v>
      </c>
      <c r="AG6" s="33" t="s">
        <v>52</v>
      </c>
      <c r="AH6" s="33" t="s">
        <v>52</v>
      </c>
      <c r="AI6" s="33" t="s">
        <v>52</v>
      </c>
      <c r="AJ6" s="28">
        <v>65</v>
      </c>
      <c r="AK6" s="23" t="s">
        <v>52</v>
      </c>
      <c r="AL6" s="23" t="s">
        <v>52</v>
      </c>
      <c r="AM6" s="46" t="s">
        <v>146</v>
      </c>
      <c r="AN6" s="89">
        <v>-8.4</v>
      </c>
      <c r="AO6" s="89">
        <f>0.02*2</f>
        <v>0.04</v>
      </c>
      <c r="AP6" s="36">
        <v>2</v>
      </c>
      <c r="AQ6" s="83" t="s">
        <v>52</v>
      </c>
      <c r="AR6" s="21" t="s">
        <v>52</v>
      </c>
      <c r="AS6" s="21" t="s">
        <v>52</v>
      </c>
      <c r="AT6" s="17" t="s">
        <v>52</v>
      </c>
      <c r="AU6" s="17">
        <v>-24.3</v>
      </c>
      <c r="AV6" s="17" t="s">
        <v>52</v>
      </c>
      <c r="AW6" s="17" t="s">
        <v>52</v>
      </c>
      <c r="AX6" s="84" t="s">
        <v>52</v>
      </c>
      <c r="AY6" s="17" t="s">
        <v>52</v>
      </c>
      <c r="AZ6" s="17" t="s">
        <v>52</v>
      </c>
      <c r="BA6" s="17" t="s">
        <v>52</v>
      </c>
      <c r="BB6" s="42" t="s">
        <v>52</v>
      </c>
      <c r="BC6" s="42" t="s">
        <v>52</v>
      </c>
      <c r="BD6" s="42" t="s">
        <v>52</v>
      </c>
      <c r="BE6" s="42" t="s">
        <v>52</v>
      </c>
      <c r="BF6" s="42" t="s">
        <v>52</v>
      </c>
      <c r="BG6" s="17" t="s">
        <v>52</v>
      </c>
      <c r="BH6" s="17" t="s">
        <v>52</v>
      </c>
      <c r="BI6" s="17" t="s">
        <v>52</v>
      </c>
      <c r="BJ6" s="42" t="s">
        <v>52</v>
      </c>
      <c r="BK6" s="42" t="s">
        <v>52</v>
      </c>
      <c r="BL6" s="17" t="s">
        <v>52</v>
      </c>
      <c r="BM6" s="17" t="s">
        <v>52</v>
      </c>
      <c r="BN6" s="17" t="s">
        <v>52</v>
      </c>
      <c r="BO6" s="17" t="s">
        <v>52</v>
      </c>
      <c r="BP6" s="17" t="s">
        <v>52</v>
      </c>
      <c r="BQ6" s="17" t="s">
        <v>52</v>
      </c>
      <c r="BR6" s="17" t="s">
        <v>52</v>
      </c>
      <c r="BS6" s="17" t="s">
        <v>52</v>
      </c>
      <c r="BT6" s="17" t="s">
        <v>52</v>
      </c>
      <c r="BU6" s="17" t="s">
        <v>52</v>
      </c>
      <c r="BV6" s="17" t="s">
        <v>52</v>
      </c>
      <c r="BW6" s="17" t="s">
        <v>52</v>
      </c>
      <c r="BX6" s="17" t="s">
        <v>52</v>
      </c>
      <c r="BY6" s="17" t="s">
        <v>52</v>
      </c>
      <c r="BZ6" s="17" t="s">
        <v>52</v>
      </c>
      <c r="CA6" s="17" t="s">
        <v>52</v>
      </c>
      <c r="CB6" s="17" t="s">
        <v>52</v>
      </c>
      <c r="CC6" s="17" t="s">
        <v>52</v>
      </c>
      <c r="CD6" s="17" t="s">
        <v>52</v>
      </c>
      <c r="CE6" s="17" t="s">
        <v>52</v>
      </c>
      <c r="CF6" s="17" t="s">
        <v>52</v>
      </c>
      <c r="CG6" s="17" t="s">
        <v>52</v>
      </c>
      <c r="CH6" s="17" t="s">
        <v>52</v>
      </c>
      <c r="CI6" s="17" t="s">
        <v>52</v>
      </c>
      <c r="CJ6" s="25">
        <v>-24.3</v>
      </c>
      <c r="CK6" s="6" t="s">
        <v>152</v>
      </c>
      <c r="CL6" s="90" t="s">
        <v>52</v>
      </c>
      <c r="CM6" s="18" t="s">
        <v>52</v>
      </c>
      <c r="CN6" s="18" t="s">
        <v>52</v>
      </c>
      <c r="CO6" s="18" t="s">
        <v>52</v>
      </c>
      <c r="CP6" s="91">
        <v>-5.53</v>
      </c>
      <c r="CQ6" s="6" t="s">
        <v>154</v>
      </c>
      <c r="CR6" s="29" t="s">
        <v>144</v>
      </c>
      <c r="CS6" s="77" t="s">
        <v>52</v>
      </c>
      <c r="CT6" s="24" t="s">
        <v>52</v>
      </c>
      <c r="CU6" s="24" t="s">
        <v>52</v>
      </c>
      <c r="CV6" s="31">
        <v>19</v>
      </c>
      <c r="CW6" s="6" t="s">
        <v>156</v>
      </c>
      <c r="CX6" s="18" t="s">
        <v>52</v>
      </c>
      <c r="CY6" s="18" t="s">
        <v>52</v>
      </c>
      <c r="CZ6" s="18" t="s">
        <v>52</v>
      </c>
      <c r="DA6" s="43" t="s">
        <v>52</v>
      </c>
      <c r="DB6" s="30" t="s">
        <v>155</v>
      </c>
      <c r="DC6" s="91">
        <v>-18.100000000000001</v>
      </c>
      <c r="DD6" s="18" t="s">
        <v>52</v>
      </c>
      <c r="DE6" s="18" t="s">
        <v>52</v>
      </c>
      <c r="DF6" s="18" t="s">
        <v>52</v>
      </c>
      <c r="DG6" s="18" t="s">
        <v>52</v>
      </c>
      <c r="DH6" s="18" t="s">
        <v>52</v>
      </c>
      <c r="DI6" s="18" t="s">
        <v>52</v>
      </c>
      <c r="DJ6" s="18" t="s">
        <v>52</v>
      </c>
      <c r="DK6" s="18" t="s">
        <v>52</v>
      </c>
      <c r="DL6" s="67" t="s">
        <v>52</v>
      </c>
      <c r="DM6" s="18">
        <v>5000</v>
      </c>
      <c r="DN6" s="6" t="s">
        <v>129</v>
      </c>
      <c r="DO6" s="18">
        <v>1000</v>
      </c>
      <c r="DP6" s="18">
        <v>1000</v>
      </c>
      <c r="DQ6" s="79" t="s">
        <v>129</v>
      </c>
      <c r="DR6" s="18" t="s">
        <v>139</v>
      </c>
      <c r="DS6" s="19" t="s">
        <v>43</v>
      </c>
      <c r="DT6" s="19" t="s">
        <v>52</v>
      </c>
      <c r="DU6" s="19" t="s">
        <v>52</v>
      </c>
      <c r="DV6" s="19" t="s">
        <v>52</v>
      </c>
      <c r="DW6" s="19" t="s">
        <v>52</v>
      </c>
      <c r="DX6" s="7" t="s">
        <v>44</v>
      </c>
      <c r="DY6" s="19" t="s">
        <v>42</v>
      </c>
      <c r="DZ6" s="19" t="s">
        <v>52</v>
      </c>
      <c r="EA6" s="19" t="s">
        <v>52</v>
      </c>
      <c r="EB6" s="34" t="s">
        <v>158</v>
      </c>
      <c r="EC6" s="34" t="s">
        <v>157</v>
      </c>
      <c r="ED6" s="19" t="s">
        <v>52</v>
      </c>
      <c r="EE6" s="20" t="s">
        <v>41</v>
      </c>
      <c r="EF6" s="19" t="s">
        <v>52</v>
      </c>
      <c r="EG6" s="35">
        <v>759</v>
      </c>
      <c r="EH6" s="35" t="s">
        <v>52</v>
      </c>
      <c r="EI6" s="35">
        <v>152</v>
      </c>
      <c r="EJ6" s="35">
        <v>152</v>
      </c>
      <c r="EK6" s="8" t="s">
        <v>140</v>
      </c>
      <c r="EL6" s="8" t="s">
        <v>141</v>
      </c>
      <c r="EM6" s="8" t="s">
        <v>141</v>
      </c>
      <c r="EN6" s="35" t="s">
        <v>128</v>
      </c>
      <c r="EO6" s="35" t="s">
        <v>128</v>
      </c>
      <c r="EP6" s="26" t="s">
        <v>159</v>
      </c>
    </row>
    <row r="7" spans="1:146" ht="36" x14ac:dyDescent="0.2">
      <c r="A7" s="5" t="s">
        <v>161</v>
      </c>
      <c r="B7" s="32" t="s">
        <v>162</v>
      </c>
      <c r="C7" s="47" t="s">
        <v>53</v>
      </c>
      <c r="D7" s="47" t="s">
        <v>138</v>
      </c>
      <c r="E7" s="47">
        <v>2002</v>
      </c>
      <c r="F7" s="85" t="s">
        <v>142</v>
      </c>
      <c r="G7" s="47">
        <v>65500</v>
      </c>
      <c r="H7" s="47" t="s">
        <v>52</v>
      </c>
      <c r="I7" s="47" t="s">
        <v>52</v>
      </c>
      <c r="J7" s="48">
        <v>1440</v>
      </c>
      <c r="K7" s="48">
        <v>288</v>
      </c>
      <c r="L7" s="48">
        <v>288</v>
      </c>
      <c r="M7" s="97" t="b">
        <v>1</v>
      </c>
      <c r="N7" s="101">
        <v>3</v>
      </c>
      <c r="O7" s="97" t="s">
        <v>174</v>
      </c>
      <c r="P7" s="97" t="b">
        <v>0</v>
      </c>
      <c r="Q7" s="97" t="b">
        <v>0</v>
      </c>
      <c r="R7" s="97" t="s">
        <v>52</v>
      </c>
      <c r="S7" s="97" t="b">
        <v>1</v>
      </c>
      <c r="T7" s="97" t="b">
        <v>0</v>
      </c>
      <c r="U7" s="97" t="s">
        <v>52</v>
      </c>
      <c r="V7" s="97" t="b">
        <v>0</v>
      </c>
      <c r="W7" s="97" t="b">
        <v>0</v>
      </c>
      <c r="X7" s="97" t="s">
        <v>52</v>
      </c>
      <c r="Y7" s="96" t="s">
        <v>143</v>
      </c>
      <c r="Z7" s="85" t="s">
        <v>142</v>
      </c>
      <c r="AA7" s="37" t="s">
        <v>144</v>
      </c>
      <c r="AB7" s="44" t="s">
        <v>145</v>
      </c>
      <c r="AC7" s="23" t="s">
        <v>52</v>
      </c>
      <c r="AD7" s="41" t="s">
        <v>150</v>
      </c>
      <c r="AE7" s="87">
        <v>50</v>
      </c>
      <c r="AF7" s="23">
        <v>-114</v>
      </c>
      <c r="AG7" s="33" t="s">
        <v>52</v>
      </c>
      <c r="AH7" s="33" t="s">
        <v>52</v>
      </c>
      <c r="AI7" s="33" t="s">
        <v>52</v>
      </c>
      <c r="AJ7" s="28">
        <v>65.5</v>
      </c>
      <c r="AK7" s="23" t="s">
        <v>52</v>
      </c>
      <c r="AL7" s="23" t="s">
        <v>52</v>
      </c>
      <c r="AM7" s="46" t="s">
        <v>146</v>
      </c>
      <c r="AN7" s="89">
        <v>-7.23</v>
      </c>
      <c r="AO7" s="89">
        <f>0.32*2</f>
        <v>0.64</v>
      </c>
      <c r="AP7" s="36">
        <v>9</v>
      </c>
      <c r="AQ7" s="83" t="s">
        <v>52</v>
      </c>
      <c r="AR7" s="21" t="s">
        <v>52</v>
      </c>
      <c r="AS7" s="21" t="s">
        <v>52</v>
      </c>
      <c r="AT7" s="17" t="s">
        <v>52</v>
      </c>
      <c r="AU7" s="17" t="s">
        <v>52</v>
      </c>
      <c r="AV7" s="17" t="s">
        <v>52</v>
      </c>
      <c r="AW7" s="17" t="s">
        <v>52</v>
      </c>
      <c r="AX7" s="84" t="s">
        <v>52</v>
      </c>
      <c r="AY7" s="17" t="s">
        <v>52</v>
      </c>
      <c r="AZ7" s="17" t="s">
        <v>52</v>
      </c>
      <c r="BA7" s="17" t="s">
        <v>52</v>
      </c>
      <c r="BB7" s="42" t="s">
        <v>52</v>
      </c>
      <c r="BC7" s="42" t="s">
        <v>52</v>
      </c>
      <c r="BD7" s="42" t="s">
        <v>52</v>
      </c>
      <c r="BE7" s="42" t="s">
        <v>52</v>
      </c>
      <c r="BF7" s="42" t="s">
        <v>52</v>
      </c>
      <c r="BG7" s="17" t="s">
        <v>52</v>
      </c>
      <c r="BH7" s="17" t="s">
        <v>52</v>
      </c>
      <c r="BI7" s="17" t="s">
        <v>52</v>
      </c>
      <c r="BJ7" s="42" t="s">
        <v>52</v>
      </c>
      <c r="BK7" s="42" t="s">
        <v>52</v>
      </c>
      <c r="BL7" s="17" t="s">
        <v>52</v>
      </c>
      <c r="BM7" s="17" t="s">
        <v>52</v>
      </c>
      <c r="BN7" s="17" t="s">
        <v>52</v>
      </c>
      <c r="BO7" s="17" t="s">
        <v>52</v>
      </c>
      <c r="BP7" s="17" t="s">
        <v>52</v>
      </c>
      <c r="BQ7" s="17" t="s">
        <v>52</v>
      </c>
      <c r="BR7" s="17" t="s">
        <v>52</v>
      </c>
      <c r="BS7" s="17" t="s">
        <v>52</v>
      </c>
      <c r="BT7" s="17" t="s">
        <v>52</v>
      </c>
      <c r="BU7" s="17" t="s">
        <v>52</v>
      </c>
      <c r="BV7" s="17" t="s">
        <v>52</v>
      </c>
      <c r="BW7" s="17" t="s">
        <v>52</v>
      </c>
      <c r="BX7" s="17" t="s">
        <v>52</v>
      </c>
      <c r="BY7" s="17" t="s">
        <v>52</v>
      </c>
      <c r="BZ7" s="17" t="s">
        <v>52</v>
      </c>
      <c r="CA7" s="17" t="s">
        <v>52</v>
      </c>
      <c r="CB7" s="17" t="s">
        <v>52</v>
      </c>
      <c r="CC7" s="17" t="s">
        <v>52</v>
      </c>
      <c r="CD7" s="17" t="s">
        <v>52</v>
      </c>
      <c r="CE7" s="17" t="s">
        <v>52</v>
      </c>
      <c r="CF7" s="17" t="s">
        <v>52</v>
      </c>
      <c r="CG7" s="17" t="s">
        <v>52</v>
      </c>
      <c r="CH7" s="17" t="s">
        <v>52</v>
      </c>
      <c r="CI7" s="17" t="s">
        <v>52</v>
      </c>
      <c r="CJ7" s="25">
        <v>-24.6</v>
      </c>
      <c r="CK7" s="6" t="s">
        <v>153</v>
      </c>
      <c r="CL7" s="90" t="s">
        <v>52</v>
      </c>
      <c r="CM7" s="18" t="s">
        <v>52</v>
      </c>
      <c r="CN7" s="18" t="s">
        <v>52</v>
      </c>
      <c r="CO7" s="18" t="s">
        <v>52</v>
      </c>
      <c r="CP7" s="91">
        <v>-5.2</v>
      </c>
      <c r="CQ7" s="6" t="s">
        <v>154</v>
      </c>
      <c r="CR7" s="29" t="s">
        <v>144</v>
      </c>
      <c r="CS7" s="77" t="s">
        <v>52</v>
      </c>
      <c r="CT7" s="24" t="s">
        <v>52</v>
      </c>
      <c r="CU7" s="24" t="s">
        <v>52</v>
      </c>
      <c r="CV7" s="31">
        <v>19</v>
      </c>
      <c r="CW7" s="6" t="s">
        <v>156</v>
      </c>
      <c r="CX7" s="18" t="s">
        <v>52</v>
      </c>
      <c r="CY7" s="18" t="s">
        <v>52</v>
      </c>
      <c r="CZ7" s="18" t="s">
        <v>52</v>
      </c>
      <c r="DA7" s="43" t="s">
        <v>52</v>
      </c>
      <c r="DB7" s="30" t="s">
        <v>155</v>
      </c>
      <c r="DC7" s="93">
        <v>-16.93</v>
      </c>
      <c r="DD7" s="18" t="s">
        <v>52</v>
      </c>
      <c r="DE7" s="18" t="s">
        <v>52</v>
      </c>
      <c r="DF7" s="18" t="s">
        <v>52</v>
      </c>
      <c r="DG7" s="18" t="s">
        <v>52</v>
      </c>
      <c r="DH7" s="18" t="s">
        <v>52</v>
      </c>
      <c r="DI7" s="18" t="s">
        <v>52</v>
      </c>
      <c r="DJ7" s="18" t="s">
        <v>52</v>
      </c>
      <c r="DK7" s="18" t="s">
        <v>52</v>
      </c>
      <c r="DL7" s="67" t="s">
        <v>52</v>
      </c>
      <c r="DM7" s="18">
        <v>5000</v>
      </c>
      <c r="DN7" s="6" t="s">
        <v>129</v>
      </c>
      <c r="DO7" s="18">
        <v>1000</v>
      </c>
      <c r="DP7" s="18">
        <v>1000</v>
      </c>
      <c r="DQ7" s="79" t="s">
        <v>129</v>
      </c>
      <c r="DR7" s="18" t="s">
        <v>139</v>
      </c>
      <c r="DS7" s="19" t="s">
        <v>43</v>
      </c>
      <c r="DT7" s="19" t="s">
        <v>52</v>
      </c>
      <c r="DU7" s="19" t="s">
        <v>52</v>
      </c>
      <c r="DV7" s="19" t="s">
        <v>52</v>
      </c>
      <c r="DW7" s="19" t="s">
        <v>52</v>
      </c>
      <c r="DX7" s="7" t="s">
        <v>44</v>
      </c>
      <c r="DY7" s="19" t="s">
        <v>42</v>
      </c>
      <c r="DZ7" s="19" t="s">
        <v>52</v>
      </c>
      <c r="EA7" s="19" t="s">
        <v>52</v>
      </c>
      <c r="EB7" s="34" t="s">
        <v>52</v>
      </c>
      <c r="EC7" s="34" t="s">
        <v>157</v>
      </c>
      <c r="ED7" s="19" t="s">
        <v>52</v>
      </c>
      <c r="EE7" s="20" t="s">
        <v>41</v>
      </c>
      <c r="EF7" s="19" t="s">
        <v>52</v>
      </c>
      <c r="EG7" s="35">
        <v>1440</v>
      </c>
      <c r="EH7" s="35" t="s">
        <v>52</v>
      </c>
      <c r="EI7" s="35">
        <v>288</v>
      </c>
      <c r="EJ7" s="35">
        <v>288</v>
      </c>
      <c r="EK7" s="8" t="s">
        <v>140</v>
      </c>
      <c r="EL7" s="8" t="s">
        <v>141</v>
      </c>
      <c r="EM7" s="8" t="s">
        <v>141</v>
      </c>
      <c r="EN7" s="35" t="s">
        <v>128</v>
      </c>
      <c r="EO7" s="35" t="s">
        <v>128</v>
      </c>
      <c r="EP7" s="26" t="s">
        <v>159</v>
      </c>
    </row>
    <row r="8" spans="1:146" ht="36" x14ac:dyDescent="0.2">
      <c r="A8" s="5" t="s">
        <v>161</v>
      </c>
      <c r="B8" s="32" t="s">
        <v>162</v>
      </c>
      <c r="C8" s="47" t="s">
        <v>53</v>
      </c>
      <c r="D8" s="47" t="s">
        <v>138</v>
      </c>
      <c r="E8" s="47">
        <v>2002</v>
      </c>
      <c r="F8" s="85" t="s">
        <v>142</v>
      </c>
      <c r="G8" s="47">
        <v>66500</v>
      </c>
      <c r="H8" s="47" t="s">
        <v>52</v>
      </c>
      <c r="I8" s="47" t="s">
        <v>52</v>
      </c>
      <c r="J8" s="48">
        <v>780</v>
      </c>
      <c r="K8" s="48">
        <v>156</v>
      </c>
      <c r="L8" s="48">
        <v>156</v>
      </c>
      <c r="M8" s="97" t="b">
        <v>1</v>
      </c>
      <c r="N8" s="101">
        <v>3</v>
      </c>
      <c r="O8" s="97" t="s">
        <v>174</v>
      </c>
      <c r="P8" s="97" t="b">
        <v>0</v>
      </c>
      <c r="Q8" s="97" t="b">
        <v>0</v>
      </c>
      <c r="R8" s="97" t="s">
        <v>52</v>
      </c>
      <c r="S8" s="97" t="b">
        <v>1</v>
      </c>
      <c r="T8" s="97" t="b">
        <v>0</v>
      </c>
      <c r="U8" s="97" t="s">
        <v>52</v>
      </c>
      <c r="V8" s="97" t="b">
        <v>0</v>
      </c>
      <c r="W8" s="97" t="b">
        <v>0</v>
      </c>
      <c r="X8" s="97" t="s">
        <v>52</v>
      </c>
      <c r="Y8" s="96" t="s">
        <v>143</v>
      </c>
      <c r="Z8" s="85" t="s">
        <v>142</v>
      </c>
      <c r="AA8" s="37" t="s">
        <v>144</v>
      </c>
      <c r="AB8" s="44" t="s">
        <v>145</v>
      </c>
      <c r="AC8" s="23" t="s">
        <v>52</v>
      </c>
      <c r="AD8" s="41" t="s">
        <v>150</v>
      </c>
      <c r="AE8" s="87">
        <v>50</v>
      </c>
      <c r="AF8" s="23">
        <v>-114</v>
      </c>
      <c r="AG8" s="33" t="s">
        <v>52</v>
      </c>
      <c r="AH8" s="33" t="s">
        <v>52</v>
      </c>
      <c r="AI8" s="33" t="s">
        <v>52</v>
      </c>
      <c r="AJ8" s="28">
        <v>66.5</v>
      </c>
      <c r="AK8" s="23" t="s">
        <v>52</v>
      </c>
      <c r="AL8" s="23" t="s">
        <v>52</v>
      </c>
      <c r="AM8" s="46" t="s">
        <v>146</v>
      </c>
      <c r="AN8" s="89">
        <v>-8.48</v>
      </c>
      <c r="AO8" s="89">
        <f>0.41*2</f>
        <v>0.82</v>
      </c>
      <c r="AP8" s="36">
        <v>6</v>
      </c>
      <c r="AQ8" s="83" t="s">
        <v>52</v>
      </c>
      <c r="AR8" s="21" t="s">
        <v>52</v>
      </c>
      <c r="AS8" s="21" t="s">
        <v>52</v>
      </c>
      <c r="AT8" s="17" t="s">
        <v>52</v>
      </c>
      <c r="AU8" s="17">
        <v>-24.9</v>
      </c>
      <c r="AV8" s="17" t="s">
        <v>52</v>
      </c>
      <c r="AW8" s="17" t="s">
        <v>52</v>
      </c>
      <c r="AX8" s="84" t="s">
        <v>52</v>
      </c>
      <c r="AY8" s="17" t="s">
        <v>52</v>
      </c>
      <c r="AZ8" s="17" t="s">
        <v>52</v>
      </c>
      <c r="BA8" s="17" t="s">
        <v>52</v>
      </c>
      <c r="BB8" s="42" t="s">
        <v>52</v>
      </c>
      <c r="BC8" s="42" t="s">
        <v>52</v>
      </c>
      <c r="BD8" s="42" t="s">
        <v>52</v>
      </c>
      <c r="BE8" s="42" t="s">
        <v>52</v>
      </c>
      <c r="BF8" s="42" t="s">
        <v>52</v>
      </c>
      <c r="BG8" s="17" t="s">
        <v>52</v>
      </c>
      <c r="BH8" s="17" t="s">
        <v>52</v>
      </c>
      <c r="BI8" s="17" t="s">
        <v>52</v>
      </c>
      <c r="BJ8" s="42" t="s">
        <v>52</v>
      </c>
      <c r="BK8" s="42" t="s">
        <v>52</v>
      </c>
      <c r="BL8" s="17" t="s">
        <v>52</v>
      </c>
      <c r="BM8" s="17" t="s">
        <v>52</v>
      </c>
      <c r="BN8" s="17" t="s">
        <v>52</v>
      </c>
      <c r="BO8" s="17" t="s">
        <v>52</v>
      </c>
      <c r="BP8" s="17" t="s">
        <v>52</v>
      </c>
      <c r="BQ8" s="17" t="s">
        <v>52</v>
      </c>
      <c r="BR8" s="17" t="s">
        <v>52</v>
      </c>
      <c r="BS8" s="17" t="s">
        <v>52</v>
      </c>
      <c r="BT8" s="17" t="s">
        <v>52</v>
      </c>
      <c r="BU8" s="17" t="s">
        <v>52</v>
      </c>
      <c r="BV8" s="17" t="s">
        <v>52</v>
      </c>
      <c r="BW8" s="17" t="s">
        <v>52</v>
      </c>
      <c r="BX8" s="17" t="s">
        <v>52</v>
      </c>
      <c r="BY8" s="17" t="s">
        <v>52</v>
      </c>
      <c r="BZ8" s="17" t="s">
        <v>52</v>
      </c>
      <c r="CA8" s="17" t="s">
        <v>52</v>
      </c>
      <c r="CB8" s="17" t="s">
        <v>52</v>
      </c>
      <c r="CC8" s="17" t="s">
        <v>52</v>
      </c>
      <c r="CD8" s="17" t="s">
        <v>52</v>
      </c>
      <c r="CE8" s="17" t="s">
        <v>52</v>
      </c>
      <c r="CF8" s="17" t="s">
        <v>52</v>
      </c>
      <c r="CG8" s="17" t="s">
        <v>52</v>
      </c>
      <c r="CH8" s="17" t="s">
        <v>52</v>
      </c>
      <c r="CI8" s="17" t="s">
        <v>52</v>
      </c>
      <c r="CJ8" s="25">
        <v>-24.9</v>
      </c>
      <c r="CK8" s="6" t="s">
        <v>152</v>
      </c>
      <c r="CL8" s="90" t="s">
        <v>52</v>
      </c>
      <c r="CM8" s="18" t="s">
        <v>52</v>
      </c>
      <c r="CN8" s="18" t="s">
        <v>52</v>
      </c>
      <c r="CO8" s="18" t="s">
        <v>52</v>
      </c>
      <c r="CP8" s="91">
        <v>-5.27</v>
      </c>
      <c r="CQ8" s="6" t="s">
        <v>154</v>
      </c>
      <c r="CR8" s="29" t="s">
        <v>144</v>
      </c>
      <c r="CS8" s="77" t="s">
        <v>52</v>
      </c>
      <c r="CT8" s="24" t="s">
        <v>52</v>
      </c>
      <c r="CU8" s="24" t="s">
        <v>52</v>
      </c>
      <c r="CV8" s="31">
        <v>16</v>
      </c>
      <c r="CW8" s="6" t="s">
        <v>156</v>
      </c>
      <c r="CX8" s="18" t="s">
        <v>52</v>
      </c>
      <c r="CY8" s="18" t="s">
        <v>52</v>
      </c>
      <c r="CZ8" s="18" t="s">
        <v>52</v>
      </c>
      <c r="DA8" s="43" t="s">
        <v>52</v>
      </c>
      <c r="DB8" s="30" t="s">
        <v>155</v>
      </c>
      <c r="DC8" s="93">
        <v>-18.54</v>
      </c>
      <c r="DD8" s="18" t="s">
        <v>52</v>
      </c>
      <c r="DE8" s="18" t="s">
        <v>52</v>
      </c>
      <c r="DF8" s="18" t="s">
        <v>52</v>
      </c>
      <c r="DG8" s="18" t="s">
        <v>52</v>
      </c>
      <c r="DH8" s="18" t="s">
        <v>52</v>
      </c>
      <c r="DI8" s="18" t="s">
        <v>52</v>
      </c>
      <c r="DJ8" s="18" t="s">
        <v>52</v>
      </c>
      <c r="DK8" s="18" t="s">
        <v>52</v>
      </c>
      <c r="DL8" s="67" t="s">
        <v>52</v>
      </c>
      <c r="DM8" s="18">
        <v>5000</v>
      </c>
      <c r="DN8" s="6" t="s">
        <v>129</v>
      </c>
      <c r="DO8" s="18">
        <v>1000</v>
      </c>
      <c r="DP8" s="18">
        <v>1000</v>
      </c>
      <c r="DQ8" s="79" t="s">
        <v>129</v>
      </c>
      <c r="DR8" s="18" t="s">
        <v>139</v>
      </c>
      <c r="DS8" s="19" t="s">
        <v>43</v>
      </c>
      <c r="DT8" s="19" t="s">
        <v>52</v>
      </c>
      <c r="DU8" s="19" t="s">
        <v>52</v>
      </c>
      <c r="DV8" s="19" t="s">
        <v>52</v>
      </c>
      <c r="DW8" s="19" t="s">
        <v>52</v>
      </c>
      <c r="DX8" s="7" t="s">
        <v>44</v>
      </c>
      <c r="DY8" s="19" t="s">
        <v>42</v>
      </c>
      <c r="DZ8" s="19" t="s">
        <v>52</v>
      </c>
      <c r="EA8" s="19" t="s">
        <v>52</v>
      </c>
      <c r="EB8" s="34" t="s">
        <v>158</v>
      </c>
      <c r="EC8" s="34" t="s">
        <v>157</v>
      </c>
      <c r="ED8" s="19" t="s">
        <v>52</v>
      </c>
      <c r="EE8" s="20" t="s">
        <v>41</v>
      </c>
      <c r="EF8" s="19" t="s">
        <v>52</v>
      </c>
      <c r="EG8" s="35">
        <v>780</v>
      </c>
      <c r="EH8" s="35" t="s">
        <v>52</v>
      </c>
      <c r="EI8" s="35">
        <v>156</v>
      </c>
      <c r="EJ8" s="35">
        <v>156</v>
      </c>
      <c r="EK8" s="8" t="s">
        <v>140</v>
      </c>
      <c r="EL8" s="8" t="s">
        <v>141</v>
      </c>
      <c r="EM8" s="8" t="s">
        <v>141</v>
      </c>
      <c r="EN8" s="35" t="s">
        <v>128</v>
      </c>
      <c r="EO8" s="35" t="s">
        <v>128</v>
      </c>
      <c r="EP8" s="26" t="s">
        <v>159</v>
      </c>
    </row>
    <row r="9" spans="1:146" ht="36" x14ac:dyDescent="0.2">
      <c r="A9" s="5" t="s">
        <v>161</v>
      </c>
      <c r="B9" s="32" t="s">
        <v>162</v>
      </c>
      <c r="C9" s="47" t="s">
        <v>53</v>
      </c>
      <c r="D9" s="47" t="s">
        <v>138</v>
      </c>
      <c r="E9" s="47">
        <v>2002</v>
      </c>
      <c r="F9" s="85" t="s">
        <v>142</v>
      </c>
      <c r="G9" s="47">
        <v>76500</v>
      </c>
      <c r="H9" s="47" t="s">
        <v>52</v>
      </c>
      <c r="I9" s="47" t="s">
        <v>52</v>
      </c>
      <c r="J9" s="48">
        <v>1193</v>
      </c>
      <c r="K9" s="48">
        <v>239</v>
      </c>
      <c r="L9" s="48">
        <v>239</v>
      </c>
      <c r="M9" s="97" t="b">
        <v>1</v>
      </c>
      <c r="N9" s="101">
        <v>3</v>
      </c>
      <c r="O9" s="97" t="s">
        <v>174</v>
      </c>
      <c r="P9" s="97" t="b">
        <v>0</v>
      </c>
      <c r="Q9" s="97" t="b">
        <v>0</v>
      </c>
      <c r="R9" s="97" t="s">
        <v>52</v>
      </c>
      <c r="S9" s="97" t="b">
        <v>1</v>
      </c>
      <c r="T9" s="97" t="b">
        <v>0</v>
      </c>
      <c r="U9" s="97" t="s">
        <v>52</v>
      </c>
      <c r="V9" s="97" t="b">
        <v>0</v>
      </c>
      <c r="W9" s="97" t="b">
        <v>0</v>
      </c>
      <c r="X9" s="97" t="s">
        <v>52</v>
      </c>
      <c r="Y9" s="96" t="s">
        <v>143</v>
      </c>
      <c r="Z9" s="85" t="s">
        <v>142</v>
      </c>
      <c r="AA9" s="37" t="s">
        <v>144</v>
      </c>
      <c r="AB9" s="44" t="s">
        <v>145</v>
      </c>
      <c r="AC9" s="23" t="s">
        <v>52</v>
      </c>
      <c r="AD9" s="41" t="s">
        <v>151</v>
      </c>
      <c r="AE9" s="87">
        <v>50</v>
      </c>
      <c r="AF9" s="23">
        <v>-114</v>
      </c>
      <c r="AG9" s="33" t="s">
        <v>52</v>
      </c>
      <c r="AH9" s="33" t="s">
        <v>52</v>
      </c>
      <c r="AI9" s="33" t="s">
        <v>52</v>
      </c>
      <c r="AJ9" s="28">
        <v>76.5</v>
      </c>
      <c r="AK9" s="23" t="s">
        <v>52</v>
      </c>
      <c r="AL9" s="23" t="s">
        <v>52</v>
      </c>
      <c r="AM9" s="46" t="s">
        <v>146</v>
      </c>
      <c r="AN9" s="89">
        <v>-7.78</v>
      </c>
      <c r="AO9" s="89">
        <f>0.65*2</f>
        <v>1.3</v>
      </c>
      <c r="AP9" s="36">
        <v>11</v>
      </c>
      <c r="AQ9" s="83" t="s">
        <v>52</v>
      </c>
      <c r="AR9" s="21" t="s">
        <v>52</v>
      </c>
      <c r="AS9" s="21" t="s">
        <v>52</v>
      </c>
      <c r="AT9" s="17" t="s">
        <v>52</v>
      </c>
      <c r="AU9" s="17" t="s">
        <v>52</v>
      </c>
      <c r="AV9" s="17" t="s">
        <v>52</v>
      </c>
      <c r="AW9" s="17" t="s">
        <v>52</v>
      </c>
      <c r="AX9" s="84" t="s">
        <v>52</v>
      </c>
      <c r="AY9" s="17" t="s">
        <v>52</v>
      </c>
      <c r="AZ9" s="17" t="s">
        <v>52</v>
      </c>
      <c r="BA9" s="17" t="s">
        <v>52</v>
      </c>
      <c r="BB9" s="42" t="s">
        <v>52</v>
      </c>
      <c r="BC9" s="42" t="s">
        <v>52</v>
      </c>
      <c r="BD9" s="42" t="s">
        <v>52</v>
      </c>
      <c r="BE9" s="42" t="s">
        <v>52</v>
      </c>
      <c r="BF9" s="42" t="s">
        <v>52</v>
      </c>
      <c r="BG9" s="17" t="s">
        <v>52</v>
      </c>
      <c r="BH9" s="17" t="s">
        <v>52</v>
      </c>
      <c r="BI9" s="17" t="s">
        <v>52</v>
      </c>
      <c r="BJ9" s="42" t="s">
        <v>52</v>
      </c>
      <c r="BK9" s="42" t="s">
        <v>52</v>
      </c>
      <c r="BL9" s="17" t="s">
        <v>52</v>
      </c>
      <c r="BM9" s="17" t="s">
        <v>52</v>
      </c>
      <c r="BN9" s="17" t="s">
        <v>52</v>
      </c>
      <c r="BO9" s="17" t="s">
        <v>52</v>
      </c>
      <c r="BP9" s="17" t="s">
        <v>52</v>
      </c>
      <c r="BQ9" s="17" t="s">
        <v>52</v>
      </c>
      <c r="BR9" s="17" t="s">
        <v>52</v>
      </c>
      <c r="BS9" s="17" t="s">
        <v>52</v>
      </c>
      <c r="BT9" s="17" t="s">
        <v>52</v>
      </c>
      <c r="BU9" s="17" t="s">
        <v>52</v>
      </c>
      <c r="BV9" s="17" t="s">
        <v>52</v>
      </c>
      <c r="BW9" s="17" t="s">
        <v>52</v>
      </c>
      <c r="BX9" s="17" t="s">
        <v>52</v>
      </c>
      <c r="BY9" s="17" t="s">
        <v>52</v>
      </c>
      <c r="BZ9" s="17" t="s">
        <v>52</v>
      </c>
      <c r="CA9" s="17" t="s">
        <v>52</v>
      </c>
      <c r="CB9" s="17" t="s">
        <v>52</v>
      </c>
      <c r="CC9" s="17" t="s">
        <v>52</v>
      </c>
      <c r="CD9" s="17" t="s">
        <v>52</v>
      </c>
      <c r="CE9" s="17" t="s">
        <v>52</v>
      </c>
      <c r="CF9" s="17" t="s">
        <v>52</v>
      </c>
      <c r="CG9" s="17" t="s">
        <v>52</v>
      </c>
      <c r="CH9" s="17" t="s">
        <v>52</v>
      </c>
      <c r="CI9" s="17" t="s">
        <v>52</v>
      </c>
      <c r="CJ9" s="25">
        <v>-24.9</v>
      </c>
      <c r="CK9" s="6" t="s">
        <v>153</v>
      </c>
      <c r="CL9" s="90" t="s">
        <v>52</v>
      </c>
      <c r="CM9" s="18" t="s">
        <v>52</v>
      </c>
      <c r="CN9" s="18" t="s">
        <v>52</v>
      </c>
      <c r="CO9" s="18" t="s">
        <v>52</v>
      </c>
      <c r="CP9" s="91">
        <v>-5.61</v>
      </c>
      <c r="CQ9" s="6" t="s">
        <v>154</v>
      </c>
      <c r="CR9" s="29" t="s">
        <v>144</v>
      </c>
      <c r="CS9" s="77" t="s">
        <v>52</v>
      </c>
      <c r="CT9" s="24" t="s">
        <v>52</v>
      </c>
      <c r="CU9" s="24" t="s">
        <v>52</v>
      </c>
      <c r="CV9" s="31">
        <v>17</v>
      </c>
      <c r="CW9" s="6" t="s">
        <v>156</v>
      </c>
      <c r="CX9" s="18" t="s">
        <v>52</v>
      </c>
      <c r="CY9" s="18" t="s">
        <v>52</v>
      </c>
      <c r="CZ9" s="18" t="s">
        <v>52</v>
      </c>
      <c r="DA9" s="43" t="s">
        <v>52</v>
      </c>
      <c r="DB9" s="30" t="s">
        <v>155</v>
      </c>
      <c r="DC9" s="93">
        <v>-17.72</v>
      </c>
      <c r="DD9" s="18" t="s">
        <v>52</v>
      </c>
      <c r="DE9" s="18" t="s">
        <v>52</v>
      </c>
      <c r="DF9" s="18" t="s">
        <v>52</v>
      </c>
      <c r="DG9" s="18" t="s">
        <v>52</v>
      </c>
      <c r="DH9" s="18" t="s">
        <v>52</v>
      </c>
      <c r="DI9" s="18" t="s">
        <v>52</v>
      </c>
      <c r="DJ9" s="18" t="s">
        <v>52</v>
      </c>
      <c r="DK9" s="18" t="s">
        <v>52</v>
      </c>
      <c r="DL9" s="67" t="s">
        <v>52</v>
      </c>
      <c r="DM9" s="18">
        <v>5000</v>
      </c>
      <c r="DN9" s="6" t="s">
        <v>129</v>
      </c>
      <c r="DO9" s="18">
        <v>1000</v>
      </c>
      <c r="DP9" s="18">
        <v>1000</v>
      </c>
      <c r="DQ9" s="79" t="s">
        <v>129</v>
      </c>
      <c r="DR9" s="18" t="s">
        <v>139</v>
      </c>
      <c r="DS9" s="19" t="s">
        <v>43</v>
      </c>
      <c r="DT9" s="19" t="s">
        <v>52</v>
      </c>
      <c r="DU9" s="19" t="s">
        <v>52</v>
      </c>
      <c r="DV9" s="19" t="s">
        <v>52</v>
      </c>
      <c r="DW9" s="19" t="s">
        <v>52</v>
      </c>
      <c r="DX9" s="7" t="s">
        <v>44</v>
      </c>
      <c r="DY9" s="19" t="s">
        <v>42</v>
      </c>
      <c r="DZ9" s="19" t="s">
        <v>52</v>
      </c>
      <c r="EA9" s="19" t="s">
        <v>52</v>
      </c>
      <c r="EB9" s="34" t="s">
        <v>52</v>
      </c>
      <c r="EC9" s="34" t="s">
        <v>157</v>
      </c>
      <c r="ED9" s="19" t="s">
        <v>52</v>
      </c>
      <c r="EE9" s="20" t="s">
        <v>41</v>
      </c>
      <c r="EF9" s="19" t="s">
        <v>52</v>
      </c>
      <c r="EG9" s="35">
        <v>1193</v>
      </c>
      <c r="EH9" s="35" t="s">
        <v>52</v>
      </c>
      <c r="EI9" s="35">
        <v>239</v>
      </c>
      <c r="EJ9" s="35">
        <v>239</v>
      </c>
      <c r="EK9" s="8" t="s">
        <v>140</v>
      </c>
      <c r="EL9" s="8" t="s">
        <v>141</v>
      </c>
      <c r="EM9" s="8" t="s">
        <v>141</v>
      </c>
      <c r="EN9" s="35" t="s">
        <v>128</v>
      </c>
      <c r="EO9" s="35" t="s">
        <v>128</v>
      </c>
      <c r="EP9" s="26" t="s">
        <v>159</v>
      </c>
    </row>
    <row r="10" spans="1:146" x14ac:dyDescent="0.2">
      <c r="C10" s="47"/>
      <c r="D10" s="47"/>
      <c r="E10" s="47"/>
      <c r="F10" s="38"/>
      <c r="G10" s="47"/>
      <c r="H10" s="47"/>
      <c r="I10" s="47"/>
      <c r="J10" s="48"/>
      <c r="K10" s="47"/>
      <c r="L10" s="47"/>
      <c r="M10" s="97"/>
      <c r="N10" s="97"/>
      <c r="O10" s="97"/>
      <c r="P10" s="97"/>
      <c r="Q10" s="97"/>
      <c r="R10" s="97"/>
      <c r="S10" s="97"/>
      <c r="T10" s="97"/>
      <c r="U10" s="97"/>
      <c r="V10" s="97"/>
      <c r="W10" s="97"/>
      <c r="X10" s="97"/>
      <c r="Y10" s="16"/>
      <c r="Z10" s="39"/>
      <c r="AA10" s="16"/>
      <c r="AB10" s="16"/>
      <c r="AG10" s="81"/>
      <c r="AH10" s="81"/>
      <c r="AI10" s="33"/>
      <c r="AN10" s="22"/>
      <c r="AO10" s="22"/>
    </row>
    <row r="11" spans="1:146" x14ac:dyDescent="0.2">
      <c r="C11" s="47"/>
      <c r="D11" s="47"/>
      <c r="E11" s="47"/>
      <c r="F11" s="47"/>
      <c r="G11" s="47"/>
      <c r="H11" s="47"/>
      <c r="I11" s="47"/>
      <c r="J11" s="47"/>
      <c r="K11" s="47"/>
      <c r="L11" s="47"/>
      <c r="M11" s="97"/>
      <c r="N11" s="97"/>
      <c r="O11" s="97"/>
      <c r="P11" s="97"/>
      <c r="Q11" s="97"/>
      <c r="R11" s="97"/>
      <c r="S11" s="97"/>
      <c r="T11" s="97"/>
      <c r="U11" s="97"/>
      <c r="V11" s="97"/>
      <c r="W11" s="97"/>
      <c r="X11" s="97"/>
      <c r="Y11" s="16"/>
      <c r="AA11" s="16"/>
      <c r="AB11" s="16"/>
      <c r="AN11" s="22"/>
      <c r="AO11" s="22"/>
    </row>
    <row r="12" spans="1:146" x14ac:dyDescent="0.2">
      <c r="C12" s="47"/>
      <c r="D12" s="47"/>
      <c r="E12" s="47"/>
      <c r="F12" s="47"/>
      <c r="G12" s="47"/>
      <c r="H12" s="47"/>
      <c r="I12" s="47"/>
      <c r="J12" s="47"/>
      <c r="K12" s="47"/>
      <c r="L12" s="47"/>
      <c r="M12" s="97"/>
      <c r="N12" s="97"/>
      <c r="O12" s="97"/>
      <c r="P12" s="97"/>
      <c r="Q12" s="97"/>
      <c r="R12" s="97"/>
      <c r="S12" s="97"/>
      <c r="T12" s="97"/>
      <c r="U12" s="97"/>
      <c r="V12" s="97"/>
      <c r="W12" s="97"/>
      <c r="X12" s="97"/>
      <c r="Y12" s="16"/>
      <c r="AA12" s="16"/>
      <c r="AB12" s="16"/>
      <c r="AN12" s="22"/>
      <c r="AO12" s="22"/>
    </row>
    <row r="13" spans="1:146" x14ac:dyDescent="0.2">
      <c r="C13" s="47"/>
      <c r="D13" s="47"/>
      <c r="E13" s="47"/>
      <c r="F13" s="47"/>
      <c r="G13" s="47"/>
      <c r="H13" s="47"/>
      <c r="I13" s="47"/>
      <c r="J13" s="47"/>
      <c r="K13" s="47"/>
      <c r="L13" s="47"/>
      <c r="M13" s="97"/>
      <c r="N13" s="97"/>
      <c r="O13" s="97"/>
      <c r="P13" s="97"/>
      <c r="Q13" s="97"/>
      <c r="R13" s="97"/>
      <c r="S13" s="97"/>
      <c r="T13" s="97"/>
      <c r="U13" s="97"/>
      <c r="V13" s="97"/>
      <c r="W13" s="97"/>
      <c r="X13" s="97"/>
      <c r="Y13" s="16"/>
      <c r="AA13" s="16"/>
      <c r="AB13" s="16"/>
      <c r="AN13" s="22"/>
      <c r="AO13" s="22"/>
    </row>
    <row r="14" spans="1:146" x14ac:dyDescent="0.2">
      <c r="C14" s="47"/>
      <c r="D14" s="47"/>
      <c r="E14" s="47"/>
      <c r="F14" s="47"/>
      <c r="G14" s="47"/>
      <c r="H14" s="47"/>
      <c r="I14" s="47"/>
      <c r="J14" s="47"/>
      <c r="K14" s="47"/>
      <c r="L14" s="47"/>
      <c r="M14" s="97"/>
      <c r="N14" s="97"/>
      <c r="O14" s="97"/>
      <c r="P14" s="97"/>
      <c r="Q14" s="97"/>
      <c r="R14" s="97"/>
      <c r="S14" s="97"/>
      <c r="T14" s="97"/>
      <c r="U14" s="97"/>
      <c r="V14" s="97"/>
      <c r="W14" s="97"/>
      <c r="X14" s="97"/>
      <c r="Y14" s="16"/>
      <c r="AA14" s="16"/>
      <c r="AB14" s="16"/>
      <c r="AN14" s="22"/>
      <c r="AO14" s="22"/>
    </row>
    <row r="15" spans="1:146" x14ac:dyDescent="0.2">
      <c r="C15" s="47"/>
      <c r="D15" s="47"/>
      <c r="E15" s="47"/>
      <c r="F15" s="47"/>
      <c r="G15" s="47"/>
      <c r="H15" s="47"/>
      <c r="I15" s="47"/>
      <c r="J15" s="47"/>
      <c r="K15" s="47"/>
      <c r="L15" s="47"/>
      <c r="M15" s="97"/>
      <c r="N15" s="97"/>
      <c r="O15" s="97"/>
      <c r="P15" s="97"/>
      <c r="Q15" s="97"/>
      <c r="R15" s="97"/>
      <c r="S15" s="97"/>
      <c r="T15" s="97"/>
      <c r="U15" s="97"/>
      <c r="V15" s="97"/>
      <c r="W15" s="97"/>
      <c r="X15" s="97"/>
      <c r="Y15" s="16"/>
      <c r="AA15" s="16"/>
      <c r="AB15" s="16"/>
      <c r="AN15" s="22"/>
      <c r="AO15" s="22"/>
      <c r="AR15" s="22"/>
    </row>
    <row r="16" spans="1:146" x14ac:dyDescent="0.2">
      <c r="C16" s="47"/>
      <c r="D16" s="47"/>
      <c r="E16" s="47"/>
      <c r="F16" s="47"/>
      <c r="G16" s="47"/>
      <c r="H16" s="47"/>
      <c r="I16" s="47"/>
      <c r="J16" s="47"/>
      <c r="K16" s="47"/>
      <c r="L16" s="47"/>
      <c r="M16" s="97"/>
      <c r="N16" s="97"/>
      <c r="O16" s="97"/>
      <c r="P16" s="97"/>
      <c r="Q16" s="97"/>
      <c r="R16" s="97"/>
      <c r="S16" s="97"/>
      <c r="T16" s="97"/>
      <c r="U16" s="97"/>
      <c r="V16" s="97"/>
      <c r="W16" s="97"/>
      <c r="X16" s="97"/>
      <c r="Y16" s="16"/>
      <c r="AA16" s="16"/>
      <c r="AB16" s="16"/>
      <c r="AN16" s="22"/>
      <c r="AO16" s="22"/>
      <c r="AR16" s="22"/>
    </row>
    <row r="17" spans="3:41" x14ac:dyDescent="0.2">
      <c r="C17" s="47"/>
      <c r="D17" s="47"/>
      <c r="E17" s="47"/>
      <c r="F17" s="47"/>
      <c r="G17" s="47"/>
      <c r="H17" s="47"/>
      <c r="I17" s="47"/>
      <c r="J17" s="47"/>
      <c r="K17" s="47"/>
      <c r="L17" s="47"/>
      <c r="M17" s="97"/>
      <c r="N17" s="97"/>
      <c r="O17" s="97"/>
      <c r="P17" s="97"/>
      <c r="Q17" s="97"/>
      <c r="R17" s="97"/>
      <c r="S17" s="97"/>
      <c r="T17" s="97"/>
      <c r="U17" s="97"/>
      <c r="V17" s="97"/>
      <c r="W17" s="97"/>
      <c r="X17" s="97"/>
      <c r="Y17" s="16"/>
      <c r="AA17" s="16"/>
      <c r="AB17" s="16"/>
      <c r="AN17" s="22"/>
      <c r="AO17" s="22"/>
    </row>
    <row r="18" spans="3:41" x14ac:dyDescent="0.2">
      <c r="C18" s="47"/>
      <c r="D18" s="47"/>
      <c r="E18" s="47"/>
      <c r="F18" s="47"/>
      <c r="G18" s="47"/>
      <c r="H18" s="47"/>
      <c r="I18" s="47"/>
      <c r="J18" s="47"/>
      <c r="K18" s="47"/>
      <c r="L18" s="47"/>
      <c r="M18" s="97"/>
      <c r="N18" s="97"/>
      <c r="O18" s="97"/>
      <c r="P18" s="97"/>
      <c r="Q18" s="97"/>
      <c r="R18" s="97"/>
      <c r="S18" s="97"/>
      <c r="T18" s="97"/>
      <c r="U18" s="97"/>
      <c r="V18" s="97"/>
      <c r="W18" s="97"/>
      <c r="X18" s="97"/>
      <c r="Y18" s="16"/>
      <c r="AA18" s="16"/>
      <c r="AB18" s="16"/>
      <c r="AN18" s="22"/>
      <c r="AO18" s="22"/>
    </row>
    <row r="19" spans="3:41" x14ac:dyDescent="0.2">
      <c r="C19" s="47"/>
      <c r="D19" s="47"/>
      <c r="E19" s="47"/>
      <c r="F19" s="47"/>
      <c r="G19" s="47"/>
      <c r="H19" s="47"/>
      <c r="I19" s="47"/>
      <c r="J19" s="47"/>
      <c r="K19" s="47"/>
      <c r="L19" s="47"/>
      <c r="M19" s="97"/>
      <c r="N19" s="97"/>
      <c r="O19" s="97"/>
      <c r="P19" s="97"/>
      <c r="Q19" s="97"/>
      <c r="R19" s="97"/>
      <c r="S19" s="97"/>
      <c r="T19" s="97"/>
      <c r="U19" s="97"/>
      <c r="V19" s="97"/>
      <c r="W19" s="97"/>
      <c r="X19" s="97"/>
      <c r="Y19" s="16"/>
      <c r="AA19" s="16"/>
      <c r="AB19" s="16"/>
      <c r="AN19" s="22"/>
      <c r="AO19" s="22"/>
    </row>
    <row r="20" spans="3:41" x14ac:dyDescent="0.2">
      <c r="C20" s="47"/>
      <c r="D20" s="47"/>
      <c r="E20" s="47"/>
      <c r="F20" s="47"/>
      <c r="G20" s="47"/>
      <c r="H20" s="47"/>
      <c r="I20" s="47"/>
      <c r="J20" s="47"/>
      <c r="K20" s="47"/>
      <c r="L20" s="47"/>
      <c r="M20" s="97"/>
      <c r="N20" s="97"/>
      <c r="O20" s="97"/>
      <c r="P20" s="97"/>
      <c r="Q20" s="97"/>
      <c r="R20" s="97"/>
      <c r="S20" s="97"/>
      <c r="T20" s="97"/>
      <c r="U20" s="97"/>
      <c r="V20" s="97"/>
      <c r="W20" s="97"/>
      <c r="X20" s="97"/>
      <c r="Y20" s="16"/>
      <c r="AA20" s="16"/>
      <c r="AB20" s="16"/>
      <c r="AN20" s="22"/>
      <c r="AO20" s="22"/>
    </row>
    <row r="21" spans="3:41" x14ac:dyDescent="0.2">
      <c r="C21" s="47"/>
      <c r="D21" s="47"/>
      <c r="E21" s="47"/>
      <c r="F21" s="47"/>
      <c r="G21" s="47"/>
      <c r="H21" s="47"/>
      <c r="I21" s="47"/>
      <c r="J21" s="47"/>
      <c r="K21" s="47"/>
      <c r="L21" s="47"/>
      <c r="M21" s="97"/>
      <c r="N21" s="97"/>
      <c r="O21" s="97"/>
      <c r="P21" s="97"/>
      <c r="Q21" s="97"/>
      <c r="R21" s="97"/>
      <c r="S21" s="97"/>
      <c r="T21" s="97"/>
      <c r="U21" s="97"/>
      <c r="V21" s="97"/>
      <c r="W21" s="97"/>
      <c r="X21" s="97"/>
      <c r="Y21" s="16"/>
      <c r="AA21" s="16"/>
      <c r="AB21" s="16"/>
      <c r="AN21" s="22"/>
      <c r="AO21" s="22"/>
    </row>
    <row r="22" spans="3:41" x14ac:dyDescent="0.2">
      <c r="C22" s="47"/>
      <c r="D22" s="47"/>
      <c r="E22" s="47"/>
      <c r="F22" s="47"/>
      <c r="G22" s="47"/>
      <c r="H22" s="47"/>
      <c r="I22" s="47"/>
      <c r="J22" s="47"/>
      <c r="K22" s="47"/>
      <c r="L22" s="47"/>
      <c r="M22" s="97"/>
      <c r="N22" s="97"/>
      <c r="O22" s="97"/>
      <c r="P22" s="97"/>
      <c r="Q22" s="97"/>
      <c r="R22" s="97"/>
      <c r="S22" s="97"/>
      <c r="T22" s="97"/>
      <c r="U22" s="97"/>
      <c r="V22" s="97"/>
      <c r="W22" s="97"/>
      <c r="X22" s="97"/>
      <c r="Y22" s="16"/>
      <c r="AA22" s="16"/>
      <c r="AB22" s="16"/>
      <c r="AN22" s="22"/>
      <c r="AO22" s="22"/>
    </row>
    <row r="23" spans="3:41" x14ac:dyDescent="0.2">
      <c r="C23" s="47"/>
      <c r="D23" s="47"/>
      <c r="E23" s="47"/>
      <c r="F23" s="47"/>
      <c r="G23" s="47"/>
      <c r="H23" s="47"/>
      <c r="I23" s="47"/>
      <c r="J23" s="47"/>
      <c r="K23" s="47"/>
      <c r="L23" s="47"/>
      <c r="M23" s="97"/>
      <c r="N23" s="97"/>
      <c r="O23" s="97"/>
      <c r="P23" s="97"/>
      <c r="Q23" s="97"/>
      <c r="R23" s="97"/>
      <c r="S23" s="97"/>
      <c r="T23" s="97"/>
      <c r="U23" s="97"/>
      <c r="V23" s="97"/>
      <c r="W23" s="97"/>
      <c r="X23" s="97"/>
      <c r="Y23" s="16"/>
      <c r="AA23" s="16"/>
      <c r="AB23" s="16"/>
      <c r="AN23" s="22"/>
      <c r="AO23" s="22"/>
    </row>
    <row r="24" spans="3:41" x14ac:dyDescent="0.2">
      <c r="C24" s="47"/>
      <c r="D24" s="47"/>
      <c r="E24" s="47"/>
      <c r="F24" s="47"/>
      <c r="G24" s="47"/>
      <c r="H24" s="47"/>
      <c r="I24" s="47"/>
      <c r="J24" s="47"/>
      <c r="K24" s="47"/>
      <c r="L24" s="47"/>
      <c r="M24" s="97"/>
      <c r="N24" s="97"/>
      <c r="O24" s="97"/>
      <c r="P24" s="97"/>
      <c r="Q24" s="97"/>
      <c r="R24" s="97"/>
      <c r="S24" s="97"/>
      <c r="T24" s="97"/>
      <c r="U24" s="97"/>
      <c r="V24" s="97"/>
      <c r="W24" s="97"/>
      <c r="X24" s="97"/>
      <c r="Y24" s="16"/>
      <c r="AA24" s="16"/>
      <c r="AB24" s="16"/>
      <c r="AN24" s="22"/>
      <c r="AO24" s="22"/>
    </row>
    <row r="25" spans="3:41" x14ac:dyDescent="0.2">
      <c r="C25" s="47"/>
      <c r="D25" s="47"/>
      <c r="E25" s="47"/>
      <c r="F25" s="47"/>
      <c r="G25" s="47"/>
      <c r="H25" s="47"/>
      <c r="I25" s="47"/>
      <c r="J25" s="47"/>
      <c r="K25" s="47"/>
      <c r="L25" s="47"/>
      <c r="M25" s="97"/>
      <c r="N25" s="97"/>
      <c r="O25" s="97"/>
      <c r="P25" s="97"/>
      <c r="Q25" s="97"/>
      <c r="R25" s="97"/>
      <c r="S25" s="97"/>
      <c r="T25" s="97"/>
      <c r="U25" s="97"/>
      <c r="V25" s="97"/>
      <c r="W25" s="97"/>
      <c r="X25" s="97"/>
      <c r="Y25" s="16"/>
      <c r="AA25" s="16"/>
      <c r="AB25" s="16"/>
      <c r="AN25" s="22"/>
      <c r="AO25" s="22"/>
    </row>
    <row r="26" spans="3:41" x14ac:dyDescent="0.2">
      <c r="C26" s="47"/>
      <c r="D26" s="47"/>
      <c r="E26" s="47"/>
      <c r="F26" s="47"/>
      <c r="G26" s="47"/>
      <c r="H26" s="47"/>
      <c r="I26" s="47"/>
      <c r="J26" s="47"/>
      <c r="K26" s="47"/>
      <c r="L26" s="47"/>
      <c r="M26" s="97"/>
      <c r="N26" s="97"/>
      <c r="O26" s="97"/>
      <c r="P26" s="97"/>
      <c r="Q26" s="97"/>
      <c r="R26" s="97"/>
      <c r="S26" s="97"/>
      <c r="T26" s="97"/>
      <c r="U26" s="97"/>
      <c r="V26" s="97"/>
      <c r="W26" s="97"/>
      <c r="X26" s="97"/>
      <c r="Y26" s="16"/>
      <c r="AA26" s="16"/>
      <c r="AB26" s="16"/>
      <c r="AN26" s="22"/>
      <c r="AO26" s="22"/>
    </row>
    <row r="27" spans="3:41" x14ac:dyDescent="0.2">
      <c r="C27" s="47"/>
      <c r="D27" s="47"/>
      <c r="E27" s="47"/>
      <c r="F27" s="47"/>
      <c r="G27" s="47"/>
      <c r="H27" s="47"/>
      <c r="I27" s="47"/>
      <c r="J27" s="47"/>
      <c r="K27" s="47"/>
      <c r="L27" s="47"/>
      <c r="M27" s="97"/>
      <c r="N27" s="97"/>
      <c r="O27" s="97"/>
      <c r="P27" s="97"/>
      <c r="Q27" s="97"/>
      <c r="R27" s="97"/>
      <c r="S27" s="97"/>
      <c r="T27" s="97"/>
      <c r="U27" s="97"/>
      <c r="V27" s="97"/>
      <c r="W27" s="97"/>
      <c r="X27" s="97"/>
      <c r="Y27" s="16"/>
      <c r="AA27" s="16"/>
      <c r="AB27" s="16"/>
      <c r="AN27" s="22"/>
      <c r="AO27" s="22"/>
    </row>
    <row r="28" spans="3:41" x14ac:dyDescent="0.2">
      <c r="C28" s="47"/>
      <c r="D28" s="47"/>
      <c r="E28" s="47"/>
      <c r="F28" s="47"/>
      <c r="G28" s="47"/>
      <c r="H28" s="47"/>
      <c r="I28" s="47"/>
      <c r="J28" s="47"/>
      <c r="K28" s="47"/>
      <c r="L28" s="47"/>
      <c r="M28" s="97"/>
      <c r="N28" s="97"/>
      <c r="O28" s="97"/>
      <c r="P28" s="97"/>
      <c r="Q28" s="97"/>
      <c r="R28" s="97"/>
      <c r="S28" s="97"/>
      <c r="T28" s="97"/>
      <c r="U28" s="97"/>
      <c r="V28" s="97"/>
      <c r="W28" s="97"/>
      <c r="X28" s="97"/>
      <c r="Y28" s="16"/>
      <c r="AA28" s="16"/>
      <c r="AB28" s="16"/>
      <c r="AN28" s="22"/>
      <c r="AO28" s="22"/>
    </row>
    <row r="29" spans="3:41" x14ac:dyDescent="0.2">
      <c r="C29" s="47"/>
      <c r="D29" s="47"/>
      <c r="E29" s="47"/>
      <c r="F29" s="47"/>
      <c r="G29" s="47"/>
      <c r="H29" s="47"/>
      <c r="I29" s="47"/>
      <c r="J29" s="47"/>
      <c r="K29" s="47"/>
      <c r="L29" s="47"/>
      <c r="M29" s="97"/>
      <c r="N29" s="97"/>
      <c r="O29" s="97"/>
      <c r="P29" s="97"/>
      <c r="Q29" s="97"/>
      <c r="R29" s="97"/>
      <c r="S29" s="97"/>
      <c r="T29" s="97"/>
      <c r="U29" s="97"/>
      <c r="V29" s="97"/>
      <c r="W29" s="97"/>
      <c r="X29" s="97"/>
      <c r="Y29" s="16"/>
      <c r="AA29" s="16"/>
      <c r="AB29" s="16"/>
      <c r="AN29" s="22"/>
      <c r="AO29" s="22"/>
    </row>
    <row r="30" spans="3:41" x14ac:dyDescent="0.2">
      <c r="C30" s="47"/>
      <c r="D30" s="47"/>
      <c r="E30" s="47"/>
      <c r="F30" s="47"/>
      <c r="G30" s="47"/>
      <c r="H30" s="47"/>
      <c r="I30" s="47"/>
      <c r="J30" s="47"/>
      <c r="K30" s="47"/>
      <c r="L30" s="47"/>
      <c r="M30" s="97"/>
      <c r="N30" s="97"/>
      <c r="O30" s="97"/>
      <c r="P30" s="97"/>
      <c r="Q30" s="97"/>
      <c r="R30" s="97"/>
      <c r="S30" s="97"/>
      <c r="T30" s="97"/>
      <c r="U30" s="97"/>
      <c r="V30" s="97"/>
      <c r="W30" s="97"/>
      <c r="X30" s="97"/>
      <c r="Y30" s="16"/>
      <c r="AA30" s="16"/>
      <c r="AB30" s="16"/>
      <c r="AN30" s="22"/>
      <c r="AO30" s="22"/>
    </row>
    <row r="31" spans="3:41" x14ac:dyDescent="0.2">
      <c r="C31" s="47"/>
      <c r="D31" s="47"/>
      <c r="E31" s="47"/>
      <c r="F31" s="47"/>
      <c r="G31" s="47"/>
      <c r="H31" s="47"/>
      <c r="I31" s="47"/>
      <c r="J31" s="47"/>
      <c r="K31" s="47"/>
      <c r="L31" s="47"/>
      <c r="M31" s="97"/>
      <c r="N31" s="97"/>
      <c r="O31" s="97"/>
      <c r="P31" s="97"/>
      <c r="Q31" s="97"/>
      <c r="R31" s="97"/>
      <c r="S31" s="97"/>
      <c r="T31" s="97"/>
      <c r="U31" s="97"/>
      <c r="V31" s="97"/>
      <c r="W31" s="97"/>
      <c r="X31" s="97"/>
      <c r="Y31" s="16"/>
      <c r="AA31" s="16"/>
      <c r="AB31" s="16"/>
      <c r="AN31" s="22"/>
      <c r="AO31" s="22"/>
    </row>
    <row r="32" spans="3:41" x14ac:dyDescent="0.2">
      <c r="C32" s="47"/>
      <c r="D32" s="47"/>
      <c r="E32" s="47"/>
      <c r="F32" s="47"/>
      <c r="G32" s="47"/>
      <c r="H32" s="47"/>
      <c r="I32" s="47"/>
      <c r="J32" s="47"/>
      <c r="K32" s="47"/>
      <c r="L32" s="47"/>
      <c r="M32" s="97"/>
      <c r="N32" s="97"/>
      <c r="O32" s="97"/>
      <c r="P32" s="97"/>
      <c r="Q32" s="97"/>
      <c r="R32" s="97"/>
      <c r="S32" s="97"/>
      <c r="T32" s="97"/>
      <c r="U32" s="97"/>
      <c r="V32" s="97"/>
      <c r="W32" s="97"/>
      <c r="X32" s="97"/>
      <c r="Y32" s="16"/>
      <c r="AA32" s="16"/>
      <c r="AB32" s="16"/>
      <c r="AN32" s="22"/>
      <c r="AO32" s="22"/>
    </row>
    <row r="33" spans="3:41" x14ac:dyDescent="0.2">
      <c r="C33" s="47"/>
      <c r="D33" s="47"/>
      <c r="E33" s="47"/>
      <c r="F33" s="47"/>
      <c r="G33" s="47"/>
      <c r="H33" s="47"/>
      <c r="I33" s="47"/>
      <c r="J33" s="47"/>
      <c r="K33" s="47"/>
      <c r="L33" s="47"/>
      <c r="M33" s="97"/>
      <c r="N33" s="97"/>
      <c r="O33" s="97"/>
      <c r="P33" s="97"/>
      <c r="Q33" s="97"/>
      <c r="R33" s="97"/>
      <c r="S33" s="97"/>
      <c r="T33" s="97"/>
      <c r="U33" s="97"/>
      <c r="V33" s="97"/>
      <c r="W33" s="97"/>
      <c r="X33" s="97"/>
      <c r="Y33" s="16"/>
      <c r="AA33" s="16"/>
      <c r="AB33" s="16"/>
      <c r="AN33" s="22"/>
      <c r="AO33" s="22"/>
    </row>
    <row r="34" spans="3:41" x14ac:dyDescent="0.2">
      <c r="C34" s="47"/>
      <c r="D34" s="47"/>
      <c r="E34" s="47"/>
      <c r="F34" s="47"/>
      <c r="G34" s="47"/>
      <c r="H34" s="47"/>
      <c r="I34" s="47"/>
      <c r="J34" s="47"/>
      <c r="K34" s="47"/>
      <c r="L34" s="47"/>
      <c r="M34" s="97"/>
      <c r="N34" s="97"/>
      <c r="O34" s="97"/>
      <c r="P34" s="97"/>
      <c r="Q34" s="97"/>
      <c r="R34" s="97"/>
      <c r="S34" s="97"/>
      <c r="T34" s="97"/>
      <c r="U34" s="97"/>
      <c r="V34" s="97"/>
      <c r="W34" s="97"/>
      <c r="X34" s="97"/>
      <c r="Y34" s="16"/>
      <c r="AA34" s="16"/>
      <c r="AB34" s="16"/>
      <c r="AN34" s="22"/>
      <c r="AO34" s="22"/>
    </row>
    <row r="35" spans="3:41" x14ac:dyDescent="0.2">
      <c r="C35" s="47"/>
      <c r="D35" s="47"/>
      <c r="E35" s="47"/>
      <c r="F35" s="47"/>
      <c r="G35" s="47"/>
      <c r="H35" s="47"/>
      <c r="I35" s="47"/>
      <c r="J35" s="47"/>
      <c r="K35" s="47"/>
      <c r="L35" s="47"/>
      <c r="M35" s="97"/>
      <c r="N35" s="97"/>
      <c r="O35" s="97"/>
      <c r="P35" s="97"/>
      <c r="Q35" s="97"/>
      <c r="R35" s="97"/>
      <c r="S35" s="97"/>
      <c r="T35" s="97"/>
      <c r="U35" s="97"/>
      <c r="V35" s="97"/>
      <c r="W35" s="97"/>
      <c r="X35" s="97"/>
      <c r="Y35" s="16"/>
      <c r="AA35" s="16"/>
      <c r="AB35" s="16"/>
      <c r="AN35" s="22"/>
      <c r="AO35" s="22"/>
    </row>
    <row r="36" spans="3:41" x14ac:dyDescent="0.2">
      <c r="C36" s="47"/>
      <c r="D36" s="47"/>
      <c r="E36" s="47"/>
      <c r="F36" s="47"/>
      <c r="G36" s="47"/>
      <c r="H36" s="47"/>
      <c r="I36" s="47"/>
      <c r="J36" s="47"/>
      <c r="K36" s="47"/>
      <c r="L36" s="47"/>
      <c r="M36" s="97"/>
      <c r="N36" s="97"/>
      <c r="O36" s="97"/>
      <c r="P36" s="97"/>
      <c r="Q36" s="97"/>
      <c r="R36" s="97"/>
      <c r="S36" s="97"/>
      <c r="T36" s="97"/>
      <c r="U36" s="97"/>
      <c r="V36" s="97"/>
      <c r="W36" s="97"/>
      <c r="X36" s="97"/>
      <c r="Y36" s="16"/>
      <c r="AA36" s="16"/>
      <c r="AB36" s="16"/>
      <c r="AN36" s="22"/>
      <c r="AO36" s="22"/>
    </row>
    <row r="37" spans="3:41" x14ac:dyDescent="0.2">
      <c r="C37" s="47"/>
      <c r="D37" s="47"/>
      <c r="E37" s="47"/>
      <c r="F37" s="47"/>
      <c r="G37" s="47"/>
      <c r="H37" s="47"/>
      <c r="I37" s="47"/>
      <c r="J37" s="47"/>
      <c r="K37" s="47"/>
      <c r="L37" s="47"/>
      <c r="M37" s="97"/>
      <c r="N37" s="97"/>
      <c r="O37" s="97"/>
      <c r="P37" s="97"/>
      <c r="Q37" s="97"/>
      <c r="R37" s="97"/>
      <c r="S37" s="97"/>
      <c r="T37" s="97"/>
      <c r="U37" s="97"/>
      <c r="V37" s="97"/>
      <c r="W37" s="97"/>
      <c r="X37" s="97"/>
      <c r="Y37" s="16"/>
      <c r="AA37" s="16"/>
      <c r="AB37" s="16"/>
      <c r="AN37" s="22"/>
      <c r="AO37" s="22"/>
    </row>
    <row r="38" spans="3:41" x14ac:dyDescent="0.2">
      <c r="C38" s="47"/>
      <c r="D38" s="47"/>
      <c r="E38" s="47"/>
      <c r="F38" s="47"/>
      <c r="G38" s="47"/>
      <c r="H38" s="47"/>
      <c r="I38" s="47"/>
      <c r="J38" s="47"/>
      <c r="K38" s="47"/>
      <c r="L38" s="47"/>
      <c r="M38" s="97"/>
      <c r="N38" s="97"/>
      <c r="O38" s="97"/>
      <c r="P38" s="97"/>
      <c r="Q38" s="97"/>
      <c r="R38" s="97"/>
      <c r="S38" s="97"/>
      <c r="T38" s="97"/>
      <c r="U38" s="97"/>
      <c r="V38" s="97"/>
      <c r="W38" s="97"/>
      <c r="X38" s="97"/>
      <c r="Y38" s="16"/>
      <c r="AA38" s="16"/>
      <c r="AB38" s="16"/>
      <c r="AN38" s="22"/>
      <c r="AO38" s="22"/>
    </row>
    <row r="39" spans="3:41" x14ac:dyDescent="0.2">
      <c r="C39" s="47"/>
      <c r="D39" s="47"/>
      <c r="E39" s="47"/>
      <c r="F39" s="47"/>
      <c r="G39" s="47"/>
      <c r="H39" s="47"/>
      <c r="I39" s="47"/>
      <c r="J39" s="47"/>
      <c r="K39" s="47"/>
      <c r="L39" s="47"/>
      <c r="M39" s="97"/>
      <c r="N39" s="97"/>
      <c r="O39" s="97"/>
      <c r="P39" s="97"/>
      <c r="Q39" s="97"/>
      <c r="R39" s="97"/>
      <c r="S39" s="97"/>
      <c r="T39" s="97"/>
      <c r="U39" s="97"/>
      <c r="V39" s="97"/>
      <c r="W39" s="97"/>
      <c r="X39" s="97"/>
      <c r="Y39" s="16"/>
      <c r="AA39" s="16"/>
      <c r="AB39" s="16"/>
      <c r="AN39" s="22"/>
      <c r="AO39" s="22"/>
    </row>
    <row r="40" spans="3:41" x14ac:dyDescent="0.2">
      <c r="C40" s="47"/>
      <c r="D40" s="47"/>
      <c r="E40" s="47"/>
      <c r="F40" s="47"/>
      <c r="G40" s="47"/>
      <c r="H40" s="47"/>
      <c r="I40" s="47"/>
      <c r="J40" s="47"/>
      <c r="K40" s="47"/>
      <c r="L40" s="47"/>
      <c r="M40" s="97"/>
      <c r="N40" s="97"/>
      <c r="O40" s="97"/>
      <c r="P40" s="97"/>
      <c r="Q40" s="97"/>
      <c r="R40" s="97"/>
      <c r="S40" s="97"/>
      <c r="T40" s="97"/>
      <c r="U40" s="97"/>
      <c r="V40" s="97"/>
      <c r="W40" s="97"/>
      <c r="X40" s="97"/>
      <c r="Y40" s="16"/>
      <c r="AA40" s="16"/>
      <c r="AB40" s="16"/>
      <c r="AN40" s="22"/>
      <c r="AO40" s="22"/>
    </row>
    <row r="41" spans="3:41" x14ac:dyDescent="0.2">
      <c r="C41" s="47"/>
      <c r="D41" s="47"/>
      <c r="E41" s="47"/>
      <c r="F41" s="47"/>
      <c r="G41" s="47"/>
      <c r="H41" s="47"/>
      <c r="I41" s="47"/>
      <c r="J41" s="47"/>
      <c r="K41" s="47"/>
      <c r="L41" s="47"/>
      <c r="M41" s="97"/>
      <c r="N41" s="97"/>
      <c r="O41" s="97"/>
      <c r="P41" s="97"/>
      <c r="Q41" s="97"/>
      <c r="R41" s="97"/>
      <c r="S41" s="97"/>
      <c r="T41" s="97"/>
      <c r="U41" s="97"/>
      <c r="V41" s="97"/>
      <c r="W41" s="97"/>
      <c r="X41" s="97"/>
      <c r="Y41" s="16"/>
      <c r="AA41" s="16"/>
      <c r="AB41" s="16"/>
      <c r="AN41" s="22"/>
      <c r="AO41" s="22"/>
    </row>
    <row r="42" spans="3:41" x14ac:dyDescent="0.2">
      <c r="C42" s="47"/>
      <c r="D42" s="47"/>
      <c r="E42" s="47"/>
      <c r="F42" s="47"/>
      <c r="G42" s="47"/>
      <c r="H42" s="47"/>
      <c r="I42" s="47"/>
      <c r="J42" s="47"/>
      <c r="K42" s="47"/>
      <c r="L42" s="47"/>
      <c r="M42" s="97"/>
      <c r="N42" s="97"/>
      <c r="O42" s="97"/>
      <c r="P42" s="97"/>
      <c r="Q42" s="97"/>
      <c r="R42" s="97"/>
      <c r="S42" s="97"/>
      <c r="T42" s="97"/>
      <c r="U42" s="97"/>
      <c r="V42" s="97"/>
      <c r="W42" s="97"/>
      <c r="X42" s="97"/>
      <c r="Y42" s="16"/>
      <c r="AA42" s="16"/>
      <c r="AB42" s="16"/>
      <c r="AN42" s="22"/>
      <c r="AO42" s="22"/>
    </row>
    <row r="43" spans="3:41" x14ac:dyDescent="0.2">
      <c r="C43" s="47"/>
      <c r="D43" s="47"/>
      <c r="E43" s="47"/>
      <c r="F43" s="47"/>
      <c r="G43" s="47"/>
      <c r="H43" s="47"/>
      <c r="I43" s="47"/>
      <c r="J43" s="47"/>
      <c r="K43" s="47"/>
      <c r="L43" s="47"/>
      <c r="M43" s="97"/>
      <c r="N43" s="97"/>
      <c r="O43" s="97"/>
      <c r="P43" s="97"/>
      <c r="Q43" s="97"/>
      <c r="R43" s="97"/>
      <c r="S43" s="97"/>
      <c r="T43" s="97"/>
      <c r="U43" s="97"/>
      <c r="V43" s="97"/>
      <c r="W43" s="97"/>
      <c r="X43" s="97"/>
      <c r="Y43" s="16"/>
      <c r="AA43" s="16"/>
      <c r="AB43" s="16"/>
      <c r="AN43" s="22"/>
      <c r="AO43" s="22"/>
    </row>
    <row r="44" spans="3:41" x14ac:dyDescent="0.2">
      <c r="C44" s="47"/>
      <c r="D44" s="47"/>
      <c r="E44" s="47"/>
      <c r="F44" s="47"/>
      <c r="G44" s="47"/>
      <c r="H44" s="47"/>
      <c r="I44" s="47"/>
      <c r="J44" s="47"/>
      <c r="K44" s="47"/>
      <c r="L44" s="47"/>
      <c r="M44" s="97"/>
      <c r="N44" s="97"/>
      <c r="O44" s="97"/>
      <c r="P44" s="97"/>
      <c r="Q44" s="97"/>
      <c r="R44" s="97"/>
      <c r="S44" s="97"/>
      <c r="T44" s="97"/>
      <c r="U44" s="97"/>
      <c r="V44" s="97"/>
      <c r="W44" s="97"/>
      <c r="X44" s="97"/>
      <c r="Y44" s="16"/>
      <c r="AA44" s="16"/>
      <c r="AB44" s="16"/>
      <c r="AN44" s="22"/>
      <c r="AO44" s="22"/>
    </row>
    <row r="45" spans="3:41" x14ac:dyDescent="0.2">
      <c r="C45" s="47"/>
      <c r="D45" s="47"/>
      <c r="E45" s="47"/>
      <c r="F45" s="47"/>
      <c r="G45" s="47"/>
      <c r="H45" s="47"/>
      <c r="I45" s="47"/>
      <c r="J45" s="47"/>
      <c r="K45" s="47"/>
      <c r="L45" s="47"/>
      <c r="M45" s="97"/>
      <c r="N45" s="97"/>
      <c r="O45" s="97"/>
      <c r="P45" s="97"/>
      <c r="Q45" s="97"/>
      <c r="R45" s="97"/>
      <c r="S45" s="97"/>
      <c r="T45" s="97"/>
      <c r="U45" s="97"/>
      <c r="V45" s="97"/>
      <c r="W45" s="97"/>
      <c r="X45" s="97"/>
      <c r="Y45" s="16"/>
      <c r="AA45" s="16"/>
      <c r="AB45" s="16"/>
      <c r="AN45" s="22"/>
      <c r="AO45" s="22"/>
    </row>
    <row r="46" spans="3:41" x14ac:dyDescent="0.2">
      <c r="C46" s="47"/>
      <c r="D46" s="47"/>
      <c r="E46" s="47"/>
      <c r="F46" s="47"/>
      <c r="G46" s="47"/>
      <c r="H46" s="47"/>
      <c r="I46" s="47"/>
      <c r="J46" s="47"/>
      <c r="K46" s="47"/>
      <c r="L46" s="47"/>
      <c r="M46" s="97"/>
      <c r="N46" s="97"/>
      <c r="O46" s="97"/>
      <c r="P46" s="97"/>
      <c r="Q46" s="97"/>
      <c r="R46" s="97"/>
      <c r="S46" s="97"/>
      <c r="T46" s="97"/>
      <c r="U46" s="97"/>
      <c r="V46" s="97"/>
      <c r="W46" s="97"/>
      <c r="X46" s="97"/>
      <c r="Y46" s="16"/>
      <c r="AA46" s="16"/>
      <c r="AB46" s="16"/>
      <c r="AN46" s="22"/>
      <c r="AO46" s="22"/>
    </row>
    <row r="47" spans="3:41" x14ac:dyDescent="0.2">
      <c r="C47" s="47"/>
      <c r="D47" s="47"/>
      <c r="E47" s="47"/>
      <c r="F47" s="47"/>
      <c r="G47" s="47"/>
      <c r="H47" s="47"/>
      <c r="I47" s="47"/>
      <c r="J47" s="47"/>
      <c r="K47" s="47"/>
      <c r="L47" s="47"/>
      <c r="M47" s="97"/>
      <c r="N47" s="97"/>
      <c r="O47" s="97"/>
      <c r="P47" s="97"/>
      <c r="Q47" s="97"/>
      <c r="R47" s="97"/>
      <c r="S47" s="97"/>
      <c r="T47" s="97"/>
      <c r="U47" s="97"/>
      <c r="V47" s="97"/>
      <c r="W47" s="97"/>
      <c r="X47" s="97"/>
      <c r="Y47" s="16"/>
      <c r="AA47" s="16"/>
      <c r="AB47" s="16"/>
      <c r="AN47" s="22"/>
      <c r="AO47" s="22"/>
    </row>
    <row r="48" spans="3:41" x14ac:dyDescent="0.2">
      <c r="C48" s="47"/>
      <c r="D48" s="47"/>
      <c r="E48" s="47"/>
      <c r="F48" s="47"/>
      <c r="G48" s="47"/>
      <c r="H48" s="47"/>
      <c r="I48" s="47"/>
      <c r="J48" s="47"/>
      <c r="K48" s="47"/>
      <c r="L48" s="47"/>
      <c r="M48" s="97"/>
      <c r="N48" s="97"/>
      <c r="O48" s="97"/>
      <c r="P48" s="97"/>
      <c r="Q48" s="97"/>
      <c r="R48" s="97"/>
      <c r="S48" s="97"/>
      <c r="T48" s="97"/>
      <c r="U48" s="97"/>
      <c r="V48" s="97"/>
      <c r="W48" s="97"/>
      <c r="X48" s="97"/>
      <c r="Y48" s="16"/>
      <c r="AA48" s="16"/>
      <c r="AB48" s="16"/>
      <c r="AN48" s="22"/>
      <c r="AO48" s="22"/>
    </row>
    <row r="49" spans="3:41" x14ac:dyDescent="0.2">
      <c r="C49" s="47"/>
      <c r="D49" s="47"/>
      <c r="E49" s="47"/>
      <c r="F49" s="47"/>
      <c r="G49" s="47"/>
      <c r="H49" s="47"/>
      <c r="I49" s="47"/>
      <c r="J49" s="47"/>
      <c r="K49" s="47"/>
      <c r="L49" s="47"/>
      <c r="M49" s="97"/>
      <c r="N49" s="97"/>
      <c r="O49" s="97"/>
      <c r="P49" s="97"/>
      <c r="Q49" s="97"/>
      <c r="R49" s="97"/>
      <c r="S49" s="97"/>
      <c r="T49" s="97"/>
      <c r="U49" s="97"/>
      <c r="V49" s="97"/>
      <c r="W49" s="97"/>
      <c r="X49" s="97"/>
      <c r="Y49" s="16"/>
      <c r="AA49" s="16"/>
      <c r="AB49" s="16"/>
      <c r="AN49" s="22"/>
      <c r="AO49" s="22"/>
    </row>
    <row r="50" spans="3:41" x14ac:dyDescent="0.2">
      <c r="C50" s="47"/>
      <c r="D50" s="47"/>
      <c r="E50" s="47"/>
      <c r="F50" s="47"/>
      <c r="G50" s="47"/>
      <c r="H50" s="47"/>
      <c r="I50" s="47"/>
      <c r="J50" s="47"/>
      <c r="K50" s="47"/>
      <c r="L50" s="47"/>
      <c r="M50" s="97"/>
      <c r="N50" s="97"/>
      <c r="O50" s="97"/>
      <c r="P50" s="97"/>
      <c r="Q50" s="97"/>
      <c r="R50" s="97"/>
      <c r="S50" s="97"/>
      <c r="T50" s="97"/>
      <c r="U50" s="97"/>
      <c r="V50" s="97"/>
      <c r="W50" s="97"/>
      <c r="X50" s="97"/>
      <c r="Y50" s="16"/>
      <c r="AA50" s="16"/>
      <c r="AB50" s="16"/>
      <c r="AN50" s="22"/>
      <c r="AO50" s="22"/>
    </row>
    <row r="51" spans="3:41" x14ac:dyDescent="0.2">
      <c r="C51" s="47"/>
      <c r="D51" s="47"/>
      <c r="E51" s="47"/>
      <c r="F51" s="47"/>
      <c r="G51" s="47"/>
      <c r="H51" s="47"/>
      <c r="I51" s="47"/>
      <c r="J51" s="47"/>
      <c r="K51" s="47"/>
      <c r="L51" s="47"/>
      <c r="M51" s="97"/>
      <c r="N51" s="97"/>
      <c r="O51" s="97"/>
      <c r="P51" s="97"/>
      <c r="Q51" s="97"/>
      <c r="R51" s="97"/>
      <c r="S51" s="97"/>
      <c r="T51" s="97"/>
      <c r="U51" s="97"/>
      <c r="V51" s="97"/>
      <c r="W51" s="97"/>
      <c r="X51" s="97"/>
      <c r="Y51" s="16"/>
      <c r="AA51" s="16"/>
      <c r="AB51" s="16"/>
      <c r="AN51" s="22"/>
      <c r="AO51" s="22"/>
    </row>
    <row r="52" spans="3:41" x14ac:dyDescent="0.2">
      <c r="C52" s="47"/>
      <c r="D52" s="47"/>
      <c r="E52" s="47"/>
      <c r="F52" s="47"/>
      <c r="G52" s="47"/>
      <c r="H52" s="47"/>
      <c r="I52" s="47"/>
      <c r="J52" s="47"/>
      <c r="K52" s="47"/>
      <c r="L52" s="47"/>
      <c r="M52" s="97"/>
      <c r="N52" s="97"/>
      <c r="O52" s="97"/>
      <c r="P52" s="97"/>
      <c r="Q52" s="97"/>
      <c r="R52" s="97"/>
      <c r="S52" s="97"/>
      <c r="T52" s="97"/>
      <c r="U52" s="97"/>
      <c r="V52" s="97"/>
      <c r="W52" s="97"/>
      <c r="X52" s="97"/>
      <c r="Y52" s="16"/>
      <c r="AA52" s="16"/>
      <c r="AB52" s="16"/>
      <c r="AN52" s="22"/>
      <c r="AO52" s="22"/>
    </row>
    <row r="53" spans="3:41" x14ac:dyDescent="0.2">
      <c r="C53" s="47"/>
      <c r="D53" s="47"/>
      <c r="E53" s="47"/>
      <c r="F53" s="47"/>
      <c r="G53" s="47"/>
      <c r="H53" s="47"/>
      <c r="I53" s="47"/>
      <c r="J53" s="47"/>
      <c r="K53" s="47"/>
      <c r="L53" s="47"/>
      <c r="M53" s="97"/>
      <c r="N53" s="97"/>
      <c r="O53" s="97"/>
      <c r="P53" s="97"/>
      <c r="Q53" s="97"/>
      <c r="R53" s="97"/>
      <c r="S53" s="97"/>
      <c r="T53" s="97"/>
      <c r="U53" s="97"/>
      <c r="V53" s="97"/>
      <c r="W53" s="97"/>
      <c r="X53" s="97"/>
      <c r="Y53" s="16"/>
      <c r="AA53" s="16"/>
      <c r="AB53" s="16"/>
      <c r="AN53" s="22"/>
      <c r="AO53" s="22"/>
    </row>
    <row r="54" spans="3:41" x14ac:dyDescent="0.2">
      <c r="C54" s="47"/>
      <c r="D54" s="47"/>
      <c r="E54" s="47"/>
      <c r="F54" s="47"/>
      <c r="G54" s="47"/>
      <c r="H54" s="47"/>
      <c r="I54" s="47"/>
      <c r="J54" s="47"/>
      <c r="K54" s="47"/>
      <c r="L54" s="47"/>
      <c r="M54" s="97"/>
      <c r="N54" s="97"/>
      <c r="O54" s="97"/>
      <c r="P54" s="97"/>
      <c r="Q54" s="97"/>
      <c r="R54" s="97"/>
      <c r="S54" s="97"/>
      <c r="T54" s="97"/>
      <c r="U54" s="97"/>
      <c r="V54" s="97"/>
      <c r="W54" s="97"/>
      <c r="X54" s="97"/>
      <c r="Y54" s="16"/>
      <c r="AA54" s="16"/>
      <c r="AB54" s="16"/>
      <c r="AN54" s="22"/>
      <c r="AO54" s="22"/>
    </row>
    <row r="55" spans="3:41" x14ac:dyDescent="0.2">
      <c r="C55" s="47"/>
      <c r="D55" s="47"/>
      <c r="E55" s="47"/>
      <c r="F55" s="47"/>
      <c r="G55" s="47"/>
      <c r="H55" s="47"/>
      <c r="I55" s="47"/>
      <c r="J55" s="47"/>
      <c r="K55" s="47"/>
      <c r="L55" s="47"/>
      <c r="M55" s="97"/>
      <c r="N55" s="97"/>
      <c r="O55" s="97"/>
      <c r="P55" s="97"/>
      <c r="Q55" s="97"/>
      <c r="R55" s="97"/>
      <c r="S55" s="97"/>
      <c r="T55" s="97"/>
      <c r="U55" s="97"/>
      <c r="V55" s="97"/>
      <c r="W55" s="97"/>
      <c r="X55" s="97"/>
      <c r="Y55" s="16"/>
      <c r="AA55" s="16"/>
      <c r="AB55" s="16"/>
      <c r="AN55" s="22"/>
      <c r="AO55" s="22"/>
    </row>
    <row r="56" spans="3:41" x14ac:dyDescent="0.2">
      <c r="C56" s="47"/>
      <c r="D56" s="47"/>
      <c r="E56" s="47"/>
      <c r="F56" s="47"/>
      <c r="G56" s="47"/>
      <c r="H56" s="47"/>
      <c r="I56" s="47"/>
      <c r="J56" s="47"/>
      <c r="K56" s="47"/>
      <c r="L56" s="47"/>
      <c r="M56" s="97"/>
      <c r="N56" s="97"/>
      <c r="O56" s="97"/>
      <c r="P56" s="97"/>
      <c r="Q56" s="97"/>
      <c r="R56" s="97"/>
      <c r="S56" s="97"/>
      <c r="T56" s="97"/>
      <c r="U56" s="97"/>
      <c r="V56" s="97"/>
      <c r="W56" s="97"/>
      <c r="X56" s="97"/>
      <c r="Y56" s="16"/>
      <c r="AA56" s="16"/>
      <c r="AB56" s="16"/>
      <c r="AN56" s="22"/>
      <c r="AO56" s="22"/>
    </row>
    <row r="57" spans="3:41" x14ac:dyDescent="0.2">
      <c r="C57" s="47"/>
      <c r="D57" s="47"/>
      <c r="E57" s="47"/>
      <c r="F57" s="47"/>
      <c r="G57" s="47"/>
      <c r="H57" s="47"/>
      <c r="I57" s="47"/>
      <c r="J57" s="47"/>
      <c r="K57" s="47"/>
      <c r="L57" s="47"/>
      <c r="M57" s="97"/>
      <c r="N57" s="97"/>
      <c r="O57" s="97"/>
      <c r="P57" s="97"/>
      <c r="Q57" s="97"/>
      <c r="R57" s="97"/>
      <c r="S57" s="97"/>
      <c r="T57" s="97"/>
      <c r="U57" s="97"/>
      <c r="V57" s="97"/>
      <c r="W57" s="97"/>
      <c r="X57" s="97"/>
      <c r="Y57" s="16"/>
      <c r="AA57" s="16"/>
      <c r="AB57" s="16"/>
      <c r="AN57" s="22"/>
      <c r="AO57" s="22"/>
    </row>
    <row r="58" spans="3:41" x14ac:dyDescent="0.2">
      <c r="C58" s="47"/>
      <c r="D58" s="47"/>
      <c r="E58" s="47"/>
      <c r="F58" s="47"/>
      <c r="G58" s="47"/>
      <c r="H58" s="47"/>
      <c r="I58" s="47"/>
      <c r="J58" s="47"/>
      <c r="K58" s="47"/>
      <c r="L58" s="47"/>
      <c r="M58" s="97"/>
      <c r="N58" s="97"/>
      <c r="O58" s="97"/>
      <c r="P58" s="97"/>
      <c r="Q58" s="97"/>
      <c r="R58" s="97"/>
      <c r="S58" s="97"/>
      <c r="T58" s="97"/>
      <c r="U58" s="97"/>
      <c r="V58" s="97"/>
      <c r="W58" s="97"/>
      <c r="X58" s="97"/>
      <c r="Y58" s="16"/>
      <c r="AA58" s="16"/>
      <c r="AB58" s="16"/>
      <c r="AN58" s="22"/>
      <c r="AO58" s="22"/>
    </row>
    <row r="59" spans="3:41" x14ac:dyDescent="0.2">
      <c r="C59" s="47"/>
      <c r="D59" s="47"/>
      <c r="E59" s="47"/>
      <c r="F59" s="47"/>
      <c r="G59" s="47"/>
      <c r="H59" s="47"/>
      <c r="I59" s="47"/>
      <c r="J59" s="47"/>
      <c r="K59" s="47"/>
      <c r="L59" s="47"/>
      <c r="M59" s="97"/>
      <c r="N59" s="97"/>
      <c r="O59" s="97"/>
      <c r="P59" s="97"/>
      <c r="Q59" s="97"/>
      <c r="R59" s="97"/>
      <c r="S59" s="97"/>
      <c r="T59" s="97"/>
      <c r="U59" s="97"/>
      <c r="V59" s="97"/>
      <c r="W59" s="97"/>
      <c r="X59" s="97"/>
      <c r="Y59" s="16"/>
      <c r="AA59" s="16"/>
      <c r="AB59" s="16"/>
      <c r="AN59" s="22"/>
      <c r="AO59" s="22"/>
    </row>
    <row r="60" spans="3:41" x14ac:dyDescent="0.2">
      <c r="C60" s="47"/>
      <c r="D60" s="47"/>
      <c r="E60" s="47"/>
      <c r="F60" s="47"/>
      <c r="G60" s="47"/>
      <c r="H60" s="47"/>
      <c r="I60" s="47"/>
      <c r="J60" s="47"/>
      <c r="K60" s="47"/>
      <c r="L60" s="47"/>
      <c r="M60" s="97"/>
      <c r="N60" s="97"/>
      <c r="O60" s="97"/>
      <c r="P60" s="97"/>
      <c r="Q60" s="97"/>
      <c r="R60" s="97"/>
      <c r="S60" s="97"/>
      <c r="T60" s="97"/>
      <c r="U60" s="97"/>
      <c r="V60" s="97"/>
      <c r="W60" s="97"/>
      <c r="X60" s="97"/>
      <c r="Y60" s="16"/>
      <c r="AA60" s="16"/>
      <c r="AB60" s="16"/>
      <c r="AN60" s="22"/>
      <c r="AO60" s="22"/>
    </row>
    <row r="61" spans="3:41" x14ac:dyDescent="0.2">
      <c r="C61" s="47"/>
      <c r="D61" s="47"/>
      <c r="E61" s="47"/>
      <c r="F61" s="47"/>
      <c r="G61" s="47"/>
      <c r="H61" s="47"/>
      <c r="I61" s="47"/>
      <c r="J61" s="47"/>
      <c r="K61" s="47"/>
      <c r="L61" s="47"/>
      <c r="M61" s="97"/>
      <c r="N61" s="97"/>
      <c r="O61" s="97"/>
      <c r="P61" s="97"/>
      <c r="Q61" s="97"/>
      <c r="R61" s="97"/>
      <c r="S61" s="97"/>
      <c r="T61" s="97"/>
      <c r="U61" s="97"/>
      <c r="V61" s="97"/>
      <c r="W61" s="97"/>
      <c r="X61" s="97"/>
      <c r="Y61" s="16"/>
      <c r="AA61" s="16"/>
      <c r="AB61" s="16"/>
      <c r="AN61" s="22"/>
      <c r="AO61" s="22"/>
    </row>
    <row r="62" spans="3:41" x14ac:dyDescent="0.2">
      <c r="C62" s="47"/>
      <c r="D62" s="47"/>
      <c r="E62" s="47"/>
      <c r="F62" s="47"/>
      <c r="G62" s="47"/>
      <c r="H62" s="47"/>
      <c r="I62" s="47"/>
      <c r="J62" s="47"/>
      <c r="K62" s="47"/>
      <c r="L62" s="47"/>
      <c r="M62" s="97"/>
      <c r="N62" s="97"/>
      <c r="O62" s="97"/>
      <c r="P62" s="97"/>
      <c r="Q62" s="97"/>
      <c r="R62" s="97"/>
      <c r="S62" s="97"/>
      <c r="T62" s="97"/>
      <c r="U62" s="97"/>
      <c r="V62" s="97"/>
      <c r="W62" s="97"/>
      <c r="X62" s="97"/>
      <c r="Y62" s="16"/>
      <c r="AA62" s="16"/>
      <c r="AB62" s="16"/>
      <c r="AN62" s="22"/>
      <c r="AO62" s="22"/>
    </row>
    <row r="63" spans="3:41" x14ac:dyDescent="0.2">
      <c r="C63" s="47"/>
      <c r="D63" s="47"/>
      <c r="E63" s="47"/>
      <c r="F63" s="47"/>
      <c r="G63" s="47"/>
      <c r="H63" s="47"/>
      <c r="I63" s="47"/>
      <c r="J63" s="47"/>
      <c r="K63" s="47"/>
      <c r="L63" s="47"/>
      <c r="M63" s="97"/>
      <c r="N63" s="97"/>
      <c r="O63" s="97"/>
      <c r="P63" s="97"/>
      <c r="Q63" s="97"/>
      <c r="R63" s="97"/>
      <c r="S63" s="97"/>
      <c r="T63" s="97"/>
      <c r="U63" s="97"/>
      <c r="V63" s="97"/>
      <c r="W63" s="97"/>
      <c r="X63" s="97"/>
      <c r="Y63" s="16"/>
      <c r="AA63" s="16"/>
      <c r="AB63" s="16"/>
      <c r="AN63" s="22"/>
      <c r="AO63" s="22"/>
    </row>
    <row r="64" spans="3:41" x14ac:dyDescent="0.2">
      <c r="C64" s="47"/>
      <c r="D64" s="47"/>
      <c r="E64" s="47"/>
      <c r="F64" s="47"/>
      <c r="G64" s="47"/>
      <c r="H64" s="47"/>
      <c r="I64" s="47"/>
      <c r="J64" s="47"/>
      <c r="K64" s="47"/>
      <c r="L64" s="47"/>
      <c r="M64" s="97"/>
      <c r="N64" s="97"/>
      <c r="O64" s="97"/>
      <c r="P64" s="97"/>
      <c r="Q64" s="97"/>
      <c r="R64" s="97"/>
      <c r="S64" s="97"/>
      <c r="T64" s="97"/>
      <c r="U64" s="97"/>
      <c r="V64" s="97"/>
      <c r="W64" s="97"/>
      <c r="X64" s="97"/>
      <c r="Y64" s="16"/>
      <c r="AA64" s="16"/>
      <c r="AB64" s="16"/>
      <c r="AN64" s="22"/>
      <c r="AO64" s="22"/>
    </row>
    <row r="65" spans="3:41" x14ac:dyDescent="0.2">
      <c r="C65" s="47"/>
      <c r="D65" s="47"/>
      <c r="E65" s="47"/>
      <c r="F65" s="47"/>
      <c r="G65" s="47"/>
      <c r="H65" s="47"/>
      <c r="I65" s="47"/>
      <c r="J65" s="47"/>
      <c r="K65" s="47"/>
      <c r="L65" s="47"/>
      <c r="M65" s="97"/>
      <c r="N65" s="97"/>
      <c r="O65" s="97"/>
      <c r="P65" s="97"/>
      <c r="Q65" s="97"/>
      <c r="R65" s="97"/>
      <c r="S65" s="97"/>
      <c r="T65" s="97"/>
      <c r="U65" s="97"/>
      <c r="V65" s="97"/>
      <c r="W65" s="97"/>
      <c r="X65" s="97"/>
      <c r="Y65" s="16"/>
      <c r="AA65" s="16"/>
      <c r="AB65" s="16"/>
      <c r="AN65" s="22"/>
      <c r="AO65" s="22"/>
    </row>
    <row r="66" spans="3:41" x14ac:dyDescent="0.2">
      <c r="C66" s="47"/>
      <c r="D66" s="47"/>
      <c r="E66" s="47"/>
      <c r="F66" s="47"/>
      <c r="G66" s="47"/>
      <c r="H66" s="47"/>
      <c r="I66" s="47"/>
      <c r="J66" s="47"/>
      <c r="K66" s="47"/>
      <c r="L66" s="47"/>
      <c r="M66" s="97"/>
      <c r="N66" s="97"/>
      <c r="O66" s="97"/>
      <c r="P66" s="97"/>
      <c r="Q66" s="97"/>
      <c r="R66" s="97"/>
      <c r="S66" s="97"/>
      <c r="T66" s="97"/>
      <c r="U66" s="97"/>
      <c r="V66" s="97"/>
      <c r="W66" s="97"/>
      <c r="X66" s="97"/>
      <c r="Y66" s="16"/>
      <c r="AA66" s="16"/>
      <c r="AB66" s="16"/>
      <c r="AN66" s="22"/>
      <c r="AO66" s="22"/>
    </row>
    <row r="67" spans="3:41" x14ac:dyDescent="0.2">
      <c r="C67" s="47"/>
      <c r="D67" s="47"/>
      <c r="E67" s="47"/>
      <c r="F67" s="47"/>
      <c r="G67" s="47"/>
      <c r="H67" s="47"/>
      <c r="I67" s="47"/>
      <c r="J67" s="47"/>
      <c r="K67" s="47"/>
      <c r="L67" s="47"/>
      <c r="M67" s="97"/>
      <c r="N67" s="97"/>
      <c r="O67" s="97"/>
      <c r="P67" s="97"/>
      <c r="Q67" s="97"/>
      <c r="R67" s="97"/>
      <c r="S67" s="97"/>
      <c r="T67" s="97"/>
      <c r="U67" s="97"/>
      <c r="V67" s="97"/>
      <c r="W67" s="97"/>
      <c r="X67" s="97"/>
      <c r="Y67" s="16"/>
      <c r="AA67" s="16"/>
      <c r="AB67" s="16"/>
      <c r="AN67" s="22"/>
      <c r="AO67" s="22"/>
    </row>
    <row r="68" spans="3:41" x14ac:dyDescent="0.2">
      <c r="C68" s="47"/>
      <c r="D68" s="47"/>
      <c r="E68" s="47"/>
      <c r="F68" s="47"/>
      <c r="G68" s="47"/>
      <c r="H68" s="47"/>
      <c r="I68" s="47"/>
      <c r="J68" s="47"/>
      <c r="K68" s="47"/>
      <c r="L68" s="47"/>
      <c r="M68" s="97"/>
      <c r="N68" s="97"/>
      <c r="O68" s="97"/>
      <c r="P68" s="97"/>
      <c r="Q68" s="97"/>
      <c r="R68" s="97"/>
      <c r="S68" s="97"/>
      <c r="T68" s="97"/>
      <c r="U68" s="97"/>
      <c r="V68" s="97"/>
      <c r="W68" s="97"/>
      <c r="X68" s="97"/>
      <c r="Y68" s="16"/>
      <c r="AA68" s="16"/>
      <c r="AB68" s="16"/>
      <c r="AN68" s="22"/>
      <c r="AO68" s="22"/>
    </row>
    <row r="69" spans="3:41" x14ac:dyDescent="0.2">
      <c r="C69" s="47"/>
      <c r="D69" s="47"/>
      <c r="E69" s="47"/>
      <c r="F69" s="47"/>
      <c r="G69" s="47"/>
      <c r="H69" s="47"/>
      <c r="I69" s="47"/>
      <c r="J69" s="47"/>
      <c r="K69" s="47"/>
      <c r="L69" s="47"/>
      <c r="M69" s="97"/>
      <c r="N69" s="97"/>
      <c r="O69" s="97"/>
      <c r="P69" s="97"/>
      <c r="Q69" s="97"/>
      <c r="R69" s="97"/>
      <c r="S69" s="97"/>
      <c r="T69" s="97"/>
      <c r="U69" s="97"/>
      <c r="V69" s="97"/>
      <c r="W69" s="97"/>
      <c r="X69" s="97"/>
      <c r="Y69" s="16"/>
      <c r="AA69" s="16"/>
      <c r="AB69" s="16"/>
      <c r="AN69" s="22"/>
      <c r="AO69" s="22"/>
    </row>
    <row r="70" spans="3:41" x14ac:dyDescent="0.2">
      <c r="C70" s="47"/>
      <c r="D70" s="47"/>
      <c r="E70" s="47"/>
      <c r="F70" s="47"/>
      <c r="G70" s="47"/>
      <c r="H70" s="47"/>
      <c r="I70" s="47"/>
      <c r="J70" s="47"/>
      <c r="K70" s="47"/>
      <c r="L70" s="47"/>
      <c r="M70" s="97"/>
      <c r="N70" s="97"/>
      <c r="O70" s="97"/>
      <c r="P70" s="97"/>
      <c r="Q70" s="97"/>
      <c r="R70" s="97"/>
      <c r="S70" s="97"/>
      <c r="T70" s="97"/>
      <c r="U70" s="97"/>
      <c r="V70" s="97"/>
      <c r="W70" s="97"/>
      <c r="X70" s="97"/>
      <c r="Y70" s="16"/>
      <c r="AA70" s="16"/>
      <c r="AB70" s="16"/>
      <c r="AN70" s="22"/>
      <c r="AO70" s="22"/>
    </row>
    <row r="71" spans="3:41" x14ac:dyDescent="0.2">
      <c r="C71" s="47"/>
      <c r="D71" s="47"/>
      <c r="E71" s="47"/>
      <c r="F71" s="47"/>
      <c r="G71" s="47"/>
      <c r="H71" s="47"/>
      <c r="I71" s="47"/>
      <c r="J71" s="47"/>
      <c r="K71" s="47"/>
      <c r="L71" s="47"/>
      <c r="M71" s="97"/>
      <c r="N71" s="97"/>
      <c r="O71" s="97"/>
      <c r="P71" s="97"/>
      <c r="Q71" s="97"/>
      <c r="R71" s="97"/>
      <c r="S71" s="97"/>
      <c r="T71" s="97"/>
      <c r="U71" s="97"/>
      <c r="V71" s="97"/>
      <c r="W71" s="97"/>
      <c r="X71" s="97"/>
      <c r="Y71" s="16"/>
      <c r="AA71" s="16"/>
      <c r="AB71" s="16"/>
      <c r="AN71" s="22"/>
      <c r="AO71" s="22"/>
    </row>
    <row r="72" spans="3:41" x14ac:dyDescent="0.2">
      <c r="C72" s="47"/>
      <c r="D72" s="47"/>
      <c r="E72" s="47"/>
      <c r="F72" s="47"/>
      <c r="G72" s="47"/>
      <c r="H72" s="47"/>
      <c r="I72" s="47"/>
      <c r="J72" s="47"/>
      <c r="K72" s="47"/>
      <c r="L72" s="47"/>
      <c r="M72" s="97"/>
      <c r="N72" s="97"/>
      <c r="O72" s="97"/>
      <c r="P72" s="97"/>
      <c r="Q72" s="97"/>
      <c r="R72" s="97"/>
      <c r="S72" s="97"/>
      <c r="T72" s="97"/>
      <c r="U72" s="97"/>
      <c r="V72" s="97"/>
      <c r="W72" s="97"/>
      <c r="X72" s="97"/>
      <c r="Y72" s="16"/>
      <c r="AA72" s="16"/>
      <c r="AB72" s="16"/>
      <c r="AN72" s="22"/>
      <c r="AO72" s="22"/>
    </row>
    <row r="73" spans="3:41" x14ac:dyDescent="0.2">
      <c r="C73" s="47"/>
      <c r="D73" s="47"/>
      <c r="E73" s="47"/>
      <c r="F73" s="47"/>
      <c r="G73" s="47"/>
      <c r="H73" s="47"/>
      <c r="I73" s="47"/>
      <c r="J73" s="47"/>
      <c r="K73" s="47"/>
      <c r="L73" s="47"/>
      <c r="M73" s="97"/>
      <c r="N73" s="97"/>
      <c r="O73" s="97"/>
      <c r="P73" s="97"/>
      <c r="Q73" s="97"/>
      <c r="R73" s="97"/>
      <c r="S73" s="97"/>
      <c r="T73" s="97"/>
      <c r="U73" s="97"/>
      <c r="V73" s="97"/>
      <c r="W73" s="97"/>
      <c r="X73" s="97"/>
      <c r="Y73" s="16"/>
      <c r="AA73" s="16"/>
      <c r="AB73" s="16"/>
      <c r="AN73" s="22"/>
      <c r="AO73" s="22"/>
    </row>
    <row r="74" spans="3:41" x14ac:dyDescent="0.2">
      <c r="C74" s="47"/>
      <c r="D74" s="47"/>
      <c r="E74" s="47"/>
      <c r="F74" s="47"/>
      <c r="G74" s="47"/>
      <c r="H74" s="47"/>
      <c r="I74" s="47"/>
      <c r="J74" s="47"/>
      <c r="K74" s="47"/>
      <c r="L74" s="47"/>
      <c r="M74" s="97"/>
      <c r="N74" s="97"/>
      <c r="O74" s="97"/>
      <c r="P74" s="97"/>
      <c r="Q74" s="97"/>
      <c r="R74" s="97"/>
      <c r="S74" s="97"/>
      <c r="T74" s="97"/>
      <c r="U74" s="97"/>
      <c r="V74" s="97"/>
      <c r="W74" s="97"/>
      <c r="X74" s="97"/>
      <c r="Y74" s="16"/>
      <c r="AA74" s="16"/>
      <c r="AB74" s="16"/>
      <c r="AN74" s="22"/>
      <c r="AO74" s="22"/>
    </row>
    <row r="75" spans="3:41" x14ac:dyDescent="0.2">
      <c r="C75" s="47"/>
      <c r="D75" s="47"/>
      <c r="E75" s="47"/>
      <c r="F75" s="47"/>
      <c r="G75" s="47"/>
      <c r="H75" s="47"/>
      <c r="I75" s="47"/>
      <c r="J75" s="47"/>
      <c r="K75" s="47"/>
      <c r="L75" s="47"/>
      <c r="M75" s="97"/>
      <c r="N75" s="97"/>
      <c r="O75" s="97"/>
      <c r="P75" s="97"/>
      <c r="Q75" s="97"/>
      <c r="R75" s="97"/>
      <c r="S75" s="97"/>
      <c r="T75" s="97"/>
      <c r="U75" s="97"/>
      <c r="V75" s="97"/>
      <c r="W75" s="97"/>
      <c r="X75" s="97"/>
      <c r="Y75" s="16"/>
      <c r="AA75" s="16"/>
      <c r="AB75" s="16"/>
      <c r="AN75" s="22"/>
      <c r="AO75" s="22"/>
    </row>
    <row r="76" spans="3:41" x14ac:dyDescent="0.2">
      <c r="C76" s="47"/>
      <c r="D76" s="47"/>
      <c r="E76" s="47"/>
      <c r="F76" s="47"/>
      <c r="G76" s="47"/>
      <c r="H76" s="47"/>
      <c r="I76" s="47"/>
      <c r="J76" s="47"/>
      <c r="K76" s="47"/>
      <c r="L76" s="47"/>
      <c r="M76" s="97"/>
      <c r="N76" s="97"/>
      <c r="O76" s="97"/>
      <c r="P76" s="97"/>
      <c r="Q76" s="97"/>
      <c r="R76" s="97"/>
      <c r="S76" s="97"/>
      <c r="T76" s="97"/>
      <c r="U76" s="97"/>
      <c r="V76" s="97"/>
      <c r="W76" s="97"/>
      <c r="X76" s="97"/>
      <c r="Y76" s="16"/>
      <c r="AA76" s="16"/>
      <c r="AB76" s="16"/>
      <c r="AN76" s="22"/>
      <c r="AO76" s="22"/>
    </row>
    <row r="77" spans="3:41" x14ac:dyDescent="0.2">
      <c r="C77" s="47"/>
      <c r="D77" s="47"/>
      <c r="E77" s="47"/>
      <c r="F77" s="47"/>
      <c r="G77" s="47"/>
      <c r="H77" s="47"/>
      <c r="I77" s="47"/>
      <c r="J77" s="47"/>
      <c r="K77" s="47"/>
      <c r="L77" s="47"/>
      <c r="M77" s="97"/>
      <c r="N77" s="97"/>
      <c r="O77" s="97"/>
      <c r="P77" s="97"/>
      <c r="Q77" s="97"/>
      <c r="R77" s="97"/>
      <c r="S77" s="97"/>
      <c r="T77" s="97"/>
      <c r="U77" s="97"/>
      <c r="V77" s="97"/>
      <c r="W77" s="97"/>
      <c r="X77" s="97"/>
      <c r="Y77" s="16"/>
      <c r="AA77" s="16"/>
      <c r="AB77" s="16"/>
      <c r="AN77" s="22"/>
      <c r="AO77" s="22"/>
    </row>
    <row r="78" spans="3:41" x14ac:dyDescent="0.2">
      <c r="C78" s="47"/>
      <c r="D78" s="47"/>
      <c r="E78" s="47"/>
      <c r="F78" s="47"/>
      <c r="G78" s="47"/>
      <c r="H78" s="47"/>
      <c r="I78" s="47"/>
      <c r="J78" s="47"/>
      <c r="K78" s="47"/>
      <c r="L78" s="47"/>
      <c r="M78" s="97"/>
      <c r="N78" s="97"/>
      <c r="O78" s="97"/>
      <c r="P78" s="97"/>
      <c r="Q78" s="97"/>
      <c r="R78" s="97"/>
      <c r="S78" s="97"/>
      <c r="T78" s="97"/>
      <c r="U78" s="97"/>
      <c r="V78" s="97"/>
      <c r="W78" s="97"/>
      <c r="X78" s="97"/>
      <c r="Y78" s="16"/>
      <c r="AA78" s="16"/>
      <c r="AB78" s="16"/>
      <c r="AN78" s="22"/>
      <c r="AO78" s="22"/>
    </row>
    <row r="79" spans="3:41" x14ac:dyDescent="0.2">
      <c r="C79" s="47"/>
      <c r="D79" s="47"/>
      <c r="E79" s="47"/>
      <c r="F79" s="47"/>
      <c r="G79" s="47"/>
      <c r="H79" s="47"/>
      <c r="I79" s="47"/>
      <c r="J79" s="47"/>
      <c r="K79" s="47"/>
      <c r="L79" s="47"/>
      <c r="M79" s="97"/>
      <c r="N79" s="97"/>
      <c r="O79" s="97"/>
      <c r="P79" s="97"/>
      <c r="Q79" s="97"/>
      <c r="R79" s="97"/>
      <c r="S79" s="97"/>
      <c r="T79" s="97"/>
      <c r="U79" s="97"/>
      <c r="V79" s="97"/>
      <c r="W79" s="97"/>
      <c r="X79" s="97"/>
      <c r="Y79" s="16"/>
      <c r="AA79" s="16"/>
      <c r="AB79" s="16"/>
      <c r="AN79" s="22"/>
      <c r="AO79" s="22"/>
    </row>
    <row r="80" spans="3:41" x14ac:dyDescent="0.2">
      <c r="C80" s="47"/>
      <c r="D80" s="47"/>
      <c r="E80" s="47"/>
      <c r="F80" s="47"/>
      <c r="G80" s="47"/>
      <c r="H80" s="47"/>
      <c r="I80" s="47"/>
      <c r="J80" s="47"/>
      <c r="K80" s="47"/>
      <c r="L80" s="47"/>
      <c r="M80" s="97"/>
      <c r="N80" s="97"/>
      <c r="O80" s="97"/>
      <c r="P80" s="97"/>
      <c r="Q80" s="97"/>
      <c r="R80" s="97"/>
      <c r="S80" s="97"/>
      <c r="T80" s="97"/>
      <c r="U80" s="97"/>
      <c r="V80" s="97"/>
      <c r="W80" s="97"/>
      <c r="X80" s="97"/>
      <c r="Y80" s="16"/>
      <c r="AA80" s="16"/>
      <c r="AB80" s="16"/>
      <c r="AN80" s="22"/>
      <c r="AO80" s="22"/>
    </row>
    <row r="81" spans="3:41" x14ac:dyDescent="0.2">
      <c r="C81" s="47"/>
      <c r="D81" s="47"/>
      <c r="E81" s="47"/>
      <c r="F81" s="47"/>
      <c r="G81" s="47"/>
      <c r="H81" s="47"/>
      <c r="I81" s="47"/>
      <c r="J81" s="47"/>
      <c r="K81" s="47"/>
      <c r="L81" s="47"/>
      <c r="M81" s="97"/>
      <c r="N81" s="97"/>
      <c r="O81" s="97"/>
      <c r="P81" s="97"/>
      <c r="Q81" s="97"/>
      <c r="R81" s="97"/>
      <c r="S81" s="97"/>
      <c r="T81" s="97"/>
      <c r="U81" s="97"/>
      <c r="V81" s="97"/>
      <c r="W81" s="97"/>
      <c r="X81" s="97"/>
      <c r="Y81" s="16"/>
      <c r="AA81" s="16"/>
      <c r="AB81" s="16"/>
      <c r="AN81" s="22"/>
      <c r="AO81" s="22"/>
    </row>
    <row r="82" spans="3:41" x14ac:dyDescent="0.2">
      <c r="C82" s="47"/>
      <c r="D82" s="47"/>
      <c r="E82" s="47"/>
      <c r="F82" s="47"/>
      <c r="G82" s="47"/>
      <c r="H82" s="47"/>
      <c r="I82" s="47"/>
      <c r="J82" s="47"/>
      <c r="K82" s="47"/>
      <c r="L82" s="47"/>
      <c r="M82" s="97"/>
      <c r="N82" s="97"/>
      <c r="O82" s="97"/>
      <c r="P82" s="97"/>
      <c r="Q82" s="97"/>
      <c r="R82" s="97"/>
      <c r="S82" s="97"/>
      <c r="T82" s="97"/>
      <c r="U82" s="97"/>
      <c r="V82" s="97"/>
      <c r="W82" s="97"/>
      <c r="X82" s="97"/>
      <c r="Y82" s="16"/>
      <c r="AA82" s="16"/>
      <c r="AB82" s="16"/>
      <c r="AN82" s="22"/>
      <c r="AO82" s="22"/>
    </row>
    <row r="83" spans="3:41" x14ac:dyDescent="0.2">
      <c r="C83" s="47"/>
      <c r="D83" s="47"/>
      <c r="E83" s="47"/>
      <c r="F83" s="47"/>
      <c r="G83" s="47"/>
      <c r="H83" s="47"/>
      <c r="I83" s="47"/>
      <c r="J83" s="47"/>
      <c r="K83" s="47"/>
      <c r="L83" s="47"/>
      <c r="M83" s="97"/>
      <c r="N83" s="97"/>
      <c r="O83" s="97"/>
      <c r="P83" s="97"/>
      <c r="Q83" s="97"/>
      <c r="R83" s="97"/>
      <c r="S83" s="97"/>
      <c r="T83" s="97"/>
      <c r="U83" s="97"/>
      <c r="V83" s="97"/>
      <c r="W83" s="97"/>
      <c r="X83" s="97"/>
      <c r="Y83" s="16"/>
      <c r="AA83" s="16"/>
      <c r="AB83" s="16"/>
      <c r="AN83" s="22"/>
      <c r="AO83" s="22"/>
    </row>
    <row r="84" spans="3:41" x14ac:dyDescent="0.2">
      <c r="C84" s="47"/>
      <c r="D84" s="47"/>
      <c r="E84" s="47"/>
      <c r="F84" s="47"/>
      <c r="G84" s="47"/>
      <c r="H84" s="47"/>
      <c r="I84" s="47"/>
      <c r="J84" s="47"/>
      <c r="K84" s="47"/>
      <c r="L84" s="47"/>
      <c r="M84" s="97"/>
      <c r="N84" s="97"/>
      <c r="O84" s="97"/>
      <c r="P84" s="97"/>
      <c r="Q84" s="97"/>
      <c r="R84" s="97"/>
      <c r="S84" s="97"/>
      <c r="T84" s="97"/>
      <c r="U84" s="97"/>
      <c r="V84" s="97"/>
      <c r="W84" s="97"/>
      <c r="X84" s="97"/>
      <c r="Y84" s="16"/>
      <c r="AA84" s="16"/>
      <c r="AB84" s="16"/>
      <c r="AN84" s="22"/>
      <c r="AO84" s="22"/>
    </row>
    <row r="85" spans="3:41" x14ac:dyDescent="0.2">
      <c r="C85" s="47"/>
      <c r="D85" s="47"/>
      <c r="E85" s="47"/>
      <c r="F85" s="47"/>
      <c r="G85" s="47"/>
      <c r="H85" s="47"/>
      <c r="I85" s="47"/>
      <c r="J85" s="47"/>
      <c r="K85" s="47"/>
      <c r="L85" s="47"/>
      <c r="M85" s="97"/>
      <c r="N85" s="97"/>
      <c r="O85" s="97"/>
      <c r="P85" s="97"/>
      <c r="Q85" s="97"/>
      <c r="R85" s="97"/>
      <c r="S85" s="97"/>
      <c r="T85" s="97"/>
      <c r="U85" s="97"/>
      <c r="V85" s="97"/>
      <c r="W85" s="97"/>
      <c r="X85" s="97"/>
      <c r="Y85" s="16"/>
      <c r="AA85" s="16"/>
      <c r="AB85" s="16"/>
      <c r="AN85" s="22"/>
      <c r="AO85" s="22"/>
    </row>
    <row r="86" spans="3:41" x14ac:dyDescent="0.2">
      <c r="C86" s="47"/>
      <c r="D86" s="47"/>
      <c r="E86" s="47"/>
      <c r="F86" s="47"/>
      <c r="G86" s="47"/>
      <c r="H86" s="47"/>
      <c r="I86" s="47"/>
      <c r="J86" s="47"/>
      <c r="K86" s="47"/>
      <c r="L86" s="47"/>
      <c r="M86" s="97"/>
      <c r="N86" s="97"/>
      <c r="O86" s="97"/>
      <c r="P86" s="97"/>
      <c r="Q86" s="97"/>
      <c r="R86" s="97"/>
      <c r="S86" s="97"/>
      <c r="T86" s="97"/>
      <c r="U86" s="97"/>
      <c r="V86" s="97"/>
      <c r="W86" s="97"/>
      <c r="X86" s="97"/>
      <c r="Y86" s="16"/>
      <c r="AA86" s="16"/>
      <c r="AB86" s="16"/>
      <c r="AN86" s="22"/>
      <c r="AO86" s="22"/>
    </row>
    <row r="87" spans="3:41" x14ac:dyDescent="0.2">
      <c r="C87" s="47"/>
      <c r="D87" s="47"/>
      <c r="E87" s="47"/>
      <c r="F87" s="47"/>
      <c r="G87" s="47"/>
      <c r="H87" s="47"/>
      <c r="I87" s="47"/>
      <c r="J87" s="47"/>
      <c r="K87" s="47"/>
      <c r="L87" s="47"/>
      <c r="M87" s="97"/>
      <c r="N87" s="97"/>
      <c r="O87" s="97"/>
      <c r="P87" s="97"/>
      <c r="Q87" s="97"/>
      <c r="R87" s="97"/>
      <c r="S87" s="97"/>
      <c r="T87" s="97"/>
      <c r="U87" s="97"/>
      <c r="V87" s="97"/>
      <c r="W87" s="97"/>
      <c r="X87" s="97"/>
      <c r="Y87" s="16"/>
      <c r="AA87" s="16"/>
      <c r="AB87" s="16"/>
      <c r="AN87" s="22"/>
      <c r="AO87" s="22"/>
    </row>
    <row r="88" spans="3:41" x14ac:dyDescent="0.2">
      <c r="C88" s="47"/>
      <c r="D88" s="47"/>
      <c r="E88" s="47"/>
      <c r="F88" s="47"/>
      <c r="G88" s="47"/>
      <c r="H88" s="47"/>
      <c r="I88" s="47"/>
      <c r="J88" s="47"/>
      <c r="K88" s="47"/>
      <c r="L88" s="47"/>
      <c r="M88" s="97"/>
      <c r="N88" s="97"/>
      <c r="O88" s="97"/>
      <c r="P88" s="97"/>
      <c r="Q88" s="97"/>
      <c r="R88" s="97"/>
      <c r="S88" s="97"/>
      <c r="T88" s="97"/>
      <c r="U88" s="97"/>
      <c r="V88" s="97"/>
      <c r="W88" s="97"/>
      <c r="X88" s="97"/>
      <c r="Y88" s="16"/>
      <c r="AA88" s="16"/>
      <c r="AB88" s="16"/>
      <c r="AN88" s="22"/>
      <c r="AO88" s="22"/>
    </row>
    <row r="89" spans="3:41" x14ac:dyDescent="0.2">
      <c r="C89" s="47"/>
      <c r="D89" s="47"/>
      <c r="E89" s="47"/>
      <c r="F89" s="47"/>
      <c r="G89" s="47"/>
      <c r="H89" s="47"/>
      <c r="I89" s="47"/>
      <c r="J89" s="47"/>
      <c r="K89" s="47"/>
      <c r="L89" s="47"/>
      <c r="M89" s="97"/>
      <c r="N89" s="97"/>
      <c r="O89" s="97"/>
      <c r="P89" s="97"/>
      <c r="Q89" s="97"/>
      <c r="R89" s="97"/>
      <c r="S89" s="97"/>
      <c r="T89" s="97"/>
      <c r="U89" s="97"/>
      <c r="V89" s="97"/>
      <c r="W89" s="97"/>
      <c r="X89" s="97"/>
      <c r="Y89" s="16"/>
      <c r="AA89" s="16"/>
      <c r="AB89" s="16"/>
      <c r="AN89" s="22"/>
      <c r="AO89" s="22"/>
    </row>
    <row r="90" spans="3:41" x14ac:dyDescent="0.2">
      <c r="C90" s="47"/>
      <c r="D90" s="47"/>
      <c r="E90" s="47"/>
      <c r="F90" s="47"/>
      <c r="G90" s="47"/>
      <c r="H90" s="47"/>
      <c r="I90" s="47"/>
      <c r="J90" s="47"/>
      <c r="K90" s="47"/>
      <c r="L90" s="47"/>
      <c r="M90" s="97"/>
      <c r="N90" s="97"/>
      <c r="O90" s="97"/>
      <c r="P90" s="97"/>
      <c r="Q90" s="97"/>
      <c r="R90" s="97"/>
      <c r="S90" s="97"/>
      <c r="T90" s="97"/>
      <c r="U90" s="97"/>
      <c r="V90" s="97"/>
      <c r="W90" s="97"/>
      <c r="X90" s="97"/>
      <c r="Y90" s="16"/>
      <c r="AA90" s="16"/>
      <c r="AB90" s="16"/>
      <c r="AN90" s="22"/>
      <c r="AO90" s="22"/>
    </row>
    <row r="91" spans="3:41" x14ac:dyDescent="0.2">
      <c r="C91" s="47"/>
      <c r="D91" s="47"/>
      <c r="E91" s="47"/>
      <c r="F91" s="47"/>
      <c r="G91" s="47"/>
      <c r="H91" s="47"/>
      <c r="I91" s="47"/>
      <c r="J91" s="47"/>
      <c r="K91" s="47"/>
      <c r="L91" s="47"/>
      <c r="M91" s="97"/>
      <c r="N91" s="97"/>
      <c r="O91" s="97"/>
      <c r="P91" s="97"/>
      <c r="Q91" s="97"/>
      <c r="R91" s="97"/>
      <c r="S91" s="97"/>
      <c r="T91" s="97"/>
      <c r="U91" s="97"/>
      <c r="V91" s="97"/>
      <c r="W91" s="97"/>
      <c r="X91" s="97"/>
      <c r="Y91" s="16"/>
      <c r="AA91" s="16"/>
      <c r="AB91" s="16"/>
      <c r="AN91" s="22"/>
      <c r="AO91" s="22"/>
    </row>
    <row r="92" spans="3:41" x14ac:dyDescent="0.2">
      <c r="C92" s="47"/>
      <c r="D92" s="47"/>
      <c r="E92" s="47"/>
      <c r="F92" s="47"/>
      <c r="G92" s="47"/>
      <c r="H92" s="47"/>
      <c r="I92" s="47"/>
      <c r="J92" s="47"/>
      <c r="K92" s="47"/>
      <c r="L92" s="47"/>
      <c r="M92" s="97"/>
      <c r="N92" s="97"/>
      <c r="O92" s="97"/>
      <c r="P92" s="97"/>
      <c r="Q92" s="97"/>
      <c r="R92" s="97"/>
      <c r="S92" s="97"/>
      <c r="T92" s="97"/>
      <c r="U92" s="97"/>
      <c r="V92" s="97"/>
      <c r="W92" s="97"/>
      <c r="X92" s="97"/>
      <c r="Y92" s="16"/>
      <c r="AA92" s="16"/>
      <c r="AB92" s="16"/>
      <c r="AN92" s="22"/>
      <c r="AO92" s="22"/>
    </row>
    <row r="93" spans="3:41" x14ac:dyDescent="0.2">
      <c r="C93" s="47"/>
      <c r="D93" s="47"/>
      <c r="E93" s="47"/>
      <c r="F93" s="47"/>
      <c r="G93" s="47"/>
      <c r="H93" s="47"/>
      <c r="I93" s="47"/>
      <c r="J93" s="47"/>
      <c r="K93" s="47"/>
      <c r="L93" s="47"/>
      <c r="M93" s="97"/>
      <c r="N93" s="97"/>
      <c r="O93" s="97"/>
      <c r="P93" s="97"/>
      <c r="Q93" s="97"/>
      <c r="R93" s="97"/>
      <c r="S93" s="97"/>
      <c r="T93" s="97"/>
      <c r="U93" s="97"/>
      <c r="V93" s="97"/>
      <c r="W93" s="97"/>
      <c r="X93" s="97"/>
      <c r="Y93" s="16"/>
      <c r="AA93" s="16"/>
      <c r="AB93" s="16"/>
      <c r="AN93" s="22"/>
      <c r="AO93" s="22"/>
    </row>
    <row r="94" spans="3:41" x14ac:dyDescent="0.2">
      <c r="C94" s="47"/>
      <c r="D94" s="47"/>
      <c r="E94" s="47"/>
      <c r="F94" s="47"/>
      <c r="G94" s="47"/>
      <c r="H94" s="47"/>
      <c r="I94" s="47"/>
      <c r="J94" s="47"/>
      <c r="K94" s="47"/>
      <c r="L94" s="47"/>
      <c r="M94" s="97"/>
      <c r="N94" s="97"/>
      <c r="O94" s="97"/>
      <c r="P94" s="97"/>
      <c r="Q94" s="97"/>
      <c r="R94" s="97"/>
      <c r="S94" s="97"/>
      <c r="T94" s="97"/>
      <c r="U94" s="97"/>
      <c r="V94" s="97"/>
      <c r="W94" s="97"/>
      <c r="X94" s="97"/>
      <c r="Y94" s="16"/>
      <c r="AA94" s="16"/>
      <c r="AB94" s="16"/>
      <c r="AN94" s="22"/>
      <c r="AO94" s="22"/>
    </row>
    <row r="95" spans="3:41" x14ac:dyDescent="0.2">
      <c r="C95" s="47"/>
      <c r="D95" s="47"/>
      <c r="E95" s="47"/>
      <c r="F95" s="47"/>
      <c r="G95" s="47"/>
      <c r="H95" s="47"/>
      <c r="I95" s="47"/>
      <c r="J95" s="47"/>
      <c r="K95" s="47"/>
      <c r="L95" s="47"/>
      <c r="M95" s="97"/>
      <c r="N95" s="97"/>
      <c r="O95" s="97"/>
      <c r="P95" s="97"/>
      <c r="Q95" s="97"/>
      <c r="R95" s="97"/>
      <c r="S95" s="97"/>
      <c r="T95" s="97"/>
      <c r="U95" s="97"/>
      <c r="V95" s="97"/>
      <c r="W95" s="97"/>
      <c r="X95" s="97"/>
      <c r="Y95" s="16"/>
      <c r="AA95" s="16"/>
      <c r="AB95" s="16"/>
      <c r="AN95" s="22"/>
      <c r="AO95" s="22"/>
    </row>
    <row r="96" spans="3:41" x14ac:dyDescent="0.2">
      <c r="C96" s="47"/>
      <c r="D96" s="47"/>
      <c r="E96" s="47"/>
      <c r="F96" s="47"/>
      <c r="G96" s="47"/>
      <c r="H96" s="47"/>
      <c r="I96" s="47"/>
      <c r="J96" s="47"/>
      <c r="K96" s="47"/>
      <c r="L96" s="47"/>
      <c r="M96" s="97"/>
      <c r="N96" s="97"/>
      <c r="O96" s="97"/>
      <c r="P96" s="97"/>
      <c r="Q96" s="97"/>
      <c r="R96" s="97"/>
      <c r="S96" s="97"/>
      <c r="T96" s="97"/>
      <c r="U96" s="97"/>
      <c r="V96" s="97"/>
      <c r="W96" s="97"/>
      <c r="X96" s="97"/>
      <c r="Y96" s="16"/>
      <c r="AA96" s="16"/>
      <c r="AB96" s="16"/>
      <c r="AN96" s="22"/>
      <c r="AO96" s="22"/>
    </row>
    <row r="97" spans="3:41" x14ac:dyDescent="0.2">
      <c r="C97" s="47"/>
      <c r="D97" s="47"/>
      <c r="E97" s="47"/>
      <c r="F97" s="47"/>
      <c r="G97" s="47"/>
      <c r="H97" s="47"/>
      <c r="I97" s="47"/>
      <c r="J97" s="47"/>
      <c r="K97" s="47"/>
      <c r="L97" s="47"/>
      <c r="M97" s="97"/>
      <c r="N97" s="97"/>
      <c r="O97" s="97"/>
      <c r="P97" s="97"/>
      <c r="Q97" s="97"/>
      <c r="R97" s="97"/>
      <c r="S97" s="97"/>
      <c r="T97" s="97"/>
      <c r="U97" s="97"/>
      <c r="V97" s="97"/>
      <c r="W97" s="97"/>
      <c r="X97" s="97"/>
      <c r="Y97" s="16"/>
      <c r="AA97" s="16"/>
      <c r="AB97" s="16"/>
      <c r="AN97" s="22"/>
      <c r="AO97" s="22"/>
    </row>
    <row r="98" spans="3:41" x14ac:dyDescent="0.2">
      <c r="C98" s="47"/>
      <c r="D98" s="47"/>
      <c r="E98" s="47"/>
      <c r="F98" s="47"/>
      <c r="G98" s="47"/>
      <c r="H98" s="47"/>
      <c r="I98" s="47"/>
      <c r="J98" s="47"/>
      <c r="K98" s="47"/>
      <c r="L98" s="47"/>
      <c r="M98" s="97"/>
      <c r="N98" s="97"/>
      <c r="O98" s="97"/>
      <c r="P98" s="97"/>
      <c r="Q98" s="97"/>
      <c r="R98" s="97"/>
      <c r="S98" s="97"/>
      <c r="T98" s="97"/>
      <c r="U98" s="97"/>
      <c r="V98" s="97"/>
      <c r="W98" s="97"/>
      <c r="X98" s="97"/>
      <c r="Y98" s="16"/>
      <c r="AA98" s="16"/>
      <c r="AB98" s="16"/>
      <c r="AN98" s="22"/>
      <c r="AO98" s="22"/>
    </row>
    <row r="99" spans="3:41" x14ac:dyDescent="0.2">
      <c r="C99" s="47"/>
      <c r="D99" s="47"/>
      <c r="E99" s="47"/>
      <c r="F99" s="47"/>
      <c r="G99" s="47"/>
      <c r="H99" s="47"/>
      <c r="I99" s="47"/>
      <c r="J99" s="47"/>
      <c r="K99" s="47"/>
      <c r="L99" s="47"/>
      <c r="M99" s="97"/>
      <c r="N99" s="97"/>
      <c r="O99" s="97"/>
      <c r="P99" s="97"/>
      <c r="Q99" s="97"/>
      <c r="R99" s="97"/>
      <c r="S99" s="97"/>
      <c r="T99" s="97"/>
      <c r="U99" s="97"/>
      <c r="V99" s="97"/>
      <c r="W99" s="97"/>
      <c r="X99" s="97"/>
      <c r="Y99" s="16"/>
      <c r="AA99" s="16"/>
      <c r="AB99" s="16"/>
    </row>
    <row r="100" spans="3:41" x14ac:dyDescent="0.2">
      <c r="C100" s="47"/>
      <c r="D100" s="47"/>
      <c r="E100" s="47"/>
      <c r="F100" s="47"/>
      <c r="G100" s="47"/>
      <c r="H100" s="47"/>
      <c r="I100" s="47"/>
      <c r="J100" s="47"/>
      <c r="K100" s="47"/>
      <c r="L100" s="47"/>
      <c r="M100" s="97"/>
      <c r="N100" s="97"/>
      <c r="O100" s="97"/>
      <c r="P100" s="97"/>
      <c r="Q100" s="97"/>
      <c r="R100" s="97"/>
      <c r="S100" s="97"/>
      <c r="T100" s="97"/>
      <c r="U100" s="97"/>
      <c r="V100" s="97"/>
      <c r="W100" s="97"/>
      <c r="X100" s="97"/>
      <c r="Y100" s="16"/>
      <c r="AA100" s="16"/>
      <c r="AB100" s="16"/>
    </row>
    <row r="101" spans="3:41" x14ac:dyDescent="0.2">
      <c r="C101" s="47"/>
      <c r="D101" s="47"/>
      <c r="E101" s="47"/>
      <c r="F101" s="47"/>
      <c r="G101" s="47"/>
      <c r="H101" s="47"/>
      <c r="I101" s="47"/>
      <c r="J101" s="47"/>
      <c r="K101" s="47"/>
      <c r="L101" s="47"/>
      <c r="M101" s="97"/>
      <c r="N101" s="97"/>
      <c r="O101" s="97"/>
      <c r="P101" s="97"/>
      <c r="Q101" s="97"/>
      <c r="R101" s="97"/>
      <c r="S101" s="97"/>
      <c r="T101" s="97"/>
      <c r="U101" s="97"/>
      <c r="V101" s="97"/>
      <c r="W101" s="97"/>
      <c r="X101" s="97"/>
      <c r="Y101" s="16"/>
      <c r="AA101" s="16"/>
      <c r="AB101" s="16"/>
    </row>
    <row r="102" spans="3:41" x14ac:dyDescent="0.2">
      <c r="C102" s="47"/>
      <c r="D102" s="47"/>
      <c r="E102" s="47"/>
      <c r="F102" s="47"/>
      <c r="G102" s="47"/>
      <c r="H102" s="47"/>
      <c r="I102" s="47"/>
      <c r="J102" s="47"/>
      <c r="K102" s="47"/>
      <c r="L102" s="47"/>
      <c r="M102" s="97"/>
      <c r="N102" s="97"/>
      <c r="O102" s="97"/>
      <c r="P102" s="97"/>
      <c r="Q102" s="97"/>
      <c r="R102" s="97"/>
      <c r="S102" s="97"/>
      <c r="T102" s="97"/>
      <c r="U102" s="97"/>
      <c r="V102" s="97"/>
      <c r="W102" s="97"/>
      <c r="X102" s="97"/>
      <c r="Y102" s="16"/>
      <c r="AA102" s="16"/>
      <c r="AB102" s="16"/>
    </row>
    <row r="103" spans="3:41" x14ac:dyDescent="0.2">
      <c r="C103" s="47"/>
      <c r="D103" s="47"/>
      <c r="E103" s="47"/>
      <c r="F103" s="47"/>
      <c r="G103" s="47"/>
      <c r="H103" s="47"/>
      <c r="I103" s="47"/>
      <c r="J103" s="47"/>
      <c r="K103" s="47"/>
      <c r="L103" s="47"/>
      <c r="M103" s="97"/>
      <c r="N103" s="97"/>
      <c r="O103" s="97"/>
      <c r="P103" s="97"/>
      <c r="Q103" s="97"/>
      <c r="R103" s="97"/>
      <c r="S103" s="97"/>
      <c r="T103" s="97"/>
      <c r="U103" s="97"/>
      <c r="V103" s="97"/>
      <c r="W103" s="97"/>
      <c r="X103" s="97"/>
      <c r="Y103" s="16"/>
      <c r="AA103" s="16"/>
      <c r="AB103" s="16"/>
    </row>
    <row r="104" spans="3:41" x14ac:dyDescent="0.2">
      <c r="C104" s="47"/>
      <c r="D104" s="47"/>
      <c r="E104" s="47"/>
      <c r="F104" s="47"/>
      <c r="G104" s="47"/>
      <c r="H104" s="47"/>
      <c r="I104" s="47"/>
      <c r="J104" s="47"/>
      <c r="K104" s="47"/>
      <c r="L104" s="47"/>
      <c r="M104" s="97"/>
      <c r="N104" s="97"/>
      <c r="O104" s="97"/>
      <c r="P104" s="97"/>
      <c r="Q104" s="97"/>
      <c r="R104" s="97"/>
      <c r="S104" s="97"/>
      <c r="T104" s="97"/>
      <c r="U104" s="97"/>
      <c r="V104" s="97"/>
      <c r="W104" s="97"/>
      <c r="X104" s="97"/>
      <c r="Y104" s="16"/>
      <c r="AA104" s="16"/>
      <c r="AB104" s="16"/>
    </row>
    <row r="105" spans="3:41" x14ac:dyDescent="0.2">
      <c r="C105" s="47"/>
      <c r="D105" s="47"/>
      <c r="E105" s="47"/>
      <c r="F105" s="47"/>
      <c r="G105" s="47"/>
      <c r="H105" s="47"/>
      <c r="I105" s="47"/>
      <c r="J105" s="47"/>
      <c r="K105" s="47"/>
      <c r="L105" s="47"/>
      <c r="M105" s="97"/>
      <c r="N105" s="97"/>
      <c r="O105" s="97"/>
      <c r="P105" s="97"/>
      <c r="Q105" s="97"/>
      <c r="R105" s="97"/>
      <c r="S105" s="97"/>
      <c r="T105" s="97"/>
      <c r="U105" s="97"/>
      <c r="V105" s="97"/>
      <c r="W105" s="97"/>
      <c r="X105" s="97"/>
      <c r="Y105" s="16"/>
      <c r="AA105" s="16"/>
      <c r="AB105" s="16"/>
    </row>
    <row r="106" spans="3:41" x14ac:dyDescent="0.2">
      <c r="C106" s="47"/>
      <c r="D106" s="47"/>
      <c r="E106" s="47"/>
      <c r="F106" s="47"/>
      <c r="G106" s="47"/>
      <c r="H106" s="47"/>
      <c r="I106" s="47"/>
      <c r="J106" s="47"/>
      <c r="K106" s="47"/>
      <c r="L106" s="47"/>
      <c r="M106" s="97"/>
      <c r="N106" s="97"/>
      <c r="O106" s="97"/>
      <c r="P106" s="97"/>
      <c r="Q106" s="97"/>
      <c r="R106" s="97"/>
      <c r="S106" s="97"/>
      <c r="T106" s="97"/>
      <c r="U106" s="97"/>
      <c r="V106" s="97"/>
      <c r="W106" s="97"/>
      <c r="X106" s="97"/>
      <c r="Y106" s="16"/>
      <c r="AA106" s="16"/>
      <c r="AB106" s="16"/>
    </row>
    <row r="107" spans="3:41" x14ac:dyDescent="0.2">
      <c r="C107" s="47"/>
      <c r="D107" s="47"/>
      <c r="E107" s="47"/>
      <c r="F107" s="47"/>
      <c r="G107" s="47"/>
      <c r="H107" s="47"/>
      <c r="I107" s="47"/>
      <c r="J107" s="47"/>
      <c r="K107" s="47"/>
      <c r="L107" s="47"/>
      <c r="M107" s="97"/>
      <c r="N107" s="97"/>
      <c r="O107" s="97"/>
      <c r="P107" s="97"/>
      <c r="Q107" s="97"/>
      <c r="R107" s="97"/>
      <c r="S107" s="97"/>
      <c r="T107" s="97"/>
      <c r="U107" s="97"/>
      <c r="V107" s="97"/>
      <c r="W107" s="97"/>
      <c r="X107" s="97"/>
      <c r="Y107" s="16"/>
      <c r="AA107" s="16"/>
      <c r="AB107" s="16"/>
    </row>
    <row r="108" spans="3:41" x14ac:dyDescent="0.2">
      <c r="C108" s="47"/>
      <c r="D108" s="47"/>
      <c r="E108" s="47"/>
      <c r="F108" s="47"/>
      <c r="G108" s="47"/>
      <c r="H108" s="47"/>
      <c r="I108" s="47"/>
      <c r="J108" s="47"/>
      <c r="K108" s="47"/>
      <c r="L108" s="47"/>
      <c r="M108" s="97"/>
      <c r="N108" s="97"/>
      <c r="O108" s="97"/>
      <c r="P108" s="97"/>
      <c r="Q108" s="97"/>
      <c r="R108" s="97"/>
      <c r="S108" s="97"/>
      <c r="T108" s="97"/>
      <c r="U108" s="97"/>
      <c r="V108" s="97"/>
      <c r="W108" s="97"/>
      <c r="X108" s="97"/>
      <c r="Y108" s="16"/>
      <c r="AA108" s="16"/>
      <c r="AB108" s="16"/>
    </row>
    <row r="109" spans="3:41" x14ac:dyDescent="0.2">
      <c r="C109" s="47"/>
      <c r="D109" s="47"/>
      <c r="E109" s="47"/>
      <c r="F109" s="47"/>
      <c r="G109" s="47"/>
      <c r="H109" s="47"/>
      <c r="I109" s="47"/>
      <c r="J109" s="47"/>
      <c r="K109" s="47"/>
      <c r="L109" s="47"/>
      <c r="M109" s="97"/>
      <c r="N109" s="97"/>
      <c r="O109" s="97"/>
      <c r="P109" s="97"/>
      <c r="Q109" s="97"/>
      <c r="R109" s="97"/>
      <c r="S109" s="97"/>
      <c r="T109" s="97"/>
      <c r="U109" s="97"/>
      <c r="V109" s="97"/>
      <c r="W109" s="97"/>
      <c r="X109" s="97"/>
      <c r="Y109" s="16"/>
      <c r="AA109" s="16"/>
      <c r="AB109" s="16"/>
    </row>
    <row r="110" spans="3:41" x14ac:dyDescent="0.2">
      <c r="C110" s="47"/>
      <c r="D110" s="47"/>
      <c r="E110" s="47"/>
      <c r="F110" s="47"/>
      <c r="G110" s="47"/>
      <c r="H110" s="47"/>
      <c r="I110" s="47"/>
      <c r="J110" s="47"/>
      <c r="K110" s="47"/>
      <c r="L110" s="47"/>
      <c r="M110" s="97"/>
      <c r="N110" s="97"/>
      <c r="O110" s="97"/>
      <c r="P110" s="97"/>
      <c r="Q110" s="97"/>
      <c r="R110" s="97"/>
      <c r="S110" s="97"/>
      <c r="T110" s="97"/>
      <c r="U110" s="97"/>
      <c r="V110" s="97"/>
      <c r="W110" s="97"/>
      <c r="X110" s="97"/>
      <c r="Y110" s="16"/>
      <c r="AA110" s="16"/>
      <c r="AB110" s="16"/>
    </row>
    <row r="111" spans="3:41" x14ac:dyDescent="0.2">
      <c r="C111" s="47"/>
      <c r="D111" s="47"/>
      <c r="E111" s="47"/>
      <c r="F111" s="47"/>
      <c r="G111" s="47"/>
      <c r="H111" s="47"/>
      <c r="I111" s="47"/>
      <c r="J111" s="47"/>
      <c r="K111" s="47"/>
      <c r="L111" s="47"/>
      <c r="M111" s="97"/>
      <c r="N111" s="97"/>
      <c r="O111" s="97"/>
      <c r="P111" s="97"/>
      <c r="Q111" s="97"/>
      <c r="R111" s="97"/>
      <c r="S111" s="97"/>
      <c r="T111" s="97"/>
      <c r="U111" s="97"/>
      <c r="V111" s="97"/>
      <c r="W111" s="97"/>
      <c r="X111" s="97"/>
      <c r="Y111" s="16"/>
      <c r="AA111" s="16"/>
      <c r="AB111" s="16"/>
    </row>
    <row r="112" spans="3:41" x14ac:dyDescent="0.2">
      <c r="C112" s="47"/>
      <c r="D112" s="47"/>
      <c r="E112" s="47"/>
      <c r="F112" s="47"/>
      <c r="G112" s="47"/>
      <c r="H112" s="47"/>
      <c r="I112" s="47"/>
      <c r="J112" s="47"/>
      <c r="K112" s="47"/>
      <c r="L112" s="47"/>
      <c r="M112" s="97"/>
      <c r="N112" s="97"/>
      <c r="O112" s="97"/>
      <c r="P112" s="97"/>
      <c r="Q112" s="97"/>
      <c r="R112" s="97"/>
      <c r="S112" s="97"/>
      <c r="T112" s="97"/>
      <c r="U112" s="97"/>
      <c r="V112" s="97"/>
      <c r="W112" s="97"/>
      <c r="X112" s="97"/>
      <c r="Y112" s="16"/>
      <c r="AA112" s="16"/>
      <c r="AB112" s="16"/>
    </row>
    <row r="113" spans="3:28" x14ac:dyDescent="0.2">
      <c r="C113" s="47"/>
      <c r="D113" s="47"/>
      <c r="E113" s="47"/>
      <c r="F113" s="47"/>
      <c r="G113" s="47"/>
      <c r="H113" s="47"/>
      <c r="I113" s="47"/>
      <c r="J113" s="47"/>
      <c r="K113" s="47"/>
      <c r="L113" s="47"/>
      <c r="M113" s="97"/>
      <c r="N113" s="97"/>
      <c r="O113" s="97"/>
      <c r="P113" s="97"/>
      <c r="Q113" s="97"/>
      <c r="R113" s="97"/>
      <c r="S113" s="97"/>
      <c r="T113" s="97"/>
      <c r="U113" s="97"/>
      <c r="V113" s="97"/>
      <c r="W113" s="97"/>
      <c r="X113" s="97"/>
      <c r="Y113" s="16"/>
      <c r="AA113" s="16"/>
      <c r="AB113" s="16"/>
    </row>
    <row r="114" spans="3:28" x14ac:dyDescent="0.2">
      <c r="C114" s="47"/>
      <c r="D114" s="47"/>
      <c r="E114" s="47"/>
      <c r="F114" s="47"/>
      <c r="G114" s="47"/>
      <c r="H114" s="47"/>
      <c r="I114" s="47"/>
      <c r="J114" s="47"/>
      <c r="K114" s="47"/>
      <c r="L114" s="47"/>
      <c r="M114" s="97"/>
      <c r="N114" s="97"/>
      <c r="O114" s="97"/>
      <c r="P114" s="97"/>
      <c r="Q114" s="97"/>
      <c r="R114" s="97"/>
      <c r="S114" s="97"/>
      <c r="T114" s="97"/>
      <c r="U114" s="97"/>
      <c r="V114" s="97"/>
      <c r="W114" s="97"/>
      <c r="X114" s="97"/>
      <c r="Y114" s="16"/>
      <c r="AA114" s="16"/>
      <c r="AB114" s="16"/>
    </row>
    <row r="115" spans="3:28" x14ac:dyDescent="0.2">
      <c r="C115" s="47"/>
      <c r="D115" s="47"/>
      <c r="E115" s="47"/>
      <c r="F115" s="47"/>
      <c r="G115" s="47"/>
      <c r="H115" s="47"/>
      <c r="I115" s="47"/>
      <c r="J115" s="47"/>
      <c r="K115" s="47"/>
      <c r="L115" s="47"/>
      <c r="M115" s="97"/>
      <c r="N115" s="97"/>
      <c r="O115" s="97"/>
      <c r="P115" s="97"/>
      <c r="Q115" s="97"/>
      <c r="R115" s="97"/>
      <c r="S115" s="97"/>
      <c r="T115" s="97"/>
      <c r="U115" s="97"/>
      <c r="V115" s="97"/>
      <c r="W115" s="97"/>
      <c r="X115" s="97"/>
      <c r="Y115" s="16"/>
      <c r="AA115" s="16"/>
      <c r="AB115" s="16"/>
    </row>
    <row r="116" spans="3:28" x14ac:dyDescent="0.2">
      <c r="C116" s="47"/>
      <c r="D116" s="47"/>
      <c r="E116" s="47"/>
      <c r="F116" s="47"/>
      <c r="G116" s="47"/>
      <c r="H116" s="47"/>
      <c r="I116" s="47"/>
      <c r="J116" s="47"/>
      <c r="K116" s="47"/>
      <c r="L116" s="47"/>
      <c r="M116" s="97"/>
      <c r="N116" s="97"/>
      <c r="O116" s="97"/>
      <c r="P116" s="97"/>
      <c r="Q116" s="97"/>
      <c r="R116" s="97"/>
      <c r="S116" s="97"/>
      <c r="T116" s="97"/>
      <c r="U116" s="97"/>
      <c r="V116" s="97"/>
      <c r="W116" s="97"/>
      <c r="X116" s="97"/>
      <c r="Y116" s="16"/>
      <c r="AA116" s="16"/>
      <c r="AB116" s="16"/>
    </row>
    <row r="117" spans="3:28" x14ac:dyDescent="0.2">
      <c r="C117" s="47"/>
      <c r="D117" s="47"/>
      <c r="E117" s="47"/>
      <c r="F117" s="47"/>
      <c r="G117" s="47"/>
      <c r="H117" s="47"/>
      <c r="I117" s="47"/>
      <c r="J117" s="47"/>
      <c r="K117" s="47"/>
      <c r="L117" s="47"/>
      <c r="M117" s="97"/>
      <c r="N117" s="97"/>
      <c r="O117" s="97"/>
      <c r="P117" s="97"/>
      <c r="Q117" s="97"/>
      <c r="R117" s="97"/>
      <c r="S117" s="97"/>
      <c r="T117" s="97"/>
      <c r="U117" s="97"/>
      <c r="V117" s="97"/>
      <c r="W117" s="97"/>
      <c r="X117" s="97"/>
      <c r="Y117" s="16"/>
      <c r="AA117" s="16"/>
      <c r="AB117" s="16"/>
    </row>
    <row r="118" spans="3:28" x14ac:dyDescent="0.2">
      <c r="C118" s="47"/>
      <c r="D118" s="47"/>
      <c r="E118" s="47"/>
      <c r="F118" s="47"/>
      <c r="G118" s="47"/>
      <c r="H118" s="47"/>
      <c r="I118" s="47"/>
      <c r="J118" s="47"/>
      <c r="K118" s="47"/>
      <c r="L118" s="47"/>
      <c r="M118" s="97"/>
      <c r="N118" s="97"/>
      <c r="O118" s="97"/>
      <c r="P118" s="97"/>
      <c r="Q118" s="97"/>
      <c r="R118" s="97"/>
      <c r="S118" s="97"/>
      <c r="T118" s="97"/>
      <c r="U118" s="97"/>
      <c r="V118" s="97"/>
      <c r="W118" s="97"/>
      <c r="X118" s="97"/>
      <c r="Y118" s="16"/>
      <c r="AA118" s="16"/>
      <c r="AB118" s="16"/>
    </row>
    <row r="119" spans="3:28" x14ac:dyDescent="0.2">
      <c r="C119" s="47"/>
      <c r="D119" s="47"/>
      <c r="E119" s="47"/>
      <c r="F119" s="47"/>
      <c r="G119" s="47"/>
      <c r="H119" s="47"/>
      <c r="I119" s="47"/>
      <c r="J119" s="47"/>
      <c r="K119" s="47"/>
      <c r="L119" s="47"/>
      <c r="M119" s="97"/>
      <c r="N119" s="97"/>
      <c r="O119" s="97"/>
      <c r="P119" s="97"/>
      <c r="Q119" s="97"/>
      <c r="R119" s="97"/>
      <c r="S119" s="97"/>
      <c r="T119" s="97"/>
      <c r="U119" s="97"/>
      <c r="V119" s="97"/>
      <c r="W119" s="97"/>
      <c r="X119" s="97"/>
      <c r="Y119" s="16"/>
      <c r="AA119" s="16"/>
      <c r="AB119" s="16"/>
    </row>
    <row r="120" spans="3:28" x14ac:dyDescent="0.2">
      <c r="C120" s="47"/>
      <c r="D120" s="47"/>
      <c r="E120" s="47"/>
      <c r="F120" s="47"/>
      <c r="G120" s="47"/>
      <c r="H120" s="47"/>
      <c r="I120" s="47"/>
      <c r="J120" s="47"/>
      <c r="K120" s="47"/>
      <c r="L120" s="47"/>
      <c r="M120" s="97"/>
      <c r="N120" s="97"/>
      <c r="O120" s="97"/>
      <c r="P120" s="97"/>
      <c r="Q120" s="97"/>
      <c r="R120" s="97"/>
      <c r="S120" s="97"/>
      <c r="T120" s="97"/>
      <c r="U120" s="97"/>
      <c r="V120" s="97"/>
      <c r="W120" s="97"/>
      <c r="X120" s="97"/>
      <c r="Y120" s="16"/>
      <c r="AA120" s="16"/>
      <c r="AB120" s="16"/>
    </row>
    <row r="121" spans="3:28" x14ac:dyDescent="0.2">
      <c r="C121" s="47"/>
      <c r="D121" s="47"/>
      <c r="E121" s="47"/>
      <c r="F121" s="47"/>
      <c r="G121" s="47"/>
      <c r="H121" s="47"/>
      <c r="I121" s="47"/>
      <c r="J121" s="47"/>
      <c r="K121" s="47"/>
      <c r="L121" s="47"/>
      <c r="M121" s="97"/>
      <c r="N121" s="97"/>
      <c r="O121" s="97"/>
      <c r="P121" s="97"/>
      <c r="Q121" s="97"/>
      <c r="R121" s="97"/>
      <c r="S121" s="97"/>
      <c r="T121" s="97"/>
      <c r="U121" s="97"/>
      <c r="V121" s="97"/>
      <c r="W121" s="97"/>
      <c r="X121" s="97"/>
      <c r="Y121" s="16"/>
      <c r="AA121" s="16"/>
      <c r="AB121" s="16"/>
    </row>
    <row r="122" spans="3:28" x14ac:dyDescent="0.2">
      <c r="C122" s="47"/>
      <c r="D122" s="47"/>
      <c r="E122" s="47"/>
      <c r="F122" s="47"/>
      <c r="G122" s="47"/>
      <c r="H122" s="47"/>
      <c r="I122" s="47"/>
      <c r="J122" s="47"/>
      <c r="K122" s="47"/>
      <c r="L122" s="47"/>
      <c r="M122" s="97"/>
      <c r="N122" s="97"/>
      <c r="O122" s="97"/>
      <c r="P122" s="97"/>
      <c r="Q122" s="97"/>
      <c r="R122" s="97"/>
      <c r="S122" s="97"/>
      <c r="T122" s="97"/>
      <c r="U122" s="97"/>
      <c r="V122" s="97"/>
      <c r="W122" s="97"/>
      <c r="X122" s="97"/>
      <c r="Y122" s="16"/>
      <c r="AA122" s="16"/>
      <c r="AB122" s="16"/>
    </row>
    <row r="123" spans="3:28" x14ac:dyDescent="0.2">
      <c r="C123" s="47"/>
      <c r="D123" s="47"/>
      <c r="E123" s="47"/>
      <c r="F123" s="47"/>
      <c r="G123" s="47"/>
      <c r="H123" s="47"/>
      <c r="I123" s="47"/>
      <c r="J123" s="47"/>
      <c r="K123" s="47"/>
      <c r="L123" s="47"/>
      <c r="M123" s="97"/>
      <c r="N123" s="97"/>
      <c r="O123" s="97"/>
      <c r="P123" s="97"/>
      <c r="Q123" s="97"/>
      <c r="R123" s="97"/>
      <c r="S123" s="97"/>
      <c r="T123" s="97"/>
      <c r="U123" s="97"/>
      <c r="V123" s="97"/>
      <c r="W123" s="97"/>
      <c r="X123" s="97"/>
      <c r="Y123" s="16"/>
      <c r="AA123" s="16"/>
      <c r="AB123" s="16"/>
    </row>
    <row r="124" spans="3:28" x14ac:dyDescent="0.2">
      <c r="C124" s="47"/>
      <c r="D124" s="47"/>
      <c r="E124" s="47"/>
      <c r="F124" s="47"/>
      <c r="G124" s="47"/>
      <c r="H124" s="47"/>
      <c r="I124" s="47"/>
      <c r="J124" s="47"/>
      <c r="K124" s="47"/>
      <c r="L124" s="47"/>
      <c r="M124" s="97"/>
      <c r="N124" s="97"/>
      <c r="O124" s="97"/>
      <c r="P124" s="97"/>
      <c r="Q124" s="97"/>
      <c r="R124" s="97"/>
      <c r="S124" s="97"/>
      <c r="T124" s="97"/>
      <c r="U124" s="97"/>
      <c r="V124" s="97"/>
      <c r="W124" s="97"/>
      <c r="X124" s="97"/>
      <c r="Y124" s="16"/>
      <c r="AA124" s="16"/>
      <c r="AB124" s="16"/>
    </row>
    <row r="125" spans="3:28" x14ac:dyDescent="0.2">
      <c r="C125" s="47"/>
      <c r="D125" s="47"/>
      <c r="E125" s="47"/>
      <c r="F125" s="47"/>
      <c r="G125" s="47"/>
      <c r="H125" s="47"/>
      <c r="I125" s="47"/>
      <c r="J125" s="47"/>
      <c r="K125" s="47"/>
      <c r="L125" s="47"/>
      <c r="M125" s="97"/>
      <c r="N125" s="97"/>
      <c r="O125" s="97"/>
      <c r="P125" s="97"/>
      <c r="Q125" s="97"/>
      <c r="R125" s="97"/>
      <c r="S125" s="97"/>
      <c r="T125" s="97"/>
      <c r="U125" s="97"/>
      <c r="V125" s="97"/>
      <c r="W125" s="97"/>
      <c r="X125" s="97"/>
      <c r="Y125" s="16"/>
      <c r="AA125" s="16"/>
      <c r="AB125" s="16"/>
    </row>
    <row r="126" spans="3:28" x14ac:dyDescent="0.2">
      <c r="C126" s="47"/>
      <c r="D126" s="47"/>
      <c r="E126" s="47"/>
      <c r="F126" s="47"/>
      <c r="G126" s="47"/>
      <c r="H126" s="47"/>
      <c r="I126" s="47"/>
      <c r="J126" s="47"/>
      <c r="K126" s="47"/>
      <c r="L126" s="47"/>
      <c r="M126" s="97"/>
      <c r="N126" s="97"/>
      <c r="O126" s="97"/>
      <c r="P126" s="97"/>
      <c r="Q126" s="97"/>
      <c r="R126" s="97"/>
      <c r="S126" s="97"/>
      <c r="T126" s="97"/>
      <c r="U126" s="97"/>
      <c r="V126" s="97"/>
      <c r="W126" s="97"/>
      <c r="X126" s="97"/>
      <c r="Y126" s="16"/>
      <c r="AA126" s="16"/>
      <c r="AB126" s="16"/>
    </row>
    <row r="127" spans="3:28" x14ac:dyDescent="0.2">
      <c r="C127" s="47"/>
      <c r="D127" s="47"/>
      <c r="E127" s="47"/>
      <c r="F127" s="47"/>
      <c r="G127" s="47"/>
      <c r="H127" s="47"/>
      <c r="I127" s="47"/>
      <c r="J127" s="47"/>
      <c r="K127" s="47"/>
      <c r="L127" s="47"/>
      <c r="M127" s="97"/>
      <c r="N127" s="97"/>
      <c r="O127" s="97"/>
      <c r="P127" s="97"/>
      <c r="Q127" s="97"/>
      <c r="R127" s="97"/>
      <c r="S127" s="97"/>
      <c r="T127" s="97"/>
      <c r="U127" s="97"/>
      <c r="V127" s="97"/>
      <c r="W127" s="97"/>
      <c r="X127" s="97"/>
      <c r="Y127" s="16"/>
      <c r="AA127" s="16"/>
      <c r="AB127" s="16"/>
    </row>
    <row r="128" spans="3:28" x14ac:dyDescent="0.2">
      <c r="C128" s="47"/>
      <c r="D128" s="47"/>
      <c r="E128" s="47"/>
      <c r="F128" s="47"/>
      <c r="G128" s="47"/>
      <c r="H128" s="47"/>
      <c r="I128" s="47"/>
      <c r="J128" s="47"/>
      <c r="K128" s="47"/>
      <c r="L128" s="47"/>
      <c r="M128" s="97"/>
      <c r="N128" s="97"/>
      <c r="O128" s="97"/>
      <c r="P128" s="97"/>
      <c r="Q128" s="97"/>
      <c r="R128" s="97"/>
      <c r="S128" s="97"/>
      <c r="T128" s="97"/>
      <c r="U128" s="97"/>
      <c r="V128" s="97"/>
      <c r="W128" s="97"/>
      <c r="X128" s="97"/>
      <c r="Y128" s="16"/>
      <c r="AA128" s="16"/>
      <c r="AB128" s="16"/>
    </row>
    <row r="129" spans="3:28" x14ac:dyDescent="0.2">
      <c r="C129" s="47"/>
      <c r="D129" s="47"/>
      <c r="E129" s="47"/>
      <c r="F129" s="47"/>
      <c r="G129" s="47"/>
      <c r="H129" s="47"/>
      <c r="I129" s="47"/>
      <c r="J129" s="47"/>
      <c r="K129" s="47"/>
      <c r="L129" s="47"/>
      <c r="M129" s="97"/>
      <c r="N129" s="97"/>
      <c r="O129" s="97"/>
      <c r="P129" s="97"/>
      <c r="Q129" s="97"/>
      <c r="R129" s="97"/>
      <c r="S129" s="97"/>
      <c r="T129" s="97"/>
      <c r="U129" s="97"/>
      <c r="V129" s="97"/>
      <c r="W129" s="97"/>
      <c r="X129" s="97"/>
      <c r="Y129" s="16"/>
      <c r="AA129" s="16"/>
      <c r="AB129" s="16"/>
    </row>
    <row r="130" spans="3:28" x14ac:dyDescent="0.2">
      <c r="C130" s="47"/>
      <c r="D130" s="47"/>
      <c r="E130" s="47"/>
      <c r="F130" s="47"/>
      <c r="G130" s="47"/>
      <c r="H130" s="47"/>
      <c r="I130" s="47"/>
      <c r="J130" s="47"/>
      <c r="K130" s="47"/>
      <c r="L130" s="47"/>
      <c r="M130" s="97"/>
      <c r="N130" s="97"/>
      <c r="O130" s="97"/>
      <c r="P130" s="97"/>
      <c r="Q130" s="97"/>
      <c r="R130" s="97"/>
      <c r="S130" s="97"/>
      <c r="T130" s="97"/>
      <c r="U130" s="97"/>
      <c r="V130" s="97"/>
      <c r="W130" s="97"/>
      <c r="X130" s="97"/>
      <c r="Y130" s="16"/>
      <c r="AA130" s="16"/>
      <c r="AB130" s="16"/>
    </row>
    <row r="131" spans="3:28" x14ac:dyDescent="0.2">
      <c r="C131" s="47"/>
      <c r="D131" s="47"/>
      <c r="E131" s="47"/>
      <c r="F131" s="47"/>
      <c r="G131" s="47"/>
      <c r="H131" s="47"/>
      <c r="I131" s="47"/>
      <c r="J131" s="47"/>
      <c r="K131" s="47"/>
      <c r="L131" s="47"/>
      <c r="M131" s="97"/>
      <c r="N131" s="97"/>
      <c r="O131" s="97"/>
      <c r="P131" s="97"/>
      <c r="Q131" s="97"/>
      <c r="R131" s="97"/>
      <c r="S131" s="97"/>
      <c r="T131" s="97"/>
      <c r="U131" s="97"/>
      <c r="V131" s="97"/>
      <c r="W131" s="97"/>
      <c r="X131" s="97"/>
      <c r="Y131" s="16"/>
      <c r="AA131" s="16"/>
      <c r="AB131" s="16"/>
    </row>
    <row r="132" spans="3:28" x14ac:dyDescent="0.2">
      <c r="C132" s="47"/>
      <c r="D132" s="47"/>
      <c r="E132" s="47"/>
      <c r="F132" s="47"/>
      <c r="G132" s="47"/>
      <c r="H132" s="47"/>
      <c r="I132" s="47"/>
      <c r="J132" s="47"/>
      <c r="K132" s="47"/>
      <c r="L132" s="47"/>
      <c r="M132" s="97"/>
      <c r="N132" s="97"/>
      <c r="O132" s="97"/>
      <c r="P132" s="97"/>
      <c r="Q132" s="97"/>
      <c r="R132" s="97"/>
      <c r="S132" s="97"/>
      <c r="T132" s="97"/>
      <c r="U132" s="97"/>
      <c r="V132" s="97"/>
      <c r="W132" s="97"/>
      <c r="X132" s="97"/>
      <c r="Y132" s="16"/>
      <c r="AB132" s="16"/>
    </row>
    <row r="133" spans="3:28" x14ac:dyDescent="0.2">
      <c r="C133" s="47"/>
      <c r="D133" s="47"/>
      <c r="E133" s="47"/>
      <c r="F133" s="47"/>
      <c r="G133" s="47"/>
      <c r="H133" s="47"/>
      <c r="I133" s="47"/>
      <c r="J133" s="47"/>
      <c r="K133" s="47"/>
      <c r="L133" s="47"/>
      <c r="M133" s="97"/>
      <c r="N133" s="97"/>
      <c r="O133" s="97"/>
      <c r="P133" s="97"/>
      <c r="Q133" s="97"/>
      <c r="R133" s="97"/>
      <c r="S133" s="97"/>
      <c r="T133" s="97"/>
      <c r="U133" s="97"/>
      <c r="V133" s="97"/>
      <c r="W133" s="97"/>
      <c r="X133" s="97"/>
      <c r="Y133" s="16"/>
      <c r="AB133" s="16"/>
    </row>
    <row r="134" spans="3:28" x14ac:dyDescent="0.2">
      <c r="C134" s="47"/>
      <c r="D134" s="47"/>
      <c r="E134" s="47"/>
      <c r="F134" s="47"/>
      <c r="G134" s="47"/>
      <c r="H134" s="47"/>
      <c r="I134" s="47"/>
      <c r="J134" s="47"/>
      <c r="K134" s="47"/>
      <c r="L134" s="47"/>
      <c r="M134" s="97"/>
      <c r="N134" s="97"/>
      <c r="O134" s="97"/>
      <c r="P134" s="97"/>
      <c r="Q134" s="97"/>
      <c r="R134" s="97"/>
      <c r="S134" s="97"/>
      <c r="T134" s="97"/>
      <c r="U134" s="97"/>
      <c r="V134" s="97"/>
      <c r="W134" s="97"/>
      <c r="X134" s="97"/>
      <c r="Y134" s="16"/>
      <c r="AB134" s="16"/>
    </row>
    <row r="135" spans="3:28" x14ac:dyDescent="0.2">
      <c r="C135" s="47"/>
      <c r="D135" s="47"/>
      <c r="E135" s="47"/>
      <c r="F135" s="47"/>
      <c r="G135" s="47"/>
      <c r="H135" s="47"/>
      <c r="I135" s="47"/>
      <c r="J135" s="47"/>
      <c r="K135" s="47"/>
      <c r="L135" s="47"/>
      <c r="M135" s="97"/>
      <c r="N135" s="97"/>
      <c r="O135" s="97"/>
      <c r="P135" s="97"/>
      <c r="Q135" s="97"/>
      <c r="R135" s="97"/>
      <c r="S135" s="97"/>
      <c r="T135" s="97"/>
      <c r="U135" s="97"/>
      <c r="V135" s="97"/>
      <c r="W135" s="97"/>
      <c r="X135" s="97"/>
      <c r="Y135" s="16"/>
      <c r="AB135" s="16"/>
    </row>
    <row r="136" spans="3:28" x14ac:dyDescent="0.2">
      <c r="C136" s="47"/>
      <c r="D136" s="47"/>
      <c r="E136" s="47"/>
      <c r="F136" s="47"/>
      <c r="G136" s="47"/>
      <c r="H136" s="47"/>
      <c r="I136" s="47"/>
      <c r="J136" s="47"/>
      <c r="K136" s="47"/>
      <c r="L136" s="47"/>
      <c r="M136" s="97"/>
      <c r="N136" s="97"/>
      <c r="O136" s="97"/>
      <c r="P136" s="97"/>
      <c r="Q136" s="97"/>
      <c r="R136" s="97"/>
      <c r="S136" s="97"/>
      <c r="T136" s="97"/>
      <c r="U136" s="97"/>
      <c r="V136" s="97"/>
      <c r="W136" s="97"/>
      <c r="X136" s="97"/>
      <c r="Y136" s="16"/>
      <c r="AB136" s="16"/>
    </row>
    <row r="137" spans="3:28" x14ac:dyDescent="0.2">
      <c r="C137" s="47"/>
      <c r="D137" s="47"/>
      <c r="E137" s="47"/>
      <c r="F137" s="47"/>
      <c r="G137" s="47"/>
      <c r="H137" s="47"/>
      <c r="I137" s="47"/>
      <c r="J137" s="47"/>
      <c r="K137" s="47"/>
      <c r="L137" s="47"/>
      <c r="M137" s="97"/>
      <c r="N137" s="97"/>
      <c r="O137" s="97"/>
      <c r="P137" s="97"/>
      <c r="Q137" s="97"/>
      <c r="R137" s="97"/>
      <c r="S137" s="97"/>
      <c r="T137" s="97"/>
      <c r="U137" s="97"/>
      <c r="V137" s="97"/>
      <c r="W137" s="97"/>
      <c r="X137" s="97"/>
      <c r="Y137" s="16"/>
      <c r="AB137" s="16"/>
    </row>
    <row r="138" spans="3:28" x14ac:dyDescent="0.2">
      <c r="C138" s="47"/>
      <c r="D138" s="47"/>
      <c r="E138" s="47"/>
      <c r="F138" s="47"/>
      <c r="G138" s="47"/>
      <c r="H138" s="47"/>
      <c r="I138" s="47"/>
      <c r="J138" s="47"/>
      <c r="K138" s="47"/>
      <c r="L138" s="47"/>
      <c r="M138" s="97"/>
      <c r="N138" s="97"/>
      <c r="O138" s="97"/>
      <c r="P138" s="97"/>
      <c r="Q138" s="97"/>
      <c r="R138" s="97"/>
      <c r="S138" s="97"/>
      <c r="T138" s="97"/>
      <c r="U138" s="97"/>
      <c r="V138" s="97"/>
      <c r="W138" s="97"/>
      <c r="X138" s="97"/>
      <c r="Y138" s="16"/>
      <c r="AB138" s="16"/>
    </row>
    <row r="139" spans="3:28" x14ac:dyDescent="0.2">
      <c r="C139" s="47"/>
      <c r="D139" s="47"/>
      <c r="E139" s="47"/>
      <c r="F139" s="47"/>
      <c r="G139" s="47"/>
      <c r="H139" s="47"/>
      <c r="I139" s="47"/>
      <c r="J139" s="47"/>
      <c r="K139" s="47"/>
      <c r="L139" s="47"/>
      <c r="M139" s="97"/>
      <c r="N139" s="97"/>
      <c r="O139" s="97"/>
      <c r="P139" s="97"/>
      <c r="Q139" s="97"/>
      <c r="R139" s="97"/>
      <c r="S139" s="97"/>
      <c r="T139" s="97"/>
      <c r="U139" s="97"/>
      <c r="V139" s="97"/>
      <c r="W139" s="97"/>
      <c r="X139" s="97"/>
      <c r="Y139" s="16"/>
      <c r="AB139" s="16"/>
    </row>
    <row r="140" spans="3:28" x14ac:dyDescent="0.2">
      <c r="C140" s="47"/>
      <c r="D140" s="47"/>
      <c r="E140" s="47"/>
      <c r="F140" s="47"/>
      <c r="G140" s="47"/>
      <c r="H140" s="47"/>
      <c r="I140" s="47"/>
      <c r="J140" s="47"/>
      <c r="K140" s="47"/>
      <c r="L140" s="47"/>
      <c r="M140" s="97"/>
      <c r="N140" s="97"/>
      <c r="O140" s="97"/>
      <c r="P140" s="97"/>
      <c r="Q140" s="97"/>
      <c r="R140" s="97"/>
      <c r="S140" s="97"/>
      <c r="T140" s="97"/>
      <c r="U140" s="97"/>
      <c r="V140" s="97"/>
      <c r="W140" s="97"/>
      <c r="X140" s="97"/>
      <c r="Y140" s="16"/>
      <c r="AB140" s="16"/>
    </row>
    <row r="141" spans="3:28" x14ac:dyDescent="0.2">
      <c r="C141" s="47"/>
      <c r="D141" s="47"/>
      <c r="E141" s="47"/>
      <c r="F141" s="47"/>
      <c r="G141" s="47"/>
      <c r="H141" s="47"/>
      <c r="I141" s="47"/>
      <c r="J141" s="47"/>
      <c r="K141" s="47"/>
      <c r="L141" s="47"/>
      <c r="M141" s="97"/>
      <c r="N141" s="97"/>
      <c r="O141" s="97"/>
      <c r="P141" s="97"/>
      <c r="Q141" s="97"/>
      <c r="R141" s="97"/>
      <c r="S141" s="97"/>
      <c r="T141" s="97"/>
      <c r="U141" s="97"/>
      <c r="V141" s="97"/>
      <c r="W141" s="97"/>
      <c r="X141" s="97"/>
      <c r="Y141" s="16"/>
      <c r="AB141" s="16"/>
    </row>
    <row r="142" spans="3:28" x14ac:dyDescent="0.2">
      <c r="C142" s="47"/>
      <c r="D142" s="47"/>
      <c r="E142" s="47"/>
      <c r="F142" s="47"/>
      <c r="G142" s="47"/>
      <c r="H142" s="47"/>
      <c r="I142" s="47"/>
      <c r="J142" s="47"/>
      <c r="K142" s="47"/>
      <c r="L142" s="47"/>
      <c r="M142" s="97"/>
      <c r="N142" s="97"/>
      <c r="O142" s="97"/>
      <c r="P142" s="97"/>
      <c r="Q142" s="97"/>
      <c r="R142" s="97"/>
      <c r="S142" s="97"/>
      <c r="T142" s="97"/>
      <c r="U142" s="97"/>
      <c r="V142" s="97"/>
      <c r="W142" s="97"/>
      <c r="X142" s="97"/>
      <c r="Y142" s="16"/>
      <c r="AB142" s="16"/>
    </row>
    <row r="143" spans="3:28" x14ac:dyDescent="0.2">
      <c r="C143" s="47"/>
      <c r="D143" s="47"/>
      <c r="E143" s="47"/>
      <c r="F143" s="47"/>
      <c r="G143" s="47"/>
      <c r="H143" s="47"/>
      <c r="I143" s="47"/>
      <c r="J143" s="47"/>
      <c r="K143" s="47"/>
      <c r="L143" s="47"/>
      <c r="M143" s="97"/>
      <c r="N143" s="97"/>
      <c r="O143" s="97"/>
      <c r="P143" s="97"/>
      <c r="Q143" s="97"/>
      <c r="R143" s="97"/>
      <c r="S143" s="97"/>
      <c r="T143" s="97"/>
      <c r="U143" s="97"/>
      <c r="V143" s="97"/>
      <c r="W143" s="97"/>
      <c r="X143" s="97"/>
      <c r="Y143" s="16"/>
      <c r="AB143" s="16"/>
    </row>
    <row r="144" spans="3:28" x14ac:dyDescent="0.2">
      <c r="C144" s="47"/>
      <c r="D144" s="47"/>
      <c r="E144" s="47"/>
      <c r="F144" s="47"/>
      <c r="G144" s="47"/>
      <c r="H144" s="47"/>
      <c r="I144" s="47"/>
      <c r="J144" s="47"/>
      <c r="K144" s="47"/>
      <c r="L144" s="47"/>
      <c r="M144" s="97"/>
      <c r="N144" s="97"/>
      <c r="O144" s="97"/>
      <c r="P144" s="97"/>
      <c r="Q144" s="97"/>
      <c r="R144" s="97"/>
      <c r="S144" s="97"/>
      <c r="T144" s="97"/>
      <c r="U144" s="97"/>
      <c r="V144" s="97"/>
      <c r="W144" s="97"/>
      <c r="X144" s="97"/>
      <c r="Y144" s="16"/>
      <c r="AB144" s="16"/>
    </row>
    <row r="145" spans="3:28" x14ac:dyDescent="0.2">
      <c r="C145" s="47"/>
      <c r="D145" s="47"/>
      <c r="E145" s="47"/>
      <c r="F145" s="47"/>
      <c r="G145" s="47"/>
      <c r="H145" s="47"/>
      <c r="I145" s="47"/>
      <c r="J145" s="47"/>
      <c r="K145" s="47"/>
      <c r="L145" s="47"/>
      <c r="M145" s="97"/>
      <c r="N145" s="97"/>
      <c r="O145" s="97"/>
      <c r="P145" s="97"/>
      <c r="Q145" s="97"/>
      <c r="R145" s="97"/>
      <c r="S145" s="97"/>
      <c r="T145" s="97"/>
      <c r="U145" s="97"/>
      <c r="V145" s="97"/>
      <c r="W145" s="97"/>
      <c r="X145" s="97"/>
      <c r="Y145" s="16"/>
      <c r="AB145" s="16"/>
    </row>
    <row r="146" spans="3:28" x14ac:dyDescent="0.2">
      <c r="C146" s="47"/>
      <c r="D146" s="47"/>
      <c r="E146" s="47"/>
      <c r="F146" s="47"/>
      <c r="G146" s="47"/>
      <c r="H146" s="47"/>
      <c r="I146" s="47"/>
      <c r="J146" s="47"/>
      <c r="K146" s="47"/>
      <c r="L146" s="47"/>
      <c r="M146" s="97"/>
      <c r="N146" s="97"/>
      <c r="O146" s="97"/>
      <c r="P146" s="97"/>
      <c r="Q146" s="97"/>
      <c r="R146" s="97"/>
      <c r="S146" s="97"/>
      <c r="T146" s="97"/>
      <c r="U146" s="97"/>
      <c r="V146" s="97"/>
      <c r="W146" s="97"/>
      <c r="X146" s="97"/>
      <c r="Y146" s="16"/>
      <c r="AB146" s="16"/>
    </row>
    <row r="147" spans="3:28" x14ac:dyDescent="0.2">
      <c r="C147" s="47"/>
      <c r="D147" s="47"/>
      <c r="E147" s="47"/>
      <c r="F147" s="47"/>
      <c r="G147" s="47"/>
      <c r="H147" s="47"/>
      <c r="I147" s="47"/>
      <c r="J147" s="47"/>
      <c r="K147" s="47"/>
      <c r="L147" s="47"/>
      <c r="M147" s="97"/>
      <c r="N147" s="97"/>
      <c r="O147" s="97"/>
      <c r="P147" s="97"/>
      <c r="Q147" s="97"/>
      <c r="R147" s="97"/>
      <c r="S147" s="97"/>
      <c r="T147" s="97"/>
      <c r="U147" s="97"/>
      <c r="V147" s="97"/>
      <c r="W147" s="97"/>
      <c r="X147" s="97"/>
      <c r="Y147" s="16"/>
      <c r="AB147" s="16"/>
    </row>
    <row r="148" spans="3:28" x14ac:dyDescent="0.2">
      <c r="C148" s="47"/>
      <c r="D148" s="47"/>
      <c r="E148" s="47"/>
      <c r="F148" s="47"/>
      <c r="G148" s="47"/>
      <c r="H148" s="47"/>
      <c r="I148" s="47"/>
      <c r="J148" s="47"/>
      <c r="K148" s="47"/>
      <c r="L148" s="47"/>
      <c r="M148" s="97"/>
      <c r="N148" s="97"/>
      <c r="O148" s="97"/>
      <c r="P148" s="97"/>
      <c r="Q148" s="97"/>
      <c r="R148" s="97"/>
      <c r="S148" s="97"/>
      <c r="T148" s="97"/>
      <c r="U148" s="97"/>
      <c r="V148" s="97"/>
      <c r="W148" s="97"/>
      <c r="X148" s="97"/>
      <c r="Y148" s="16"/>
      <c r="AB148" s="16"/>
    </row>
    <row r="149" spans="3:28" x14ac:dyDescent="0.2">
      <c r="C149" s="47"/>
      <c r="D149" s="47"/>
      <c r="E149" s="47"/>
      <c r="F149" s="47"/>
      <c r="G149" s="47"/>
      <c r="H149" s="47"/>
      <c r="I149" s="47"/>
      <c r="J149" s="47"/>
      <c r="K149" s="47"/>
      <c r="L149" s="47"/>
      <c r="M149" s="97"/>
      <c r="N149" s="97"/>
      <c r="O149" s="97"/>
      <c r="P149" s="97"/>
      <c r="Q149" s="97"/>
      <c r="R149" s="97"/>
      <c r="S149" s="97"/>
      <c r="T149" s="97"/>
      <c r="U149" s="97"/>
      <c r="V149" s="97"/>
      <c r="W149" s="97"/>
      <c r="X149" s="97"/>
      <c r="Y149" s="16"/>
      <c r="AB149" s="16"/>
    </row>
    <row r="150" spans="3:28" x14ac:dyDescent="0.2">
      <c r="C150" s="47"/>
      <c r="D150" s="47"/>
      <c r="E150" s="47"/>
      <c r="F150" s="47"/>
      <c r="G150" s="47"/>
      <c r="H150" s="47"/>
      <c r="I150" s="47"/>
      <c r="J150" s="47"/>
      <c r="K150" s="47"/>
      <c r="L150" s="47"/>
      <c r="M150" s="97"/>
      <c r="N150" s="97"/>
      <c r="O150" s="97"/>
      <c r="P150" s="97"/>
      <c r="Q150" s="97"/>
      <c r="R150" s="97"/>
      <c r="S150" s="97"/>
      <c r="T150" s="97"/>
      <c r="U150" s="97"/>
      <c r="V150" s="97"/>
      <c r="W150" s="97"/>
      <c r="X150" s="97"/>
      <c r="Y150" s="16"/>
      <c r="AB150" s="16"/>
    </row>
    <row r="151" spans="3:28" x14ac:dyDescent="0.2">
      <c r="C151" s="47"/>
      <c r="D151" s="47"/>
      <c r="E151" s="47"/>
      <c r="F151" s="47"/>
      <c r="G151" s="47"/>
      <c r="H151" s="47"/>
      <c r="I151" s="47"/>
      <c r="J151" s="47"/>
      <c r="K151" s="47"/>
      <c r="L151" s="47"/>
      <c r="M151" s="97"/>
      <c r="N151" s="97"/>
      <c r="O151" s="97"/>
      <c r="P151" s="97"/>
      <c r="Q151" s="97"/>
      <c r="R151" s="97"/>
      <c r="S151" s="97"/>
      <c r="T151" s="97"/>
      <c r="U151" s="97"/>
      <c r="V151" s="97"/>
      <c r="W151" s="97"/>
      <c r="X151" s="97"/>
      <c r="Y151" s="16"/>
      <c r="AB151" s="16"/>
    </row>
    <row r="152" spans="3:28" x14ac:dyDescent="0.2">
      <c r="C152" s="47"/>
      <c r="D152" s="47"/>
      <c r="E152" s="47"/>
      <c r="F152" s="47"/>
      <c r="G152" s="47"/>
      <c r="H152" s="47"/>
      <c r="I152" s="47"/>
      <c r="J152" s="47"/>
      <c r="K152" s="47"/>
      <c r="L152" s="47"/>
      <c r="M152" s="97"/>
      <c r="N152" s="97"/>
      <c r="O152" s="97"/>
      <c r="P152" s="97"/>
      <c r="Q152" s="97"/>
      <c r="R152" s="97"/>
      <c r="S152" s="97"/>
      <c r="T152" s="97"/>
      <c r="U152" s="97"/>
      <c r="V152" s="97"/>
      <c r="W152" s="97"/>
      <c r="X152" s="97"/>
      <c r="Y152" s="16"/>
      <c r="AB152" s="16"/>
    </row>
    <row r="153" spans="3:28" x14ac:dyDescent="0.2">
      <c r="C153" s="47"/>
      <c r="D153" s="47"/>
      <c r="E153" s="47"/>
      <c r="F153" s="47"/>
      <c r="G153" s="47"/>
      <c r="H153" s="47"/>
      <c r="I153" s="47"/>
      <c r="J153" s="47"/>
      <c r="K153" s="47"/>
      <c r="L153" s="47"/>
      <c r="M153" s="97"/>
      <c r="N153" s="97"/>
      <c r="O153" s="97"/>
      <c r="P153" s="97"/>
      <c r="Q153" s="97"/>
      <c r="R153" s="97"/>
      <c r="S153" s="97"/>
      <c r="T153" s="97"/>
      <c r="U153" s="97"/>
      <c r="V153" s="97"/>
      <c r="W153" s="97"/>
      <c r="X153" s="97"/>
      <c r="Y153" s="16"/>
      <c r="AB153" s="16"/>
    </row>
    <row r="154" spans="3:28" x14ac:dyDescent="0.2">
      <c r="C154" s="47"/>
      <c r="D154" s="47"/>
      <c r="E154" s="47"/>
      <c r="F154" s="47"/>
      <c r="G154" s="47"/>
      <c r="H154" s="47"/>
      <c r="I154" s="47"/>
      <c r="J154" s="47"/>
      <c r="K154" s="47"/>
      <c r="L154" s="47"/>
      <c r="M154" s="97"/>
      <c r="N154" s="97"/>
      <c r="O154" s="97"/>
      <c r="P154" s="97"/>
      <c r="Q154" s="97"/>
      <c r="R154" s="97"/>
      <c r="S154" s="97"/>
      <c r="T154" s="97"/>
      <c r="U154" s="97"/>
      <c r="V154" s="97"/>
      <c r="W154" s="97"/>
      <c r="X154" s="97"/>
      <c r="Y154" s="16"/>
      <c r="AB154" s="16"/>
    </row>
    <row r="155" spans="3:28" x14ac:dyDescent="0.2">
      <c r="C155" s="47"/>
      <c r="D155" s="47"/>
      <c r="E155" s="47"/>
      <c r="F155" s="47"/>
      <c r="G155" s="47"/>
      <c r="H155" s="47"/>
      <c r="I155" s="47"/>
      <c r="J155" s="47"/>
      <c r="K155" s="47"/>
      <c r="L155" s="47"/>
      <c r="M155" s="97"/>
      <c r="N155" s="97"/>
      <c r="O155" s="97"/>
      <c r="P155" s="97"/>
      <c r="Q155" s="97"/>
      <c r="R155" s="97"/>
      <c r="S155" s="97"/>
      <c r="T155" s="97"/>
      <c r="U155" s="97"/>
      <c r="V155" s="97"/>
      <c r="W155" s="97"/>
      <c r="X155" s="97"/>
      <c r="Y155" s="16"/>
      <c r="AB155" s="16"/>
    </row>
    <row r="156" spans="3:28" x14ac:dyDescent="0.2">
      <c r="C156" s="47"/>
      <c r="D156" s="47"/>
      <c r="E156" s="47"/>
      <c r="F156" s="47"/>
      <c r="G156" s="47"/>
      <c r="H156" s="47"/>
      <c r="I156" s="47"/>
      <c r="J156" s="47"/>
      <c r="K156" s="47"/>
      <c r="L156" s="47"/>
      <c r="M156" s="97"/>
      <c r="N156" s="97"/>
      <c r="O156" s="97"/>
      <c r="P156" s="97"/>
      <c r="Q156" s="97"/>
      <c r="R156" s="97"/>
      <c r="S156" s="97"/>
      <c r="T156" s="97"/>
      <c r="U156" s="97"/>
      <c r="V156" s="97"/>
      <c r="W156" s="97"/>
      <c r="X156" s="97"/>
      <c r="Y156" s="16"/>
      <c r="AB156" s="16"/>
    </row>
    <row r="157" spans="3:28" x14ac:dyDescent="0.2">
      <c r="C157" s="47"/>
      <c r="D157" s="47"/>
      <c r="E157" s="47"/>
      <c r="F157" s="47"/>
      <c r="G157" s="47"/>
      <c r="H157" s="47"/>
      <c r="I157" s="47"/>
      <c r="J157" s="47"/>
      <c r="K157" s="47"/>
      <c r="L157" s="47"/>
      <c r="M157" s="97"/>
      <c r="N157" s="97"/>
      <c r="O157" s="97"/>
      <c r="P157" s="97"/>
      <c r="Q157" s="97"/>
      <c r="R157" s="97"/>
      <c r="S157" s="97"/>
      <c r="T157" s="97"/>
      <c r="U157" s="97"/>
      <c r="V157" s="97"/>
      <c r="W157" s="97"/>
      <c r="X157" s="97"/>
      <c r="Y157" s="16"/>
      <c r="AB157" s="16"/>
    </row>
    <row r="158" spans="3:28" x14ac:dyDescent="0.2">
      <c r="C158" s="47"/>
      <c r="D158" s="47"/>
      <c r="E158" s="47"/>
      <c r="F158" s="47"/>
      <c r="G158" s="47"/>
      <c r="H158" s="47"/>
      <c r="I158" s="47"/>
      <c r="J158" s="47"/>
      <c r="K158" s="47"/>
      <c r="L158" s="47"/>
      <c r="M158" s="97"/>
      <c r="N158" s="97"/>
      <c r="O158" s="97"/>
      <c r="P158" s="97"/>
      <c r="Q158" s="97"/>
      <c r="R158" s="97"/>
      <c r="S158" s="97"/>
      <c r="T158" s="97"/>
      <c r="U158" s="97"/>
      <c r="V158" s="97"/>
      <c r="W158" s="97"/>
      <c r="X158" s="97"/>
      <c r="Y158" s="16"/>
      <c r="AB158" s="16"/>
    </row>
    <row r="159" spans="3:28" x14ac:dyDescent="0.2">
      <c r="C159" s="47"/>
      <c r="D159" s="47"/>
      <c r="E159" s="47"/>
      <c r="F159" s="47"/>
      <c r="G159" s="47"/>
      <c r="H159" s="47"/>
      <c r="I159" s="47"/>
      <c r="J159" s="47"/>
      <c r="K159" s="47"/>
      <c r="L159" s="47"/>
      <c r="M159" s="97"/>
      <c r="N159" s="97"/>
      <c r="O159" s="97"/>
      <c r="P159" s="97"/>
      <c r="Q159" s="97"/>
      <c r="R159" s="97"/>
      <c r="S159" s="97"/>
      <c r="T159" s="97"/>
      <c r="U159" s="97"/>
      <c r="V159" s="97"/>
      <c r="W159" s="97"/>
      <c r="X159" s="97"/>
      <c r="Y159" s="16"/>
      <c r="AB159" s="16"/>
    </row>
    <row r="160" spans="3:28" x14ac:dyDescent="0.2">
      <c r="C160" s="47"/>
      <c r="D160" s="47"/>
      <c r="E160" s="47"/>
      <c r="F160" s="47"/>
      <c r="G160" s="47"/>
      <c r="H160" s="47"/>
      <c r="I160" s="47"/>
      <c r="J160" s="47"/>
      <c r="K160" s="47"/>
      <c r="L160" s="47"/>
      <c r="M160" s="97"/>
      <c r="N160" s="97"/>
      <c r="O160" s="97"/>
      <c r="P160" s="97"/>
      <c r="Q160" s="97"/>
      <c r="R160" s="97"/>
      <c r="S160" s="97"/>
      <c r="T160" s="97"/>
      <c r="U160" s="97"/>
      <c r="V160" s="97"/>
      <c r="W160" s="97"/>
      <c r="X160" s="97"/>
      <c r="Y160" s="16"/>
      <c r="AB160" s="16"/>
    </row>
    <row r="161" spans="3:28" x14ac:dyDescent="0.2">
      <c r="C161" s="47"/>
      <c r="D161" s="47"/>
      <c r="E161" s="47"/>
      <c r="F161" s="47"/>
      <c r="G161" s="47"/>
      <c r="H161" s="47"/>
      <c r="I161" s="47"/>
      <c r="J161" s="47"/>
      <c r="K161" s="47"/>
      <c r="L161" s="47"/>
      <c r="M161" s="97"/>
      <c r="N161" s="97"/>
      <c r="O161" s="97"/>
      <c r="P161" s="97"/>
      <c r="Q161" s="97"/>
      <c r="R161" s="97"/>
      <c r="S161" s="97"/>
      <c r="T161" s="97"/>
      <c r="U161" s="97"/>
      <c r="V161" s="97"/>
      <c r="W161" s="97"/>
      <c r="X161" s="97"/>
      <c r="Y161" s="16"/>
      <c r="AB161" s="16"/>
    </row>
    <row r="162" spans="3:28" x14ac:dyDescent="0.2">
      <c r="C162" s="47"/>
      <c r="D162" s="47"/>
      <c r="E162" s="47"/>
      <c r="F162" s="47"/>
      <c r="G162" s="47"/>
      <c r="H162" s="47"/>
      <c r="I162" s="47"/>
      <c r="J162" s="47"/>
      <c r="K162" s="47"/>
      <c r="L162" s="47"/>
      <c r="M162" s="97"/>
      <c r="N162" s="97"/>
      <c r="O162" s="97"/>
      <c r="P162" s="97"/>
      <c r="Q162" s="97"/>
      <c r="R162" s="97"/>
      <c r="S162" s="97"/>
      <c r="T162" s="97"/>
      <c r="U162" s="97"/>
      <c r="V162" s="97"/>
      <c r="W162" s="97"/>
      <c r="X162" s="97"/>
      <c r="Y162" s="16"/>
      <c r="AB162" s="16"/>
    </row>
    <row r="163" spans="3:28" x14ac:dyDescent="0.2">
      <c r="C163" s="47"/>
      <c r="D163" s="47"/>
      <c r="E163" s="47"/>
      <c r="F163" s="47"/>
      <c r="G163" s="47"/>
      <c r="H163" s="47"/>
      <c r="I163" s="47"/>
      <c r="J163" s="47"/>
      <c r="K163" s="47"/>
      <c r="L163" s="47"/>
      <c r="M163" s="97"/>
      <c r="N163" s="97"/>
      <c r="O163" s="97"/>
      <c r="P163" s="97"/>
      <c r="Q163" s="97"/>
      <c r="R163" s="97"/>
      <c r="S163" s="97"/>
      <c r="T163" s="97"/>
      <c r="U163" s="97"/>
      <c r="V163" s="97"/>
      <c r="W163" s="97"/>
      <c r="X163" s="97"/>
      <c r="Y163" s="16"/>
      <c r="AB163" s="16"/>
    </row>
    <row r="164" spans="3:28" x14ac:dyDescent="0.2">
      <c r="C164" s="47"/>
      <c r="D164" s="47"/>
      <c r="E164" s="47"/>
      <c r="F164" s="47"/>
      <c r="G164" s="47"/>
      <c r="H164" s="47"/>
      <c r="I164" s="47"/>
      <c r="J164" s="47"/>
      <c r="K164" s="47"/>
      <c r="L164" s="47"/>
      <c r="M164" s="97"/>
      <c r="N164" s="97"/>
      <c r="O164" s="97"/>
      <c r="P164" s="97"/>
      <c r="Q164" s="97"/>
      <c r="R164" s="97"/>
      <c r="S164" s="97"/>
      <c r="T164" s="97"/>
      <c r="U164" s="97"/>
      <c r="V164" s="97"/>
      <c r="W164" s="97"/>
      <c r="X164" s="97"/>
      <c r="Y164" s="16"/>
      <c r="AB164" s="16"/>
    </row>
    <row r="165" spans="3:28" x14ac:dyDescent="0.2">
      <c r="C165" s="47"/>
      <c r="D165" s="47"/>
      <c r="E165" s="47"/>
      <c r="F165" s="47"/>
      <c r="G165" s="47"/>
      <c r="H165" s="47"/>
      <c r="I165" s="47"/>
      <c r="J165" s="47"/>
      <c r="K165" s="47"/>
      <c r="L165" s="47"/>
      <c r="M165" s="97"/>
      <c r="N165" s="97"/>
      <c r="O165" s="97"/>
      <c r="P165" s="97"/>
      <c r="Q165" s="97"/>
      <c r="R165" s="97"/>
      <c r="S165" s="97"/>
      <c r="T165" s="97"/>
      <c r="U165" s="97"/>
      <c r="V165" s="97"/>
      <c r="W165" s="97"/>
      <c r="X165" s="97"/>
      <c r="Y165" s="16"/>
      <c r="AB165" s="16"/>
    </row>
    <row r="166" spans="3:28" x14ac:dyDescent="0.2">
      <c r="C166" s="47"/>
      <c r="D166" s="47"/>
      <c r="E166" s="47"/>
      <c r="F166" s="47"/>
      <c r="G166" s="47"/>
      <c r="H166" s="47"/>
      <c r="I166" s="47"/>
      <c r="J166" s="47"/>
      <c r="K166" s="47"/>
      <c r="L166" s="47"/>
      <c r="M166" s="97"/>
      <c r="N166" s="97"/>
      <c r="O166" s="97"/>
      <c r="P166" s="97"/>
      <c r="Q166" s="97"/>
      <c r="R166" s="97"/>
      <c r="S166" s="97"/>
      <c r="T166" s="97"/>
      <c r="U166" s="97"/>
      <c r="V166" s="97"/>
      <c r="W166" s="97"/>
      <c r="X166" s="97"/>
      <c r="Y166" s="16"/>
      <c r="AB166" s="16"/>
    </row>
    <row r="167" spans="3:28" x14ac:dyDescent="0.2">
      <c r="C167" s="47"/>
      <c r="D167" s="47"/>
      <c r="E167" s="47"/>
      <c r="F167" s="47"/>
      <c r="G167" s="47"/>
      <c r="H167" s="47"/>
      <c r="I167" s="47"/>
      <c r="J167" s="47"/>
      <c r="K167" s="47"/>
      <c r="L167" s="47"/>
      <c r="M167" s="97"/>
      <c r="N167" s="97"/>
      <c r="O167" s="97"/>
      <c r="P167" s="97"/>
      <c r="Q167" s="97"/>
      <c r="R167" s="97"/>
      <c r="S167" s="97"/>
      <c r="T167" s="97"/>
      <c r="U167" s="97"/>
      <c r="V167" s="97"/>
      <c r="W167" s="97"/>
      <c r="X167" s="97"/>
      <c r="Y167" s="16"/>
      <c r="AB167" s="16"/>
    </row>
    <row r="168" spans="3:28" x14ac:dyDescent="0.2">
      <c r="C168" s="47"/>
      <c r="D168" s="47"/>
      <c r="E168" s="47"/>
      <c r="F168" s="47"/>
      <c r="G168" s="47"/>
      <c r="H168" s="47"/>
      <c r="I168" s="47"/>
      <c r="J168" s="47"/>
      <c r="K168" s="47"/>
      <c r="L168" s="47"/>
      <c r="M168" s="97"/>
      <c r="N168" s="97"/>
      <c r="O168" s="97"/>
      <c r="P168" s="97"/>
      <c r="Q168" s="97"/>
      <c r="R168" s="97"/>
      <c r="S168" s="97"/>
      <c r="T168" s="97"/>
      <c r="U168" s="97"/>
      <c r="V168" s="97"/>
      <c r="W168" s="97"/>
      <c r="X168" s="97"/>
      <c r="Y168" s="16"/>
      <c r="AB168" s="16"/>
    </row>
    <row r="169" spans="3:28" x14ac:dyDescent="0.2">
      <c r="C169" s="47"/>
      <c r="D169" s="47"/>
      <c r="E169" s="47"/>
      <c r="F169" s="47"/>
      <c r="G169" s="47"/>
      <c r="H169" s="47"/>
      <c r="I169" s="47"/>
      <c r="J169" s="47"/>
      <c r="K169" s="47"/>
      <c r="L169" s="47"/>
      <c r="M169" s="97"/>
      <c r="N169" s="97"/>
      <c r="O169" s="97"/>
      <c r="P169" s="97"/>
      <c r="Q169" s="97"/>
      <c r="R169" s="97"/>
      <c r="S169" s="97"/>
      <c r="T169" s="97"/>
      <c r="U169" s="97"/>
      <c r="V169" s="97"/>
      <c r="W169" s="97"/>
      <c r="X169" s="97"/>
      <c r="Y169" s="16"/>
      <c r="AB169" s="16"/>
    </row>
    <row r="170" spans="3:28" x14ac:dyDescent="0.2">
      <c r="C170" s="47"/>
      <c r="D170" s="47"/>
      <c r="E170" s="47"/>
      <c r="F170" s="47"/>
      <c r="G170" s="47"/>
      <c r="H170" s="47"/>
      <c r="I170" s="47"/>
      <c r="J170" s="47"/>
      <c r="K170" s="47"/>
      <c r="L170" s="47"/>
      <c r="M170" s="97"/>
      <c r="N170" s="97"/>
      <c r="O170" s="97"/>
      <c r="P170" s="97"/>
      <c r="Q170" s="97"/>
      <c r="R170" s="97"/>
      <c r="S170" s="97"/>
      <c r="T170" s="97"/>
      <c r="U170" s="97"/>
      <c r="V170" s="97"/>
      <c r="W170" s="97"/>
      <c r="X170" s="97"/>
      <c r="Y170" s="16"/>
      <c r="AB170" s="16"/>
    </row>
    <row r="171" spans="3:28" x14ac:dyDescent="0.2">
      <c r="C171" s="47"/>
      <c r="D171" s="47"/>
      <c r="E171" s="47"/>
      <c r="F171" s="47"/>
      <c r="G171" s="47"/>
      <c r="H171" s="47"/>
      <c r="I171" s="47"/>
      <c r="J171" s="47"/>
      <c r="K171" s="47"/>
      <c r="L171" s="47"/>
      <c r="M171" s="97"/>
      <c r="N171" s="97"/>
      <c r="O171" s="97"/>
      <c r="P171" s="97"/>
      <c r="Q171" s="97"/>
      <c r="R171" s="97"/>
      <c r="S171" s="97"/>
      <c r="T171" s="97"/>
      <c r="U171" s="97"/>
      <c r="V171" s="97"/>
      <c r="W171" s="97"/>
      <c r="X171" s="97"/>
      <c r="Y171" s="16"/>
      <c r="AB171" s="16"/>
    </row>
    <row r="172" spans="3:28" x14ac:dyDescent="0.2">
      <c r="C172" s="47"/>
      <c r="D172" s="47"/>
      <c r="E172" s="47"/>
      <c r="F172" s="47"/>
      <c r="G172" s="47"/>
      <c r="H172" s="47"/>
      <c r="I172" s="47"/>
      <c r="J172" s="47"/>
      <c r="K172" s="47"/>
      <c r="L172" s="47"/>
      <c r="M172" s="97"/>
      <c r="N172" s="97"/>
      <c r="O172" s="97"/>
      <c r="P172" s="97"/>
      <c r="Q172" s="97"/>
      <c r="R172" s="97"/>
      <c r="S172" s="97"/>
      <c r="T172" s="97"/>
      <c r="U172" s="97"/>
      <c r="V172" s="97"/>
      <c r="W172" s="97"/>
      <c r="X172" s="97"/>
      <c r="Y172" s="16"/>
      <c r="AB172" s="16"/>
    </row>
    <row r="173" spans="3:28" x14ac:dyDescent="0.2">
      <c r="C173" s="47"/>
      <c r="D173" s="47"/>
      <c r="E173" s="47"/>
      <c r="F173" s="47"/>
      <c r="G173" s="47"/>
      <c r="H173" s="47"/>
      <c r="I173" s="47"/>
      <c r="J173" s="47"/>
      <c r="K173" s="47"/>
      <c r="L173" s="47"/>
      <c r="M173" s="97"/>
      <c r="N173" s="97"/>
      <c r="O173" s="97"/>
      <c r="P173" s="97"/>
      <c r="Q173" s="97"/>
      <c r="R173" s="97"/>
      <c r="S173" s="97"/>
      <c r="T173" s="97"/>
      <c r="U173" s="97"/>
      <c r="V173" s="97"/>
      <c r="W173" s="97"/>
      <c r="X173" s="97"/>
      <c r="Y173" s="16"/>
      <c r="AB173" s="16"/>
    </row>
    <row r="174" spans="3:28" x14ac:dyDescent="0.2">
      <c r="C174" s="47"/>
      <c r="D174" s="47"/>
      <c r="E174" s="47"/>
      <c r="F174" s="47"/>
      <c r="G174" s="47"/>
      <c r="H174" s="47"/>
      <c r="I174" s="47"/>
      <c r="J174" s="47"/>
      <c r="K174" s="47"/>
      <c r="L174" s="47"/>
      <c r="M174" s="97"/>
      <c r="N174" s="97"/>
      <c r="O174" s="97"/>
      <c r="P174" s="97"/>
      <c r="Q174" s="97"/>
      <c r="R174" s="97"/>
      <c r="S174" s="97"/>
      <c r="T174" s="97"/>
      <c r="U174" s="97"/>
      <c r="V174" s="97"/>
      <c r="W174" s="97"/>
      <c r="X174" s="97"/>
      <c r="Y174" s="16"/>
      <c r="AB174" s="16"/>
    </row>
    <row r="175" spans="3:28" x14ac:dyDescent="0.2">
      <c r="C175" s="47"/>
      <c r="D175" s="47"/>
      <c r="E175" s="47"/>
      <c r="F175" s="47"/>
      <c r="G175" s="47"/>
      <c r="H175" s="47"/>
      <c r="I175" s="47"/>
      <c r="J175" s="47"/>
      <c r="K175" s="47"/>
      <c r="L175" s="47"/>
      <c r="M175" s="97"/>
      <c r="N175" s="97"/>
      <c r="O175" s="97"/>
      <c r="P175" s="97"/>
      <c r="Q175" s="97"/>
      <c r="R175" s="97"/>
      <c r="S175" s="97"/>
      <c r="T175" s="97"/>
      <c r="U175" s="97"/>
      <c r="V175" s="97"/>
      <c r="W175" s="97"/>
      <c r="X175" s="97"/>
      <c r="Y175" s="16"/>
      <c r="AB175" s="16"/>
    </row>
    <row r="176" spans="3:28" x14ac:dyDescent="0.2">
      <c r="C176" s="47"/>
      <c r="D176" s="47"/>
      <c r="E176" s="47"/>
      <c r="F176" s="47"/>
      <c r="G176" s="47"/>
      <c r="H176" s="47"/>
      <c r="I176" s="47"/>
      <c r="J176" s="47"/>
      <c r="K176" s="47"/>
      <c r="L176" s="47"/>
      <c r="M176" s="97"/>
      <c r="N176" s="97"/>
      <c r="O176" s="97"/>
      <c r="P176" s="97"/>
      <c r="Q176" s="97"/>
      <c r="R176" s="97"/>
      <c r="S176" s="97"/>
      <c r="T176" s="97"/>
      <c r="U176" s="97"/>
      <c r="V176" s="97"/>
      <c r="W176" s="97"/>
      <c r="X176" s="97"/>
      <c r="Y176" s="16"/>
      <c r="AB176" s="16"/>
    </row>
    <row r="177" spans="3:28" x14ac:dyDescent="0.2">
      <c r="C177" s="47"/>
      <c r="D177" s="47"/>
      <c r="E177" s="47"/>
      <c r="F177" s="47"/>
      <c r="G177" s="47"/>
      <c r="H177" s="47"/>
      <c r="I177" s="47"/>
      <c r="J177" s="47"/>
      <c r="K177" s="47"/>
      <c r="L177" s="47"/>
      <c r="M177" s="97"/>
      <c r="N177" s="97"/>
      <c r="O177" s="97"/>
      <c r="P177" s="97"/>
      <c r="Q177" s="97"/>
      <c r="R177" s="97"/>
      <c r="S177" s="97"/>
      <c r="T177" s="97"/>
      <c r="U177" s="97"/>
      <c r="V177" s="97"/>
      <c r="W177" s="97"/>
      <c r="X177" s="97"/>
      <c r="Y177" s="16"/>
      <c r="AB177" s="16"/>
    </row>
    <row r="178" spans="3:28" x14ac:dyDescent="0.2">
      <c r="C178" s="47"/>
      <c r="D178" s="47"/>
      <c r="E178" s="47"/>
      <c r="F178" s="47"/>
      <c r="G178" s="47"/>
      <c r="H178" s="47"/>
      <c r="I178" s="47"/>
      <c r="J178" s="47"/>
      <c r="K178" s="47"/>
      <c r="L178" s="47"/>
      <c r="M178" s="97"/>
      <c r="N178" s="97"/>
      <c r="O178" s="97"/>
      <c r="P178" s="97"/>
      <c r="Q178" s="97"/>
      <c r="R178" s="97"/>
      <c r="S178" s="97"/>
      <c r="T178" s="97"/>
      <c r="U178" s="97"/>
      <c r="V178" s="97"/>
      <c r="W178" s="97"/>
      <c r="X178" s="97"/>
      <c r="Y178" s="16"/>
      <c r="AB178" s="16"/>
    </row>
    <row r="179" spans="3:28" x14ac:dyDescent="0.2">
      <c r="C179" s="47"/>
      <c r="D179" s="47"/>
      <c r="E179" s="47"/>
      <c r="F179" s="47"/>
      <c r="G179" s="47"/>
      <c r="H179" s="47"/>
      <c r="I179" s="47"/>
      <c r="J179" s="47"/>
      <c r="K179" s="47"/>
      <c r="L179" s="47"/>
      <c r="M179" s="97"/>
      <c r="N179" s="97"/>
      <c r="O179" s="97"/>
      <c r="P179" s="97"/>
      <c r="Q179" s="97"/>
      <c r="R179" s="97"/>
      <c r="S179" s="97"/>
      <c r="T179" s="97"/>
      <c r="U179" s="97"/>
      <c r="V179" s="97"/>
      <c r="W179" s="97"/>
      <c r="X179" s="97"/>
      <c r="Y179" s="16"/>
      <c r="AB179" s="16"/>
    </row>
    <row r="180" spans="3:28" x14ac:dyDescent="0.2">
      <c r="C180" s="47"/>
      <c r="D180" s="47"/>
      <c r="E180" s="47"/>
      <c r="F180" s="47"/>
      <c r="G180" s="47"/>
      <c r="H180" s="47"/>
      <c r="I180" s="47"/>
      <c r="J180" s="47"/>
      <c r="K180" s="47"/>
      <c r="L180" s="47"/>
      <c r="M180" s="97"/>
      <c r="N180" s="97"/>
      <c r="O180" s="97"/>
      <c r="P180" s="97"/>
      <c r="Q180" s="97"/>
      <c r="R180" s="97"/>
      <c r="S180" s="97"/>
      <c r="T180" s="97"/>
      <c r="U180" s="97"/>
      <c r="V180" s="97"/>
      <c r="W180" s="97"/>
      <c r="X180" s="97"/>
      <c r="Y180" s="16"/>
      <c r="AB180" s="16"/>
    </row>
    <row r="181" spans="3:28" x14ac:dyDescent="0.2">
      <c r="C181" s="47"/>
      <c r="D181" s="47"/>
      <c r="E181" s="47"/>
      <c r="F181" s="47"/>
      <c r="G181" s="47"/>
      <c r="H181" s="47"/>
      <c r="I181" s="47"/>
      <c r="J181" s="47"/>
      <c r="K181" s="47"/>
      <c r="L181" s="47"/>
      <c r="M181" s="97"/>
      <c r="N181" s="97"/>
      <c r="O181" s="97"/>
      <c r="P181" s="97"/>
      <c r="Q181" s="97"/>
      <c r="R181" s="97"/>
      <c r="S181" s="97"/>
      <c r="T181" s="97"/>
      <c r="U181" s="97"/>
      <c r="V181" s="97"/>
      <c r="W181" s="97"/>
      <c r="X181" s="97"/>
      <c r="Y181" s="16"/>
      <c r="AB181" s="16"/>
    </row>
    <row r="182" spans="3:28" x14ac:dyDescent="0.2">
      <c r="C182" s="47"/>
      <c r="D182" s="47"/>
      <c r="E182" s="47"/>
      <c r="F182" s="47"/>
      <c r="G182" s="47"/>
      <c r="H182" s="47"/>
      <c r="I182" s="47"/>
      <c r="J182" s="47"/>
      <c r="K182" s="47"/>
      <c r="L182" s="47"/>
      <c r="M182" s="97"/>
      <c r="N182" s="97"/>
      <c r="O182" s="97"/>
      <c r="P182" s="97"/>
      <c r="Q182" s="97"/>
      <c r="R182" s="97"/>
      <c r="S182" s="97"/>
      <c r="T182" s="97"/>
      <c r="U182" s="97"/>
      <c r="V182" s="97"/>
      <c r="W182" s="97"/>
      <c r="X182" s="97"/>
      <c r="Y182" s="16"/>
      <c r="AB182" s="16"/>
    </row>
    <row r="183" spans="3:28" x14ac:dyDescent="0.2">
      <c r="C183" s="47"/>
      <c r="D183" s="47"/>
      <c r="E183" s="47"/>
      <c r="F183" s="47"/>
      <c r="G183" s="47"/>
      <c r="H183" s="47"/>
      <c r="I183" s="47"/>
      <c r="J183" s="47"/>
      <c r="K183" s="47"/>
      <c r="L183" s="47"/>
      <c r="M183" s="97"/>
      <c r="N183" s="97"/>
      <c r="O183" s="97"/>
      <c r="P183" s="97"/>
      <c r="Q183" s="97"/>
      <c r="R183" s="97"/>
      <c r="S183" s="97"/>
      <c r="T183" s="97"/>
      <c r="U183" s="97"/>
      <c r="V183" s="97"/>
      <c r="W183" s="97"/>
      <c r="X183" s="97"/>
      <c r="Y183" s="16"/>
      <c r="AB183" s="16"/>
    </row>
    <row r="184" spans="3:28" x14ac:dyDescent="0.2">
      <c r="C184" s="47"/>
      <c r="D184" s="47"/>
      <c r="E184" s="47"/>
      <c r="F184" s="47"/>
      <c r="G184" s="47"/>
      <c r="H184" s="47"/>
      <c r="I184" s="47"/>
      <c r="J184" s="47"/>
      <c r="K184" s="47"/>
      <c r="L184" s="47"/>
      <c r="M184" s="97"/>
      <c r="N184" s="97"/>
      <c r="O184" s="97"/>
      <c r="P184" s="97"/>
      <c r="Q184" s="97"/>
      <c r="R184" s="97"/>
      <c r="S184" s="97"/>
      <c r="T184" s="97"/>
      <c r="U184" s="97"/>
      <c r="V184" s="97"/>
      <c r="W184" s="97"/>
      <c r="X184" s="97"/>
      <c r="Y184" s="16"/>
      <c r="AB184" s="16"/>
    </row>
    <row r="185" spans="3:28" x14ac:dyDescent="0.2">
      <c r="C185" s="47"/>
      <c r="D185" s="47"/>
      <c r="E185" s="47"/>
      <c r="F185" s="47"/>
      <c r="G185" s="47"/>
      <c r="H185" s="47"/>
      <c r="I185" s="47"/>
      <c r="J185" s="47"/>
      <c r="K185" s="47"/>
      <c r="L185" s="47"/>
      <c r="M185" s="97"/>
      <c r="N185" s="97"/>
      <c r="O185" s="97"/>
      <c r="P185" s="97"/>
      <c r="Q185" s="97"/>
      <c r="R185" s="97"/>
      <c r="S185" s="97"/>
      <c r="T185" s="97"/>
      <c r="U185" s="97"/>
      <c r="V185" s="97"/>
      <c r="W185" s="97"/>
      <c r="X185" s="97"/>
      <c r="Y185" s="16"/>
      <c r="AB185" s="16"/>
    </row>
    <row r="186" spans="3:28" x14ac:dyDescent="0.2">
      <c r="C186" s="47"/>
      <c r="D186" s="47"/>
      <c r="E186" s="47"/>
      <c r="F186" s="47"/>
      <c r="G186" s="47"/>
      <c r="H186" s="47"/>
      <c r="I186" s="47"/>
      <c r="J186" s="47"/>
      <c r="K186" s="47"/>
      <c r="L186" s="47"/>
      <c r="M186" s="97"/>
      <c r="N186" s="97"/>
      <c r="O186" s="97"/>
      <c r="P186" s="97"/>
      <c r="Q186" s="97"/>
      <c r="R186" s="97"/>
      <c r="S186" s="97"/>
      <c r="T186" s="97"/>
      <c r="U186" s="97"/>
      <c r="V186" s="97"/>
      <c r="W186" s="97"/>
      <c r="X186" s="97"/>
      <c r="Y186" s="16"/>
      <c r="AB186" s="16"/>
    </row>
    <row r="187" spans="3:28" x14ac:dyDescent="0.2">
      <c r="C187" s="47"/>
      <c r="D187" s="47"/>
      <c r="E187" s="47"/>
      <c r="F187" s="47"/>
      <c r="G187" s="47"/>
      <c r="H187" s="47"/>
      <c r="I187" s="47"/>
      <c r="J187" s="47"/>
      <c r="K187" s="47"/>
      <c r="L187" s="47"/>
      <c r="M187" s="97"/>
      <c r="N187" s="97"/>
      <c r="O187" s="97"/>
      <c r="P187" s="97"/>
      <c r="Q187" s="97"/>
      <c r="R187" s="97"/>
      <c r="S187" s="97"/>
      <c r="T187" s="97"/>
      <c r="U187" s="97"/>
      <c r="V187" s="97"/>
      <c r="W187" s="97"/>
      <c r="X187" s="97"/>
      <c r="Y187" s="16"/>
      <c r="AB187" s="16"/>
    </row>
    <row r="188" spans="3:28" x14ac:dyDescent="0.2">
      <c r="C188" s="47"/>
      <c r="D188" s="47"/>
      <c r="E188" s="47"/>
      <c r="F188" s="47"/>
      <c r="G188" s="47"/>
      <c r="H188" s="47"/>
      <c r="I188" s="47"/>
      <c r="J188" s="47"/>
      <c r="K188" s="47"/>
      <c r="L188" s="47"/>
      <c r="M188" s="97"/>
      <c r="N188" s="97"/>
      <c r="O188" s="97"/>
      <c r="P188" s="97"/>
      <c r="Q188" s="97"/>
      <c r="R188" s="97"/>
      <c r="S188" s="97"/>
      <c r="T188" s="97"/>
      <c r="U188" s="97"/>
      <c r="V188" s="97"/>
      <c r="W188" s="97"/>
      <c r="X188" s="97"/>
      <c r="Y188" s="16"/>
      <c r="AB188" s="16"/>
    </row>
    <row r="189" spans="3:28" x14ac:dyDescent="0.2">
      <c r="C189" s="47"/>
      <c r="D189" s="47"/>
      <c r="E189" s="47"/>
      <c r="F189" s="47"/>
      <c r="G189" s="47"/>
      <c r="H189" s="47"/>
      <c r="I189" s="47"/>
      <c r="J189" s="47"/>
      <c r="K189" s="47"/>
      <c r="L189" s="47"/>
      <c r="M189" s="97"/>
      <c r="N189" s="97"/>
      <c r="O189" s="97"/>
      <c r="P189" s="97"/>
      <c r="Q189" s="97"/>
      <c r="R189" s="97"/>
      <c r="S189" s="97"/>
      <c r="T189" s="97"/>
      <c r="U189" s="97"/>
      <c r="V189" s="97"/>
      <c r="W189" s="97"/>
      <c r="X189" s="97"/>
      <c r="Y189" s="16"/>
      <c r="AB189" s="16"/>
    </row>
    <row r="190" spans="3:28" x14ac:dyDescent="0.2">
      <c r="C190" s="47"/>
      <c r="D190" s="47"/>
      <c r="E190" s="47"/>
      <c r="F190" s="47"/>
      <c r="G190" s="47"/>
      <c r="H190" s="47"/>
      <c r="I190" s="47"/>
      <c r="J190" s="47"/>
      <c r="K190" s="47"/>
      <c r="L190" s="47"/>
      <c r="M190" s="97"/>
      <c r="N190" s="97"/>
      <c r="O190" s="97"/>
      <c r="P190" s="97"/>
      <c r="Q190" s="97"/>
      <c r="R190" s="97"/>
      <c r="S190" s="97"/>
      <c r="T190" s="97"/>
      <c r="U190" s="97"/>
      <c r="V190" s="97"/>
      <c r="W190" s="97"/>
      <c r="X190" s="97"/>
      <c r="Y190" s="16"/>
      <c r="AB190" s="16"/>
    </row>
    <row r="191" spans="3:28" x14ac:dyDescent="0.2">
      <c r="C191" s="47"/>
      <c r="D191" s="47"/>
      <c r="E191" s="47"/>
      <c r="F191" s="47"/>
      <c r="G191" s="47"/>
      <c r="H191" s="47"/>
      <c r="I191" s="47"/>
      <c r="J191" s="47"/>
      <c r="K191" s="47"/>
      <c r="L191" s="47"/>
      <c r="M191" s="97"/>
      <c r="N191" s="97"/>
      <c r="O191" s="97"/>
      <c r="P191" s="97"/>
      <c r="Q191" s="97"/>
      <c r="R191" s="97"/>
      <c r="S191" s="97"/>
      <c r="T191" s="97"/>
      <c r="U191" s="97"/>
      <c r="V191" s="97"/>
      <c r="W191" s="97"/>
      <c r="X191" s="97"/>
      <c r="Y191" s="16"/>
      <c r="AB191" s="16"/>
    </row>
    <row r="192" spans="3:28" x14ac:dyDescent="0.2">
      <c r="C192" s="47"/>
      <c r="D192" s="47"/>
      <c r="E192" s="47"/>
      <c r="F192" s="47"/>
      <c r="G192" s="47"/>
      <c r="H192" s="47"/>
      <c r="I192" s="47"/>
      <c r="J192" s="47"/>
      <c r="K192" s="47"/>
      <c r="L192" s="47"/>
      <c r="M192" s="97"/>
      <c r="N192" s="97"/>
      <c r="O192" s="97"/>
      <c r="P192" s="97"/>
      <c r="Q192" s="97"/>
      <c r="R192" s="97"/>
      <c r="S192" s="97"/>
      <c r="T192" s="97"/>
      <c r="U192" s="97"/>
      <c r="V192" s="97"/>
      <c r="W192" s="97"/>
      <c r="X192" s="97"/>
      <c r="Y192" s="16"/>
      <c r="AB192" s="16"/>
    </row>
    <row r="193" spans="3:28" x14ac:dyDescent="0.2">
      <c r="C193" s="47"/>
      <c r="D193" s="47"/>
      <c r="E193" s="47"/>
      <c r="F193" s="47"/>
      <c r="G193" s="47"/>
      <c r="H193" s="47"/>
      <c r="I193" s="47"/>
      <c r="J193" s="47"/>
      <c r="K193" s="47"/>
      <c r="L193" s="47"/>
      <c r="M193" s="97"/>
      <c r="N193" s="97"/>
      <c r="O193" s="97"/>
      <c r="P193" s="97"/>
      <c r="Q193" s="97"/>
      <c r="R193" s="97"/>
      <c r="S193" s="97"/>
      <c r="T193" s="97"/>
      <c r="U193" s="97"/>
      <c r="V193" s="97"/>
      <c r="W193" s="97"/>
      <c r="X193" s="97"/>
      <c r="Y193" s="16"/>
      <c r="AB193" s="16"/>
    </row>
    <row r="194" spans="3:28" x14ac:dyDescent="0.2">
      <c r="C194" s="47"/>
      <c r="D194" s="47"/>
      <c r="E194" s="47"/>
      <c r="F194" s="47"/>
      <c r="G194" s="47"/>
      <c r="H194" s="47"/>
      <c r="I194" s="47"/>
      <c r="J194" s="47"/>
      <c r="K194" s="47"/>
      <c r="L194" s="47"/>
      <c r="M194" s="97"/>
      <c r="N194" s="97"/>
      <c r="O194" s="97"/>
      <c r="P194" s="97"/>
      <c r="Q194" s="97"/>
      <c r="R194" s="97"/>
      <c r="S194" s="97"/>
      <c r="T194" s="97"/>
      <c r="U194" s="97"/>
      <c r="V194" s="97"/>
      <c r="W194" s="97"/>
      <c r="X194" s="97"/>
      <c r="Y194" s="16"/>
      <c r="AB194" s="16"/>
    </row>
    <row r="195" spans="3:28" x14ac:dyDescent="0.2">
      <c r="C195" s="47"/>
      <c r="D195" s="47"/>
      <c r="E195" s="47"/>
      <c r="F195" s="47"/>
      <c r="G195" s="47"/>
      <c r="H195" s="47"/>
      <c r="I195" s="47"/>
      <c r="J195" s="47"/>
      <c r="K195" s="47"/>
      <c r="L195" s="47"/>
      <c r="M195" s="97"/>
      <c r="N195" s="97"/>
      <c r="O195" s="97"/>
      <c r="P195" s="97"/>
      <c r="Q195" s="97"/>
      <c r="R195" s="97"/>
      <c r="S195" s="97"/>
      <c r="T195" s="97"/>
      <c r="U195" s="97"/>
      <c r="V195" s="97"/>
      <c r="W195" s="97"/>
      <c r="X195" s="97"/>
      <c r="Y195" s="16"/>
      <c r="AB195" s="16"/>
    </row>
    <row r="196" spans="3:28" x14ac:dyDescent="0.2">
      <c r="C196" s="47"/>
      <c r="D196" s="47"/>
      <c r="E196" s="47"/>
      <c r="F196" s="47"/>
      <c r="G196" s="47"/>
      <c r="H196" s="47"/>
      <c r="I196" s="47"/>
      <c r="J196" s="47"/>
      <c r="K196" s="47"/>
      <c r="L196" s="47"/>
      <c r="M196" s="97"/>
      <c r="N196" s="97"/>
      <c r="O196" s="97"/>
      <c r="P196" s="97"/>
      <c r="Q196" s="97"/>
      <c r="R196" s="97"/>
      <c r="S196" s="97"/>
      <c r="T196" s="97"/>
      <c r="U196" s="97"/>
      <c r="V196" s="97"/>
      <c r="W196" s="97"/>
      <c r="X196" s="97"/>
      <c r="Y196" s="16"/>
      <c r="AB196" s="16"/>
    </row>
    <row r="197" spans="3:28" x14ac:dyDescent="0.2">
      <c r="C197" s="47"/>
      <c r="D197" s="47"/>
      <c r="E197" s="47"/>
      <c r="F197" s="47"/>
      <c r="G197" s="47"/>
      <c r="H197" s="47"/>
      <c r="I197" s="47"/>
      <c r="J197" s="47"/>
      <c r="K197" s="47"/>
      <c r="L197" s="47"/>
      <c r="M197" s="97"/>
      <c r="N197" s="97"/>
      <c r="O197" s="97"/>
      <c r="P197" s="97"/>
      <c r="Q197" s="97"/>
      <c r="R197" s="97"/>
      <c r="S197" s="97"/>
      <c r="T197" s="97"/>
      <c r="U197" s="97"/>
      <c r="V197" s="97"/>
      <c r="W197" s="97"/>
      <c r="X197" s="97"/>
      <c r="Y197" s="16"/>
      <c r="AB197" s="16"/>
    </row>
    <row r="198" spans="3:28" x14ac:dyDescent="0.2">
      <c r="C198" s="47"/>
      <c r="D198" s="47"/>
      <c r="E198" s="47"/>
      <c r="F198" s="47"/>
      <c r="G198" s="47"/>
      <c r="H198" s="47"/>
      <c r="I198" s="47"/>
      <c r="J198" s="47"/>
      <c r="K198" s="47"/>
      <c r="L198" s="47"/>
      <c r="M198" s="97"/>
      <c r="N198" s="97"/>
      <c r="O198" s="97"/>
      <c r="P198" s="97"/>
      <c r="Q198" s="97"/>
      <c r="R198" s="97"/>
      <c r="S198" s="97"/>
      <c r="T198" s="97"/>
      <c r="U198" s="97"/>
      <c r="V198" s="97"/>
      <c r="W198" s="97"/>
      <c r="X198" s="97"/>
      <c r="Y198" s="16"/>
      <c r="AB198" s="16"/>
    </row>
    <row r="199" spans="3:28" x14ac:dyDescent="0.2">
      <c r="C199" s="47"/>
      <c r="D199" s="47"/>
      <c r="E199" s="47"/>
      <c r="F199" s="47"/>
      <c r="G199" s="47"/>
      <c r="H199" s="47"/>
      <c r="I199" s="47"/>
      <c r="J199" s="47"/>
      <c r="K199" s="47"/>
      <c r="L199" s="47"/>
      <c r="M199" s="97"/>
      <c r="N199" s="97"/>
      <c r="O199" s="97"/>
      <c r="P199" s="97"/>
      <c r="Q199" s="97"/>
      <c r="R199" s="97"/>
      <c r="S199" s="97"/>
      <c r="T199" s="97"/>
      <c r="U199" s="97"/>
      <c r="V199" s="97"/>
      <c r="W199" s="97"/>
      <c r="X199" s="97"/>
      <c r="Y199" s="16"/>
      <c r="AB199" s="16"/>
    </row>
    <row r="200" spans="3:28" x14ac:dyDescent="0.2">
      <c r="C200" s="47"/>
      <c r="D200" s="47"/>
      <c r="E200" s="47"/>
      <c r="F200" s="47"/>
      <c r="G200" s="47"/>
      <c r="H200" s="47"/>
      <c r="I200" s="47"/>
      <c r="J200" s="47"/>
      <c r="K200" s="47"/>
      <c r="L200" s="47"/>
      <c r="M200" s="97"/>
      <c r="N200" s="97"/>
      <c r="O200" s="97"/>
      <c r="P200" s="97"/>
      <c r="Q200" s="97"/>
      <c r="R200" s="97"/>
      <c r="S200" s="97"/>
      <c r="T200" s="97"/>
      <c r="U200" s="97"/>
      <c r="V200" s="97"/>
      <c r="W200" s="97"/>
      <c r="X200" s="97"/>
      <c r="Y200" s="16"/>
      <c r="AB200" s="16"/>
    </row>
    <row r="201" spans="3:28" x14ac:dyDescent="0.2">
      <c r="C201" s="47"/>
      <c r="D201" s="47"/>
      <c r="E201" s="47"/>
      <c r="F201" s="47"/>
      <c r="G201" s="47"/>
      <c r="H201" s="47"/>
      <c r="I201" s="47"/>
      <c r="J201" s="47"/>
      <c r="K201" s="47"/>
      <c r="L201" s="47"/>
      <c r="M201" s="97"/>
      <c r="N201" s="97"/>
      <c r="O201" s="97"/>
      <c r="P201" s="97"/>
      <c r="Q201" s="97"/>
      <c r="R201" s="97"/>
      <c r="S201" s="97"/>
      <c r="T201" s="97"/>
      <c r="U201" s="97"/>
      <c r="V201" s="97"/>
      <c r="W201" s="97"/>
      <c r="X201" s="97"/>
      <c r="Y201" s="16"/>
      <c r="AB201" s="16"/>
    </row>
    <row r="202" spans="3:28" x14ac:dyDescent="0.2">
      <c r="C202" s="47"/>
      <c r="D202" s="47"/>
      <c r="E202" s="47"/>
      <c r="F202" s="47"/>
      <c r="G202" s="47"/>
      <c r="H202" s="47"/>
      <c r="I202" s="47"/>
      <c r="J202" s="47"/>
      <c r="K202" s="47"/>
      <c r="L202" s="47"/>
      <c r="M202" s="97"/>
      <c r="N202" s="97"/>
      <c r="O202" s="97"/>
      <c r="P202" s="97"/>
      <c r="Q202" s="97"/>
      <c r="R202" s="97"/>
      <c r="S202" s="97"/>
      <c r="T202" s="97"/>
      <c r="U202" s="97"/>
      <c r="V202" s="97"/>
      <c r="W202" s="97"/>
      <c r="X202" s="97"/>
      <c r="Y202" s="16"/>
      <c r="AB202" s="16"/>
    </row>
    <row r="203" spans="3:28" x14ac:dyDescent="0.2">
      <c r="C203" s="47"/>
      <c r="D203" s="47"/>
      <c r="E203" s="47"/>
      <c r="F203" s="47"/>
      <c r="G203" s="47"/>
      <c r="H203" s="47"/>
      <c r="I203" s="47"/>
      <c r="J203" s="47"/>
      <c r="K203" s="47"/>
      <c r="L203" s="47"/>
      <c r="M203" s="97"/>
      <c r="N203" s="97"/>
      <c r="O203" s="97"/>
      <c r="P203" s="97"/>
      <c r="Q203" s="97"/>
      <c r="R203" s="97"/>
      <c r="S203" s="97"/>
      <c r="T203" s="97"/>
      <c r="U203" s="97"/>
      <c r="V203" s="97"/>
      <c r="W203" s="97"/>
      <c r="X203" s="97"/>
      <c r="Y203" s="16"/>
      <c r="AB203" s="16"/>
    </row>
    <row r="204" spans="3:28" x14ac:dyDescent="0.2">
      <c r="C204" s="47"/>
      <c r="D204" s="47"/>
      <c r="E204" s="47"/>
      <c r="F204" s="47"/>
      <c r="G204" s="47"/>
      <c r="H204" s="47"/>
      <c r="I204" s="47"/>
      <c r="J204" s="47"/>
      <c r="K204" s="47"/>
      <c r="L204" s="47"/>
      <c r="M204" s="97"/>
      <c r="N204" s="97"/>
      <c r="O204" s="97"/>
      <c r="P204" s="97"/>
      <c r="Q204" s="97"/>
      <c r="R204" s="97"/>
      <c r="S204" s="97"/>
      <c r="T204" s="97"/>
      <c r="U204" s="97"/>
      <c r="V204" s="97"/>
      <c r="W204" s="97"/>
      <c r="X204" s="97"/>
      <c r="Y204" s="16"/>
      <c r="AB204" s="16"/>
    </row>
    <row r="205" spans="3:28" x14ac:dyDescent="0.2">
      <c r="C205" s="47"/>
      <c r="D205" s="47"/>
      <c r="E205" s="47"/>
      <c r="F205" s="47"/>
      <c r="G205" s="47"/>
      <c r="H205" s="47"/>
      <c r="I205" s="47"/>
      <c r="J205" s="47"/>
      <c r="K205" s="47"/>
      <c r="L205" s="47"/>
      <c r="M205" s="97"/>
      <c r="N205" s="97"/>
      <c r="O205" s="97"/>
      <c r="P205" s="97"/>
      <c r="Q205" s="97"/>
      <c r="R205" s="97"/>
      <c r="S205" s="97"/>
      <c r="T205" s="97"/>
      <c r="U205" s="97"/>
      <c r="V205" s="97"/>
      <c r="W205" s="97"/>
      <c r="X205" s="97"/>
      <c r="Y205" s="16"/>
      <c r="AB205" s="16"/>
    </row>
    <row r="206" spans="3:28" x14ac:dyDescent="0.2">
      <c r="C206" s="47"/>
      <c r="D206" s="47"/>
      <c r="E206" s="47"/>
      <c r="F206" s="47"/>
      <c r="G206" s="47"/>
      <c r="H206" s="47"/>
      <c r="I206" s="47"/>
      <c r="J206" s="47"/>
      <c r="K206" s="47"/>
      <c r="L206" s="47"/>
      <c r="M206" s="97"/>
      <c r="N206" s="97"/>
      <c r="O206" s="97"/>
      <c r="P206" s="97"/>
      <c r="Q206" s="97"/>
      <c r="R206" s="97"/>
      <c r="S206" s="97"/>
      <c r="T206" s="97"/>
      <c r="U206" s="97"/>
      <c r="V206" s="97"/>
      <c r="W206" s="97"/>
      <c r="X206" s="97"/>
      <c r="Y206" s="16"/>
      <c r="AB206" s="16"/>
    </row>
    <row r="207" spans="3:28" x14ac:dyDescent="0.2">
      <c r="C207" s="47"/>
      <c r="D207" s="47"/>
      <c r="E207" s="47"/>
      <c r="F207" s="47"/>
      <c r="G207" s="47"/>
      <c r="H207" s="47"/>
      <c r="I207" s="47"/>
      <c r="J207" s="47"/>
      <c r="K207" s="47"/>
      <c r="L207" s="47"/>
      <c r="M207" s="97"/>
      <c r="N207" s="97"/>
      <c r="O207" s="97"/>
      <c r="P207" s="97"/>
      <c r="Q207" s="97"/>
      <c r="R207" s="97"/>
      <c r="S207" s="97"/>
      <c r="T207" s="97"/>
      <c r="U207" s="97"/>
      <c r="V207" s="97"/>
      <c r="W207" s="97"/>
      <c r="X207" s="97"/>
      <c r="Y207" s="16"/>
      <c r="AB207" s="16"/>
    </row>
    <row r="208" spans="3:28" x14ac:dyDescent="0.2">
      <c r="C208" s="47"/>
      <c r="D208" s="47"/>
      <c r="E208" s="47"/>
      <c r="F208" s="47"/>
      <c r="G208" s="47"/>
      <c r="H208" s="47"/>
      <c r="I208" s="47"/>
      <c r="J208" s="47"/>
      <c r="K208" s="47"/>
      <c r="L208" s="47"/>
      <c r="M208" s="97"/>
      <c r="N208" s="97"/>
      <c r="O208" s="97"/>
      <c r="P208" s="97"/>
      <c r="Q208" s="97"/>
      <c r="R208" s="97"/>
      <c r="S208" s="97"/>
      <c r="T208" s="97"/>
      <c r="U208" s="97"/>
      <c r="V208" s="97"/>
      <c r="W208" s="97"/>
      <c r="X208" s="97"/>
      <c r="Y208" s="16"/>
      <c r="AB208" s="16"/>
    </row>
    <row r="209" spans="3:28" x14ac:dyDescent="0.2">
      <c r="C209" s="47"/>
      <c r="D209" s="47"/>
      <c r="E209" s="47"/>
      <c r="F209" s="47"/>
      <c r="G209" s="47"/>
      <c r="H209" s="47"/>
      <c r="I209" s="47"/>
      <c r="J209" s="47"/>
      <c r="K209" s="47"/>
      <c r="L209" s="47"/>
      <c r="M209" s="97"/>
      <c r="N209" s="97"/>
      <c r="O209" s="97"/>
      <c r="P209" s="97"/>
      <c r="Q209" s="97"/>
      <c r="R209" s="97"/>
      <c r="S209" s="97"/>
      <c r="T209" s="97"/>
      <c r="U209" s="97"/>
      <c r="V209" s="97"/>
      <c r="W209" s="97"/>
      <c r="X209" s="97"/>
      <c r="Y209" s="16"/>
      <c r="AB209" s="16"/>
    </row>
    <row r="210" spans="3:28" x14ac:dyDescent="0.2">
      <c r="C210" s="47"/>
      <c r="D210" s="47"/>
      <c r="E210" s="47"/>
      <c r="F210" s="47"/>
      <c r="G210" s="47"/>
      <c r="H210" s="47"/>
      <c r="I210" s="47"/>
      <c r="J210" s="47"/>
      <c r="K210" s="47"/>
      <c r="L210" s="47"/>
      <c r="M210" s="97"/>
      <c r="N210" s="97"/>
      <c r="O210" s="97"/>
      <c r="P210" s="97"/>
      <c r="Q210" s="97"/>
      <c r="R210" s="97"/>
      <c r="S210" s="97"/>
      <c r="T210" s="97"/>
      <c r="U210" s="97"/>
      <c r="V210" s="97"/>
      <c r="W210" s="97"/>
      <c r="X210" s="97"/>
      <c r="Y210" s="16"/>
      <c r="AB210" s="16"/>
    </row>
    <row r="211" spans="3:28" x14ac:dyDescent="0.2">
      <c r="C211" s="47"/>
      <c r="D211" s="47"/>
      <c r="E211" s="47"/>
      <c r="F211" s="47"/>
      <c r="G211" s="47"/>
      <c r="H211" s="47"/>
      <c r="I211" s="47"/>
      <c r="J211" s="47"/>
      <c r="K211" s="47"/>
      <c r="L211" s="47"/>
      <c r="M211" s="97"/>
      <c r="N211" s="97"/>
      <c r="O211" s="97"/>
      <c r="P211" s="97"/>
      <c r="Q211" s="97"/>
      <c r="R211" s="97"/>
      <c r="S211" s="97"/>
      <c r="T211" s="97"/>
      <c r="U211" s="97"/>
      <c r="V211" s="97"/>
      <c r="W211" s="97"/>
      <c r="X211" s="97"/>
      <c r="Y211" s="16"/>
      <c r="AB211" s="16"/>
    </row>
    <row r="212" spans="3:28" x14ac:dyDescent="0.2">
      <c r="C212" s="47"/>
      <c r="D212" s="47"/>
      <c r="E212" s="47"/>
      <c r="F212" s="47"/>
      <c r="G212" s="47"/>
      <c r="H212" s="47"/>
      <c r="I212" s="47"/>
      <c r="J212" s="47"/>
      <c r="K212" s="47"/>
      <c r="L212" s="47"/>
      <c r="M212" s="97"/>
      <c r="N212" s="97"/>
      <c r="O212" s="97"/>
      <c r="P212" s="97"/>
      <c r="Q212" s="97"/>
      <c r="R212" s="97"/>
      <c r="S212" s="97"/>
      <c r="T212" s="97"/>
      <c r="U212" s="97"/>
      <c r="V212" s="97"/>
      <c r="W212" s="97"/>
      <c r="X212" s="97"/>
      <c r="Y212" s="16"/>
      <c r="AB212" s="16"/>
    </row>
    <row r="213" spans="3:28" x14ac:dyDescent="0.2">
      <c r="C213" s="47"/>
      <c r="D213" s="47"/>
      <c r="E213" s="47"/>
      <c r="F213" s="47"/>
      <c r="G213" s="47"/>
      <c r="H213" s="47"/>
      <c r="I213" s="47"/>
      <c r="J213" s="47"/>
      <c r="K213" s="47"/>
      <c r="L213" s="47"/>
      <c r="M213" s="97"/>
      <c r="N213" s="97"/>
      <c r="O213" s="97"/>
      <c r="P213" s="97"/>
      <c r="Q213" s="97"/>
      <c r="R213" s="97"/>
      <c r="S213" s="97"/>
      <c r="T213" s="97"/>
      <c r="U213" s="97"/>
      <c r="V213" s="97"/>
      <c r="W213" s="97"/>
      <c r="X213" s="97"/>
      <c r="Y213" s="16"/>
      <c r="AB213" s="16"/>
    </row>
    <row r="214" spans="3:28" x14ac:dyDescent="0.2">
      <c r="C214" s="47"/>
      <c r="D214" s="47"/>
      <c r="E214" s="47"/>
      <c r="F214" s="47"/>
      <c r="G214" s="47"/>
      <c r="H214" s="47"/>
      <c r="I214" s="47"/>
      <c r="J214" s="47"/>
      <c r="K214" s="47"/>
      <c r="L214" s="47"/>
      <c r="M214" s="97"/>
      <c r="N214" s="97"/>
      <c r="O214" s="97"/>
      <c r="P214" s="97"/>
      <c r="Q214" s="97"/>
      <c r="R214" s="97"/>
      <c r="S214" s="97"/>
      <c r="T214" s="97"/>
      <c r="U214" s="97"/>
      <c r="V214" s="97"/>
      <c r="W214" s="97"/>
      <c r="X214" s="97"/>
      <c r="Y214" s="16"/>
      <c r="AB214" s="16"/>
    </row>
    <row r="215" spans="3:28" x14ac:dyDescent="0.2">
      <c r="C215" s="47"/>
      <c r="D215" s="47"/>
      <c r="E215" s="47"/>
      <c r="F215" s="47"/>
      <c r="G215" s="47"/>
      <c r="H215" s="47"/>
      <c r="I215" s="47"/>
      <c r="J215" s="47"/>
      <c r="K215" s="47"/>
      <c r="L215" s="47"/>
      <c r="M215" s="97"/>
      <c r="N215" s="97"/>
      <c r="O215" s="97"/>
      <c r="P215" s="97"/>
      <c r="Q215" s="97"/>
      <c r="R215" s="97"/>
      <c r="S215" s="97"/>
      <c r="T215" s="97"/>
      <c r="U215" s="97"/>
      <c r="V215" s="97"/>
      <c r="W215" s="97"/>
      <c r="X215" s="97"/>
      <c r="Y215" s="16"/>
      <c r="AB215" s="16"/>
    </row>
    <row r="216" spans="3:28" x14ac:dyDescent="0.2">
      <c r="C216" s="47"/>
      <c r="D216" s="47"/>
      <c r="E216" s="47"/>
      <c r="F216" s="47"/>
      <c r="G216" s="47"/>
      <c r="H216" s="47"/>
      <c r="I216" s="47"/>
      <c r="J216" s="47"/>
      <c r="K216" s="47"/>
      <c r="L216" s="47"/>
      <c r="M216" s="97"/>
      <c r="N216" s="97"/>
      <c r="O216" s="97"/>
      <c r="P216" s="97"/>
      <c r="Q216" s="97"/>
      <c r="R216" s="97"/>
      <c r="S216" s="97"/>
      <c r="T216" s="97"/>
      <c r="U216" s="97"/>
      <c r="V216" s="97"/>
      <c r="W216" s="97"/>
      <c r="X216" s="97"/>
      <c r="Y216" s="16"/>
      <c r="AB216" s="16"/>
    </row>
    <row r="217" spans="3:28" x14ac:dyDescent="0.2">
      <c r="C217" s="47"/>
      <c r="D217" s="47"/>
      <c r="E217" s="47"/>
      <c r="F217" s="47"/>
      <c r="G217" s="47"/>
      <c r="H217" s="47"/>
      <c r="I217" s="47"/>
      <c r="J217" s="47"/>
      <c r="K217" s="47"/>
      <c r="L217" s="47"/>
      <c r="M217" s="97"/>
      <c r="N217" s="97"/>
      <c r="O217" s="97"/>
      <c r="P217" s="97"/>
      <c r="Q217" s="97"/>
      <c r="R217" s="97"/>
      <c r="S217" s="97"/>
      <c r="T217" s="97"/>
      <c r="U217" s="97"/>
      <c r="V217" s="97"/>
      <c r="W217" s="97"/>
      <c r="X217" s="97"/>
      <c r="Y217" s="16"/>
      <c r="AB217" s="16"/>
    </row>
    <row r="218" spans="3:28" x14ac:dyDescent="0.2">
      <c r="C218" s="47"/>
      <c r="D218" s="47"/>
      <c r="E218" s="47"/>
      <c r="F218" s="47"/>
      <c r="G218" s="47"/>
      <c r="H218" s="47"/>
      <c r="I218" s="47"/>
      <c r="J218" s="47"/>
      <c r="K218" s="47"/>
      <c r="L218" s="47"/>
      <c r="M218" s="97"/>
      <c r="N218" s="97"/>
      <c r="O218" s="97"/>
      <c r="P218" s="97"/>
      <c r="Q218" s="97"/>
      <c r="R218" s="97"/>
      <c r="S218" s="97"/>
      <c r="T218" s="97"/>
      <c r="U218" s="97"/>
      <c r="V218" s="97"/>
      <c r="W218" s="97"/>
      <c r="X218" s="97"/>
      <c r="Y218" s="16"/>
      <c r="AB218" s="16"/>
    </row>
    <row r="219" spans="3:28" x14ac:dyDescent="0.2">
      <c r="C219" s="47"/>
      <c r="D219" s="47"/>
      <c r="E219" s="47"/>
      <c r="F219" s="47"/>
      <c r="G219" s="47"/>
      <c r="H219" s="47"/>
      <c r="I219" s="47"/>
      <c r="J219" s="47"/>
      <c r="K219" s="47"/>
      <c r="L219" s="47"/>
      <c r="M219" s="97"/>
      <c r="N219" s="97"/>
      <c r="O219" s="97"/>
      <c r="P219" s="97"/>
      <c r="Q219" s="97"/>
      <c r="R219" s="97"/>
      <c r="S219" s="97"/>
      <c r="T219" s="97"/>
      <c r="U219" s="97"/>
      <c r="V219" s="97"/>
      <c r="W219" s="97"/>
      <c r="X219" s="97"/>
      <c r="Y219" s="16"/>
      <c r="AB219" s="16"/>
    </row>
    <row r="220" spans="3:28" x14ac:dyDescent="0.2">
      <c r="C220" s="47"/>
      <c r="D220" s="47"/>
      <c r="E220" s="47"/>
      <c r="F220" s="47"/>
      <c r="G220" s="47"/>
      <c r="H220" s="47"/>
      <c r="I220" s="47"/>
      <c r="J220" s="47"/>
      <c r="K220" s="47"/>
      <c r="L220" s="47"/>
      <c r="M220" s="97"/>
      <c r="N220" s="97"/>
      <c r="O220" s="97"/>
      <c r="P220" s="97"/>
      <c r="Q220" s="97"/>
      <c r="R220" s="97"/>
      <c r="S220" s="97"/>
      <c r="T220" s="97"/>
      <c r="U220" s="97"/>
      <c r="V220" s="97"/>
      <c r="W220" s="97"/>
      <c r="X220" s="97"/>
      <c r="Y220" s="16"/>
      <c r="AB220" s="16"/>
    </row>
    <row r="221" spans="3:28" x14ac:dyDescent="0.2">
      <c r="C221" s="47"/>
      <c r="D221" s="47"/>
      <c r="E221" s="47"/>
      <c r="F221" s="47"/>
      <c r="G221" s="47"/>
      <c r="H221" s="47"/>
      <c r="I221" s="47"/>
      <c r="J221" s="47"/>
      <c r="K221" s="47"/>
      <c r="L221" s="47"/>
      <c r="M221" s="97"/>
      <c r="N221" s="97"/>
      <c r="O221" s="97"/>
      <c r="P221" s="97"/>
      <c r="Q221" s="97"/>
      <c r="R221" s="97"/>
      <c r="S221" s="97"/>
      <c r="T221" s="97"/>
      <c r="U221" s="97"/>
      <c r="V221" s="97"/>
      <c r="W221" s="97"/>
      <c r="X221" s="97"/>
      <c r="Y221" s="16"/>
      <c r="AB221" s="16"/>
    </row>
    <row r="222" spans="3:28" x14ac:dyDescent="0.2">
      <c r="C222" s="47"/>
      <c r="D222" s="47"/>
      <c r="E222" s="47"/>
      <c r="F222" s="47"/>
      <c r="G222" s="47"/>
      <c r="H222" s="47"/>
      <c r="I222" s="47"/>
      <c r="J222" s="47"/>
      <c r="K222" s="47"/>
      <c r="L222" s="47"/>
      <c r="M222" s="97"/>
      <c r="N222" s="97"/>
      <c r="O222" s="97"/>
      <c r="P222" s="97"/>
      <c r="Q222" s="97"/>
      <c r="R222" s="97"/>
      <c r="S222" s="97"/>
      <c r="T222" s="97"/>
      <c r="U222" s="97"/>
      <c r="V222" s="97"/>
      <c r="W222" s="97"/>
      <c r="X222" s="97"/>
      <c r="Y222" s="16"/>
      <c r="AB222" s="16"/>
    </row>
    <row r="223" spans="3:28" x14ac:dyDescent="0.2">
      <c r="C223" s="47"/>
      <c r="D223" s="47"/>
      <c r="E223" s="47"/>
      <c r="F223" s="47"/>
      <c r="G223" s="47"/>
      <c r="H223" s="47"/>
      <c r="I223" s="47"/>
      <c r="J223" s="47"/>
      <c r="K223" s="47"/>
      <c r="L223" s="47"/>
      <c r="M223" s="97"/>
      <c r="N223" s="97"/>
      <c r="O223" s="97"/>
      <c r="P223" s="97"/>
      <c r="Q223" s="97"/>
      <c r="R223" s="97"/>
      <c r="S223" s="97"/>
      <c r="T223" s="97"/>
      <c r="U223" s="97"/>
      <c r="V223" s="97"/>
      <c r="W223" s="97"/>
      <c r="X223" s="97"/>
      <c r="Y223" s="16"/>
      <c r="AB223" s="16"/>
    </row>
    <row r="224" spans="3:28" x14ac:dyDescent="0.2">
      <c r="C224" s="47"/>
      <c r="D224" s="47"/>
      <c r="E224" s="47"/>
      <c r="F224" s="47"/>
      <c r="G224" s="47"/>
      <c r="H224" s="47"/>
      <c r="I224" s="47"/>
      <c r="J224" s="47"/>
      <c r="K224" s="47"/>
      <c r="L224" s="47"/>
      <c r="M224" s="97"/>
      <c r="N224" s="97"/>
      <c r="O224" s="97"/>
      <c r="P224" s="97"/>
      <c r="Q224" s="97"/>
      <c r="R224" s="97"/>
      <c r="S224" s="97"/>
      <c r="T224" s="97"/>
      <c r="U224" s="97"/>
      <c r="V224" s="97"/>
      <c r="W224" s="97"/>
      <c r="X224" s="97"/>
      <c r="Y224" s="16"/>
      <c r="AB224" s="16"/>
    </row>
    <row r="225" spans="3:28" x14ac:dyDescent="0.2">
      <c r="C225" s="47"/>
      <c r="D225" s="47"/>
      <c r="E225" s="47"/>
      <c r="F225" s="47"/>
      <c r="G225" s="47"/>
      <c r="H225" s="47"/>
      <c r="I225" s="47"/>
      <c r="J225" s="47"/>
      <c r="K225" s="47"/>
      <c r="L225" s="47"/>
      <c r="M225" s="97"/>
      <c r="N225" s="97"/>
      <c r="O225" s="97"/>
      <c r="P225" s="97"/>
      <c r="Q225" s="97"/>
      <c r="R225" s="97"/>
      <c r="S225" s="97"/>
      <c r="T225" s="97"/>
      <c r="U225" s="97"/>
      <c r="V225" s="97"/>
      <c r="W225" s="97"/>
      <c r="X225" s="97"/>
      <c r="Y225" s="16"/>
      <c r="AB225" s="16"/>
    </row>
    <row r="226" spans="3:28" x14ac:dyDescent="0.2">
      <c r="C226" s="47"/>
      <c r="D226" s="47"/>
      <c r="E226" s="47"/>
      <c r="F226" s="47"/>
      <c r="G226" s="47"/>
      <c r="H226" s="47"/>
      <c r="I226" s="47"/>
      <c r="J226" s="47"/>
      <c r="K226" s="47"/>
      <c r="L226" s="47"/>
      <c r="M226" s="97"/>
      <c r="N226" s="97"/>
      <c r="O226" s="97"/>
      <c r="P226" s="97"/>
      <c r="Q226" s="97"/>
      <c r="R226" s="97"/>
      <c r="S226" s="97"/>
      <c r="T226" s="97"/>
      <c r="U226" s="97"/>
      <c r="V226" s="97"/>
      <c r="W226" s="97"/>
      <c r="X226" s="97"/>
      <c r="Y226" s="16"/>
      <c r="AB226" s="16"/>
    </row>
    <row r="227" spans="3:28" x14ac:dyDescent="0.2">
      <c r="C227" s="47"/>
      <c r="D227" s="47"/>
      <c r="E227" s="47"/>
      <c r="F227" s="47"/>
      <c r="G227" s="47"/>
      <c r="H227" s="47"/>
      <c r="I227" s="47"/>
      <c r="J227" s="47"/>
      <c r="K227" s="47"/>
      <c r="L227" s="47"/>
      <c r="M227" s="97"/>
      <c r="N227" s="97"/>
      <c r="O227" s="97"/>
      <c r="P227" s="97"/>
      <c r="Q227" s="97"/>
      <c r="R227" s="97"/>
      <c r="S227" s="97"/>
      <c r="T227" s="97"/>
      <c r="U227" s="97"/>
      <c r="V227" s="97"/>
      <c r="W227" s="97"/>
      <c r="X227" s="97"/>
      <c r="Y227" s="16"/>
      <c r="AB227" s="16"/>
    </row>
    <row r="228" spans="3:28" x14ac:dyDescent="0.2">
      <c r="C228" s="47"/>
      <c r="D228" s="47"/>
      <c r="E228" s="47"/>
      <c r="F228" s="47"/>
      <c r="G228" s="47"/>
      <c r="H228" s="47"/>
      <c r="I228" s="47"/>
      <c r="J228" s="47"/>
      <c r="K228" s="47"/>
      <c r="L228" s="47"/>
      <c r="M228" s="97"/>
      <c r="N228" s="97"/>
      <c r="O228" s="97"/>
      <c r="P228" s="97"/>
      <c r="Q228" s="97"/>
      <c r="R228" s="97"/>
      <c r="S228" s="97"/>
      <c r="T228" s="97"/>
      <c r="U228" s="97"/>
      <c r="V228" s="97"/>
      <c r="W228" s="97"/>
      <c r="X228" s="97"/>
      <c r="Y228" s="16"/>
      <c r="AB228" s="16"/>
    </row>
    <row r="229" spans="3:28" x14ac:dyDescent="0.2">
      <c r="C229" s="47"/>
      <c r="D229" s="47"/>
      <c r="E229" s="47"/>
      <c r="F229" s="47"/>
      <c r="G229" s="47"/>
      <c r="H229" s="47"/>
      <c r="I229" s="47"/>
      <c r="J229" s="47"/>
      <c r="K229" s="47"/>
      <c r="L229" s="47"/>
      <c r="M229" s="97"/>
      <c r="N229" s="97"/>
      <c r="O229" s="97"/>
      <c r="P229" s="97"/>
      <c r="Q229" s="97"/>
      <c r="R229" s="97"/>
      <c r="S229" s="97"/>
      <c r="T229" s="97"/>
      <c r="U229" s="97"/>
      <c r="V229" s="97"/>
      <c r="W229" s="97"/>
      <c r="X229" s="97"/>
      <c r="Y229" s="16"/>
      <c r="AB229" s="16"/>
    </row>
    <row r="230" spans="3:28" x14ac:dyDescent="0.2">
      <c r="C230" s="47"/>
      <c r="D230" s="47"/>
      <c r="E230" s="47"/>
      <c r="F230" s="47"/>
      <c r="G230" s="47"/>
      <c r="H230" s="47"/>
      <c r="I230" s="47"/>
      <c r="J230" s="47"/>
      <c r="K230" s="47"/>
      <c r="L230" s="47"/>
      <c r="M230" s="97"/>
      <c r="N230" s="97"/>
      <c r="O230" s="97"/>
      <c r="P230" s="97"/>
      <c r="Q230" s="97"/>
      <c r="R230" s="97"/>
      <c r="S230" s="97"/>
      <c r="T230" s="97"/>
      <c r="U230" s="97"/>
      <c r="V230" s="97"/>
      <c r="W230" s="97"/>
      <c r="X230" s="97"/>
      <c r="Y230" s="16"/>
      <c r="AB230" s="16"/>
    </row>
    <row r="231" spans="3:28" x14ac:dyDescent="0.2">
      <c r="C231" s="47"/>
      <c r="D231" s="47"/>
      <c r="E231" s="47"/>
      <c r="F231" s="47"/>
      <c r="G231" s="47"/>
      <c r="H231" s="47"/>
      <c r="I231" s="47"/>
      <c r="J231" s="47"/>
      <c r="K231" s="47"/>
      <c r="L231" s="47"/>
      <c r="M231" s="97"/>
      <c r="N231" s="97"/>
      <c r="O231" s="97"/>
      <c r="P231" s="97"/>
      <c r="Q231" s="97"/>
      <c r="R231" s="97"/>
      <c r="S231" s="97"/>
      <c r="T231" s="97"/>
      <c r="U231" s="97"/>
      <c r="V231" s="97"/>
      <c r="W231" s="97"/>
      <c r="X231" s="97"/>
      <c r="Y231" s="16"/>
      <c r="AB231" s="16"/>
    </row>
    <row r="232" spans="3:28" x14ac:dyDescent="0.2">
      <c r="C232" s="47"/>
      <c r="D232" s="47"/>
      <c r="E232" s="47"/>
      <c r="F232" s="47"/>
      <c r="G232" s="47"/>
      <c r="H232" s="47"/>
      <c r="I232" s="47"/>
      <c r="J232" s="47"/>
      <c r="K232" s="47"/>
      <c r="L232" s="47"/>
      <c r="M232" s="97"/>
      <c r="N232" s="97"/>
      <c r="O232" s="97"/>
      <c r="P232" s="97"/>
      <c r="Q232" s="97"/>
      <c r="R232" s="97"/>
      <c r="S232" s="97"/>
      <c r="T232" s="97"/>
      <c r="U232" s="97"/>
      <c r="V232" s="97"/>
      <c r="W232" s="97"/>
      <c r="X232" s="97"/>
      <c r="Y232" s="16"/>
      <c r="AB232" s="16"/>
    </row>
    <row r="233" spans="3:28" x14ac:dyDescent="0.2">
      <c r="C233" s="47"/>
      <c r="D233" s="47"/>
      <c r="E233" s="47"/>
      <c r="F233" s="47"/>
      <c r="G233" s="47"/>
      <c r="H233" s="47"/>
      <c r="I233" s="47"/>
      <c r="J233" s="47"/>
      <c r="K233" s="47"/>
      <c r="L233" s="47"/>
      <c r="M233" s="97"/>
      <c r="N233" s="97"/>
      <c r="O233" s="97"/>
      <c r="P233" s="97"/>
      <c r="Q233" s="97"/>
      <c r="R233" s="97"/>
      <c r="S233" s="97"/>
      <c r="T233" s="97"/>
      <c r="U233" s="97"/>
      <c r="V233" s="97"/>
      <c r="W233" s="97"/>
      <c r="X233" s="97"/>
      <c r="Y233" s="16"/>
      <c r="AB233" s="16"/>
    </row>
    <row r="234" spans="3:28" x14ac:dyDescent="0.2">
      <c r="C234" s="47"/>
      <c r="D234" s="47"/>
      <c r="E234" s="47"/>
      <c r="F234" s="47"/>
      <c r="G234" s="47"/>
      <c r="H234" s="47"/>
      <c r="I234" s="47"/>
      <c r="J234" s="47"/>
      <c r="K234" s="47"/>
      <c r="L234" s="47"/>
      <c r="M234" s="97"/>
      <c r="N234" s="97"/>
      <c r="O234" s="97"/>
      <c r="P234" s="97"/>
      <c r="Q234" s="97"/>
      <c r="R234" s="97"/>
      <c r="S234" s="97"/>
      <c r="T234" s="97"/>
      <c r="U234" s="97"/>
      <c r="V234" s="97"/>
      <c r="W234" s="97"/>
      <c r="X234" s="97"/>
      <c r="Y234" s="16"/>
      <c r="AB234" s="16"/>
    </row>
    <row r="235" spans="3:28" x14ac:dyDescent="0.2">
      <c r="C235" s="47"/>
      <c r="D235" s="47"/>
      <c r="E235" s="47"/>
      <c r="F235" s="47"/>
      <c r="G235" s="47"/>
      <c r="H235" s="47"/>
      <c r="I235" s="47"/>
      <c r="J235" s="47"/>
      <c r="K235" s="47"/>
      <c r="L235" s="47"/>
      <c r="M235" s="97"/>
      <c r="N235" s="97"/>
      <c r="O235" s="97"/>
      <c r="P235" s="97"/>
      <c r="Q235" s="97"/>
      <c r="R235" s="97"/>
      <c r="S235" s="97"/>
      <c r="T235" s="97"/>
      <c r="U235" s="97"/>
      <c r="V235" s="97"/>
      <c r="W235" s="97"/>
      <c r="X235" s="97"/>
      <c r="Y235" s="16"/>
      <c r="AB235" s="16"/>
    </row>
    <row r="236" spans="3:28" x14ac:dyDescent="0.2">
      <c r="C236" s="47"/>
      <c r="D236" s="47"/>
      <c r="E236" s="47"/>
      <c r="F236" s="47"/>
      <c r="G236" s="47"/>
      <c r="H236" s="47"/>
      <c r="I236" s="47"/>
      <c r="J236" s="47"/>
      <c r="K236" s="47"/>
      <c r="L236" s="47"/>
      <c r="M236" s="97"/>
      <c r="N236" s="97"/>
      <c r="O236" s="97"/>
      <c r="P236" s="97"/>
      <c r="Q236" s="97"/>
      <c r="R236" s="97"/>
      <c r="S236" s="97"/>
      <c r="T236" s="97"/>
      <c r="U236" s="97"/>
      <c r="V236" s="97"/>
      <c r="W236" s="97"/>
      <c r="X236" s="97"/>
      <c r="Y236" s="16"/>
      <c r="AB236" s="16"/>
    </row>
    <row r="237" spans="3:28" x14ac:dyDescent="0.2">
      <c r="C237" s="47"/>
      <c r="D237" s="47"/>
      <c r="E237" s="47"/>
      <c r="F237" s="47"/>
      <c r="G237" s="47"/>
      <c r="H237" s="47"/>
      <c r="I237" s="47"/>
      <c r="J237" s="47"/>
      <c r="K237" s="47"/>
      <c r="L237" s="47"/>
      <c r="M237" s="97"/>
      <c r="N237" s="97"/>
      <c r="O237" s="97"/>
      <c r="P237" s="97"/>
      <c r="Q237" s="97"/>
      <c r="R237" s="97"/>
      <c r="S237" s="97"/>
      <c r="T237" s="97"/>
      <c r="U237" s="97"/>
      <c r="V237" s="97"/>
      <c r="W237" s="97"/>
      <c r="X237" s="97"/>
      <c r="Y237" s="16"/>
      <c r="AB237" s="16"/>
    </row>
    <row r="238" spans="3:28" x14ac:dyDescent="0.2">
      <c r="C238" s="47"/>
      <c r="D238" s="47"/>
      <c r="E238" s="47"/>
      <c r="F238" s="47"/>
      <c r="G238" s="47"/>
      <c r="H238" s="47"/>
      <c r="I238" s="47"/>
      <c r="J238" s="47"/>
      <c r="K238" s="47"/>
      <c r="L238" s="47"/>
      <c r="M238" s="97"/>
      <c r="N238" s="97"/>
      <c r="O238" s="97"/>
      <c r="P238" s="97"/>
      <c r="Q238" s="97"/>
      <c r="R238" s="97"/>
      <c r="S238" s="97"/>
      <c r="T238" s="97"/>
      <c r="U238" s="97"/>
      <c r="V238" s="97"/>
      <c r="W238" s="97"/>
      <c r="X238" s="97"/>
      <c r="Y238" s="16"/>
      <c r="AB238" s="16"/>
    </row>
    <row r="239" spans="3:28" x14ac:dyDescent="0.2">
      <c r="C239" s="47"/>
      <c r="D239" s="47"/>
      <c r="E239" s="47"/>
      <c r="F239" s="47"/>
      <c r="G239" s="47"/>
      <c r="H239" s="47"/>
      <c r="I239" s="47"/>
      <c r="J239" s="47"/>
      <c r="K239" s="47"/>
      <c r="L239" s="47"/>
      <c r="M239" s="97"/>
      <c r="N239" s="97"/>
      <c r="O239" s="97"/>
      <c r="P239" s="97"/>
      <c r="Q239" s="97"/>
      <c r="R239" s="97"/>
      <c r="S239" s="97"/>
      <c r="T239" s="97"/>
      <c r="U239" s="97"/>
      <c r="V239" s="97"/>
      <c r="W239" s="97"/>
      <c r="X239" s="97"/>
      <c r="Y239" s="16"/>
      <c r="AB239" s="16"/>
    </row>
    <row r="240" spans="3:28" x14ac:dyDescent="0.2">
      <c r="C240" s="47"/>
      <c r="D240" s="47"/>
      <c r="E240" s="47"/>
      <c r="F240" s="47"/>
      <c r="G240" s="47"/>
      <c r="H240" s="47"/>
      <c r="I240" s="47"/>
      <c r="J240" s="47"/>
      <c r="K240" s="47"/>
      <c r="L240" s="47"/>
      <c r="M240" s="97"/>
      <c r="N240" s="97"/>
      <c r="O240" s="97"/>
      <c r="P240" s="97"/>
      <c r="Q240" s="97"/>
      <c r="R240" s="97"/>
      <c r="S240" s="97"/>
      <c r="T240" s="97"/>
      <c r="U240" s="97"/>
      <c r="V240" s="97"/>
      <c r="W240" s="97"/>
      <c r="X240" s="97"/>
      <c r="Y240" s="16"/>
      <c r="AB240" s="16"/>
    </row>
    <row r="241" spans="3:28" x14ac:dyDescent="0.2">
      <c r="C241" s="47"/>
      <c r="D241" s="47"/>
      <c r="E241" s="47"/>
      <c r="F241" s="47"/>
      <c r="G241" s="47"/>
      <c r="H241" s="47"/>
      <c r="I241" s="47"/>
      <c r="J241" s="47"/>
      <c r="K241" s="47"/>
      <c r="L241" s="47"/>
      <c r="M241" s="97"/>
      <c r="N241" s="97"/>
      <c r="O241" s="97"/>
      <c r="P241" s="97"/>
      <c r="Q241" s="97"/>
      <c r="R241" s="97"/>
      <c r="S241" s="97"/>
      <c r="T241" s="97"/>
      <c r="U241" s="97"/>
      <c r="V241" s="97"/>
      <c r="W241" s="97"/>
      <c r="X241" s="97"/>
      <c r="Y241" s="16"/>
      <c r="AB241" s="16"/>
    </row>
    <row r="242" spans="3:28" x14ac:dyDescent="0.2">
      <c r="Y242" s="16"/>
      <c r="AB242" s="16"/>
    </row>
    <row r="243" spans="3:28" x14ac:dyDescent="0.2">
      <c r="Y243" s="16"/>
      <c r="AB243" s="16"/>
    </row>
    <row r="244" spans="3:28" x14ac:dyDescent="0.2">
      <c r="Y244" s="16"/>
      <c r="AB244" s="16"/>
    </row>
    <row r="245" spans="3:28" x14ac:dyDescent="0.2">
      <c r="Y245" s="16"/>
      <c r="AB245" s="16"/>
    </row>
    <row r="246" spans="3:28" x14ac:dyDescent="0.2">
      <c r="Y246" s="16"/>
      <c r="AB246" s="16"/>
    </row>
    <row r="247" spans="3:28" x14ac:dyDescent="0.2">
      <c r="Y247" s="16"/>
      <c r="AB247" s="16"/>
    </row>
    <row r="248" spans="3:28" x14ac:dyDescent="0.2">
      <c r="Y248" s="16"/>
      <c r="AB248" s="16"/>
    </row>
    <row r="249" spans="3:28" x14ac:dyDescent="0.2">
      <c r="Y249" s="16"/>
      <c r="AB249" s="16"/>
    </row>
    <row r="250" spans="3:28" x14ac:dyDescent="0.2">
      <c r="Y250" s="16"/>
      <c r="AB250" s="16"/>
    </row>
    <row r="251" spans="3:28" x14ac:dyDescent="0.2">
      <c r="Y251" s="16"/>
      <c r="AB251" s="16"/>
    </row>
    <row r="252" spans="3:28" x14ac:dyDescent="0.2">
      <c r="Y252" s="16"/>
      <c r="AB252" s="16"/>
    </row>
    <row r="253" spans="3:28" x14ac:dyDescent="0.2">
      <c r="Y253" s="16"/>
      <c r="AB253" s="16"/>
    </row>
    <row r="254" spans="3:28" x14ac:dyDescent="0.2">
      <c r="Y254" s="16"/>
      <c r="AB254" s="16"/>
    </row>
    <row r="255" spans="3:28" x14ac:dyDescent="0.2">
      <c r="Y255" s="16"/>
      <c r="AB255" s="16"/>
    </row>
    <row r="256" spans="3:28" x14ac:dyDescent="0.2">
      <c r="Y256" s="16"/>
      <c r="AB256" s="16"/>
    </row>
    <row r="257" spans="25:28" x14ac:dyDescent="0.2">
      <c r="Y257" s="16"/>
      <c r="AB257" s="16"/>
    </row>
    <row r="258" spans="25:28" x14ac:dyDescent="0.2">
      <c r="Y258" s="16"/>
      <c r="AB258" s="16"/>
    </row>
    <row r="259" spans="25:28" x14ac:dyDescent="0.2">
      <c r="Y259" s="16"/>
      <c r="AB259" s="16"/>
    </row>
    <row r="260" spans="25:28" x14ac:dyDescent="0.2">
      <c r="Y260" s="16"/>
      <c r="AB260" s="16"/>
    </row>
    <row r="261" spans="25:28" x14ac:dyDescent="0.2">
      <c r="Y261" s="16"/>
      <c r="AB261" s="16"/>
    </row>
    <row r="262" spans="25:28" x14ac:dyDescent="0.2">
      <c r="Y262" s="16"/>
      <c r="AB262" s="16"/>
    </row>
    <row r="263" spans="25:28" x14ac:dyDescent="0.2">
      <c r="Y263" s="16"/>
      <c r="AB263" s="16"/>
    </row>
    <row r="264" spans="25:28" x14ac:dyDescent="0.2">
      <c r="Y264" s="16"/>
      <c r="AB264" s="16"/>
    </row>
    <row r="265" spans="25:28" x14ac:dyDescent="0.2">
      <c r="Y265" s="16"/>
      <c r="AB265" s="16"/>
    </row>
    <row r="266" spans="25:28" x14ac:dyDescent="0.2">
      <c r="Y266" s="16"/>
      <c r="AB266" s="16"/>
    </row>
    <row r="267" spans="25:28" x14ac:dyDescent="0.2">
      <c r="Y267" s="16"/>
      <c r="AB267" s="16"/>
    </row>
    <row r="268" spans="25:28" x14ac:dyDescent="0.2">
      <c r="Y268" s="16"/>
      <c r="AB268" s="16"/>
    </row>
    <row r="269" spans="25:28" x14ac:dyDescent="0.2">
      <c r="Y269" s="16"/>
      <c r="AB269" s="16"/>
    </row>
    <row r="270" spans="25:28" x14ac:dyDescent="0.2">
      <c r="Y270" s="16"/>
      <c r="AB270" s="16"/>
    </row>
    <row r="271" spans="25:28" x14ac:dyDescent="0.2">
      <c r="Y271" s="16"/>
      <c r="AB271" s="16"/>
    </row>
    <row r="272" spans="25:28" x14ac:dyDescent="0.2">
      <c r="Y272" s="16"/>
      <c r="AB272" s="16"/>
    </row>
    <row r="273" spans="25:28" x14ac:dyDescent="0.2">
      <c r="Y273" s="16"/>
      <c r="AB273" s="16"/>
    </row>
    <row r="274" spans="25:28" x14ac:dyDescent="0.2">
      <c r="Y274" s="16"/>
      <c r="AB274" s="16"/>
    </row>
    <row r="275" spans="25:28" x14ac:dyDescent="0.2">
      <c r="Y275" s="16"/>
      <c r="AB275" s="16"/>
    </row>
    <row r="276" spans="25:28" x14ac:dyDescent="0.2">
      <c r="Y276" s="16"/>
      <c r="AB276" s="16"/>
    </row>
    <row r="277" spans="25:28" x14ac:dyDescent="0.2">
      <c r="Y277" s="16"/>
      <c r="AB277" s="16"/>
    </row>
    <row r="278" spans="25:28" x14ac:dyDescent="0.2">
      <c r="Y278" s="16"/>
      <c r="AB278" s="16"/>
    </row>
    <row r="279" spans="25:28" x14ac:dyDescent="0.2">
      <c r="Y279" s="16"/>
      <c r="AB279" s="16"/>
    </row>
    <row r="280" spans="25:28" x14ac:dyDescent="0.2">
      <c r="Y280" s="16"/>
      <c r="AB280" s="16"/>
    </row>
    <row r="281" spans="25:28" x14ac:dyDescent="0.2">
      <c r="Y281" s="16"/>
      <c r="AB281" s="16"/>
    </row>
    <row r="282" spans="25:28" x14ac:dyDescent="0.2">
      <c r="Y282" s="16"/>
      <c r="AB282" s="16"/>
    </row>
    <row r="283" spans="25:28" x14ac:dyDescent="0.2">
      <c r="Y283" s="16"/>
      <c r="AB283" s="16"/>
    </row>
    <row r="284" spans="25:28" x14ac:dyDescent="0.2">
      <c r="Y284" s="16"/>
      <c r="AB284" s="16"/>
    </row>
    <row r="285" spans="25:28" x14ac:dyDescent="0.2">
      <c r="Y285" s="16"/>
      <c r="AB285" s="16"/>
    </row>
    <row r="286" spans="25:28" x14ac:dyDescent="0.2">
      <c r="Y286" s="16"/>
      <c r="AB286" s="16"/>
    </row>
    <row r="287" spans="25:28" x14ac:dyDescent="0.2">
      <c r="Y287" s="16"/>
      <c r="AB287" s="16"/>
    </row>
    <row r="288" spans="25:28" x14ac:dyDescent="0.2">
      <c r="Y288" s="16"/>
      <c r="AB288" s="16"/>
    </row>
    <row r="289" spans="25:28" x14ac:dyDescent="0.2">
      <c r="Y289" s="16"/>
      <c r="AB289" s="16"/>
    </row>
    <row r="290" spans="25:28" x14ac:dyDescent="0.2">
      <c r="Y290" s="16"/>
    </row>
    <row r="291" spans="25:28" x14ac:dyDescent="0.2">
      <c r="Y291" s="16"/>
    </row>
    <row r="292" spans="25:28" x14ac:dyDescent="0.2">
      <c r="Y292" s="16"/>
    </row>
    <row r="293" spans="25:28" x14ac:dyDescent="0.2">
      <c r="Y293" s="16"/>
    </row>
    <row r="294" spans="25:28" x14ac:dyDescent="0.2">
      <c r="Y294" s="16"/>
    </row>
    <row r="295" spans="25:28" x14ac:dyDescent="0.2">
      <c r="Y295" s="16"/>
    </row>
    <row r="296" spans="25:28" x14ac:dyDescent="0.2">
      <c r="Y296" s="16"/>
    </row>
    <row r="297" spans="25:28" x14ac:dyDescent="0.2">
      <c r="Y297" s="16"/>
    </row>
    <row r="298" spans="25:28" x14ac:dyDescent="0.2">
      <c r="Y298" s="16"/>
    </row>
    <row r="299" spans="25:28" x14ac:dyDescent="0.2">
      <c r="Y299" s="16"/>
    </row>
    <row r="300" spans="25:28" x14ac:dyDescent="0.2">
      <c r="Y300" s="16"/>
    </row>
    <row r="301" spans="25:28" x14ac:dyDescent="0.2">
      <c r="Y301" s="16"/>
    </row>
    <row r="302" spans="25:28" x14ac:dyDescent="0.2">
      <c r="Y302" s="16"/>
    </row>
    <row r="303" spans="25:28" x14ac:dyDescent="0.2">
      <c r="Y303" s="16"/>
    </row>
    <row r="304" spans="25:28" x14ac:dyDescent="0.2">
      <c r="Y304" s="16"/>
    </row>
    <row r="305" spans="25:25" x14ac:dyDescent="0.2">
      <c r="Y305" s="16"/>
    </row>
    <row r="306" spans="25:25" x14ac:dyDescent="0.2">
      <c r="Y306" s="16"/>
    </row>
    <row r="307" spans="25:25" x14ac:dyDescent="0.2">
      <c r="Y307" s="16"/>
    </row>
    <row r="308" spans="25:25" x14ac:dyDescent="0.2">
      <c r="Y308" s="16"/>
    </row>
    <row r="309" spans="25:25" x14ac:dyDescent="0.2">
      <c r="Y309" s="16"/>
    </row>
    <row r="310" spans="25:25" x14ac:dyDescent="0.2">
      <c r="Y310" s="16"/>
    </row>
    <row r="311" spans="25:25" x14ac:dyDescent="0.2">
      <c r="Y311" s="16"/>
    </row>
    <row r="312" spans="25:25" x14ac:dyDescent="0.2">
      <c r="Y312" s="16"/>
    </row>
    <row r="313" spans="25:25" x14ac:dyDescent="0.2">
      <c r="Y313" s="16"/>
    </row>
    <row r="314" spans="25:25" x14ac:dyDescent="0.2">
      <c r="Y314" s="16"/>
    </row>
    <row r="315" spans="25:25" x14ac:dyDescent="0.2">
      <c r="Y315" s="16"/>
    </row>
    <row r="316" spans="25:25" x14ac:dyDescent="0.2">
      <c r="Y316" s="16"/>
    </row>
    <row r="317" spans="25:25" x14ac:dyDescent="0.2">
      <c r="Y317" s="16"/>
    </row>
    <row r="318" spans="25:25" x14ac:dyDescent="0.2">
      <c r="Y318" s="16"/>
    </row>
    <row r="319" spans="25:25" x14ac:dyDescent="0.2">
      <c r="Y319" s="16"/>
    </row>
    <row r="320" spans="25:25" x14ac:dyDescent="0.2">
      <c r="Y320" s="16"/>
    </row>
    <row r="321" spans="25:25" x14ac:dyDescent="0.2">
      <c r="Y321" s="16"/>
    </row>
    <row r="322" spans="25:25" x14ac:dyDescent="0.2">
      <c r="Y322" s="16"/>
    </row>
    <row r="323" spans="25:25" x14ac:dyDescent="0.2">
      <c r="Y323" s="16"/>
    </row>
    <row r="324" spans="25:25" x14ac:dyDescent="0.2">
      <c r="Y324" s="16"/>
    </row>
    <row r="325" spans="25:25" x14ac:dyDescent="0.2">
      <c r="Y325" s="16"/>
    </row>
    <row r="326" spans="25:25" x14ac:dyDescent="0.2">
      <c r="Y326" s="16"/>
    </row>
    <row r="327" spans="25:25" x14ac:dyDescent="0.2">
      <c r="Y327" s="16"/>
    </row>
    <row r="328" spans="25:25" x14ac:dyDescent="0.2">
      <c r="Y328" s="16"/>
    </row>
    <row r="329" spans="25:25" x14ac:dyDescent="0.2">
      <c r="Y329" s="16"/>
    </row>
    <row r="330" spans="25:25" x14ac:dyDescent="0.2">
      <c r="Y330" s="16"/>
    </row>
    <row r="331" spans="25:25" x14ac:dyDescent="0.2">
      <c r="Y331" s="16"/>
    </row>
    <row r="332" spans="25:25" x14ac:dyDescent="0.2">
      <c r="Y332" s="16"/>
    </row>
    <row r="333" spans="25:25" x14ac:dyDescent="0.2">
      <c r="Y333" s="16"/>
    </row>
    <row r="334" spans="25:25" x14ac:dyDescent="0.2">
      <c r="Y334" s="16"/>
    </row>
    <row r="335" spans="25:25" x14ac:dyDescent="0.2">
      <c r="Y335" s="16"/>
    </row>
    <row r="336" spans="25:25" x14ac:dyDescent="0.2">
      <c r="Y336" s="16"/>
    </row>
    <row r="337" spans="25:25" x14ac:dyDescent="0.2">
      <c r="Y337" s="16"/>
    </row>
    <row r="338" spans="25:25" x14ac:dyDescent="0.2">
      <c r="Y338" s="16"/>
    </row>
    <row r="339" spans="25:25" x14ac:dyDescent="0.2">
      <c r="Y339" s="16"/>
    </row>
    <row r="340" spans="25:25" x14ac:dyDescent="0.2">
      <c r="Y340" s="16"/>
    </row>
    <row r="341" spans="25:25" x14ac:dyDescent="0.2">
      <c r="Y341" s="16"/>
    </row>
    <row r="342" spans="25:25" x14ac:dyDescent="0.2">
      <c r="Y342" s="16"/>
    </row>
    <row r="343" spans="25:25" x14ac:dyDescent="0.2">
      <c r="Y343" s="16"/>
    </row>
    <row r="344" spans="25:25" x14ac:dyDescent="0.2">
      <c r="Y344" s="16"/>
    </row>
    <row r="345" spans="25:25" x14ac:dyDescent="0.2">
      <c r="Y345" s="16"/>
    </row>
    <row r="346" spans="25:25" x14ac:dyDescent="0.2">
      <c r="Y346" s="16"/>
    </row>
    <row r="347" spans="25:25" x14ac:dyDescent="0.2">
      <c r="Y347" s="16"/>
    </row>
    <row r="348" spans="25:25" x14ac:dyDescent="0.2">
      <c r="Y348" s="16"/>
    </row>
    <row r="349" spans="25:25" x14ac:dyDescent="0.2">
      <c r="Y349" s="16"/>
    </row>
    <row r="350" spans="25:25" x14ac:dyDescent="0.2">
      <c r="Y350" s="16"/>
    </row>
    <row r="351" spans="25:25" x14ac:dyDescent="0.2">
      <c r="Y351" s="16"/>
    </row>
    <row r="352" spans="25:25" x14ac:dyDescent="0.2">
      <c r="Y352" s="16"/>
    </row>
    <row r="353" spans="25:25" x14ac:dyDescent="0.2">
      <c r="Y353" s="16"/>
    </row>
    <row r="354" spans="25:25" x14ac:dyDescent="0.2">
      <c r="Y354" s="16"/>
    </row>
    <row r="355" spans="25:25" x14ac:dyDescent="0.2">
      <c r="Y355" s="16"/>
    </row>
    <row r="356" spans="25:25" x14ac:dyDescent="0.2">
      <c r="Y356" s="16"/>
    </row>
    <row r="357" spans="25:25" x14ac:dyDescent="0.2">
      <c r="Y357" s="16"/>
    </row>
    <row r="358" spans="25:25" x14ac:dyDescent="0.2">
      <c r="Y358" s="16"/>
    </row>
    <row r="359" spans="25:25" x14ac:dyDescent="0.2">
      <c r="Y359" s="16"/>
    </row>
    <row r="360" spans="25:25" x14ac:dyDescent="0.2">
      <c r="Y360" s="16"/>
    </row>
    <row r="361" spans="25:25" x14ac:dyDescent="0.2">
      <c r="Y361" s="16"/>
    </row>
    <row r="362" spans="25:25" x14ac:dyDescent="0.2">
      <c r="Y362" s="16"/>
    </row>
    <row r="363" spans="25:25" x14ac:dyDescent="0.2">
      <c r="Y363" s="16"/>
    </row>
    <row r="364" spans="25:25" x14ac:dyDescent="0.2">
      <c r="Y364" s="16"/>
    </row>
    <row r="365" spans="25:25" x14ac:dyDescent="0.2">
      <c r="Y365" s="16"/>
    </row>
    <row r="366" spans="25:25" x14ac:dyDescent="0.2">
      <c r="Y366" s="16"/>
    </row>
    <row r="367" spans="25:25" x14ac:dyDescent="0.2">
      <c r="Y367" s="16"/>
    </row>
    <row r="368" spans="25:25" x14ac:dyDescent="0.2">
      <c r="Y368" s="16"/>
    </row>
    <row r="369" spans="25:25" x14ac:dyDescent="0.2">
      <c r="Y369" s="16"/>
    </row>
    <row r="370" spans="25:25" x14ac:dyDescent="0.2">
      <c r="Y370" s="16"/>
    </row>
    <row r="371" spans="25:25" x14ac:dyDescent="0.2">
      <c r="Y371" s="16"/>
    </row>
    <row r="372" spans="25:25" x14ac:dyDescent="0.2">
      <c r="Y372" s="16"/>
    </row>
    <row r="373" spans="25:25" x14ac:dyDescent="0.2">
      <c r="Y373" s="16"/>
    </row>
    <row r="374" spans="25:25" x14ac:dyDescent="0.2">
      <c r="Y374" s="16"/>
    </row>
    <row r="375" spans="25:25" x14ac:dyDescent="0.2">
      <c r="Y375" s="16"/>
    </row>
    <row r="376" spans="25:25" x14ac:dyDescent="0.2">
      <c r="Y376" s="16"/>
    </row>
    <row r="377" spans="25:25" x14ac:dyDescent="0.2">
      <c r="Y377" s="16"/>
    </row>
    <row r="378" spans="25:25" x14ac:dyDescent="0.2">
      <c r="Y378" s="16"/>
    </row>
    <row r="379" spans="25:25" x14ac:dyDescent="0.2">
      <c r="Y379" s="16"/>
    </row>
    <row r="380" spans="25:25" x14ac:dyDescent="0.2">
      <c r="Y380" s="16"/>
    </row>
    <row r="381" spans="25:25" x14ac:dyDescent="0.2">
      <c r="Y381" s="16"/>
    </row>
    <row r="382" spans="25:25" x14ac:dyDescent="0.2">
      <c r="Y382" s="16"/>
    </row>
    <row r="383" spans="25:25" x14ac:dyDescent="0.2">
      <c r="Y383" s="16"/>
    </row>
    <row r="384" spans="25:25" x14ac:dyDescent="0.2">
      <c r="Y384" s="16"/>
    </row>
    <row r="385" spans="25:25" x14ac:dyDescent="0.2">
      <c r="Y385" s="16"/>
    </row>
    <row r="386" spans="25:25" x14ac:dyDescent="0.2">
      <c r="Y386" s="16"/>
    </row>
    <row r="387" spans="25:25" x14ac:dyDescent="0.2">
      <c r="Y387" s="16"/>
    </row>
    <row r="388" spans="25:25" x14ac:dyDescent="0.2">
      <c r="Y388" s="16"/>
    </row>
    <row r="389" spans="25:25" x14ac:dyDescent="0.2">
      <c r="Y389" s="16"/>
    </row>
    <row r="390" spans="25:25" x14ac:dyDescent="0.2">
      <c r="Y390" s="16"/>
    </row>
    <row r="391" spans="25:25" x14ac:dyDescent="0.2">
      <c r="Y391" s="16"/>
    </row>
    <row r="392" spans="25:25" x14ac:dyDescent="0.2">
      <c r="Y392" s="16"/>
    </row>
    <row r="393" spans="25:25" x14ac:dyDescent="0.2">
      <c r="Y393" s="16"/>
    </row>
    <row r="394" spans="25:25" x14ac:dyDescent="0.2">
      <c r="Y394" s="16"/>
    </row>
    <row r="395" spans="25:25" x14ac:dyDescent="0.2">
      <c r="Y395" s="16"/>
    </row>
    <row r="396" spans="25:25" x14ac:dyDescent="0.2">
      <c r="Y396" s="16"/>
    </row>
    <row r="397" spans="25:25" x14ac:dyDescent="0.2">
      <c r="Y397" s="16"/>
    </row>
    <row r="398" spans="25:25" x14ac:dyDescent="0.2">
      <c r="Y398" s="16"/>
    </row>
    <row r="399" spans="25:25" x14ac:dyDescent="0.2">
      <c r="Y399" s="16"/>
    </row>
    <row r="400" spans="25:25" x14ac:dyDescent="0.2">
      <c r="Y400" s="16"/>
    </row>
    <row r="401" spans="25:25" x14ac:dyDescent="0.2">
      <c r="Y401" s="16"/>
    </row>
    <row r="402" spans="25:25" x14ac:dyDescent="0.2">
      <c r="Y402" s="16"/>
    </row>
    <row r="403" spans="25:25" x14ac:dyDescent="0.2">
      <c r="Y403" s="16"/>
    </row>
    <row r="404" spans="25:25" x14ac:dyDescent="0.2">
      <c r="Y404" s="16"/>
    </row>
    <row r="405" spans="25:25" x14ac:dyDescent="0.2">
      <c r="Y405" s="16"/>
    </row>
    <row r="406" spans="25:25" x14ac:dyDescent="0.2">
      <c r="Y406" s="16"/>
    </row>
    <row r="407" spans="25:25" x14ac:dyDescent="0.2">
      <c r="Y407" s="16"/>
    </row>
    <row r="408" spans="25:25" x14ac:dyDescent="0.2">
      <c r="Y408" s="16"/>
    </row>
    <row r="409" spans="25:25" x14ac:dyDescent="0.2">
      <c r="Y409" s="16"/>
    </row>
    <row r="410" spans="25:25" x14ac:dyDescent="0.2">
      <c r="Y410" s="16"/>
    </row>
    <row r="411" spans="25:25" x14ac:dyDescent="0.2">
      <c r="Y411" s="16"/>
    </row>
    <row r="412" spans="25:25" x14ac:dyDescent="0.2">
      <c r="Y412" s="16"/>
    </row>
    <row r="413" spans="25:25" x14ac:dyDescent="0.2">
      <c r="Y413" s="16"/>
    </row>
    <row r="414" spans="25:25" x14ac:dyDescent="0.2">
      <c r="Y414" s="16"/>
    </row>
    <row r="415" spans="25:25" x14ac:dyDescent="0.2">
      <c r="Y415" s="16"/>
    </row>
    <row r="416" spans="25:25" x14ac:dyDescent="0.2">
      <c r="Y416" s="16"/>
    </row>
    <row r="417" spans="25:25" x14ac:dyDescent="0.2">
      <c r="Y417" s="16"/>
    </row>
    <row r="418" spans="25:25" x14ac:dyDescent="0.2">
      <c r="Y418" s="16"/>
    </row>
    <row r="419" spans="25:25" x14ac:dyDescent="0.2">
      <c r="Y419" s="16"/>
    </row>
    <row r="420" spans="25:25" x14ac:dyDescent="0.2">
      <c r="Y420" s="16"/>
    </row>
    <row r="421" spans="25:25" x14ac:dyDescent="0.2">
      <c r="Y421" s="16"/>
    </row>
    <row r="422" spans="25:25" x14ac:dyDescent="0.2">
      <c r="Y422" s="16"/>
    </row>
    <row r="423" spans="25:25" x14ac:dyDescent="0.2">
      <c r="Y423" s="16"/>
    </row>
    <row r="424" spans="25:25" x14ac:dyDescent="0.2">
      <c r="Y424" s="16"/>
    </row>
    <row r="425" spans="25:25" x14ac:dyDescent="0.2">
      <c r="Y425" s="16"/>
    </row>
    <row r="426" spans="25:25" x14ac:dyDescent="0.2">
      <c r="Y426" s="16"/>
    </row>
    <row r="427" spans="25:25" x14ac:dyDescent="0.2">
      <c r="Y427" s="16"/>
    </row>
    <row r="428" spans="25:25" x14ac:dyDescent="0.2">
      <c r="Y428" s="16"/>
    </row>
    <row r="429" spans="25:25" x14ac:dyDescent="0.2">
      <c r="Y429" s="16"/>
    </row>
    <row r="430" spans="25:25" x14ac:dyDescent="0.2">
      <c r="Y430" s="16"/>
    </row>
    <row r="431" spans="25:25" x14ac:dyDescent="0.2">
      <c r="Y431" s="16"/>
    </row>
    <row r="432" spans="25:25" x14ac:dyDescent="0.2">
      <c r="Y432" s="16"/>
    </row>
    <row r="433" spans="25:25" x14ac:dyDescent="0.2">
      <c r="Y433" s="16"/>
    </row>
    <row r="434" spans="25:25" x14ac:dyDescent="0.2">
      <c r="Y434" s="16"/>
    </row>
    <row r="435" spans="25:25" x14ac:dyDescent="0.2">
      <c r="Y435" s="16"/>
    </row>
    <row r="436" spans="25:25" x14ac:dyDescent="0.2">
      <c r="Y436" s="16"/>
    </row>
    <row r="437" spans="25:25" x14ac:dyDescent="0.2">
      <c r="Y437" s="16"/>
    </row>
    <row r="438" spans="25:25" x14ac:dyDescent="0.2">
      <c r="Y438" s="16"/>
    </row>
    <row r="439" spans="25:25" x14ac:dyDescent="0.2">
      <c r="Y439" s="16"/>
    </row>
    <row r="440" spans="25:25" x14ac:dyDescent="0.2">
      <c r="Y440" s="16"/>
    </row>
    <row r="441" spans="25:25" x14ac:dyDescent="0.2">
      <c r="Y441" s="16"/>
    </row>
    <row r="442" spans="25:25" x14ac:dyDescent="0.2">
      <c r="Y442" s="16"/>
    </row>
    <row r="443" spans="25:25" x14ac:dyDescent="0.2">
      <c r="Y443" s="16"/>
    </row>
    <row r="444" spans="25:25" x14ac:dyDescent="0.2">
      <c r="Y444" s="16"/>
    </row>
    <row r="445" spans="25:25" x14ac:dyDescent="0.2">
      <c r="Y445" s="16"/>
    </row>
    <row r="446" spans="25:25" x14ac:dyDescent="0.2">
      <c r="Y446" s="16"/>
    </row>
    <row r="447" spans="25:25" x14ac:dyDescent="0.2">
      <c r="Y447" s="16"/>
    </row>
    <row r="448" spans="25:25" x14ac:dyDescent="0.2">
      <c r="Y448" s="16"/>
    </row>
    <row r="449" spans="25:25" x14ac:dyDescent="0.2">
      <c r="Y449" s="16"/>
    </row>
    <row r="450" spans="25:25" x14ac:dyDescent="0.2">
      <c r="Y450" s="16"/>
    </row>
    <row r="451" spans="25:25" x14ac:dyDescent="0.2">
      <c r="Y451" s="16"/>
    </row>
    <row r="452" spans="25:25" x14ac:dyDescent="0.2">
      <c r="Y452" s="16"/>
    </row>
    <row r="453" spans="25:25" x14ac:dyDescent="0.2">
      <c r="Y453" s="16"/>
    </row>
    <row r="454" spans="25:25" x14ac:dyDescent="0.2">
      <c r="Y454" s="16"/>
    </row>
    <row r="455" spans="25:25" x14ac:dyDescent="0.2">
      <c r="Y455" s="16"/>
    </row>
    <row r="456" spans="25:25" x14ac:dyDescent="0.2">
      <c r="Y456" s="16"/>
    </row>
    <row r="457" spans="25:25" x14ac:dyDescent="0.2">
      <c r="Y457" s="16"/>
    </row>
    <row r="458" spans="25:25" x14ac:dyDescent="0.2">
      <c r="Y458" s="16"/>
    </row>
    <row r="459" spans="25:25" x14ac:dyDescent="0.2">
      <c r="Y459" s="16"/>
    </row>
    <row r="460" spans="25:25" x14ac:dyDescent="0.2">
      <c r="Y460" s="16"/>
    </row>
    <row r="461" spans="25:25" x14ac:dyDescent="0.2">
      <c r="Y461" s="16"/>
    </row>
    <row r="462" spans="25:25" x14ac:dyDescent="0.2">
      <c r="Y462" s="16"/>
    </row>
    <row r="463" spans="25:25" x14ac:dyDescent="0.2">
      <c r="Y463" s="16"/>
    </row>
    <row r="464" spans="25:25" x14ac:dyDescent="0.2">
      <c r="Y464" s="16"/>
    </row>
    <row r="465" spans="25:25" x14ac:dyDescent="0.2">
      <c r="Y465" s="16"/>
    </row>
    <row r="466" spans="25:25" x14ac:dyDescent="0.2">
      <c r="Y466" s="16"/>
    </row>
    <row r="467" spans="25:25" x14ac:dyDescent="0.2">
      <c r="Y467" s="16"/>
    </row>
    <row r="468" spans="25:25" x14ac:dyDescent="0.2">
      <c r="Y468" s="16"/>
    </row>
    <row r="469" spans="25:25" x14ac:dyDescent="0.2">
      <c r="Y469" s="16"/>
    </row>
    <row r="470" spans="25:25" x14ac:dyDescent="0.2">
      <c r="Y470" s="16"/>
    </row>
    <row r="471" spans="25:25" x14ac:dyDescent="0.2">
      <c r="Y471" s="16"/>
    </row>
    <row r="472" spans="25:25" x14ac:dyDescent="0.2">
      <c r="Y472" s="16"/>
    </row>
    <row r="473" spans="25:25" x14ac:dyDescent="0.2">
      <c r="Y473" s="16"/>
    </row>
    <row r="474" spans="25:25" x14ac:dyDescent="0.2">
      <c r="Y474" s="16"/>
    </row>
    <row r="475" spans="25:25" x14ac:dyDescent="0.2">
      <c r="Y475" s="16"/>
    </row>
    <row r="476" spans="25:25" x14ac:dyDescent="0.2">
      <c r="Y476" s="16"/>
    </row>
    <row r="477" spans="25:25" x14ac:dyDescent="0.2">
      <c r="Y477" s="16"/>
    </row>
    <row r="478" spans="25:25" x14ac:dyDescent="0.2">
      <c r="Y478" s="16"/>
    </row>
    <row r="479" spans="25:25" x14ac:dyDescent="0.2">
      <c r="Y479" s="16"/>
    </row>
    <row r="480" spans="25:25" x14ac:dyDescent="0.2">
      <c r="Y480" s="16"/>
    </row>
    <row r="481" spans="25:25" x14ac:dyDescent="0.2">
      <c r="Y481" s="16"/>
    </row>
    <row r="482" spans="25:25" x14ac:dyDescent="0.2">
      <c r="Y482" s="16"/>
    </row>
    <row r="483" spans="25:25" x14ac:dyDescent="0.2">
      <c r="Y483" s="16"/>
    </row>
    <row r="484" spans="25:25" x14ac:dyDescent="0.2">
      <c r="Y484" s="16"/>
    </row>
    <row r="485" spans="25:25" x14ac:dyDescent="0.2">
      <c r="Y485" s="16"/>
    </row>
    <row r="486" spans="25:25" x14ac:dyDescent="0.2">
      <c r="Y486" s="16"/>
    </row>
    <row r="487" spans="25:25" x14ac:dyDescent="0.2">
      <c r="Y487" s="16"/>
    </row>
    <row r="488" spans="25:25" x14ac:dyDescent="0.2">
      <c r="Y488" s="16"/>
    </row>
    <row r="489" spans="25:25" x14ac:dyDescent="0.2">
      <c r="Y489" s="16"/>
    </row>
    <row r="490" spans="25:25" x14ac:dyDescent="0.2">
      <c r="Y490" s="16"/>
    </row>
    <row r="491" spans="25:25" x14ac:dyDescent="0.2">
      <c r="Y491" s="16"/>
    </row>
    <row r="492" spans="25:25" x14ac:dyDescent="0.2">
      <c r="Y492" s="16"/>
    </row>
    <row r="493" spans="25:25" x14ac:dyDescent="0.2">
      <c r="Y493" s="16"/>
    </row>
    <row r="494" spans="25:25" x14ac:dyDescent="0.2">
      <c r="Y494" s="16"/>
    </row>
    <row r="495" spans="25:25" x14ac:dyDescent="0.2">
      <c r="Y495" s="16"/>
    </row>
    <row r="496" spans="25:25" x14ac:dyDescent="0.2">
      <c r="Y496" s="16"/>
    </row>
    <row r="497" spans="25:25" x14ac:dyDescent="0.2">
      <c r="Y497" s="16"/>
    </row>
    <row r="498" spans="25:25" x14ac:dyDescent="0.2">
      <c r="Y498" s="16"/>
    </row>
    <row r="499" spans="25:25" x14ac:dyDescent="0.2">
      <c r="Y499" s="16"/>
    </row>
    <row r="500" spans="25:25" x14ac:dyDescent="0.2">
      <c r="Y500" s="16"/>
    </row>
    <row r="501" spans="25:25" x14ac:dyDescent="0.2">
      <c r="Y501" s="16"/>
    </row>
    <row r="502" spans="25:25" x14ac:dyDescent="0.2">
      <c r="Y502" s="16"/>
    </row>
    <row r="503" spans="25:25" x14ac:dyDescent="0.2">
      <c r="Y503" s="16"/>
    </row>
    <row r="504" spans="25:25" x14ac:dyDescent="0.2">
      <c r="Y504" s="16"/>
    </row>
    <row r="505" spans="25:25" x14ac:dyDescent="0.2">
      <c r="Y505" s="16"/>
    </row>
    <row r="506" spans="25:25" x14ac:dyDescent="0.2">
      <c r="Y506" s="16"/>
    </row>
    <row r="507" spans="25:25" x14ac:dyDescent="0.2">
      <c r="Y507" s="16"/>
    </row>
    <row r="508" spans="25:25" x14ac:dyDescent="0.2">
      <c r="Y508" s="16"/>
    </row>
    <row r="509" spans="25:25" x14ac:dyDescent="0.2">
      <c r="Y509" s="16"/>
    </row>
    <row r="510" spans="25:25" x14ac:dyDescent="0.2">
      <c r="Y510" s="16"/>
    </row>
    <row r="511" spans="25:25" x14ac:dyDescent="0.2">
      <c r="Y511" s="16"/>
    </row>
    <row r="512" spans="25:25" x14ac:dyDescent="0.2">
      <c r="Y512" s="16"/>
    </row>
    <row r="513" spans="25:25" x14ac:dyDescent="0.2">
      <c r="Y513" s="16"/>
    </row>
    <row r="514" spans="25:25" x14ac:dyDescent="0.2">
      <c r="Y514" s="16"/>
    </row>
    <row r="515" spans="25:25" x14ac:dyDescent="0.2">
      <c r="Y515" s="16"/>
    </row>
    <row r="516" spans="25:25" x14ac:dyDescent="0.2">
      <c r="Y516" s="16"/>
    </row>
    <row r="517" spans="25:25" x14ac:dyDescent="0.2">
      <c r="Y517" s="16"/>
    </row>
    <row r="518" spans="25:25" x14ac:dyDescent="0.2">
      <c r="Y518" s="16"/>
    </row>
    <row r="519" spans="25:25" x14ac:dyDescent="0.2">
      <c r="Y519" s="16"/>
    </row>
    <row r="520" spans="25:25" x14ac:dyDescent="0.2">
      <c r="Y520" s="16"/>
    </row>
    <row r="521" spans="25:25" x14ac:dyDescent="0.2">
      <c r="Y521" s="16"/>
    </row>
    <row r="522" spans="25:25" x14ac:dyDescent="0.2">
      <c r="Y522" s="16"/>
    </row>
    <row r="523" spans="25:25" x14ac:dyDescent="0.2">
      <c r="Y523" s="16"/>
    </row>
    <row r="524" spans="25:25" x14ac:dyDescent="0.2">
      <c r="Y524" s="16"/>
    </row>
    <row r="525" spans="25:25" x14ac:dyDescent="0.2">
      <c r="Y525" s="16"/>
    </row>
    <row r="526" spans="25:25" x14ac:dyDescent="0.2">
      <c r="Y526" s="16"/>
    </row>
    <row r="527" spans="25:25" x14ac:dyDescent="0.2">
      <c r="Y527" s="16"/>
    </row>
    <row r="528" spans="25:25" x14ac:dyDescent="0.2">
      <c r="Y528" s="16"/>
    </row>
    <row r="529" spans="25:25" x14ac:dyDescent="0.2">
      <c r="Y529" s="16"/>
    </row>
    <row r="530" spans="25:25" x14ac:dyDescent="0.2">
      <c r="Y530" s="16"/>
    </row>
    <row r="531" spans="25:25" x14ac:dyDescent="0.2">
      <c r="Y531" s="16"/>
    </row>
    <row r="532" spans="25:25" x14ac:dyDescent="0.2">
      <c r="Y532" s="16"/>
    </row>
    <row r="533" spans="25:25" x14ac:dyDescent="0.2">
      <c r="Y533" s="16"/>
    </row>
    <row r="534" spans="25:25" x14ac:dyDescent="0.2">
      <c r="Y534" s="16"/>
    </row>
    <row r="535" spans="25:25" x14ac:dyDescent="0.2">
      <c r="Y535" s="16"/>
    </row>
    <row r="536" spans="25:25" x14ac:dyDescent="0.2">
      <c r="Y536" s="16"/>
    </row>
    <row r="537" spans="25:25" x14ac:dyDescent="0.2">
      <c r="Y537" s="16"/>
    </row>
    <row r="538" spans="25:25" x14ac:dyDescent="0.2">
      <c r="Y538" s="16"/>
    </row>
    <row r="539" spans="25:25" x14ac:dyDescent="0.2">
      <c r="Y539" s="16"/>
    </row>
    <row r="540" spans="25:25" x14ac:dyDescent="0.2">
      <c r="Y540" s="16"/>
    </row>
    <row r="541" spans="25:25" x14ac:dyDescent="0.2">
      <c r="Y541" s="16"/>
    </row>
    <row r="542" spans="25:25" x14ac:dyDescent="0.2">
      <c r="Y542" s="16"/>
    </row>
    <row r="543" spans="25:25" x14ac:dyDescent="0.2">
      <c r="Y543" s="16"/>
    </row>
    <row r="544" spans="25:25" x14ac:dyDescent="0.2">
      <c r="Y544" s="16"/>
    </row>
    <row r="545" spans="25:25" x14ac:dyDescent="0.2">
      <c r="Y545" s="16"/>
    </row>
    <row r="546" spans="25:25" x14ac:dyDescent="0.2">
      <c r="Y546" s="16"/>
    </row>
    <row r="547" spans="25:25" x14ac:dyDescent="0.2">
      <c r="Y547" s="16"/>
    </row>
    <row r="548" spans="25:25" x14ac:dyDescent="0.2">
      <c r="Y548" s="16"/>
    </row>
    <row r="549" spans="25:25" x14ac:dyDescent="0.2">
      <c r="Y549" s="16"/>
    </row>
    <row r="550" spans="25:25" x14ac:dyDescent="0.2">
      <c r="Y550" s="16"/>
    </row>
    <row r="551" spans="25:25" x14ac:dyDescent="0.2">
      <c r="Y551" s="16"/>
    </row>
    <row r="552" spans="25:25" x14ac:dyDescent="0.2">
      <c r="Y552" s="16"/>
    </row>
    <row r="553" spans="25:25" x14ac:dyDescent="0.2">
      <c r="Y553" s="16"/>
    </row>
    <row r="554" spans="25:25" x14ac:dyDescent="0.2">
      <c r="Y554" s="16"/>
    </row>
    <row r="555" spans="25:25" x14ac:dyDescent="0.2">
      <c r="Y555" s="16"/>
    </row>
    <row r="556" spans="25:25" x14ac:dyDescent="0.2">
      <c r="Y556" s="16"/>
    </row>
    <row r="557" spans="25:25" x14ac:dyDescent="0.2">
      <c r="Y557" s="16"/>
    </row>
    <row r="558" spans="25:25" x14ac:dyDescent="0.2">
      <c r="Y558" s="16"/>
    </row>
    <row r="559" spans="25:25" x14ac:dyDescent="0.2">
      <c r="Y559" s="16"/>
    </row>
    <row r="560" spans="25:25" x14ac:dyDescent="0.2">
      <c r="Y560" s="16"/>
    </row>
    <row r="561" spans="25:25" x14ac:dyDescent="0.2">
      <c r="Y561" s="16"/>
    </row>
    <row r="562" spans="25:25" x14ac:dyDescent="0.2">
      <c r="Y562" s="16"/>
    </row>
    <row r="563" spans="25:25" x14ac:dyDescent="0.2">
      <c r="Y563" s="16"/>
    </row>
    <row r="564" spans="25:25" x14ac:dyDescent="0.2">
      <c r="Y564" s="16"/>
    </row>
    <row r="565" spans="25:25" x14ac:dyDescent="0.2">
      <c r="Y565" s="16"/>
    </row>
    <row r="566" spans="25:25" x14ac:dyDescent="0.2">
      <c r="Y566" s="16"/>
    </row>
    <row r="567" spans="25:25" x14ac:dyDescent="0.2">
      <c r="Y567" s="16"/>
    </row>
    <row r="568" spans="25:25" x14ac:dyDescent="0.2">
      <c r="Y568" s="16"/>
    </row>
    <row r="569" spans="25:25" x14ac:dyDescent="0.2">
      <c r="Y569" s="16"/>
    </row>
    <row r="570" spans="25:25" x14ac:dyDescent="0.2">
      <c r="Y570" s="16"/>
    </row>
    <row r="571" spans="25:25" x14ac:dyDescent="0.2">
      <c r="Y571" s="16"/>
    </row>
    <row r="572" spans="25:25" x14ac:dyDescent="0.2">
      <c r="Y572" s="16"/>
    </row>
    <row r="573" spans="25:25" x14ac:dyDescent="0.2">
      <c r="Y573" s="16"/>
    </row>
    <row r="574" spans="25:25" x14ac:dyDescent="0.2">
      <c r="Y574" s="16"/>
    </row>
    <row r="575" spans="25:25" x14ac:dyDescent="0.2">
      <c r="Y575" s="16"/>
    </row>
    <row r="576" spans="25:25" x14ac:dyDescent="0.2">
      <c r="Y576" s="16"/>
    </row>
    <row r="577" spans="25:25" x14ac:dyDescent="0.2">
      <c r="Y577" s="16"/>
    </row>
    <row r="578" spans="25:25" x14ac:dyDescent="0.2">
      <c r="Y578" s="16"/>
    </row>
    <row r="579" spans="25:25" x14ac:dyDescent="0.2">
      <c r="Y579" s="16"/>
    </row>
    <row r="580" spans="25:25" x14ac:dyDescent="0.2">
      <c r="Y580" s="16"/>
    </row>
    <row r="581" spans="25:25" x14ac:dyDescent="0.2">
      <c r="Y581" s="16"/>
    </row>
    <row r="582" spans="25:25" x14ac:dyDescent="0.2">
      <c r="Y582" s="16"/>
    </row>
    <row r="583" spans="25:25" x14ac:dyDescent="0.2">
      <c r="Y583" s="16"/>
    </row>
    <row r="584" spans="25:25" x14ac:dyDescent="0.2">
      <c r="Y584" s="16"/>
    </row>
    <row r="585" spans="25:25" x14ac:dyDescent="0.2">
      <c r="Y585" s="16"/>
    </row>
    <row r="586" spans="25:25" x14ac:dyDescent="0.2">
      <c r="Y586" s="16"/>
    </row>
    <row r="587" spans="25:25" x14ac:dyDescent="0.2">
      <c r="Y587" s="16"/>
    </row>
    <row r="588" spans="25:25" x14ac:dyDescent="0.2">
      <c r="Y588" s="16"/>
    </row>
    <row r="589" spans="25:25" x14ac:dyDescent="0.2">
      <c r="Y589" s="16"/>
    </row>
    <row r="590" spans="25:25" x14ac:dyDescent="0.2">
      <c r="Y590" s="16"/>
    </row>
    <row r="591" spans="25:25" x14ac:dyDescent="0.2">
      <c r="Y591" s="16"/>
    </row>
    <row r="592" spans="25:25" x14ac:dyDescent="0.2">
      <c r="Y592" s="16"/>
    </row>
    <row r="593" spans="25:25" x14ac:dyDescent="0.2">
      <c r="Y593" s="16"/>
    </row>
    <row r="594" spans="25:25" x14ac:dyDescent="0.2">
      <c r="Y594" s="16"/>
    </row>
    <row r="595" spans="25:25" x14ac:dyDescent="0.2">
      <c r="Y595" s="16"/>
    </row>
    <row r="596" spans="25:25" x14ac:dyDescent="0.2">
      <c r="Y596" s="16"/>
    </row>
    <row r="597" spans="25:25" x14ac:dyDescent="0.2">
      <c r="Y597" s="16"/>
    </row>
    <row r="598" spans="25:25" x14ac:dyDescent="0.2">
      <c r="Y598" s="16"/>
    </row>
    <row r="599" spans="25:25" x14ac:dyDescent="0.2">
      <c r="Y599" s="16"/>
    </row>
    <row r="600" spans="25:25" x14ac:dyDescent="0.2">
      <c r="Y600" s="16"/>
    </row>
    <row r="601" spans="25:25" x14ac:dyDescent="0.2">
      <c r="Y601" s="16"/>
    </row>
    <row r="602" spans="25:25" x14ac:dyDescent="0.2">
      <c r="Y602" s="16"/>
    </row>
    <row r="603" spans="25:25" x14ac:dyDescent="0.2">
      <c r="Y603" s="16"/>
    </row>
    <row r="604" spans="25:25" x14ac:dyDescent="0.2">
      <c r="Y604" s="16"/>
    </row>
    <row r="605" spans="25:25" x14ac:dyDescent="0.2">
      <c r="Y605" s="16"/>
    </row>
    <row r="606" spans="25:25" x14ac:dyDescent="0.2">
      <c r="Y606" s="16"/>
    </row>
    <row r="607" spans="25:25" x14ac:dyDescent="0.2">
      <c r="Y607" s="16"/>
    </row>
    <row r="608" spans="25:25" x14ac:dyDescent="0.2">
      <c r="Y608" s="16"/>
    </row>
    <row r="609" spans="25:25" x14ac:dyDescent="0.2">
      <c r="Y609" s="16"/>
    </row>
    <row r="610" spans="25:25" x14ac:dyDescent="0.2">
      <c r="Y610" s="16"/>
    </row>
    <row r="611" spans="25:25" x14ac:dyDescent="0.2">
      <c r="Y611" s="16"/>
    </row>
    <row r="612" spans="25:25" x14ac:dyDescent="0.2">
      <c r="Y612" s="16"/>
    </row>
    <row r="613" spans="25:25" x14ac:dyDescent="0.2">
      <c r="Y613" s="16"/>
    </row>
    <row r="614" spans="25:25" x14ac:dyDescent="0.2">
      <c r="Y614" s="16"/>
    </row>
    <row r="615" spans="25:25" x14ac:dyDescent="0.2">
      <c r="Y615" s="16"/>
    </row>
    <row r="616" spans="25:25" x14ac:dyDescent="0.2">
      <c r="Y616" s="16"/>
    </row>
    <row r="617" spans="25:25" x14ac:dyDescent="0.2">
      <c r="Y617" s="16"/>
    </row>
    <row r="618" spans="25:25" x14ac:dyDescent="0.2">
      <c r="Y618" s="16"/>
    </row>
    <row r="619" spans="25:25" x14ac:dyDescent="0.2">
      <c r="Y619" s="16"/>
    </row>
    <row r="620" spans="25:25" x14ac:dyDescent="0.2">
      <c r="Y620" s="16"/>
    </row>
    <row r="621" spans="25:25" x14ac:dyDescent="0.2">
      <c r="Y621" s="16"/>
    </row>
    <row r="622" spans="25:25" x14ac:dyDescent="0.2">
      <c r="Y622" s="16"/>
    </row>
    <row r="623" spans="25:25" x14ac:dyDescent="0.2">
      <c r="Y623" s="16"/>
    </row>
    <row r="624" spans="25:25" x14ac:dyDescent="0.2">
      <c r="Y624" s="16"/>
    </row>
    <row r="625" spans="25:25" x14ac:dyDescent="0.2">
      <c r="Y625" s="16"/>
    </row>
    <row r="626" spans="25:25" x14ac:dyDescent="0.2">
      <c r="Y626" s="16"/>
    </row>
    <row r="627" spans="25:25" x14ac:dyDescent="0.2">
      <c r="Y627" s="16"/>
    </row>
    <row r="628" spans="25:25" x14ac:dyDescent="0.2">
      <c r="Y628" s="16"/>
    </row>
    <row r="629" spans="25:25" x14ac:dyDescent="0.2">
      <c r="Y629" s="16"/>
    </row>
    <row r="630" spans="25:25" x14ac:dyDescent="0.2">
      <c r="Y630" s="16"/>
    </row>
    <row r="631" spans="25:25" x14ac:dyDescent="0.2">
      <c r="Y631" s="16"/>
    </row>
    <row r="632" spans="25:25" x14ac:dyDescent="0.2">
      <c r="Y632" s="16"/>
    </row>
    <row r="633" spans="25:25" x14ac:dyDescent="0.2">
      <c r="Y633" s="16"/>
    </row>
    <row r="634" spans="25:25" x14ac:dyDescent="0.2">
      <c r="Y634" s="16"/>
    </row>
    <row r="635" spans="25:25" x14ac:dyDescent="0.2">
      <c r="Y635" s="16"/>
    </row>
    <row r="636" spans="25:25" x14ac:dyDescent="0.2">
      <c r="Y636" s="16"/>
    </row>
    <row r="637" spans="25:25" x14ac:dyDescent="0.2">
      <c r="Y637" s="16"/>
    </row>
    <row r="638" spans="25:25" x14ac:dyDescent="0.2">
      <c r="Y638" s="16"/>
    </row>
    <row r="639" spans="25:25" x14ac:dyDescent="0.2">
      <c r="Y639" s="16"/>
    </row>
    <row r="640" spans="25:25" x14ac:dyDescent="0.2">
      <c r="Y640" s="16"/>
    </row>
    <row r="641" spans="25:25" x14ac:dyDescent="0.2">
      <c r="Y641" s="16"/>
    </row>
    <row r="642" spans="25:25" x14ac:dyDescent="0.2">
      <c r="Y642" s="16"/>
    </row>
    <row r="643" spans="25:25" x14ac:dyDescent="0.2">
      <c r="Y643" s="16"/>
    </row>
    <row r="644" spans="25:25" x14ac:dyDescent="0.2">
      <c r="Y644" s="16"/>
    </row>
    <row r="645" spans="25:25" x14ac:dyDescent="0.2">
      <c r="Y645" s="16"/>
    </row>
    <row r="646" spans="25:25" x14ac:dyDescent="0.2">
      <c r="Y646" s="16"/>
    </row>
    <row r="647" spans="25:25" x14ac:dyDescent="0.2">
      <c r="Y647" s="16"/>
    </row>
    <row r="648" spans="25:25" x14ac:dyDescent="0.2">
      <c r="Y648" s="16"/>
    </row>
    <row r="649" spans="25:25" x14ac:dyDescent="0.2">
      <c r="Y649" s="16"/>
    </row>
    <row r="650" spans="25:25" x14ac:dyDescent="0.2">
      <c r="Y650" s="16"/>
    </row>
    <row r="651" spans="25:25" x14ac:dyDescent="0.2">
      <c r="Y651" s="16"/>
    </row>
    <row r="652" spans="25:25" x14ac:dyDescent="0.2">
      <c r="Y652" s="16"/>
    </row>
    <row r="653" spans="25:25" x14ac:dyDescent="0.2">
      <c r="Y653" s="16"/>
    </row>
    <row r="654" spans="25:25" x14ac:dyDescent="0.2">
      <c r="Y654" s="16"/>
    </row>
    <row r="655" spans="25:25" x14ac:dyDescent="0.2">
      <c r="Y655" s="16"/>
    </row>
    <row r="656" spans="25:25" x14ac:dyDescent="0.2">
      <c r="Y656" s="16"/>
    </row>
    <row r="657" spans="25:25" x14ac:dyDescent="0.2">
      <c r="Y657" s="16"/>
    </row>
    <row r="658" spans="25:25" x14ac:dyDescent="0.2">
      <c r="Y658" s="16"/>
    </row>
    <row r="659" spans="25:25" x14ac:dyDescent="0.2">
      <c r="Y659" s="16"/>
    </row>
    <row r="660" spans="25:25" x14ac:dyDescent="0.2">
      <c r="Y660" s="16"/>
    </row>
    <row r="661" spans="25:25" x14ac:dyDescent="0.2">
      <c r="Y661" s="16"/>
    </row>
    <row r="662" spans="25:25" x14ac:dyDescent="0.2">
      <c r="Y662" s="16"/>
    </row>
    <row r="663" spans="25:25" x14ac:dyDescent="0.2">
      <c r="Y663" s="16"/>
    </row>
    <row r="664" spans="25:25" x14ac:dyDescent="0.2">
      <c r="Y664" s="16"/>
    </row>
    <row r="665" spans="25:25" x14ac:dyDescent="0.2">
      <c r="Y665" s="16"/>
    </row>
    <row r="666" spans="25:25" x14ac:dyDescent="0.2">
      <c r="Y666" s="16"/>
    </row>
    <row r="667" spans="25:25" x14ac:dyDescent="0.2">
      <c r="Y667" s="16"/>
    </row>
    <row r="668" spans="25:25" x14ac:dyDescent="0.2">
      <c r="Y668" s="16"/>
    </row>
    <row r="669" spans="25:25" x14ac:dyDescent="0.2">
      <c r="Y669" s="16"/>
    </row>
    <row r="670" spans="25:25" x14ac:dyDescent="0.2">
      <c r="Y670" s="16"/>
    </row>
    <row r="671" spans="25:25" x14ac:dyDescent="0.2">
      <c r="Y671" s="16"/>
    </row>
    <row r="672" spans="25:25" x14ac:dyDescent="0.2">
      <c r="Y672" s="16"/>
    </row>
    <row r="673" spans="25:25" x14ac:dyDescent="0.2">
      <c r="Y673" s="16"/>
    </row>
    <row r="674" spans="25:25" x14ac:dyDescent="0.2">
      <c r="Y674" s="16"/>
    </row>
    <row r="675" spans="25:25" x14ac:dyDescent="0.2">
      <c r="Y675" s="16"/>
    </row>
    <row r="676" spans="25:25" x14ac:dyDescent="0.2">
      <c r="Y676" s="16"/>
    </row>
    <row r="677" spans="25:25" x14ac:dyDescent="0.2">
      <c r="Y677" s="16"/>
    </row>
    <row r="678" spans="25:25" x14ac:dyDescent="0.2">
      <c r="Y678" s="16"/>
    </row>
    <row r="679" spans="25:25" x14ac:dyDescent="0.2">
      <c r="Y679" s="16"/>
    </row>
    <row r="680" spans="25:25" x14ac:dyDescent="0.2">
      <c r="Y680" s="16"/>
    </row>
    <row r="681" spans="25:25" x14ac:dyDescent="0.2">
      <c r="Y681" s="16"/>
    </row>
    <row r="682" spans="25:25" x14ac:dyDescent="0.2">
      <c r="Y682" s="16"/>
    </row>
    <row r="683" spans="25:25" x14ac:dyDescent="0.2">
      <c r="Y683" s="16"/>
    </row>
    <row r="684" spans="25:25" x14ac:dyDescent="0.2">
      <c r="Y684" s="16"/>
    </row>
    <row r="685" spans="25:25" x14ac:dyDescent="0.2">
      <c r="Y685" s="16"/>
    </row>
    <row r="686" spans="25:25" x14ac:dyDescent="0.2">
      <c r="Y686" s="16"/>
    </row>
    <row r="687" spans="25:25" x14ac:dyDescent="0.2">
      <c r="Y687" s="16"/>
    </row>
    <row r="688" spans="25:25" x14ac:dyDescent="0.2">
      <c r="Y688" s="16"/>
    </row>
    <row r="689" spans="25:25" x14ac:dyDescent="0.2">
      <c r="Y689" s="16"/>
    </row>
    <row r="690" spans="25:25" x14ac:dyDescent="0.2">
      <c r="Y690" s="16"/>
    </row>
    <row r="691" spans="25:25" x14ac:dyDescent="0.2">
      <c r="Y691" s="16"/>
    </row>
    <row r="692" spans="25:25" x14ac:dyDescent="0.2">
      <c r="Y692" s="16"/>
    </row>
    <row r="693" spans="25:25" x14ac:dyDescent="0.2">
      <c r="Y693" s="16"/>
    </row>
    <row r="694" spans="25:25" x14ac:dyDescent="0.2">
      <c r="Y694" s="16"/>
    </row>
    <row r="695" spans="25:25" x14ac:dyDescent="0.2">
      <c r="Y695" s="16"/>
    </row>
    <row r="696" spans="25:25" x14ac:dyDescent="0.2">
      <c r="Y696" s="16"/>
    </row>
    <row r="697" spans="25:25" x14ac:dyDescent="0.2">
      <c r="Y697" s="16"/>
    </row>
    <row r="698" spans="25:25" x14ac:dyDescent="0.2">
      <c r="Y698" s="16"/>
    </row>
    <row r="699" spans="25:25" x14ac:dyDescent="0.2">
      <c r="Y699" s="16"/>
    </row>
    <row r="700" spans="25:25" x14ac:dyDescent="0.2">
      <c r="Y700" s="16"/>
    </row>
    <row r="701" spans="25:25" x14ac:dyDescent="0.2">
      <c r="Y701" s="16"/>
    </row>
    <row r="702" spans="25:25" x14ac:dyDescent="0.2">
      <c r="Y702" s="16"/>
    </row>
    <row r="703" spans="25:25" x14ac:dyDescent="0.2">
      <c r="Y703" s="16"/>
    </row>
    <row r="704" spans="25:25" x14ac:dyDescent="0.2">
      <c r="Y704" s="16"/>
    </row>
    <row r="705" spans="25:25" x14ac:dyDescent="0.2">
      <c r="Y705" s="16"/>
    </row>
    <row r="706" spans="25:25" x14ac:dyDescent="0.2">
      <c r="Y706" s="16"/>
    </row>
    <row r="707" spans="25:25" x14ac:dyDescent="0.2">
      <c r="Y707" s="16"/>
    </row>
    <row r="708" spans="25:25" x14ac:dyDescent="0.2">
      <c r="Y708" s="16"/>
    </row>
    <row r="709" spans="25:25" x14ac:dyDescent="0.2">
      <c r="Y709" s="16"/>
    </row>
    <row r="710" spans="25:25" x14ac:dyDescent="0.2">
      <c r="Y710" s="16"/>
    </row>
    <row r="711" spans="25:25" x14ac:dyDescent="0.2">
      <c r="Y711" s="16"/>
    </row>
    <row r="712" spans="25:25" x14ac:dyDescent="0.2">
      <c r="Y712" s="16"/>
    </row>
    <row r="713" spans="25:25" x14ac:dyDescent="0.2">
      <c r="Y713" s="16"/>
    </row>
    <row r="714" spans="25:25" x14ac:dyDescent="0.2">
      <c r="Y714" s="16"/>
    </row>
    <row r="715" spans="25:25" x14ac:dyDescent="0.2">
      <c r="Y715" s="16"/>
    </row>
    <row r="716" spans="25:25" x14ac:dyDescent="0.2">
      <c r="Y716" s="16"/>
    </row>
    <row r="717" spans="25:25" x14ac:dyDescent="0.2">
      <c r="Y717" s="16"/>
    </row>
    <row r="718" spans="25:25" x14ac:dyDescent="0.2">
      <c r="Y718" s="16"/>
    </row>
    <row r="719" spans="25:25" x14ac:dyDescent="0.2">
      <c r="Y719" s="16"/>
    </row>
    <row r="720" spans="25:25" x14ac:dyDescent="0.2">
      <c r="Y720" s="16"/>
    </row>
    <row r="721" spans="25:25" x14ac:dyDescent="0.2">
      <c r="Y721" s="16"/>
    </row>
    <row r="722" spans="25:25" x14ac:dyDescent="0.2">
      <c r="Y722" s="16"/>
    </row>
    <row r="723" spans="25:25" x14ac:dyDescent="0.2">
      <c r="Y723" s="16"/>
    </row>
    <row r="724" spans="25:25" x14ac:dyDescent="0.2">
      <c r="Y724" s="16"/>
    </row>
    <row r="725" spans="25:25" x14ac:dyDescent="0.2">
      <c r="Y725" s="16"/>
    </row>
    <row r="726" spans="25:25" x14ac:dyDescent="0.2">
      <c r="Y726" s="16"/>
    </row>
    <row r="727" spans="25:25" x14ac:dyDescent="0.2">
      <c r="Y727" s="16"/>
    </row>
    <row r="728" spans="25:25" x14ac:dyDescent="0.2">
      <c r="Y728" s="16"/>
    </row>
    <row r="729" spans="25:25" x14ac:dyDescent="0.2">
      <c r="Y729" s="16"/>
    </row>
    <row r="730" spans="25:25" x14ac:dyDescent="0.2">
      <c r="Y730" s="16"/>
    </row>
    <row r="731" spans="25:25" x14ac:dyDescent="0.2">
      <c r="Y731" s="16"/>
    </row>
    <row r="732" spans="25:25" x14ac:dyDescent="0.2">
      <c r="Y732" s="16"/>
    </row>
    <row r="733" spans="25:25" x14ac:dyDescent="0.2">
      <c r="Y733" s="16"/>
    </row>
    <row r="734" spans="25:25" x14ac:dyDescent="0.2">
      <c r="Y734" s="16"/>
    </row>
    <row r="735" spans="25:25" x14ac:dyDescent="0.2">
      <c r="Y735" s="16"/>
    </row>
    <row r="736" spans="25:25" x14ac:dyDescent="0.2">
      <c r="Y736" s="16"/>
    </row>
    <row r="737" spans="25:25" x14ac:dyDescent="0.2">
      <c r="Y737" s="16"/>
    </row>
    <row r="738" spans="25:25" x14ac:dyDescent="0.2">
      <c r="Y738" s="16"/>
    </row>
    <row r="739" spans="25:25" x14ac:dyDescent="0.2">
      <c r="Y739" s="16"/>
    </row>
    <row r="740" spans="25:25" x14ac:dyDescent="0.2">
      <c r="Y740" s="16"/>
    </row>
    <row r="741" spans="25:25" x14ac:dyDescent="0.2">
      <c r="Y741" s="16"/>
    </row>
    <row r="742" spans="25:25" x14ac:dyDescent="0.2">
      <c r="Y742" s="16"/>
    </row>
    <row r="743" spans="25:25" x14ac:dyDescent="0.2">
      <c r="Y743" s="16"/>
    </row>
    <row r="744" spans="25:25" x14ac:dyDescent="0.2">
      <c r="Y744" s="16"/>
    </row>
    <row r="745" spans="25:25" x14ac:dyDescent="0.2">
      <c r="Y745" s="16"/>
    </row>
    <row r="746" spans="25:25" x14ac:dyDescent="0.2">
      <c r="Y746" s="16"/>
    </row>
    <row r="747" spans="25:25" x14ac:dyDescent="0.2">
      <c r="Y747" s="16"/>
    </row>
    <row r="748" spans="25:25" x14ac:dyDescent="0.2">
      <c r="Y748" s="16"/>
    </row>
    <row r="749" spans="25:25" x14ac:dyDescent="0.2">
      <c r="Y749" s="16"/>
    </row>
    <row r="750" spans="25:25" x14ac:dyDescent="0.2">
      <c r="Y750" s="16"/>
    </row>
    <row r="751" spans="25:25" x14ac:dyDescent="0.2">
      <c r="Y751" s="16"/>
    </row>
    <row r="752" spans="25:25" x14ac:dyDescent="0.2">
      <c r="Y752" s="16"/>
    </row>
    <row r="753" spans="25:25" x14ac:dyDescent="0.2">
      <c r="Y753" s="16"/>
    </row>
    <row r="754" spans="25:25" x14ac:dyDescent="0.2">
      <c r="Y754" s="16"/>
    </row>
    <row r="755" spans="25:25" x14ac:dyDescent="0.2">
      <c r="Y755" s="16"/>
    </row>
    <row r="756" spans="25:25" x14ac:dyDescent="0.2">
      <c r="Y756" s="16"/>
    </row>
    <row r="757" spans="25:25" x14ac:dyDescent="0.2">
      <c r="Y757" s="16"/>
    </row>
    <row r="758" spans="25:25" x14ac:dyDescent="0.2">
      <c r="Y758" s="16"/>
    </row>
    <row r="759" spans="25:25" x14ac:dyDescent="0.2">
      <c r="Y759" s="16"/>
    </row>
    <row r="760" spans="25:25" x14ac:dyDescent="0.2">
      <c r="Y760" s="16"/>
    </row>
    <row r="761" spans="25:25" x14ac:dyDescent="0.2">
      <c r="Y761" s="16"/>
    </row>
    <row r="762" spans="25:25" x14ac:dyDescent="0.2">
      <c r="Y762" s="16"/>
    </row>
    <row r="763" spans="25:25" x14ac:dyDescent="0.2">
      <c r="Y763" s="16"/>
    </row>
    <row r="764" spans="25:25" x14ac:dyDescent="0.2">
      <c r="Y764" s="16"/>
    </row>
    <row r="765" spans="25:25" x14ac:dyDescent="0.2">
      <c r="Y765" s="16"/>
    </row>
    <row r="766" spans="25:25" x14ac:dyDescent="0.2">
      <c r="Y766" s="16"/>
    </row>
    <row r="767" spans="25:25" x14ac:dyDescent="0.2">
      <c r="Y767" s="16"/>
    </row>
    <row r="768" spans="25:25" x14ac:dyDescent="0.2">
      <c r="Y768" s="16"/>
    </row>
    <row r="769" spans="25:25" x14ac:dyDescent="0.2">
      <c r="Y769" s="16"/>
    </row>
    <row r="770" spans="25:25" x14ac:dyDescent="0.2">
      <c r="Y770" s="16"/>
    </row>
    <row r="771" spans="25:25" x14ac:dyDescent="0.2">
      <c r="Y771" s="16"/>
    </row>
    <row r="772" spans="25:25" x14ac:dyDescent="0.2">
      <c r="Y772" s="16"/>
    </row>
    <row r="773" spans="25:25" x14ac:dyDescent="0.2">
      <c r="Y773" s="16"/>
    </row>
    <row r="774" spans="25:25" x14ac:dyDescent="0.2">
      <c r="Y774" s="16"/>
    </row>
    <row r="775" spans="25:25" x14ac:dyDescent="0.2">
      <c r="Y775" s="16"/>
    </row>
    <row r="776" spans="25:25" x14ac:dyDescent="0.2">
      <c r="Y776" s="16"/>
    </row>
    <row r="777" spans="25:25" x14ac:dyDescent="0.2">
      <c r="Y777" s="16"/>
    </row>
    <row r="778" spans="25:25" x14ac:dyDescent="0.2">
      <c r="Y778" s="16"/>
    </row>
    <row r="779" spans="25:25" x14ac:dyDescent="0.2">
      <c r="Y779" s="16"/>
    </row>
    <row r="780" spans="25:25" x14ac:dyDescent="0.2">
      <c r="Y780" s="16"/>
    </row>
    <row r="781" spans="25:25" x14ac:dyDescent="0.2">
      <c r="Y781" s="16"/>
    </row>
    <row r="782" spans="25:25" x14ac:dyDescent="0.2">
      <c r="Y782" s="16"/>
    </row>
    <row r="783" spans="25:25" x14ac:dyDescent="0.2">
      <c r="Y783" s="16"/>
    </row>
    <row r="784" spans="25:25" x14ac:dyDescent="0.2">
      <c r="Y784" s="16"/>
    </row>
    <row r="785" spans="25:25" x14ac:dyDescent="0.2">
      <c r="Y785" s="16"/>
    </row>
    <row r="786" spans="25:25" x14ac:dyDescent="0.2">
      <c r="Y786" s="16"/>
    </row>
    <row r="787" spans="25:25" x14ac:dyDescent="0.2">
      <c r="Y787" s="16"/>
    </row>
    <row r="788" spans="25:25" x14ac:dyDescent="0.2">
      <c r="Y788" s="16"/>
    </row>
    <row r="789" spans="25:25" x14ac:dyDescent="0.2">
      <c r="Y789" s="16"/>
    </row>
    <row r="790" spans="25:25" x14ac:dyDescent="0.2">
      <c r="Y790" s="16"/>
    </row>
    <row r="791" spans="25:25" x14ac:dyDescent="0.2">
      <c r="Y791" s="16"/>
    </row>
    <row r="792" spans="25:25" x14ac:dyDescent="0.2">
      <c r="Y792" s="16"/>
    </row>
    <row r="793" spans="25:25" x14ac:dyDescent="0.2">
      <c r="Y793" s="16"/>
    </row>
    <row r="794" spans="25:25" x14ac:dyDescent="0.2">
      <c r="Y794" s="16"/>
    </row>
    <row r="795" spans="25:25" x14ac:dyDescent="0.2">
      <c r="Y795" s="16"/>
    </row>
    <row r="796" spans="25:25" x14ac:dyDescent="0.2">
      <c r="Y796" s="16"/>
    </row>
    <row r="797" spans="25:25" x14ac:dyDescent="0.2">
      <c r="Y797" s="16"/>
    </row>
    <row r="798" spans="25:25" x14ac:dyDescent="0.2">
      <c r="Y798" s="16"/>
    </row>
    <row r="799" spans="25:25" x14ac:dyDescent="0.2">
      <c r="Y799" s="16"/>
    </row>
    <row r="800" spans="25:25" x14ac:dyDescent="0.2">
      <c r="Y800" s="16"/>
    </row>
    <row r="801" spans="25:25" x14ac:dyDescent="0.2">
      <c r="Y801" s="16"/>
    </row>
    <row r="802" spans="25:25" x14ac:dyDescent="0.2">
      <c r="Y802" s="16"/>
    </row>
    <row r="803" spans="25:25" x14ac:dyDescent="0.2">
      <c r="Y803" s="16"/>
    </row>
    <row r="804" spans="25:25" x14ac:dyDescent="0.2">
      <c r="Y804" s="16"/>
    </row>
    <row r="805" spans="25:25" x14ac:dyDescent="0.2">
      <c r="Y805" s="16"/>
    </row>
    <row r="806" spans="25:25" x14ac:dyDescent="0.2">
      <c r="Y806" s="16"/>
    </row>
    <row r="807" spans="25:25" x14ac:dyDescent="0.2">
      <c r="Y807" s="16"/>
    </row>
    <row r="808" spans="25:25" x14ac:dyDescent="0.2">
      <c r="Y808" s="16"/>
    </row>
    <row r="809" spans="25:25" x14ac:dyDescent="0.2">
      <c r="Y809" s="16"/>
    </row>
    <row r="810" spans="25:25" x14ac:dyDescent="0.2">
      <c r="Y810" s="16"/>
    </row>
    <row r="811" spans="25:25" x14ac:dyDescent="0.2">
      <c r="Y811" s="16"/>
    </row>
    <row r="812" spans="25:25" x14ac:dyDescent="0.2">
      <c r="Y812" s="16"/>
    </row>
    <row r="813" spans="25:25" x14ac:dyDescent="0.2">
      <c r="Y813" s="16"/>
    </row>
    <row r="814" spans="25:25" x14ac:dyDescent="0.2">
      <c r="Y814" s="16"/>
    </row>
    <row r="815" spans="25:25" x14ac:dyDescent="0.2">
      <c r="Y815" s="16"/>
    </row>
    <row r="816" spans="25:25" x14ac:dyDescent="0.2">
      <c r="Y816" s="16"/>
    </row>
    <row r="817" spans="25:25" x14ac:dyDescent="0.2">
      <c r="Y817" s="16"/>
    </row>
    <row r="818" spans="25:25" x14ac:dyDescent="0.2">
      <c r="Y818" s="16"/>
    </row>
    <row r="819" spans="25:25" x14ac:dyDescent="0.2">
      <c r="Y819" s="16"/>
    </row>
    <row r="820" spans="25:25" x14ac:dyDescent="0.2">
      <c r="Y820" s="16"/>
    </row>
    <row r="821" spans="25:25" x14ac:dyDescent="0.2">
      <c r="Y821" s="16"/>
    </row>
    <row r="822" spans="25:25" x14ac:dyDescent="0.2">
      <c r="Y822" s="16"/>
    </row>
    <row r="823" spans="25:25" x14ac:dyDescent="0.2">
      <c r="Y823" s="16"/>
    </row>
    <row r="824" spans="25:25" x14ac:dyDescent="0.2">
      <c r="Y824" s="16"/>
    </row>
    <row r="825" spans="25:25" x14ac:dyDescent="0.2">
      <c r="Y825" s="16"/>
    </row>
    <row r="826" spans="25:25" x14ac:dyDescent="0.2">
      <c r="Y826" s="16"/>
    </row>
    <row r="827" spans="25:25" x14ac:dyDescent="0.2">
      <c r="Y827" s="16"/>
    </row>
    <row r="828" spans="25:25" x14ac:dyDescent="0.2">
      <c r="Y828" s="16"/>
    </row>
    <row r="829" spans="25:25" x14ac:dyDescent="0.2">
      <c r="Y829" s="16"/>
    </row>
    <row r="830" spans="25:25" x14ac:dyDescent="0.2">
      <c r="Y830" s="16"/>
    </row>
    <row r="831" spans="25:25" x14ac:dyDescent="0.2">
      <c r="Y831" s="16"/>
    </row>
    <row r="832" spans="25:25" x14ac:dyDescent="0.2">
      <c r="Y832" s="16"/>
    </row>
    <row r="833" spans="25:25" x14ac:dyDescent="0.2">
      <c r="Y833" s="16"/>
    </row>
    <row r="834" spans="25:25" x14ac:dyDescent="0.2">
      <c r="Y834" s="16"/>
    </row>
    <row r="835" spans="25:25" x14ac:dyDescent="0.2">
      <c r="Y835" s="16"/>
    </row>
    <row r="836" spans="25:25" x14ac:dyDescent="0.2">
      <c r="Y836" s="16"/>
    </row>
    <row r="837" spans="25:25" x14ac:dyDescent="0.2">
      <c r="Y837" s="16"/>
    </row>
    <row r="838" spans="25:25" x14ac:dyDescent="0.2">
      <c r="Y838" s="16"/>
    </row>
    <row r="839" spans="25:25" x14ac:dyDescent="0.2">
      <c r="Y839" s="16"/>
    </row>
    <row r="840" spans="25:25" x14ac:dyDescent="0.2">
      <c r="Y840" s="16"/>
    </row>
    <row r="841" spans="25:25" x14ac:dyDescent="0.2">
      <c r="Y841" s="16"/>
    </row>
    <row r="842" spans="25:25" x14ac:dyDescent="0.2">
      <c r="Y842" s="16"/>
    </row>
    <row r="843" spans="25:25" x14ac:dyDescent="0.2">
      <c r="Y843" s="16"/>
    </row>
    <row r="844" spans="25:25" x14ac:dyDescent="0.2">
      <c r="Y844" s="16"/>
    </row>
    <row r="845" spans="25:25" x14ac:dyDescent="0.2">
      <c r="Y845" s="16"/>
    </row>
    <row r="846" spans="25:25" x14ac:dyDescent="0.2">
      <c r="Y846" s="16"/>
    </row>
    <row r="847" spans="25:25" x14ac:dyDescent="0.2">
      <c r="Y847" s="16"/>
    </row>
    <row r="848" spans="25:25" x14ac:dyDescent="0.2">
      <c r="Y848" s="16"/>
    </row>
    <row r="849" spans="25:25" x14ac:dyDescent="0.2">
      <c r="Y849" s="16"/>
    </row>
    <row r="850" spans="25:25" x14ac:dyDescent="0.2">
      <c r="Y850" s="16"/>
    </row>
    <row r="851" spans="25:25" x14ac:dyDescent="0.2">
      <c r="Y851" s="16"/>
    </row>
    <row r="852" spans="25:25" x14ac:dyDescent="0.2">
      <c r="Y852" s="16"/>
    </row>
    <row r="853" spans="25:25" x14ac:dyDescent="0.2">
      <c r="Y853" s="16"/>
    </row>
    <row r="854" spans="25:25" x14ac:dyDescent="0.2">
      <c r="Y854" s="16"/>
    </row>
    <row r="855" spans="25:25" x14ac:dyDescent="0.2">
      <c r="Y855" s="16"/>
    </row>
    <row r="856" spans="25:25" x14ac:dyDescent="0.2">
      <c r="Y856" s="16"/>
    </row>
    <row r="857" spans="25:25" x14ac:dyDescent="0.2">
      <c r="Y857" s="16"/>
    </row>
    <row r="858" spans="25:25" x14ac:dyDescent="0.2">
      <c r="Y858" s="16"/>
    </row>
    <row r="859" spans="25:25" x14ac:dyDescent="0.2">
      <c r="Y859" s="16"/>
    </row>
    <row r="860" spans="25:25" x14ac:dyDescent="0.2">
      <c r="Y860" s="16"/>
    </row>
    <row r="861" spans="25:25" x14ac:dyDescent="0.2">
      <c r="Y861" s="16"/>
    </row>
    <row r="862" spans="25:25" x14ac:dyDescent="0.2">
      <c r="Y862" s="16"/>
    </row>
    <row r="863" spans="25:25" x14ac:dyDescent="0.2">
      <c r="Y863" s="16"/>
    </row>
    <row r="864" spans="25:25" x14ac:dyDescent="0.2">
      <c r="Y864" s="16"/>
    </row>
    <row r="865" spans="25:25" x14ac:dyDescent="0.2">
      <c r="Y865" s="16"/>
    </row>
    <row r="866" spans="25:25" x14ac:dyDescent="0.2">
      <c r="Y866" s="16"/>
    </row>
    <row r="867" spans="25:25" x14ac:dyDescent="0.2">
      <c r="Y867" s="16"/>
    </row>
    <row r="868" spans="25:25" x14ac:dyDescent="0.2">
      <c r="Y868" s="16"/>
    </row>
    <row r="869" spans="25:25" x14ac:dyDescent="0.2">
      <c r="Y869" s="16"/>
    </row>
    <row r="870" spans="25:25" x14ac:dyDescent="0.2">
      <c r="Y870" s="16"/>
    </row>
    <row r="871" spans="25:25" x14ac:dyDescent="0.2">
      <c r="Y871" s="16"/>
    </row>
    <row r="872" spans="25:25" x14ac:dyDescent="0.2">
      <c r="Y872" s="16"/>
    </row>
    <row r="873" spans="25:25" x14ac:dyDescent="0.2">
      <c r="Y873" s="16"/>
    </row>
    <row r="874" spans="25:25" x14ac:dyDescent="0.2">
      <c r="Y874" s="16"/>
    </row>
    <row r="875" spans="25:25" x14ac:dyDescent="0.2">
      <c r="Y875" s="16"/>
    </row>
    <row r="876" spans="25:25" x14ac:dyDescent="0.2">
      <c r="Y876" s="16"/>
    </row>
    <row r="877" spans="25:25" x14ac:dyDescent="0.2">
      <c r="Y877" s="16"/>
    </row>
    <row r="878" spans="25:25" x14ac:dyDescent="0.2">
      <c r="Y878" s="16"/>
    </row>
    <row r="879" spans="25:25" x14ac:dyDescent="0.2">
      <c r="Y879" s="16"/>
    </row>
    <row r="880" spans="25:25" x14ac:dyDescent="0.2">
      <c r="Y880" s="16"/>
    </row>
    <row r="881" spans="25:25" x14ac:dyDescent="0.2">
      <c r="Y881" s="16"/>
    </row>
    <row r="882" spans="25:25" x14ac:dyDescent="0.2">
      <c r="Y882" s="16"/>
    </row>
  </sheetData>
  <mergeCells count="7">
    <mergeCell ref="A2:X2"/>
    <mergeCell ref="Y2:AB2"/>
    <mergeCell ref="EG2:EO2"/>
    <mergeCell ref="AC2:AM2"/>
    <mergeCell ref="AN2:CI2"/>
    <mergeCell ref="CJ2:DO2"/>
    <mergeCell ref="DS2:EF2"/>
  </mergeCells>
  <phoneticPr fontId="21" type="noConversion"/>
  <hyperlinks>
    <hyperlink ref="F9" r:id="rId1" display="http://dx.doi.org/10.1130/0091-7613(2002)030%3C0703:PBIEFI%3E2.0.CO;2" xr:uid="{64A618C0-00F5-6143-B515-7E881CE7CE05}"/>
    <hyperlink ref="F8" r:id="rId2" display="http://dx.doi.org/10.1130/0091-7613(2002)030%3C0703:PBIEFI%3E2.0.CO;2" xr:uid="{A0E6CCEB-675C-1C4D-AD1C-F05269DCEDA8}"/>
    <hyperlink ref="F7" r:id="rId3" display="http://dx.doi.org/10.1130/0091-7613(2002)030%3C0703:PBIEFI%3E2.0.CO;2" xr:uid="{A5788456-1EAF-BF49-993C-FE48ED5ED0A0}"/>
    <hyperlink ref="F6" r:id="rId4" display="http://dx.doi.org/10.1130/0091-7613(2002)030%3C0703:PBIEFI%3E2.0.CO;2" xr:uid="{A3362063-5624-A647-8FE2-99C6716B81B7}"/>
    <hyperlink ref="F5" r:id="rId5" display="http://dx.doi.org/10.1130/0091-7613(2002)030%3C0703:PBIEFI%3E2.0.CO;2" xr:uid="{B3860806-F15F-9E42-A2FA-33252FF67519}"/>
    <hyperlink ref="F4" r:id="rId6" display="http://dx.doi.org/10.1130/0091-7613(2002)030%3C0703:PBIEFI%3E2.0.CO;2" xr:uid="{BA128505-40F5-114C-9D72-998C54390A21}"/>
    <hyperlink ref="Z9" r:id="rId7" display="http://dx.doi.org/10.1130/0091-7613(2002)030%3C0703:PBIEFI%3E2.0.CO;2" xr:uid="{BB7CED6C-69C0-CD40-932E-B0698B0837DB}"/>
    <hyperlink ref="Z8" r:id="rId8" display="http://dx.doi.org/10.1130/0091-7613(2002)030%3C0703:PBIEFI%3E2.0.CO;2" xr:uid="{59FC8462-E743-7742-9EF4-4CCF30909883}"/>
    <hyperlink ref="Z7" r:id="rId9" display="http://dx.doi.org/10.1130/0091-7613(2002)030%3C0703:PBIEFI%3E2.0.CO;2" xr:uid="{6DD87458-1097-1E47-A015-7AA8E7561DA4}"/>
    <hyperlink ref="Z6" r:id="rId10" display="http://dx.doi.org/10.1130/0091-7613(2002)030%3C0703:PBIEFI%3E2.0.CO;2" xr:uid="{88B45656-F526-0348-A690-B39C0DC89832}"/>
    <hyperlink ref="Z5" r:id="rId11" display="http://dx.doi.org/10.1130/0091-7613(2002)030%3C0703:PBIEFI%3E2.0.CO;2" xr:uid="{33D518FF-0518-E146-9EA5-EB7F0D42D155}"/>
    <hyperlink ref="Z4" r:id="rId12" display="http://dx.doi.org/10.1130/0091-7613(2002)030%3C0703:PBIEFI%3E2.0.CO;2" xr:uid="{2F311F79-2524-1949-9E76-297BBDE30D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paleosol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2017-12-08T17:27:39Z</dcterms:created>
  <dcterms:modified xsi:type="dcterms:W3CDTF">2022-03-17T18:51:47Z</dcterms:modified>
</cp:coreProperties>
</file>