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5167306D-3803-C948-A4BF-DECCAEAF08E6}" xr6:coauthVersionLast="47" xr6:coauthVersionMax="47" xr10:uidLastSave="{00000000-0000-0000-0000-000000000000}"/>
  <bookViews>
    <workbookView xWindow="0" yWindow="2540" windowWidth="28800" windowHeight="15840" xr2:uid="{00000000-000D-0000-FFFF-FFFF00000000}"/>
  </bookViews>
  <sheets>
    <sheet name="Sheet1" sheetId="1" r:id="rId1"/>
  </sheets>
  <calcPr calcId="191029"/>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O5" i="1" l="1"/>
  <c r="EN5" i="1"/>
  <c r="EO12" i="1"/>
  <c r="EN12" i="1"/>
  <c r="EN10" i="1"/>
  <c r="EO7" i="1"/>
  <c r="EN7" i="1"/>
  <c r="EO10" i="1"/>
  <c r="AL13" i="1"/>
  <c r="AK13" i="1"/>
  <c r="AL12" i="1"/>
  <c r="AK12" i="1"/>
  <c r="AL11" i="1"/>
  <c r="AK11" i="1"/>
  <c r="AL10" i="1"/>
  <c r="AK10" i="1"/>
  <c r="AL9" i="1"/>
  <c r="AK9" i="1"/>
  <c r="AL8" i="1"/>
  <c r="AK8" i="1"/>
  <c r="AL7" i="1"/>
  <c r="AK7" i="1"/>
  <c r="AL6" i="1"/>
  <c r="AK6" i="1"/>
  <c r="AL5" i="1"/>
  <c r="AK5" i="1"/>
  <c r="AL4" i="1"/>
  <c r="AK4" i="1"/>
</calcChain>
</file>

<file path=xl/sharedStrings.xml><?xml version="1.0" encoding="utf-8"?>
<sst xmlns="http://schemas.openxmlformats.org/spreadsheetml/2006/main" count="957" uniqueCount="208">
  <si>
    <t>proxy</t>
  </si>
  <si>
    <t>doi</t>
  </si>
  <si>
    <t>first_author_last_name</t>
  </si>
  <si>
    <t>publication_year</t>
  </si>
  <si>
    <t>age_ka</t>
  </si>
  <si>
    <t>Age_uncertainty_pos_ka</t>
  </si>
  <si>
    <t>Age_uncertainty_neg_ka</t>
  </si>
  <si>
    <t>specify reason for age revision</t>
  </si>
  <si>
    <t>Hyland</t>
  </si>
  <si>
    <t>2013a</t>
  </si>
  <si>
    <t>10.1016/j.palaeo.2012.10.011</t>
  </si>
  <si>
    <t>breecker@jsg.utexas.edu</t>
  </si>
  <si>
    <t>specify reason for quarantine</t>
  </si>
  <si>
    <t>"unbalanced soils"  for which S(z) &gt;&gt; atmospheric CO2</t>
  </si>
  <si>
    <t>CO2_uncertainty_pos_ppm</t>
  </si>
  <si>
    <t>specify reason for CO2 revision</t>
  </si>
  <si>
    <t>paleosols</t>
  </si>
  <si>
    <t>NA</t>
  </si>
  <si>
    <t>Contextual Information</t>
  </si>
  <si>
    <t>Measured Values</t>
  </si>
  <si>
    <t>Derived Values</t>
  </si>
  <si>
    <t>Other measurements/observations</t>
  </si>
  <si>
    <r>
      <t>CO</t>
    </r>
    <r>
      <rPr>
        <vertAlign val="subscript"/>
        <sz val="18"/>
        <color theme="1"/>
        <rFont val="Arial"/>
        <family val="2"/>
      </rPr>
      <t>2</t>
    </r>
    <r>
      <rPr>
        <sz val="18"/>
        <color theme="1"/>
        <rFont val="Arial"/>
        <family val="2"/>
      </rPr>
      <t xml:space="preserve"> estimates</t>
    </r>
  </si>
  <si>
    <t>Sample ID</t>
  </si>
  <si>
    <t>Rock formation name</t>
  </si>
  <si>
    <t>Reference(s) for age</t>
  </si>
  <si>
    <t>n geochemical analyses</t>
  </si>
  <si>
    <t>Temperature estimation approach</t>
  </si>
  <si>
    <t>Reference(s) for other temperature approach</t>
  </si>
  <si>
    <t>MAP approach</t>
  </si>
  <si>
    <t>MAP reference(s)</t>
  </si>
  <si>
    <t>S(z) approach</t>
  </si>
  <si>
    <t>Soil horizon for organic matter</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</si>
  <si>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</si>
  <si>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</si>
  <si>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</si>
  <si>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</si>
  <si>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</si>
  <si>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</si>
  <si>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</si>
  <si>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Explanation for each additional publications link to the dataset</t>
  </si>
  <si>
    <t>HB-109</t>
  </si>
  <si>
    <t>Wasatch Fm. (CBM)</t>
  </si>
  <si>
    <t>Clyde et al., 2001; Smith et al., 2008</t>
  </si>
  <si>
    <t>Hyland &amp; Sheldon, 2013</t>
  </si>
  <si>
    <t>~1200</t>
  </si>
  <si>
    <t>Hyland &amp; Sheldon, 2013; Tipple et al., 2010</t>
  </si>
  <si>
    <t>Hyland &amp; Sheldon, 2013; Romanek, 1992</t>
  </si>
  <si>
    <t>CIA-K</t>
  </si>
  <si>
    <t>Hyland &amp; Sheldon, 2013; Sheldon et al., 2002</t>
  </si>
  <si>
    <t>A</t>
  </si>
  <si>
    <t>Alfisol</t>
  </si>
  <si>
    <t>fine/medium</t>
  </si>
  <si>
    <t>nodules</t>
  </si>
  <si>
    <t>yes</t>
  </si>
  <si>
    <t>10-30cm</t>
  </si>
  <si>
    <t>dispersed/bulk</t>
  </si>
  <si>
    <t>dilute HCl (7%)</t>
  </si>
  <si>
    <t>horizonation, root traces, Bt/Bk</t>
  </si>
  <si>
    <t>XRF (major elements)</t>
  </si>
  <si>
    <t>HB-18</t>
  </si>
  <si>
    <t>HB-128C</t>
  </si>
  <si>
    <t>Inceptisol</t>
  </si>
  <si>
    <t>HB-129</t>
  </si>
  <si>
    <t>HB-30</t>
  </si>
  <si>
    <t>D-20</t>
  </si>
  <si>
    <t>HB-47</t>
  </si>
  <si>
    <t>HB162</t>
  </si>
  <si>
    <t>HB-81</t>
  </si>
  <si>
    <t>HB-187</t>
  </si>
  <si>
    <t>Dan Breecker and Nathan Sheldon</t>
  </si>
  <si>
    <t>CO2_ppm</t>
  </si>
  <si>
    <t>Summary</t>
  </si>
  <si>
    <t>CO2 data as originally published (TRUE or FALSE)</t>
  </si>
  <si>
    <t>CO2 data superseded by (please list doi if TRUE, otherwise FALSE)</t>
  </si>
  <si>
    <t>CO2 recalculated by paleo-CO2.org (TRUE or FALSE)</t>
  </si>
  <si>
    <t>age data as originally published (TRUE or FALSE)</t>
  </si>
  <si>
    <t>age data quarantined (TRUE of FALSE)</t>
  </si>
  <si>
    <t>age data superseded by (please list doi if TRUE, otherwise FALSE)</t>
  </si>
  <si>
    <t>age recalculated by paleo-CO2.org (TRUE or FALSE)</t>
  </si>
  <si>
    <r>
      <t>Hyland, E.G. and N.D. Sheldon (2013), Coupled CO</t>
    </r>
    <r>
      <rPr>
        <vertAlign val="subscript"/>
        <sz val="12"/>
        <color theme="1"/>
        <rFont val="Times New Roman"/>
        <family val="1"/>
      </rPr>
      <t>2</t>
    </r>
    <r>
      <rPr>
        <sz val="12"/>
        <color theme="1"/>
        <rFont val="Times New Roman"/>
        <family val="1"/>
      </rPr>
      <t>-climate response during the Early Eocene Climatic Optimum: Palaeogeography, Palaeoclimatology, Palaeoecology, v. 369, p. 125–135.</t>
    </r>
  </si>
  <si>
    <t>name_of_individual_entering_data</t>
  </si>
  <si>
    <t>contact_email_of_individual_entering_data</t>
  </si>
  <si>
    <t>CO2_uncertainty_neg_ppm</t>
  </si>
  <si>
    <t>Reference of the data product</t>
  </si>
  <si>
    <t>Modern Latitude (decimal degree, south negative)</t>
  </si>
  <si>
    <t>Modern Longitude (decimal degree, west negative)</t>
  </si>
  <si>
    <t>Stratigraphic level (m)</t>
  </si>
  <si>
    <t>Age (Ma)</t>
  </si>
  <si>
    <t>Age_max (Ma)</t>
  </si>
  <si>
    <t>Age_min (Ma)</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</si>
  <si>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</si>
  <si>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</si>
  <si>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</si>
  <si>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</si>
  <si>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</si>
  <si>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</si>
  <si>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occluded 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</si>
  <si>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</si>
  <si>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</si>
  <si>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bulk paleosol om</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</si>
  <si>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om</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</si>
  <si>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 PDB)</t>
    </r>
  </si>
  <si>
    <r>
      <t xml:space="preserve">Reference for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</si>
  <si>
    <r>
      <rPr>
        <sz val="13"/>
        <color rgb="FF000000"/>
        <rFont val="Symbol"/>
        <charset val="2"/>
      </rPr>
      <t>D</t>
    </r>
    <r>
      <rPr>
        <vertAlign val="subscript"/>
        <sz val="13"/>
        <color rgb="FF000000"/>
        <rFont val="Arial"/>
        <family val="2"/>
      </rPr>
      <t>47</t>
    </r>
    <r>
      <rPr>
        <sz val="13"/>
        <color rgb="FF000000"/>
        <rFont val="Arial"/>
        <family val="2"/>
      </rPr>
      <t xml:space="preserve"> (‰)</t>
    </r>
  </si>
  <si>
    <r>
      <rPr>
        <sz val="13"/>
        <color rgb="FF000000"/>
        <rFont val="Symbol"/>
        <charset val="2"/>
      </rPr>
      <t>D</t>
    </r>
    <r>
      <rPr>
        <vertAlign val="subscript"/>
        <sz val="13"/>
        <color rgb="FF000000"/>
        <rFont val="Arial"/>
        <family val="2"/>
      </rPr>
      <t xml:space="preserve">47 </t>
    </r>
    <r>
      <rPr>
        <sz val="13"/>
        <color rgb="FF000000"/>
        <rFont val="Arial"/>
        <family val="2"/>
      </rPr>
      <t>uncertainty ±2s (‰ PDB)</t>
    </r>
  </si>
  <si>
    <r>
      <t xml:space="preserve">n </t>
    </r>
    <r>
      <rPr>
        <sz val="13"/>
        <color rgb="FF000000"/>
        <rFont val="Symbol"/>
        <charset val="2"/>
      </rPr>
      <t>D</t>
    </r>
    <r>
      <rPr>
        <vertAlign val="subscript"/>
        <sz val="13"/>
        <color rgb="FF000000"/>
        <rFont val="Arial"/>
        <family val="2"/>
      </rPr>
      <t>47</t>
    </r>
  </si>
  <si>
    <r>
      <t xml:space="preserve">Reference for </t>
    </r>
    <r>
      <rPr>
        <sz val="13"/>
        <color rgb="FF000000"/>
        <rFont val="Symbol"/>
        <charset val="2"/>
      </rPr>
      <t>D</t>
    </r>
    <r>
      <rPr>
        <vertAlign val="subscript"/>
        <sz val="13"/>
        <color rgb="FF000000"/>
        <rFont val="Arial"/>
        <family val="2"/>
      </rPr>
      <t xml:space="preserve">47 </t>
    </r>
    <r>
      <rPr>
        <sz val="13"/>
        <color rgb="FF000000"/>
        <rFont val="Arial"/>
        <family val="2"/>
      </rPr>
      <t>analytical method and</t>
    </r>
    <r>
      <rPr>
        <vertAlign val="subscript"/>
        <sz val="13"/>
        <color rgb="FF000000"/>
        <rFont val="Arial"/>
        <family val="2"/>
      </rPr>
      <t xml:space="preserve"> </t>
    </r>
    <r>
      <rPr>
        <sz val="13"/>
        <color rgb="FF000000"/>
        <rFont val="Arial"/>
        <family val="2"/>
      </rPr>
      <t>corrections</t>
    </r>
  </si>
  <si>
    <t>Depth to carbonate horizon (cm)</t>
  </si>
  <si>
    <t>Burial Depth (m)</t>
  </si>
  <si>
    <r>
      <t>SiO</t>
    </r>
    <r>
      <rPr>
        <vertAlign val="subscript"/>
        <sz val="13"/>
        <color rgb="FF000000"/>
        <rFont val="Arial"/>
        <family val="2"/>
      </rPr>
      <t>2</t>
    </r>
    <r>
      <rPr>
        <sz val="13"/>
        <color rgb="FF000000"/>
        <rFont val="Arial"/>
        <family val="2"/>
      </rPr>
      <t xml:space="preserve"> wt%</t>
    </r>
  </si>
  <si>
    <r>
      <t>SiO</t>
    </r>
    <r>
      <rPr>
        <vertAlign val="subscript"/>
        <sz val="13"/>
        <color rgb="FF000000"/>
        <rFont val="Arial"/>
        <family val="2"/>
      </rPr>
      <t>2</t>
    </r>
    <r>
      <rPr>
        <sz val="13"/>
        <color rgb="FF000000"/>
        <rFont val="Arial"/>
        <family val="2"/>
      </rPr>
      <t xml:space="preserve"> uncertainty ± 2s stdev (wt%)</t>
    </r>
  </si>
  <si>
    <r>
      <t>TiO</t>
    </r>
    <r>
      <rPr>
        <vertAlign val="subscript"/>
        <sz val="13"/>
        <color rgb="FF000000"/>
        <rFont val="Arial"/>
        <family val="2"/>
      </rPr>
      <t>2</t>
    </r>
    <r>
      <rPr>
        <sz val="13"/>
        <color rgb="FF000000"/>
        <rFont val="Arial"/>
        <family val="2"/>
      </rPr>
      <t xml:space="preserve"> wt%</t>
    </r>
  </si>
  <si>
    <r>
      <t>TiO</t>
    </r>
    <r>
      <rPr>
        <vertAlign val="subscript"/>
        <sz val="13"/>
        <color rgb="FF000000"/>
        <rFont val="Arial"/>
        <family val="2"/>
      </rPr>
      <t>2</t>
    </r>
    <r>
      <rPr>
        <sz val="13"/>
        <color rgb="FF000000"/>
        <rFont val="Arial"/>
        <family val="2"/>
      </rPr>
      <t xml:space="preserve"> uncertainty ± 2s stdev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</si>
  <si>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</si>
  <si>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Al</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</si>
  <si>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wt%</t>
    </r>
  </si>
  <si>
    <r>
      <t>Fe</t>
    </r>
    <r>
      <rPr>
        <vertAlign val="subscript"/>
        <sz val="13"/>
        <color rgb="FF000000"/>
        <rFont val="Arial"/>
        <family val="2"/>
      </rPr>
      <t>2</t>
    </r>
    <r>
      <rPr>
        <sz val="13"/>
        <color rgb="FF000000"/>
        <rFont val="Arial"/>
        <family val="2"/>
      </rPr>
      <t>O</t>
    </r>
    <r>
      <rPr>
        <vertAlign val="subscript"/>
        <sz val="13"/>
        <color rgb="FF000000"/>
        <rFont val="Arial"/>
        <family val="2"/>
      </rPr>
      <t>3</t>
    </r>
    <r>
      <rPr>
        <sz val="13"/>
        <color rgb="FF000000"/>
        <rFont val="Arial"/>
        <family val="2"/>
      </rPr>
      <t xml:space="preserve"> uncertainty ± 2s stdev (wt%)</t>
    </r>
  </si>
  <si>
    <t>MnO wt%</t>
  </si>
  <si>
    <t>MnO uncertainty ± 2s stdev (wt%)</t>
  </si>
  <si>
    <t>MgO wt%</t>
  </si>
  <si>
    <t>MgO uncertainty ± 2s stdev (wt%)</t>
  </si>
  <si>
    <t>CaO wt%</t>
  </si>
  <si>
    <t>CaO uncertainty ± 2s stdev (wt%)</t>
  </si>
  <si>
    <r>
      <t>Na</t>
    </r>
    <r>
      <rPr>
        <vertAlign val="subscript"/>
        <sz val="13"/>
        <color rgb="FF000000"/>
        <rFont val="Arial"/>
        <family val="2"/>
      </rPr>
      <t>2</t>
    </r>
    <r>
      <rPr>
        <sz val="13"/>
        <color rgb="FF000000"/>
        <rFont val="Arial"/>
        <family val="2"/>
      </rPr>
      <t>O wt%</t>
    </r>
  </si>
  <si>
    <r>
      <t>Na</t>
    </r>
    <r>
      <rPr>
        <vertAlign val="subscript"/>
        <sz val="13"/>
        <color rgb="FF000000"/>
        <rFont val="Arial"/>
        <family val="2"/>
      </rPr>
      <t>2</t>
    </r>
    <r>
      <rPr>
        <sz val="13"/>
        <color rgb="FF000000"/>
        <rFont val="Arial"/>
        <family val="2"/>
      </rPr>
      <t>O uncertainty ± 2s stdev (wt%)</t>
    </r>
  </si>
  <si>
    <r>
      <t>K</t>
    </r>
    <r>
      <rPr>
        <vertAlign val="subscript"/>
        <sz val="13"/>
        <color rgb="FF000000"/>
        <rFont val="Arial"/>
        <family val="2"/>
      </rPr>
      <t>2</t>
    </r>
    <r>
      <rPr>
        <sz val="13"/>
        <color rgb="FF000000"/>
        <rFont val="Arial"/>
        <family val="2"/>
      </rPr>
      <t>O wt%</t>
    </r>
  </si>
  <si>
    <r>
      <t>K</t>
    </r>
    <r>
      <rPr>
        <vertAlign val="subscript"/>
        <sz val="13"/>
        <color rgb="FF000000"/>
        <rFont val="Arial"/>
        <family val="2"/>
      </rPr>
      <t>2</t>
    </r>
    <r>
      <rPr>
        <sz val="13"/>
        <color rgb="FF000000"/>
        <rFont val="Arial"/>
        <family val="2"/>
      </rPr>
      <t>O uncertainty ± 2s stdev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</si>
  <si>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wt%</t>
    </r>
  </si>
  <si>
    <r>
      <t>P</t>
    </r>
    <r>
      <rPr>
        <vertAlign val="subscript"/>
        <sz val="13"/>
        <color rgb="FF000000"/>
        <rFont val="Arial"/>
        <family val="2"/>
      </rPr>
      <t>2</t>
    </r>
    <r>
      <rPr>
        <sz val="13"/>
        <color rgb="FF000000"/>
        <rFont val="Arial"/>
        <family val="2"/>
      </rPr>
      <t>O</t>
    </r>
    <r>
      <rPr>
        <vertAlign val="subscript"/>
        <sz val="13"/>
        <color rgb="FF000000"/>
        <rFont val="Arial"/>
        <family val="2"/>
      </rPr>
      <t>5</t>
    </r>
    <r>
      <rPr>
        <sz val="13"/>
        <color rgb="FF000000"/>
        <rFont val="Arial"/>
        <family val="2"/>
      </rPr>
      <t xml:space="preserve"> uncertainty ± 2s stdev (wt%)</t>
    </r>
  </si>
  <si>
    <r>
      <t>ZrO</t>
    </r>
    <r>
      <rPr>
        <vertAlign val="subscript"/>
        <sz val="13"/>
        <color rgb="FF000000"/>
        <rFont val="Arial"/>
        <family val="2"/>
      </rPr>
      <t>2</t>
    </r>
    <r>
      <rPr>
        <sz val="13"/>
        <color rgb="FF000000"/>
        <rFont val="Arial"/>
        <family val="2"/>
      </rPr>
      <t xml:space="preserve"> wt%</t>
    </r>
  </si>
  <si>
    <r>
      <t>ZrO</t>
    </r>
    <r>
      <rPr>
        <vertAlign val="subscript"/>
        <sz val="13"/>
        <color rgb="FF000000"/>
        <rFont val="Arial"/>
        <family val="2"/>
      </rPr>
      <t>2</t>
    </r>
    <r>
      <rPr>
        <sz val="13"/>
        <color rgb="FF000000"/>
        <rFont val="Arial"/>
        <family val="2"/>
      </rPr>
      <t xml:space="preserve"> uncertainty ± 2s stdev (wt%)</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</si>
  <si>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r</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</si>
  <si>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</si>
  <si>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</si>
  <si>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a</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</si>
  <si>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approach</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</si>
  <si>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</si>
  <si>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a </t>
    </r>
    <r>
      <rPr>
        <sz val="13"/>
        <color rgb="FF000000"/>
        <rFont val="Arial"/>
        <family val="2"/>
      </rPr>
      <t>uncertainty</t>
    </r>
  </si>
  <si>
    <t>Temperature of calcium carbonate formation (°C)</t>
  </si>
  <si>
    <r>
      <t xml:space="preserve">Reference for </t>
    </r>
    <r>
      <rPr>
        <sz val="13"/>
        <color rgb="FF000000"/>
        <rFont val="Symbol"/>
        <charset val="2"/>
      </rPr>
      <t>D</t>
    </r>
    <r>
      <rPr>
        <vertAlign val="subscript"/>
        <sz val="13"/>
        <color rgb="FF000000"/>
        <rFont val="Arial"/>
        <family val="2"/>
      </rPr>
      <t>47</t>
    </r>
    <r>
      <rPr>
        <sz val="13"/>
        <color rgb="FF000000"/>
        <rFont val="Arial"/>
        <family val="2"/>
      </rPr>
      <t xml:space="preserve"> - temperature calibration</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</si>
  <si>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s</t>
    </r>
    <r>
      <rPr>
        <sz val="13"/>
        <color rgb="FF000000"/>
        <rFont val="Arial"/>
        <family val="2"/>
      </rPr>
      <t xml:space="preserve"> (‰ PDB)</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</si>
  <si>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reference(s)</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</si>
  <si>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s </t>
    </r>
    <r>
      <rPr>
        <sz val="13"/>
        <color rgb="FF000000"/>
        <rFont val="Arial"/>
        <family val="2"/>
      </rPr>
      <t>uncertainty</t>
    </r>
  </si>
  <si>
    <t>Uncompacted depth to carbonate horizon (cm)</t>
  </si>
  <si>
    <t>Mean Annual Precipitation (MAP) (mm)</t>
  </si>
  <si>
    <t>MAP uncertainty (mm)</t>
  </si>
  <si>
    <t>Soil horizon for organic matter A, B, C, etc.</t>
  </si>
  <si>
    <t>Soil depth (cm)</t>
  </si>
  <si>
    <t>Depth of carbonte sample in horizon (cm)</t>
  </si>
  <si>
    <t>Carbonate type e.g., nodules, rhizoliths, clast coatings</t>
  </si>
  <si>
    <t>Calcite spar (large crystals) avoided? Yes/No</t>
  </si>
  <si>
    <t>Analyzed for bulk geochemistry? Yes/No</t>
  </si>
  <si>
    <t>Bulk geochem type which elements were measured?</t>
  </si>
  <si>
    <r>
      <t>Atmospheric CO</t>
    </r>
    <r>
      <rPr>
        <vertAlign val="subscript"/>
        <sz val="13"/>
        <color rgb="FF000000"/>
        <rFont val="Arial"/>
        <family val="2"/>
      </rPr>
      <t xml:space="preserve">2 </t>
    </r>
    <r>
      <rPr>
        <sz val="13"/>
        <color rgb="FF000000"/>
        <rFont val="Arial"/>
        <family val="2"/>
      </rPr>
      <t>mean ppmV</t>
    </r>
  </si>
  <si>
    <r>
      <t>Atmospheric CO</t>
    </r>
    <r>
      <rPr>
        <vertAlign val="subscript"/>
        <sz val="13"/>
        <color rgb="FF000000"/>
        <rFont val="Arial"/>
        <family val="2"/>
      </rPr>
      <t xml:space="preserve">2 </t>
    </r>
    <r>
      <rPr>
        <sz val="13"/>
        <color rgb="FF000000"/>
        <rFont val="Arial"/>
        <family val="2"/>
      </rPr>
      <t>median ppmV</t>
    </r>
  </si>
  <si>
    <t>error propagation method</t>
  </si>
  <si>
    <t>variables considered in error propagation</t>
  </si>
  <si>
    <t>Data Sources</t>
  </si>
  <si>
    <t>doi link to reference</t>
  </si>
  <si>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enamel </t>
    </r>
    <r>
      <rPr>
        <sz val="13"/>
        <color rgb="FF000000"/>
        <rFont val="Arial"/>
        <family val="2"/>
      </rPr>
      <t>uncertainty ±2s (‰ PDB)</t>
    </r>
  </si>
  <si>
    <r>
      <t xml:space="preserve">n </t>
    </r>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enamel</t>
    </r>
    <r>
      <rPr>
        <sz val="13"/>
        <color rgb="FF000000"/>
        <rFont val="Arial"/>
        <family val="2"/>
      </rPr>
      <t xml:space="preserve"> </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</si>
  <si>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 xml:space="preserve">cc </t>
    </r>
    <r>
      <rPr>
        <sz val="13"/>
        <color rgb="FF000000"/>
        <rFont val="Arial"/>
        <family val="2"/>
      </rPr>
      <t>(‰ PDB)</t>
    </r>
  </si>
  <si>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r>
      <rPr>
        <sz val="13"/>
        <color rgb="FF000000"/>
        <rFont val="Arial"/>
        <family val="2"/>
      </rPr>
      <t xml:space="preserve"> uncertainty ±2s (‰ PDB)</t>
    </r>
  </si>
  <si>
    <r>
      <t xml:space="preserve">n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</si>
  <si>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t xml:space="preserve">Reference for </t>
    </r>
    <r>
      <rPr>
        <sz val="13"/>
        <color rgb="FF000000"/>
        <rFont val="Symbol"/>
        <charset val="2"/>
      </rPr>
      <t>d</t>
    </r>
    <r>
      <rPr>
        <vertAlign val="superscript"/>
        <sz val="13"/>
        <color rgb="FF000000"/>
        <rFont val="Arial"/>
        <family val="2"/>
      </rPr>
      <t>18</t>
    </r>
    <r>
      <rPr>
        <sz val="13"/>
        <color rgb="FF000000"/>
        <rFont val="Arial"/>
        <family val="2"/>
      </rPr>
      <t>O</t>
    </r>
    <r>
      <rPr>
        <vertAlign val="subscript"/>
        <sz val="13"/>
        <color rgb="FF000000"/>
        <rFont val="Arial"/>
        <family val="2"/>
      </rPr>
      <t>cc</t>
    </r>
  </si>
  <si>
    <r>
      <rPr>
        <sz val="13"/>
        <color rgb="FF000000"/>
        <rFont val="Symbol"/>
        <charset val="2"/>
      </rPr>
      <t>d</t>
    </r>
    <r>
      <rPr>
        <vertAlign val="superscript"/>
        <sz val="13"/>
        <color rgb="FF000000"/>
        <rFont val="Arial"/>
        <family val="2"/>
      </rPr>
      <t>13</t>
    </r>
    <r>
      <rPr>
        <sz val="13"/>
        <color rgb="FF000000"/>
        <rFont val="Arial"/>
        <family val="2"/>
      </rPr>
      <t>C</t>
    </r>
    <r>
      <rPr>
        <vertAlign val="subscript"/>
        <sz val="13"/>
        <color rgb="FF000000"/>
        <rFont val="Arial"/>
        <family val="2"/>
      </rPr>
      <t xml:space="preserve">r </t>
    </r>
    <r>
      <rPr>
        <sz val="13"/>
        <color rgb="FF000000"/>
        <rFont val="Arial"/>
        <family val="2"/>
      </rPr>
      <t xml:space="preserve">uncertainty </t>
    </r>
  </si>
  <si>
    <t>which factors constitute the uncertainty?</t>
  </si>
  <si>
    <t>type of uncertainty (e.g. 2sd, 2se, 97.5/2.5 percentile)</t>
  </si>
  <si>
    <t xml:space="preserve">Temperature uncertainty (°C) </t>
  </si>
  <si>
    <t>Component of soil pore space CO2 from respiration, i.e. S(z) ppm</t>
  </si>
  <si>
    <t>S(z) uncertainty pos ppm</t>
  </si>
  <si>
    <t>S(z) uncertainty neg ppm</t>
  </si>
  <si>
    <r>
      <t>Atmospheric CO</t>
    </r>
    <r>
      <rPr>
        <vertAlign val="subscript"/>
        <sz val="13"/>
        <color rgb="FF000000"/>
        <rFont val="Arial"/>
        <family val="2"/>
      </rPr>
      <t xml:space="preserve">2 </t>
    </r>
    <r>
      <rPr>
        <sz val="13"/>
        <color rgb="FF000000"/>
        <rFont val="Arial"/>
        <family val="2"/>
      </rPr>
      <t>uncertainty pos ppmV</t>
    </r>
  </si>
  <si>
    <r>
      <t>Atmospheric CO</t>
    </r>
    <r>
      <rPr>
        <vertAlign val="subscript"/>
        <sz val="13"/>
        <color rgb="FF000000"/>
        <rFont val="Arial"/>
        <family val="2"/>
      </rPr>
      <t xml:space="preserve">2 </t>
    </r>
    <r>
      <rPr>
        <sz val="13"/>
        <color rgb="FF000000"/>
        <rFont val="Arial"/>
        <family val="2"/>
      </rPr>
      <t>uncertainty neg ppmV</t>
    </r>
  </si>
  <si>
    <r>
      <t>Atmospheric CO</t>
    </r>
    <r>
      <rPr>
        <vertAlign val="subscript"/>
        <sz val="13"/>
        <color rgb="FF000000"/>
        <rFont val="Arial"/>
        <family val="2"/>
      </rPr>
      <t>2</t>
    </r>
    <r>
      <rPr>
        <sz val="13"/>
        <color rgb="FF000000"/>
        <rFont val="Arial"/>
        <family val="2"/>
      </rPr>
      <t>_97.5 percentile ppmV</t>
    </r>
  </si>
  <si>
    <r>
      <t>Atmospheric CO</t>
    </r>
    <r>
      <rPr>
        <vertAlign val="subscript"/>
        <sz val="13"/>
        <color rgb="FF000000"/>
        <rFont val="Arial"/>
        <family val="2"/>
      </rPr>
      <t>2</t>
    </r>
    <r>
      <rPr>
        <sz val="13"/>
        <color rgb="FF000000"/>
        <rFont val="Arial"/>
        <family val="2"/>
      </rPr>
      <t>_2.5 percentile ppmV</t>
    </r>
  </si>
  <si>
    <t>Notes</t>
  </si>
  <si>
    <t>not reported</t>
  </si>
  <si>
    <t>regression error for MAP versus CIA-K</t>
  </si>
  <si>
    <t>all input variables and regression error</t>
  </si>
  <si>
    <t>Paleo Latitude (decimal degree, south negative)</t>
  </si>
  <si>
    <t>Paleo Longitude (decimal degree, west negative)</t>
  </si>
  <si>
    <t>d18O values of soil carbonates for mean annual temperature, PBUQ to calculate carbonate formation temperature from mean annual temperature</t>
  </si>
  <si>
    <t>2 sd</t>
  </si>
  <si>
    <t>regression error for temperature versus d18O values of modern soil carbonates and error associated with calculation of carbonate formation temperatue from mean annual temeprature using PBUQ</t>
  </si>
  <si>
    <t>Hyland &amp; Sheldon, 2013; Dworkin et al., 2005, Breecker 2013</t>
  </si>
  <si>
    <t>from bulk d13Com using PBUQ</t>
  </si>
  <si>
    <t>Hyland &amp; Sheldon, 2013; Retallack, 2009, Breecker 2013</t>
  </si>
  <si>
    <t>error associated with measurements of d13C bulk OM and error associated with calculation of d13Cr from d13C bulk om following Breecker 2013</t>
  </si>
  <si>
    <t>variance of Tipple et al 2010 data near time of interest as calculated in PBUQ</t>
  </si>
  <si>
    <t>regression error for S(z) versus MAP, regression error for MAP versus CIA-K</t>
  </si>
  <si>
    <t>length of error bars extending to 97.5 and 2.5 percentile values</t>
  </si>
  <si>
    <t>Monte carlo according to PBUQ</t>
  </si>
  <si>
    <t>from MAP, Cotton &amp; Sheldon, 2012</t>
  </si>
  <si>
    <t>from depth to Bk, Retallack 2009</t>
  </si>
  <si>
    <t>regression error for S(z) versus depth to Bk</t>
  </si>
  <si>
    <t>No bulk geochemistry reported, S(z) from depth to Bk</t>
  </si>
  <si>
    <t>S(z) from CIA-K - derived MAP</t>
  </si>
  <si>
    <t>no</t>
  </si>
  <si>
    <t>calculated by PBUQ and propogated</t>
  </si>
  <si>
    <t>No bulk geochem measured and if calculate MAP from depth to Bk, the result does not match MAP in archive file. If low S(z) from depth to Bk is supported by future CIA-K measurements, this CO2 estimate should be reconsidered.</t>
  </si>
  <si>
    <t>from benthic forams according to Tipple et al 2010</t>
  </si>
  <si>
    <t>different method for calculating respresentative paleosol carbonate d18O for use in calculating mean annual temperature. The new d18O is a recalculated value, shifted slightly from original publication, which was based upon a running average involving the paleosols above and below rather than just the nodules from this paleosol. Revised calculation treats d18O-dervied temperature as MEAN ANNUAL temperature. CO2 was recalculated using PBUQ, which involves changes such as updated approach for calculating d13Cr from d13C bulk om, calculation of carbonate formation temperature from mean annual temperature and updated approach for calculating MAP from CIA-K.</t>
  </si>
  <si>
    <t>Revised calculation treats d18O-dervied temperature as MEAN ANNUAL temperature. CO2 was recalculated using PBUQ, which involves changes such as updated approach for calculating d13Cr from d13C bulk om, calculation of carbonate formation temperature from mean annual temperature and updated approach for calculating MAP from CIA-K.</t>
  </si>
  <si>
    <t xml:space="preserve">Includes all the measurements that would otherwise make record cat 1 (i.e., no missing data) but the proxy-based S(z) values are probably not fully quantified, as suggested by non-overlapping S(z) distributions estimated from application to Eocene paleosols (data from Hyland et al 2013a,b) of i) the MAP (from CIA-K) approach and ii) the soil order based approach </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</si>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</sst>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21" x14ac:knownFonts="1">
    <font>
      <sz val="12"/>
      <color theme="1"/>
      <name val="Calibri"/>
      <family val="2"/>
      <scheme val="minor"/>
    </font>
    <font>
      <sz val="12"/>
      <color theme="1"/>
      <name val="Arial"/>
      <family val="2"/>
    </font>
    <font>
      <u/>
      <sz val="12"/>
      <color theme="10"/>
      <name val="Calibri"/>
      <family val="2"/>
      <scheme val="minor"/>
    </font>
    <font>
      <sz val="13"/>
      <color theme="1"/>
      <name val="Arial"/>
      <family val="2"/>
    </font>
    <font>
      <sz val="11"/>
      <color theme="1"/>
      <name val="Calibri"/>
      <family val="2"/>
      <scheme val="minor"/>
    </font>
    <font>
      <u/>
      <sz val="12"/>
      <color theme="1"/>
      <name val="Calibri"/>
      <family val="2"/>
      <scheme val="minor"/>
    </font>
    <font>
      <sz val="18"/>
      <color theme="1"/>
      <name val="Arial"/>
      <family val="2"/>
    </font>
    <font>
      <vertAlign val="subscript"/>
      <sz val="18"/>
      <color theme="1"/>
      <name val="Arial"/>
      <family val="2"/>
    </font>
    <font>
      <sz val="13"/>
      <color rgb="FF000000"/>
      <name val="Arial"/>
      <family val="2"/>
    </font>
    <font>
      <vertAlign val="superscript"/>
      <sz val="13"/>
      <color rgb="FF000000"/>
      <name val="Arial"/>
      <family val="2"/>
    </font>
    <font>
      <vertAlign val="subscript"/>
      <sz val="13"/>
      <color rgb="FF000000"/>
      <name val="Arial"/>
      <family val="2"/>
    </font>
    <font>
      <sz val="12"/>
      <color theme="1"/>
      <name val="Times New Roman"/>
      <family val="1"/>
    </font>
    <font>
      <vertAlign val="subscript"/>
      <sz val="12"/>
      <color theme="1"/>
      <name val="Times New Roman"/>
      <family val="1"/>
    </font>
    <font>
      <sz val="12"/>
      <color rgb="FF000000"/>
      <name val="Arial"/>
      <family val="2"/>
    </font>
    <font>
      <sz val="12"/>
      <color rgb="FF000000"/>
      <name val="Calibri"/>
      <family val="2"/>
      <scheme val="minor"/>
    </font>
    <font>
      <sz val="14"/>
      <name val="Arial"/>
      <family val="2"/>
    </font>
    <font>
      <sz val="14"/>
      <color theme="1"/>
      <name val="Arial"/>
      <family val="2"/>
    </font>
    <font>
      <sz val="11"/>
      <name val="Arial"/>
      <family val="2"/>
    </font>
    <font>
      <sz val="13"/>
      <color rgb="FF000000"/>
      <name val="Arial"/>
      <family val="2"/>
      <charset val="2"/>
    </font>
    <font>
      <sz val="13"/>
      <color rgb="FF000000"/>
      <name val="Symbol"/>
      <charset val="2"/>
    </font>
    <font>
      <sz val="12"/>
      <name val="Calibri"/>
      <family val="2"/>
      <scheme val="minor"/>
    </font>
  </fonts>
  <fills count="12">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EDEDED"/>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s>
  <borders count="8">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medium">
        <color auto="1"/>
      </top>
      <bottom style="thin">
        <color auto="1"/>
      </bottom>
      <diagonal/>
    </border>
    <border>
      <left/>
      <right/>
      <top/>
      <bottom style="thin">
        <color auto="1"/>
      </bottom>
      <diagonal/>
    </border>
    <border>
      <left style="thin">
        <color auto="1"/>
      </left>
      <right style="thin">
        <color auto="1"/>
      </right>
      <top/>
      <bottom style="thin">
        <color auto="1"/>
      </bottom>
      <diagonal/>
    </border>
  </borders>
  <cellStyleXfs count="2">
    <xf numFmtId="0" fontId="0" fillId="0" borderId="0"/>
    <xf numFmtId="0" fontId="2" fillId="0" borderId="0" applyNumberFormat="0" applyFill="0" applyBorder="0" applyAlignment="0" applyProtection="0"/>
  </cellStyleXfs>
  <cellXfs count="112">
    <xf numFmtId="0" fontId="0" fillId="0" borderId="0" xfId="0"/>
    <xf numFmtId="1" fontId="1" fillId="2" borderId="3" xfId="0" applyNumberFormat="1" applyFont="1" applyFill="1" applyBorder="1"/>
    <xf numFmtId="0" fontId="0" fillId="0" borderId="0" xfId="0" applyFont="1"/>
    <xf numFmtId="0" fontId="1" fillId="0" borderId="1" xfId="0" applyFont="1" applyBorder="1"/>
    <xf numFmtId="0" fontId="1" fillId="0" borderId="3" xfId="0" applyFont="1" applyBorder="1"/>
    <xf numFmtId="0" fontId="1" fillId="6" borderId="3" xfId="0" applyFont="1" applyFill="1" applyBorder="1"/>
    <xf numFmtId="0" fontId="0" fillId="0" borderId="3" xfId="0" applyFont="1" applyBorder="1"/>
    <xf numFmtId="0" fontId="5" fillId="0" borderId="3" xfId="1" applyFont="1" applyBorder="1"/>
    <xf numFmtId="0" fontId="3" fillId="0" borderId="3" xfId="0" applyFont="1" applyBorder="1" applyAlignment="1">
      <alignment vertical="top" wrapText="1"/>
    </xf>
    <xf numFmtId="1" fontId="1" fillId="0" borderId="3" xfId="0" applyNumberFormat="1" applyFont="1" applyBorder="1"/>
    <xf numFmtId="0" fontId="0" fillId="0" borderId="5" xfId="0" applyFont="1" applyBorder="1"/>
    <xf numFmtId="0" fontId="5" fillId="0" borderId="5" xfId="1" applyFont="1" applyBorder="1"/>
    <xf numFmtId="0" fontId="3" fillId="0" borderId="5" xfId="0" applyFont="1" applyBorder="1" applyAlignment="1">
      <alignment vertical="top" wrapText="1"/>
    </xf>
    <xf numFmtId="0" fontId="1" fillId="0" borderId="5" xfId="0" applyFont="1" applyBorder="1"/>
    <xf numFmtId="0" fontId="0" fillId="0" borderId="1" xfId="0"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4" fillId="0" borderId="2" xfId="0" applyFont="1" applyBorder="1" applyAlignment="1">
      <alignment wrapText="1"/>
    </xf>
    <xf numFmtId="0" fontId="14" fillId="0" borderId="3" xfId="0" applyFont="1" applyBorder="1" applyAlignment="1">
      <alignment wrapText="1"/>
    </xf>
    <xf numFmtId="49" fontId="15" fillId="0" borderId="4" xfId="0" applyNumberFormat="1" applyFont="1" applyBorder="1" applyAlignment="1">
      <alignment vertical="center" wrapText="1"/>
    </xf>
    <xf numFmtId="49" fontId="15" fillId="0" borderId="1" xfId="0" applyNumberFormat="1" applyFont="1" applyBorder="1" applyAlignment="1">
      <alignment vertical="center" wrapText="1"/>
    </xf>
    <xf numFmtId="0" fontId="1" fillId="0" borderId="3" xfId="0" applyFont="1" applyBorder="1" applyAlignment="1">
      <alignment vertical="center"/>
    </xf>
    <xf numFmtId="0" fontId="1" fillId="0" borderId="3" xfId="0" applyFont="1" applyBorder="1" applyAlignment="1">
      <alignment vertical="center" wrapText="1"/>
    </xf>
    <xf numFmtId="0" fontId="1" fillId="0" borderId="3" xfId="0" quotePrefix="1" applyFont="1" applyBorder="1" applyAlignment="1">
      <alignment vertical="center" wrapText="1"/>
    </xf>
    <xf numFmtId="0" fontId="16" fillId="2" borderId="1" xfId="0" applyFont="1" applyFill="1" applyBorder="1" applyAlignment="1">
      <alignment vertical="center" wrapText="1"/>
    </xf>
    <xf numFmtId="0" fontId="3" fillId="0" borderId="3" xfId="0" applyFont="1" applyBorder="1" applyAlignment="1">
      <alignment vertical="center" wrapText="1"/>
    </xf>
    <xf numFmtId="0" fontId="3" fillId="0" borderId="4" xfId="0" applyFont="1" applyBorder="1" applyAlignment="1">
      <alignment vertical="center" wrapText="1"/>
    </xf>
    <xf numFmtId="0" fontId="3" fillId="0" borderId="2" xfId="0" applyFont="1" applyBorder="1" applyAlignment="1">
      <alignment vertical="center" wrapText="1"/>
    </xf>
    <xf numFmtId="0" fontId="8" fillId="3" borderId="3" xfId="0" applyFont="1" applyFill="1" applyBorder="1" applyAlignment="1">
      <alignment vertical="center" wrapText="1"/>
    </xf>
    <xf numFmtId="0" fontId="17" fillId="8" borderId="3" xfId="0" applyFont="1" applyFill="1" applyBorder="1" applyAlignment="1">
      <alignment vertical="center" wrapText="1"/>
    </xf>
    <xf numFmtId="0" fontId="8" fillId="4" borderId="3" xfId="0" applyFont="1" applyFill="1" applyBorder="1" applyAlignment="1">
      <alignment vertical="center" wrapText="1"/>
    </xf>
    <xf numFmtId="0" fontId="8" fillId="5" borderId="3" xfId="0" applyFont="1" applyFill="1" applyBorder="1" applyAlignment="1">
      <alignment vertical="center" wrapText="1"/>
    </xf>
    <xf numFmtId="0" fontId="8" fillId="6" borderId="3" xfId="0" applyFont="1" applyFill="1" applyBorder="1" applyAlignment="1">
      <alignment vertical="center" wrapText="1"/>
    </xf>
    <xf numFmtId="0" fontId="18" fillId="9" borderId="3" xfId="0" applyFont="1" applyFill="1" applyBorder="1" applyAlignment="1">
      <alignment vertical="center" wrapText="1"/>
    </xf>
    <xf numFmtId="0" fontId="8" fillId="9" borderId="3" xfId="0" applyFont="1" applyFill="1" applyBorder="1" applyAlignment="1">
      <alignment vertical="center" wrapText="1"/>
    </xf>
    <xf numFmtId="0" fontId="3" fillId="0" borderId="6" xfId="0" applyFont="1" applyFill="1" applyBorder="1" applyAlignment="1">
      <alignment wrapText="1"/>
    </xf>
    <xf numFmtId="0" fontId="1" fillId="0" borderId="1" xfId="0" applyFont="1" applyFill="1" applyBorder="1"/>
    <xf numFmtId="0" fontId="1" fillId="0" borderId="2" xfId="0" applyFont="1" applyFill="1" applyBorder="1"/>
    <xf numFmtId="0" fontId="1" fillId="4" borderId="4" xfId="0" applyFont="1" applyFill="1" applyBorder="1"/>
    <xf numFmtId="0" fontId="1" fillId="4" borderId="1" xfId="0" applyFont="1" applyFill="1" applyBorder="1"/>
    <xf numFmtId="0" fontId="1" fillId="5" borderId="4" xfId="0" applyFont="1" applyFill="1" applyBorder="1"/>
    <xf numFmtId="0" fontId="1" fillId="5" borderId="1" xfId="0" applyFont="1" applyFill="1" applyBorder="1"/>
    <xf numFmtId="0" fontId="1" fillId="5" borderId="0" xfId="0" applyFont="1" applyFill="1" applyBorder="1"/>
    <xf numFmtId="0" fontId="1" fillId="5" borderId="0" xfId="0" applyFont="1" applyFill="1"/>
    <xf numFmtId="0" fontId="1" fillId="7" borderId="4" xfId="0" applyFont="1" applyFill="1" applyBorder="1"/>
    <xf numFmtId="0" fontId="1" fillId="7" borderId="1" xfId="0" applyFont="1" applyFill="1" applyBorder="1"/>
    <xf numFmtId="0" fontId="6" fillId="5"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165" fontId="18" fillId="10" borderId="3" xfId="0" applyNumberFormat="1" applyFont="1" applyFill="1" applyBorder="1" applyAlignment="1">
      <alignment vertical="center" wrapText="1"/>
    </xf>
    <xf numFmtId="0" fontId="8" fillId="10" borderId="3" xfId="0" applyFont="1" applyFill="1" applyBorder="1" applyAlignment="1">
      <alignment vertical="center" wrapText="1"/>
    </xf>
    <xf numFmtId="0" fontId="18" fillId="10" borderId="3" xfId="0" applyFont="1" applyFill="1" applyBorder="1" applyAlignment="1">
      <alignment vertical="center" wrapText="1"/>
    </xf>
    <xf numFmtId="0" fontId="8" fillId="11" borderId="3" xfId="0" applyFont="1" applyFill="1" applyBorder="1" applyAlignment="1">
      <alignment vertical="center" wrapText="1"/>
    </xf>
    <xf numFmtId="0" fontId="8" fillId="7" borderId="3" xfId="0" applyFont="1" applyFill="1" applyBorder="1" applyAlignment="1">
      <alignment vertical="center" wrapText="1"/>
    </xf>
    <xf numFmtId="0" fontId="18" fillId="11" borderId="3" xfId="0" applyFont="1" applyFill="1" applyBorder="1" applyAlignment="1">
      <alignment vertical="center" wrapText="1"/>
    </xf>
    <xf numFmtId="0" fontId="8" fillId="0" borderId="3" xfId="0" applyFont="1" applyBorder="1" applyAlignment="1">
      <alignment horizontal="center" vertical="center" wrapText="1"/>
    </xf>
    <xf numFmtId="0" fontId="11" fillId="0" borderId="3" xfId="0" applyFont="1" applyBorder="1" applyAlignment="1"/>
    <xf numFmtId="0" fontId="3" fillId="0" borderId="3" xfId="0" applyFont="1" applyBorder="1" applyAlignment="1"/>
    <xf numFmtId="0" fontId="13" fillId="3" borderId="7" xfId="0" applyFont="1" applyFill="1" applyBorder="1" applyAlignment="1"/>
    <xf numFmtId="164" fontId="1" fillId="3" borderId="7" xfId="0" applyNumberFormat="1" applyFont="1" applyFill="1" applyBorder="1" applyAlignment="1"/>
    <xf numFmtId="0" fontId="1" fillId="3" borderId="7" xfId="0" applyFont="1" applyFill="1" applyBorder="1" applyAlignment="1"/>
    <xf numFmtId="165" fontId="1" fillId="3" borderId="7" xfId="0" applyNumberFormat="1" applyFont="1" applyFill="1" applyBorder="1" applyAlignment="1"/>
    <xf numFmtId="0" fontId="1" fillId="4" borderId="7" xfId="0" applyFont="1" applyFill="1" applyBorder="1" applyAlignment="1"/>
    <xf numFmtId="0" fontId="1" fillId="4" borderId="7" xfId="0" applyFont="1" applyFill="1" applyBorder="1" applyAlignment="1">
      <alignment horizontal="center"/>
    </xf>
    <xf numFmtId="0" fontId="1" fillId="4" borderId="3" xfId="0" applyFont="1" applyFill="1" applyBorder="1" applyAlignment="1"/>
    <xf numFmtId="0" fontId="0" fillId="4" borderId="3" xfId="0" applyFill="1" applyBorder="1" applyAlignment="1">
      <alignment horizontal="center"/>
    </xf>
    <xf numFmtId="0" fontId="1" fillId="5" borderId="7" xfId="0" applyFont="1" applyFill="1" applyBorder="1" applyAlignment="1"/>
    <xf numFmtId="0" fontId="1" fillId="5" borderId="3" xfId="0" applyFont="1" applyFill="1" applyBorder="1" applyAlignment="1"/>
    <xf numFmtId="2" fontId="1" fillId="5" borderId="7" xfId="0" applyNumberFormat="1" applyFont="1" applyFill="1" applyBorder="1" applyAlignment="1"/>
    <xf numFmtId="0" fontId="1" fillId="6" borderId="7" xfId="0" applyFont="1" applyFill="1" applyBorder="1" applyAlignment="1"/>
    <xf numFmtId="0" fontId="1" fillId="6" borderId="3" xfId="0" applyFont="1" applyFill="1" applyBorder="1" applyAlignment="1"/>
    <xf numFmtId="0" fontId="1" fillId="7" borderId="7" xfId="0" applyFont="1" applyFill="1" applyBorder="1" applyAlignment="1"/>
    <xf numFmtId="0" fontId="1" fillId="0" borderId="0" xfId="0" applyFont="1" applyAlignment="1"/>
    <xf numFmtId="0" fontId="1" fillId="3" borderId="3" xfId="0" applyFont="1" applyFill="1" applyBorder="1" applyAlignment="1"/>
    <xf numFmtId="0" fontId="1" fillId="4" borderId="3" xfId="0" applyFont="1" applyFill="1" applyBorder="1" applyAlignment="1">
      <alignment horizontal="center"/>
    </xf>
    <xf numFmtId="165" fontId="1" fillId="4" borderId="3" xfId="0" applyNumberFormat="1" applyFont="1" applyFill="1" applyBorder="1" applyAlignment="1"/>
    <xf numFmtId="165" fontId="1" fillId="5" borderId="3" xfId="0" applyNumberFormat="1" applyFont="1" applyFill="1" applyBorder="1" applyAlignment="1"/>
    <xf numFmtId="0" fontId="13" fillId="3" borderId="3" xfId="0" applyFont="1" applyFill="1" applyBorder="1" applyAlignment="1"/>
    <xf numFmtId="164" fontId="1" fillId="3" borderId="3" xfId="0" applyNumberFormat="1" applyFont="1" applyFill="1" applyBorder="1" applyAlignment="1"/>
    <xf numFmtId="165" fontId="1" fillId="3" borderId="3" xfId="0" applyNumberFormat="1" applyFont="1" applyFill="1" applyBorder="1" applyAlignment="1"/>
    <xf numFmtId="0" fontId="20" fillId="3" borderId="3" xfId="0" applyFont="1" applyFill="1" applyBorder="1" applyAlignment="1">
      <alignment horizontal="center" vertical="center" wrapText="1"/>
    </xf>
    <xf numFmtId="0" fontId="0" fillId="3" borderId="3" xfId="0" applyFill="1" applyBorder="1" applyAlignment="1">
      <alignment horizontal="center" vertical="center"/>
    </xf>
    <xf numFmtId="165" fontId="1" fillId="5" borderId="7" xfId="0" applyNumberFormat="1" applyFont="1" applyFill="1" applyBorder="1" applyAlignment="1"/>
    <xf numFmtId="1" fontId="1" fillId="5" borderId="7" xfId="0" applyNumberFormat="1" applyFont="1" applyFill="1" applyBorder="1" applyAlignment="1"/>
    <xf numFmtId="1" fontId="1" fillId="5" borderId="3" xfId="0" applyNumberFormat="1" applyFont="1" applyFill="1" applyBorder="1" applyAlignment="1"/>
    <xf numFmtId="1" fontId="1" fillId="7" borderId="7" xfId="0" applyNumberFormat="1" applyFont="1" applyFill="1" applyBorder="1" applyAlignment="1"/>
    <xf numFmtId="1" fontId="1" fillId="7" borderId="3" xfId="0" applyNumberFormat="1" applyFont="1" applyFill="1" applyBorder="1" applyAlignment="1"/>
    <xf numFmtId="1" fontId="1" fillId="2" borderId="5" xfId="0" applyNumberFormat="1" applyFont="1" applyFill="1" applyBorder="1"/>
    <xf numFmtId="0" fontId="0" fillId="3" borderId="3" xfId="0" applyFont="1" applyFill="1" applyBorder="1" applyAlignment="1">
      <alignment horizontal="center" vertical="center"/>
    </xf>
    <xf numFmtId="0" fontId="0" fillId="4" borderId="3" xfId="0" applyFont="1" applyFill="1" applyBorder="1" applyAlignment="1">
      <alignment horizontal="center"/>
    </xf>
    <xf numFmtId="0" fontId="0" fillId="0" borderId="3" xfId="0" applyFont="1" applyBorder="1" applyAlignment="1">
      <alignment horizontal="center"/>
    </xf>
    <xf numFmtId="0" fontId="4" fillId="0" borderId="5" xfId="0" applyFont="1" applyFill="1" applyBorder="1"/>
    <xf numFmtId="0" fontId="1" fillId="0" borderId="3" xfId="0" applyFont="1" applyFill="1" applyBorder="1" applyAlignment="1">
      <alignment horizontal="left" vertical="center" indent="1"/>
    </xf>
    <xf numFmtId="0" fontId="0" fillId="0" borderId="3" xfId="0" applyFont="1" applyFill="1" applyBorder="1"/>
    <xf numFmtId="0" fontId="4" fillId="0" borderId="3" xfId="0" applyFont="1" applyFill="1" applyBorder="1"/>
    <xf numFmtId="0" fontId="6" fillId="7" borderId="4"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0" borderId="4" xfId="0" applyFont="1" applyBorder="1" applyAlignment="1">
      <alignment horizontal="center"/>
    </xf>
    <xf numFmtId="0" fontId="6" fillId="0" borderId="1" xfId="0" applyFont="1" applyBorder="1" applyAlignment="1">
      <alignment horizontal="center"/>
    </xf>
    <xf numFmtId="0" fontId="6" fillId="0" borderId="2" xfId="0" applyFont="1" applyBorder="1" applyAlignment="1">
      <alignment horizontal="center"/>
    </xf>
    <xf numFmtId="0" fontId="6" fillId="0" borderId="1" xfId="0" applyFont="1" applyBorder="1" applyAlignment="1">
      <alignment horizontal="center" vertical="center" wrapText="1"/>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6" borderId="2"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breecker@jsg.utexas.edu" TargetMode="External"/><Relationship Id="rId1" Type="http://schemas.openxmlformats.org/officeDocument/2006/relationships/hyperlink" Target="mailto:breecker@jsg.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R13"/>
  <sheetViews>
    <sheetView tabSelected="1" topLeftCell="C1" zoomScale="93" zoomScaleNormal="100" workbookViewId="0">
      <selection activeCell="N3" sqref="N3:O3"/>
    </sheetView>
  </sheetViews>
  <sheetFormatPr baseColWidth="10" defaultColWidth="10.6640625" defaultRowHeight="16" x14ac:dyDescent="0.2"/>
  <cols>
    <col min="1" max="1" width="22.83203125" customWidth="1"/>
    <col min="6" max="6" width="32.1640625" customWidth="1"/>
  </cols>
  <sheetData>
    <row r="1" spans="1:148" ht="17" x14ac:dyDescent="0.2">
      <c r="A1" s="3"/>
      <c r="Y1" s="36"/>
      <c r="Z1" s="36"/>
      <c r="AA1" s="36"/>
      <c r="AB1" s="36"/>
      <c r="AC1" s="37"/>
      <c r="AD1" s="37"/>
      <c r="AE1" s="37"/>
      <c r="AF1" s="37"/>
      <c r="AG1" s="37"/>
      <c r="AH1" s="37"/>
      <c r="AI1" s="37"/>
      <c r="AJ1" s="37"/>
      <c r="AK1" s="37"/>
      <c r="AL1" s="37"/>
      <c r="AM1" s="38"/>
      <c r="AN1" s="39"/>
      <c r="AO1" s="40"/>
      <c r="AP1" s="40"/>
      <c r="AQ1" s="40"/>
      <c r="AR1" s="40"/>
      <c r="AS1" s="40"/>
      <c r="AT1" s="40"/>
      <c r="AU1" s="40"/>
      <c r="AV1" s="40"/>
      <c r="AW1" s="40"/>
      <c r="AX1" s="40"/>
      <c r="AY1" s="40"/>
      <c r="AZ1" s="40"/>
      <c r="BA1" s="40"/>
      <c r="BB1" s="40"/>
      <c r="BC1" s="40"/>
      <c r="BD1" s="40"/>
      <c r="BE1" s="40"/>
      <c r="BF1" s="40"/>
      <c r="BG1" s="40"/>
      <c r="BH1" s="40"/>
      <c r="BI1" s="40"/>
      <c r="BJ1" s="40"/>
      <c r="BK1" s="40"/>
      <c r="BL1" s="40"/>
      <c r="BM1" s="40"/>
      <c r="BN1" s="40"/>
      <c r="BO1" s="40"/>
      <c r="BP1" s="40"/>
      <c r="BQ1" s="40"/>
      <c r="BR1" s="40"/>
      <c r="BS1" s="40"/>
      <c r="BT1" s="40"/>
      <c r="BU1" s="40"/>
      <c r="BV1" s="40"/>
      <c r="BW1" s="40"/>
      <c r="BX1" s="40"/>
      <c r="BY1" s="40"/>
      <c r="BZ1" s="40"/>
      <c r="CA1" s="40"/>
      <c r="CB1" s="40"/>
      <c r="CC1" s="40"/>
      <c r="CD1" s="40"/>
      <c r="CE1" s="40"/>
      <c r="CF1" s="40"/>
      <c r="CG1" s="40"/>
      <c r="CH1" s="40"/>
      <c r="CI1" s="40"/>
      <c r="CJ1" s="41"/>
      <c r="CK1" s="42"/>
      <c r="CL1" s="42"/>
      <c r="CM1" s="42"/>
      <c r="CN1" s="42"/>
      <c r="CO1" s="42"/>
      <c r="CP1" s="42"/>
      <c r="CQ1" s="42"/>
      <c r="CR1" s="42"/>
      <c r="CS1" s="42"/>
      <c r="CT1" s="42"/>
      <c r="CU1" s="42"/>
      <c r="CV1" s="42"/>
      <c r="CW1" s="42"/>
      <c r="CX1" s="42"/>
      <c r="CY1" s="43"/>
      <c r="CZ1" s="43"/>
      <c r="DA1" s="44"/>
      <c r="DB1" s="42"/>
      <c r="DC1" s="42"/>
      <c r="DD1" s="42"/>
      <c r="DE1" s="42"/>
      <c r="DF1" s="42"/>
      <c r="DG1" s="42"/>
      <c r="DH1" s="42"/>
      <c r="DI1" s="42"/>
      <c r="DJ1" s="42"/>
      <c r="DK1" s="42"/>
      <c r="DL1" s="42"/>
      <c r="DM1" s="42"/>
      <c r="DN1" s="42"/>
      <c r="DO1" s="42"/>
      <c r="DP1" s="42"/>
      <c r="DQ1" s="42"/>
      <c r="DR1" s="42"/>
      <c r="DS1" s="5"/>
      <c r="DT1" s="5"/>
      <c r="DU1" s="5"/>
      <c r="DV1" s="5"/>
      <c r="DW1" s="5"/>
      <c r="DX1" s="5"/>
      <c r="DY1" s="5"/>
      <c r="DZ1" s="5"/>
      <c r="EA1" s="5"/>
      <c r="EB1" s="5"/>
      <c r="EC1" s="5"/>
      <c r="ED1" s="5"/>
      <c r="EE1" s="5"/>
      <c r="EF1" s="5"/>
      <c r="EG1" s="45"/>
      <c r="EH1" s="46"/>
      <c r="EI1" s="46"/>
      <c r="EJ1" s="46"/>
      <c r="EK1" s="46"/>
      <c r="EL1" s="46"/>
      <c r="EM1" s="46"/>
      <c r="EN1" s="46"/>
      <c r="EO1" s="46"/>
      <c r="EP1" s="38"/>
    </row>
    <row r="2" spans="1:148" ht="20" customHeight="1" x14ac:dyDescent="0.25">
      <c r="A2" s="97" t="s">
        <v>72</v>
      </c>
      <c r="B2" s="98"/>
      <c r="C2" s="98"/>
      <c r="D2" s="98"/>
      <c r="E2" s="98"/>
      <c r="F2" s="98"/>
      <c r="G2" s="98"/>
      <c r="H2" s="98"/>
      <c r="I2" s="98"/>
      <c r="J2" s="98"/>
      <c r="K2" s="98"/>
      <c r="L2" s="98"/>
      <c r="M2" s="98"/>
      <c r="N2" s="98"/>
      <c r="O2" s="98"/>
      <c r="P2" s="98"/>
      <c r="Q2" s="98"/>
      <c r="R2" s="98"/>
      <c r="S2" s="98"/>
      <c r="T2" s="98"/>
      <c r="U2" s="98"/>
      <c r="V2" s="98"/>
      <c r="W2" s="98"/>
      <c r="X2" s="99"/>
      <c r="Y2" s="100" t="s">
        <v>158</v>
      </c>
      <c r="Z2" s="100"/>
      <c r="AA2" s="100"/>
      <c r="AB2" s="100"/>
      <c r="AC2" s="101" t="s">
        <v>18</v>
      </c>
      <c r="AD2" s="101"/>
      <c r="AE2" s="101"/>
      <c r="AF2" s="101"/>
      <c r="AG2" s="101"/>
      <c r="AH2" s="101"/>
      <c r="AI2" s="101"/>
      <c r="AJ2" s="101"/>
      <c r="AK2" s="101"/>
      <c r="AL2" s="101"/>
      <c r="AM2" s="102"/>
      <c r="AN2" s="103" t="s">
        <v>19</v>
      </c>
      <c r="AO2" s="104"/>
      <c r="AP2" s="104"/>
      <c r="AQ2" s="104"/>
      <c r="AR2" s="104"/>
      <c r="AS2" s="104"/>
      <c r="AT2" s="104"/>
      <c r="AU2" s="104"/>
      <c r="AV2" s="104"/>
      <c r="AW2" s="104"/>
      <c r="AX2" s="104"/>
      <c r="AY2" s="104"/>
      <c r="AZ2" s="104"/>
      <c r="BA2" s="104"/>
      <c r="BB2" s="104"/>
      <c r="BC2" s="104"/>
      <c r="BD2" s="104"/>
      <c r="BE2" s="104"/>
      <c r="BF2" s="104"/>
      <c r="BG2" s="104"/>
      <c r="BH2" s="104"/>
      <c r="BI2" s="104"/>
      <c r="BJ2" s="104"/>
      <c r="BK2" s="104"/>
      <c r="BL2" s="104"/>
      <c r="BM2" s="104"/>
      <c r="BN2" s="104"/>
      <c r="BO2" s="104"/>
      <c r="BP2" s="104"/>
      <c r="BQ2" s="104"/>
      <c r="BR2" s="104"/>
      <c r="BS2" s="104"/>
      <c r="BT2" s="104"/>
      <c r="BU2" s="104"/>
      <c r="BV2" s="104"/>
      <c r="BW2" s="104"/>
      <c r="BX2" s="104"/>
      <c r="BY2" s="104"/>
      <c r="BZ2" s="104"/>
      <c r="CA2" s="104"/>
      <c r="CB2" s="104"/>
      <c r="CC2" s="104"/>
      <c r="CD2" s="104"/>
      <c r="CE2" s="104"/>
      <c r="CF2" s="104"/>
      <c r="CG2" s="104"/>
      <c r="CH2" s="104"/>
      <c r="CI2" s="105"/>
      <c r="CJ2" s="106" t="s">
        <v>20</v>
      </c>
      <c r="CK2" s="107"/>
      <c r="CL2" s="107"/>
      <c r="CM2" s="107"/>
      <c r="CN2" s="107"/>
      <c r="CO2" s="107"/>
      <c r="CP2" s="107"/>
      <c r="CQ2" s="107"/>
      <c r="CR2" s="107"/>
      <c r="CS2" s="107"/>
      <c r="CT2" s="107"/>
      <c r="CU2" s="107"/>
      <c r="CV2" s="107"/>
      <c r="CW2" s="107"/>
      <c r="CX2" s="107"/>
      <c r="CY2" s="107"/>
      <c r="CZ2" s="107"/>
      <c r="DA2" s="107"/>
      <c r="DB2" s="107"/>
      <c r="DC2" s="107"/>
      <c r="DD2" s="107"/>
      <c r="DE2" s="107"/>
      <c r="DF2" s="107"/>
      <c r="DG2" s="107"/>
      <c r="DH2" s="107"/>
      <c r="DI2" s="107"/>
      <c r="DJ2" s="107"/>
      <c r="DK2" s="107"/>
      <c r="DL2" s="107"/>
      <c r="DM2" s="107"/>
      <c r="DN2" s="107"/>
      <c r="DO2" s="108"/>
      <c r="DP2" s="47"/>
      <c r="DQ2" s="47"/>
      <c r="DR2" s="47"/>
      <c r="DS2" s="109" t="s">
        <v>21</v>
      </c>
      <c r="DT2" s="110"/>
      <c r="DU2" s="110"/>
      <c r="DV2" s="110"/>
      <c r="DW2" s="110"/>
      <c r="DX2" s="110"/>
      <c r="DY2" s="110"/>
      <c r="DZ2" s="110"/>
      <c r="EA2" s="110"/>
      <c r="EB2" s="110"/>
      <c r="EC2" s="110"/>
      <c r="ED2" s="110"/>
      <c r="EE2" s="110"/>
      <c r="EF2" s="111"/>
      <c r="EG2" s="95" t="s">
        <v>22</v>
      </c>
      <c r="EH2" s="96"/>
      <c r="EI2" s="96"/>
      <c r="EJ2" s="96"/>
      <c r="EK2" s="96"/>
      <c r="EL2" s="96"/>
      <c r="EM2" s="96"/>
      <c r="EN2" s="96"/>
      <c r="EO2" s="96"/>
      <c r="EP2" s="48"/>
    </row>
    <row r="3" spans="1:148" ht="409.6" thickBot="1" x14ac:dyDescent="0.25">
      <c r="A3" s="20" t="s">
        <v>81</v>
      </c>
      <c r="B3" s="21" t="s">
        <v>82</v>
      </c>
      <c r="C3" s="22" t="s">
        <v>0</v>
      </c>
      <c r="D3" s="23" t="s">
        <v>2</v>
      </c>
      <c r="E3" s="23" t="s">
        <v>3</v>
      </c>
      <c r="F3" s="22" t="s">
        <v>1</v>
      </c>
      <c r="G3" s="22" t="s">
        <v>4</v>
      </c>
      <c r="H3" s="24" t="s">
        <v>5</v>
      </c>
      <c r="I3" s="24" t="s">
        <v>6</v>
      </c>
      <c r="J3" s="23" t="s">
        <v>71</v>
      </c>
      <c r="K3" s="24" t="s">
        <v>14</v>
      </c>
      <c r="L3" s="24" t="s">
        <v>83</v>
      </c>
      <c r="M3" s="14" t="s">
        <v>73</v>
      </c>
      <c r="N3" s="14" t="s">
        <v>206</v>
      </c>
      <c r="O3" s="14" t="s">
        <v>207</v>
      </c>
      <c r="P3" s="14" t="s">
        <v>74</v>
      </c>
      <c r="Q3" s="15" t="s">
        <v>75</v>
      </c>
      <c r="R3" s="16" t="s">
        <v>15</v>
      </c>
      <c r="S3" s="17" t="s">
        <v>76</v>
      </c>
      <c r="T3" s="14" t="s">
        <v>77</v>
      </c>
      <c r="U3" s="14" t="s">
        <v>12</v>
      </c>
      <c r="V3" s="14" t="s">
        <v>78</v>
      </c>
      <c r="W3" s="18" t="s">
        <v>79</v>
      </c>
      <c r="X3" s="19" t="s">
        <v>7</v>
      </c>
      <c r="Y3" s="25" t="s">
        <v>84</v>
      </c>
      <c r="Z3" s="26" t="s">
        <v>159</v>
      </c>
      <c r="AA3" s="27" t="s">
        <v>39</v>
      </c>
      <c r="AB3" s="28" t="s">
        <v>40</v>
      </c>
      <c r="AC3" s="29" t="s">
        <v>23</v>
      </c>
      <c r="AD3" s="29" t="s">
        <v>24</v>
      </c>
      <c r="AE3" s="30" t="s">
        <v>85</v>
      </c>
      <c r="AF3" s="29" t="s">
        <v>86</v>
      </c>
      <c r="AG3" s="80" t="s">
        <v>181</v>
      </c>
      <c r="AH3" s="80" t="s">
        <v>182</v>
      </c>
      <c r="AI3" s="29" t="s">
        <v>87</v>
      </c>
      <c r="AJ3" s="29" t="s">
        <v>88</v>
      </c>
      <c r="AK3" s="29" t="s">
        <v>89</v>
      </c>
      <c r="AL3" s="29" t="s">
        <v>90</v>
      </c>
      <c r="AM3" s="29" t="s">
        <v>25</v>
      </c>
      <c r="AN3" s="34" t="s">
        <v>91</v>
      </c>
      <c r="AO3" s="34" t="s">
        <v>92</v>
      </c>
      <c r="AP3" s="35" t="s">
        <v>93</v>
      </c>
      <c r="AQ3" s="35" t="s">
        <v>94</v>
      </c>
      <c r="AR3" s="34" t="s">
        <v>95</v>
      </c>
      <c r="AS3" s="34" t="s">
        <v>96</v>
      </c>
      <c r="AT3" s="35" t="s">
        <v>97</v>
      </c>
      <c r="AU3" s="34" t="s">
        <v>98</v>
      </c>
      <c r="AV3" s="34" t="s">
        <v>99</v>
      </c>
      <c r="AW3" s="35" t="s">
        <v>100</v>
      </c>
      <c r="AX3" s="35" t="s">
        <v>101</v>
      </c>
      <c r="AY3" s="34" t="s">
        <v>102</v>
      </c>
      <c r="AZ3" s="34" t="s">
        <v>160</v>
      </c>
      <c r="BA3" s="31" t="s">
        <v>161</v>
      </c>
      <c r="BB3" s="35" t="s">
        <v>103</v>
      </c>
      <c r="BC3" s="34" t="s">
        <v>162</v>
      </c>
      <c r="BD3" s="34" t="s">
        <v>163</v>
      </c>
      <c r="BE3" s="35" t="s">
        <v>164</v>
      </c>
      <c r="BF3" s="35" t="s">
        <v>165</v>
      </c>
      <c r="BG3" s="34" t="s">
        <v>104</v>
      </c>
      <c r="BH3" s="34" t="s">
        <v>105</v>
      </c>
      <c r="BI3" s="35" t="s">
        <v>106</v>
      </c>
      <c r="BJ3" s="35" t="s">
        <v>107</v>
      </c>
      <c r="BK3" s="31" t="s">
        <v>108</v>
      </c>
      <c r="BL3" s="31" t="s">
        <v>109</v>
      </c>
      <c r="BM3" s="31" t="s">
        <v>110</v>
      </c>
      <c r="BN3" s="31" t="s">
        <v>111</v>
      </c>
      <c r="BO3" s="31" t="s">
        <v>112</v>
      </c>
      <c r="BP3" s="31" t="s">
        <v>113</v>
      </c>
      <c r="BQ3" s="31" t="s">
        <v>114</v>
      </c>
      <c r="BR3" s="31" t="s">
        <v>115</v>
      </c>
      <c r="BS3" s="31" t="s">
        <v>116</v>
      </c>
      <c r="BT3" s="31" t="s">
        <v>117</v>
      </c>
      <c r="BU3" s="31" t="s">
        <v>118</v>
      </c>
      <c r="BV3" s="31" t="s">
        <v>119</v>
      </c>
      <c r="BW3" s="31" t="s">
        <v>120</v>
      </c>
      <c r="BX3" s="31" t="s">
        <v>121</v>
      </c>
      <c r="BY3" s="31" t="s">
        <v>122</v>
      </c>
      <c r="BZ3" s="31" t="s">
        <v>123</v>
      </c>
      <c r="CA3" s="31" t="s">
        <v>124</v>
      </c>
      <c r="CB3" s="31" t="s">
        <v>125</v>
      </c>
      <c r="CC3" s="31" t="s">
        <v>126</v>
      </c>
      <c r="CD3" s="31" t="s">
        <v>127</v>
      </c>
      <c r="CE3" s="31" t="s">
        <v>128</v>
      </c>
      <c r="CF3" s="31" t="s">
        <v>129</v>
      </c>
      <c r="CG3" s="31" t="s">
        <v>130</v>
      </c>
      <c r="CH3" s="31" t="s">
        <v>131</v>
      </c>
      <c r="CI3" s="31" t="s">
        <v>26</v>
      </c>
      <c r="CJ3" s="49" t="s">
        <v>132</v>
      </c>
      <c r="CK3" s="50" t="s">
        <v>133</v>
      </c>
      <c r="CL3" s="50" t="s">
        <v>134</v>
      </c>
      <c r="CM3" s="51" t="s">
        <v>166</v>
      </c>
      <c r="CN3" s="51" t="s">
        <v>167</v>
      </c>
      <c r="CO3" s="51" t="s">
        <v>168</v>
      </c>
      <c r="CP3" s="49" t="s">
        <v>135</v>
      </c>
      <c r="CQ3" s="50" t="s">
        <v>136</v>
      </c>
      <c r="CR3" s="50" t="s">
        <v>137</v>
      </c>
      <c r="CS3" s="50" t="s">
        <v>138</v>
      </c>
      <c r="CT3" s="51" t="s">
        <v>167</v>
      </c>
      <c r="CU3" s="51" t="s">
        <v>168</v>
      </c>
      <c r="CV3" s="32" t="s">
        <v>139</v>
      </c>
      <c r="CW3" s="32" t="s">
        <v>27</v>
      </c>
      <c r="CX3" s="32" t="s">
        <v>169</v>
      </c>
      <c r="CY3" s="51" t="s">
        <v>167</v>
      </c>
      <c r="CZ3" s="51" t="s">
        <v>168</v>
      </c>
      <c r="DA3" s="50" t="s">
        <v>140</v>
      </c>
      <c r="DB3" s="32" t="s">
        <v>28</v>
      </c>
      <c r="DC3" s="51" t="s">
        <v>141</v>
      </c>
      <c r="DD3" s="50" t="s">
        <v>142</v>
      </c>
      <c r="DE3" s="50" t="s">
        <v>143</v>
      </c>
      <c r="DF3" s="32" t="s">
        <v>144</v>
      </c>
      <c r="DG3" s="32" t="s">
        <v>145</v>
      </c>
      <c r="DH3" s="32" t="s">
        <v>29</v>
      </c>
      <c r="DI3" s="32" t="s">
        <v>146</v>
      </c>
      <c r="DJ3" s="51" t="s">
        <v>167</v>
      </c>
      <c r="DK3" s="51" t="s">
        <v>168</v>
      </c>
      <c r="DL3" s="32" t="s">
        <v>30</v>
      </c>
      <c r="DM3" s="32" t="s">
        <v>170</v>
      </c>
      <c r="DN3" s="32" t="s">
        <v>31</v>
      </c>
      <c r="DO3" s="32" t="s">
        <v>171</v>
      </c>
      <c r="DP3" s="32" t="s">
        <v>172</v>
      </c>
      <c r="DQ3" s="51" t="s">
        <v>167</v>
      </c>
      <c r="DR3" s="51" t="s">
        <v>168</v>
      </c>
      <c r="DS3" s="33" t="s">
        <v>147</v>
      </c>
      <c r="DT3" s="33" t="s">
        <v>33</v>
      </c>
      <c r="DU3" s="33" t="s">
        <v>148</v>
      </c>
      <c r="DV3" s="33" t="s">
        <v>149</v>
      </c>
      <c r="DW3" s="33" t="s">
        <v>34</v>
      </c>
      <c r="DX3" s="33" t="s">
        <v>150</v>
      </c>
      <c r="DY3" s="33" t="s">
        <v>151</v>
      </c>
      <c r="DZ3" s="33" t="s">
        <v>32</v>
      </c>
      <c r="EA3" s="33" t="s">
        <v>35</v>
      </c>
      <c r="EB3" s="33" t="s">
        <v>36</v>
      </c>
      <c r="EC3" s="33" t="s">
        <v>37</v>
      </c>
      <c r="ED3" s="33" t="s">
        <v>38</v>
      </c>
      <c r="EE3" s="33" t="s">
        <v>152</v>
      </c>
      <c r="EF3" s="33" t="s">
        <v>153</v>
      </c>
      <c r="EG3" s="52" t="s">
        <v>154</v>
      </c>
      <c r="EH3" s="52" t="s">
        <v>155</v>
      </c>
      <c r="EI3" s="52" t="s">
        <v>173</v>
      </c>
      <c r="EJ3" s="52" t="s">
        <v>174</v>
      </c>
      <c r="EK3" s="53" t="s">
        <v>157</v>
      </c>
      <c r="EL3" s="53" t="s">
        <v>156</v>
      </c>
      <c r="EM3" s="54" t="s">
        <v>168</v>
      </c>
      <c r="EN3" s="52" t="s">
        <v>175</v>
      </c>
      <c r="EO3" s="52" t="s">
        <v>176</v>
      </c>
      <c r="EP3" s="55" t="s">
        <v>177</v>
      </c>
    </row>
    <row r="4" spans="1:148" s="2" customFormat="1" ht="16" customHeight="1" x14ac:dyDescent="0.25">
      <c r="A4" s="10" t="s">
        <v>70</v>
      </c>
      <c r="B4" s="11" t="s">
        <v>11</v>
      </c>
      <c r="C4" s="10" t="s">
        <v>16</v>
      </c>
      <c r="D4" s="10" t="s">
        <v>8</v>
      </c>
      <c r="E4" s="10" t="s">
        <v>9</v>
      </c>
      <c r="F4" s="12" t="s">
        <v>10</v>
      </c>
      <c r="G4" s="13">
        <v>52000</v>
      </c>
      <c r="H4" s="13">
        <v>200</v>
      </c>
      <c r="I4" s="13">
        <v>200</v>
      </c>
      <c r="J4" s="87">
        <v>261.38955173968901</v>
      </c>
      <c r="K4" s="87">
        <v>820.95432329199093</v>
      </c>
      <c r="L4" s="87">
        <v>260.38955173968901</v>
      </c>
      <c r="M4" s="10" t="b">
        <v>0</v>
      </c>
      <c r="N4" s="10">
        <v>3</v>
      </c>
      <c r="O4" s="91" t="s">
        <v>13</v>
      </c>
      <c r="P4" s="10" t="b">
        <v>0</v>
      </c>
      <c r="Q4" s="10" t="b">
        <v>1</v>
      </c>
      <c r="R4" s="10" t="s">
        <v>203</v>
      </c>
      <c r="S4" s="10" t="b">
        <v>1</v>
      </c>
      <c r="T4" s="10" t="b">
        <v>0</v>
      </c>
      <c r="U4" s="10" t="s">
        <v>17</v>
      </c>
      <c r="V4" s="10" t="b">
        <v>0</v>
      </c>
      <c r="W4" s="10" t="b">
        <v>0</v>
      </c>
      <c r="X4" s="10" t="s">
        <v>17</v>
      </c>
      <c r="Y4" s="56" t="s">
        <v>80</v>
      </c>
      <c r="Z4" s="57" t="s">
        <v>10</v>
      </c>
      <c r="AA4" s="57" t="s">
        <v>17</v>
      </c>
      <c r="AB4" s="57" t="s">
        <v>17</v>
      </c>
      <c r="AC4" s="60" t="s">
        <v>41</v>
      </c>
      <c r="AD4" s="60" t="s">
        <v>42</v>
      </c>
      <c r="AE4" s="60">
        <v>42.2179</v>
      </c>
      <c r="AF4" s="59">
        <v>-108.545</v>
      </c>
      <c r="AG4" s="88" t="s">
        <v>17</v>
      </c>
      <c r="AH4" s="88" t="s">
        <v>17</v>
      </c>
      <c r="AI4" s="60">
        <v>2.5</v>
      </c>
      <c r="AJ4" s="61">
        <v>52</v>
      </c>
      <c r="AK4" s="61">
        <f>AJ4+0.2</f>
        <v>52.2</v>
      </c>
      <c r="AL4" s="61">
        <f>AJ4-0.2</f>
        <v>51.8</v>
      </c>
      <c r="AM4" s="60" t="s">
        <v>43</v>
      </c>
      <c r="AN4" s="62">
        <v>-6.5</v>
      </c>
      <c r="AO4" s="62">
        <v>0.7</v>
      </c>
      <c r="AP4" s="62">
        <v>3</v>
      </c>
      <c r="AQ4" s="62" t="s">
        <v>44</v>
      </c>
      <c r="AR4" s="63" t="s">
        <v>17</v>
      </c>
      <c r="AS4" s="63" t="s">
        <v>17</v>
      </c>
      <c r="AT4" s="63" t="s">
        <v>17</v>
      </c>
      <c r="AU4" s="62">
        <v>-21.7</v>
      </c>
      <c r="AV4" s="62">
        <v>0.1</v>
      </c>
      <c r="AW4" s="62">
        <v>2</v>
      </c>
      <c r="AX4" s="62" t="s">
        <v>44</v>
      </c>
      <c r="AY4" s="64" t="s">
        <v>17</v>
      </c>
      <c r="AZ4" s="64" t="s">
        <v>17</v>
      </c>
      <c r="BA4" s="64" t="s">
        <v>17</v>
      </c>
      <c r="BB4" s="64" t="s">
        <v>17</v>
      </c>
      <c r="BC4" s="75">
        <v>-7.8150000000000004</v>
      </c>
      <c r="BD4" s="64" t="s">
        <v>178</v>
      </c>
      <c r="BE4" s="64" t="s">
        <v>178</v>
      </c>
      <c r="BF4" s="64" t="s">
        <v>17</v>
      </c>
      <c r="BG4" s="64" t="s">
        <v>17</v>
      </c>
      <c r="BH4" s="64" t="s">
        <v>17</v>
      </c>
      <c r="BI4" s="64" t="s">
        <v>17</v>
      </c>
      <c r="BJ4" s="64" t="s">
        <v>17</v>
      </c>
      <c r="BK4" s="62">
        <v>40</v>
      </c>
      <c r="BL4" s="62" t="s">
        <v>45</v>
      </c>
      <c r="BM4" s="89" t="s">
        <v>17</v>
      </c>
      <c r="BN4" s="89" t="s">
        <v>17</v>
      </c>
      <c r="BO4" s="89" t="s">
        <v>17</v>
      </c>
      <c r="BP4" s="89" t="s">
        <v>17</v>
      </c>
      <c r="BQ4" s="89" t="s">
        <v>17</v>
      </c>
      <c r="BR4" s="89" t="s">
        <v>17</v>
      </c>
      <c r="BS4" s="89" t="s">
        <v>17</v>
      </c>
      <c r="BT4" s="89" t="s">
        <v>17</v>
      </c>
      <c r="BU4" s="89" t="s">
        <v>17</v>
      </c>
      <c r="BV4" s="89" t="s">
        <v>17</v>
      </c>
      <c r="BW4" s="89" t="s">
        <v>17</v>
      </c>
      <c r="BX4" s="89" t="s">
        <v>17</v>
      </c>
      <c r="BY4" s="89" t="s">
        <v>17</v>
      </c>
      <c r="BZ4" s="89" t="s">
        <v>17</v>
      </c>
      <c r="CA4" s="89" t="s">
        <v>17</v>
      </c>
      <c r="CB4" s="89" t="s">
        <v>17</v>
      </c>
      <c r="CC4" s="89" t="s">
        <v>17</v>
      </c>
      <c r="CD4" s="89" t="s">
        <v>17</v>
      </c>
      <c r="CE4" s="89" t="s">
        <v>17</v>
      </c>
      <c r="CF4" s="89" t="s">
        <v>17</v>
      </c>
      <c r="CG4" s="89" t="s">
        <v>17</v>
      </c>
      <c r="CH4" s="89" t="s">
        <v>17</v>
      </c>
      <c r="CI4" s="63">
        <v>0</v>
      </c>
      <c r="CJ4" s="66">
        <v>-21.2</v>
      </c>
      <c r="CK4" s="67" t="s">
        <v>187</v>
      </c>
      <c r="CL4" s="67" t="s">
        <v>188</v>
      </c>
      <c r="CM4" s="82">
        <v>1.44155723570744</v>
      </c>
      <c r="CN4" s="68" t="s">
        <v>189</v>
      </c>
      <c r="CO4" s="68" t="s">
        <v>184</v>
      </c>
      <c r="CP4" s="82">
        <v>-5.82</v>
      </c>
      <c r="CQ4" s="67" t="s">
        <v>202</v>
      </c>
      <c r="CR4" s="67" t="s">
        <v>46</v>
      </c>
      <c r="CS4" s="82">
        <v>0.61809379651310203</v>
      </c>
      <c r="CT4" s="66" t="s">
        <v>190</v>
      </c>
      <c r="CU4" s="66" t="s">
        <v>184</v>
      </c>
      <c r="CV4" s="82">
        <v>22.9834</v>
      </c>
      <c r="CW4" s="66" t="s">
        <v>183</v>
      </c>
      <c r="CX4" s="82">
        <v>8.52419110922974</v>
      </c>
      <c r="CY4" s="66" t="s">
        <v>185</v>
      </c>
      <c r="CZ4" s="66" t="s">
        <v>184</v>
      </c>
      <c r="DA4" s="66" t="s">
        <v>17</v>
      </c>
      <c r="DB4" s="66" t="s">
        <v>186</v>
      </c>
      <c r="DC4" s="82">
        <v>-15.5783287766484</v>
      </c>
      <c r="DD4" s="66" t="s">
        <v>47</v>
      </c>
      <c r="DE4" s="82">
        <v>1.7068292971021799</v>
      </c>
      <c r="DF4" s="66">
        <v>40</v>
      </c>
      <c r="DG4" s="83" t="s">
        <v>17</v>
      </c>
      <c r="DH4" s="66" t="s">
        <v>17</v>
      </c>
      <c r="DI4" s="66" t="s">
        <v>17</v>
      </c>
      <c r="DJ4" s="67" t="s">
        <v>17</v>
      </c>
      <c r="DK4" s="67" t="s">
        <v>17</v>
      </c>
      <c r="DL4" s="67" t="s">
        <v>49</v>
      </c>
      <c r="DM4" s="83">
        <v>2159.7024356705601</v>
      </c>
      <c r="DN4" s="84" t="s">
        <v>195</v>
      </c>
      <c r="DO4" s="84">
        <v>1533.20026374909</v>
      </c>
      <c r="DP4" s="84">
        <v>1492.9056113554343</v>
      </c>
      <c r="DQ4" s="66" t="s">
        <v>196</v>
      </c>
      <c r="DR4" s="67" t="s">
        <v>192</v>
      </c>
      <c r="DS4" s="69" t="s">
        <v>50</v>
      </c>
      <c r="DT4" s="69" t="s">
        <v>51</v>
      </c>
      <c r="DU4" s="69">
        <v>65</v>
      </c>
      <c r="DV4" s="69" t="s">
        <v>17</v>
      </c>
      <c r="DW4" s="69" t="s">
        <v>52</v>
      </c>
      <c r="DX4" s="69" t="s">
        <v>53</v>
      </c>
      <c r="DY4" s="70" t="s">
        <v>54</v>
      </c>
      <c r="DZ4" s="70" t="s">
        <v>50</v>
      </c>
      <c r="EA4" s="70" t="s">
        <v>55</v>
      </c>
      <c r="EB4" s="70" t="s">
        <v>56</v>
      </c>
      <c r="EC4" s="70" t="s">
        <v>57</v>
      </c>
      <c r="ED4" s="70" t="s">
        <v>58</v>
      </c>
      <c r="EE4" s="70" t="s">
        <v>199</v>
      </c>
      <c r="EF4" s="70" t="s">
        <v>17</v>
      </c>
      <c r="EG4" s="85">
        <v>326.280049817048</v>
      </c>
      <c r="EH4" s="85">
        <v>261.38955173968901</v>
      </c>
      <c r="EI4" s="85">
        <v>820.95432329199093</v>
      </c>
      <c r="EJ4" s="85">
        <v>260.38955173968901</v>
      </c>
      <c r="EK4" s="71" t="s">
        <v>180</v>
      </c>
      <c r="EL4" s="71" t="s">
        <v>193</v>
      </c>
      <c r="EM4" s="71" t="s">
        <v>192</v>
      </c>
      <c r="EN4" s="85">
        <v>1082.34387503168</v>
      </c>
      <c r="EO4" s="85">
        <v>1</v>
      </c>
      <c r="EP4" s="72" t="s">
        <v>197</v>
      </c>
    </row>
    <row r="5" spans="1:148" s="2" customFormat="1" ht="17" customHeight="1" x14ac:dyDescent="0.25">
      <c r="A5" s="6" t="s">
        <v>70</v>
      </c>
      <c r="B5" s="7" t="s">
        <v>11</v>
      </c>
      <c r="C5" s="6" t="s">
        <v>16</v>
      </c>
      <c r="D5" s="6" t="s">
        <v>8</v>
      </c>
      <c r="E5" s="6" t="s">
        <v>9</v>
      </c>
      <c r="F5" s="8" t="s">
        <v>10</v>
      </c>
      <c r="G5" s="4">
        <v>51700</v>
      </c>
      <c r="H5" s="4">
        <v>200.00000000000728</v>
      </c>
      <c r="I5" s="4">
        <v>200</v>
      </c>
      <c r="J5" s="1">
        <v>1771.5138554965599</v>
      </c>
      <c r="K5" s="9">
        <v>2523.6577338960706</v>
      </c>
      <c r="L5" s="9">
        <v>1250.6137102157429</v>
      </c>
      <c r="M5" s="6" t="b">
        <v>0</v>
      </c>
      <c r="N5" s="90">
        <v>2</v>
      </c>
      <c r="O5" s="92" t="s">
        <v>205</v>
      </c>
      <c r="P5" s="6" t="b">
        <v>0</v>
      </c>
      <c r="Q5" s="6" t="b">
        <v>1</v>
      </c>
      <c r="R5" s="6" t="s">
        <v>204</v>
      </c>
      <c r="S5" s="6" t="b">
        <v>1</v>
      </c>
      <c r="T5" s="6" t="b">
        <v>0</v>
      </c>
      <c r="U5" s="6" t="s">
        <v>17</v>
      </c>
      <c r="V5" s="6" t="b">
        <v>0</v>
      </c>
      <c r="W5" s="6" t="b">
        <v>0</v>
      </c>
      <c r="X5" s="6" t="s">
        <v>17</v>
      </c>
      <c r="Y5" s="56" t="s">
        <v>80</v>
      </c>
      <c r="Z5" s="57" t="s">
        <v>10</v>
      </c>
      <c r="AA5" s="57" t="s">
        <v>17</v>
      </c>
      <c r="AB5" s="57" t="s">
        <v>17</v>
      </c>
      <c r="AC5" s="73" t="s">
        <v>60</v>
      </c>
      <c r="AD5" s="60" t="s">
        <v>42</v>
      </c>
      <c r="AE5" s="60">
        <v>42.2288</v>
      </c>
      <c r="AF5" s="73">
        <v>-108.5307</v>
      </c>
      <c r="AG5" s="88" t="s">
        <v>17</v>
      </c>
      <c r="AH5" s="88" t="s">
        <v>17</v>
      </c>
      <c r="AI5" s="73">
        <v>25.5</v>
      </c>
      <c r="AJ5" s="73">
        <v>51.7</v>
      </c>
      <c r="AK5" s="61">
        <f t="shared" ref="AK5:AK13" si="0">AJ5+0.2</f>
        <v>51.900000000000006</v>
      </c>
      <c r="AL5" s="61">
        <f t="shared" ref="AL5:AL13" si="1">AJ5-0.2</f>
        <v>51.5</v>
      </c>
      <c r="AM5" s="60" t="s">
        <v>43</v>
      </c>
      <c r="AN5" s="64">
        <v>-6.7</v>
      </c>
      <c r="AO5" s="64">
        <v>0.1</v>
      </c>
      <c r="AP5" s="64">
        <v>3</v>
      </c>
      <c r="AQ5" s="62" t="s">
        <v>44</v>
      </c>
      <c r="AR5" s="74">
        <v>-23.9</v>
      </c>
      <c r="AS5" s="74">
        <v>0.1</v>
      </c>
      <c r="AT5" s="74">
        <v>2</v>
      </c>
      <c r="AU5" s="64">
        <v>-23.8</v>
      </c>
      <c r="AV5" s="64">
        <v>0.1</v>
      </c>
      <c r="AW5" s="64">
        <v>2</v>
      </c>
      <c r="AX5" s="62" t="s">
        <v>44</v>
      </c>
      <c r="AY5" s="64" t="s">
        <v>17</v>
      </c>
      <c r="AZ5" s="64" t="s">
        <v>17</v>
      </c>
      <c r="BA5" s="64" t="s">
        <v>17</v>
      </c>
      <c r="BB5" s="64" t="s">
        <v>17</v>
      </c>
      <c r="BC5" s="75">
        <v>-8.94</v>
      </c>
      <c r="BD5" s="64" t="s">
        <v>178</v>
      </c>
      <c r="BE5" s="64" t="s">
        <v>178</v>
      </c>
      <c r="BF5" s="64" t="s">
        <v>17</v>
      </c>
      <c r="BG5" s="64" t="s">
        <v>17</v>
      </c>
      <c r="BH5" s="64" t="s">
        <v>17</v>
      </c>
      <c r="BI5" s="64" t="s">
        <v>17</v>
      </c>
      <c r="BJ5" s="64" t="s">
        <v>17</v>
      </c>
      <c r="BK5" s="64">
        <v>50</v>
      </c>
      <c r="BL5" s="62" t="s">
        <v>45</v>
      </c>
      <c r="BM5" s="89">
        <v>49.63</v>
      </c>
      <c r="BN5" s="89">
        <v>0.13</v>
      </c>
      <c r="BO5" s="89">
        <v>0.82</v>
      </c>
      <c r="BP5" s="89">
        <v>0.01</v>
      </c>
      <c r="BQ5" s="89">
        <v>17.03</v>
      </c>
      <c r="BR5" s="89">
        <v>7.0000000000000007E-2</v>
      </c>
      <c r="BS5" s="89">
        <v>8.1199999999999992</v>
      </c>
      <c r="BT5" s="89">
        <v>0.01</v>
      </c>
      <c r="BU5" s="89">
        <v>0.04</v>
      </c>
      <c r="BV5" s="89">
        <v>0</v>
      </c>
      <c r="BW5" s="89">
        <v>3.63</v>
      </c>
      <c r="BX5" s="89">
        <v>0.01</v>
      </c>
      <c r="BY5" s="89">
        <v>0.84</v>
      </c>
      <c r="BZ5" s="89">
        <v>0</v>
      </c>
      <c r="CA5" s="89">
        <v>2.12</v>
      </c>
      <c r="CB5" s="89">
        <v>0.01</v>
      </c>
      <c r="CC5" s="89">
        <v>2.14</v>
      </c>
      <c r="CD5" s="89">
        <v>0.01</v>
      </c>
      <c r="CE5" s="89">
        <v>9.8000000000000004E-2</v>
      </c>
      <c r="CF5" s="89">
        <v>0</v>
      </c>
      <c r="CG5" s="74">
        <v>0.02</v>
      </c>
      <c r="CH5" s="74">
        <v>0</v>
      </c>
      <c r="CI5" s="74">
        <v>2</v>
      </c>
      <c r="CJ5" s="67">
        <v>-23.3</v>
      </c>
      <c r="CK5" s="67" t="s">
        <v>187</v>
      </c>
      <c r="CL5" s="67" t="s">
        <v>188</v>
      </c>
      <c r="CM5" s="76">
        <v>1.4211925590110901</v>
      </c>
      <c r="CN5" s="68" t="s">
        <v>189</v>
      </c>
      <c r="CO5" s="68" t="s">
        <v>184</v>
      </c>
      <c r="CP5" s="76">
        <v>-6.01</v>
      </c>
      <c r="CQ5" s="67" t="s">
        <v>202</v>
      </c>
      <c r="CR5" s="67" t="s">
        <v>46</v>
      </c>
      <c r="CS5" s="76">
        <v>0.353494083418255</v>
      </c>
      <c r="CT5" s="66" t="s">
        <v>190</v>
      </c>
      <c r="CU5" s="66" t="s">
        <v>184</v>
      </c>
      <c r="CV5" s="76">
        <v>21.819600000000001</v>
      </c>
      <c r="CW5" s="66" t="s">
        <v>183</v>
      </c>
      <c r="CX5" s="82">
        <v>8.6010600160373496</v>
      </c>
      <c r="CY5" s="66" t="s">
        <v>185</v>
      </c>
      <c r="CZ5" s="66" t="s">
        <v>184</v>
      </c>
      <c r="DA5" s="66" t="s">
        <v>17</v>
      </c>
      <c r="DB5" s="66" t="s">
        <v>186</v>
      </c>
      <c r="DC5" s="76">
        <v>-15.9126790995333</v>
      </c>
      <c r="DD5" s="66" t="s">
        <v>47</v>
      </c>
      <c r="DE5" s="76">
        <v>1.0274792337012799</v>
      </c>
      <c r="DF5" s="67">
        <v>50</v>
      </c>
      <c r="DG5" s="84">
        <v>1072.6990698951599</v>
      </c>
      <c r="DH5" s="67" t="s">
        <v>48</v>
      </c>
      <c r="DI5" s="67" t="s">
        <v>200</v>
      </c>
      <c r="DJ5" s="67" t="s">
        <v>179</v>
      </c>
      <c r="DK5" s="67" t="s">
        <v>17</v>
      </c>
      <c r="DL5" s="67" t="s">
        <v>49</v>
      </c>
      <c r="DM5" s="84">
        <v>5812.3037263055803</v>
      </c>
      <c r="DN5" s="84" t="s">
        <v>194</v>
      </c>
      <c r="DO5" s="84">
        <v>5732.1865146432201</v>
      </c>
      <c r="DP5" s="84">
        <v>3567.3802256310905</v>
      </c>
      <c r="DQ5" s="66" t="s">
        <v>191</v>
      </c>
      <c r="DR5" s="67" t="s">
        <v>192</v>
      </c>
      <c r="DS5" s="69" t="s">
        <v>50</v>
      </c>
      <c r="DT5" s="70" t="s">
        <v>51</v>
      </c>
      <c r="DU5" s="70">
        <v>70</v>
      </c>
      <c r="DV5" s="70" t="s">
        <v>17</v>
      </c>
      <c r="DW5" s="69" t="s">
        <v>52</v>
      </c>
      <c r="DX5" s="69" t="s">
        <v>53</v>
      </c>
      <c r="DY5" s="70" t="s">
        <v>54</v>
      </c>
      <c r="DZ5" s="70" t="s">
        <v>50</v>
      </c>
      <c r="EA5" s="70" t="s">
        <v>55</v>
      </c>
      <c r="EB5" s="70" t="s">
        <v>56</v>
      </c>
      <c r="EC5" s="70" t="s">
        <v>57</v>
      </c>
      <c r="ED5" s="70" t="s">
        <v>58</v>
      </c>
      <c r="EE5" s="70" t="s">
        <v>54</v>
      </c>
      <c r="EF5" s="70" t="s">
        <v>59</v>
      </c>
      <c r="EG5" s="86">
        <v>1932.68936469558</v>
      </c>
      <c r="EH5" s="85">
        <v>1771.5138554965599</v>
      </c>
      <c r="EI5" s="86">
        <v>2523.6577338960706</v>
      </c>
      <c r="EJ5" s="86">
        <v>1250.6137102157429</v>
      </c>
      <c r="EK5" s="71" t="s">
        <v>180</v>
      </c>
      <c r="EL5" s="71" t="s">
        <v>193</v>
      </c>
      <c r="EM5" s="71" t="s">
        <v>192</v>
      </c>
      <c r="EN5" s="85">
        <f>EH5+EI5</f>
        <v>4295.1715893926303</v>
      </c>
      <c r="EO5" s="85">
        <f>EH5-EJ5</f>
        <v>520.90014528081701</v>
      </c>
      <c r="EP5" s="72" t="s">
        <v>198</v>
      </c>
    </row>
    <row r="6" spans="1:148" s="2" customFormat="1" ht="17" customHeight="1" x14ac:dyDescent="0.25">
      <c r="A6" s="6" t="s">
        <v>70</v>
      </c>
      <c r="B6" s="7" t="s">
        <v>11</v>
      </c>
      <c r="C6" s="6" t="s">
        <v>16</v>
      </c>
      <c r="D6" s="6" t="s">
        <v>8</v>
      </c>
      <c r="E6" s="6" t="s">
        <v>9</v>
      </c>
      <c r="F6" s="8" t="s">
        <v>10</v>
      </c>
      <c r="G6" s="4">
        <v>51600</v>
      </c>
      <c r="H6" s="4">
        <v>200.00000000000728</v>
      </c>
      <c r="I6" s="4">
        <v>200</v>
      </c>
      <c r="J6" s="1">
        <v>352.664139146308</v>
      </c>
      <c r="K6" s="9">
        <v>813.024744737162</v>
      </c>
      <c r="L6" s="9">
        <v>351.664139146308</v>
      </c>
      <c r="M6" s="6" t="b">
        <v>0</v>
      </c>
      <c r="N6" s="90">
        <v>3</v>
      </c>
      <c r="O6" s="93" t="s">
        <v>201</v>
      </c>
      <c r="P6" s="6" t="b">
        <v>0</v>
      </c>
      <c r="Q6" s="6" t="b">
        <v>1</v>
      </c>
      <c r="R6" s="6" t="s">
        <v>204</v>
      </c>
      <c r="S6" s="6" t="b">
        <v>1</v>
      </c>
      <c r="T6" s="6" t="b">
        <v>0</v>
      </c>
      <c r="U6" s="6" t="s">
        <v>17</v>
      </c>
      <c r="V6" s="6" t="b">
        <v>0</v>
      </c>
      <c r="W6" s="6" t="b">
        <v>0</v>
      </c>
      <c r="X6" s="6" t="s">
        <v>17</v>
      </c>
      <c r="Y6" s="56" t="s">
        <v>80</v>
      </c>
      <c r="Z6" s="57" t="s">
        <v>10</v>
      </c>
      <c r="AA6" s="57" t="s">
        <v>17</v>
      </c>
      <c r="AB6" s="57" t="s">
        <v>17</v>
      </c>
      <c r="AC6" s="73" t="s">
        <v>61</v>
      </c>
      <c r="AD6" s="60" t="s">
        <v>42</v>
      </c>
      <c r="AE6" s="60">
        <v>42.2179</v>
      </c>
      <c r="AF6" s="59">
        <v>-108.545</v>
      </c>
      <c r="AG6" s="88" t="s">
        <v>17</v>
      </c>
      <c r="AH6" s="88" t="s">
        <v>17</v>
      </c>
      <c r="AI6" s="73">
        <v>35.5</v>
      </c>
      <c r="AJ6" s="73">
        <v>51.6</v>
      </c>
      <c r="AK6" s="61">
        <f t="shared" si="0"/>
        <v>51.800000000000004</v>
      </c>
      <c r="AL6" s="61">
        <f t="shared" si="1"/>
        <v>51.4</v>
      </c>
      <c r="AM6" s="60" t="s">
        <v>43</v>
      </c>
      <c r="AN6" s="64">
        <v>-5.4</v>
      </c>
      <c r="AO6" s="64">
        <v>0.1</v>
      </c>
      <c r="AP6" s="64">
        <v>5</v>
      </c>
      <c r="AQ6" s="62" t="s">
        <v>44</v>
      </c>
      <c r="AR6" s="74" t="s">
        <v>17</v>
      </c>
      <c r="AS6" s="74" t="s">
        <v>17</v>
      </c>
      <c r="AT6" s="74" t="s">
        <v>17</v>
      </c>
      <c r="AU6" s="64">
        <v>-22.1</v>
      </c>
      <c r="AV6" s="64">
        <v>0.1</v>
      </c>
      <c r="AW6" s="64">
        <v>2</v>
      </c>
      <c r="AX6" s="62" t="s">
        <v>44</v>
      </c>
      <c r="AY6" s="64" t="s">
        <v>17</v>
      </c>
      <c r="AZ6" s="64" t="s">
        <v>17</v>
      </c>
      <c r="BA6" s="64" t="s">
        <v>17</v>
      </c>
      <c r="BB6" s="64" t="s">
        <v>17</v>
      </c>
      <c r="BC6" s="75">
        <v>-5</v>
      </c>
      <c r="BD6" s="64" t="s">
        <v>178</v>
      </c>
      <c r="BE6" s="64" t="s">
        <v>178</v>
      </c>
      <c r="BF6" s="64" t="s">
        <v>17</v>
      </c>
      <c r="BG6" s="64" t="s">
        <v>17</v>
      </c>
      <c r="BH6" s="64" t="s">
        <v>17</v>
      </c>
      <c r="BI6" s="64" t="s">
        <v>17</v>
      </c>
      <c r="BJ6" s="64" t="s">
        <v>17</v>
      </c>
      <c r="BK6" s="64">
        <v>10</v>
      </c>
      <c r="BL6" s="62" t="s">
        <v>45</v>
      </c>
      <c r="BM6" s="89" t="s">
        <v>17</v>
      </c>
      <c r="BN6" s="89" t="s">
        <v>17</v>
      </c>
      <c r="BO6" s="89" t="s">
        <v>17</v>
      </c>
      <c r="BP6" s="89" t="s">
        <v>17</v>
      </c>
      <c r="BQ6" s="89" t="s">
        <v>17</v>
      </c>
      <c r="BR6" s="89" t="s">
        <v>17</v>
      </c>
      <c r="BS6" s="89" t="s">
        <v>17</v>
      </c>
      <c r="BT6" s="89" t="s">
        <v>17</v>
      </c>
      <c r="BU6" s="89" t="s">
        <v>17</v>
      </c>
      <c r="BV6" s="89" t="s">
        <v>17</v>
      </c>
      <c r="BW6" s="89" t="s">
        <v>17</v>
      </c>
      <c r="BX6" s="89" t="s">
        <v>17</v>
      </c>
      <c r="BY6" s="89" t="s">
        <v>17</v>
      </c>
      <c r="BZ6" s="89" t="s">
        <v>17</v>
      </c>
      <c r="CA6" s="89" t="s">
        <v>17</v>
      </c>
      <c r="CB6" s="89" t="s">
        <v>17</v>
      </c>
      <c r="CC6" s="89" t="s">
        <v>17</v>
      </c>
      <c r="CD6" s="89" t="s">
        <v>17</v>
      </c>
      <c r="CE6" s="89" t="s">
        <v>17</v>
      </c>
      <c r="CF6" s="89" t="s">
        <v>17</v>
      </c>
      <c r="CG6" s="89" t="s">
        <v>17</v>
      </c>
      <c r="CH6" s="89" t="s">
        <v>17</v>
      </c>
      <c r="CI6" s="74">
        <v>0</v>
      </c>
      <c r="CJ6" s="67">
        <v>-21.6</v>
      </c>
      <c r="CK6" s="67" t="s">
        <v>187</v>
      </c>
      <c r="CL6" s="67" t="s">
        <v>188</v>
      </c>
      <c r="CM6" s="76">
        <v>1.4230769551904501</v>
      </c>
      <c r="CN6" s="68" t="s">
        <v>189</v>
      </c>
      <c r="CO6" s="68" t="s">
        <v>184</v>
      </c>
      <c r="CP6" s="76">
        <v>-6.01</v>
      </c>
      <c r="CQ6" s="67" t="s">
        <v>202</v>
      </c>
      <c r="CR6" s="67" t="s">
        <v>46</v>
      </c>
      <c r="CS6" s="76">
        <v>0.34771428783727498</v>
      </c>
      <c r="CT6" s="66" t="s">
        <v>190</v>
      </c>
      <c r="CU6" s="66" t="s">
        <v>184</v>
      </c>
      <c r="CV6" s="76">
        <v>25.867599999999999</v>
      </c>
      <c r="CW6" s="66" t="s">
        <v>183</v>
      </c>
      <c r="CX6" s="82">
        <v>8.4775854967326705</v>
      </c>
      <c r="CY6" s="66" t="s">
        <v>185</v>
      </c>
      <c r="CZ6" s="66" t="s">
        <v>184</v>
      </c>
      <c r="DA6" s="66" t="s">
        <v>17</v>
      </c>
      <c r="DB6" s="66" t="s">
        <v>186</v>
      </c>
      <c r="DC6" s="76">
        <v>-14.1502915966209</v>
      </c>
      <c r="DD6" s="66" t="s">
        <v>47</v>
      </c>
      <c r="DE6" s="76">
        <v>1.01319857387393</v>
      </c>
      <c r="DF6" s="67">
        <v>10</v>
      </c>
      <c r="DG6" s="83" t="s">
        <v>17</v>
      </c>
      <c r="DH6" s="66" t="s">
        <v>17</v>
      </c>
      <c r="DI6" s="66" t="s">
        <v>17</v>
      </c>
      <c r="DJ6" s="67" t="s">
        <v>17</v>
      </c>
      <c r="DK6" s="67" t="s">
        <v>17</v>
      </c>
      <c r="DL6" s="67" t="s">
        <v>49</v>
      </c>
      <c r="DM6" s="84">
        <v>980.92560891764003</v>
      </c>
      <c r="DN6" s="84" t="s">
        <v>195</v>
      </c>
      <c r="DO6" s="84">
        <v>1532.5492545308198</v>
      </c>
      <c r="DP6" s="84">
        <v>1541.3193354546479</v>
      </c>
      <c r="DQ6" s="66" t="s">
        <v>196</v>
      </c>
      <c r="DR6" s="67" t="s">
        <v>192</v>
      </c>
      <c r="DS6" s="69" t="s">
        <v>50</v>
      </c>
      <c r="DT6" s="70" t="s">
        <v>62</v>
      </c>
      <c r="DU6" s="70">
        <v>30</v>
      </c>
      <c r="DV6" s="70" t="s">
        <v>17</v>
      </c>
      <c r="DW6" s="69" t="s">
        <v>52</v>
      </c>
      <c r="DX6" s="69" t="s">
        <v>53</v>
      </c>
      <c r="DY6" s="70" t="s">
        <v>54</v>
      </c>
      <c r="DZ6" s="70" t="s">
        <v>50</v>
      </c>
      <c r="EA6" s="70" t="s">
        <v>55</v>
      </c>
      <c r="EB6" s="70" t="s">
        <v>56</v>
      </c>
      <c r="EC6" s="70" t="s">
        <v>57</v>
      </c>
      <c r="ED6" s="70" t="s">
        <v>58</v>
      </c>
      <c r="EE6" s="70" t="s">
        <v>199</v>
      </c>
      <c r="EF6" s="70" t="s">
        <v>17</v>
      </c>
      <c r="EG6" s="86">
        <v>399.52858794763</v>
      </c>
      <c r="EH6" s="85">
        <v>352.664139146308</v>
      </c>
      <c r="EI6" s="85">
        <v>813.024744737162</v>
      </c>
      <c r="EJ6" s="85">
        <v>351.664139146308</v>
      </c>
      <c r="EK6" s="71" t="s">
        <v>180</v>
      </c>
      <c r="EL6" s="71" t="s">
        <v>193</v>
      </c>
      <c r="EM6" s="71" t="s">
        <v>192</v>
      </c>
      <c r="EN6" s="85">
        <v>1165.68888388347</v>
      </c>
      <c r="EO6" s="85">
        <v>1</v>
      </c>
      <c r="EP6" s="72" t="s">
        <v>197</v>
      </c>
    </row>
    <row r="7" spans="1:148" s="2" customFormat="1" ht="17" customHeight="1" x14ac:dyDescent="0.25">
      <c r="A7" s="6" t="s">
        <v>70</v>
      </c>
      <c r="B7" s="7" t="s">
        <v>11</v>
      </c>
      <c r="C7" s="6" t="s">
        <v>16</v>
      </c>
      <c r="D7" s="6" t="s">
        <v>8</v>
      </c>
      <c r="E7" s="6" t="s">
        <v>9</v>
      </c>
      <c r="F7" s="8" t="s">
        <v>10</v>
      </c>
      <c r="G7" s="4">
        <v>51500</v>
      </c>
      <c r="H7" s="4">
        <v>200</v>
      </c>
      <c r="I7" s="4">
        <v>200</v>
      </c>
      <c r="J7" s="1">
        <v>2263.2480339318499</v>
      </c>
      <c r="K7" s="9">
        <v>3623.6736507653004</v>
      </c>
      <c r="L7" s="9">
        <v>1730.7692540002508</v>
      </c>
      <c r="M7" s="6" t="b">
        <v>0</v>
      </c>
      <c r="N7" s="90">
        <v>2</v>
      </c>
      <c r="O7" s="92" t="s">
        <v>205</v>
      </c>
      <c r="P7" s="6" t="b">
        <v>0</v>
      </c>
      <c r="Q7" s="6" t="b">
        <v>1</v>
      </c>
      <c r="R7" s="6" t="s">
        <v>204</v>
      </c>
      <c r="S7" s="6" t="b">
        <v>1</v>
      </c>
      <c r="T7" s="6" t="b">
        <v>0</v>
      </c>
      <c r="U7" s="6" t="s">
        <v>17</v>
      </c>
      <c r="V7" s="6" t="b">
        <v>0</v>
      </c>
      <c r="W7" s="6" t="b">
        <v>0</v>
      </c>
      <c r="X7" s="6" t="s">
        <v>17</v>
      </c>
      <c r="Y7" s="56" t="s">
        <v>80</v>
      </c>
      <c r="Z7" s="57" t="s">
        <v>10</v>
      </c>
      <c r="AA7" s="57" t="s">
        <v>17</v>
      </c>
      <c r="AB7" s="57" t="s">
        <v>17</v>
      </c>
      <c r="AC7" s="73" t="s">
        <v>63</v>
      </c>
      <c r="AD7" s="60" t="s">
        <v>42</v>
      </c>
      <c r="AE7" s="60">
        <v>42.2179</v>
      </c>
      <c r="AF7" s="59">
        <v>-108.545</v>
      </c>
      <c r="AG7" s="88" t="s">
        <v>17</v>
      </c>
      <c r="AH7" s="88" t="s">
        <v>17</v>
      </c>
      <c r="AI7" s="73">
        <v>39</v>
      </c>
      <c r="AJ7" s="73">
        <v>51.5</v>
      </c>
      <c r="AK7" s="61">
        <f t="shared" si="0"/>
        <v>51.7</v>
      </c>
      <c r="AL7" s="61">
        <f t="shared" si="1"/>
        <v>51.3</v>
      </c>
      <c r="AM7" s="60" t="s">
        <v>43</v>
      </c>
      <c r="AN7" s="64">
        <v>-6.3</v>
      </c>
      <c r="AO7" s="64">
        <v>0.3</v>
      </c>
      <c r="AP7" s="64">
        <v>3</v>
      </c>
      <c r="AQ7" s="62" t="s">
        <v>44</v>
      </c>
      <c r="AR7" s="74">
        <v>-10.87</v>
      </c>
      <c r="AS7" s="74">
        <v>0.8</v>
      </c>
      <c r="AT7" s="74">
        <v>2</v>
      </c>
      <c r="AU7" s="64">
        <v>-23.7</v>
      </c>
      <c r="AV7" s="64">
        <v>0.8</v>
      </c>
      <c r="AW7" s="64">
        <v>2</v>
      </c>
      <c r="AX7" s="62" t="s">
        <v>44</v>
      </c>
      <c r="AY7" s="64" t="s">
        <v>17</v>
      </c>
      <c r="AZ7" s="64" t="s">
        <v>17</v>
      </c>
      <c r="BA7" s="64" t="s">
        <v>17</v>
      </c>
      <c r="BB7" s="64" t="s">
        <v>17</v>
      </c>
      <c r="BC7" s="75">
        <v>-5.41</v>
      </c>
      <c r="BD7" s="64" t="s">
        <v>178</v>
      </c>
      <c r="BE7" s="64" t="s">
        <v>178</v>
      </c>
      <c r="BF7" s="64" t="s">
        <v>17</v>
      </c>
      <c r="BG7" s="64" t="s">
        <v>17</v>
      </c>
      <c r="BH7" s="64" t="s">
        <v>17</v>
      </c>
      <c r="BI7" s="64" t="s">
        <v>17</v>
      </c>
      <c r="BJ7" s="64" t="s">
        <v>17</v>
      </c>
      <c r="BK7" s="64">
        <v>230</v>
      </c>
      <c r="BL7" s="62" t="s">
        <v>45</v>
      </c>
      <c r="BM7" s="89">
        <v>60.38</v>
      </c>
      <c r="BN7" s="89">
        <v>0.11</v>
      </c>
      <c r="BO7" s="89">
        <v>0.56999999999999995</v>
      </c>
      <c r="BP7" s="89">
        <v>0.02</v>
      </c>
      <c r="BQ7" s="89">
        <v>14.69</v>
      </c>
      <c r="BR7" s="89">
        <v>0.02</v>
      </c>
      <c r="BS7" s="89">
        <v>5.55</v>
      </c>
      <c r="BT7" s="89">
        <v>0.01</v>
      </c>
      <c r="BU7" s="89">
        <v>0.03</v>
      </c>
      <c r="BV7" s="89">
        <v>0</v>
      </c>
      <c r="BW7" s="89">
        <v>2.34</v>
      </c>
      <c r="BX7" s="89">
        <v>0.01</v>
      </c>
      <c r="BY7" s="89">
        <v>0.61</v>
      </c>
      <c r="BZ7" s="89">
        <v>0</v>
      </c>
      <c r="CA7" s="89">
        <v>2.15</v>
      </c>
      <c r="CB7" s="89">
        <v>0.01</v>
      </c>
      <c r="CC7" s="89">
        <v>2.96</v>
      </c>
      <c r="CD7" s="89">
        <v>0.01</v>
      </c>
      <c r="CE7" s="89">
        <v>8.2000000000000003E-2</v>
      </c>
      <c r="CF7" s="89">
        <v>0</v>
      </c>
      <c r="CG7" s="74">
        <v>0.03</v>
      </c>
      <c r="CH7" s="74">
        <v>0</v>
      </c>
      <c r="CI7" s="74">
        <v>2</v>
      </c>
      <c r="CJ7" s="67">
        <v>-23.2</v>
      </c>
      <c r="CK7" s="67" t="s">
        <v>187</v>
      </c>
      <c r="CL7" s="67" t="s">
        <v>188</v>
      </c>
      <c r="CM7" s="76">
        <v>2.1449137524236201</v>
      </c>
      <c r="CN7" s="68" t="s">
        <v>189</v>
      </c>
      <c r="CO7" s="68" t="s">
        <v>184</v>
      </c>
      <c r="CP7" s="76">
        <v>-5.9050000000000002</v>
      </c>
      <c r="CQ7" s="67" t="s">
        <v>202</v>
      </c>
      <c r="CR7" s="67" t="s">
        <v>46</v>
      </c>
      <c r="CS7" s="76">
        <v>0.538135340373049</v>
      </c>
      <c r="CT7" s="66" t="s">
        <v>190</v>
      </c>
      <c r="CU7" s="66" t="s">
        <v>184</v>
      </c>
      <c r="CV7" s="76">
        <v>25.462800000000001</v>
      </c>
      <c r="CW7" s="66" t="s">
        <v>183</v>
      </c>
      <c r="CX7" s="82">
        <v>8.4825485861774794</v>
      </c>
      <c r="CY7" s="66" t="s">
        <v>185</v>
      </c>
      <c r="CZ7" s="66" t="s">
        <v>184</v>
      </c>
      <c r="DA7" s="66" t="s">
        <v>17</v>
      </c>
      <c r="DB7" s="66" t="s">
        <v>186</v>
      </c>
      <c r="DC7" s="76">
        <v>-15.089795661848401</v>
      </c>
      <c r="DD7" s="66" t="s">
        <v>47</v>
      </c>
      <c r="DE7" s="76">
        <v>1.1656008589443201</v>
      </c>
      <c r="DF7" s="67">
        <v>230</v>
      </c>
      <c r="DG7" s="84">
        <v>1043.1430247915901</v>
      </c>
      <c r="DH7" s="67" t="s">
        <v>48</v>
      </c>
      <c r="DI7" s="67" t="s">
        <v>200</v>
      </c>
      <c r="DJ7" s="67" t="s">
        <v>179</v>
      </c>
      <c r="DK7" s="67" t="s">
        <v>17</v>
      </c>
      <c r="DL7" s="67" t="s">
        <v>49</v>
      </c>
      <c r="DM7" s="84">
        <v>5644.7209505683404</v>
      </c>
      <c r="DN7" s="84" t="s">
        <v>194</v>
      </c>
      <c r="DO7" s="84">
        <v>5619.0083109777588</v>
      </c>
      <c r="DP7" s="84">
        <v>3533.8655419193205</v>
      </c>
      <c r="DQ7" s="66" t="s">
        <v>191</v>
      </c>
      <c r="DR7" s="67" t="s">
        <v>192</v>
      </c>
      <c r="DS7" s="69" t="s">
        <v>50</v>
      </c>
      <c r="DT7" s="70" t="s">
        <v>51</v>
      </c>
      <c r="DU7" s="70">
        <v>300</v>
      </c>
      <c r="DV7" s="70" t="s">
        <v>17</v>
      </c>
      <c r="DW7" s="69" t="s">
        <v>52</v>
      </c>
      <c r="DX7" s="69" t="s">
        <v>53</v>
      </c>
      <c r="DY7" s="70" t="s">
        <v>54</v>
      </c>
      <c r="DZ7" s="70" t="s">
        <v>50</v>
      </c>
      <c r="EA7" s="70" t="s">
        <v>55</v>
      </c>
      <c r="EB7" s="70" t="s">
        <v>56</v>
      </c>
      <c r="EC7" s="70" t="s">
        <v>57</v>
      </c>
      <c r="ED7" s="70" t="s">
        <v>58</v>
      </c>
      <c r="EE7" s="70" t="s">
        <v>54</v>
      </c>
      <c r="EF7" s="70" t="s">
        <v>59</v>
      </c>
      <c r="EG7" s="86">
        <v>2504.5278441657802</v>
      </c>
      <c r="EH7" s="85">
        <v>2263.2480339318499</v>
      </c>
      <c r="EI7" s="86">
        <v>3623.6736507653004</v>
      </c>
      <c r="EJ7" s="86">
        <v>1730.7692540002508</v>
      </c>
      <c r="EK7" s="71" t="s">
        <v>180</v>
      </c>
      <c r="EL7" s="71" t="s">
        <v>193</v>
      </c>
      <c r="EM7" s="71" t="s">
        <v>192</v>
      </c>
      <c r="EN7" s="85">
        <f>EH7+EI7</f>
        <v>5886.9216846971503</v>
      </c>
      <c r="EO7" s="85">
        <f>EH7-EJ7</f>
        <v>532.47877993159909</v>
      </c>
      <c r="EP7" s="72" t="s">
        <v>198</v>
      </c>
    </row>
    <row r="8" spans="1:148" s="2" customFormat="1" ht="17" customHeight="1" x14ac:dyDescent="0.25">
      <c r="A8" s="6" t="s">
        <v>70</v>
      </c>
      <c r="B8" s="7" t="s">
        <v>11</v>
      </c>
      <c r="C8" s="6" t="s">
        <v>16</v>
      </c>
      <c r="D8" s="6" t="s">
        <v>8</v>
      </c>
      <c r="E8" s="6" t="s">
        <v>9</v>
      </c>
      <c r="F8" s="8" t="s">
        <v>10</v>
      </c>
      <c r="G8" s="4">
        <v>51400</v>
      </c>
      <c r="H8" s="4">
        <v>200</v>
      </c>
      <c r="I8" s="4">
        <v>200.00000000000728</v>
      </c>
      <c r="J8" s="1">
        <v>880.78374746075599</v>
      </c>
      <c r="K8" s="9">
        <v>985.26128289745395</v>
      </c>
      <c r="L8" s="9">
        <v>691.644493865904</v>
      </c>
      <c r="M8" s="6" t="b">
        <v>0</v>
      </c>
      <c r="N8" s="90">
        <v>3</v>
      </c>
      <c r="O8" s="94" t="s">
        <v>13</v>
      </c>
      <c r="P8" s="6" t="b">
        <v>0</v>
      </c>
      <c r="Q8" s="6" t="b">
        <v>1</v>
      </c>
      <c r="R8" s="6" t="s">
        <v>204</v>
      </c>
      <c r="S8" s="6" t="b">
        <v>1</v>
      </c>
      <c r="T8" s="6" t="b">
        <v>0</v>
      </c>
      <c r="U8" s="6" t="s">
        <v>17</v>
      </c>
      <c r="V8" s="6" t="b">
        <v>0</v>
      </c>
      <c r="W8" s="6" t="b">
        <v>0</v>
      </c>
      <c r="X8" s="6" t="s">
        <v>17</v>
      </c>
      <c r="Y8" s="56" t="s">
        <v>80</v>
      </c>
      <c r="Z8" s="57" t="s">
        <v>10</v>
      </c>
      <c r="AA8" s="57" t="s">
        <v>17</v>
      </c>
      <c r="AB8" s="57" t="s">
        <v>17</v>
      </c>
      <c r="AC8" s="73" t="s">
        <v>64</v>
      </c>
      <c r="AD8" s="60" t="s">
        <v>42</v>
      </c>
      <c r="AE8" s="60">
        <v>42.2288</v>
      </c>
      <c r="AF8" s="73">
        <v>-108.5307</v>
      </c>
      <c r="AG8" s="88" t="s">
        <v>17</v>
      </c>
      <c r="AH8" s="88" t="s">
        <v>17</v>
      </c>
      <c r="AI8" s="73">
        <v>46</v>
      </c>
      <c r="AJ8" s="73">
        <v>51.4</v>
      </c>
      <c r="AK8" s="61">
        <f t="shared" si="0"/>
        <v>51.6</v>
      </c>
      <c r="AL8" s="61">
        <f t="shared" si="1"/>
        <v>51.199999999999996</v>
      </c>
      <c r="AM8" s="60" t="s">
        <v>43</v>
      </c>
      <c r="AN8" s="64">
        <v>-6.9</v>
      </c>
      <c r="AO8" s="75">
        <v>0</v>
      </c>
      <c r="AP8" s="64">
        <v>2</v>
      </c>
      <c r="AQ8" s="62" t="s">
        <v>44</v>
      </c>
      <c r="AR8" s="74" t="s">
        <v>17</v>
      </c>
      <c r="AS8" s="74" t="s">
        <v>17</v>
      </c>
      <c r="AT8" s="74" t="s">
        <v>17</v>
      </c>
      <c r="AU8" s="64">
        <v>-22.7</v>
      </c>
      <c r="AV8" s="64">
        <v>0.1</v>
      </c>
      <c r="AW8" s="64">
        <v>2</v>
      </c>
      <c r="AX8" s="62" t="s">
        <v>44</v>
      </c>
      <c r="AY8" s="64" t="s">
        <v>17</v>
      </c>
      <c r="AZ8" s="64" t="s">
        <v>17</v>
      </c>
      <c r="BA8" s="64" t="s">
        <v>17</v>
      </c>
      <c r="BB8" s="64" t="s">
        <v>17</v>
      </c>
      <c r="BC8" s="75">
        <v>-5.0999999999999996</v>
      </c>
      <c r="BD8" s="64" t="s">
        <v>178</v>
      </c>
      <c r="BE8" s="64" t="s">
        <v>178</v>
      </c>
      <c r="BF8" s="64" t="s">
        <v>17</v>
      </c>
      <c r="BG8" s="64" t="s">
        <v>17</v>
      </c>
      <c r="BH8" s="64" t="s">
        <v>17</v>
      </c>
      <c r="BI8" s="64" t="s">
        <v>17</v>
      </c>
      <c r="BJ8" s="64" t="s">
        <v>17</v>
      </c>
      <c r="BK8" s="64">
        <v>85</v>
      </c>
      <c r="BL8" s="62" t="s">
        <v>45</v>
      </c>
      <c r="BM8" s="89" t="s">
        <v>17</v>
      </c>
      <c r="BN8" s="89" t="s">
        <v>17</v>
      </c>
      <c r="BO8" s="89" t="s">
        <v>17</v>
      </c>
      <c r="BP8" s="89" t="s">
        <v>17</v>
      </c>
      <c r="BQ8" s="89" t="s">
        <v>17</v>
      </c>
      <c r="BR8" s="89" t="s">
        <v>17</v>
      </c>
      <c r="BS8" s="89" t="s">
        <v>17</v>
      </c>
      <c r="BT8" s="89" t="s">
        <v>17</v>
      </c>
      <c r="BU8" s="89" t="s">
        <v>17</v>
      </c>
      <c r="BV8" s="89" t="s">
        <v>17</v>
      </c>
      <c r="BW8" s="89" t="s">
        <v>17</v>
      </c>
      <c r="BX8" s="89" t="s">
        <v>17</v>
      </c>
      <c r="BY8" s="89" t="s">
        <v>17</v>
      </c>
      <c r="BZ8" s="89" t="s">
        <v>17</v>
      </c>
      <c r="CA8" s="89" t="s">
        <v>17</v>
      </c>
      <c r="CB8" s="89" t="s">
        <v>17</v>
      </c>
      <c r="CC8" s="89" t="s">
        <v>17</v>
      </c>
      <c r="CD8" s="89" t="s">
        <v>17</v>
      </c>
      <c r="CE8" s="89" t="s">
        <v>17</v>
      </c>
      <c r="CF8" s="89" t="s">
        <v>17</v>
      </c>
      <c r="CG8" s="89" t="s">
        <v>17</v>
      </c>
      <c r="CH8" s="89" t="s">
        <v>17</v>
      </c>
      <c r="CI8" s="74">
        <v>0</v>
      </c>
      <c r="CJ8" s="67">
        <v>-22.2</v>
      </c>
      <c r="CK8" s="67" t="s">
        <v>187</v>
      </c>
      <c r="CL8" s="67" t="s">
        <v>188</v>
      </c>
      <c r="CM8" s="76">
        <v>1.4279353421344101</v>
      </c>
      <c r="CN8" s="68" t="s">
        <v>189</v>
      </c>
      <c r="CO8" s="68" t="s">
        <v>184</v>
      </c>
      <c r="CP8" s="76">
        <v>-5.9050000000000002</v>
      </c>
      <c r="CQ8" s="67" t="s">
        <v>202</v>
      </c>
      <c r="CR8" s="67" t="s">
        <v>46</v>
      </c>
      <c r="CS8" s="76">
        <v>0.53256643029619599</v>
      </c>
      <c r="CT8" s="66" t="s">
        <v>190</v>
      </c>
      <c r="CU8" s="66" t="s">
        <v>184</v>
      </c>
      <c r="CV8" s="76">
        <v>25.766400000000001</v>
      </c>
      <c r="CW8" s="66" t="s">
        <v>183</v>
      </c>
      <c r="CX8" s="82">
        <v>8.5394638439375594</v>
      </c>
      <c r="CY8" s="66" t="s">
        <v>185</v>
      </c>
      <c r="CZ8" s="66" t="s">
        <v>184</v>
      </c>
      <c r="DA8" s="66" t="s">
        <v>17</v>
      </c>
      <c r="DB8" s="66" t="s">
        <v>186</v>
      </c>
      <c r="DC8" s="76">
        <v>-15.6489436877372</v>
      </c>
      <c r="DD8" s="66" t="s">
        <v>47</v>
      </c>
      <c r="DE8" s="76">
        <v>0.99982933390578699</v>
      </c>
      <c r="DF8" s="67">
        <v>85</v>
      </c>
      <c r="DG8" s="83" t="s">
        <v>17</v>
      </c>
      <c r="DH8" s="66" t="s">
        <v>17</v>
      </c>
      <c r="DI8" s="66" t="s">
        <v>17</v>
      </c>
      <c r="DJ8" s="67" t="s">
        <v>17</v>
      </c>
      <c r="DK8" s="67" t="s">
        <v>17</v>
      </c>
      <c r="DL8" s="67" t="s">
        <v>49</v>
      </c>
      <c r="DM8" s="84">
        <v>3927.8676757999401</v>
      </c>
      <c r="DN8" s="84" t="s">
        <v>195</v>
      </c>
      <c r="DO8" s="84">
        <v>1573.4832422850595</v>
      </c>
      <c r="DP8" s="84">
        <v>1539.30736208795</v>
      </c>
      <c r="DQ8" s="66" t="s">
        <v>196</v>
      </c>
      <c r="DR8" s="66" t="s">
        <v>192</v>
      </c>
      <c r="DS8" s="69" t="s">
        <v>50</v>
      </c>
      <c r="DT8" s="70" t="s">
        <v>51</v>
      </c>
      <c r="DU8" s="70">
        <v>110</v>
      </c>
      <c r="DV8" s="70" t="s">
        <v>17</v>
      </c>
      <c r="DW8" s="69" t="s">
        <v>52</v>
      </c>
      <c r="DX8" s="69" t="s">
        <v>53</v>
      </c>
      <c r="DY8" s="70" t="s">
        <v>54</v>
      </c>
      <c r="DZ8" s="70" t="s">
        <v>50</v>
      </c>
      <c r="EA8" s="70" t="s">
        <v>55</v>
      </c>
      <c r="EB8" s="70" t="s">
        <v>56</v>
      </c>
      <c r="EC8" s="70" t="s">
        <v>57</v>
      </c>
      <c r="ED8" s="70" t="s">
        <v>58</v>
      </c>
      <c r="EE8" s="70" t="s">
        <v>199</v>
      </c>
      <c r="EF8" s="70" t="s">
        <v>17</v>
      </c>
      <c r="EG8" s="86">
        <v>923.49120434567499</v>
      </c>
      <c r="EH8" s="85">
        <v>880.78374746075599</v>
      </c>
      <c r="EI8" s="85">
        <v>985.26128289745395</v>
      </c>
      <c r="EJ8" s="85">
        <v>691.644493865904</v>
      </c>
      <c r="EK8" s="71" t="s">
        <v>180</v>
      </c>
      <c r="EL8" s="71" t="s">
        <v>193</v>
      </c>
      <c r="EM8" s="71" t="s">
        <v>192</v>
      </c>
      <c r="EN8" s="85">
        <v>1866.0450303582099</v>
      </c>
      <c r="EO8" s="85">
        <v>189.13925359485199</v>
      </c>
      <c r="EP8" s="72" t="s">
        <v>197</v>
      </c>
    </row>
    <row r="9" spans="1:148" s="2" customFormat="1" ht="17" customHeight="1" x14ac:dyDescent="0.25">
      <c r="A9" s="6" t="s">
        <v>70</v>
      </c>
      <c r="B9" s="7" t="s">
        <v>11</v>
      </c>
      <c r="C9" s="6" t="s">
        <v>16</v>
      </c>
      <c r="D9" s="6" t="s">
        <v>8</v>
      </c>
      <c r="E9" s="6" t="s">
        <v>9</v>
      </c>
      <c r="F9" s="8" t="s">
        <v>10</v>
      </c>
      <c r="G9" s="4">
        <v>51300</v>
      </c>
      <c r="H9" s="4">
        <v>200</v>
      </c>
      <c r="I9" s="4">
        <v>200.00000000000728</v>
      </c>
      <c r="J9" s="1">
        <v>263.07617060786401</v>
      </c>
      <c r="K9" s="9">
        <v>790.4393513475261</v>
      </c>
      <c r="L9" s="9">
        <v>262.07617060786401</v>
      </c>
      <c r="M9" s="6" t="b">
        <v>0</v>
      </c>
      <c r="N9" s="90">
        <v>3</v>
      </c>
      <c r="O9" s="94" t="s">
        <v>13</v>
      </c>
      <c r="P9" s="6" t="b">
        <v>0</v>
      </c>
      <c r="Q9" s="6" t="b">
        <v>1</v>
      </c>
      <c r="R9" s="6" t="s">
        <v>204</v>
      </c>
      <c r="S9" s="6" t="b">
        <v>1</v>
      </c>
      <c r="T9" s="6" t="b">
        <v>0</v>
      </c>
      <c r="U9" s="6" t="s">
        <v>17</v>
      </c>
      <c r="V9" s="6" t="b">
        <v>0</v>
      </c>
      <c r="W9" s="6" t="b">
        <v>0</v>
      </c>
      <c r="X9" s="6" t="s">
        <v>17</v>
      </c>
      <c r="Y9" s="56" t="s">
        <v>80</v>
      </c>
      <c r="Z9" s="57" t="s">
        <v>10</v>
      </c>
      <c r="AA9" s="57" t="s">
        <v>17</v>
      </c>
      <c r="AB9" s="57" t="s">
        <v>17</v>
      </c>
      <c r="AC9" s="73" t="s">
        <v>65</v>
      </c>
      <c r="AD9" s="60" t="s">
        <v>42</v>
      </c>
      <c r="AE9" s="60">
        <v>42.2288</v>
      </c>
      <c r="AF9" s="73">
        <v>-108.5307</v>
      </c>
      <c r="AG9" s="88" t="s">
        <v>17</v>
      </c>
      <c r="AH9" s="88" t="s">
        <v>17</v>
      </c>
      <c r="AI9" s="73">
        <v>55</v>
      </c>
      <c r="AJ9" s="73">
        <v>51.3</v>
      </c>
      <c r="AK9" s="61">
        <f t="shared" si="0"/>
        <v>51.5</v>
      </c>
      <c r="AL9" s="61">
        <f t="shared" si="1"/>
        <v>51.099999999999994</v>
      </c>
      <c r="AM9" s="60" t="s">
        <v>43</v>
      </c>
      <c r="AN9" s="64">
        <v>-6.2</v>
      </c>
      <c r="AO9" s="75">
        <v>0</v>
      </c>
      <c r="AP9" s="64">
        <v>5</v>
      </c>
      <c r="AQ9" s="62" t="s">
        <v>44</v>
      </c>
      <c r="AR9" s="74" t="s">
        <v>17</v>
      </c>
      <c r="AS9" s="74" t="s">
        <v>17</v>
      </c>
      <c r="AT9" s="74" t="s">
        <v>17</v>
      </c>
      <c r="AU9" s="64">
        <v>-21.2</v>
      </c>
      <c r="AV9" s="64">
        <v>0.5</v>
      </c>
      <c r="AW9" s="64">
        <v>2</v>
      </c>
      <c r="AX9" s="62" t="s">
        <v>44</v>
      </c>
      <c r="AY9" s="64" t="s">
        <v>17</v>
      </c>
      <c r="AZ9" s="64" t="s">
        <v>17</v>
      </c>
      <c r="BA9" s="64" t="s">
        <v>17</v>
      </c>
      <c r="BB9" s="64" t="s">
        <v>17</v>
      </c>
      <c r="BC9" s="75">
        <v>-4.42</v>
      </c>
      <c r="BD9" s="64" t="s">
        <v>178</v>
      </c>
      <c r="BE9" s="64" t="s">
        <v>178</v>
      </c>
      <c r="BF9" s="64" t="s">
        <v>17</v>
      </c>
      <c r="BG9" s="64" t="s">
        <v>17</v>
      </c>
      <c r="BH9" s="64" t="s">
        <v>17</v>
      </c>
      <c r="BI9" s="64" t="s">
        <v>17</v>
      </c>
      <c r="BJ9" s="64" t="s">
        <v>17</v>
      </c>
      <c r="BK9" s="64">
        <v>190</v>
      </c>
      <c r="BL9" s="62" t="s">
        <v>45</v>
      </c>
      <c r="BM9" s="89">
        <v>55.2</v>
      </c>
      <c r="BN9" s="89">
        <v>0.02</v>
      </c>
      <c r="BO9" s="89">
        <v>0.52</v>
      </c>
      <c r="BP9" s="89">
        <v>0.01</v>
      </c>
      <c r="BQ9" s="89">
        <v>10.83</v>
      </c>
      <c r="BR9" s="89">
        <v>0.02</v>
      </c>
      <c r="BS9" s="89">
        <v>4.53</v>
      </c>
      <c r="BT9" s="89">
        <v>0.01</v>
      </c>
      <c r="BU9" s="89">
        <v>0.15</v>
      </c>
      <c r="BV9" s="89">
        <v>0.01</v>
      </c>
      <c r="BW9" s="89">
        <v>2.1</v>
      </c>
      <c r="BX9" s="89">
        <v>0.01</v>
      </c>
      <c r="BY9" s="89">
        <v>8.15</v>
      </c>
      <c r="BZ9" s="89">
        <v>0.1</v>
      </c>
      <c r="CA9" s="89">
        <v>1.86</v>
      </c>
      <c r="CB9" s="89">
        <v>0.01</v>
      </c>
      <c r="CC9" s="89">
        <v>2.19</v>
      </c>
      <c r="CD9" s="89">
        <v>0.01</v>
      </c>
      <c r="CE9" s="89">
        <v>0.16400000000000001</v>
      </c>
      <c r="CF9" s="89">
        <v>0</v>
      </c>
      <c r="CG9" s="74">
        <v>0.03</v>
      </c>
      <c r="CH9" s="74">
        <v>0</v>
      </c>
      <c r="CI9" s="74">
        <v>2</v>
      </c>
      <c r="CJ9" s="67">
        <v>-20.7</v>
      </c>
      <c r="CK9" s="67" t="s">
        <v>187</v>
      </c>
      <c r="CL9" s="67" t="s">
        <v>188</v>
      </c>
      <c r="CM9" s="76">
        <v>1.74046213850156</v>
      </c>
      <c r="CN9" s="68" t="s">
        <v>189</v>
      </c>
      <c r="CO9" s="68" t="s">
        <v>184</v>
      </c>
      <c r="CP9" s="76">
        <v>-5.8224999999999998</v>
      </c>
      <c r="CQ9" s="67" t="s">
        <v>202</v>
      </c>
      <c r="CR9" s="67" t="s">
        <v>46</v>
      </c>
      <c r="CS9" s="76">
        <v>0.62168849092087697</v>
      </c>
      <c r="CT9" s="66" t="s">
        <v>190</v>
      </c>
      <c r="CU9" s="66" t="s">
        <v>184</v>
      </c>
      <c r="CV9" s="76">
        <v>26.474799999999998</v>
      </c>
      <c r="CW9" s="66" t="s">
        <v>183</v>
      </c>
      <c r="CX9" s="82">
        <v>8.5676733300400798</v>
      </c>
      <c r="CY9" s="66" t="s">
        <v>185</v>
      </c>
      <c r="CZ9" s="66" t="s">
        <v>184</v>
      </c>
      <c r="DA9" s="66" t="s">
        <v>17</v>
      </c>
      <c r="DB9" s="66" t="s">
        <v>186</v>
      </c>
      <c r="DC9" s="76">
        <v>-14.872104507093701</v>
      </c>
      <c r="DD9" s="66" t="s">
        <v>47</v>
      </c>
      <c r="DE9" s="76">
        <v>1.00404720816947</v>
      </c>
      <c r="DF9" s="67">
        <v>190</v>
      </c>
      <c r="DG9" s="84">
        <v>360.78637091208299</v>
      </c>
      <c r="DH9" s="67" t="s">
        <v>48</v>
      </c>
      <c r="DI9" s="67" t="s">
        <v>200</v>
      </c>
      <c r="DJ9" s="67" t="s">
        <v>179</v>
      </c>
      <c r="DK9" s="67" t="s">
        <v>17</v>
      </c>
      <c r="DL9" s="67" t="s">
        <v>49</v>
      </c>
      <c r="DM9" s="84">
        <v>1775.7587230715101</v>
      </c>
      <c r="DN9" s="67" t="s">
        <v>194</v>
      </c>
      <c r="DO9" s="84">
        <v>2282.6719457859299</v>
      </c>
      <c r="DP9" s="84">
        <v>1693.4216062531739</v>
      </c>
      <c r="DQ9" s="66" t="s">
        <v>191</v>
      </c>
      <c r="DR9" s="67" t="s">
        <v>192</v>
      </c>
      <c r="DS9" s="69" t="s">
        <v>50</v>
      </c>
      <c r="DT9" s="70" t="s">
        <v>51</v>
      </c>
      <c r="DU9" s="70">
        <v>255</v>
      </c>
      <c r="DV9" s="70" t="s">
        <v>17</v>
      </c>
      <c r="DW9" s="69" t="s">
        <v>52</v>
      </c>
      <c r="DX9" s="69" t="s">
        <v>53</v>
      </c>
      <c r="DY9" s="70" t="s">
        <v>54</v>
      </c>
      <c r="DZ9" s="70" t="s">
        <v>50</v>
      </c>
      <c r="EA9" s="70" t="s">
        <v>55</v>
      </c>
      <c r="EB9" s="70" t="s">
        <v>56</v>
      </c>
      <c r="EC9" s="70" t="s">
        <v>57</v>
      </c>
      <c r="ED9" s="70" t="s">
        <v>58</v>
      </c>
      <c r="EE9" s="70" t="s">
        <v>54</v>
      </c>
      <c r="EF9" s="70" t="s">
        <v>59</v>
      </c>
      <c r="EG9" s="86">
        <v>329.38425118995298</v>
      </c>
      <c r="EH9" s="85">
        <v>263.07617060786401</v>
      </c>
      <c r="EI9" s="86">
        <v>790.4393513475261</v>
      </c>
      <c r="EJ9" s="86">
        <v>262.07617060786401</v>
      </c>
      <c r="EK9" s="71" t="s">
        <v>180</v>
      </c>
      <c r="EL9" s="71" t="s">
        <v>193</v>
      </c>
      <c r="EM9" s="71" t="s">
        <v>192</v>
      </c>
      <c r="EN9" s="85">
        <v>1053.5155219553901</v>
      </c>
      <c r="EO9" s="85">
        <v>1</v>
      </c>
      <c r="EP9" s="72" t="s">
        <v>198</v>
      </c>
    </row>
    <row r="10" spans="1:148" s="2" customFormat="1" ht="17" customHeight="1" x14ac:dyDescent="0.25">
      <c r="A10" s="6" t="s">
        <v>70</v>
      </c>
      <c r="B10" s="7" t="s">
        <v>11</v>
      </c>
      <c r="C10" s="6" t="s">
        <v>16</v>
      </c>
      <c r="D10" s="6" t="s">
        <v>8</v>
      </c>
      <c r="E10" s="6" t="s">
        <v>9</v>
      </c>
      <c r="F10" s="8" t="s">
        <v>10</v>
      </c>
      <c r="G10" s="4">
        <v>51200</v>
      </c>
      <c r="H10" s="4">
        <v>200.00000000000728</v>
      </c>
      <c r="I10" s="4">
        <v>200</v>
      </c>
      <c r="J10" s="1">
        <v>2573.0846712297698</v>
      </c>
      <c r="K10" s="9">
        <v>3512.2804607041498</v>
      </c>
      <c r="L10" s="9">
        <v>1818.8418007072278</v>
      </c>
      <c r="M10" s="6" t="b">
        <v>0</v>
      </c>
      <c r="N10" s="90">
        <v>2</v>
      </c>
      <c r="O10" s="92" t="s">
        <v>205</v>
      </c>
      <c r="P10" s="6" t="b">
        <v>0</v>
      </c>
      <c r="Q10" s="6" t="b">
        <v>1</v>
      </c>
      <c r="R10" s="6" t="s">
        <v>204</v>
      </c>
      <c r="S10" s="6" t="b">
        <v>1</v>
      </c>
      <c r="T10" s="6" t="b">
        <v>0</v>
      </c>
      <c r="U10" s="6" t="s">
        <v>17</v>
      </c>
      <c r="V10" s="6" t="b">
        <v>0</v>
      </c>
      <c r="W10" s="6" t="b">
        <v>0</v>
      </c>
      <c r="X10" s="6" t="s">
        <v>17</v>
      </c>
      <c r="Y10" s="56" t="s">
        <v>80</v>
      </c>
      <c r="Z10" s="57" t="s">
        <v>10</v>
      </c>
      <c r="AA10" s="57" t="s">
        <v>17</v>
      </c>
      <c r="AB10" s="57" t="s">
        <v>17</v>
      </c>
      <c r="AC10" s="73" t="s">
        <v>66</v>
      </c>
      <c r="AD10" s="60" t="s">
        <v>42</v>
      </c>
      <c r="AE10" s="60">
        <v>42.2288</v>
      </c>
      <c r="AF10" s="73">
        <v>-108.5307</v>
      </c>
      <c r="AG10" s="88" t="s">
        <v>17</v>
      </c>
      <c r="AH10" s="88" t="s">
        <v>17</v>
      </c>
      <c r="AI10" s="73">
        <v>61</v>
      </c>
      <c r="AJ10" s="73">
        <v>51.2</v>
      </c>
      <c r="AK10" s="61">
        <f t="shared" si="0"/>
        <v>51.400000000000006</v>
      </c>
      <c r="AL10" s="61">
        <f t="shared" si="1"/>
        <v>51</v>
      </c>
      <c r="AM10" s="60" t="s">
        <v>43</v>
      </c>
      <c r="AN10" s="64">
        <v>-5.7</v>
      </c>
      <c r="AO10" s="64">
        <v>0.1</v>
      </c>
      <c r="AP10" s="64">
        <v>4</v>
      </c>
      <c r="AQ10" s="62" t="s">
        <v>44</v>
      </c>
      <c r="AR10" s="74" t="s">
        <v>17</v>
      </c>
      <c r="AS10" s="74" t="s">
        <v>17</v>
      </c>
      <c r="AT10" s="74" t="s">
        <v>17</v>
      </c>
      <c r="AU10" s="64">
        <v>-22.7</v>
      </c>
      <c r="AV10" s="64">
        <v>0.1</v>
      </c>
      <c r="AW10" s="64">
        <v>2</v>
      </c>
      <c r="AX10" s="62" t="s">
        <v>44</v>
      </c>
      <c r="AY10" s="64" t="s">
        <v>17</v>
      </c>
      <c r="AZ10" s="64" t="s">
        <v>17</v>
      </c>
      <c r="BA10" s="64" t="s">
        <v>17</v>
      </c>
      <c r="BB10" s="64" t="s">
        <v>17</v>
      </c>
      <c r="BC10" s="75">
        <v>-5.13</v>
      </c>
      <c r="BD10" s="64" t="s">
        <v>178</v>
      </c>
      <c r="BE10" s="64" t="s">
        <v>178</v>
      </c>
      <c r="BF10" s="64" t="s">
        <v>17</v>
      </c>
      <c r="BG10" s="64" t="s">
        <v>17</v>
      </c>
      <c r="BH10" s="64" t="s">
        <v>17</v>
      </c>
      <c r="BI10" s="64" t="s">
        <v>17</v>
      </c>
      <c r="BJ10" s="64" t="s">
        <v>17</v>
      </c>
      <c r="BK10" s="64">
        <v>0</v>
      </c>
      <c r="BL10" s="62" t="s">
        <v>45</v>
      </c>
      <c r="BM10" s="89">
        <v>58.08</v>
      </c>
      <c r="BN10" s="89">
        <v>0.21</v>
      </c>
      <c r="BO10" s="89">
        <v>0.69</v>
      </c>
      <c r="BP10" s="89">
        <v>0.01</v>
      </c>
      <c r="BQ10" s="89">
        <v>15.1</v>
      </c>
      <c r="BR10" s="89">
        <v>0.02</v>
      </c>
      <c r="BS10" s="89">
        <v>6.3</v>
      </c>
      <c r="BT10" s="89">
        <v>0.01</v>
      </c>
      <c r="BU10" s="89">
        <v>0.03</v>
      </c>
      <c r="BV10" s="89">
        <v>0</v>
      </c>
      <c r="BW10" s="89">
        <v>2.58</v>
      </c>
      <c r="BX10" s="89">
        <v>0.01</v>
      </c>
      <c r="BY10" s="89">
        <v>0.57999999999999996</v>
      </c>
      <c r="BZ10" s="89">
        <v>0</v>
      </c>
      <c r="CA10" s="89">
        <v>1.55</v>
      </c>
      <c r="CB10" s="89">
        <v>0.01</v>
      </c>
      <c r="CC10" s="89">
        <v>3.03</v>
      </c>
      <c r="CD10" s="89">
        <v>0.01</v>
      </c>
      <c r="CE10" s="89">
        <v>9.4E-2</v>
      </c>
      <c r="CF10" s="89">
        <v>0</v>
      </c>
      <c r="CG10" s="74">
        <v>0.03</v>
      </c>
      <c r="CH10" s="74">
        <v>0</v>
      </c>
      <c r="CI10" s="74">
        <v>2</v>
      </c>
      <c r="CJ10" s="67">
        <v>-22.2</v>
      </c>
      <c r="CK10" s="67" t="s">
        <v>187</v>
      </c>
      <c r="CL10" s="67" t="s">
        <v>188</v>
      </c>
      <c r="CM10" s="76">
        <v>1.4267554357316601</v>
      </c>
      <c r="CN10" s="68" t="s">
        <v>189</v>
      </c>
      <c r="CO10" s="68" t="s">
        <v>184</v>
      </c>
      <c r="CP10" s="76">
        <v>-5.8224999999999998</v>
      </c>
      <c r="CQ10" s="67" t="s">
        <v>202</v>
      </c>
      <c r="CR10" s="67" t="s">
        <v>46</v>
      </c>
      <c r="CS10" s="76">
        <v>0.62756162484931199</v>
      </c>
      <c r="CT10" s="66" t="s">
        <v>190</v>
      </c>
      <c r="CU10" s="66" t="s">
        <v>184</v>
      </c>
      <c r="CV10" s="76">
        <v>25.715800000000002</v>
      </c>
      <c r="CW10" s="66" t="s">
        <v>183</v>
      </c>
      <c r="CX10" s="82">
        <v>8.3594926393940092</v>
      </c>
      <c r="CY10" s="66" t="s">
        <v>185</v>
      </c>
      <c r="CZ10" s="66" t="s">
        <v>184</v>
      </c>
      <c r="DA10" s="66" t="s">
        <v>17</v>
      </c>
      <c r="DB10" s="66" t="s">
        <v>186</v>
      </c>
      <c r="DC10" s="76">
        <v>-14.465446811650599</v>
      </c>
      <c r="DD10" s="66" t="s">
        <v>47</v>
      </c>
      <c r="DE10" s="76">
        <v>1.0024383948667499</v>
      </c>
      <c r="DF10" s="67">
        <v>0</v>
      </c>
      <c r="DG10" s="84">
        <v>1199.5382105485701</v>
      </c>
      <c r="DH10" s="67" t="s">
        <v>48</v>
      </c>
      <c r="DI10" s="67" t="s">
        <v>200</v>
      </c>
      <c r="DJ10" s="67" t="s">
        <v>179</v>
      </c>
      <c r="DK10" s="67" t="s">
        <v>17</v>
      </c>
      <c r="DL10" s="67" t="s">
        <v>49</v>
      </c>
      <c r="DM10" s="84">
        <v>6531.4816538103696</v>
      </c>
      <c r="DN10" s="67" t="s">
        <v>194</v>
      </c>
      <c r="DO10" s="84">
        <v>6506.1648757620296</v>
      </c>
      <c r="DP10" s="84">
        <v>3895.8495962208294</v>
      </c>
      <c r="DQ10" s="66" t="s">
        <v>191</v>
      </c>
      <c r="DR10" s="67" t="s">
        <v>192</v>
      </c>
      <c r="DS10" s="69" t="s">
        <v>50</v>
      </c>
      <c r="DT10" s="70" t="s">
        <v>62</v>
      </c>
      <c r="DU10" s="70">
        <v>50</v>
      </c>
      <c r="DV10" s="70" t="s">
        <v>17</v>
      </c>
      <c r="DW10" s="69" t="s">
        <v>52</v>
      </c>
      <c r="DX10" s="69" t="s">
        <v>53</v>
      </c>
      <c r="DY10" s="70" t="s">
        <v>54</v>
      </c>
      <c r="DZ10" s="70" t="s">
        <v>50</v>
      </c>
      <c r="EA10" s="70" t="s">
        <v>55</v>
      </c>
      <c r="EB10" s="70" t="s">
        <v>56</v>
      </c>
      <c r="EC10" s="70" t="s">
        <v>57</v>
      </c>
      <c r="ED10" s="70" t="s">
        <v>58</v>
      </c>
      <c r="EE10" s="70" t="s">
        <v>54</v>
      </c>
      <c r="EF10" s="70" t="s">
        <v>59</v>
      </c>
      <c r="EG10" s="86">
        <v>2779.7745639785198</v>
      </c>
      <c r="EH10" s="85">
        <v>2573.0846712297698</v>
      </c>
      <c r="EI10" s="86">
        <v>3512.2804607041498</v>
      </c>
      <c r="EJ10" s="86">
        <v>1818.8418007072278</v>
      </c>
      <c r="EK10" s="71" t="s">
        <v>180</v>
      </c>
      <c r="EL10" s="71" t="s">
        <v>193</v>
      </c>
      <c r="EM10" s="71" t="s">
        <v>192</v>
      </c>
      <c r="EN10" s="85">
        <f>EH10+EI10</f>
        <v>6085.3651319339197</v>
      </c>
      <c r="EO10" s="85">
        <f>EH10-EJ10</f>
        <v>754.24287052254203</v>
      </c>
      <c r="EP10" s="72" t="s">
        <v>198</v>
      </c>
    </row>
    <row r="11" spans="1:148" s="2" customFormat="1" ht="17" customHeight="1" x14ac:dyDescent="0.25">
      <c r="A11" s="6" t="s">
        <v>70</v>
      </c>
      <c r="B11" s="7" t="s">
        <v>11</v>
      </c>
      <c r="C11" s="6" t="s">
        <v>16</v>
      </c>
      <c r="D11" s="6" t="s">
        <v>8</v>
      </c>
      <c r="E11" s="6" t="s">
        <v>9</v>
      </c>
      <c r="F11" s="8" t="s">
        <v>10</v>
      </c>
      <c r="G11" s="4">
        <v>50900</v>
      </c>
      <c r="H11" s="4">
        <v>200</v>
      </c>
      <c r="I11" s="4">
        <v>200.00000000000728</v>
      </c>
      <c r="J11" s="1">
        <v>904.41617952959405</v>
      </c>
      <c r="K11" s="9">
        <v>2198.4670975502158</v>
      </c>
      <c r="L11" s="9">
        <v>903.41617952959405</v>
      </c>
      <c r="M11" s="6" t="b">
        <v>0</v>
      </c>
      <c r="N11" s="90">
        <v>3</v>
      </c>
      <c r="O11" s="94" t="s">
        <v>13</v>
      </c>
      <c r="P11" s="6" t="b">
        <v>0</v>
      </c>
      <c r="Q11" s="6" t="b">
        <v>1</v>
      </c>
      <c r="R11" s="6" t="s">
        <v>203</v>
      </c>
      <c r="S11" s="6" t="b">
        <v>1</v>
      </c>
      <c r="T11" s="6" t="b">
        <v>0</v>
      </c>
      <c r="U11" s="6" t="s">
        <v>17</v>
      </c>
      <c r="V11" s="6" t="b">
        <v>0</v>
      </c>
      <c r="W11" s="6" t="b">
        <v>0</v>
      </c>
      <c r="X11" s="6" t="s">
        <v>17</v>
      </c>
      <c r="Y11" s="56" t="s">
        <v>80</v>
      </c>
      <c r="Z11" s="57" t="s">
        <v>10</v>
      </c>
      <c r="AA11" s="57" t="s">
        <v>17</v>
      </c>
      <c r="AB11" s="57" t="s">
        <v>17</v>
      </c>
      <c r="AC11" s="73" t="s">
        <v>67</v>
      </c>
      <c r="AD11" s="58" t="s">
        <v>42</v>
      </c>
      <c r="AE11" s="58">
        <v>42.2179</v>
      </c>
      <c r="AF11" s="59">
        <v>-108.545</v>
      </c>
      <c r="AG11" s="81" t="s">
        <v>17</v>
      </c>
      <c r="AH11" s="81" t="s">
        <v>17</v>
      </c>
      <c r="AI11" s="73">
        <v>78.5</v>
      </c>
      <c r="AJ11" s="73">
        <v>50.9</v>
      </c>
      <c r="AK11" s="61">
        <f t="shared" si="0"/>
        <v>51.1</v>
      </c>
      <c r="AL11" s="61">
        <f t="shared" si="1"/>
        <v>50.699999999999996</v>
      </c>
      <c r="AM11" s="60" t="s">
        <v>43</v>
      </c>
      <c r="AN11" s="64">
        <v>-7.5</v>
      </c>
      <c r="AO11" s="64">
        <v>0.5</v>
      </c>
      <c r="AP11" s="64">
        <v>6</v>
      </c>
      <c r="AQ11" s="62" t="s">
        <v>44</v>
      </c>
      <c r="AR11" s="74">
        <v>-22.7</v>
      </c>
      <c r="AS11" s="74">
        <v>0.4</v>
      </c>
      <c r="AT11" s="74">
        <v>2</v>
      </c>
      <c r="AU11" s="75">
        <v>-23</v>
      </c>
      <c r="AV11" s="64">
        <v>0.3</v>
      </c>
      <c r="AW11" s="64">
        <v>2</v>
      </c>
      <c r="AX11" s="62" t="s">
        <v>44</v>
      </c>
      <c r="AY11" s="64" t="s">
        <v>17</v>
      </c>
      <c r="AZ11" s="64" t="s">
        <v>17</v>
      </c>
      <c r="BA11" s="64" t="s">
        <v>17</v>
      </c>
      <c r="BB11" s="64" t="s">
        <v>17</v>
      </c>
      <c r="BC11" s="75">
        <v>-7.13</v>
      </c>
      <c r="BD11" s="64" t="s">
        <v>178</v>
      </c>
      <c r="BE11" s="64" t="s">
        <v>178</v>
      </c>
      <c r="BF11" s="64" t="s">
        <v>17</v>
      </c>
      <c r="BG11" s="64" t="s">
        <v>17</v>
      </c>
      <c r="BH11" s="64" t="s">
        <v>17</v>
      </c>
      <c r="BI11" s="64" t="s">
        <v>17</v>
      </c>
      <c r="BJ11" s="64" t="s">
        <v>17</v>
      </c>
      <c r="BK11" s="64">
        <v>60</v>
      </c>
      <c r="BL11" s="62" t="s">
        <v>45</v>
      </c>
      <c r="BM11" s="65">
        <v>63.56</v>
      </c>
      <c r="BN11" s="65">
        <v>0.09</v>
      </c>
      <c r="BO11" s="65">
        <v>0.71</v>
      </c>
      <c r="BP11" s="65">
        <v>0.02</v>
      </c>
      <c r="BQ11" s="65">
        <v>13.76</v>
      </c>
      <c r="BR11" s="65">
        <v>0.1</v>
      </c>
      <c r="BS11" s="65">
        <v>6.3</v>
      </c>
      <c r="BT11" s="65">
        <v>0.01</v>
      </c>
      <c r="BU11" s="65">
        <v>0.04</v>
      </c>
      <c r="BV11" s="65">
        <v>0</v>
      </c>
      <c r="BW11" s="65">
        <v>2.29</v>
      </c>
      <c r="BX11" s="65">
        <v>0.01</v>
      </c>
      <c r="BY11" s="65">
        <v>0.72</v>
      </c>
      <c r="BZ11" s="65">
        <v>0</v>
      </c>
      <c r="CA11" s="65">
        <v>1.59</v>
      </c>
      <c r="CB11" s="65">
        <v>0.01</v>
      </c>
      <c r="CC11" s="65">
        <v>2.5299999999999998</v>
      </c>
      <c r="CD11" s="65">
        <v>0.01</v>
      </c>
      <c r="CE11" s="65">
        <v>9.0999999999999998E-2</v>
      </c>
      <c r="CF11" s="65">
        <v>0</v>
      </c>
      <c r="CG11" s="74">
        <v>0.03</v>
      </c>
      <c r="CH11" s="74">
        <v>0</v>
      </c>
      <c r="CI11" s="74">
        <v>2</v>
      </c>
      <c r="CJ11" s="76">
        <v>-22.5</v>
      </c>
      <c r="CK11" s="67" t="s">
        <v>187</v>
      </c>
      <c r="CL11" s="67" t="s">
        <v>188</v>
      </c>
      <c r="CM11" s="76">
        <v>1.5359057224129</v>
      </c>
      <c r="CN11" s="68" t="s">
        <v>189</v>
      </c>
      <c r="CO11" s="68" t="s">
        <v>184</v>
      </c>
      <c r="CP11" s="76">
        <v>-5.8224999999999998</v>
      </c>
      <c r="CQ11" s="67" t="s">
        <v>202</v>
      </c>
      <c r="CR11" s="67" t="s">
        <v>46</v>
      </c>
      <c r="CS11" s="76">
        <v>0.62566999143413904</v>
      </c>
      <c r="CT11" s="66" t="s">
        <v>190</v>
      </c>
      <c r="CU11" s="66" t="s">
        <v>184</v>
      </c>
      <c r="CV11" s="76">
        <v>23.691800000000001</v>
      </c>
      <c r="CW11" s="66" t="s">
        <v>183</v>
      </c>
      <c r="CX11" s="82">
        <v>8.48437227924782</v>
      </c>
      <c r="CY11" s="66" t="s">
        <v>185</v>
      </c>
      <c r="CZ11" s="66" t="s">
        <v>184</v>
      </c>
      <c r="DA11" s="66" t="s">
        <v>17</v>
      </c>
      <c r="DB11" s="66" t="s">
        <v>186</v>
      </c>
      <c r="DC11" s="76">
        <v>-16.486348497559302</v>
      </c>
      <c r="DD11" s="66" t="s">
        <v>47</v>
      </c>
      <c r="DE11" s="76">
        <v>1.4058371659358799</v>
      </c>
      <c r="DF11" s="67">
        <v>60</v>
      </c>
      <c r="DG11" s="84">
        <v>1103.0925455153599</v>
      </c>
      <c r="DH11" s="67" t="s">
        <v>48</v>
      </c>
      <c r="DI11" s="67" t="s">
        <v>200</v>
      </c>
      <c r="DJ11" s="67" t="s">
        <v>179</v>
      </c>
      <c r="DK11" s="67" t="s">
        <v>17</v>
      </c>
      <c r="DL11" s="67" t="s">
        <v>49</v>
      </c>
      <c r="DM11" s="84">
        <v>5984.6347330720901</v>
      </c>
      <c r="DN11" s="67" t="s">
        <v>194</v>
      </c>
      <c r="DO11" s="84">
        <v>5791.1277190756091</v>
      </c>
      <c r="DP11" s="84">
        <v>3641.3415091771499</v>
      </c>
      <c r="DQ11" s="66" t="s">
        <v>191</v>
      </c>
      <c r="DR11" s="67" t="s">
        <v>192</v>
      </c>
      <c r="DS11" s="69" t="s">
        <v>50</v>
      </c>
      <c r="DT11" s="70" t="s">
        <v>51</v>
      </c>
      <c r="DU11" s="70">
        <v>95</v>
      </c>
      <c r="DV11" s="70" t="s">
        <v>17</v>
      </c>
      <c r="DW11" s="69" t="s">
        <v>52</v>
      </c>
      <c r="DX11" s="69" t="s">
        <v>53</v>
      </c>
      <c r="DY11" s="70" t="s">
        <v>54</v>
      </c>
      <c r="DZ11" s="70" t="s">
        <v>50</v>
      </c>
      <c r="EA11" s="70" t="s">
        <v>55</v>
      </c>
      <c r="EB11" s="70" t="s">
        <v>56</v>
      </c>
      <c r="EC11" s="70" t="s">
        <v>57</v>
      </c>
      <c r="ED11" s="70" t="s">
        <v>58</v>
      </c>
      <c r="EE11" s="70" t="s">
        <v>54</v>
      </c>
      <c r="EF11" s="70" t="s">
        <v>59</v>
      </c>
      <c r="EG11" s="86">
        <v>1057.6924532477401</v>
      </c>
      <c r="EH11" s="85">
        <v>904.41617952959405</v>
      </c>
      <c r="EI11" s="86">
        <v>2198.4670975502158</v>
      </c>
      <c r="EJ11" s="86">
        <v>903.41617952959405</v>
      </c>
      <c r="EK11" s="71" t="s">
        <v>180</v>
      </c>
      <c r="EL11" s="71" t="s">
        <v>193</v>
      </c>
      <c r="EM11" s="71" t="s">
        <v>192</v>
      </c>
      <c r="EN11" s="85">
        <v>3102.8832770798099</v>
      </c>
      <c r="EO11" s="85">
        <v>1</v>
      </c>
      <c r="EP11" s="72" t="s">
        <v>198</v>
      </c>
      <c r="EQ11"/>
      <c r="ER11"/>
    </row>
    <row r="12" spans="1:148" s="2" customFormat="1" ht="17" customHeight="1" x14ac:dyDescent="0.25">
      <c r="A12" s="6" t="s">
        <v>70</v>
      </c>
      <c r="B12" s="7" t="s">
        <v>11</v>
      </c>
      <c r="C12" s="6" t="s">
        <v>16</v>
      </c>
      <c r="D12" s="6" t="s">
        <v>8</v>
      </c>
      <c r="E12" s="6" t="s">
        <v>9</v>
      </c>
      <c r="F12" s="8" t="s">
        <v>10</v>
      </c>
      <c r="G12" s="4">
        <v>50700</v>
      </c>
      <c r="H12" s="4">
        <v>200.00000000000728</v>
      </c>
      <c r="I12" s="4">
        <v>200</v>
      </c>
      <c r="J12" s="1">
        <v>390.73941972612101</v>
      </c>
      <c r="K12" s="9">
        <v>843.14992827358901</v>
      </c>
      <c r="L12" s="9">
        <v>389.73941972612101</v>
      </c>
      <c r="M12" s="6" t="b">
        <v>0</v>
      </c>
      <c r="N12" s="90">
        <v>2</v>
      </c>
      <c r="O12" s="92" t="s">
        <v>205</v>
      </c>
      <c r="P12" s="6" t="b">
        <v>0</v>
      </c>
      <c r="Q12" s="6" t="b">
        <v>1</v>
      </c>
      <c r="R12" s="6" t="s">
        <v>203</v>
      </c>
      <c r="S12" s="6" t="b">
        <v>1</v>
      </c>
      <c r="T12" s="6" t="b">
        <v>0</v>
      </c>
      <c r="U12" s="6" t="s">
        <v>17</v>
      </c>
      <c r="V12" s="6" t="b">
        <v>0</v>
      </c>
      <c r="W12" s="6" t="b">
        <v>0</v>
      </c>
      <c r="X12" s="6" t="s">
        <v>17</v>
      </c>
      <c r="Y12" s="56" t="s">
        <v>80</v>
      </c>
      <c r="Z12" s="57" t="s">
        <v>10</v>
      </c>
      <c r="AA12" s="57" t="s">
        <v>17</v>
      </c>
      <c r="AB12" s="57" t="s">
        <v>17</v>
      </c>
      <c r="AC12" s="73" t="s">
        <v>68</v>
      </c>
      <c r="AD12" s="58" t="s">
        <v>42</v>
      </c>
      <c r="AE12" s="58">
        <v>42.2288</v>
      </c>
      <c r="AF12" s="73">
        <v>-108.5307</v>
      </c>
      <c r="AG12" s="81" t="s">
        <v>17</v>
      </c>
      <c r="AH12" s="81" t="s">
        <v>17</v>
      </c>
      <c r="AI12" s="73">
        <v>94.5</v>
      </c>
      <c r="AJ12" s="73">
        <v>50.7</v>
      </c>
      <c r="AK12" s="61">
        <f t="shared" si="0"/>
        <v>50.900000000000006</v>
      </c>
      <c r="AL12" s="61">
        <f t="shared" si="1"/>
        <v>50.5</v>
      </c>
      <c r="AM12" s="60" t="s">
        <v>43</v>
      </c>
      <c r="AN12" s="64">
        <v>-6.1</v>
      </c>
      <c r="AO12" s="64">
        <v>0.1</v>
      </c>
      <c r="AP12" s="64">
        <v>3</v>
      </c>
      <c r="AQ12" s="62" t="s">
        <v>44</v>
      </c>
      <c r="AR12" s="74">
        <v>-22.9</v>
      </c>
      <c r="AS12" s="74">
        <v>0.3</v>
      </c>
      <c r="AT12" s="74">
        <v>2</v>
      </c>
      <c r="AU12" s="64">
        <v>-23.1</v>
      </c>
      <c r="AV12" s="64">
        <v>0.2</v>
      </c>
      <c r="AW12" s="64">
        <v>2</v>
      </c>
      <c r="AX12" s="62" t="s">
        <v>44</v>
      </c>
      <c r="AY12" s="64" t="s">
        <v>17</v>
      </c>
      <c r="AZ12" s="64" t="s">
        <v>17</v>
      </c>
      <c r="BA12" s="64" t="s">
        <v>17</v>
      </c>
      <c r="BB12" s="64" t="s">
        <v>17</v>
      </c>
      <c r="BC12" s="75">
        <v>-6.9</v>
      </c>
      <c r="BD12" s="64" t="s">
        <v>178</v>
      </c>
      <c r="BE12" s="64" t="s">
        <v>178</v>
      </c>
      <c r="BF12" s="64" t="s">
        <v>17</v>
      </c>
      <c r="BG12" s="64" t="s">
        <v>17</v>
      </c>
      <c r="BH12" s="64" t="s">
        <v>17</v>
      </c>
      <c r="BI12" s="64" t="s">
        <v>17</v>
      </c>
      <c r="BJ12" s="64" t="s">
        <v>17</v>
      </c>
      <c r="BK12" s="64">
        <v>90</v>
      </c>
      <c r="BL12" s="62" t="s">
        <v>45</v>
      </c>
      <c r="BM12" s="65">
        <v>49.18</v>
      </c>
      <c r="BN12" s="65">
        <v>0.14000000000000001</v>
      </c>
      <c r="BO12" s="65">
        <v>0.37</v>
      </c>
      <c r="BP12" s="65">
        <v>0.01</v>
      </c>
      <c r="BQ12" s="65">
        <v>9.43</v>
      </c>
      <c r="BR12" s="65">
        <v>7.0000000000000007E-2</v>
      </c>
      <c r="BS12" s="65">
        <v>3.13</v>
      </c>
      <c r="BT12" s="65">
        <v>0.01</v>
      </c>
      <c r="BU12" s="65">
        <v>0.28999999999999998</v>
      </c>
      <c r="BV12" s="65">
        <v>0.01</v>
      </c>
      <c r="BW12" s="65">
        <v>1.9</v>
      </c>
      <c r="BX12" s="65">
        <v>0.01</v>
      </c>
      <c r="BY12" s="65">
        <v>13.78</v>
      </c>
      <c r="BZ12" s="65">
        <v>0.1</v>
      </c>
      <c r="CA12" s="65">
        <v>1.64</v>
      </c>
      <c r="CB12" s="65">
        <v>0.01</v>
      </c>
      <c r="CC12" s="65">
        <v>2.0099999999999998</v>
      </c>
      <c r="CD12" s="65">
        <v>0.01</v>
      </c>
      <c r="CE12" s="65">
        <v>0.38400000000000001</v>
      </c>
      <c r="CF12" s="65">
        <v>0</v>
      </c>
      <c r="CG12" s="74">
        <v>0.02</v>
      </c>
      <c r="CH12" s="74">
        <v>0</v>
      </c>
      <c r="CI12" s="74">
        <v>2</v>
      </c>
      <c r="CJ12" s="67">
        <v>-22.6</v>
      </c>
      <c r="CK12" s="67" t="s">
        <v>187</v>
      </c>
      <c r="CL12" s="67" t="s">
        <v>188</v>
      </c>
      <c r="CM12" s="76">
        <v>1.4590484511941</v>
      </c>
      <c r="CN12" s="68" t="s">
        <v>189</v>
      </c>
      <c r="CO12" s="68" t="s">
        <v>184</v>
      </c>
      <c r="CP12" s="76">
        <v>-5.8224999999999998</v>
      </c>
      <c r="CQ12" s="67" t="s">
        <v>202</v>
      </c>
      <c r="CR12" s="67" t="s">
        <v>46</v>
      </c>
      <c r="CS12" s="76">
        <v>0.63531429762483604</v>
      </c>
      <c r="CT12" s="66" t="s">
        <v>190</v>
      </c>
      <c r="CU12" s="66" t="s">
        <v>184</v>
      </c>
      <c r="CV12" s="76">
        <v>23.894200000000001</v>
      </c>
      <c r="CW12" s="66" t="s">
        <v>183</v>
      </c>
      <c r="CX12" s="82">
        <v>8.3839239593123693</v>
      </c>
      <c r="CY12" s="66" t="s">
        <v>185</v>
      </c>
      <c r="CZ12" s="66" t="s">
        <v>184</v>
      </c>
      <c r="DA12" s="66" t="s">
        <v>17</v>
      </c>
      <c r="DB12" s="66" t="s">
        <v>186</v>
      </c>
      <c r="DC12" s="76">
        <v>-15.0753191990364</v>
      </c>
      <c r="DD12" s="66" t="s">
        <v>47</v>
      </c>
      <c r="DE12" s="76">
        <v>1.0017623533568101</v>
      </c>
      <c r="DF12" s="67">
        <v>90</v>
      </c>
      <c r="DG12" s="84">
        <v>250.90396799088001</v>
      </c>
      <c r="DH12" s="67" t="s">
        <v>48</v>
      </c>
      <c r="DI12" s="67" t="s">
        <v>200</v>
      </c>
      <c r="DJ12" s="67" t="s">
        <v>179</v>
      </c>
      <c r="DK12" s="67" t="s">
        <v>17</v>
      </c>
      <c r="DL12" s="67" t="s">
        <v>49</v>
      </c>
      <c r="DM12" s="84">
        <v>1152.72549850829</v>
      </c>
      <c r="DN12" s="67" t="s">
        <v>194</v>
      </c>
      <c r="DO12" s="84">
        <v>1811.6482321559101</v>
      </c>
      <c r="DP12" s="84">
        <v>1532.838853622208</v>
      </c>
      <c r="DQ12" s="66" t="s">
        <v>191</v>
      </c>
      <c r="DR12" s="67" t="s">
        <v>192</v>
      </c>
      <c r="DS12" s="69" t="s">
        <v>50</v>
      </c>
      <c r="DT12" s="70" t="s">
        <v>51</v>
      </c>
      <c r="DU12" s="70">
        <v>170</v>
      </c>
      <c r="DV12" s="70" t="s">
        <v>17</v>
      </c>
      <c r="DW12" s="69" t="s">
        <v>52</v>
      </c>
      <c r="DX12" s="69" t="s">
        <v>53</v>
      </c>
      <c r="DY12" s="70" t="s">
        <v>54</v>
      </c>
      <c r="DZ12" s="70" t="s">
        <v>50</v>
      </c>
      <c r="EA12" s="70" t="s">
        <v>55</v>
      </c>
      <c r="EB12" s="70" t="s">
        <v>56</v>
      </c>
      <c r="EC12" s="70" t="s">
        <v>57</v>
      </c>
      <c r="ED12" s="70" t="s">
        <v>58</v>
      </c>
      <c r="EE12" s="70" t="s">
        <v>54</v>
      </c>
      <c r="EF12" s="70" t="s">
        <v>59</v>
      </c>
      <c r="EG12" s="86">
        <v>442.36491268714201</v>
      </c>
      <c r="EH12" s="85">
        <v>390.73941972612101</v>
      </c>
      <c r="EI12" s="86">
        <v>843.14992827358901</v>
      </c>
      <c r="EJ12" s="86">
        <v>389.73941972612101</v>
      </c>
      <c r="EK12" s="71" t="s">
        <v>180</v>
      </c>
      <c r="EL12" s="71" t="s">
        <v>193</v>
      </c>
      <c r="EM12" s="71" t="s">
        <v>192</v>
      </c>
      <c r="EN12" s="85">
        <f>EH12+EI12</f>
        <v>1233.88934799971</v>
      </c>
      <c r="EO12" s="85">
        <f>EH12-EJ12</f>
        <v>1</v>
      </c>
      <c r="EP12" s="72" t="s">
        <v>198</v>
      </c>
      <c r="EQ12"/>
      <c r="ER12"/>
    </row>
    <row r="13" spans="1:148" s="2" customFormat="1" ht="17" customHeight="1" x14ac:dyDescent="0.25">
      <c r="A13" s="6" t="s">
        <v>70</v>
      </c>
      <c r="B13" s="7" t="s">
        <v>11</v>
      </c>
      <c r="C13" s="6" t="s">
        <v>16</v>
      </c>
      <c r="D13" s="6" t="s">
        <v>8</v>
      </c>
      <c r="E13" s="6" t="s">
        <v>9</v>
      </c>
      <c r="F13" s="8" t="s">
        <v>10</v>
      </c>
      <c r="G13" s="4">
        <v>50500</v>
      </c>
      <c r="H13" s="4">
        <v>200</v>
      </c>
      <c r="I13" s="4">
        <v>200</v>
      </c>
      <c r="J13" s="1">
        <v>1336.6932271133401</v>
      </c>
      <c r="K13" s="9">
        <v>2423.9089161542001</v>
      </c>
      <c r="L13" s="9">
        <v>1205.4958176887822</v>
      </c>
      <c r="M13" s="6" t="b">
        <v>0</v>
      </c>
      <c r="N13" s="6">
        <v>3</v>
      </c>
      <c r="O13" s="94" t="s">
        <v>13</v>
      </c>
      <c r="P13" s="6" t="b">
        <v>0</v>
      </c>
      <c r="Q13" s="6" t="b">
        <v>1</v>
      </c>
      <c r="R13" s="6" t="s">
        <v>204</v>
      </c>
      <c r="S13" s="6" t="b">
        <v>1</v>
      </c>
      <c r="T13" s="6" t="b">
        <v>0</v>
      </c>
      <c r="U13" s="6" t="s">
        <v>17</v>
      </c>
      <c r="V13" s="6" t="b">
        <v>0</v>
      </c>
      <c r="W13" s="6" t="b">
        <v>0</v>
      </c>
      <c r="X13" s="6" t="s">
        <v>17</v>
      </c>
      <c r="Y13" s="56" t="s">
        <v>80</v>
      </c>
      <c r="Z13" s="57" t="s">
        <v>10</v>
      </c>
      <c r="AA13" s="57" t="s">
        <v>17</v>
      </c>
      <c r="AB13" s="57" t="s">
        <v>17</v>
      </c>
      <c r="AC13" s="73" t="s">
        <v>69</v>
      </c>
      <c r="AD13" s="77" t="s">
        <v>42</v>
      </c>
      <c r="AE13" s="77">
        <v>42.2179</v>
      </c>
      <c r="AF13" s="78">
        <v>-108.545</v>
      </c>
      <c r="AG13" s="81" t="s">
        <v>17</v>
      </c>
      <c r="AH13" s="81" t="s">
        <v>17</v>
      </c>
      <c r="AI13" s="73">
        <v>112</v>
      </c>
      <c r="AJ13" s="73">
        <v>50.5</v>
      </c>
      <c r="AK13" s="79">
        <f t="shared" si="0"/>
        <v>50.7</v>
      </c>
      <c r="AL13" s="79">
        <f t="shared" si="1"/>
        <v>50.3</v>
      </c>
      <c r="AM13" s="73" t="s">
        <v>43</v>
      </c>
      <c r="AN13" s="64">
        <v>-6.5</v>
      </c>
      <c r="AO13" s="64">
        <v>0.2</v>
      </c>
      <c r="AP13" s="64">
        <v>4</v>
      </c>
      <c r="AQ13" s="64" t="s">
        <v>44</v>
      </c>
      <c r="AR13" s="74">
        <v>-21.7</v>
      </c>
      <c r="AS13" s="74">
        <v>0.3</v>
      </c>
      <c r="AT13" s="74">
        <v>2</v>
      </c>
      <c r="AU13" s="64">
        <v>-22.8</v>
      </c>
      <c r="AV13" s="64">
        <v>0.6</v>
      </c>
      <c r="AW13" s="64">
        <v>2</v>
      </c>
      <c r="AX13" s="64" t="s">
        <v>44</v>
      </c>
      <c r="AY13" s="64" t="s">
        <v>17</v>
      </c>
      <c r="AZ13" s="64" t="s">
        <v>17</v>
      </c>
      <c r="BA13" s="64" t="s">
        <v>17</v>
      </c>
      <c r="BB13" s="64" t="s">
        <v>17</v>
      </c>
      <c r="BC13" s="75">
        <v>-7.32</v>
      </c>
      <c r="BD13" s="64" t="s">
        <v>178</v>
      </c>
      <c r="BE13" s="64" t="s">
        <v>178</v>
      </c>
      <c r="BF13" s="64" t="s">
        <v>17</v>
      </c>
      <c r="BG13" s="64" t="s">
        <v>17</v>
      </c>
      <c r="BH13" s="64" t="s">
        <v>17</v>
      </c>
      <c r="BI13" s="64" t="s">
        <v>17</v>
      </c>
      <c r="BJ13" s="64" t="s">
        <v>17</v>
      </c>
      <c r="BK13" s="64">
        <v>85</v>
      </c>
      <c r="BL13" s="64" t="s">
        <v>45</v>
      </c>
      <c r="BM13" s="65">
        <v>58.36</v>
      </c>
      <c r="BN13" s="65">
        <v>0.16</v>
      </c>
      <c r="BO13" s="65">
        <v>0.74</v>
      </c>
      <c r="BP13" s="65">
        <v>0.03</v>
      </c>
      <c r="BQ13" s="65">
        <v>14.96</v>
      </c>
      <c r="BR13" s="65">
        <v>0.05</v>
      </c>
      <c r="BS13" s="65">
        <v>6.22</v>
      </c>
      <c r="BT13" s="65">
        <v>0.01</v>
      </c>
      <c r="BU13" s="65">
        <v>0.03</v>
      </c>
      <c r="BV13" s="65">
        <v>0</v>
      </c>
      <c r="BW13" s="65">
        <v>2.33</v>
      </c>
      <c r="BX13" s="65">
        <v>0.01</v>
      </c>
      <c r="BY13" s="65">
        <v>0.83</v>
      </c>
      <c r="BZ13" s="65">
        <v>0</v>
      </c>
      <c r="CA13" s="65">
        <v>2.06</v>
      </c>
      <c r="CB13" s="65">
        <v>0.01</v>
      </c>
      <c r="CC13" s="65">
        <v>2.4900000000000002</v>
      </c>
      <c r="CD13" s="65">
        <v>0.01</v>
      </c>
      <c r="CE13" s="65">
        <v>0.17599999999999999</v>
      </c>
      <c r="CF13" s="65">
        <v>0</v>
      </c>
      <c r="CG13" s="74">
        <v>0.02</v>
      </c>
      <c r="CH13" s="74">
        <v>0</v>
      </c>
      <c r="CI13" s="74">
        <v>2</v>
      </c>
      <c r="CJ13" s="67">
        <v>-22.3</v>
      </c>
      <c r="CK13" s="67" t="s">
        <v>187</v>
      </c>
      <c r="CL13" s="67" t="s">
        <v>188</v>
      </c>
      <c r="CM13" s="76">
        <v>1.8413149345113899</v>
      </c>
      <c r="CN13" s="68" t="s">
        <v>189</v>
      </c>
      <c r="CO13" s="68" t="s">
        <v>184</v>
      </c>
      <c r="CP13" s="76">
        <v>-5.6924999999999999</v>
      </c>
      <c r="CQ13" s="67" t="s">
        <v>202</v>
      </c>
      <c r="CR13" s="67" t="s">
        <v>46</v>
      </c>
      <c r="CS13" s="76">
        <v>0.74611793036387997</v>
      </c>
      <c r="CT13" s="66" t="s">
        <v>190</v>
      </c>
      <c r="CU13" s="66" t="s">
        <v>184</v>
      </c>
      <c r="CV13" s="76">
        <v>23.4894</v>
      </c>
      <c r="CW13" s="66" t="s">
        <v>183</v>
      </c>
      <c r="CX13" s="76">
        <v>8.4989401473191499</v>
      </c>
      <c r="CY13" s="66" t="s">
        <v>185</v>
      </c>
      <c r="CZ13" s="66" t="s">
        <v>184</v>
      </c>
      <c r="DA13" s="67" t="s">
        <v>17</v>
      </c>
      <c r="DB13" s="66" t="s">
        <v>186</v>
      </c>
      <c r="DC13" s="76">
        <v>-15.519097328182101</v>
      </c>
      <c r="DD13" s="67" t="s">
        <v>47</v>
      </c>
      <c r="DE13" s="76">
        <v>1.0741539307109</v>
      </c>
      <c r="DF13" s="67">
        <v>85</v>
      </c>
      <c r="DG13" s="84">
        <v>1014.4013365068899</v>
      </c>
      <c r="DH13" s="67" t="s">
        <v>48</v>
      </c>
      <c r="DI13" s="67" t="s">
        <v>200</v>
      </c>
      <c r="DJ13" s="67" t="s">
        <v>179</v>
      </c>
      <c r="DK13" s="67" t="s">
        <v>17</v>
      </c>
      <c r="DL13" s="67" t="s">
        <v>49</v>
      </c>
      <c r="DM13" s="84">
        <v>5481.7555779940903</v>
      </c>
      <c r="DN13" s="67" t="s">
        <v>194</v>
      </c>
      <c r="DO13" s="84">
        <v>5375.17640877741</v>
      </c>
      <c r="DP13" s="84">
        <v>3360.0016229593402</v>
      </c>
      <c r="DQ13" s="66" t="s">
        <v>191</v>
      </c>
      <c r="DR13" s="67" t="s">
        <v>192</v>
      </c>
      <c r="DS13" s="70" t="s">
        <v>50</v>
      </c>
      <c r="DT13" s="70" t="s">
        <v>51</v>
      </c>
      <c r="DU13" s="70">
        <v>160</v>
      </c>
      <c r="DV13" s="70" t="s">
        <v>17</v>
      </c>
      <c r="DW13" s="70" t="s">
        <v>52</v>
      </c>
      <c r="DX13" s="70" t="s">
        <v>53</v>
      </c>
      <c r="DY13" s="70" t="s">
        <v>54</v>
      </c>
      <c r="DZ13" s="70" t="s">
        <v>50</v>
      </c>
      <c r="EA13" s="70" t="s">
        <v>55</v>
      </c>
      <c r="EB13" s="70" t="s">
        <v>56</v>
      </c>
      <c r="EC13" s="70" t="s">
        <v>57</v>
      </c>
      <c r="ED13" s="70" t="s">
        <v>58</v>
      </c>
      <c r="EE13" s="70" t="s">
        <v>54</v>
      </c>
      <c r="EF13" s="70" t="s">
        <v>59</v>
      </c>
      <c r="EG13" s="86">
        <v>1492.4654146825801</v>
      </c>
      <c r="EH13" s="86">
        <v>1336.6932271133401</v>
      </c>
      <c r="EI13" s="86">
        <v>2423.9089161542001</v>
      </c>
      <c r="EJ13" s="86">
        <v>1205.4958176887822</v>
      </c>
      <c r="EK13" s="71" t="s">
        <v>180</v>
      </c>
      <c r="EL13" s="71" t="s">
        <v>193</v>
      </c>
      <c r="EM13" s="71" t="s">
        <v>192</v>
      </c>
      <c r="EN13" s="86">
        <v>3760.6021432675402</v>
      </c>
      <c r="EO13" s="86">
        <v>131.197409424558</v>
      </c>
      <c r="EP13" s="72" t="s">
        <v>198</v>
      </c>
      <c r="EQ13"/>
      <c r="ER13"/>
    </row>
  </sheetData>
  <mergeCells count="7">
    <mergeCell ref="EG2:EO2"/>
    <mergeCell ref="A2:X2"/>
    <mergeCell ref="Y2:AB2"/>
    <mergeCell ref="AC2:AM2"/>
    <mergeCell ref="AN2:CI2"/>
    <mergeCell ref="CJ2:DO2"/>
    <mergeCell ref="DS2:EF2"/>
  </mergeCells>
  <hyperlinks>
    <hyperlink ref="B4" r:id="rId1" xr:uid="{00000000-0004-0000-0000-000001000000}"/>
    <hyperlink ref="B5:B13" r:id="rId2" display="breecker@jsg.utexas.edu" xr:uid="{5CE6A235-E1D1-374B-A5B7-370BA10E8E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Baerbel Hoenisch</dc:creator>
  <cp:lastModifiedBy>Bärbel Hönisch</cp:lastModifiedBy>
  <dcterms:created xsi:type="dcterms:W3CDTF">2019-02-19T19:23:08Z</dcterms:created>
  <dcterms:modified xsi:type="dcterms:W3CDTF">2022-03-17T18:48:54Z</dcterms:modified>
</cp:coreProperties>
</file>