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8D17EE82-E748-DE4B-BA58-E1020942E75A}" xr6:coauthVersionLast="47" xr6:coauthVersionMax="47" xr10:uidLastSave="{00000000-0000-0000-0000-000000000000}"/>
  <bookViews>
    <workbookView xWindow="800" yWindow="1620" windowWidth="24100" windowHeight="15260" xr2:uid="{00000000-000D-0000-FFFF-FFFF00000000}"/>
  </bookViews>
  <sheets>
    <sheet name="Sheet1" sheetId="1" r:id="rId1"/>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CJ4" i="1" l="1"/>
</calcChain>
</file>

<file path=xl/sharedStrings.xml><?xml version="1.0" encoding="utf-8"?>
<sst xmlns="http://schemas.openxmlformats.org/spreadsheetml/2006/main" count="263" uniqueCount="165">
  <si>
    <t>doi</t>
  </si>
  <si>
    <t>Paleosol Carbonate</t>
  </si>
  <si>
    <t>ntabor@smu.edu</t>
  </si>
  <si>
    <t>Kohn</t>
  </si>
  <si>
    <t>proxy</t>
  </si>
  <si>
    <t>first_author_last_name</t>
  </si>
  <si>
    <t>publication_year</t>
  </si>
  <si>
    <t>age_ka</t>
  </si>
  <si>
    <t>Age_uncertainty_pos_ka</t>
  </si>
  <si>
    <t>Age_uncertainty_neg_ka</t>
  </si>
  <si>
    <t>specify reason for age revision</t>
  </si>
  <si>
    <t>specify reason for quarantine</t>
  </si>
  <si>
    <t>"unbalanced soils"  for which S(z) &gt;&gt; atmospheric CO2</t>
  </si>
  <si>
    <t>Neil Tabor and Dan Breecker</t>
  </si>
  <si>
    <t>NA</t>
  </si>
  <si>
    <t>Contextual Information</t>
  </si>
  <si>
    <t>Measured Values</t>
  </si>
  <si>
    <t>Derived Values</t>
  </si>
  <si>
    <t>Other measurements/observations</t>
  </si>
  <si>
    <r>
      <t>CO</t>
    </r>
    <r>
      <rPr>
        <vertAlign val="subscript"/>
        <sz val="18"/>
        <color theme="1"/>
        <rFont val="Arial"/>
        <family val="2"/>
      </rPr>
      <t>2</t>
    </r>
    <r>
      <rPr>
        <sz val="18"/>
        <color theme="1"/>
        <rFont val="Arial"/>
        <family val="2"/>
      </rPr>
      <t xml:space="preserve"> estimates</t>
    </r>
  </si>
  <si>
    <t>Sample ID</t>
  </si>
  <si>
    <t>Rock formation name</t>
  </si>
  <si>
    <t>Reference(s) for age</t>
  </si>
  <si>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</si>
  <si>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</si>
  <si>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</si>
  <si>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</si>
  <si>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</si>
  <si>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</si>
  <si>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</si>
  <si>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</si>
  <si>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n geochemical analyses</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</si>
  <si>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</si>
  <si>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</si>
  <si>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</si>
  <si>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</si>
  <si>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</si>
  <si>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estimation approach</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</si>
  <si>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</si>
  <si>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t>Reference(s) for other temperature approach</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</si>
  <si>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</si>
  <si>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</si>
  <si>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MAP approach</t>
  </si>
  <si>
    <t>MAP reference(s)</t>
  </si>
  <si>
    <t>S(z) approach</t>
  </si>
  <si>
    <t>Soil horizon for organic matter</t>
  </si>
  <si>
    <t>Soil order</t>
  </si>
  <si>
    <t>Soil texture (Grain size)</t>
  </si>
  <si>
    <t>Depth of om sample in soil horizon</t>
  </si>
  <si>
    <t>Organic matter type</t>
  </si>
  <si>
    <t>Method of removal of calcium carbonate prior to om analysis</t>
  </si>
  <si>
    <t>Defining features for soil order designation</t>
  </si>
  <si>
    <t>error propagation method</t>
  </si>
  <si>
    <t>variables considered in error propagation</t>
  </si>
  <si>
    <t>Additional publications that are part of the  dataset</t>
  </si>
  <si>
    <t>Explanation for each additional publications link to the dataset</t>
  </si>
  <si>
    <r>
      <t>Kohn, M. J., Strömberg, C. A., Madden, R. H., Dunn, R. E., Evans, S., Palacios, A., &amp; Carlini, A. A. (2015). Quasi-static Eocene–Oligocene climate in Patagonia promotes slow faunal evolution and mid-Cenozoic global cooling. </t>
    </r>
    <r>
      <rPr>
        <i/>
        <sz val="13"/>
        <color rgb="FF222222"/>
        <rFont val="Arial"/>
        <family val="2"/>
      </rPr>
      <t>Palaeogeography, Palaeoclimatology, Palaeoecology</t>
    </r>
    <r>
      <rPr>
        <sz val="13"/>
        <color rgb="FF222222"/>
        <rFont val="Arial"/>
        <family val="2"/>
      </rPr>
      <t>, </t>
    </r>
    <r>
      <rPr>
        <i/>
        <sz val="13"/>
        <color rgb="FF222222"/>
        <rFont val="Arial"/>
        <family val="2"/>
      </rPr>
      <t>435</t>
    </r>
    <r>
      <rPr>
        <sz val="13"/>
        <color rgb="FF222222"/>
        <rFont val="Arial"/>
        <family val="2"/>
      </rPr>
      <t>, 24-37.</t>
    </r>
  </si>
  <si>
    <t>14‰ tooth enamel apatite- leaf fractionation AND 2‰ soil OM- bulk leaf fractionation</t>
  </si>
  <si>
    <t>Cerling, T. E., &amp; Harris, J. M. (1999). Carbon isotope fractionation between diet and bioapatite in ungulate mammals and implications for ecological and paleoecological studies. Oecologia, 120(3), 347-363.       Bowling, D. R., Pataki, D. E., &amp; Randerson, J. T. (2008). Carbon isotopes in terrestrial ecosystem pools and CO2 fluxes. New Phytologist, 178(1), 24-40.</t>
  </si>
  <si>
    <t>from marine carbonates</t>
  </si>
  <si>
    <t>Tipple, B. J., Meyers, S. R., &amp; Pagani, M. (2010). Carbon isotope ratio of Cenozoic CO2: A comparative evaluation of available geochemical proxies. Paleoceanography, 25(3).</t>
  </si>
  <si>
    <t>WMMT determined from MAT and MART baased on paleobotany</t>
  </si>
  <si>
    <t>below 30 cm</t>
  </si>
  <si>
    <t>fine(silt and clay)</t>
  </si>
  <si>
    <t>nodules</t>
  </si>
  <si>
    <t>Yes</t>
  </si>
  <si>
    <t>No</t>
  </si>
  <si>
    <t>CO2_ppm</t>
  </si>
  <si>
    <t>CO2_uncertainty_pos_ppm</t>
  </si>
  <si>
    <t>specify reason for CO2 revision</t>
  </si>
  <si>
    <t>Summary</t>
  </si>
  <si>
    <t>CO2 data as originally published (TRUE or FALSE)</t>
  </si>
  <si>
    <t>CO2 data superseded by (please list doi if TRUE, otherwise FALSE)</t>
  </si>
  <si>
    <t>CO2 recalculated by paleo-CO2.org (TRUE or FALSE)</t>
  </si>
  <si>
    <t>age data as originally published (TRUE or FALSE)</t>
  </si>
  <si>
    <t>age data quarantined (TRUE of FALSE)</t>
  </si>
  <si>
    <t>age data superseded by (please list doi if TRUE, otherwise FALSE)</t>
  </si>
  <si>
    <t>age recalculated by paleo-CO2.org (TRUE or FALSE)</t>
  </si>
  <si>
    <t>name_of_individual_entering_data</t>
  </si>
  <si>
    <t>contact_email_of_individual_entering_data</t>
  </si>
  <si>
    <t>CO2_uncertainty_neg_ppm</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</si>
  <si>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</si>
  <si>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</si>
  <si>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</si>
  <si>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</si>
  <si>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</si>
  <si>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</si>
  <si>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</si>
  <si>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</si>
  <si>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</si>
  <si>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</si>
  <si>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</si>
  <si>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</si>
  <si>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</si>
  <si>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</si>
  <si>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</si>
  <si>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</si>
  <si>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</si>
  <si>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</si>
  <si>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</si>
  <si>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</si>
  <si>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</si>
  <si>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</si>
  <si>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</si>
  <si>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</si>
  <si>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</si>
  <si>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</si>
  <si>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</si>
  <si>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</si>
  <si>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</si>
  <si>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</si>
  <si>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</si>
  <si>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</si>
  <si>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</si>
  <si>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</si>
  <si>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</si>
  <si>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</si>
  <si>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</si>
  <si>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</si>
  <si>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</si>
  <si>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</si>
  <si>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</si>
  <si>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</si>
  <si>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t>Temperature of calcium carbonate formation (°C)</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</si>
  <si>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</si>
  <si>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</si>
  <si>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</si>
  <si>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</si>
  <si>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</si>
  <si>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</si>
  <si>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</si>
  <si>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</si>
  <si>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</si>
  <si>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</si>
  <si>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</si>
  <si>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</si>
  <si>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</si>
  <si>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10.1016/j.palaeo.2015.05.028</t>
  </si>
  <si>
    <t>Data Sources</t>
  </si>
  <si>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</si>
  <si>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</si>
  <si>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</si>
  <si>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</si>
  <si>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</si>
  <si>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</si>
  <si>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</si>
  <si>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</si>
  <si>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</si>
  <si>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</si>
  <si>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</si>
  <si>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</si>
  <si>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t>S(z) uncertainty pos ppm</t>
  </si>
  <si>
    <t>S(z) uncertainty neg ppm</t>
  </si>
  <si>
    <r>
      <t>Atmospheric CO</t>
    </r>
    <r>
      <rPr>
        <vertAlign val="subscript"/>
        <sz val="13"/>
        <color rgb="FF000000"/>
        <rFont val="Arial"/>
        <family val="2"/>
      </rPr>
      <t xml:space="preserve">2 </t>
    </r>
    <r>
      <rPr>
        <sz val="13"/>
        <color rgb="FF000000"/>
        <rFont val="Arial"/>
        <family val="2"/>
      </rPr>
      <t>uncertainty pos ppmV</t>
    </r>
  </si>
  <si>
    <r>
      <t>Atmospheric CO</t>
    </r>
    <r>
      <rPr>
        <vertAlign val="subscript"/>
        <sz val="13"/>
        <color rgb="FF000000"/>
        <rFont val="Arial"/>
        <family val="2"/>
      </rPr>
      <t xml:space="preserve">2 </t>
    </r>
    <r>
      <rPr>
        <sz val="13"/>
        <color rgb="FF000000"/>
        <rFont val="Arial"/>
        <family val="2"/>
      </rPr>
      <t>uncertainty neg ppmV</t>
    </r>
  </si>
  <si>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</si>
  <si>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</si>
  <si>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</si>
  <si>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t>variance in tooth enamel apatite d13C values and estimated additional error</t>
  </si>
  <si>
    <t>estimate</t>
  </si>
  <si>
    <t>not reported</t>
  </si>
  <si>
    <t>Paleo Latitude (decimal degree, south negative)</t>
  </si>
  <si>
    <t>Paleo Longitude (decimal degree, west negative)</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</si>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</sst>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scheme val="minor"/>
    </font>
    <font>
      <u/>
      <sz val="11"/>
      <color theme="10"/>
      <name val="Calibri"/>
      <family val="2"/>
      <scheme val="minor"/>
    </font>
    <font>
      <sz val="12"/>
      <color theme="1"/>
      <name val="Arial"/>
      <family val="2"/>
    </font>
    <font>
      <sz val="12"/>
      <color rgb="FF000000"/>
      <name val="Arial"/>
      <family val="2"/>
    </font>
    <font>
      <u/>
      <sz val="12"/>
      <color theme="1"/>
      <name val="Arial"/>
      <family val="2"/>
    </font>
    <font>
      <u/>
      <sz val="12"/>
      <color theme="10"/>
      <name val="Arial"/>
      <family val="2"/>
    </font>
    <font>
      <sz val="13"/>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vertAlign val="superscript"/>
      <sz val="13"/>
      <color rgb="FF000000"/>
      <name val="Arial"/>
      <family val="2"/>
    </font>
    <font>
      <vertAlign val="subscript"/>
      <sz val="13"/>
      <color rgb="FF000000"/>
      <name val="Arial"/>
      <family val="2"/>
    </font>
    <font>
      <sz val="13"/>
      <color rgb="FF222222"/>
      <name val="Arial"/>
      <family val="2"/>
    </font>
    <font>
      <i/>
      <sz val="13"/>
      <color rgb="FF222222"/>
      <name val="Arial"/>
      <family val="2"/>
    </font>
    <font>
      <sz val="12"/>
      <color rgb="FF222222"/>
      <name val="Arial"/>
      <family val="2"/>
    </font>
    <font>
      <sz val="12"/>
      <color rgb="FF000000"/>
      <name val="Calibri"/>
      <family val="2"/>
      <scheme val="minor"/>
    </font>
    <font>
      <sz val="14"/>
      <name val="Arial"/>
      <family val="2"/>
    </font>
    <font>
      <sz val="14"/>
      <color theme="1"/>
      <name val="Arial"/>
      <family val="2"/>
    </font>
    <font>
      <sz val="11"/>
      <name val="Arial"/>
      <family val="2"/>
    </font>
    <font>
      <sz val="13"/>
      <color rgb="FF000000"/>
      <name val="Arial"/>
      <family val="2"/>
      <charset val="2"/>
    </font>
    <font>
      <sz val="12"/>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2CC"/>
        <bgColor rgb="FF000000"/>
      </patternFill>
    </fill>
    <fill>
      <patternFill patternType="solid">
        <fgColor rgb="FFEDEDED"/>
        <bgColor rgb="FF000000"/>
      </patternFill>
    </fill>
    <fill>
      <patternFill patternType="solid">
        <fgColor theme="2"/>
        <bgColor indexed="64"/>
      </patternFill>
    </fill>
    <fill>
      <patternFill patternType="solid">
        <fgColor rgb="FFEDEDED"/>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s>
  <borders count="8">
    <border>
      <left/>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s>
  <cellStyleXfs count="2">
    <xf numFmtId="0" fontId="0" fillId="0" borderId="0"/>
    <xf numFmtId="0" fontId="1" fillId="0" borderId="0" applyNumberFormat="0" applyFill="0" applyBorder="0" applyAlignment="0" applyProtection="0"/>
  </cellStyleXfs>
  <cellXfs count="80">
    <xf numFmtId="0" fontId="0" fillId="0" borderId="0" xfId="0"/>
    <xf numFmtId="0" fontId="0" fillId="0" borderId="0" xfId="0" applyAlignment="1"/>
    <xf numFmtId="0" fontId="2" fillId="0" borderId="5" xfId="0" applyFont="1" applyBorder="1"/>
    <xf numFmtId="0" fontId="2" fillId="0" borderId="3" xfId="1" applyFont="1" applyBorder="1"/>
    <xf numFmtId="0" fontId="13" fillId="0" borderId="1" xfId="0" applyFont="1" applyBorder="1" applyAlignment="1">
      <alignment horizontal="center"/>
    </xf>
    <xf numFmtId="0" fontId="13" fillId="0" borderId="3" xfId="0" applyFont="1" applyBorder="1" applyAlignment="1">
      <alignment horizontal="center"/>
    </xf>
    <xf numFmtId="0" fontId="3" fillId="3" borderId="2" xfId="0" applyFont="1" applyFill="1" applyBorder="1" applyAlignment="1">
      <alignment horizontal="center"/>
    </xf>
    <xf numFmtId="0" fontId="3" fillId="9" borderId="2" xfId="0" applyFont="1" applyFill="1" applyBorder="1" applyAlignment="1">
      <alignment horizontal="center"/>
    </xf>
    <xf numFmtId="0" fontId="2" fillId="3" borderId="2" xfId="0" applyFont="1" applyFill="1" applyBorder="1" applyAlignment="1">
      <alignment horizontal="center"/>
    </xf>
    <xf numFmtId="0" fontId="13" fillId="10" borderId="3" xfId="0" applyFont="1" applyFill="1" applyBorder="1" applyAlignment="1">
      <alignment horizontal="center"/>
    </xf>
    <xf numFmtId="164" fontId="2" fillId="4" borderId="2" xfId="0" applyNumberFormat="1" applyFont="1" applyFill="1" applyBorder="1" applyAlignment="1">
      <alignment horizontal="center"/>
    </xf>
    <xf numFmtId="0" fontId="2" fillId="4" borderId="2" xfId="0" applyFont="1" applyFill="1" applyBorder="1" applyAlignment="1">
      <alignment horizontal="center"/>
    </xf>
    <xf numFmtId="0" fontId="2" fillId="5" borderId="2" xfId="0" applyFont="1" applyFill="1" applyBorder="1" applyAlignment="1">
      <alignment horizontal="center"/>
    </xf>
    <xf numFmtId="0" fontId="2" fillId="5" borderId="2" xfId="0" applyFont="1" applyFill="1" applyBorder="1"/>
    <xf numFmtId="0" fontId="15" fillId="5" borderId="3" xfId="0" applyFont="1" applyFill="1" applyBorder="1" applyAlignment="1">
      <alignment horizontal="left"/>
    </xf>
    <xf numFmtId="0" fontId="2" fillId="5" borderId="2" xfId="0" applyFont="1" applyFill="1" applyBorder="1" applyAlignment="1">
      <alignment horizontal="left"/>
    </xf>
    <xf numFmtId="0" fontId="15" fillId="5" borderId="3" xfId="0" applyFont="1" applyFill="1" applyBorder="1"/>
    <xf numFmtId="0" fontId="3" fillId="8" borderId="2" xfId="0" applyFont="1" applyFill="1" applyBorder="1" applyAlignment="1">
      <alignment horizontal="center"/>
    </xf>
    <xf numFmtId="0" fontId="2" fillId="6" borderId="2" xfId="0" applyFont="1" applyFill="1" applyBorder="1" applyAlignment="1">
      <alignment horizontal="center"/>
    </xf>
    <xf numFmtId="0" fontId="2" fillId="7" borderId="2" xfId="0" applyFont="1" applyFill="1" applyBorder="1" applyAlignment="1">
      <alignment horizontal="center"/>
    </xf>
    <xf numFmtId="0" fontId="2" fillId="0" borderId="6" xfId="0" applyFont="1" applyBorder="1"/>
    <xf numFmtId="0" fontId="5" fillId="0" borderId="6" xfId="1" applyFont="1" applyBorder="1"/>
    <xf numFmtId="0" fontId="4" fillId="0" borderId="6" xfId="1" applyFont="1" applyBorder="1"/>
    <xf numFmtId="0" fontId="2" fillId="2" borderId="6" xfId="0" applyFont="1" applyFill="1" applyBorder="1"/>
    <xf numFmtId="0" fontId="2" fillId="0" borderId="6" xfId="0" applyFont="1" applyFill="1" applyBorder="1"/>
    <xf numFmtId="0" fontId="0" fillId="0" borderId="5" xfId="0" applyBorder="1" applyAlignment="1">
      <alignment wrapText="1"/>
    </xf>
    <xf numFmtId="0" fontId="0" fillId="0" borderId="1" xfId="0" applyBorder="1" applyAlignment="1">
      <alignment wrapText="1"/>
    </xf>
    <xf numFmtId="0" fontId="0" fillId="0" borderId="3" xfId="0" applyBorder="1" applyAlignment="1">
      <alignment wrapText="1"/>
    </xf>
    <xf numFmtId="0" fontId="0" fillId="0" borderId="4" xfId="0" applyBorder="1" applyAlignment="1">
      <alignment wrapText="1"/>
    </xf>
    <xf numFmtId="0" fontId="16" fillId="0" borderId="1" xfId="0" applyFont="1" applyBorder="1" applyAlignment="1">
      <alignment wrapText="1"/>
    </xf>
    <xf numFmtId="0" fontId="16" fillId="0" borderId="3" xfId="0" applyFont="1" applyBorder="1" applyAlignment="1">
      <alignment wrapText="1"/>
    </xf>
    <xf numFmtId="49" fontId="17" fillId="0" borderId="4" xfId="0" applyNumberFormat="1" applyFont="1" applyBorder="1" applyAlignment="1">
      <alignment vertical="center" wrapText="1"/>
    </xf>
    <xf numFmtId="49" fontId="17" fillId="0" borderId="5" xfId="0" applyNumberFormat="1" applyFont="1" applyBorder="1" applyAlignment="1">
      <alignment vertical="center" wrapText="1"/>
    </xf>
    <xf numFmtId="0" fontId="2" fillId="0" borderId="3" xfId="0" applyFont="1" applyBorder="1" applyAlignment="1">
      <alignment vertical="center"/>
    </xf>
    <xf numFmtId="0" fontId="2" fillId="0" borderId="3" xfId="0" applyFont="1" applyBorder="1" applyAlignment="1">
      <alignment vertical="center" wrapText="1"/>
    </xf>
    <xf numFmtId="0" fontId="2" fillId="0" borderId="3" xfId="0" quotePrefix="1" applyFont="1" applyBorder="1" applyAlignment="1">
      <alignment vertical="center" wrapText="1"/>
    </xf>
    <xf numFmtId="0" fontId="18" fillId="2" borderId="5" xfId="0" applyFont="1" applyFill="1" applyBorder="1" applyAlignment="1">
      <alignment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6" fillId="0" borderId="1" xfId="0" applyFont="1" applyBorder="1" applyAlignment="1">
      <alignment vertical="center" wrapText="1"/>
    </xf>
    <xf numFmtId="0" fontId="9" fillId="3" borderId="3" xfId="0" applyFont="1" applyFill="1" applyBorder="1" applyAlignment="1">
      <alignment vertical="center" wrapText="1"/>
    </xf>
    <xf numFmtId="0" fontId="19" fillId="11" borderId="3" xfId="0" applyFont="1" applyFill="1" applyBorder="1" applyAlignment="1">
      <alignment vertical="center" wrapText="1"/>
    </xf>
    <xf numFmtId="0" fontId="9" fillId="4" borderId="3" xfId="0" applyFont="1" applyFill="1" applyBorder="1" applyAlignment="1">
      <alignment vertical="center" wrapText="1"/>
    </xf>
    <xf numFmtId="0" fontId="9" fillId="5" borderId="3" xfId="0" applyFont="1" applyFill="1" applyBorder="1" applyAlignment="1">
      <alignment vertical="center" wrapText="1"/>
    </xf>
    <xf numFmtId="0" fontId="9" fillId="6" borderId="3" xfId="0" applyFont="1" applyFill="1" applyBorder="1" applyAlignment="1">
      <alignment vertical="center" wrapText="1"/>
    </xf>
    <xf numFmtId="0" fontId="20" fillId="12" borderId="3" xfId="0" applyFont="1" applyFill="1" applyBorder="1" applyAlignment="1">
      <alignment vertical="center" wrapText="1"/>
    </xf>
    <xf numFmtId="0" fontId="9" fillId="12" borderId="3" xfId="0" applyFont="1" applyFill="1" applyBorder="1" applyAlignment="1">
      <alignment vertical="center" wrapText="1"/>
    </xf>
    <xf numFmtId="0" fontId="6" fillId="0" borderId="7" xfId="0" applyFont="1" applyFill="1" applyBorder="1" applyAlignment="1">
      <alignment wrapText="1"/>
    </xf>
    <xf numFmtId="0" fontId="2" fillId="0" borderId="5" xfId="0" applyFont="1" applyFill="1" applyBorder="1"/>
    <xf numFmtId="0" fontId="2" fillId="0" borderId="1" xfId="0" applyFont="1" applyFill="1" applyBorder="1"/>
    <xf numFmtId="0" fontId="2" fillId="0" borderId="4" xfId="0" applyFont="1" applyFill="1" applyBorder="1"/>
    <xf numFmtId="0" fontId="2" fillId="0" borderId="0" xfId="0" applyFont="1" applyFill="1" applyBorder="1"/>
    <xf numFmtId="0" fontId="2" fillId="0" borderId="0" xfId="0" applyFont="1" applyFill="1"/>
    <xf numFmtId="0" fontId="2" fillId="0" borderId="3" xfId="0" applyFont="1" applyFill="1" applyBorder="1"/>
    <xf numFmtId="0" fontId="7" fillId="5" borderId="5" xfId="0" applyFont="1" applyFill="1" applyBorder="1" applyAlignment="1">
      <alignment horizontal="center" vertical="center" wrapText="1"/>
    </xf>
    <xf numFmtId="0" fontId="7" fillId="0" borderId="1" xfId="0" applyFont="1" applyFill="1" applyBorder="1" applyAlignment="1">
      <alignment horizontal="center" vertical="center" wrapText="1"/>
    </xf>
    <xf numFmtId="164" fontId="20" fillId="13" borderId="3" xfId="0" applyNumberFormat="1" applyFont="1" applyFill="1" applyBorder="1" applyAlignment="1">
      <alignment vertical="center" wrapText="1"/>
    </xf>
    <xf numFmtId="0" fontId="9" fillId="13" borderId="3" xfId="0" applyFont="1" applyFill="1" applyBorder="1" applyAlignment="1">
      <alignment vertical="center" wrapText="1"/>
    </xf>
    <xf numFmtId="0" fontId="20" fillId="13" borderId="3" xfId="0" applyFont="1" applyFill="1" applyBorder="1" applyAlignment="1">
      <alignment vertical="center" wrapText="1"/>
    </xf>
    <xf numFmtId="0" fontId="9" fillId="14" borderId="3" xfId="0" applyFont="1" applyFill="1" applyBorder="1" applyAlignment="1">
      <alignment vertical="center" wrapText="1"/>
    </xf>
    <xf numFmtId="0" fontId="9" fillId="7" borderId="3" xfId="0" applyFont="1" applyFill="1" applyBorder="1" applyAlignment="1">
      <alignment vertical="center" wrapText="1"/>
    </xf>
    <xf numFmtId="0" fontId="20" fillId="14" borderId="3" xfId="0" applyFont="1" applyFill="1" applyBorder="1" applyAlignment="1">
      <alignment vertical="center" wrapText="1"/>
    </xf>
    <xf numFmtId="0" fontId="9" fillId="0" borderId="3" xfId="0" applyFont="1" applyBorder="1" applyAlignment="1">
      <alignment horizontal="center" vertical="center" wrapText="1"/>
    </xf>
    <xf numFmtId="0" fontId="13" fillId="0" borderId="0" xfId="0" applyFont="1"/>
    <xf numFmtId="1" fontId="2" fillId="0" borderId="2" xfId="0" applyNumberFormat="1" applyFont="1" applyFill="1" applyBorder="1"/>
    <xf numFmtId="0" fontId="21" fillId="3" borderId="3" xfId="0" applyFont="1" applyFill="1" applyBorder="1" applyAlignment="1">
      <alignment horizontal="center" vertical="center" wrapText="1"/>
    </xf>
    <xf numFmtId="0" fontId="0" fillId="3" borderId="3" xfId="0" applyFill="1" applyBorder="1" applyAlignment="1">
      <alignment horizontal="center" vertical="center"/>
    </xf>
    <xf numFmtId="0" fontId="7" fillId="7" borderId="4" xfId="0" applyFont="1" applyFill="1" applyBorder="1" applyAlignment="1">
      <alignment horizontal="center" vertical="center" wrapText="1"/>
    </xf>
    <xf numFmtId="0" fontId="0" fillId="0" borderId="5" xfId="0" applyBorder="1" applyAlignment="1">
      <alignment horizontal="center" vertical="center" wrapText="1"/>
    </xf>
    <xf numFmtId="0" fontId="7" fillId="0" borderId="4" xfId="0" applyFont="1" applyBorder="1" applyAlignment="1">
      <alignment horizontal="center"/>
    </xf>
    <xf numFmtId="0" fontId="7" fillId="0" borderId="5" xfId="0" applyFont="1" applyBorder="1" applyAlignment="1">
      <alignment horizontal="center"/>
    </xf>
    <xf numFmtId="0" fontId="7" fillId="0" borderId="1" xfId="0" applyFont="1" applyBorder="1" applyAlignment="1">
      <alignment horizontal="center"/>
    </xf>
    <xf numFmtId="0" fontId="7" fillId="0" borderId="7" xfId="0" applyFont="1" applyBorder="1" applyAlignment="1">
      <alignment horizontal="center" vertical="center" wrapText="1"/>
    </xf>
    <xf numFmtId="0" fontId="7" fillId="3" borderId="5"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6"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oi.org/10.1016/j.palaeo.2015.05.028" TargetMode="External"/><Relationship Id="rId1" Type="http://schemas.openxmlformats.org/officeDocument/2006/relationships/hyperlink" Target="mailto:ntabor@sm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19"/>
  <sheetViews>
    <sheetView tabSelected="1" topLeftCell="J1" zoomScaleNormal="100" workbookViewId="0">
      <selection activeCell="N3" sqref="N3:O3"/>
    </sheetView>
  </sheetViews>
  <sheetFormatPr baseColWidth="10" defaultColWidth="8.83203125" defaultRowHeight="15" x14ac:dyDescent="0.2"/>
  <cols>
    <col min="1" max="1" width="21.6640625" customWidth="1"/>
    <col min="7" max="7" width="17.83203125" customWidth="1"/>
    <col min="13" max="13" width="12.6640625" customWidth="1"/>
    <col min="14" max="14" width="13" customWidth="1"/>
    <col min="15" max="15" width="11.33203125" customWidth="1"/>
    <col min="16" max="16" width="13" customWidth="1"/>
    <col min="17" max="17" width="12.1640625" customWidth="1"/>
    <col min="18" max="18" width="12.33203125" customWidth="1"/>
    <col min="19" max="19" width="12.6640625" customWidth="1"/>
    <col min="20" max="20" width="12.83203125" customWidth="1"/>
    <col min="21" max="21" width="11.5" customWidth="1"/>
    <col min="22" max="22" width="11" customWidth="1"/>
  </cols>
  <sheetData>
    <row r="1" spans="1:146" ht="17" x14ac:dyDescent="0.2">
      <c r="A1" s="2"/>
      <c r="Y1" s="47"/>
      <c r="Z1" s="47"/>
      <c r="AA1" s="47"/>
      <c r="AB1" s="47"/>
      <c r="AC1" s="48"/>
      <c r="AD1" s="48"/>
      <c r="AE1" s="48"/>
      <c r="AF1" s="48"/>
      <c r="AG1" s="48"/>
      <c r="AH1" s="48"/>
      <c r="AI1" s="48"/>
      <c r="AJ1" s="48"/>
      <c r="AK1" s="48"/>
      <c r="AL1" s="48"/>
      <c r="AM1" s="49"/>
      <c r="AN1" s="50"/>
      <c r="AO1" s="48"/>
      <c r="AP1" s="48"/>
      <c r="AQ1" s="48"/>
      <c r="AR1" s="48"/>
      <c r="AS1" s="48"/>
      <c r="AT1" s="48"/>
      <c r="AU1" s="48"/>
      <c r="AV1" s="48"/>
      <c r="AW1" s="48"/>
      <c r="AX1" s="48"/>
      <c r="AY1" s="48"/>
      <c r="AZ1" s="48"/>
      <c r="BA1" s="48"/>
      <c r="BB1" s="48"/>
      <c r="BC1" s="48"/>
      <c r="BD1" s="48"/>
      <c r="BE1" s="48"/>
      <c r="BF1" s="48"/>
      <c r="BG1" s="48"/>
      <c r="BH1" s="48"/>
      <c r="BI1" s="48"/>
      <c r="BJ1" s="48"/>
      <c r="BK1" s="48"/>
      <c r="BL1" s="48"/>
      <c r="BM1" s="48"/>
      <c r="BN1" s="48"/>
      <c r="BO1" s="48"/>
      <c r="BP1" s="48"/>
      <c r="BQ1" s="48"/>
      <c r="BR1" s="48"/>
      <c r="BS1" s="48"/>
      <c r="BT1" s="48"/>
      <c r="BU1" s="48"/>
      <c r="BV1" s="48"/>
      <c r="BW1" s="48"/>
      <c r="BX1" s="48"/>
      <c r="BY1" s="48"/>
      <c r="BZ1" s="48"/>
      <c r="CA1" s="48"/>
      <c r="CB1" s="48"/>
      <c r="CC1" s="48"/>
      <c r="CD1" s="48"/>
      <c r="CE1" s="48"/>
      <c r="CF1" s="48"/>
      <c r="CG1" s="48"/>
      <c r="CH1" s="48"/>
      <c r="CI1" s="48"/>
      <c r="CJ1" s="50"/>
      <c r="CK1" s="48"/>
      <c r="CL1" s="48"/>
      <c r="CM1" s="48"/>
      <c r="CN1" s="48"/>
      <c r="CO1" s="48"/>
      <c r="CP1" s="48"/>
      <c r="CQ1" s="48"/>
      <c r="CR1" s="48"/>
      <c r="CS1" s="48"/>
      <c r="CT1" s="48"/>
      <c r="CU1" s="48"/>
      <c r="CV1" s="48"/>
      <c r="CW1" s="48"/>
      <c r="CX1" s="48"/>
      <c r="CY1" s="51"/>
      <c r="CZ1" s="51"/>
      <c r="DA1" s="52"/>
      <c r="DB1" s="48"/>
      <c r="DC1" s="48"/>
      <c r="DD1" s="48"/>
      <c r="DE1" s="48"/>
      <c r="DF1" s="48"/>
      <c r="DG1" s="48"/>
      <c r="DH1" s="48"/>
      <c r="DI1" s="48"/>
      <c r="DJ1" s="48"/>
      <c r="DK1" s="48"/>
      <c r="DL1" s="48"/>
      <c r="DM1" s="48"/>
      <c r="DN1" s="48"/>
      <c r="DO1" s="48"/>
      <c r="DP1" s="48"/>
      <c r="DQ1" s="48"/>
      <c r="DR1" s="48"/>
      <c r="DS1" s="53"/>
      <c r="DT1" s="53"/>
      <c r="DU1" s="53"/>
      <c r="DV1" s="53"/>
      <c r="DW1" s="53"/>
      <c r="DX1" s="53"/>
      <c r="DY1" s="53"/>
      <c r="DZ1" s="53"/>
      <c r="EA1" s="53"/>
      <c r="EB1" s="53"/>
      <c r="EC1" s="53"/>
      <c r="ED1" s="53"/>
      <c r="EE1" s="53"/>
      <c r="EF1" s="53"/>
      <c r="EG1" s="50"/>
      <c r="EH1" s="48"/>
      <c r="EI1" s="48"/>
      <c r="EJ1" s="48"/>
      <c r="EK1" s="48"/>
      <c r="EL1" s="48"/>
      <c r="EM1" s="48"/>
      <c r="EN1" s="48"/>
      <c r="EO1" s="48"/>
      <c r="EP1" s="49"/>
    </row>
    <row r="2" spans="1:146" ht="20" customHeight="1" x14ac:dyDescent="0.25">
      <c r="A2" s="69" t="s">
        <v>70</v>
      </c>
      <c r="B2" s="70"/>
      <c r="C2" s="70"/>
      <c r="D2" s="70"/>
      <c r="E2" s="70"/>
      <c r="F2" s="70"/>
      <c r="G2" s="70"/>
      <c r="H2" s="70"/>
      <c r="I2" s="70"/>
      <c r="J2" s="70"/>
      <c r="K2" s="70"/>
      <c r="L2" s="70"/>
      <c r="M2" s="70"/>
      <c r="N2" s="70"/>
      <c r="O2" s="70"/>
      <c r="P2" s="70"/>
      <c r="Q2" s="70"/>
      <c r="R2" s="70"/>
      <c r="S2" s="70"/>
      <c r="T2" s="70"/>
      <c r="U2" s="70"/>
      <c r="V2" s="70"/>
      <c r="W2" s="70"/>
      <c r="X2" s="71"/>
      <c r="Y2" s="72" t="s">
        <v>138</v>
      </c>
      <c r="Z2" s="72"/>
      <c r="AA2" s="72"/>
      <c r="AB2" s="72"/>
      <c r="AC2" s="73" t="s">
        <v>15</v>
      </c>
      <c r="AD2" s="73"/>
      <c r="AE2" s="73"/>
      <c r="AF2" s="73"/>
      <c r="AG2" s="73"/>
      <c r="AH2" s="73"/>
      <c r="AI2" s="73"/>
      <c r="AJ2" s="73"/>
      <c r="AK2" s="73"/>
      <c r="AL2" s="73"/>
      <c r="AM2" s="74"/>
      <c r="AN2" s="75" t="s">
        <v>16</v>
      </c>
      <c r="AO2" s="76"/>
      <c r="AP2" s="76"/>
      <c r="AQ2" s="76"/>
      <c r="AR2" s="76"/>
      <c r="AS2" s="76"/>
      <c r="AT2" s="76"/>
      <c r="AU2" s="76"/>
      <c r="AV2" s="76"/>
      <c r="AW2" s="76"/>
      <c r="AX2" s="76"/>
      <c r="AY2" s="76"/>
      <c r="AZ2" s="76"/>
      <c r="BA2" s="76"/>
      <c r="BB2" s="76"/>
      <c r="BC2" s="76"/>
      <c r="BD2" s="76"/>
      <c r="BE2" s="76"/>
      <c r="BF2" s="76"/>
      <c r="BG2" s="76"/>
      <c r="BH2" s="76"/>
      <c r="BI2" s="76"/>
      <c r="BJ2" s="76"/>
      <c r="BK2" s="76"/>
      <c r="BL2" s="76"/>
      <c r="BM2" s="76"/>
      <c r="BN2" s="76"/>
      <c r="BO2" s="76"/>
      <c r="BP2" s="76"/>
      <c r="BQ2" s="76"/>
      <c r="BR2" s="76"/>
      <c r="BS2" s="76"/>
      <c r="BT2" s="76"/>
      <c r="BU2" s="76"/>
      <c r="BV2" s="76"/>
      <c r="BW2" s="76"/>
      <c r="BX2" s="76"/>
      <c r="BY2" s="76"/>
      <c r="BZ2" s="76"/>
      <c r="CA2" s="76"/>
      <c r="CB2" s="76"/>
      <c r="CC2" s="76"/>
      <c r="CD2" s="76"/>
      <c r="CE2" s="76"/>
      <c r="CF2" s="76"/>
      <c r="CG2" s="76"/>
      <c r="CH2" s="76"/>
      <c r="CI2" s="76"/>
      <c r="CJ2" s="77" t="s">
        <v>17</v>
      </c>
      <c r="CK2" s="78"/>
      <c r="CL2" s="78"/>
      <c r="CM2" s="78"/>
      <c r="CN2" s="78"/>
      <c r="CO2" s="78"/>
      <c r="CP2" s="78"/>
      <c r="CQ2" s="78"/>
      <c r="CR2" s="78"/>
      <c r="CS2" s="78"/>
      <c r="CT2" s="78"/>
      <c r="CU2" s="78"/>
      <c r="CV2" s="78"/>
      <c r="CW2" s="78"/>
      <c r="CX2" s="78"/>
      <c r="CY2" s="78"/>
      <c r="CZ2" s="78"/>
      <c r="DA2" s="78"/>
      <c r="DB2" s="78"/>
      <c r="DC2" s="78"/>
      <c r="DD2" s="78"/>
      <c r="DE2" s="78"/>
      <c r="DF2" s="78"/>
      <c r="DG2" s="78"/>
      <c r="DH2" s="78"/>
      <c r="DI2" s="78"/>
      <c r="DJ2" s="78"/>
      <c r="DK2" s="78"/>
      <c r="DL2" s="78"/>
      <c r="DM2" s="78"/>
      <c r="DN2" s="78"/>
      <c r="DO2" s="78"/>
      <c r="DP2" s="54"/>
      <c r="DQ2" s="54"/>
      <c r="DR2" s="54"/>
      <c r="DS2" s="79" t="s">
        <v>18</v>
      </c>
      <c r="DT2" s="79"/>
      <c r="DU2" s="79"/>
      <c r="DV2" s="79"/>
      <c r="DW2" s="79"/>
      <c r="DX2" s="79"/>
      <c r="DY2" s="79"/>
      <c r="DZ2" s="79"/>
      <c r="EA2" s="79"/>
      <c r="EB2" s="79"/>
      <c r="EC2" s="79"/>
      <c r="ED2" s="79"/>
      <c r="EE2" s="79"/>
      <c r="EF2" s="79"/>
      <c r="EG2" s="67" t="s">
        <v>19</v>
      </c>
      <c r="EH2" s="68"/>
      <c r="EI2" s="68"/>
      <c r="EJ2" s="68"/>
      <c r="EK2" s="68"/>
      <c r="EL2" s="68"/>
      <c r="EM2" s="68"/>
      <c r="EN2" s="68"/>
      <c r="EO2" s="68"/>
      <c r="EP2" s="55"/>
    </row>
    <row r="3" spans="1:146" ht="366" thickBot="1" x14ac:dyDescent="0.25">
      <c r="A3" s="31" t="s">
        <v>78</v>
      </c>
      <c r="B3" s="32" t="s">
        <v>79</v>
      </c>
      <c r="C3" s="33" t="s">
        <v>4</v>
      </c>
      <c r="D3" s="34" t="s">
        <v>5</v>
      </c>
      <c r="E3" s="34" t="s">
        <v>6</v>
      </c>
      <c r="F3" s="33" t="s">
        <v>0</v>
      </c>
      <c r="G3" s="33" t="s">
        <v>7</v>
      </c>
      <c r="H3" s="35" t="s">
        <v>8</v>
      </c>
      <c r="I3" s="35" t="s">
        <v>9</v>
      </c>
      <c r="J3" s="34" t="s">
        <v>67</v>
      </c>
      <c r="K3" s="35" t="s">
        <v>68</v>
      </c>
      <c r="L3" s="35" t="s">
        <v>80</v>
      </c>
      <c r="M3" s="25" t="s">
        <v>71</v>
      </c>
      <c r="N3" s="25" t="s">
        <v>163</v>
      </c>
      <c r="O3" s="25" t="s">
        <v>164</v>
      </c>
      <c r="P3" s="25" t="s">
        <v>72</v>
      </c>
      <c r="Q3" s="26" t="s">
        <v>73</v>
      </c>
      <c r="R3" s="27" t="s">
        <v>69</v>
      </c>
      <c r="S3" s="28" t="s">
        <v>74</v>
      </c>
      <c r="T3" s="25" t="s">
        <v>75</v>
      </c>
      <c r="U3" s="25" t="s">
        <v>11</v>
      </c>
      <c r="V3" s="25" t="s">
        <v>76</v>
      </c>
      <c r="W3" s="29" t="s">
        <v>77</v>
      </c>
      <c r="X3" s="30" t="s">
        <v>10</v>
      </c>
      <c r="Y3" s="36" t="s">
        <v>81</v>
      </c>
      <c r="Z3" s="37" t="s">
        <v>139</v>
      </c>
      <c r="AA3" s="38" t="s">
        <v>54</v>
      </c>
      <c r="AB3" s="39" t="s">
        <v>55</v>
      </c>
      <c r="AC3" s="40" t="s">
        <v>20</v>
      </c>
      <c r="AD3" s="40" t="s">
        <v>21</v>
      </c>
      <c r="AE3" s="41" t="s">
        <v>82</v>
      </c>
      <c r="AF3" s="40" t="s">
        <v>83</v>
      </c>
      <c r="AG3" s="65" t="s">
        <v>161</v>
      </c>
      <c r="AH3" s="65" t="s">
        <v>162</v>
      </c>
      <c r="AI3" s="40" t="s">
        <v>84</v>
      </c>
      <c r="AJ3" s="40" t="s">
        <v>85</v>
      </c>
      <c r="AK3" s="40" t="s">
        <v>86</v>
      </c>
      <c r="AL3" s="40" t="s">
        <v>87</v>
      </c>
      <c r="AM3" s="40" t="s">
        <v>22</v>
      </c>
      <c r="AN3" s="45" t="s">
        <v>88</v>
      </c>
      <c r="AO3" s="45" t="s">
        <v>89</v>
      </c>
      <c r="AP3" s="46" t="s">
        <v>23</v>
      </c>
      <c r="AQ3" s="46" t="s">
        <v>24</v>
      </c>
      <c r="AR3" s="45" t="s">
        <v>90</v>
      </c>
      <c r="AS3" s="45" t="s">
        <v>91</v>
      </c>
      <c r="AT3" s="46" t="s">
        <v>25</v>
      </c>
      <c r="AU3" s="45" t="s">
        <v>92</v>
      </c>
      <c r="AV3" s="45" t="s">
        <v>93</v>
      </c>
      <c r="AW3" s="46" t="s">
        <v>26</v>
      </c>
      <c r="AX3" s="46" t="s">
        <v>27</v>
      </c>
      <c r="AY3" s="45" t="s">
        <v>94</v>
      </c>
      <c r="AZ3" s="45" t="s">
        <v>140</v>
      </c>
      <c r="BA3" s="42" t="s">
        <v>141</v>
      </c>
      <c r="BB3" s="46" t="s">
        <v>28</v>
      </c>
      <c r="BC3" s="45" t="s">
        <v>142</v>
      </c>
      <c r="BD3" s="45" t="s">
        <v>143</v>
      </c>
      <c r="BE3" s="46" t="s">
        <v>144</v>
      </c>
      <c r="BF3" s="46" t="s">
        <v>145</v>
      </c>
      <c r="BG3" s="45" t="s">
        <v>95</v>
      </c>
      <c r="BH3" s="45" t="s">
        <v>96</v>
      </c>
      <c r="BI3" s="46" t="s">
        <v>29</v>
      </c>
      <c r="BJ3" s="46" t="s">
        <v>30</v>
      </c>
      <c r="BK3" s="42" t="s">
        <v>97</v>
      </c>
      <c r="BL3" s="42" t="s">
        <v>98</v>
      </c>
      <c r="BM3" s="42" t="s">
        <v>99</v>
      </c>
      <c r="BN3" s="42" t="s">
        <v>100</v>
      </c>
      <c r="BO3" s="42" t="s">
        <v>101</v>
      </c>
      <c r="BP3" s="42" t="s">
        <v>102</v>
      </c>
      <c r="BQ3" s="42" t="s">
        <v>103</v>
      </c>
      <c r="BR3" s="42" t="s">
        <v>104</v>
      </c>
      <c r="BS3" s="42" t="s">
        <v>105</v>
      </c>
      <c r="BT3" s="42" t="s">
        <v>106</v>
      </c>
      <c r="BU3" s="42" t="s">
        <v>107</v>
      </c>
      <c r="BV3" s="42" t="s">
        <v>108</v>
      </c>
      <c r="BW3" s="42" t="s">
        <v>109</v>
      </c>
      <c r="BX3" s="42" t="s">
        <v>110</v>
      </c>
      <c r="BY3" s="42" t="s">
        <v>111</v>
      </c>
      <c r="BZ3" s="42" t="s">
        <v>112</v>
      </c>
      <c r="CA3" s="42" t="s">
        <v>113</v>
      </c>
      <c r="CB3" s="42" t="s">
        <v>114</v>
      </c>
      <c r="CC3" s="42" t="s">
        <v>115</v>
      </c>
      <c r="CD3" s="42" t="s">
        <v>116</v>
      </c>
      <c r="CE3" s="42" t="s">
        <v>117</v>
      </c>
      <c r="CF3" s="42" t="s">
        <v>118</v>
      </c>
      <c r="CG3" s="42" t="s">
        <v>119</v>
      </c>
      <c r="CH3" s="42" t="s">
        <v>120</v>
      </c>
      <c r="CI3" s="42" t="s">
        <v>31</v>
      </c>
      <c r="CJ3" s="56" t="s">
        <v>121</v>
      </c>
      <c r="CK3" s="57" t="s">
        <v>32</v>
      </c>
      <c r="CL3" s="57" t="s">
        <v>33</v>
      </c>
      <c r="CM3" s="58" t="s">
        <v>146</v>
      </c>
      <c r="CN3" s="58" t="s">
        <v>147</v>
      </c>
      <c r="CO3" s="58" t="s">
        <v>148</v>
      </c>
      <c r="CP3" s="56" t="s">
        <v>122</v>
      </c>
      <c r="CQ3" s="57" t="s">
        <v>34</v>
      </c>
      <c r="CR3" s="57" t="s">
        <v>35</v>
      </c>
      <c r="CS3" s="57" t="s">
        <v>36</v>
      </c>
      <c r="CT3" s="58" t="s">
        <v>147</v>
      </c>
      <c r="CU3" s="58" t="s">
        <v>148</v>
      </c>
      <c r="CV3" s="43" t="s">
        <v>123</v>
      </c>
      <c r="CW3" s="43" t="s">
        <v>37</v>
      </c>
      <c r="CX3" s="43" t="s">
        <v>149</v>
      </c>
      <c r="CY3" s="58" t="s">
        <v>147</v>
      </c>
      <c r="CZ3" s="58" t="s">
        <v>148</v>
      </c>
      <c r="DA3" s="57" t="s">
        <v>38</v>
      </c>
      <c r="DB3" s="43" t="s">
        <v>39</v>
      </c>
      <c r="DC3" s="58" t="s">
        <v>124</v>
      </c>
      <c r="DD3" s="57" t="s">
        <v>40</v>
      </c>
      <c r="DE3" s="57" t="s">
        <v>41</v>
      </c>
      <c r="DF3" s="43" t="s">
        <v>125</v>
      </c>
      <c r="DG3" s="43" t="s">
        <v>126</v>
      </c>
      <c r="DH3" s="43" t="s">
        <v>42</v>
      </c>
      <c r="DI3" s="43" t="s">
        <v>127</v>
      </c>
      <c r="DJ3" s="58" t="s">
        <v>147</v>
      </c>
      <c r="DK3" s="58" t="s">
        <v>148</v>
      </c>
      <c r="DL3" s="43" t="s">
        <v>43</v>
      </c>
      <c r="DM3" s="43" t="s">
        <v>150</v>
      </c>
      <c r="DN3" s="43" t="s">
        <v>44</v>
      </c>
      <c r="DO3" s="43" t="s">
        <v>151</v>
      </c>
      <c r="DP3" s="43" t="s">
        <v>152</v>
      </c>
      <c r="DQ3" s="58" t="s">
        <v>147</v>
      </c>
      <c r="DR3" s="58" t="s">
        <v>148</v>
      </c>
      <c r="DS3" s="44" t="s">
        <v>128</v>
      </c>
      <c r="DT3" s="44" t="s">
        <v>46</v>
      </c>
      <c r="DU3" s="44" t="s">
        <v>129</v>
      </c>
      <c r="DV3" s="44" t="s">
        <v>130</v>
      </c>
      <c r="DW3" s="44" t="s">
        <v>47</v>
      </c>
      <c r="DX3" s="44" t="s">
        <v>131</v>
      </c>
      <c r="DY3" s="44" t="s">
        <v>132</v>
      </c>
      <c r="DZ3" s="44" t="s">
        <v>45</v>
      </c>
      <c r="EA3" s="44" t="s">
        <v>48</v>
      </c>
      <c r="EB3" s="44" t="s">
        <v>49</v>
      </c>
      <c r="EC3" s="44" t="s">
        <v>50</v>
      </c>
      <c r="ED3" s="44" t="s">
        <v>51</v>
      </c>
      <c r="EE3" s="44" t="s">
        <v>133</v>
      </c>
      <c r="EF3" s="44" t="s">
        <v>134</v>
      </c>
      <c r="EG3" s="59" t="s">
        <v>135</v>
      </c>
      <c r="EH3" s="59" t="s">
        <v>136</v>
      </c>
      <c r="EI3" s="59" t="s">
        <v>153</v>
      </c>
      <c r="EJ3" s="59" t="s">
        <v>154</v>
      </c>
      <c r="EK3" s="60" t="s">
        <v>53</v>
      </c>
      <c r="EL3" s="60" t="s">
        <v>52</v>
      </c>
      <c r="EM3" s="61" t="s">
        <v>148</v>
      </c>
      <c r="EN3" s="59" t="s">
        <v>155</v>
      </c>
      <c r="EO3" s="59" t="s">
        <v>156</v>
      </c>
      <c r="EP3" s="62" t="s">
        <v>157</v>
      </c>
    </row>
    <row r="4" spans="1:146" ht="17" x14ac:dyDescent="0.2">
      <c r="A4" s="20" t="s">
        <v>13</v>
      </c>
      <c r="B4" s="21" t="s">
        <v>2</v>
      </c>
      <c r="C4" s="20" t="s">
        <v>1</v>
      </c>
      <c r="D4" s="20" t="s">
        <v>3</v>
      </c>
      <c r="E4" s="20">
        <v>2015</v>
      </c>
      <c r="F4" s="22" t="s">
        <v>137</v>
      </c>
      <c r="G4" s="20">
        <v>31450</v>
      </c>
      <c r="H4" s="20">
        <v>3060</v>
      </c>
      <c r="I4" s="20">
        <v>3230</v>
      </c>
      <c r="J4" s="23">
        <v>430</v>
      </c>
      <c r="K4" s="20">
        <v>300</v>
      </c>
      <c r="L4" s="20">
        <v>300</v>
      </c>
      <c r="M4" s="24" t="b">
        <v>1</v>
      </c>
      <c r="N4" s="20">
        <v>3</v>
      </c>
      <c r="O4" s="20" t="s">
        <v>12</v>
      </c>
      <c r="P4" s="20" t="b">
        <v>0</v>
      </c>
      <c r="Q4" s="20" t="b">
        <v>0</v>
      </c>
      <c r="R4" s="20" t="s">
        <v>14</v>
      </c>
      <c r="S4" s="20" t="b">
        <v>1</v>
      </c>
      <c r="T4" s="20" t="b">
        <v>0</v>
      </c>
      <c r="U4" s="20" t="s">
        <v>14</v>
      </c>
      <c r="V4" s="20" t="b">
        <v>0</v>
      </c>
      <c r="W4" s="20" t="b">
        <v>0</v>
      </c>
      <c r="X4" s="20" t="s">
        <v>14</v>
      </c>
      <c r="Y4" s="63" t="s">
        <v>56</v>
      </c>
      <c r="Z4" s="3" t="s">
        <v>137</v>
      </c>
      <c r="AA4" s="4" t="s">
        <v>14</v>
      </c>
      <c r="AB4" s="5" t="s">
        <v>14</v>
      </c>
      <c r="AC4" s="6" t="s">
        <v>14</v>
      </c>
      <c r="AD4" s="6" t="s">
        <v>14</v>
      </c>
      <c r="AE4" s="6" t="s">
        <v>14</v>
      </c>
      <c r="AF4" s="6" t="s">
        <v>14</v>
      </c>
      <c r="AG4" s="66" t="s">
        <v>14</v>
      </c>
      <c r="AH4" s="66" t="s">
        <v>14</v>
      </c>
      <c r="AI4" s="7" t="s">
        <v>14</v>
      </c>
      <c r="AJ4" s="8">
        <v>31.45</v>
      </c>
      <c r="AK4" s="7">
        <v>34.51</v>
      </c>
      <c r="AL4" s="7">
        <v>28.22</v>
      </c>
      <c r="AM4" s="9" t="s">
        <v>14</v>
      </c>
      <c r="AN4" s="10">
        <v>-7.3</v>
      </c>
      <c r="AO4" s="10">
        <v>0.4</v>
      </c>
      <c r="AP4" s="11" t="s">
        <v>14</v>
      </c>
      <c r="AQ4" s="10" t="s">
        <v>14</v>
      </c>
      <c r="AR4" s="11" t="s">
        <v>14</v>
      </c>
      <c r="AS4" s="11" t="s">
        <v>14</v>
      </c>
      <c r="AT4" s="11" t="s">
        <v>14</v>
      </c>
      <c r="AU4" s="11" t="s">
        <v>14</v>
      </c>
      <c r="AV4" s="11" t="s">
        <v>14</v>
      </c>
      <c r="AW4" s="11" t="s">
        <v>14</v>
      </c>
      <c r="AX4" s="11" t="s">
        <v>14</v>
      </c>
      <c r="AY4" s="11">
        <v>-10.5</v>
      </c>
      <c r="AZ4" s="11">
        <v>0.5</v>
      </c>
      <c r="BA4" s="11" t="s">
        <v>14</v>
      </c>
      <c r="BB4" s="11" t="s">
        <v>14</v>
      </c>
      <c r="BC4" s="11" t="s">
        <v>14</v>
      </c>
      <c r="BD4" s="11" t="s">
        <v>14</v>
      </c>
      <c r="BE4" s="11" t="s">
        <v>14</v>
      </c>
      <c r="BF4" s="11" t="s">
        <v>14</v>
      </c>
      <c r="BG4" s="11" t="s">
        <v>14</v>
      </c>
      <c r="BH4" s="11" t="s">
        <v>14</v>
      </c>
      <c r="BI4" s="11" t="s">
        <v>14</v>
      </c>
      <c r="BJ4" s="11" t="s">
        <v>14</v>
      </c>
      <c r="BK4" s="11" t="s">
        <v>14</v>
      </c>
      <c r="BL4" s="11" t="s">
        <v>14</v>
      </c>
      <c r="BM4" s="11" t="s">
        <v>14</v>
      </c>
      <c r="BN4" s="11" t="s">
        <v>14</v>
      </c>
      <c r="BO4" s="11" t="s">
        <v>14</v>
      </c>
      <c r="BP4" s="11" t="s">
        <v>14</v>
      </c>
      <c r="BQ4" s="11" t="s">
        <v>14</v>
      </c>
      <c r="BR4" s="11" t="s">
        <v>14</v>
      </c>
      <c r="BS4" s="11" t="s">
        <v>14</v>
      </c>
      <c r="BT4" s="11" t="s">
        <v>14</v>
      </c>
      <c r="BU4" s="11" t="s">
        <v>14</v>
      </c>
      <c r="BV4" s="11" t="s">
        <v>14</v>
      </c>
      <c r="BW4" s="11" t="s">
        <v>14</v>
      </c>
      <c r="BX4" s="11" t="s">
        <v>14</v>
      </c>
      <c r="BY4" s="11" t="s">
        <v>14</v>
      </c>
      <c r="BZ4" s="11" t="s">
        <v>14</v>
      </c>
      <c r="CA4" s="11" t="s">
        <v>14</v>
      </c>
      <c r="CB4" s="11" t="s">
        <v>14</v>
      </c>
      <c r="CC4" s="11" t="s">
        <v>14</v>
      </c>
      <c r="CD4" s="11" t="s">
        <v>14</v>
      </c>
      <c r="CE4" s="11" t="s">
        <v>14</v>
      </c>
      <c r="CF4" s="11" t="s">
        <v>14</v>
      </c>
      <c r="CG4" s="11" t="s">
        <v>14</v>
      </c>
      <c r="CH4" s="11" t="s">
        <v>14</v>
      </c>
      <c r="CI4" s="11" t="s">
        <v>14</v>
      </c>
      <c r="CJ4" s="12">
        <f>AY4-12</f>
        <v>-22.5</v>
      </c>
      <c r="CK4" s="13" t="s">
        <v>57</v>
      </c>
      <c r="CL4" s="14" t="s">
        <v>58</v>
      </c>
      <c r="CM4" s="12">
        <v>1</v>
      </c>
      <c r="CN4" s="12" t="s">
        <v>158</v>
      </c>
      <c r="CO4" s="12"/>
      <c r="CP4" s="12">
        <v>-6</v>
      </c>
      <c r="CQ4" s="15" t="s">
        <v>59</v>
      </c>
      <c r="CR4" s="16" t="s">
        <v>60</v>
      </c>
      <c r="CS4" s="12" t="s">
        <v>14</v>
      </c>
      <c r="CT4" s="12" t="s">
        <v>14</v>
      </c>
      <c r="CU4" s="12" t="s">
        <v>14</v>
      </c>
      <c r="CV4" s="12">
        <v>23</v>
      </c>
      <c r="CW4" s="15" t="s">
        <v>61</v>
      </c>
      <c r="CX4" s="12">
        <v>5</v>
      </c>
      <c r="CY4" s="12" t="s">
        <v>159</v>
      </c>
      <c r="CZ4" s="12" t="s">
        <v>14</v>
      </c>
      <c r="DA4" s="12" t="s">
        <v>14</v>
      </c>
      <c r="DB4" s="12" t="s">
        <v>14</v>
      </c>
      <c r="DC4" s="12">
        <v>-16.5</v>
      </c>
      <c r="DD4" s="12" t="s">
        <v>14</v>
      </c>
      <c r="DE4" s="12" t="s">
        <v>14</v>
      </c>
      <c r="DF4" s="12" t="s">
        <v>14</v>
      </c>
      <c r="DG4" s="12" t="s">
        <v>14</v>
      </c>
      <c r="DH4" s="12" t="s">
        <v>14</v>
      </c>
      <c r="DI4" s="12" t="s">
        <v>14</v>
      </c>
      <c r="DJ4" s="12" t="s">
        <v>14</v>
      </c>
      <c r="DK4" s="12" t="s">
        <v>14</v>
      </c>
      <c r="DL4" s="17" t="s">
        <v>14</v>
      </c>
      <c r="DM4" s="12">
        <v>2500</v>
      </c>
      <c r="DN4" s="12" t="s">
        <v>159</v>
      </c>
      <c r="DO4" s="12">
        <v>1000</v>
      </c>
      <c r="DP4" s="12">
        <v>1000</v>
      </c>
      <c r="DQ4" s="12" t="s">
        <v>14</v>
      </c>
      <c r="DR4" s="12" t="s">
        <v>14</v>
      </c>
      <c r="DS4" s="18" t="s">
        <v>14</v>
      </c>
      <c r="DT4" s="18" t="s">
        <v>14</v>
      </c>
      <c r="DU4" s="18" t="s">
        <v>14</v>
      </c>
      <c r="DV4" s="18" t="s">
        <v>62</v>
      </c>
      <c r="DW4" s="18" t="s">
        <v>63</v>
      </c>
      <c r="DX4" s="18" t="s">
        <v>64</v>
      </c>
      <c r="DY4" s="18" t="s">
        <v>65</v>
      </c>
      <c r="DZ4" s="18" t="s">
        <v>14</v>
      </c>
      <c r="EA4" s="18" t="s">
        <v>14</v>
      </c>
      <c r="EB4" s="18" t="s">
        <v>14</v>
      </c>
      <c r="EC4" s="18" t="s">
        <v>14</v>
      </c>
      <c r="ED4" s="18" t="s">
        <v>14</v>
      </c>
      <c r="EE4" s="18" t="s">
        <v>66</v>
      </c>
      <c r="EF4" s="18" t="s">
        <v>14</v>
      </c>
      <c r="EG4" s="19">
        <v>430</v>
      </c>
      <c r="EH4" s="19" t="s">
        <v>14</v>
      </c>
      <c r="EI4" s="19">
        <v>300</v>
      </c>
      <c r="EJ4" s="19">
        <v>300</v>
      </c>
      <c r="EK4" s="19" t="s">
        <v>14</v>
      </c>
      <c r="EL4" s="19" t="s">
        <v>14</v>
      </c>
      <c r="EM4" s="19" t="s">
        <v>160</v>
      </c>
      <c r="EN4" s="19" t="s">
        <v>14</v>
      </c>
      <c r="EO4" s="19" t="s">
        <v>14</v>
      </c>
      <c r="EP4" s="64"/>
    </row>
    <row r="19" spans="7:7" x14ac:dyDescent="0.2">
      <c r="G19" s="1"/>
    </row>
  </sheetData>
  <mergeCells count="7">
    <mergeCell ref="EG2:EO2"/>
    <mergeCell ref="A2:X2"/>
    <mergeCell ref="Y2:AB2"/>
    <mergeCell ref="AC2:AM2"/>
    <mergeCell ref="AN2:CI2"/>
    <mergeCell ref="CJ2:DO2"/>
    <mergeCell ref="DS2:EF2"/>
  </mergeCells>
  <hyperlinks>
    <hyperlink ref="B4" r:id="rId1" xr:uid="{00000000-0004-0000-0000-000000000000}"/>
    <hyperlink ref="F4" r:id="rId2" tooltip="Persistent link using digital object identifier" display="doi.org/10.1016/j.palaeo.2015.05.028"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 Sheldon</dc:creator>
  <cp:lastModifiedBy>Bärbel Hönisch</cp:lastModifiedBy>
  <dcterms:created xsi:type="dcterms:W3CDTF">2019-02-19T16:20:08Z</dcterms:created>
  <dcterms:modified xsi:type="dcterms:W3CDTF">2022-03-17T18:51:28Z</dcterms:modified>
</cp:coreProperties>
</file>