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A5F2E98A-5FF8-D24E-92C2-40238935C6C1}" xr6:coauthVersionLast="47" xr6:coauthVersionMax="47" xr10:uidLastSave="{00000000-0000-0000-0000-000000000000}"/>
  <bookViews>
    <workbookView xWindow="2480" yWindow="2720" windowWidth="25360" windowHeight="15280" tabRatio="500" xr2:uid="{00000000-000D-0000-FFFF-FFFF00000000}"/>
  </bookViews>
  <sheets>
    <sheet name="paleosol" sheetId="1" r:id="rId1"/>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alcChain.xml><?xml version="1.0" encoding="utf-8"?>
<calcChain xmlns="http://schemas.openxmlformats.org/spreadsheetml/2006/main">
  <c r="G23" i="1" l="1"/>
  <c r="G24" i="1"/>
  <c r="G25" i="1"/>
  <c r="G26" i="1"/>
  <c r="G27" i="1"/>
  <c r="G28" i="1"/>
  <c r="G29" i="1"/>
  <c r="G30" i="1"/>
  <c r="G31" i="1"/>
  <c r="G32" i="1"/>
  <c r="G33" i="1"/>
  <c r="G34" i="1"/>
  <c r="G35" i="1"/>
  <c r="G36" i="1"/>
  <c r="G37" i="1"/>
  <c r="G38" i="1"/>
  <c r="G39" i="1"/>
  <c r="G6" i="1"/>
  <c r="G7" i="1"/>
  <c r="G8" i="1"/>
  <c r="G9" i="1"/>
  <c r="G10" i="1"/>
  <c r="G11" i="1"/>
  <c r="G12" i="1"/>
  <c r="G13" i="1"/>
  <c r="G14" i="1"/>
  <c r="G15" i="1"/>
  <c r="G16" i="1"/>
  <c r="G17" i="1"/>
  <c r="G18" i="1"/>
  <c r="G19" i="1"/>
  <c r="G20" i="1"/>
  <c r="G21" i="1"/>
  <c r="G22" i="1"/>
  <c r="G5" i="1"/>
  <c r="G4" i="1"/>
</calcChain>
</file>

<file path=xl/sharedStrings.xml><?xml version="1.0" encoding="utf-8"?>
<sst xmlns="http://schemas.openxmlformats.org/spreadsheetml/2006/main" count="4329" uniqueCount="207">
  <si>
    <t>Data Sources</t>
  </si>
  <si>
    <t>Contextual Information</t>
  </si>
  <si>
    <t>Measured Values</t>
  </si>
  <si>
    <t>Derived Values</t>
  </si>
  <si>
    <t>Other measurements/observations</t>
  </si>
  <si>
    <r>
      <t>CO</t>
    </r>
    <r>
      <rPr>
        <vertAlign val="subscript"/>
        <sz val="18"/>
        <color theme="1"/>
        <rFont val="Arial"/>
        <family val="2"/>
      </rPr>
      <t>2</t>
    </r>
    <r>
      <rPr>
        <sz val="18"/>
        <color theme="1"/>
        <rFont val="Arial"/>
        <family val="2"/>
      </rPr>
      <t xml:space="preserve"> estimates</t>
    </r>
  </si>
  <si>
    <t>Sample ID</t>
  </si>
  <si>
    <t>Rock formation name</t>
  </si>
  <si>
    <t>Reference(s) for age</t>
  </si>
  <si>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</si>
  <si>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</si>
  <si>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</si>
  <si>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</si>
  <si>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om</t>
    </r>
  </si>
  <si>
    <r>
      <t xml:space="preserve">n </t>
    </r>
    <r>
      <rPr>
        <sz val="13"/>
        <color rgb="FF000000"/>
        <rFont val="Symbol"/>
        <charset val="2"/>
      </rPr>
      <t>D</t>
    </r>
    <r>
      <rPr>
        <vertAlign val="subscript"/>
        <sz val="13"/>
        <color rgb="FF000000"/>
        <rFont val="Arial"/>
        <family val="2"/>
      </rPr>
      <t>47</t>
    </r>
  </si>
  <si>
    <r>
      <t xml:space="preserve">Reference for </t>
    </r>
    <r>
      <rPr>
        <sz val="13"/>
        <color rgb="FF000000"/>
        <rFont val="Symbol"/>
        <charset val="2"/>
      </rPr>
      <t>D</t>
    </r>
    <r>
      <rPr>
        <vertAlign val="subscript"/>
        <sz val="13"/>
        <color rgb="FF000000"/>
        <rFont val="Arial"/>
        <family val="2"/>
      </rPr>
      <t xml:space="preserve">47 </t>
    </r>
    <r>
      <rPr>
        <sz val="13"/>
        <color rgb="FF000000"/>
        <rFont val="Arial"/>
        <family val="2"/>
      </rPr>
      <t>analytical method and</t>
    </r>
    <r>
      <rPr>
        <vertAlign val="subscript"/>
        <sz val="13"/>
        <color rgb="FF000000"/>
        <rFont val="Arial"/>
        <family val="2"/>
      </rPr>
      <t xml:space="preserve"> </t>
    </r>
    <r>
      <rPr>
        <sz val="13"/>
        <color rgb="FF000000"/>
        <rFont val="Arial"/>
        <family val="2"/>
      </rPr>
      <t>corrections</t>
    </r>
  </si>
  <si>
    <t>n geochemical analyses</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</si>
  <si>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</si>
  <si>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</si>
  <si>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</si>
  <si>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</si>
  <si>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uncertainty</t>
    </r>
  </si>
  <si>
    <t>Temperature estimation approach</t>
  </si>
  <si>
    <r>
      <t xml:space="preserve">Reference for </t>
    </r>
    <r>
      <rPr>
        <sz val="13"/>
        <color rgb="FF000000"/>
        <rFont val="Symbol"/>
        <charset val="2"/>
      </rPr>
      <t>D</t>
    </r>
    <r>
      <rPr>
        <vertAlign val="subscript"/>
        <sz val="13"/>
        <color rgb="FF000000"/>
        <rFont val="Arial"/>
        <family val="2"/>
      </rPr>
      <t>47</t>
    </r>
    <r>
      <rPr>
        <sz val="13"/>
        <color rgb="FF000000"/>
        <rFont val="Arial"/>
        <family val="2"/>
      </rPr>
      <t xml:space="preserve"> - temperature calibration</t>
    </r>
  </si>
  <si>
    <t>Reference(s) for other temperature approach</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</si>
  <si>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</si>
  <si>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uncertainty</t>
    </r>
  </si>
  <si>
    <t>MAP approach</t>
  </si>
  <si>
    <t>MAP reference(s)</t>
  </si>
  <si>
    <t>S(z) approach</t>
  </si>
  <si>
    <t>Soil horizon for organic matter</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</si>
  <si>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</si>
  <si>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</si>
  <si>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</si>
  <si>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</si>
  <si>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</si>
  <si>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</si>
  <si>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</si>
  <si>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Explanation for each additional publications link to the dataset</t>
  </si>
  <si>
    <t>variables considered in error propagation</t>
  </si>
  <si>
    <t>error propagation method</t>
  </si>
  <si>
    <t>No</t>
  </si>
  <si>
    <t>Yes</t>
  </si>
  <si>
    <t>B</t>
  </si>
  <si>
    <t>nodules</t>
  </si>
  <si>
    <t>proxy</t>
  </si>
  <si>
    <t>first_author_last_name</t>
  </si>
  <si>
    <t>publication_year</t>
  </si>
  <si>
    <t>doi</t>
  </si>
  <si>
    <t>age_ka</t>
  </si>
  <si>
    <t>Age_uncertainty_pos_ka</t>
  </si>
  <si>
    <t>Age_uncertainty_neg_ka</t>
  </si>
  <si>
    <t>NA</t>
  </si>
  <si>
    <t>paleosols</t>
  </si>
  <si>
    <t>CO2_ppm</t>
  </si>
  <si>
    <t>CO2_uncertainty_pos_ppm</t>
  </si>
  <si>
    <t>CO2_uncertainty_neg_ppm</t>
  </si>
  <si>
    <t>name_of_individual_entering_data</t>
  </si>
  <si>
    <t>contact_email_of_individual_entering_data</t>
  </si>
  <si>
    <t>Reference of the data product</t>
  </si>
  <si>
    <t>Modern Latitude (decimal degree, south negative)</t>
  </si>
  <si>
    <t>Modern Longitude (decimal degree, west negative)</t>
  </si>
  <si>
    <t>Stratigraphic level (m)</t>
  </si>
  <si>
    <t>Age (Ma)</t>
  </si>
  <si>
    <t>Age_max (Ma)</t>
  </si>
  <si>
    <t>Age_min (Ma)</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</si>
  <si>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</si>
  <si>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</si>
  <si>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</si>
  <si>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</si>
  <si>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</si>
  <si>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</si>
  <si>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 PDB)</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</si>
  <si>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</si>
  <si>
    <r>
      <rPr>
        <sz val="13"/>
        <color rgb="FF000000"/>
        <rFont val="Symbol"/>
        <charset val="2"/>
      </rPr>
      <t>D</t>
    </r>
    <r>
      <rPr>
        <vertAlign val="subscript"/>
        <sz val="13"/>
        <color rgb="FF000000"/>
        <rFont val="Arial"/>
        <family val="2"/>
      </rPr>
      <t>47</t>
    </r>
    <r>
      <rPr>
        <sz val="13"/>
        <color rgb="FF000000"/>
        <rFont val="Arial"/>
        <family val="2"/>
      </rPr>
      <t xml:space="preserve"> (‰)</t>
    </r>
  </si>
  <si>
    <r>
      <rPr>
        <sz val="13"/>
        <color rgb="FF000000"/>
        <rFont val="Symbol"/>
        <charset val="2"/>
      </rPr>
      <t>D</t>
    </r>
    <r>
      <rPr>
        <vertAlign val="subscript"/>
        <sz val="13"/>
        <color rgb="FF000000"/>
        <rFont val="Arial"/>
        <family val="2"/>
      </rPr>
      <t xml:space="preserve">47 </t>
    </r>
    <r>
      <rPr>
        <sz val="13"/>
        <color rgb="FF000000"/>
        <rFont val="Arial"/>
        <family val="2"/>
      </rPr>
      <t>uncertainty ±2s (‰ PDB)</t>
    </r>
  </si>
  <si>
    <t>Depth to carbonate horizon (cm)</t>
  </si>
  <si>
    <t>Burial Depth (m)</t>
  </si>
  <si>
    <r>
      <t>SiO</t>
    </r>
    <r>
      <rPr>
        <vertAlign val="subscript"/>
        <sz val="13"/>
        <color rgb="FF000000"/>
        <rFont val="Arial"/>
        <family val="2"/>
      </rPr>
      <t>2</t>
    </r>
    <r>
      <rPr>
        <sz val="13"/>
        <color rgb="FF000000"/>
        <rFont val="Arial"/>
        <family val="2"/>
      </rPr>
      <t xml:space="preserve"> wt%</t>
    </r>
  </si>
  <si>
    <r>
      <t>SiO</t>
    </r>
    <r>
      <rPr>
        <vertAlign val="subscript"/>
        <sz val="13"/>
        <color rgb="FF000000"/>
        <rFont val="Arial"/>
        <family val="2"/>
      </rPr>
      <t>2</t>
    </r>
    <r>
      <rPr>
        <sz val="13"/>
        <color rgb="FF000000"/>
        <rFont val="Arial"/>
        <family val="2"/>
      </rPr>
      <t xml:space="preserve"> uncertainty ± 2s stdev (wt%)</t>
    </r>
  </si>
  <si>
    <r>
      <t>TiO</t>
    </r>
    <r>
      <rPr>
        <vertAlign val="subscript"/>
        <sz val="13"/>
        <color rgb="FF000000"/>
        <rFont val="Arial"/>
        <family val="2"/>
      </rPr>
      <t>2</t>
    </r>
    <r>
      <rPr>
        <sz val="13"/>
        <color rgb="FF000000"/>
        <rFont val="Arial"/>
        <family val="2"/>
      </rPr>
      <t xml:space="preserve"> wt%</t>
    </r>
  </si>
  <si>
    <r>
      <t>TiO</t>
    </r>
    <r>
      <rPr>
        <vertAlign val="subscript"/>
        <sz val="13"/>
        <color rgb="FF000000"/>
        <rFont val="Arial"/>
        <family val="2"/>
      </rPr>
      <t>2</t>
    </r>
    <r>
      <rPr>
        <sz val="13"/>
        <color rgb="FF000000"/>
        <rFont val="Arial"/>
        <family val="2"/>
      </rPr>
      <t xml:space="preserve"> uncertainty ± 2s stdev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</si>
  <si>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</si>
  <si>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</si>
  <si>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</si>
  <si>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</si>
  <si>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t>MnO wt%</t>
  </si>
  <si>
    <t>MnO uncertainty ± 2s stdev (wt%)</t>
  </si>
  <si>
    <t>MgO wt%</t>
  </si>
  <si>
    <t>MgO uncertainty ± 2s stdev (wt%)</t>
  </si>
  <si>
    <t>CaO wt%</t>
  </si>
  <si>
    <t>CaO uncertainty ± 2s stdev (wt%)</t>
  </si>
  <si>
    <r>
      <t>Na</t>
    </r>
    <r>
      <rPr>
        <vertAlign val="subscript"/>
        <sz val="13"/>
        <color rgb="FF000000"/>
        <rFont val="Arial"/>
        <family val="2"/>
      </rPr>
      <t>2</t>
    </r>
    <r>
      <rPr>
        <sz val="13"/>
        <color rgb="FF000000"/>
        <rFont val="Arial"/>
        <family val="2"/>
      </rPr>
      <t>O wt%</t>
    </r>
  </si>
  <si>
    <r>
      <t>Na</t>
    </r>
    <r>
      <rPr>
        <vertAlign val="subscript"/>
        <sz val="13"/>
        <color rgb="FF000000"/>
        <rFont val="Arial"/>
        <family val="2"/>
      </rPr>
      <t>2</t>
    </r>
    <r>
      <rPr>
        <sz val="13"/>
        <color rgb="FF000000"/>
        <rFont val="Arial"/>
        <family val="2"/>
      </rPr>
      <t>O uncertainty ± 2s stdev (wt%)</t>
    </r>
  </si>
  <si>
    <r>
      <t>K</t>
    </r>
    <r>
      <rPr>
        <vertAlign val="subscript"/>
        <sz val="13"/>
        <color rgb="FF000000"/>
        <rFont val="Arial"/>
        <family val="2"/>
      </rPr>
      <t>2</t>
    </r>
    <r>
      <rPr>
        <sz val="13"/>
        <color rgb="FF000000"/>
        <rFont val="Arial"/>
        <family val="2"/>
      </rPr>
      <t>O wt%</t>
    </r>
  </si>
  <si>
    <r>
      <t>K</t>
    </r>
    <r>
      <rPr>
        <vertAlign val="subscript"/>
        <sz val="13"/>
        <color rgb="FF000000"/>
        <rFont val="Arial"/>
        <family val="2"/>
      </rPr>
      <t>2</t>
    </r>
    <r>
      <rPr>
        <sz val="13"/>
        <color rgb="FF000000"/>
        <rFont val="Arial"/>
        <family val="2"/>
      </rPr>
      <t>O uncertainty ± 2s stdev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</si>
  <si>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</si>
  <si>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uncertainty ± 2s stdev (wt%)</t>
    </r>
  </si>
  <si>
    <r>
      <t>ZrO</t>
    </r>
    <r>
      <rPr>
        <vertAlign val="subscript"/>
        <sz val="13"/>
        <color rgb="FF000000"/>
        <rFont val="Arial"/>
        <family val="2"/>
      </rPr>
      <t>2</t>
    </r>
    <r>
      <rPr>
        <sz val="13"/>
        <color rgb="FF000000"/>
        <rFont val="Arial"/>
        <family val="2"/>
      </rPr>
      <t xml:space="preserve"> wt%</t>
    </r>
  </si>
  <si>
    <r>
      <t>ZrO</t>
    </r>
    <r>
      <rPr>
        <vertAlign val="subscript"/>
        <sz val="13"/>
        <color rgb="FF000000"/>
        <rFont val="Arial"/>
        <family val="2"/>
      </rPr>
      <t>2</t>
    </r>
    <r>
      <rPr>
        <sz val="13"/>
        <color rgb="FF000000"/>
        <rFont val="Arial"/>
        <family val="2"/>
      </rPr>
      <t xml:space="preserve"> uncertainty ± 2s stdev (wt%)</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</si>
  <si>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r</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</si>
  <si>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a</t>
    </r>
    <r>
      <rPr>
        <sz val="13"/>
        <color rgb="FF000000"/>
        <rFont val="Arial"/>
        <family val="2"/>
      </rPr>
      <t xml:space="preserve"> (‰ PDB)</t>
    </r>
  </si>
  <si>
    <t>Temperature of calcium carbonate formation (°C)</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</si>
  <si>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s</t>
    </r>
    <r>
      <rPr>
        <sz val="13"/>
        <color rgb="FF000000"/>
        <rFont val="Arial"/>
        <family val="2"/>
      </rPr>
      <t xml:space="preserve"> (‰ PDB)</t>
    </r>
  </si>
  <si>
    <t>Uncompacted depth to carbonate horizon (cm)</t>
  </si>
  <si>
    <t>Mean Annual Precipitation (MAP) (mm)</t>
  </si>
  <si>
    <t>MAP uncertainty (mm)</t>
  </si>
  <si>
    <t>Soil horizon for organic matter A, B, C, etc.</t>
  </si>
  <si>
    <t>Soil depth (cm)</t>
  </si>
  <si>
    <t>Depth of carbonte sample in horizon (cm)</t>
  </si>
  <si>
    <t>Carbonate type e.g., nodules, rhizoliths, clast coatings</t>
  </si>
  <si>
    <t>Calcite spar (large crystals) avoided? Yes/No</t>
  </si>
  <si>
    <t>Analyzed for bulk geochemistry? Yes/No</t>
  </si>
  <si>
    <t>Bulk geochem type which elements were measured?</t>
  </si>
  <si>
    <r>
      <t>Atmospheric CO</t>
    </r>
    <r>
      <rPr>
        <vertAlign val="subscript"/>
        <sz val="13"/>
        <color rgb="FF000000"/>
        <rFont val="Arial"/>
        <family val="2"/>
      </rPr>
      <t xml:space="preserve">2 </t>
    </r>
    <r>
      <rPr>
        <sz val="13"/>
        <color rgb="FF000000"/>
        <rFont val="Arial"/>
        <family val="2"/>
      </rPr>
      <t>mean ppmV</t>
    </r>
  </si>
  <si>
    <r>
      <t>Atmospheric CO</t>
    </r>
    <r>
      <rPr>
        <vertAlign val="subscript"/>
        <sz val="13"/>
        <color rgb="FF000000"/>
        <rFont val="Arial"/>
        <family val="2"/>
      </rPr>
      <t xml:space="preserve">2 </t>
    </r>
    <r>
      <rPr>
        <sz val="13"/>
        <color rgb="FF000000"/>
        <rFont val="Arial"/>
        <family val="2"/>
      </rPr>
      <t>median ppmV</t>
    </r>
  </si>
  <si>
    <t>doi link to reference</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</si>
  <si>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enamel </t>
    </r>
    <r>
      <rPr>
        <sz val="13"/>
        <color rgb="FF000000"/>
        <rFont val="Arial"/>
        <family val="2"/>
      </rPr>
      <t>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</si>
  <si>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</si>
  <si>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 xml:space="preserve">uncertainty </t>
    </r>
  </si>
  <si>
    <t>which factors constitute the uncertainty?</t>
  </si>
  <si>
    <t>type of uncertainty (e.g. 2sd, 2se, 97.5/2.5 percentile)</t>
  </si>
  <si>
    <t xml:space="preserve">Temperature uncertainty (°C) </t>
  </si>
  <si>
    <t>Component of soil pore space CO2 from respiration, i.e. S(z) ppm</t>
  </si>
  <si>
    <r>
      <t>Atmospheric CO</t>
    </r>
    <r>
      <rPr>
        <vertAlign val="subscript"/>
        <sz val="13"/>
        <color rgb="FF000000"/>
        <rFont val="Arial"/>
        <family val="2"/>
      </rPr>
      <t>2</t>
    </r>
    <r>
      <rPr>
        <sz val="13"/>
        <color rgb="FF000000"/>
        <rFont val="Arial"/>
        <family val="2"/>
      </rPr>
      <t>_97.5 percentile ppmV</t>
    </r>
  </si>
  <si>
    <r>
      <t>Atmospheric CO</t>
    </r>
    <r>
      <rPr>
        <vertAlign val="subscript"/>
        <sz val="13"/>
        <color rgb="FF000000"/>
        <rFont val="Arial"/>
        <family val="2"/>
      </rPr>
      <t>2</t>
    </r>
    <r>
      <rPr>
        <sz val="13"/>
        <color rgb="FF000000"/>
        <rFont val="Arial"/>
        <family val="2"/>
      </rPr>
      <t>_2.5 percentile ppmV</t>
    </r>
  </si>
  <si>
    <t>Notes</t>
  </si>
  <si>
    <r>
      <t>Atmospheric CO</t>
    </r>
    <r>
      <rPr>
        <vertAlign val="subscript"/>
        <sz val="13"/>
        <color rgb="FF000000"/>
        <rFont val="Arial"/>
        <family val="2"/>
      </rPr>
      <t xml:space="preserve">2 </t>
    </r>
    <r>
      <rPr>
        <sz val="13"/>
        <color rgb="FF000000"/>
        <rFont val="Arial"/>
        <family val="2"/>
      </rPr>
      <t>uncertainty neg ppmV</t>
    </r>
  </si>
  <si>
    <t xml:space="preserve">NA </t>
  </si>
  <si>
    <t>estimate</t>
  </si>
  <si>
    <t>S(z) uncertainty  neg ppm</t>
  </si>
  <si>
    <t>S(z) uncertainty pos ppm</t>
  </si>
  <si>
    <r>
      <t xml:space="preserve">n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</si>
  <si>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</si>
  <si>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Atmospheric CO</t>
    </r>
    <r>
      <rPr>
        <vertAlign val="subscript"/>
        <sz val="13"/>
        <color rgb="FF000000"/>
        <rFont val="Arial"/>
        <family val="2"/>
      </rPr>
      <t xml:space="preserve">2 </t>
    </r>
    <r>
      <rPr>
        <sz val="13"/>
        <color rgb="FF000000"/>
        <rFont val="Arial"/>
        <family val="2"/>
      </rPr>
      <t>uncertaintypos  ppmV</t>
    </r>
  </si>
  <si>
    <t>Paleo Latitude (decimal degree, south negative)</t>
  </si>
  <si>
    <t>Paleo Longitude (decimal degree, west negative)</t>
  </si>
  <si>
    <t>Nordt</t>
  </si>
  <si>
    <t>10.1130/1052-5173(2003)013%3C4:TEFTGE%3E2.0.CO;2</t>
  </si>
  <si>
    <t>Nordt, L., Atchley, S., &amp; Dworkin, S. (2003). Terrestrial evidence for two greenhouse events in the latest Cretaceous. GSA today, 13(12), 4-9.</t>
  </si>
  <si>
    <t>from d13Ca</t>
  </si>
  <si>
    <t>Arens et al 2000</t>
  </si>
  <si>
    <t>Li, L., and Keller, G., 1998a, Maastrichtian climate, productivity and faunal turnovers in planktic foraminifera in south Atlantic DSDP Sites 525 and 21: Marine Micropaleontology, v. 33, p. 55–86.  Li, L., and Keller, G., 1998b, Abrupt deep-sea warming at the end of the Cretaceous: Geology, v. 26, p. 995–998. Shackleton, N., and Bleil, U., 1985, Carbon-isotope stratigraphy, Site 577, in Turner, K., ed., Initial report of the Deep Sea Drilling Project: Washington, D.C., U.S. Government Printing Office, v. 86, p. 503–511.</t>
  </si>
  <si>
    <t>from planktic forams according to Lynch-Stieglitz, J., Stocker, T., Broecker, W., and Fairbanks, R., 1995, The influence of air-sea exchange on isotopic composition of oceanic carbon: Observations and modeling: Global Biogeochemical Cycles, v. 9, p. 653–665.</t>
  </si>
  <si>
    <t>from paleosol carbonate d18O</t>
  </si>
  <si>
    <t xml:space="preserve">Fricke, H., and O’Neil, J., 1999, The correlation between 18O/16O ratios of meteoric water and surface temperature: Its use in investigating terrestrial climate change over geologic time: Earth and Planetary Science Letters, v. 170, p. 181–196. Friedman, I., and O’Neil, J., 1977, Compilation of stable isotope fractionation factors of geochemical interest: Reston, Virginia, U.S. Geological Survey Professional Paper 440-KK, 12 p. </t>
  </si>
  <si>
    <t>min/max</t>
  </si>
  <si>
    <t>S(z)</t>
  </si>
  <si>
    <t>max/min</t>
  </si>
  <si>
    <t>planktic d13C values used to calculate d13Ca</t>
  </si>
  <si>
    <t>Lehman, T., 1985, Stratigraphy, sedimentology, and paleontology of Upper Cretaceous (Campanian-Maastrichtian) sedimentary rocks in Trans-Pecos, Texas [Ph.D. dissertation]: Austin, The University of Texas, 299 p. Lehman, T., 1990, Paleosols and the Cretaceous/Tertiary transition in the Big Bend region of Texas: Geology, v. 18, p. 362–364.</t>
  </si>
  <si>
    <t>50-150</t>
  </si>
  <si>
    <t>P38</t>
  </si>
  <si>
    <t>P37</t>
  </si>
  <si>
    <t>P35</t>
  </si>
  <si>
    <t>P33</t>
  </si>
  <si>
    <t>P32</t>
  </si>
  <si>
    <t>P31</t>
  </si>
  <si>
    <t>P30</t>
  </si>
  <si>
    <t>P29</t>
  </si>
  <si>
    <t>P26</t>
  </si>
  <si>
    <t>P23</t>
  </si>
  <si>
    <t>P22</t>
  </si>
  <si>
    <t>P21</t>
  </si>
  <si>
    <t>416Channel</t>
  </si>
  <si>
    <t>P20</t>
  </si>
  <si>
    <t>P19</t>
  </si>
  <si>
    <t>P16</t>
  </si>
  <si>
    <t>P15</t>
  </si>
  <si>
    <t>P14</t>
  </si>
  <si>
    <t>P13</t>
  </si>
  <si>
    <t>P12</t>
  </si>
  <si>
    <t>P11</t>
  </si>
  <si>
    <t>P10</t>
  </si>
  <si>
    <t>P9</t>
  </si>
  <si>
    <t>P8</t>
  </si>
  <si>
    <t>P7</t>
  </si>
  <si>
    <t>P6</t>
  </si>
  <si>
    <t>P5</t>
  </si>
  <si>
    <t>P4</t>
  </si>
  <si>
    <t>P3</t>
  </si>
  <si>
    <t>P2</t>
  </si>
  <si>
    <t>P1</t>
  </si>
  <si>
    <t>BB11-2</t>
  </si>
  <si>
    <t>P39</t>
  </si>
  <si>
    <t>P43</t>
  </si>
  <si>
    <t>BB12-3</t>
  </si>
  <si>
    <t>P42</t>
  </si>
  <si>
    <t>Dan Breecker and Lee Nordt</t>
  </si>
  <si>
    <t>breecker@jsg.utexas.edu; Lee_Nordt@baylor.edu</t>
  </si>
  <si>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</si>
  <si>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±2s (‰ PDB)</t>
    </r>
  </si>
  <si>
    <t>CO2 data as originally published (TRUE or FALSE)</t>
  </si>
  <si>
    <t>specify reason for quarantine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</si>
  <si>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</si>
  <si>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</si>
  <si>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</si>
  <si>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</si>
  <si>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</si>
  <si>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</si>
  <si>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</si>
  <si>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specify reason for age revision</t>
  </si>
  <si>
    <t>Summary</t>
  </si>
  <si>
    <t>data reported in figures but not tables in original paper. Tabular data provided to Breecker from Nordt by email on 2/17/21</t>
  </si>
  <si>
    <t>No d13C paleosol om is measured; S(z) value is assumed</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</si>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</sst>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x14ac:knownFonts="1">
    <font>
      <sz val="12"/>
      <color theme="1"/>
      <name val="Calibri"/>
      <family val="2"/>
      <scheme val="minor"/>
    </font>
    <font>
      <sz val="12"/>
      <color theme="1"/>
      <name val="Calibri"/>
      <family val="2"/>
      <scheme val="minor"/>
    </font>
    <font>
      <sz val="13"/>
      <color theme="1"/>
      <name val="Arial"/>
      <family val="2"/>
    </font>
    <font>
      <sz val="12"/>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vertAlign val="superscript"/>
      <sz val="13"/>
      <color rgb="FF000000"/>
      <name val="Arial"/>
      <family val="2"/>
    </font>
    <font>
      <vertAlign val="subscript"/>
      <sz val="13"/>
      <color rgb="FF000000"/>
      <name val="Arial"/>
      <family val="2"/>
    </font>
    <font>
      <sz val="12"/>
      <color rgb="FF000000"/>
      <name val="Arial"/>
      <family val="2"/>
    </font>
    <font>
      <sz val="11"/>
      <color rgb="FF000000"/>
      <name val="Calibri"/>
      <family val="2"/>
      <charset val="1"/>
    </font>
    <font>
      <sz val="13"/>
      <color rgb="FF222222"/>
      <name val="Arial"/>
      <family val="2"/>
    </font>
    <font>
      <sz val="12"/>
      <color rgb="FF222222"/>
      <name val="Arial"/>
      <family val="2"/>
    </font>
    <font>
      <u/>
      <sz val="12"/>
      <color theme="11"/>
      <name val="Calibri"/>
      <family val="2"/>
      <scheme val="minor"/>
    </font>
    <font>
      <u/>
      <sz val="12"/>
      <color theme="10"/>
      <name val="Calibri"/>
      <family val="2"/>
      <scheme val="minor"/>
    </font>
    <font>
      <sz val="14"/>
      <name val="Arial"/>
      <family val="2"/>
    </font>
    <font>
      <sz val="14"/>
      <color theme="1"/>
      <name val="Arial"/>
      <family val="2"/>
    </font>
    <font>
      <sz val="11"/>
      <name val="Arial"/>
      <family val="2"/>
    </font>
    <font>
      <sz val="13"/>
      <color rgb="FF000000"/>
      <name val="Arial"/>
      <family val="2"/>
      <charset val="2"/>
    </font>
    <font>
      <sz val="12"/>
      <name val="Verdana"/>
      <family val="2"/>
    </font>
    <font>
      <sz val="8"/>
      <name val="Calibri"/>
      <family val="2"/>
      <scheme val="minor"/>
    </font>
    <font>
      <sz val="12"/>
      <color rgb="FFFF0000"/>
      <name val="Arial"/>
      <family val="2"/>
    </font>
    <font>
      <sz val="13"/>
      <color theme="1"/>
      <name val="Arial"/>
      <family val="2"/>
      <charset val="2"/>
    </font>
    <font>
      <sz val="13"/>
      <color theme="1"/>
      <name val="Symbol"/>
      <charset val="2"/>
    </font>
    <font>
      <vertAlign val="superscript"/>
      <sz val="13"/>
      <color theme="1"/>
      <name val="Arial"/>
      <family val="2"/>
    </font>
    <font>
      <vertAlign val="subscript"/>
      <sz val="13"/>
      <color theme="1"/>
      <name val="Arial"/>
      <family val="2"/>
    </font>
    <font>
      <sz val="12"/>
      <color rgb="FF000000"/>
      <name val="Calibri"/>
      <family val="2"/>
      <scheme val="minor"/>
    </font>
    <font>
      <sz val="18"/>
      <color theme="1"/>
      <name val="Calibri"/>
      <family val="2"/>
      <scheme val="minor"/>
    </font>
  </fonts>
  <fills count="14">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EDEDED"/>
        <bgColor indexed="64"/>
      </patternFill>
    </fill>
    <fill>
      <patternFill patternType="solid">
        <fgColor theme="5" tint="0.79998168889431442"/>
        <bgColor rgb="FF000000"/>
      </patternFill>
    </fill>
    <fill>
      <patternFill patternType="solid">
        <fgColor theme="7" tint="0.79998168889431442"/>
        <bgColor rgb="FF000000"/>
      </patternFill>
    </fill>
    <fill>
      <patternFill patternType="solid">
        <fgColor theme="8" tint="0.79998168889431442"/>
        <bgColor rgb="FF000000"/>
      </patternFill>
    </fill>
    <fill>
      <patternFill patternType="solid">
        <fgColor theme="2"/>
        <bgColor indexed="64"/>
      </patternFill>
    </fill>
  </fills>
  <borders count="15">
    <border>
      <left/>
      <right/>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thin">
        <color auto="1"/>
      </right>
      <top style="thin">
        <color auto="1"/>
      </top>
      <bottom style="medium">
        <color indexed="64"/>
      </bottom>
      <diagonal/>
    </border>
    <border>
      <left style="thin">
        <color auto="1"/>
      </left>
      <right style="thin">
        <color auto="1"/>
      </right>
      <top/>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s>
  <cellStyleXfs count="6">
    <xf numFmtId="0" fontId="0" fillId="0" borderId="0"/>
    <xf numFmtId="0" fontId="11" fillId="0" borderId="0"/>
    <xf numFmtId="0" fontId="1" fillId="0" borderId="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cellStyleXfs>
  <cellXfs count="136">
    <xf numFmtId="0" fontId="0" fillId="0" borderId="0" xfId="0"/>
    <xf numFmtId="0" fontId="2" fillId="0" borderId="1" xfId="0" applyFont="1" applyFill="1" applyBorder="1" applyAlignment="1">
      <alignment wrapText="1"/>
    </xf>
    <xf numFmtId="0" fontId="3" fillId="0" borderId="2" xfId="0" applyFont="1" applyFill="1" applyBorder="1"/>
    <xf numFmtId="0" fontId="3" fillId="0" borderId="3" xfId="0" applyFont="1" applyFill="1" applyBorder="1"/>
    <xf numFmtId="0" fontId="3" fillId="0" borderId="0" xfId="0" applyFont="1" applyFill="1"/>
    <xf numFmtId="0" fontId="3" fillId="4" borderId="7" xfId="0" applyFont="1" applyFill="1" applyBorder="1"/>
    <xf numFmtId="0" fontId="3" fillId="5" borderId="7" xfId="0" applyFont="1" applyFill="1" applyBorder="1"/>
    <xf numFmtId="0" fontId="3" fillId="6" borderId="7" xfId="0" applyFont="1" applyFill="1" applyBorder="1"/>
    <xf numFmtId="0" fontId="3" fillId="0" borderId="0" xfId="0" applyFont="1"/>
    <xf numFmtId="0" fontId="2" fillId="0" borderId="3" xfId="0" applyFont="1" applyBorder="1" applyAlignment="1">
      <alignment wrapText="1"/>
    </xf>
    <xf numFmtId="0" fontId="3" fillId="2" borderId="5" xfId="0" applyFont="1" applyFill="1" applyBorder="1"/>
    <xf numFmtId="0" fontId="3" fillId="3" borderId="5" xfId="0" applyFont="1" applyFill="1" applyBorder="1"/>
    <xf numFmtId="0" fontId="3" fillId="4" borderId="5" xfId="0" applyFont="1" applyFill="1" applyBorder="1"/>
    <xf numFmtId="0" fontId="3" fillId="5" borderId="5" xfId="0" applyFont="1" applyFill="1" applyBorder="1"/>
    <xf numFmtId="0" fontId="3" fillId="6" borderId="5" xfId="0" applyFont="1" applyFill="1" applyBorder="1"/>
    <xf numFmtId="0" fontId="2" fillId="0" borderId="3" xfId="0" applyFont="1" applyBorder="1" applyAlignment="1"/>
    <xf numFmtId="0" fontId="3" fillId="3" borderId="7" xfId="0" applyFont="1" applyFill="1" applyBorder="1" applyAlignment="1">
      <alignment horizontal="center"/>
    </xf>
    <xf numFmtId="0" fontId="3" fillId="4" borderId="7" xfId="0" applyFont="1" applyFill="1" applyBorder="1" applyAlignment="1">
      <alignment horizontal="center"/>
    </xf>
    <xf numFmtId="0" fontId="3" fillId="5" borderId="7" xfId="0" applyFont="1" applyFill="1" applyBorder="1" applyAlignment="1">
      <alignment horizontal="center"/>
    </xf>
    <xf numFmtId="0" fontId="3" fillId="5" borderId="5" xfId="0" applyFont="1" applyFill="1" applyBorder="1" applyAlignment="1">
      <alignment horizontal="center"/>
    </xf>
    <xf numFmtId="164" fontId="3" fillId="3" borderId="7" xfId="0" applyNumberFormat="1" applyFont="1" applyFill="1" applyBorder="1" applyAlignment="1">
      <alignment horizontal="center"/>
    </xf>
    <xf numFmtId="164" fontId="3" fillId="3" borderId="5" xfId="0" applyNumberFormat="1" applyFont="1" applyFill="1" applyBorder="1" applyAlignment="1">
      <alignment horizontal="center"/>
    </xf>
    <xf numFmtId="164" fontId="3" fillId="3" borderId="5" xfId="0" applyNumberFormat="1" applyFont="1" applyFill="1" applyBorder="1"/>
    <xf numFmtId="0" fontId="10" fillId="2" borderId="7" xfId="0" applyFont="1" applyFill="1" applyBorder="1" applyAlignment="1">
      <alignment horizontal="center"/>
    </xf>
    <xf numFmtId="164" fontId="3" fillId="4" borderId="7" xfId="0" applyNumberFormat="1" applyFont="1" applyFill="1" applyBorder="1" applyAlignment="1">
      <alignment horizontal="center"/>
    </xf>
    <xf numFmtId="164" fontId="3" fillId="4" borderId="5" xfId="0" applyNumberFormat="1" applyFont="1" applyFill="1" applyBorder="1" applyAlignment="1">
      <alignment horizontal="center"/>
    </xf>
    <xf numFmtId="1" fontId="3" fillId="0" borderId="7" xfId="0" applyNumberFormat="1" applyFont="1" applyFill="1" applyBorder="1"/>
    <xf numFmtId="2" fontId="3" fillId="2" borderId="7" xfId="0" applyNumberFormat="1" applyFont="1" applyFill="1" applyBorder="1" applyAlignment="1">
      <alignment horizontal="center"/>
    </xf>
    <xf numFmtId="2" fontId="3" fillId="2" borderId="5" xfId="0" applyNumberFormat="1" applyFont="1" applyFill="1" applyBorder="1" applyAlignment="1">
      <alignment horizontal="center"/>
    </xf>
    <xf numFmtId="0" fontId="13" fillId="4" borderId="5" xfId="0" applyFont="1" applyFill="1" applyBorder="1"/>
    <xf numFmtId="0" fontId="13" fillId="4" borderId="7" xfId="0" applyFont="1" applyFill="1" applyBorder="1"/>
    <xf numFmtId="1" fontId="3" fillId="4" borderId="7" xfId="0" applyNumberFormat="1" applyFont="1" applyFill="1" applyBorder="1" applyAlignment="1">
      <alignment horizontal="center"/>
    </xf>
    <xf numFmtId="0" fontId="2" fillId="0" borderId="7" xfId="0" applyFont="1" applyBorder="1"/>
    <xf numFmtId="164" fontId="10" fillId="2" borderId="7" xfId="0" applyNumberFormat="1" applyFont="1" applyFill="1" applyBorder="1" applyAlignment="1">
      <alignment horizontal="center"/>
    </xf>
    <xf numFmtId="0" fontId="3" fillId="5" borderId="7" xfId="0" applyFont="1" applyFill="1" applyBorder="1" applyAlignment="1">
      <alignment horizontal="left"/>
    </xf>
    <xf numFmtId="1" fontId="3" fillId="6" borderId="7" xfId="0" applyNumberFormat="1" applyFont="1" applyFill="1" applyBorder="1" applyAlignment="1">
      <alignment horizontal="center"/>
    </xf>
    <xf numFmtId="1" fontId="3" fillId="3" borderId="7" xfId="0" applyNumberFormat="1" applyFont="1" applyFill="1" applyBorder="1" applyAlignment="1">
      <alignment horizontal="center"/>
    </xf>
    <xf numFmtId="0" fontId="12" fillId="0" borderId="5" xfId="0" applyFont="1" applyBorder="1"/>
    <xf numFmtId="0" fontId="15" fillId="0" borderId="5" xfId="4" applyBorder="1"/>
    <xf numFmtId="0" fontId="13" fillId="3" borderId="7" xfId="0" applyFont="1" applyFill="1" applyBorder="1" applyAlignment="1">
      <alignment horizontal="center"/>
    </xf>
    <xf numFmtId="2" fontId="2" fillId="4" borderId="7" xfId="0" applyNumberFormat="1" applyFont="1" applyFill="1" applyBorder="1" applyAlignment="1">
      <alignment horizontal="center"/>
    </xf>
    <xf numFmtId="0" fontId="12" fillId="0" borderId="5" xfId="0" applyFont="1" applyBorder="1" applyAlignment="1">
      <alignment horizontal="left"/>
    </xf>
    <xf numFmtId="0" fontId="3" fillId="2" borderId="5" xfId="0" applyFont="1" applyFill="1" applyBorder="1" applyAlignment="1"/>
    <xf numFmtId="0" fontId="12" fillId="7" borderId="7" xfId="0" applyFont="1" applyFill="1" applyBorder="1" applyAlignment="1"/>
    <xf numFmtId="0" fontId="3" fillId="0" borderId="8" xfId="0" applyFont="1" applyBorder="1"/>
    <xf numFmtId="0" fontId="3" fillId="0" borderId="5" xfId="0" applyFont="1" applyBorder="1"/>
    <xf numFmtId="0" fontId="3" fillId="0" borderId="5" xfId="0" applyFont="1" applyBorder="1" applyAlignment="1">
      <alignment vertical="center"/>
    </xf>
    <xf numFmtId="0" fontId="3" fillId="0" borderId="5" xfId="0" applyFont="1" applyBorder="1" applyAlignment="1">
      <alignment vertical="center" wrapText="1"/>
    </xf>
    <xf numFmtId="0" fontId="17" fillId="8" borderId="2" xfId="0" applyFont="1" applyFill="1" applyBorder="1" applyAlignment="1">
      <alignment vertical="center" wrapText="1"/>
    </xf>
    <xf numFmtId="0" fontId="2" fillId="0" borderId="3" xfId="0" applyFont="1" applyBorder="1" applyAlignment="1">
      <alignment vertical="center" wrapText="1"/>
    </xf>
    <xf numFmtId="0" fontId="2" fillId="0" borderId="5" xfId="0" applyFont="1" applyBorder="1" applyAlignment="1">
      <alignment vertical="center" wrapText="1"/>
    </xf>
    <xf numFmtId="0" fontId="2" fillId="0" borderId="4" xfId="0" applyFont="1" applyBorder="1" applyAlignment="1">
      <alignment vertical="center" wrapText="1"/>
    </xf>
    <xf numFmtId="0" fontId="6" fillId="2" borderId="5" xfId="0" applyFont="1" applyFill="1" applyBorder="1" applyAlignment="1">
      <alignment vertical="center" wrapText="1"/>
    </xf>
    <xf numFmtId="0" fontId="18" fillId="9" borderId="5" xfId="0" applyFont="1" applyFill="1" applyBorder="1" applyAlignment="1">
      <alignment vertical="center" wrapText="1"/>
    </xf>
    <xf numFmtId="0" fontId="6" fillId="3" borderId="5" xfId="0" applyFont="1" applyFill="1" applyBorder="1" applyAlignment="1">
      <alignment vertical="center" wrapText="1"/>
    </xf>
    <xf numFmtId="0" fontId="6" fillId="4" borderId="5" xfId="0" applyFont="1" applyFill="1" applyBorder="1" applyAlignment="1">
      <alignment vertical="center" wrapText="1"/>
    </xf>
    <xf numFmtId="0" fontId="6" fillId="5" borderId="5" xfId="0" applyFont="1" applyFill="1" applyBorder="1" applyAlignment="1">
      <alignment vertical="center" wrapText="1"/>
    </xf>
    <xf numFmtId="0" fontId="3" fillId="6" borderId="4" xfId="0" applyFont="1" applyFill="1" applyBorder="1"/>
    <xf numFmtId="0" fontId="3" fillId="6" borderId="2" xfId="0" applyFont="1" applyFill="1" applyBorder="1"/>
    <xf numFmtId="0" fontId="6" fillId="10" borderId="5" xfId="0" applyFont="1" applyFill="1" applyBorder="1" applyAlignment="1">
      <alignment vertical="center" wrapText="1"/>
    </xf>
    <xf numFmtId="0" fontId="3" fillId="6" borderId="0" xfId="0" applyFont="1" applyFill="1"/>
    <xf numFmtId="0" fontId="3" fillId="4" borderId="4" xfId="0" applyFont="1" applyFill="1" applyBorder="1"/>
    <xf numFmtId="0" fontId="3" fillId="4" borderId="2" xfId="0" applyFont="1" applyFill="1" applyBorder="1"/>
    <xf numFmtId="0" fontId="3" fillId="4" borderId="0" xfId="0" applyFont="1" applyFill="1"/>
    <xf numFmtId="0" fontId="19" fillId="11" borderId="5" xfId="0" applyFont="1" applyFill="1" applyBorder="1" applyAlignment="1">
      <alignment vertical="center" wrapText="1"/>
    </xf>
    <xf numFmtId="0" fontId="6" fillId="11" borderId="5" xfId="0" applyFont="1" applyFill="1" applyBorder="1" applyAlignment="1">
      <alignment vertical="center" wrapText="1"/>
    </xf>
    <xf numFmtId="0" fontId="10" fillId="11" borderId="7" xfId="0" applyFont="1" applyFill="1" applyBorder="1" applyAlignment="1">
      <alignment horizontal="center"/>
    </xf>
    <xf numFmtId="0" fontId="3" fillId="3" borderId="4" xfId="0" applyFont="1" applyFill="1" applyBorder="1"/>
    <xf numFmtId="0" fontId="3" fillId="3" borderId="2" xfId="0" applyFont="1" applyFill="1" applyBorder="1"/>
    <xf numFmtId="0" fontId="19" fillId="12" borderId="5" xfId="0" applyFont="1" applyFill="1" applyBorder="1" applyAlignment="1">
      <alignment vertical="center" wrapText="1"/>
    </xf>
    <xf numFmtId="0" fontId="6" fillId="12" borderId="5" xfId="0" applyFont="1" applyFill="1" applyBorder="1" applyAlignment="1">
      <alignment vertical="center" wrapText="1"/>
    </xf>
    <xf numFmtId="0" fontId="4" fillId="4" borderId="2" xfId="0" applyFont="1" applyFill="1" applyBorder="1" applyAlignment="1">
      <alignment horizontal="center" vertical="center" wrapText="1"/>
    </xf>
    <xf numFmtId="164" fontId="19" fillId="11" borderId="5" xfId="0" applyNumberFormat="1" applyFont="1" applyFill="1" applyBorder="1" applyAlignment="1">
      <alignment vertical="center" wrapText="1"/>
    </xf>
    <xf numFmtId="0" fontId="6" fillId="6" borderId="5" xfId="0" applyFont="1" applyFill="1" applyBorder="1" applyAlignment="1">
      <alignment vertical="center" wrapText="1"/>
    </xf>
    <xf numFmtId="0" fontId="6" fillId="0" borderId="5" xfId="0" applyFont="1" applyBorder="1" applyAlignment="1">
      <alignment horizontal="center" vertical="center" wrapText="1"/>
    </xf>
    <xf numFmtId="2" fontId="3" fillId="4" borderId="7" xfId="0" applyNumberFormat="1" applyFont="1" applyFill="1" applyBorder="1" applyAlignment="1">
      <alignment horizontal="center"/>
    </xf>
    <xf numFmtId="0" fontId="4" fillId="4" borderId="2" xfId="0" applyFont="1" applyFill="1" applyBorder="1" applyAlignment="1">
      <alignment horizontal="center" vertical="center" wrapText="1"/>
    </xf>
    <xf numFmtId="0" fontId="3" fillId="4" borderId="7" xfId="0" applyFont="1" applyFill="1" applyBorder="1" applyAlignment="1">
      <alignment horizontal="left"/>
    </xf>
    <xf numFmtId="164" fontId="3" fillId="4" borderId="7" xfId="0" applyNumberFormat="1" applyFont="1" applyFill="1" applyBorder="1" applyAlignment="1">
      <alignment horizontal="left"/>
    </xf>
    <xf numFmtId="1" fontId="3" fillId="0" borderId="5" xfId="0" applyNumberFormat="1" applyFont="1" applyFill="1" applyBorder="1" applyAlignment="1">
      <alignment vertical="center"/>
    </xf>
    <xf numFmtId="0" fontId="3" fillId="0" borderId="5" xfId="0" quotePrefix="1" applyFont="1" applyFill="1" applyBorder="1" applyAlignment="1">
      <alignment vertical="center" wrapText="1"/>
    </xf>
    <xf numFmtId="0" fontId="3" fillId="0" borderId="5" xfId="0" applyFont="1" applyFill="1" applyBorder="1" applyAlignment="1">
      <alignment vertical="center" wrapText="1"/>
    </xf>
    <xf numFmtId="0" fontId="19" fillId="10" borderId="5" xfId="0" applyFont="1" applyFill="1" applyBorder="1" applyAlignment="1">
      <alignment vertical="center" wrapText="1"/>
    </xf>
    <xf numFmtId="0" fontId="20" fillId="13" borderId="5" xfId="0" applyFont="1" applyFill="1" applyBorder="1" applyAlignment="1">
      <alignment horizontal="center" vertical="center" wrapText="1"/>
    </xf>
    <xf numFmtId="0" fontId="3" fillId="0" borderId="9" xfId="0" applyFont="1" applyBorder="1"/>
    <xf numFmtId="0" fontId="15" fillId="0" borderId="9" xfId="4" applyBorder="1"/>
    <xf numFmtId="2" fontId="10" fillId="2" borderId="7" xfId="0" applyNumberFormat="1" applyFont="1" applyFill="1" applyBorder="1" applyAlignment="1">
      <alignment horizontal="center"/>
    </xf>
    <xf numFmtId="0" fontId="12" fillId="3" borderId="7" xfId="0" applyFont="1" applyFill="1" applyBorder="1" applyAlignment="1">
      <alignment horizontal="center"/>
    </xf>
    <xf numFmtId="0" fontId="12" fillId="3" borderId="5" xfId="0" applyFont="1" applyFill="1" applyBorder="1" applyAlignment="1">
      <alignment horizontal="center"/>
    </xf>
    <xf numFmtId="0" fontId="3" fillId="2" borderId="5" xfId="0" applyFont="1" applyFill="1" applyBorder="1" applyAlignment="1">
      <alignment horizontal="center"/>
    </xf>
    <xf numFmtId="0" fontId="3" fillId="4" borderId="5" xfId="0" applyFont="1" applyFill="1" applyBorder="1" applyAlignment="1">
      <alignment horizontal="center"/>
    </xf>
    <xf numFmtId="1" fontId="3" fillId="4" borderId="5" xfId="0" applyNumberFormat="1" applyFont="1" applyFill="1" applyBorder="1" applyAlignment="1">
      <alignment horizontal="center"/>
    </xf>
    <xf numFmtId="1" fontId="3" fillId="0" borderId="8" xfId="0" applyNumberFormat="1" applyFont="1" applyBorder="1" applyAlignment="1">
      <alignment horizontal="center"/>
    </xf>
    <xf numFmtId="1" fontId="3" fillId="0" borderId="5" xfId="0" applyNumberFormat="1" applyFont="1" applyBorder="1" applyAlignment="1">
      <alignment horizontal="center"/>
    </xf>
    <xf numFmtId="0" fontId="3" fillId="6" borderId="5" xfId="0" applyFont="1" applyFill="1" applyBorder="1" applyAlignment="1">
      <alignment horizontal="center"/>
    </xf>
    <xf numFmtId="0" fontId="22" fillId="4" borderId="2" xfId="0" applyFont="1" applyFill="1" applyBorder="1"/>
    <xf numFmtId="0" fontId="22" fillId="4" borderId="5" xfId="0" applyFont="1" applyFill="1" applyBorder="1"/>
    <xf numFmtId="0" fontId="22" fillId="4" borderId="0" xfId="0" applyFont="1" applyFill="1" applyBorder="1"/>
    <xf numFmtId="0" fontId="2" fillId="0" borderId="6" xfId="0" applyFont="1" applyBorder="1" applyAlignment="1"/>
    <xf numFmtId="0" fontId="10" fillId="2" borderId="7" xfId="0" applyFont="1" applyFill="1" applyBorder="1" applyAlignment="1">
      <alignment horizontal="center" vertical="top"/>
    </xf>
    <xf numFmtId="0" fontId="2" fillId="2" borderId="5" xfId="0" applyFont="1" applyFill="1" applyBorder="1" applyAlignment="1">
      <alignment vertical="center" wrapText="1"/>
    </xf>
    <xf numFmtId="0" fontId="23" fillId="12" borderId="5" xfId="0" applyFont="1" applyFill="1" applyBorder="1" applyAlignment="1">
      <alignment vertical="center" wrapText="1"/>
    </xf>
    <xf numFmtId="0" fontId="2" fillId="4" borderId="5" xfId="0" applyFont="1" applyFill="1" applyBorder="1" applyAlignment="1">
      <alignment vertical="center" wrapText="1"/>
    </xf>
    <xf numFmtId="0" fontId="2" fillId="11" borderId="5" xfId="0" applyFont="1" applyFill="1" applyBorder="1" applyAlignment="1">
      <alignment vertical="center" wrapText="1"/>
    </xf>
    <xf numFmtId="0" fontId="2" fillId="5" borderId="5" xfId="0" applyFont="1" applyFill="1" applyBorder="1" applyAlignment="1">
      <alignment vertical="center" wrapText="1"/>
    </xf>
    <xf numFmtId="0" fontId="2" fillId="0" borderId="0" xfId="0" applyFont="1" applyFill="1" applyBorder="1" applyAlignment="1">
      <alignment wrapText="1"/>
    </xf>
    <xf numFmtId="0" fontId="3" fillId="0" borderId="11" xfId="0" applyFont="1" applyBorder="1"/>
    <xf numFmtId="49" fontId="16" fillId="0" borderId="12" xfId="0" applyNumberFormat="1" applyFont="1" applyBorder="1" applyAlignment="1">
      <alignment vertical="center" wrapText="1"/>
    </xf>
    <xf numFmtId="49" fontId="16" fillId="0" borderId="13" xfId="0" applyNumberFormat="1" applyFont="1" applyBorder="1" applyAlignment="1">
      <alignment vertical="center" wrapText="1"/>
    </xf>
    <xf numFmtId="0" fontId="3" fillId="0" borderId="10" xfId="0" applyFont="1" applyBorder="1" applyAlignment="1">
      <alignment vertical="center"/>
    </xf>
    <xf numFmtId="0" fontId="12" fillId="0" borderId="6" xfId="0" applyFont="1" applyBorder="1"/>
    <xf numFmtId="0" fontId="12" fillId="0" borderId="3" xfId="0" applyFont="1" applyBorder="1"/>
    <xf numFmtId="0" fontId="0" fillId="0" borderId="5" xfId="0" applyBorder="1"/>
    <xf numFmtId="0" fontId="0" fillId="0" borderId="7" xfId="0" applyBorder="1"/>
    <xf numFmtId="0" fontId="0" fillId="0" borderId="12" xfId="0" applyBorder="1" applyAlignment="1">
      <alignment wrapText="1"/>
    </xf>
    <xf numFmtId="0" fontId="0" fillId="0" borderId="13" xfId="0" applyBorder="1" applyAlignment="1">
      <alignment wrapText="1"/>
    </xf>
    <xf numFmtId="0" fontId="0" fillId="0" borderId="14" xfId="0" applyBorder="1" applyAlignment="1">
      <alignment wrapText="1"/>
    </xf>
    <xf numFmtId="0" fontId="0" fillId="0" borderId="10" xfId="0" applyBorder="1" applyAlignment="1">
      <alignment wrapText="1"/>
    </xf>
    <xf numFmtId="0" fontId="27" fillId="0" borderId="14" xfId="0" applyFont="1" applyBorder="1" applyAlignment="1">
      <alignment wrapText="1"/>
    </xf>
    <xf numFmtId="0" fontId="27" fillId="0" borderId="10" xfId="0" applyFont="1" applyBorder="1" applyAlignment="1">
      <alignment wrapText="1"/>
    </xf>
    <xf numFmtId="0" fontId="0" fillId="0" borderId="0" xfId="0" applyFont="1"/>
    <xf numFmtId="0" fontId="0" fillId="0" borderId="5" xfId="0" applyFont="1" applyBorder="1"/>
    <xf numFmtId="0" fontId="4" fillId="0" borderId="2" xfId="0" applyFont="1" applyBorder="1" applyAlignment="1">
      <alignment horizontal="center" vertical="center" wrapText="1"/>
    </xf>
    <xf numFmtId="0" fontId="0" fillId="0" borderId="2" xfId="0" applyBorder="1" applyAlignment="1">
      <alignment horizontal="center" vertical="center" wrapText="1"/>
    </xf>
    <xf numFmtId="0" fontId="28" fillId="0" borderId="2" xfId="0" applyFont="1" applyBorder="1" applyAlignment="1">
      <alignment horizontal="center" vertical="center"/>
    </xf>
    <xf numFmtId="0" fontId="28" fillId="0" borderId="3" xfId="0" applyFont="1" applyBorder="1" applyAlignment="1">
      <alignment horizontal="center" vertical="center"/>
    </xf>
    <xf numFmtId="0" fontId="4" fillId="6" borderId="4" xfId="0" applyFont="1" applyFill="1" applyBorder="1" applyAlignment="1">
      <alignment horizontal="center" vertical="center" wrapText="1"/>
    </xf>
    <xf numFmtId="0" fontId="0" fillId="6" borderId="2" xfId="0"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0" fillId="0" borderId="2" xfId="0" applyBorder="1" applyAlignment="1">
      <alignment wrapText="1"/>
    </xf>
  </cellXfs>
  <cellStyles count="6">
    <cellStyle name="Followed Hyperlink" xfId="3" builtinId="9" hidden="1"/>
    <cellStyle name="Followed Hyperlink" xfId="5" builtinId="9" hidden="1"/>
    <cellStyle name="Hyperlink" xfId="4" builtinId="8"/>
    <cellStyle name="Normal" xfId="0" builtinId="0"/>
    <cellStyle name="Normal 3" xfId="1" xr:uid="{00000000-0005-0000-0000-000004000000}"/>
    <cellStyle name="Normal 4" xfId="2" xr:uid="{00000000-0005-0000-0000-000005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P887"/>
  <sheetViews>
    <sheetView tabSelected="1" topLeftCell="L38" zoomScaleNormal="100" workbookViewId="0">
      <selection activeCell="N3" sqref="N3:O3"/>
    </sheetView>
  </sheetViews>
  <sheetFormatPr baseColWidth="10" defaultColWidth="17.33203125" defaultRowHeight="17" x14ac:dyDescent="0.2"/>
  <cols>
    <col min="1" max="1" width="17.33203125" style="9"/>
    <col min="2" max="2" width="21.6640625" style="9" customWidth="1"/>
    <col min="3" max="12" width="17.33203125" style="8"/>
    <col min="25" max="27" width="17.33203125" style="9"/>
    <col min="28" max="28" width="22.33203125" style="9" customWidth="1"/>
    <col min="29" max="29" width="17.33203125" style="10"/>
    <col min="30" max="30" width="26.5" style="10" customWidth="1"/>
    <col min="31" max="38" width="17.33203125" style="10"/>
    <col min="39" max="39" width="17.33203125" style="42"/>
    <col min="40" max="84" width="17.33203125" style="11"/>
    <col min="85" max="85" width="20.83203125" style="11" customWidth="1"/>
    <col min="86" max="87" width="17.33203125" style="11"/>
    <col min="88" max="96" width="17.33203125" style="12"/>
    <col min="97" max="99" width="18.6640625" style="12" customWidth="1"/>
    <col min="100" max="101" width="17.33203125" style="12"/>
    <col min="102" max="104" width="17.33203125" style="96"/>
    <col min="105" max="122" width="17.33203125" style="12"/>
    <col min="123" max="136" width="17.33203125" style="13"/>
    <col min="137" max="138" width="17.33203125" style="14"/>
    <col min="139" max="143" width="16.6640625" style="14" customWidth="1"/>
    <col min="144" max="144" width="17.33203125" style="14"/>
    <col min="145" max="145" width="17.33203125" style="60"/>
    <col min="146" max="16384" width="17.33203125" style="8"/>
  </cols>
  <sheetData>
    <row r="1" spans="1:146" x14ac:dyDescent="0.2">
      <c r="A1" s="105"/>
      <c r="B1" s="105"/>
      <c r="C1" s="4"/>
      <c r="D1" s="4"/>
      <c r="E1" s="4"/>
      <c r="F1" s="4"/>
      <c r="G1" s="4"/>
      <c r="H1" s="4"/>
      <c r="I1" s="4"/>
      <c r="J1" s="4"/>
      <c r="K1" s="4"/>
      <c r="L1" s="4"/>
      <c r="Y1" s="1"/>
      <c r="Z1" s="1"/>
      <c r="AA1" s="1"/>
      <c r="AB1" s="1"/>
      <c r="AC1" s="2"/>
      <c r="AD1" s="2"/>
      <c r="AE1" s="2"/>
      <c r="AF1" s="2"/>
      <c r="AG1" s="2"/>
      <c r="AH1" s="2"/>
      <c r="AI1" s="2"/>
      <c r="AJ1" s="2"/>
      <c r="AK1" s="2"/>
      <c r="AL1" s="2"/>
      <c r="AM1" s="3"/>
      <c r="AN1" s="67"/>
      <c r="AO1" s="68"/>
      <c r="AP1" s="68"/>
      <c r="AQ1" s="68"/>
      <c r="AR1" s="68"/>
      <c r="AS1" s="68"/>
      <c r="AT1" s="68"/>
      <c r="AU1" s="68"/>
      <c r="AV1" s="68"/>
      <c r="AW1" s="68"/>
      <c r="AX1" s="68"/>
      <c r="AY1" s="68"/>
      <c r="AZ1" s="68"/>
      <c r="BA1" s="68"/>
      <c r="BB1" s="68"/>
      <c r="BC1" s="68"/>
      <c r="BD1" s="68"/>
      <c r="BE1" s="68"/>
      <c r="BF1" s="68"/>
      <c r="BG1" s="68"/>
      <c r="BH1" s="68"/>
      <c r="BI1" s="68"/>
      <c r="BJ1" s="68"/>
      <c r="BK1" s="68"/>
      <c r="BL1" s="68"/>
      <c r="BM1" s="68"/>
      <c r="BN1" s="68"/>
      <c r="BO1" s="68"/>
      <c r="BP1" s="68"/>
      <c r="BQ1" s="68"/>
      <c r="BR1" s="68"/>
      <c r="BS1" s="68"/>
      <c r="BT1" s="68"/>
      <c r="BU1" s="68"/>
      <c r="BV1" s="68"/>
      <c r="BW1" s="68"/>
      <c r="BX1" s="68"/>
      <c r="BY1" s="68"/>
      <c r="BZ1" s="68"/>
      <c r="CA1" s="68"/>
      <c r="CB1" s="68"/>
      <c r="CC1" s="68"/>
      <c r="CD1" s="68"/>
      <c r="CE1" s="68"/>
      <c r="CF1" s="68"/>
      <c r="CG1" s="68"/>
      <c r="CH1" s="68"/>
      <c r="CI1" s="68"/>
      <c r="CJ1" s="61"/>
      <c r="CK1" s="62"/>
      <c r="CL1" s="62"/>
      <c r="CM1" s="62"/>
      <c r="CN1" s="62"/>
      <c r="CO1" s="62"/>
      <c r="CP1" s="62"/>
      <c r="CQ1" s="62"/>
      <c r="CR1" s="62"/>
      <c r="CS1" s="62"/>
      <c r="CT1" s="62"/>
      <c r="CU1" s="62"/>
      <c r="CV1" s="62"/>
      <c r="CW1" s="62"/>
      <c r="CX1" s="95"/>
      <c r="CY1" s="97"/>
      <c r="CZ1" s="97"/>
      <c r="DA1" s="63"/>
      <c r="DB1" s="62"/>
      <c r="DC1" s="62"/>
      <c r="DD1" s="62"/>
      <c r="DE1" s="62"/>
      <c r="DF1" s="62"/>
      <c r="DG1" s="62"/>
      <c r="DH1" s="62"/>
      <c r="DI1" s="62"/>
      <c r="DJ1" s="62"/>
      <c r="DK1" s="62"/>
      <c r="DL1" s="62"/>
      <c r="DM1" s="62"/>
      <c r="DN1" s="62"/>
      <c r="DO1" s="62"/>
      <c r="DP1" s="62"/>
      <c r="DQ1" s="62"/>
      <c r="DR1" s="62"/>
      <c r="EG1" s="57"/>
      <c r="EH1" s="58"/>
      <c r="EI1" s="58"/>
      <c r="EJ1" s="58"/>
      <c r="EK1" s="58"/>
      <c r="EL1" s="58"/>
      <c r="EM1" s="58"/>
      <c r="EN1" s="58"/>
      <c r="EO1" s="58"/>
    </row>
    <row r="2" spans="1:146" ht="24" x14ac:dyDescent="0.2">
      <c r="A2" s="122" t="s">
        <v>202</v>
      </c>
      <c r="B2" s="124"/>
      <c r="C2" s="124"/>
      <c r="D2" s="124"/>
      <c r="E2" s="124"/>
      <c r="F2" s="124"/>
      <c r="G2" s="124"/>
      <c r="H2" s="124"/>
      <c r="I2" s="124"/>
      <c r="J2" s="124"/>
      <c r="K2" s="124"/>
      <c r="L2" s="124"/>
      <c r="M2" s="124"/>
      <c r="N2" s="124"/>
      <c r="O2" s="124"/>
      <c r="P2" s="124"/>
      <c r="Q2" s="124"/>
      <c r="R2" s="124"/>
      <c r="S2" s="124"/>
      <c r="T2" s="124"/>
      <c r="U2" s="124"/>
      <c r="V2" s="124"/>
      <c r="W2" s="124"/>
      <c r="X2" s="125"/>
      <c r="Y2" s="122" t="s">
        <v>0</v>
      </c>
      <c r="Z2" s="123"/>
      <c r="AA2" s="123"/>
      <c r="AB2" s="123"/>
      <c r="AC2" s="128" t="s">
        <v>1</v>
      </c>
      <c r="AD2" s="128"/>
      <c r="AE2" s="128"/>
      <c r="AF2" s="128"/>
      <c r="AG2" s="128"/>
      <c r="AH2" s="128"/>
      <c r="AI2" s="128"/>
      <c r="AJ2" s="128"/>
      <c r="AK2" s="128"/>
      <c r="AL2" s="128"/>
      <c r="AM2" s="129"/>
      <c r="AN2" s="130" t="s">
        <v>2</v>
      </c>
      <c r="AO2" s="131"/>
      <c r="AP2" s="131"/>
      <c r="AQ2" s="131"/>
      <c r="AR2" s="131"/>
      <c r="AS2" s="131"/>
      <c r="AT2" s="131"/>
      <c r="AU2" s="131"/>
      <c r="AV2" s="131"/>
      <c r="AW2" s="131"/>
      <c r="AX2" s="131"/>
      <c r="AY2" s="131"/>
      <c r="AZ2" s="131"/>
      <c r="BA2" s="131"/>
      <c r="BB2" s="131"/>
      <c r="BC2" s="131"/>
      <c r="BD2" s="131"/>
      <c r="BE2" s="131"/>
      <c r="BF2" s="131"/>
      <c r="BG2" s="131"/>
      <c r="BH2" s="131"/>
      <c r="BI2" s="131"/>
      <c r="BJ2" s="131"/>
      <c r="BK2" s="131"/>
      <c r="BL2" s="131"/>
      <c r="BM2" s="131"/>
      <c r="BN2" s="131"/>
      <c r="BO2" s="131"/>
      <c r="BP2" s="131"/>
      <c r="BQ2" s="131"/>
      <c r="BR2" s="131"/>
      <c r="BS2" s="131"/>
      <c r="BT2" s="131"/>
      <c r="BU2" s="131"/>
      <c r="BV2" s="131"/>
      <c r="BW2" s="131"/>
      <c r="BX2" s="131"/>
      <c r="BY2" s="131"/>
      <c r="BZ2" s="131"/>
      <c r="CA2" s="131"/>
      <c r="CB2" s="131"/>
      <c r="CC2" s="131"/>
      <c r="CD2" s="131"/>
      <c r="CE2" s="131"/>
      <c r="CF2" s="131"/>
      <c r="CG2" s="131"/>
      <c r="CH2" s="131"/>
      <c r="CI2" s="131"/>
      <c r="CJ2" s="132" t="s">
        <v>3</v>
      </c>
      <c r="CK2" s="133"/>
      <c r="CL2" s="133"/>
      <c r="CM2" s="133"/>
      <c r="CN2" s="133"/>
      <c r="CO2" s="133"/>
      <c r="CP2" s="133"/>
      <c r="CQ2" s="133"/>
      <c r="CR2" s="133"/>
      <c r="CS2" s="133"/>
      <c r="CT2" s="133"/>
      <c r="CU2" s="133"/>
      <c r="CV2" s="133"/>
      <c r="CW2" s="133"/>
      <c r="CX2" s="133"/>
      <c r="CY2" s="133"/>
      <c r="CZ2" s="133"/>
      <c r="DA2" s="133"/>
      <c r="DB2" s="133"/>
      <c r="DC2" s="133"/>
      <c r="DD2" s="133"/>
      <c r="DE2" s="133"/>
      <c r="DF2" s="133"/>
      <c r="DG2" s="133"/>
      <c r="DH2" s="133"/>
      <c r="DI2" s="133"/>
      <c r="DJ2" s="133"/>
      <c r="DK2" s="133"/>
      <c r="DL2" s="133"/>
      <c r="DM2" s="133"/>
      <c r="DN2" s="133"/>
      <c r="DO2" s="133"/>
      <c r="DP2" s="76"/>
      <c r="DQ2" s="71"/>
      <c r="DR2" s="71"/>
      <c r="DS2" s="134" t="s">
        <v>4</v>
      </c>
      <c r="DT2" s="134"/>
      <c r="DU2" s="134"/>
      <c r="DV2" s="134"/>
      <c r="DW2" s="134"/>
      <c r="DX2" s="134"/>
      <c r="DY2" s="134"/>
      <c r="DZ2" s="134"/>
      <c r="EA2" s="134"/>
      <c r="EB2" s="134"/>
      <c r="EC2" s="134"/>
      <c r="ED2" s="134"/>
      <c r="EE2" s="134"/>
      <c r="EF2" s="134"/>
      <c r="EG2" s="126" t="s">
        <v>5</v>
      </c>
      <c r="EH2" s="127"/>
      <c r="EI2" s="127"/>
      <c r="EJ2" s="127"/>
      <c r="EK2" s="127"/>
      <c r="EL2" s="127"/>
      <c r="EM2" s="127"/>
      <c r="EN2" s="127"/>
      <c r="EO2" s="127"/>
    </row>
    <row r="3" spans="1:146" ht="290" thickBot="1" x14ac:dyDescent="0.25">
      <c r="A3" s="107" t="s">
        <v>57</v>
      </c>
      <c r="B3" s="108" t="s">
        <v>58</v>
      </c>
      <c r="C3" s="109" t="s">
        <v>45</v>
      </c>
      <c r="D3" s="47" t="s">
        <v>46</v>
      </c>
      <c r="E3" s="47" t="s">
        <v>47</v>
      </c>
      <c r="F3" s="46" t="s">
        <v>48</v>
      </c>
      <c r="G3" s="79" t="s">
        <v>49</v>
      </c>
      <c r="H3" s="80" t="s">
        <v>50</v>
      </c>
      <c r="I3" s="80" t="s">
        <v>51</v>
      </c>
      <c r="J3" s="81" t="s">
        <v>54</v>
      </c>
      <c r="K3" s="80" t="s">
        <v>55</v>
      </c>
      <c r="L3" s="80" t="s">
        <v>56</v>
      </c>
      <c r="M3" s="114" t="s">
        <v>192</v>
      </c>
      <c r="N3" s="135" t="s">
        <v>205</v>
      </c>
      <c r="O3" s="135" t="s">
        <v>206</v>
      </c>
      <c r="P3" s="115" t="s">
        <v>194</v>
      </c>
      <c r="Q3" s="116" t="s">
        <v>195</v>
      </c>
      <c r="R3" s="117" t="s">
        <v>196</v>
      </c>
      <c r="S3" s="114" t="s">
        <v>197</v>
      </c>
      <c r="T3" s="115" t="s">
        <v>198</v>
      </c>
      <c r="U3" s="115" t="s">
        <v>193</v>
      </c>
      <c r="V3" s="115" t="s">
        <v>199</v>
      </c>
      <c r="W3" s="118" t="s">
        <v>200</v>
      </c>
      <c r="X3" s="119" t="s">
        <v>201</v>
      </c>
      <c r="Y3" s="48" t="s">
        <v>59</v>
      </c>
      <c r="Z3" s="50" t="s">
        <v>116</v>
      </c>
      <c r="AA3" s="51" t="s">
        <v>37</v>
      </c>
      <c r="AB3" s="49" t="s">
        <v>38</v>
      </c>
      <c r="AC3" s="52" t="s">
        <v>6</v>
      </c>
      <c r="AD3" s="100" t="s">
        <v>7</v>
      </c>
      <c r="AE3" s="53" t="s">
        <v>60</v>
      </c>
      <c r="AF3" s="52" t="s">
        <v>61</v>
      </c>
      <c r="AG3" s="83" t="s">
        <v>135</v>
      </c>
      <c r="AH3" s="83" t="s">
        <v>136</v>
      </c>
      <c r="AI3" s="100" t="s">
        <v>62</v>
      </c>
      <c r="AJ3" s="52" t="s">
        <v>63</v>
      </c>
      <c r="AK3" s="52" t="s">
        <v>64</v>
      </c>
      <c r="AL3" s="52" t="s">
        <v>65</v>
      </c>
      <c r="AM3" s="52" t="s">
        <v>8</v>
      </c>
      <c r="AN3" s="69" t="s">
        <v>66</v>
      </c>
      <c r="AO3" s="69" t="s">
        <v>67</v>
      </c>
      <c r="AP3" s="70" t="s">
        <v>9</v>
      </c>
      <c r="AQ3" s="70" t="s">
        <v>10</v>
      </c>
      <c r="AR3" s="69" t="s">
        <v>68</v>
      </c>
      <c r="AS3" s="69" t="s">
        <v>69</v>
      </c>
      <c r="AT3" s="70" t="s">
        <v>11</v>
      </c>
      <c r="AU3" s="69" t="s">
        <v>70</v>
      </c>
      <c r="AV3" s="69" t="s">
        <v>71</v>
      </c>
      <c r="AW3" s="70" t="s">
        <v>12</v>
      </c>
      <c r="AX3" s="70" t="s">
        <v>13</v>
      </c>
      <c r="AY3" s="69" t="s">
        <v>72</v>
      </c>
      <c r="AZ3" s="69" t="s">
        <v>117</v>
      </c>
      <c r="BA3" s="54" t="s">
        <v>118</v>
      </c>
      <c r="BB3" s="70" t="s">
        <v>73</v>
      </c>
      <c r="BC3" s="101" t="s">
        <v>190</v>
      </c>
      <c r="BD3" s="101" t="s">
        <v>191</v>
      </c>
      <c r="BE3" s="70" t="s">
        <v>132</v>
      </c>
      <c r="BF3" s="70" t="s">
        <v>133</v>
      </c>
      <c r="BG3" s="69" t="s">
        <v>74</v>
      </c>
      <c r="BH3" s="69" t="s">
        <v>75</v>
      </c>
      <c r="BI3" s="70" t="s">
        <v>14</v>
      </c>
      <c r="BJ3" s="70" t="s">
        <v>15</v>
      </c>
      <c r="BK3" s="54" t="s">
        <v>76</v>
      </c>
      <c r="BL3" s="54" t="s">
        <v>77</v>
      </c>
      <c r="BM3" s="54" t="s">
        <v>78</v>
      </c>
      <c r="BN3" s="54" t="s">
        <v>79</v>
      </c>
      <c r="BO3" s="54" t="s">
        <v>80</v>
      </c>
      <c r="BP3" s="54" t="s">
        <v>81</v>
      </c>
      <c r="BQ3" s="54" t="s">
        <v>82</v>
      </c>
      <c r="BR3" s="54" t="s">
        <v>83</v>
      </c>
      <c r="BS3" s="54" t="s">
        <v>84</v>
      </c>
      <c r="BT3" s="54" t="s">
        <v>85</v>
      </c>
      <c r="BU3" s="54" t="s">
        <v>86</v>
      </c>
      <c r="BV3" s="54" t="s">
        <v>87</v>
      </c>
      <c r="BW3" s="54" t="s">
        <v>88</v>
      </c>
      <c r="BX3" s="54" t="s">
        <v>89</v>
      </c>
      <c r="BY3" s="54" t="s">
        <v>90</v>
      </c>
      <c r="BZ3" s="54" t="s">
        <v>91</v>
      </c>
      <c r="CA3" s="54" t="s">
        <v>92</v>
      </c>
      <c r="CB3" s="54" t="s">
        <v>93</v>
      </c>
      <c r="CC3" s="54" t="s">
        <v>94</v>
      </c>
      <c r="CD3" s="54" t="s">
        <v>95</v>
      </c>
      <c r="CE3" s="54" t="s">
        <v>96</v>
      </c>
      <c r="CF3" s="54" t="s">
        <v>97</v>
      </c>
      <c r="CG3" s="54" t="s">
        <v>98</v>
      </c>
      <c r="CH3" s="54" t="s">
        <v>99</v>
      </c>
      <c r="CI3" s="54" t="s">
        <v>16</v>
      </c>
      <c r="CJ3" s="72" t="s">
        <v>100</v>
      </c>
      <c r="CK3" s="65" t="s">
        <v>17</v>
      </c>
      <c r="CL3" s="65" t="s">
        <v>18</v>
      </c>
      <c r="CM3" s="64" t="s">
        <v>119</v>
      </c>
      <c r="CN3" s="64" t="s">
        <v>120</v>
      </c>
      <c r="CO3" s="64" t="s">
        <v>121</v>
      </c>
      <c r="CP3" s="72" t="s">
        <v>101</v>
      </c>
      <c r="CQ3" s="65" t="s">
        <v>19</v>
      </c>
      <c r="CR3" s="65" t="s">
        <v>20</v>
      </c>
      <c r="CS3" s="65" t="s">
        <v>21</v>
      </c>
      <c r="CT3" s="64" t="s">
        <v>120</v>
      </c>
      <c r="CU3" s="64" t="s">
        <v>121</v>
      </c>
      <c r="CV3" s="55" t="s">
        <v>102</v>
      </c>
      <c r="CW3" s="55" t="s">
        <v>22</v>
      </c>
      <c r="CX3" s="102" t="s">
        <v>122</v>
      </c>
      <c r="CY3" s="103" t="s">
        <v>120</v>
      </c>
      <c r="CZ3" s="103" t="s">
        <v>121</v>
      </c>
      <c r="DA3" s="65" t="s">
        <v>23</v>
      </c>
      <c r="DB3" s="55" t="s">
        <v>24</v>
      </c>
      <c r="DC3" s="64" t="s">
        <v>103</v>
      </c>
      <c r="DD3" s="65" t="s">
        <v>25</v>
      </c>
      <c r="DE3" s="65" t="s">
        <v>26</v>
      </c>
      <c r="DF3" s="55" t="s">
        <v>104</v>
      </c>
      <c r="DG3" s="55" t="s">
        <v>105</v>
      </c>
      <c r="DH3" s="55" t="s">
        <v>27</v>
      </c>
      <c r="DI3" s="55" t="s">
        <v>106</v>
      </c>
      <c r="DJ3" s="64" t="s">
        <v>120</v>
      </c>
      <c r="DK3" s="64" t="s">
        <v>121</v>
      </c>
      <c r="DL3" s="55" t="s">
        <v>28</v>
      </c>
      <c r="DM3" s="55" t="s">
        <v>123</v>
      </c>
      <c r="DN3" s="55" t="s">
        <v>29</v>
      </c>
      <c r="DO3" s="55" t="s">
        <v>131</v>
      </c>
      <c r="DP3" s="55" t="s">
        <v>130</v>
      </c>
      <c r="DQ3" s="64" t="s">
        <v>120</v>
      </c>
      <c r="DR3" s="64" t="s">
        <v>121</v>
      </c>
      <c r="DS3" s="56" t="s">
        <v>107</v>
      </c>
      <c r="DT3" s="104" t="s">
        <v>31</v>
      </c>
      <c r="DU3" s="56" t="s">
        <v>108</v>
      </c>
      <c r="DV3" s="56" t="s">
        <v>109</v>
      </c>
      <c r="DW3" s="56" t="s">
        <v>32</v>
      </c>
      <c r="DX3" s="56" t="s">
        <v>110</v>
      </c>
      <c r="DY3" s="56" t="s">
        <v>111</v>
      </c>
      <c r="DZ3" s="56" t="s">
        <v>30</v>
      </c>
      <c r="EA3" s="56" t="s">
        <v>33</v>
      </c>
      <c r="EB3" s="56" t="s">
        <v>34</v>
      </c>
      <c r="EC3" s="56" t="s">
        <v>35</v>
      </c>
      <c r="ED3" s="104" t="s">
        <v>36</v>
      </c>
      <c r="EE3" s="56" t="s">
        <v>112</v>
      </c>
      <c r="EF3" s="56" t="s">
        <v>113</v>
      </c>
      <c r="EG3" s="59" t="s">
        <v>114</v>
      </c>
      <c r="EH3" s="59" t="s">
        <v>115</v>
      </c>
      <c r="EI3" s="59" t="s">
        <v>134</v>
      </c>
      <c r="EJ3" s="59" t="s">
        <v>127</v>
      </c>
      <c r="EK3" s="73" t="s">
        <v>39</v>
      </c>
      <c r="EL3" s="73" t="s">
        <v>40</v>
      </c>
      <c r="EM3" s="82" t="s">
        <v>121</v>
      </c>
      <c r="EN3" s="59" t="s">
        <v>124</v>
      </c>
      <c r="EO3" s="59" t="s">
        <v>125</v>
      </c>
      <c r="EP3" s="74" t="s">
        <v>126</v>
      </c>
    </row>
    <row r="4" spans="1:146" x14ac:dyDescent="0.2">
      <c r="A4" s="98" t="s">
        <v>188</v>
      </c>
      <c r="B4" s="32" t="s">
        <v>189</v>
      </c>
      <c r="C4" s="106" t="s">
        <v>53</v>
      </c>
      <c r="D4" s="84" t="s">
        <v>137</v>
      </c>
      <c r="E4" s="84">
        <v>2003</v>
      </c>
      <c r="F4" s="85" t="s">
        <v>138</v>
      </c>
      <c r="G4" s="44">
        <f>AJ4*1000</f>
        <v>63650</v>
      </c>
      <c r="H4" s="44" t="s">
        <v>52</v>
      </c>
      <c r="I4" s="44" t="s">
        <v>52</v>
      </c>
      <c r="J4" s="92">
        <v>534.20077780357622</v>
      </c>
      <c r="K4" s="92">
        <v>89.033462967262665</v>
      </c>
      <c r="L4" s="92">
        <v>89.033462967262722</v>
      </c>
      <c r="M4" s="113" t="b">
        <v>1</v>
      </c>
      <c r="N4" s="113">
        <v>3</v>
      </c>
      <c r="O4" s="120" t="s">
        <v>204</v>
      </c>
      <c r="P4" s="113" t="b">
        <v>0</v>
      </c>
      <c r="Q4" s="113" t="b">
        <v>0</v>
      </c>
      <c r="R4" s="113" t="s">
        <v>52</v>
      </c>
      <c r="S4" s="113" t="b">
        <v>1</v>
      </c>
      <c r="T4" s="113" t="b">
        <v>0</v>
      </c>
      <c r="U4" s="113" t="s">
        <v>52</v>
      </c>
      <c r="V4" s="113" t="b">
        <v>0</v>
      </c>
      <c r="W4" s="113" t="b">
        <v>0</v>
      </c>
      <c r="X4" s="113" t="s">
        <v>52</v>
      </c>
      <c r="Y4" s="110" t="s">
        <v>139</v>
      </c>
      <c r="Z4" s="38" t="s">
        <v>138</v>
      </c>
      <c r="AA4" s="37" t="s">
        <v>142</v>
      </c>
      <c r="AB4" s="41" t="s">
        <v>149</v>
      </c>
      <c r="AC4" s="23" t="s">
        <v>152</v>
      </c>
      <c r="AD4" s="99" t="s">
        <v>52</v>
      </c>
      <c r="AE4" s="86">
        <v>29.3</v>
      </c>
      <c r="AF4" s="23">
        <v>-103.52</v>
      </c>
      <c r="AG4" s="33" t="s">
        <v>52</v>
      </c>
      <c r="AH4" s="33" t="s">
        <v>52</v>
      </c>
      <c r="AI4" s="33" t="s">
        <v>52</v>
      </c>
      <c r="AJ4" s="27">
        <v>63.65</v>
      </c>
      <c r="AK4" s="23" t="s">
        <v>52</v>
      </c>
      <c r="AL4" s="23" t="s">
        <v>52</v>
      </c>
      <c r="AM4" s="43" t="s">
        <v>150</v>
      </c>
      <c r="AN4" s="20">
        <v>-10.14</v>
      </c>
      <c r="AO4" s="20">
        <v>1.0400000000000027</v>
      </c>
      <c r="AP4" s="36">
        <v>3</v>
      </c>
      <c r="AQ4" s="87" t="s">
        <v>52</v>
      </c>
      <c r="AR4" s="20" t="s">
        <v>52</v>
      </c>
      <c r="AS4" s="20" t="s">
        <v>52</v>
      </c>
      <c r="AT4" s="16" t="s">
        <v>52</v>
      </c>
      <c r="AU4" s="16" t="s">
        <v>52</v>
      </c>
      <c r="AV4" s="16" t="s">
        <v>52</v>
      </c>
      <c r="AW4" s="16" t="s">
        <v>52</v>
      </c>
      <c r="AX4" s="87" t="s">
        <v>52</v>
      </c>
      <c r="AY4" s="16" t="s">
        <v>52</v>
      </c>
      <c r="AZ4" s="16" t="s">
        <v>52</v>
      </c>
      <c r="BA4" s="16" t="s">
        <v>52</v>
      </c>
      <c r="BB4" s="39" t="s">
        <v>52</v>
      </c>
      <c r="BC4" s="39" t="s">
        <v>52</v>
      </c>
      <c r="BD4" s="39" t="s">
        <v>52</v>
      </c>
      <c r="BE4" s="39">
        <v>3</v>
      </c>
      <c r="BF4" s="39" t="s">
        <v>52</v>
      </c>
      <c r="BG4" s="16" t="s">
        <v>52</v>
      </c>
      <c r="BH4" s="16" t="s">
        <v>52</v>
      </c>
      <c r="BI4" s="16" t="s">
        <v>52</v>
      </c>
      <c r="BJ4" s="39" t="s">
        <v>52</v>
      </c>
      <c r="BK4" s="36" t="s">
        <v>151</v>
      </c>
      <c r="BL4" s="16" t="s">
        <v>52</v>
      </c>
      <c r="BM4" s="16" t="s">
        <v>52</v>
      </c>
      <c r="BN4" s="16" t="s">
        <v>52</v>
      </c>
      <c r="BO4" s="16" t="s">
        <v>52</v>
      </c>
      <c r="BP4" s="16" t="s">
        <v>52</v>
      </c>
      <c r="BQ4" s="16" t="s">
        <v>52</v>
      </c>
      <c r="BR4" s="16" t="s">
        <v>52</v>
      </c>
      <c r="BS4" s="16" t="s">
        <v>52</v>
      </c>
      <c r="BT4" s="16" t="s">
        <v>52</v>
      </c>
      <c r="BU4" s="16" t="s">
        <v>52</v>
      </c>
      <c r="BV4" s="16" t="s">
        <v>52</v>
      </c>
      <c r="BW4" s="16" t="s">
        <v>52</v>
      </c>
      <c r="BX4" s="16" t="s">
        <v>52</v>
      </c>
      <c r="BY4" s="16" t="s">
        <v>52</v>
      </c>
      <c r="BZ4" s="16" t="s">
        <v>52</v>
      </c>
      <c r="CA4" s="16" t="s">
        <v>52</v>
      </c>
      <c r="CB4" s="16" t="s">
        <v>52</v>
      </c>
      <c r="CC4" s="16" t="s">
        <v>52</v>
      </c>
      <c r="CD4" s="16" t="s">
        <v>52</v>
      </c>
      <c r="CE4" s="16" t="s">
        <v>52</v>
      </c>
      <c r="CF4" s="16" t="s">
        <v>52</v>
      </c>
      <c r="CG4" s="16" t="s">
        <v>52</v>
      </c>
      <c r="CH4" s="16" t="s">
        <v>52</v>
      </c>
      <c r="CI4" s="16" t="s">
        <v>52</v>
      </c>
      <c r="CJ4" s="24">
        <v>-25.567</v>
      </c>
      <c r="CK4" s="5" t="s">
        <v>140</v>
      </c>
      <c r="CL4" s="30" t="s">
        <v>141</v>
      </c>
      <c r="CM4" s="17" t="s">
        <v>52</v>
      </c>
      <c r="CN4" s="77" t="s">
        <v>52</v>
      </c>
      <c r="CO4" s="17" t="s">
        <v>52</v>
      </c>
      <c r="CP4" s="24">
        <v>-6.27</v>
      </c>
      <c r="CQ4" s="5" t="s">
        <v>143</v>
      </c>
      <c r="CR4" s="29" t="s">
        <v>142</v>
      </c>
      <c r="CS4" s="75" t="s">
        <v>52</v>
      </c>
      <c r="CT4" s="78" t="s">
        <v>52</v>
      </c>
      <c r="CU4" s="24" t="s">
        <v>52</v>
      </c>
      <c r="CV4" s="31">
        <v>17.23</v>
      </c>
      <c r="CW4" s="5" t="s">
        <v>144</v>
      </c>
      <c r="CX4" s="17" t="s">
        <v>52</v>
      </c>
      <c r="CY4" s="17" t="s">
        <v>52</v>
      </c>
      <c r="CZ4" s="17" t="s">
        <v>52</v>
      </c>
      <c r="DA4" s="40" t="s">
        <v>52</v>
      </c>
      <c r="DB4" s="30" t="s">
        <v>145</v>
      </c>
      <c r="DC4" s="24">
        <v>-20.052399999999999</v>
      </c>
      <c r="DD4" s="17" t="s">
        <v>52</v>
      </c>
      <c r="DE4" s="17" t="s">
        <v>52</v>
      </c>
      <c r="DF4" s="17" t="s">
        <v>52</v>
      </c>
      <c r="DG4" s="17" t="s">
        <v>52</v>
      </c>
      <c r="DH4" s="17" t="s">
        <v>52</v>
      </c>
      <c r="DI4" s="17" t="s">
        <v>52</v>
      </c>
      <c r="DJ4" s="17" t="s">
        <v>52</v>
      </c>
      <c r="DK4" s="17" t="s">
        <v>52</v>
      </c>
      <c r="DL4" s="66" t="s">
        <v>52</v>
      </c>
      <c r="DM4" s="17">
        <v>6000</v>
      </c>
      <c r="DN4" s="5" t="s">
        <v>129</v>
      </c>
      <c r="DO4" s="17">
        <v>1000</v>
      </c>
      <c r="DP4" s="17">
        <v>1000</v>
      </c>
      <c r="DQ4" s="77" t="s">
        <v>129</v>
      </c>
      <c r="DR4" s="17" t="s">
        <v>146</v>
      </c>
      <c r="DS4" s="18" t="s">
        <v>43</v>
      </c>
      <c r="DT4" s="18" t="s">
        <v>52</v>
      </c>
      <c r="DU4" s="18" t="s">
        <v>52</v>
      </c>
      <c r="DV4" s="18" t="s">
        <v>52</v>
      </c>
      <c r="DW4" s="18" t="s">
        <v>52</v>
      </c>
      <c r="DX4" s="6" t="s">
        <v>44</v>
      </c>
      <c r="DY4" s="18" t="s">
        <v>42</v>
      </c>
      <c r="DZ4" s="18" t="s">
        <v>52</v>
      </c>
      <c r="EA4" s="18" t="s">
        <v>52</v>
      </c>
      <c r="EB4" s="34" t="s">
        <v>52</v>
      </c>
      <c r="EC4" s="34" t="s">
        <v>52</v>
      </c>
      <c r="ED4" s="34" t="s">
        <v>52</v>
      </c>
      <c r="EE4" s="18" t="s">
        <v>41</v>
      </c>
      <c r="EF4" s="18" t="s">
        <v>52</v>
      </c>
      <c r="EG4" s="35">
        <v>534.20077780357622</v>
      </c>
      <c r="EH4" s="94" t="s">
        <v>52</v>
      </c>
      <c r="EI4" s="35">
        <v>89.033462967262665</v>
      </c>
      <c r="EJ4" s="35">
        <v>89.033462967262722</v>
      </c>
      <c r="EK4" s="7" t="s">
        <v>147</v>
      </c>
      <c r="EL4" s="7" t="s">
        <v>148</v>
      </c>
      <c r="EM4" s="7" t="s">
        <v>148</v>
      </c>
      <c r="EN4" s="35" t="s">
        <v>128</v>
      </c>
      <c r="EO4" s="35" t="s">
        <v>128</v>
      </c>
      <c r="EP4" s="26" t="s">
        <v>203</v>
      </c>
    </row>
    <row r="5" spans="1:146" x14ac:dyDescent="0.2">
      <c r="A5" s="98" t="s">
        <v>188</v>
      </c>
      <c r="B5" s="32" t="s">
        <v>189</v>
      </c>
      <c r="C5" s="45" t="s">
        <v>53</v>
      </c>
      <c r="D5" s="45" t="s">
        <v>137</v>
      </c>
      <c r="E5" s="45">
        <v>2003</v>
      </c>
      <c r="F5" s="38" t="s">
        <v>138</v>
      </c>
      <c r="G5" s="45">
        <f>AJ5*1000</f>
        <v>63740</v>
      </c>
      <c r="H5" s="45" t="s">
        <v>52</v>
      </c>
      <c r="I5" s="45" t="s">
        <v>52</v>
      </c>
      <c r="J5" s="93">
        <v>488.41269017980898</v>
      </c>
      <c r="K5" s="93">
        <v>81.402115029968172</v>
      </c>
      <c r="L5" s="93">
        <v>81.402115029968115</v>
      </c>
      <c r="M5" s="113" t="b">
        <v>1</v>
      </c>
      <c r="N5" s="113">
        <v>3</v>
      </c>
      <c r="O5" s="121" t="s">
        <v>204</v>
      </c>
      <c r="P5" s="113" t="b">
        <v>0</v>
      </c>
      <c r="Q5" s="113" t="b">
        <v>0</v>
      </c>
      <c r="R5" s="113" t="s">
        <v>52</v>
      </c>
      <c r="S5" s="113" t="b">
        <v>1</v>
      </c>
      <c r="T5" s="113" t="b">
        <v>0</v>
      </c>
      <c r="U5" s="113" t="s">
        <v>52</v>
      </c>
      <c r="V5" s="113" t="b">
        <v>0</v>
      </c>
      <c r="W5" s="113" t="b">
        <v>0</v>
      </c>
      <c r="X5" s="113" t="s">
        <v>52</v>
      </c>
      <c r="Y5" s="111" t="s">
        <v>139</v>
      </c>
      <c r="Z5" s="38" t="s">
        <v>138</v>
      </c>
      <c r="AA5" s="37" t="s">
        <v>142</v>
      </c>
      <c r="AB5" s="41" t="s">
        <v>149</v>
      </c>
      <c r="AC5" s="23" t="s">
        <v>153</v>
      </c>
      <c r="AD5" s="99" t="s">
        <v>52</v>
      </c>
      <c r="AE5" s="86">
        <v>29.3</v>
      </c>
      <c r="AF5" s="23">
        <v>-103.52</v>
      </c>
      <c r="AG5" s="33" t="s">
        <v>52</v>
      </c>
      <c r="AH5" s="33" t="s">
        <v>52</v>
      </c>
      <c r="AI5" s="33" t="s">
        <v>52</v>
      </c>
      <c r="AJ5" s="28">
        <v>63.74</v>
      </c>
      <c r="AK5" s="23" t="s">
        <v>52</v>
      </c>
      <c r="AL5" s="23" t="s">
        <v>52</v>
      </c>
      <c r="AM5" s="43" t="s">
        <v>150</v>
      </c>
      <c r="AN5" s="21">
        <v>-10</v>
      </c>
      <c r="AO5" s="21">
        <v>1.1799999999999997</v>
      </c>
      <c r="AP5" s="36">
        <v>3</v>
      </c>
      <c r="AQ5" s="87" t="s">
        <v>52</v>
      </c>
      <c r="AR5" s="20" t="s">
        <v>52</v>
      </c>
      <c r="AS5" s="20" t="s">
        <v>52</v>
      </c>
      <c r="AT5" s="16" t="s">
        <v>52</v>
      </c>
      <c r="AU5" s="16" t="s">
        <v>52</v>
      </c>
      <c r="AV5" s="16" t="s">
        <v>52</v>
      </c>
      <c r="AW5" s="16" t="s">
        <v>52</v>
      </c>
      <c r="AX5" s="88" t="s">
        <v>52</v>
      </c>
      <c r="AY5" s="16" t="s">
        <v>52</v>
      </c>
      <c r="AZ5" s="16" t="s">
        <v>52</v>
      </c>
      <c r="BA5" s="16" t="s">
        <v>52</v>
      </c>
      <c r="BB5" s="39" t="s">
        <v>52</v>
      </c>
      <c r="BC5" s="39" t="s">
        <v>52</v>
      </c>
      <c r="BD5" s="39" t="s">
        <v>52</v>
      </c>
      <c r="BE5" s="39">
        <v>3</v>
      </c>
      <c r="BF5" s="39" t="s">
        <v>52</v>
      </c>
      <c r="BG5" s="16" t="s">
        <v>52</v>
      </c>
      <c r="BH5" s="16" t="s">
        <v>52</v>
      </c>
      <c r="BI5" s="16" t="s">
        <v>52</v>
      </c>
      <c r="BJ5" s="39" t="s">
        <v>52</v>
      </c>
      <c r="BK5" s="36" t="s">
        <v>151</v>
      </c>
      <c r="BL5" s="16" t="s">
        <v>52</v>
      </c>
      <c r="BM5" s="16" t="s">
        <v>52</v>
      </c>
      <c r="BN5" s="16" t="s">
        <v>52</v>
      </c>
      <c r="BO5" s="16" t="s">
        <v>52</v>
      </c>
      <c r="BP5" s="16" t="s">
        <v>52</v>
      </c>
      <c r="BQ5" s="16" t="s">
        <v>52</v>
      </c>
      <c r="BR5" s="16" t="s">
        <v>52</v>
      </c>
      <c r="BS5" s="16" t="s">
        <v>52</v>
      </c>
      <c r="BT5" s="16" t="s">
        <v>52</v>
      </c>
      <c r="BU5" s="16" t="s">
        <v>52</v>
      </c>
      <c r="BV5" s="16" t="s">
        <v>52</v>
      </c>
      <c r="BW5" s="16" t="s">
        <v>52</v>
      </c>
      <c r="BX5" s="16" t="s">
        <v>52</v>
      </c>
      <c r="BY5" s="16" t="s">
        <v>52</v>
      </c>
      <c r="BZ5" s="16" t="s">
        <v>52</v>
      </c>
      <c r="CA5" s="16" t="s">
        <v>52</v>
      </c>
      <c r="CB5" s="16" t="s">
        <v>52</v>
      </c>
      <c r="CC5" s="16" t="s">
        <v>52</v>
      </c>
      <c r="CD5" s="16" t="s">
        <v>52</v>
      </c>
      <c r="CE5" s="16" t="s">
        <v>52</v>
      </c>
      <c r="CF5" s="16" t="s">
        <v>52</v>
      </c>
      <c r="CG5" s="16" t="s">
        <v>52</v>
      </c>
      <c r="CH5" s="16" t="s">
        <v>52</v>
      </c>
      <c r="CI5" s="16" t="s">
        <v>52</v>
      </c>
      <c r="CJ5" s="25">
        <v>-25.589000000000002</v>
      </c>
      <c r="CK5" s="5" t="s">
        <v>140</v>
      </c>
      <c r="CL5" s="30" t="s">
        <v>141</v>
      </c>
      <c r="CM5" s="17" t="s">
        <v>52</v>
      </c>
      <c r="CN5" s="77" t="s">
        <v>52</v>
      </c>
      <c r="CO5" s="17" t="s">
        <v>52</v>
      </c>
      <c r="CP5" s="25">
        <v>-6.29</v>
      </c>
      <c r="CQ5" s="5" t="s">
        <v>143</v>
      </c>
      <c r="CR5" s="29" t="s">
        <v>142</v>
      </c>
      <c r="CS5" s="75" t="s">
        <v>52</v>
      </c>
      <c r="CT5" s="78" t="s">
        <v>52</v>
      </c>
      <c r="CU5" s="24" t="s">
        <v>52</v>
      </c>
      <c r="CV5" s="31">
        <v>15.07000000000005</v>
      </c>
      <c r="CW5" s="5" t="s">
        <v>144</v>
      </c>
      <c r="CX5" s="17" t="s">
        <v>52</v>
      </c>
      <c r="CY5" s="17" t="s">
        <v>52</v>
      </c>
      <c r="CZ5" s="17" t="s">
        <v>52</v>
      </c>
      <c r="DA5" s="40" t="s">
        <v>52</v>
      </c>
      <c r="DB5" s="30" t="s">
        <v>145</v>
      </c>
      <c r="DC5" s="25">
        <v>-20.171599999999994</v>
      </c>
      <c r="DD5" s="17" t="s">
        <v>52</v>
      </c>
      <c r="DE5" s="17" t="s">
        <v>52</v>
      </c>
      <c r="DF5" s="17" t="s">
        <v>52</v>
      </c>
      <c r="DG5" s="17" t="s">
        <v>52</v>
      </c>
      <c r="DH5" s="17" t="s">
        <v>52</v>
      </c>
      <c r="DI5" s="17" t="s">
        <v>52</v>
      </c>
      <c r="DJ5" s="17" t="s">
        <v>52</v>
      </c>
      <c r="DK5" s="17" t="s">
        <v>52</v>
      </c>
      <c r="DL5" s="66" t="s">
        <v>52</v>
      </c>
      <c r="DM5" s="17">
        <v>6000</v>
      </c>
      <c r="DN5" s="5" t="s">
        <v>129</v>
      </c>
      <c r="DO5" s="17">
        <v>1000</v>
      </c>
      <c r="DP5" s="17">
        <v>1000</v>
      </c>
      <c r="DQ5" s="77" t="s">
        <v>129</v>
      </c>
      <c r="DR5" s="17" t="s">
        <v>146</v>
      </c>
      <c r="DS5" s="18" t="s">
        <v>43</v>
      </c>
      <c r="DT5" s="18" t="s">
        <v>52</v>
      </c>
      <c r="DU5" s="18" t="s">
        <v>52</v>
      </c>
      <c r="DV5" s="18" t="s">
        <v>52</v>
      </c>
      <c r="DW5" s="18" t="s">
        <v>52</v>
      </c>
      <c r="DX5" s="6" t="s">
        <v>44</v>
      </c>
      <c r="DY5" s="18" t="s">
        <v>42</v>
      </c>
      <c r="DZ5" s="18" t="s">
        <v>52</v>
      </c>
      <c r="EA5" s="18" t="s">
        <v>52</v>
      </c>
      <c r="EB5" s="34" t="s">
        <v>52</v>
      </c>
      <c r="EC5" s="34" t="s">
        <v>52</v>
      </c>
      <c r="ED5" s="34" t="s">
        <v>52</v>
      </c>
      <c r="EE5" s="19" t="s">
        <v>41</v>
      </c>
      <c r="EF5" s="18" t="s">
        <v>52</v>
      </c>
      <c r="EG5" s="35">
        <v>488.41269017980898</v>
      </c>
      <c r="EH5" s="94" t="s">
        <v>52</v>
      </c>
      <c r="EI5" s="35">
        <v>81.402115029968172</v>
      </c>
      <c r="EJ5" s="35">
        <v>81.402115029968115</v>
      </c>
      <c r="EK5" s="7" t="s">
        <v>147</v>
      </c>
      <c r="EL5" s="7" t="s">
        <v>148</v>
      </c>
      <c r="EM5" s="7" t="s">
        <v>148</v>
      </c>
      <c r="EN5" s="35" t="s">
        <v>128</v>
      </c>
      <c r="EO5" s="35" t="s">
        <v>128</v>
      </c>
      <c r="EP5" s="26" t="s">
        <v>203</v>
      </c>
    </row>
    <row r="6" spans="1:146" x14ac:dyDescent="0.2">
      <c r="A6" s="98" t="s">
        <v>188</v>
      </c>
      <c r="B6" s="32" t="s">
        <v>189</v>
      </c>
      <c r="C6" s="45" t="s">
        <v>53</v>
      </c>
      <c r="D6" s="45" t="s">
        <v>137</v>
      </c>
      <c r="E6" s="45">
        <v>2003</v>
      </c>
      <c r="F6" s="38" t="s">
        <v>138</v>
      </c>
      <c r="G6" s="45">
        <f t="shared" ref="G6:G39" si="0">AJ6*1000</f>
        <v>63870</v>
      </c>
      <c r="H6" s="45" t="s">
        <v>52</v>
      </c>
      <c r="I6" s="45" t="s">
        <v>52</v>
      </c>
      <c r="J6" s="93">
        <v>264.15546720787262</v>
      </c>
      <c r="K6" s="93">
        <v>44.025911201312113</v>
      </c>
      <c r="L6" s="93">
        <v>44.025911201312056</v>
      </c>
      <c r="M6" s="113" t="b">
        <v>1</v>
      </c>
      <c r="N6" s="113">
        <v>3</v>
      </c>
      <c r="O6" s="121" t="s">
        <v>204</v>
      </c>
      <c r="P6" s="113" t="b">
        <v>0</v>
      </c>
      <c r="Q6" s="113" t="b">
        <v>0</v>
      </c>
      <c r="R6" s="113" t="s">
        <v>52</v>
      </c>
      <c r="S6" s="113" t="b">
        <v>1</v>
      </c>
      <c r="T6" s="113" t="b">
        <v>0</v>
      </c>
      <c r="U6" s="113" t="s">
        <v>52</v>
      </c>
      <c r="V6" s="113" t="b">
        <v>0</v>
      </c>
      <c r="W6" s="113" t="b">
        <v>0</v>
      </c>
      <c r="X6" s="113" t="s">
        <v>52</v>
      </c>
      <c r="Y6" s="111" t="s">
        <v>139</v>
      </c>
      <c r="Z6" s="38" t="s">
        <v>138</v>
      </c>
      <c r="AA6" s="37" t="s">
        <v>142</v>
      </c>
      <c r="AB6" s="41" t="s">
        <v>149</v>
      </c>
      <c r="AC6" s="23" t="s">
        <v>154</v>
      </c>
      <c r="AD6" s="99" t="s">
        <v>52</v>
      </c>
      <c r="AE6" s="86">
        <v>29.3</v>
      </c>
      <c r="AF6" s="23">
        <v>-103.52</v>
      </c>
      <c r="AG6" s="33" t="s">
        <v>52</v>
      </c>
      <c r="AH6" s="33" t="s">
        <v>52</v>
      </c>
      <c r="AI6" s="33" t="s">
        <v>52</v>
      </c>
      <c r="AJ6" s="28">
        <v>63.87</v>
      </c>
      <c r="AK6" s="23" t="s">
        <v>52</v>
      </c>
      <c r="AL6" s="23" t="s">
        <v>52</v>
      </c>
      <c r="AM6" s="43" t="s">
        <v>150</v>
      </c>
      <c r="AN6" s="21">
        <v>-10.86</v>
      </c>
      <c r="AO6" s="21">
        <v>0.57999999999999829</v>
      </c>
      <c r="AP6" s="36">
        <v>3</v>
      </c>
      <c r="AQ6" s="87" t="s">
        <v>52</v>
      </c>
      <c r="AR6" s="20" t="s">
        <v>52</v>
      </c>
      <c r="AS6" s="20" t="s">
        <v>52</v>
      </c>
      <c r="AT6" s="16" t="s">
        <v>52</v>
      </c>
      <c r="AU6" s="16" t="s">
        <v>52</v>
      </c>
      <c r="AV6" s="16" t="s">
        <v>52</v>
      </c>
      <c r="AW6" s="16" t="s">
        <v>52</v>
      </c>
      <c r="AX6" s="88" t="s">
        <v>52</v>
      </c>
      <c r="AY6" s="16" t="s">
        <v>52</v>
      </c>
      <c r="AZ6" s="16" t="s">
        <v>52</v>
      </c>
      <c r="BA6" s="16" t="s">
        <v>52</v>
      </c>
      <c r="BB6" s="39" t="s">
        <v>52</v>
      </c>
      <c r="BC6" s="39" t="s">
        <v>52</v>
      </c>
      <c r="BD6" s="39" t="s">
        <v>52</v>
      </c>
      <c r="BE6" s="39">
        <v>3</v>
      </c>
      <c r="BF6" s="39" t="s">
        <v>52</v>
      </c>
      <c r="BG6" s="16" t="s">
        <v>52</v>
      </c>
      <c r="BH6" s="16" t="s">
        <v>52</v>
      </c>
      <c r="BI6" s="16" t="s">
        <v>52</v>
      </c>
      <c r="BJ6" s="39" t="s">
        <v>52</v>
      </c>
      <c r="BK6" s="36" t="s">
        <v>151</v>
      </c>
      <c r="BL6" s="16" t="s">
        <v>52</v>
      </c>
      <c r="BM6" s="16" t="s">
        <v>52</v>
      </c>
      <c r="BN6" s="16" t="s">
        <v>52</v>
      </c>
      <c r="BO6" s="16" t="s">
        <v>52</v>
      </c>
      <c r="BP6" s="16" t="s">
        <v>52</v>
      </c>
      <c r="BQ6" s="16" t="s">
        <v>52</v>
      </c>
      <c r="BR6" s="16" t="s">
        <v>52</v>
      </c>
      <c r="BS6" s="16" t="s">
        <v>52</v>
      </c>
      <c r="BT6" s="16" t="s">
        <v>52</v>
      </c>
      <c r="BU6" s="16" t="s">
        <v>52</v>
      </c>
      <c r="BV6" s="16" t="s">
        <v>52</v>
      </c>
      <c r="BW6" s="16" t="s">
        <v>52</v>
      </c>
      <c r="BX6" s="16" t="s">
        <v>52</v>
      </c>
      <c r="BY6" s="16" t="s">
        <v>52</v>
      </c>
      <c r="BZ6" s="16" t="s">
        <v>52</v>
      </c>
      <c r="CA6" s="16" t="s">
        <v>52</v>
      </c>
      <c r="CB6" s="16" t="s">
        <v>52</v>
      </c>
      <c r="CC6" s="16" t="s">
        <v>52</v>
      </c>
      <c r="CD6" s="16" t="s">
        <v>52</v>
      </c>
      <c r="CE6" s="16" t="s">
        <v>52</v>
      </c>
      <c r="CF6" s="16" t="s">
        <v>52</v>
      </c>
      <c r="CG6" s="16" t="s">
        <v>52</v>
      </c>
      <c r="CH6" s="16" t="s">
        <v>52</v>
      </c>
      <c r="CI6" s="16" t="s">
        <v>52</v>
      </c>
      <c r="CJ6" s="25">
        <v>-25.688000000000002</v>
      </c>
      <c r="CK6" s="5" t="s">
        <v>140</v>
      </c>
      <c r="CL6" s="30" t="s">
        <v>141</v>
      </c>
      <c r="CM6" s="17" t="s">
        <v>52</v>
      </c>
      <c r="CN6" s="77" t="s">
        <v>52</v>
      </c>
      <c r="CO6" s="17" t="s">
        <v>52</v>
      </c>
      <c r="CP6" s="25">
        <v>-6.38</v>
      </c>
      <c r="CQ6" s="5" t="s">
        <v>143</v>
      </c>
      <c r="CR6" s="29" t="s">
        <v>142</v>
      </c>
      <c r="CS6" s="75" t="s">
        <v>52</v>
      </c>
      <c r="CT6" s="78" t="s">
        <v>52</v>
      </c>
      <c r="CU6" s="24" t="s">
        <v>52</v>
      </c>
      <c r="CV6" s="31">
        <v>17.27</v>
      </c>
      <c r="CW6" s="5" t="s">
        <v>144</v>
      </c>
      <c r="CX6" s="17" t="s">
        <v>52</v>
      </c>
      <c r="CY6" s="17" t="s">
        <v>52</v>
      </c>
      <c r="CZ6" s="17" t="s">
        <v>52</v>
      </c>
      <c r="DA6" s="40" t="s">
        <v>52</v>
      </c>
      <c r="DB6" s="30" t="s">
        <v>145</v>
      </c>
      <c r="DC6" s="25">
        <v>-20.767600000000002</v>
      </c>
      <c r="DD6" s="17" t="s">
        <v>52</v>
      </c>
      <c r="DE6" s="17" t="s">
        <v>52</v>
      </c>
      <c r="DF6" s="17" t="s">
        <v>52</v>
      </c>
      <c r="DG6" s="17" t="s">
        <v>52</v>
      </c>
      <c r="DH6" s="17" t="s">
        <v>52</v>
      </c>
      <c r="DI6" s="17" t="s">
        <v>52</v>
      </c>
      <c r="DJ6" s="17" t="s">
        <v>52</v>
      </c>
      <c r="DK6" s="17" t="s">
        <v>52</v>
      </c>
      <c r="DL6" s="66" t="s">
        <v>52</v>
      </c>
      <c r="DM6" s="17">
        <v>6000</v>
      </c>
      <c r="DN6" s="5" t="s">
        <v>129</v>
      </c>
      <c r="DO6" s="17">
        <v>1000</v>
      </c>
      <c r="DP6" s="17">
        <v>1000</v>
      </c>
      <c r="DQ6" s="77" t="s">
        <v>129</v>
      </c>
      <c r="DR6" s="17" t="s">
        <v>146</v>
      </c>
      <c r="DS6" s="18" t="s">
        <v>43</v>
      </c>
      <c r="DT6" s="18" t="s">
        <v>52</v>
      </c>
      <c r="DU6" s="18" t="s">
        <v>52</v>
      </c>
      <c r="DV6" s="18" t="s">
        <v>52</v>
      </c>
      <c r="DW6" s="18" t="s">
        <v>52</v>
      </c>
      <c r="DX6" s="6" t="s">
        <v>44</v>
      </c>
      <c r="DY6" s="18" t="s">
        <v>42</v>
      </c>
      <c r="DZ6" s="18" t="s">
        <v>52</v>
      </c>
      <c r="EA6" s="18" t="s">
        <v>52</v>
      </c>
      <c r="EB6" s="34" t="s">
        <v>52</v>
      </c>
      <c r="EC6" s="34" t="s">
        <v>52</v>
      </c>
      <c r="ED6" s="34" t="s">
        <v>52</v>
      </c>
      <c r="EE6" s="19" t="s">
        <v>41</v>
      </c>
      <c r="EF6" s="18" t="s">
        <v>52</v>
      </c>
      <c r="EG6" s="35">
        <v>264.15546720787262</v>
      </c>
      <c r="EH6" s="94" t="s">
        <v>52</v>
      </c>
      <c r="EI6" s="35">
        <v>44.025911201312113</v>
      </c>
      <c r="EJ6" s="35">
        <v>44.025911201312056</v>
      </c>
      <c r="EK6" s="7" t="s">
        <v>147</v>
      </c>
      <c r="EL6" s="7" t="s">
        <v>148</v>
      </c>
      <c r="EM6" s="7" t="s">
        <v>148</v>
      </c>
      <c r="EN6" s="35" t="s">
        <v>128</v>
      </c>
      <c r="EO6" s="35" t="s">
        <v>128</v>
      </c>
      <c r="EP6" s="26" t="s">
        <v>203</v>
      </c>
    </row>
    <row r="7" spans="1:146" x14ac:dyDescent="0.2">
      <c r="A7" s="98" t="s">
        <v>188</v>
      </c>
      <c r="B7" s="32" t="s">
        <v>189</v>
      </c>
      <c r="C7" s="45" t="s">
        <v>53</v>
      </c>
      <c r="D7" s="45" t="s">
        <v>137</v>
      </c>
      <c r="E7" s="45">
        <v>2003</v>
      </c>
      <c r="F7" s="38" t="s">
        <v>138</v>
      </c>
      <c r="G7" s="45">
        <f t="shared" si="0"/>
        <v>64110</v>
      </c>
      <c r="H7" s="45" t="s">
        <v>52</v>
      </c>
      <c r="I7" s="45" t="s">
        <v>52</v>
      </c>
      <c r="J7" s="93">
        <v>333.50796460177099</v>
      </c>
      <c r="K7" s="93">
        <v>55.584660766961861</v>
      </c>
      <c r="L7" s="93">
        <v>55.584660766961804</v>
      </c>
      <c r="M7" s="113" t="b">
        <v>1</v>
      </c>
      <c r="N7" s="113">
        <v>3</v>
      </c>
      <c r="O7" s="121" t="s">
        <v>204</v>
      </c>
      <c r="P7" s="113" t="b">
        <v>0</v>
      </c>
      <c r="Q7" s="113" t="b">
        <v>0</v>
      </c>
      <c r="R7" s="113" t="s">
        <v>52</v>
      </c>
      <c r="S7" s="113" t="b">
        <v>1</v>
      </c>
      <c r="T7" s="113" t="b">
        <v>0</v>
      </c>
      <c r="U7" s="113" t="s">
        <v>52</v>
      </c>
      <c r="V7" s="113" t="b">
        <v>0</v>
      </c>
      <c r="W7" s="113" t="b">
        <v>0</v>
      </c>
      <c r="X7" s="113" t="s">
        <v>52</v>
      </c>
      <c r="Y7" s="111" t="s">
        <v>139</v>
      </c>
      <c r="Z7" s="38" t="s">
        <v>138</v>
      </c>
      <c r="AA7" s="37" t="s">
        <v>142</v>
      </c>
      <c r="AB7" s="41" t="s">
        <v>149</v>
      </c>
      <c r="AC7" s="23" t="s">
        <v>155</v>
      </c>
      <c r="AD7" s="99" t="s">
        <v>52</v>
      </c>
      <c r="AE7" s="86">
        <v>29.3</v>
      </c>
      <c r="AF7" s="23">
        <v>-103.52</v>
      </c>
      <c r="AG7" s="33" t="s">
        <v>52</v>
      </c>
      <c r="AH7" s="33" t="s">
        <v>52</v>
      </c>
      <c r="AI7" s="33" t="s">
        <v>52</v>
      </c>
      <c r="AJ7" s="28">
        <v>64.11</v>
      </c>
      <c r="AK7" s="23" t="s">
        <v>52</v>
      </c>
      <c r="AL7" s="23" t="s">
        <v>52</v>
      </c>
      <c r="AM7" s="43" t="s">
        <v>150</v>
      </c>
      <c r="AN7" s="21">
        <v>-10.68</v>
      </c>
      <c r="AO7" s="21">
        <v>0.23999999999999844</v>
      </c>
      <c r="AP7" s="36">
        <v>3</v>
      </c>
      <c r="AQ7" s="87" t="s">
        <v>52</v>
      </c>
      <c r="AR7" s="20" t="s">
        <v>52</v>
      </c>
      <c r="AS7" s="20" t="s">
        <v>52</v>
      </c>
      <c r="AT7" s="16" t="s">
        <v>52</v>
      </c>
      <c r="AU7" s="16" t="s">
        <v>52</v>
      </c>
      <c r="AV7" s="16" t="s">
        <v>52</v>
      </c>
      <c r="AW7" s="16" t="s">
        <v>52</v>
      </c>
      <c r="AX7" s="88" t="s">
        <v>52</v>
      </c>
      <c r="AY7" s="16" t="s">
        <v>52</v>
      </c>
      <c r="AZ7" s="16" t="s">
        <v>52</v>
      </c>
      <c r="BA7" s="16" t="s">
        <v>52</v>
      </c>
      <c r="BB7" s="39" t="s">
        <v>52</v>
      </c>
      <c r="BC7" s="39" t="s">
        <v>52</v>
      </c>
      <c r="BD7" s="39" t="s">
        <v>52</v>
      </c>
      <c r="BE7" s="39">
        <v>3</v>
      </c>
      <c r="BF7" s="39" t="s">
        <v>52</v>
      </c>
      <c r="BG7" s="16" t="s">
        <v>52</v>
      </c>
      <c r="BH7" s="16" t="s">
        <v>52</v>
      </c>
      <c r="BI7" s="16" t="s">
        <v>52</v>
      </c>
      <c r="BJ7" s="39" t="s">
        <v>52</v>
      </c>
      <c r="BK7" s="36" t="s">
        <v>151</v>
      </c>
      <c r="BL7" s="16" t="s">
        <v>52</v>
      </c>
      <c r="BM7" s="16" t="s">
        <v>52</v>
      </c>
      <c r="BN7" s="16" t="s">
        <v>52</v>
      </c>
      <c r="BO7" s="16" t="s">
        <v>52</v>
      </c>
      <c r="BP7" s="16" t="s">
        <v>52</v>
      </c>
      <c r="BQ7" s="16" t="s">
        <v>52</v>
      </c>
      <c r="BR7" s="16" t="s">
        <v>52</v>
      </c>
      <c r="BS7" s="16" t="s">
        <v>52</v>
      </c>
      <c r="BT7" s="16" t="s">
        <v>52</v>
      </c>
      <c r="BU7" s="16" t="s">
        <v>52</v>
      </c>
      <c r="BV7" s="16" t="s">
        <v>52</v>
      </c>
      <c r="BW7" s="16" t="s">
        <v>52</v>
      </c>
      <c r="BX7" s="16" t="s">
        <v>52</v>
      </c>
      <c r="BY7" s="16" t="s">
        <v>52</v>
      </c>
      <c r="BZ7" s="16" t="s">
        <v>52</v>
      </c>
      <c r="CA7" s="16" t="s">
        <v>52</v>
      </c>
      <c r="CB7" s="16" t="s">
        <v>52</v>
      </c>
      <c r="CC7" s="16" t="s">
        <v>52</v>
      </c>
      <c r="CD7" s="16" t="s">
        <v>52</v>
      </c>
      <c r="CE7" s="16" t="s">
        <v>52</v>
      </c>
      <c r="CF7" s="16" t="s">
        <v>52</v>
      </c>
      <c r="CG7" s="16" t="s">
        <v>52</v>
      </c>
      <c r="CH7" s="16" t="s">
        <v>52</v>
      </c>
      <c r="CI7" s="16" t="s">
        <v>52</v>
      </c>
      <c r="CJ7" s="25">
        <v>-25.776000000000003</v>
      </c>
      <c r="CK7" s="5" t="s">
        <v>140</v>
      </c>
      <c r="CL7" s="30" t="s">
        <v>141</v>
      </c>
      <c r="CM7" s="17" t="s">
        <v>52</v>
      </c>
      <c r="CN7" s="77" t="s">
        <v>52</v>
      </c>
      <c r="CO7" s="17" t="s">
        <v>52</v>
      </c>
      <c r="CP7" s="25">
        <v>-6.46</v>
      </c>
      <c r="CQ7" s="5" t="s">
        <v>143</v>
      </c>
      <c r="CR7" s="29" t="s">
        <v>142</v>
      </c>
      <c r="CS7" s="75" t="s">
        <v>52</v>
      </c>
      <c r="CT7" s="78" t="s">
        <v>52</v>
      </c>
      <c r="CU7" s="24" t="s">
        <v>52</v>
      </c>
      <c r="CV7" s="31">
        <v>16.350000000000001</v>
      </c>
      <c r="CW7" s="5" t="s">
        <v>144</v>
      </c>
      <c r="CX7" s="17" t="s">
        <v>52</v>
      </c>
      <c r="CY7" s="17" t="s">
        <v>52</v>
      </c>
      <c r="CZ7" s="17" t="s">
        <v>52</v>
      </c>
      <c r="DA7" s="40" t="s">
        <v>52</v>
      </c>
      <c r="DB7" s="30" t="s">
        <v>145</v>
      </c>
      <c r="DC7" s="25">
        <v>-20.698</v>
      </c>
      <c r="DD7" s="17" t="s">
        <v>52</v>
      </c>
      <c r="DE7" s="17" t="s">
        <v>52</v>
      </c>
      <c r="DF7" s="17" t="s">
        <v>52</v>
      </c>
      <c r="DG7" s="17" t="s">
        <v>52</v>
      </c>
      <c r="DH7" s="17" t="s">
        <v>52</v>
      </c>
      <c r="DI7" s="17" t="s">
        <v>52</v>
      </c>
      <c r="DJ7" s="17" t="s">
        <v>52</v>
      </c>
      <c r="DK7" s="17" t="s">
        <v>52</v>
      </c>
      <c r="DL7" s="66" t="s">
        <v>52</v>
      </c>
      <c r="DM7" s="17">
        <v>6000</v>
      </c>
      <c r="DN7" s="5" t="s">
        <v>129</v>
      </c>
      <c r="DO7" s="17">
        <v>1000</v>
      </c>
      <c r="DP7" s="17">
        <v>1000</v>
      </c>
      <c r="DQ7" s="77" t="s">
        <v>129</v>
      </c>
      <c r="DR7" s="17" t="s">
        <v>146</v>
      </c>
      <c r="DS7" s="18" t="s">
        <v>43</v>
      </c>
      <c r="DT7" s="18" t="s">
        <v>52</v>
      </c>
      <c r="DU7" s="18" t="s">
        <v>52</v>
      </c>
      <c r="DV7" s="18" t="s">
        <v>52</v>
      </c>
      <c r="DW7" s="18" t="s">
        <v>52</v>
      </c>
      <c r="DX7" s="6" t="s">
        <v>44</v>
      </c>
      <c r="DY7" s="18" t="s">
        <v>42</v>
      </c>
      <c r="DZ7" s="18" t="s">
        <v>52</v>
      </c>
      <c r="EA7" s="18" t="s">
        <v>52</v>
      </c>
      <c r="EB7" s="34" t="s">
        <v>52</v>
      </c>
      <c r="EC7" s="34" t="s">
        <v>52</v>
      </c>
      <c r="ED7" s="34" t="s">
        <v>52</v>
      </c>
      <c r="EE7" s="19" t="s">
        <v>41</v>
      </c>
      <c r="EF7" s="18" t="s">
        <v>52</v>
      </c>
      <c r="EG7" s="35">
        <v>333.50796460177099</v>
      </c>
      <c r="EH7" s="94" t="s">
        <v>52</v>
      </c>
      <c r="EI7" s="35">
        <v>55.584660766961861</v>
      </c>
      <c r="EJ7" s="35">
        <v>55.584660766961804</v>
      </c>
      <c r="EK7" s="7" t="s">
        <v>147</v>
      </c>
      <c r="EL7" s="7" t="s">
        <v>148</v>
      </c>
      <c r="EM7" s="7" t="s">
        <v>148</v>
      </c>
      <c r="EN7" s="35" t="s">
        <v>128</v>
      </c>
      <c r="EO7" s="35" t="s">
        <v>128</v>
      </c>
      <c r="EP7" s="26" t="s">
        <v>203</v>
      </c>
    </row>
    <row r="8" spans="1:146" x14ac:dyDescent="0.2">
      <c r="A8" s="98" t="s">
        <v>188</v>
      </c>
      <c r="B8" s="32" t="s">
        <v>189</v>
      </c>
      <c r="C8" s="45" t="s">
        <v>53</v>
      </c>
      <c r="D8" s="45" t="s">
        <v>137</v>
      </c>
      <c r="E8" s="45">
        <v>2003</v>
      </c>
      <c r="F8" s="38" t="s">
        <v>138</v>
      </c>
      <c r="G8" s="45">
        <f t="shared" si="0"/>
        <v>64269.999999999993</v>
      </c>
      <c r="H8" s="45" t="s">
        <v>52</v>
      </c>
      <c r="I8" s="45" t="s">
        <v>52</v>
      </c>
      <c r="J8" s="93">
        <v>532.57771100002969</v>
      </c>
      <c r="K8" s="93">
        <v>88.76295183333832</v>
      </c>
      <c r="L8" s="93">
        <v>88.76295183333832</v>
      </c>
      <c r="M8" s="113" t="b">
        <v>1</v>
      </c>
      <c r="N8" s="113">
        <v>3</v>
      </c>
      <c r="O8" s="121" t="s">
        <v>204</v>
      </c>
      <c r="P8" s="113" t="b">
        <v>0</v>
      </c>
      <c r="Q8" s="113" t="b">
        <v>0</v>
      </c>
      <c r="R8" s="113" t="s">
        <v>52</v>
      </c>
      <c r="S8" s="113" t="b">
        <v>1</v>
      </c>
      <c r="T8" s="113" t="b">
        <v>0</v>
      </c>
      <c r="U8" s="113" t="s">
        <v>52</v>
      </c>
      <c r="V8" s="113" t="b">
        <v>0</v>
      </c>
      <c r="W8" s="113" t="b">
        <v>0</v>
      </c>
      <c r="X8" s="113" t="s">
        <v>52</v>
      </c>
      <c r="Y8" s="111" t="s">
        <v>139</v>
      </c>
      <c r="Z8" s="38" t="s">
        <v>138</v>
      </c>
      <c r="AA8" s="37" t="s">
        <v>142</v>
      </c>
      <c r="AB8" s="41" t="s">
        <v>149</v>
      </c>
      <c r="AC8" s="23" t="s">
        <v>156</v>
      </c>
      <c r="AD8" s="99" t="s">
        <v>52</v>
      </c>
      <c r="AE8" s="86">
        <v>29.3</v>
      </c>
      <c r="AF8" s="23">
        <v>-103.52</v>
      </c>
      <c r="AG8" s="33" t="s">
        <v>52</v>
      </c>
      <c r="AH8" s="33" t="s">
        <v>52</v>
      </c>
      <c r="AI8" s="33" t="s">
        <v>52</v>
      </c>
      <c r="AJ8" s="28">
        <v>64.27</v>
      </c>
      <c r="AK8" s="23" t="s">
        <v>52</v>
      </c>
      <c r="AL8" s="23" t="s">
        <v>52</v>
      </c>
      <c r="AM8" s="43" t="s">
        <v>150</v>
      </c>
      <c r="AN8" s="21">
        <v>-10.74</v>
      </c>
      <c r="AO8" s="21">
        <v>0.10000000000000142</v>
      </c>
      <c r="AP8" s="36">
        <v>3</v>
      </c>
      <c r="AQ8" s="87" t="s">
        <v>52</v>
      </c>
      <c r="AR8" s="20" t="s">
        <v>52</v>
      </c>
      <c r="AS8" s="20" t="s">
        <v>52</v>
      </c>
      <c r="AT8" s="16" t="s">
        <v>52</v>
      </c>
      <c r="AU8" s="16" t="s">
        <v>52</v>
      </c>
      <c r="AV8" s="16" t="s">
        <v>52</v>
      </c>
      <c r="AW8" s="16" t="s">
        <v>52</v>
      </c>
      <c r="AX8" s="88" t="s">
        <v>52</v>
      </c>
      <c r="AY8" s="16" t="s">
        <v>52</v>
      </c>
      <c r="AZ8" s="16" t="s">
        <v>52</v>
      </c>
      <c r="BA8" s="16" t="s">
        <v>52</v>
      </c>
      <c r="BB8" s="39" t="s">
        <v>52</v>
      </c>
      <c r="BC8" s="39" t="s">
        <v>52</v>
      </c>
      <c r="BD8" s="39" t="s">
        <v>52</v>
      </c>
      <c r="BE8" s="39">
        <v>3</v>
      </c>
      <c r="BF8" s="39" t="s">
        <v>52</v>
      </c>
      <c r="BG8" s="16" t="s">
        <v>52</v>
      </c>
      <c r="BH8" s="16" t="s">
        <v>52</v>
      </c>
      <c r="BI8" s="16" t="s">
        <v>52</v>
      </c>
      <c r="BJ8" s="39" t="s">
        <v>52</v>
      </c>
      <c r="BK8" s="36" t="s">
        <v>151</v>
      </c>
      <c r="BL8" s="16" t="s">
        <v>52</v>
      </c>
      <c r="BM8" s="16" t="s">
        <v>52</v>
      </c>
      <c r="BN8" s="16" t="s">
        <v>52</v>
      </c>
      <c r="BO8" s="16" t="s">
        <v>52</v>
      </c>
      <c r="BP8" s="16" t="s">
        <v>52</v>
      </c>
      <c r="BQ8" s="16" t="s">
        <v>52</v>
      </c>
      <c r="BR8" s="16" t="s">
        <v>52</v>
      </c>
      <c r="BS8" s="16" t="s">
        <v>52</v>
      </c>
      <c r="BT8" s="16" t="s">
        <v>52</v>
      </c>
      <c r="BU8" s="16" t="s">
        <v>52</v>
      </c>
      <c r="BV8" s="16" t="s">
        <v>52</v>
      </c>
      <c r="BW8" s="16" t="s">
        <v>52</v>
      </c>
      <c r="BX8" s="16" t="s">
        <v>52</v>
      </c>
      <c r="BY8" s="16" t="s">
        <v>52</v>
      </c>
      <c r="BZ8" s="16" t="s">
        <v>52</v>
      </c>
      <c r="CA8" s="16" t="s">
        <v>52</v>
      </c>
      <c r="CB8" s="16" t="s">
        <v>52</v>
      </c>
      <c r="CC8" s="16" t="s">
        <v>52</v>
      </c>
      <c r="CD8" s="16" t="s">
        <v>52</v>
      </c>
      <c r="CE8" s="16" t="s">
        <v>52</v>
      </c>
      <c r="CF8" s="16" t="s">
        <v>52</v>
      </c>
      <c r="CG8" s="16" t="s">
        <v>52</v>
      </c>
      <c r="CH8" s="16" t="s">
        <v>52</v>
      </c>
      <c r="CI8" s="16" t="s">
        <v>52</v>
      </c>
      <c r="CJ8" s="25">
        <v>-26.227000000000004</v>
      </c>
      <c r="CK8" s="5" t="s">
        <v>140</v>
      </c>
      <c r="CL8" s="30" t="s">
        <v>141</v>
      </c>
      <c r="CM8" s="17" t="s">
        <v>52</v>
      </c>
      <c r="CN8" s="77" t="s">
        <v>52</v>
      </c>
      <c r="CO8" s="17" t="s">
        <v>52</v>
      </c>
      <c r="CP8" s="25">
        <v>-6.87</v>
      </c>
      <c r="CQ8" s="5" t="s">
        <v>143</v>
      </c>
      <c r="CR8" s="29" t="s">
        <v>142</v>
      </c>
      <c r="CS8" s="75" t="s">
        <v>52</v>
      </c>
      <c r="CT8" s="78" t="s">
        <v>52</v>
      </c>
      <c r="CU8" s="24" t="s">
        <v>52</v>
      </c>
      <c r="CV8" s="31">
        <v>16.72</v>
      </c>
      <c r="CW8" s="5" t="s">
        <v>144</v>
      </c>
      <c r="CX8" s="17" t="s">
        <v>52</v>
      </c>
      <c r="CY8" s="17" t="s">
        <v>52</v>
      </c>
      <c r="CZ8" s="17" t="s">
        <v>52</v>
      </c>
      <c r="DA8" s="40" t="s">
        <v>52</v>
      </c>
      <c r="DB8" s="30" t="s">
        <v>145</v>
      </c>
      <c r="DC8" s="25">
        <v>-20.7136</v>
      </c>
      <c r="DD8" s="17" t="s">
        <v>52</v>
      </c>
      <c r="DE8" s="17" t="s">
        <v>52</v>
      </c>
      <c r="DF8" s="17" t="s">
        <v>52</v>
      </c>
      <c r="DG8" s="17" t="s">
        <v>52</v>
      </c>
      <c r="DH8" s="17" t="s">
        <v>52</v>
      </c>
      <c r="DI8" s="17" t="s">
        <v>52</v>
      </c>
      <c r="DJ8" s="17" t="s">
        <v>52</v>
      </c>
      <c r="DK8" s="17" t="s">
        <v>52</v>
      </c>
      <c r="DL8" s="66" t="s">
        <v>52</v>
      </c>
      <c r="DM8" s="17">
        <v>6000</v>
      </c>
      <c r="DN8" s="5" t="s">
        <v>129</v>
      </c>
      <c r="DO8" s="17">
        <v>1000</v>
      </c>
      <c r="DP8" s="17">
        <v>1000</v>
      </c>
      <c r="DQ8" s="77" t="s">
        <v>129</v>
      </c>
      <c r="DR8" s="17" t="s">
        <v>146</v>
      </c>
      <c r="DS8" s="18" t="s">
        <v>43</v>
      </c>
      <c r="DT8" s="18" t="s">
        <v>52</v>
      </c>
      <c r="DU8" s="18" t="s">
        <v>52</v>
      </c>
      <c r="DV8" s="18" t="s">
        <v>52</v>
      </c>
      <c r="DW8" s="18" t="s">
        <v>52</v>
      </c>
      <c r="DX8" s="6" t="s">
        <v>44</v>
      </c>
      <c r="DY8" s="18" t="s">
        <v>42</v>
      </c>
      <c r="DZ8" s="18" t="s">
        <v>52</v>
      </c>
      <c r="EA8" s="18" t="s">
        <v>52</v>
      </c>
      <c r="EB8" s="34" t="s">
        <v>52</v>
      </c>
      <c r="EC8" s="34" t="s">
        <v>52</v>
      </c>
      <c r="ED8" s="34" t="s">
        <v>52</v>
      </c>
      <c r="EE8" s="19" t="s">
        <v>41</v>
      </c>
      <c r="EF8" s="18" t="s">
        <v>52</v>
      </c>
      <c r="EG8" s="35">
        <v>532.57771100002969</v>
      </c>
      <c r="EH8" s="94" t="s">
        <v>52</v>
      </c>
      <c r="EI8" s="35">
        <v>88.76295183333832</v>
      </c>
      <c r="EJ8" s="35">
        <v>88.76295183333832</v>
      </c>
      <c r="EK8" s="7" t="s">
        <v>147</v>
      </c>
      <c r="EL8" s="7" t="s">
        <v>148</v>
      </c>
      <c r="EM8" s="7" t="s">
        <v>148</v>
      </c>
      <c r="EN8" s="35" t="s">
        <v>128</v>
      </c>
      <c r="EO8" s="35" t="s">
        <v>128</v>
      </c>
      <c r="EP8" s="26" t="s">
        <v>203</v>
      </c>
    </row>
    <row r="9" spans="1:146" x14ac:dyDescent="0.2">
      <c r="A9" s="98" t="s">
        <v>188</v>
      </c>
      <c r="B9" s="32" t="s">
        <v>189</v>
      </c>
      <c r="C9" s="45" t="s">
        <v>53</v>
      </c>
      <c r="D9" s="45" t="s">
        <v>137</v>
      </c>
      <c r="E9" s="45">
        <v>2003</v>
      </c>
      <c r="F9" s="38" t="s">
        <v>138</v>
      </c>
      <c r="G9" s="45">
        <f t="shared" si="0"/>
        <v>64410</v>
      </c>
      <c r="H9" s="45" t="s">
        <v>52</v>
      </c>
      <c r="I9" s="45" t="s">
        <v>52</v>
      </c>
      <c r="J9" s="93">
        <v>161.25557825909371</v>
      </c>
      <c r="K9" s="93">
        <v>26.875929709848947</v>
      </c>
      <c r="L9" s="93">
        <v>26.875929709848975</v>
      </c>
      <c r="M9" s="113" t="b">
        <v>1</v>
      </c>
      <c r="N9" s="113">
        <v>3</v>
      </c>
      <c r="O9" s="121" t="s">
        <v>204</v>
      </c>
      <c r="P9" s="113" t="b">
        <v>0</v>
      </c>
      <c r="Q9" s="113" t="b">
        <v>0</v>
      </c>
      <c r="R9" s="113" t="s">
        <v>52</v>
      </c>
      <c r="S9" s="113" t="b">
        <v>1</v>
      </c>
      <c r="T9" s="113" t="b">
        <v>0</v>
      </c>
      <c r="U9" s="113" t="s">
        <v>52</v>
      </c>
      <c r="V9" s="113" t="b">
        <v>0</v>
      </c>
      <c r="W9" s="113" t="b">
        <v>0</v>
      </c>
      <c r="X9" s="113" t="s">
        <v>52</v>
      </c>
      <c r="Y9" s="111" t="s">
        <v>139</v>
      </c>
      <c r="Z9" s="38" t="s">
        <v>138</v>
      </c>
      <c r="AA9" s="37" t="s">
        <v>142</v>
      </c>
      <c r="AB9" s="41" t="s">
        <v>149</v>
      </c>
      <c r="AC9" s="23" t="s">
        <v>157</v>
      </c>
      <c r="AD9" s="99" t="s">
        <v>52</v>
      </c>
      <c r="AE9" s="86">
        <v>29.3</v>
      </c>
      <c r="AF9" s="23">
        <v>-103.52</v>
      </c>
      <c r="AG9" s="33" t="s">
        <v>52</v>
      </c>
      <c r="AH9" s="33" t="s">
        <v>52</v>
      </c>
      <c r="AI9" s="33" t="s">
        <v>52</v>
      </c>
      <c r="AJ9" s="28">
        <v>64.41</v>
      </c>
      <c r="AK9" s="23" t="s">
        <v>52</v>
      </c>
      <c r="AL9" s="23" t="s">
        <v>52</v>
      </c>
      <c r="AM9" s="43" t="s">
        <v>150</v>
      </c>
      <c r="AN9" s="21">
        <v>-11.67</v>
      </c>
      <c r="AO9" s="21">
        <v>0.66000000000000014</v>
      </c>
      <c r="AP9" s="36">
        <v>3</v>
      </c>
      <c r="AQ9" s="87" t="s">
        <v>52</v>
      </c>
      <c r="AR9" s="20" t="s">
        <v>52</v>
      </c>
      <c r="AS9" s="20" t="s">
        <v>52</v>
      </c>
      <c r="AT9" s="16" t="s">
        <v>52</v>
      </c>
      <c r="AU9" s="16" t="s">
        <v>52</v>
      </c>
      <c r="AV9" s="16" t="s">
        <v>52</v>
      </c>
      <c r="AW9" s="16" t="s">
        <v>52</v>
      </c>
      <c r="AX9" s="88" t="s">
        <v>52</v>
      </c>
      <c r="AY9" s="16" t="s">
        <v>52</v>
      </c>
      <c r="AZ9" s="16" t="s">
        <v>52</v>
      </c>
      <c r="BA9" s="16" t="s">
        <v>52</v>
      </c>
      <c r="BB9" s="39" t="s">
        <v>52</v>
      </c>
      <c r="BC9" s="39" t="s">
        <v>52</v>
      </c>
      <c r="BD9" s="39" t="s">
        <v>52</v>
      </c>
      <c r="BE9" s="39">
        <v>3</v>
      </c>
      <c r="BF9" s="39" t="s">
        <v>52</v>
      </c>
      <c r="BG9" s="16" t="s">
        <v>52</v>
      </c>
      <c r="BH9" s="16" t="s">
        <v>52</v>
      </c>
      <c r="BI9" s="16" t="s">
        <v>52</v>
      </c>
      <c r="BJ9" s="39" t="s">
        <v>52</v>
      </c>
      <c r="BK9" s="36" t="s">
        <v>151</v>
      </c>
      <c r="BL9" s="16" t="s">
        <v>52</v>
      </c>
      <c r="BM9" s="16" t="s">
        <v>52</v>
      </c>
      <c r="BN9" s="16" t="s">
        <v>52</v>
      </c>
      <c r="BO9" s="16" t="s">
        <v>52</v>
      </c>
      <c r="BP9" s="16" t="s">
        <v>52</v>
      </c>
      <c r="BQ9" s="16" t="s">
        <v>52</v>
      </c>
      <c r="BR9" s="16" t="s">
        <v>52</v>
      </c>
      <c r="BS9" s="16" t="s">
        <v>52</v>
      </c>
      <c r="BT9" s="16" t="s">
        <v>52</v>
      </c>
      <c r="BU9" s="16" t="s">
        <v>52</v>
      </c>
      <c r="BV9" s="16" t="s">
        <v>52</v>
      </c>
      <c r="BW9" s="16" t="s">
        <v>52</v>
      </c>
      <c r="BX9" s="16" t="s">
        <v>52</v>
      </c>
      <c r="BY9" s="16" t="s">
        <v>52</v>
      </c>
      <c r="BZ9" s="16" t="s">
        <v>52</v>
      </c>
      <c r="CA9" s="16" t="s">
        <v>52</v>
      </c>
      <c r="CB9" s="16" t="s">
        <v>52</v>
      </c>
      <c r="CC9" s="16" t="s">
        <v>52</v>
      </c>
      <c r="CD9" s="16" t="s">
        <v>52</v>
      </c>
      <c r="CE9" s="16" t="s">
        <v>52</v>
      </c>
      <c r="CF9" s="16" t="s">
        <v>52</v>
      </c>
      <c r="CG9" s="16" t="s">
        <v>52</v>
      </c>
      <c r="CH9" s="16" t="s">
        <v>52</v>
      </c>
      <c r="CI9" s="16" t="s">
        <v>52</v>
      </c>
      <c r="CJ9" s="25">
        <v>-26.271000000000001</v>
      </c>
      <c r="CK9" s="5" t="s">
        <v>140</v>
      </c>
      <c r="CL9" s="30" t="s">
        <v>141</v>
      </c>
      <c r="CM9" s="17" t="s">
        <v>52</v>
      </c>
      <c r="CN9" s="77" t="s">
        <v>52</v>
      </c>
      <c r="CO9" s="17" t="s">
        <v>52</v>
      </c>
      <c r="CP9" s="25">
        <v>-6.91</v>
      </c>
      <c r="CQ9" s="5" t="s">
        <v>143</v>
      </c>
      <c r="CR9" s="29" t="s">
        <v>142</v>
      </c>
      <c r="CS9" s="75" t="s">
        <v>52</v>
      </c>
      <c r="CT9" s="78" t="s">
        <v>52</v>
      </c>
      <c r="CU9" s="24" t="s">
        <v>52</v>
      </c>
      <c r="CV9" s="31">
        <v>17.149999999999999</v>
      </c>
      <c r="CW9" s="5" t="s">
        <v>144</v>
      </c>
      <c r="CX9" s="17" t="s">
        <v>52</v>
      </c>
      <c r="CY9" s="17" t="s">
        <v>52</v>
      </c>
      <c r="CZ9" s="17" t="s">
        <v>52</v>
      </c>
      <c r="DA9" s="40" t="s">
        <v>52</v>
      </c>
      <c r="DB9" s="30" t="s">
        <v>145</v>
      </c>
      <c r="DC9" s="25">
        <v>-21.591999999999999</v>
      </c>
      <c r="DD9" s="17" t="s">
        <v>52</v>
      </c>
      <c r="DE9" s="17" t="s">
        <v>52</v>
      </c>
      <c r="DF9" s="17" t="s">
        <v>52</v>
      </c>
      <c r="DG9" s="17" t="s">
        <v>52</v>
      </c>
      <c r="DH9" s="17" t="s">
        <v>52</v>
      </c>
      <c r="DI9" s="17" t="s">
        <v>52</v>
      </c>
      <c r="DJ9" s="17" t="s">
        <v>52</v>
      </c>
      <c r="DK9" s="17" t="s">
        <v>52</v>
      </c>
      <c r="DL9" s="66" t="s">
        <v>52</v>
      </c>
      <c r="DM9" s="17">
        <v>6000</v>
      </c>
      <c r="DN9" s="5" t="s">
        <v>129</v>
      </c>
      <c r="DO9" s="17">
        <v>1000</v>
      </c>
      <c r="DP9" s="17">
        <v>1000</v>
      </c>
      <c r="DQ9" s="77" t="s">
        <v>129</v>
      </c>
      <c r="DR9" s="17" t="s">
        <v>146</v>
      </c>
      <c r="DS9" s="18" t="s">
        <v>43</v>
      </c>
      <c r="DT9" s="18" t="s">
        <v>52</v>
      </c>
      <c r="DU9" s="18" t="s">
        <v>52</v>
      </c>
      <c r="DV9" s="18" t="s">
        <v>52</v>
      </c>
      <c r="DW9" s="18" t="s">
        <v>52</v>
      </c>
      <c r="DX9" s="6" t="s">
        <v>44</v>
      </c>
      <c r="DY9" s="18" t="s">
        <v>42</v>
      </c>
      <c r="DZ9" s="18" t="s">
        <v>52</v>
      </c>
      <c r="EA9" s="18" t="s">
        <v>52</v>
      </c>
      <c r="EB9" s="34" t="s">
        <v>52</v>
      </c>
      <c r="EC9" s="34" t="s">
        <v>52</v>
      </c>
      <c r="ED9" s="34" t="s">
        <v>52</v>
      </c>
      <c r="EE9" s="19" t="s">
        <v>41</v>
      </c>
      <c r="EF9" s="18" t="s">
        <v>52</v>
      </c>
      <c r="EG9" s="35">
        <v>161.25557825909371</v>
      </c>
      <c r="EH9" s="94" t="s">
        <v>52</v>
      </c>
      <c r="EI9" s="35">
        <v>26.875929709848947</v>
      </c>
      <c r="EJ9" s="35">
        <v>26.875929709848975</v>
      </c>
      <c r="EK9" s="7" t="s">
        <v>147</v>
      </c>
      <c r="EL9" s="7" t="s">
        <v>148</v>
      </c>
      <c r="EM9" s="7" t="s">
        <v>148</v>
      </c>
      <c r="EN9" s="35" t="s">
        <v>128</v>
      </c>
      <c r="EO9" s="35" t="s">
        <v>128</v>
      </c>
      <c r="EP9" s="26" t="s">
        <v>203</v>
      </c>
    </row>
    <row r="10" spans="1:146" x14ac:dyDescent="0.2">
      <c r="A10" s="98" t="s">
        <v>188</v>
      </c>
      <c r="B10" s="32" t="s">
        <v>189</v>
      </c>
      <c r="C10" s="45" t="s">
        <v>53</v>
      </c>
      <c r="D10" s="45" t="s">
        <v>137</v>
      </c>
      <c r="E10" s="45">
        <v>2003</v>
      </c>
      <c r="F10" s="38" t="s">
        <v>138</v>
      </c>
      <c r="G10" s="45">
        <f t="shared" si="0"/>
        <v>64580</v>
      </c>
      <c r="H10" s="45" t="s">
        <v>52</v>
      </c>
      <c r="I10" s="45" t="s">
        <v>52</v>
      </c>
      <c r="J10" s="93">
        <v>549.342896887498</v>
      </c>
      <c r="K10" s="93">
        <v>91.557149481249667</v>
      </c>
      <c r="L10" s="93">
        <v>91.557149481249667</v>
      </c>
      <c r="M10" s="113" t="b">
        <v>1</v>
      </c>
      <c r="N10" s="113">
        <v>3</v>
      </c>
      <c r="O10" s="121" t="s">
        <v>204</v>
      </c>
      <c r="P10" s="113" t="b">
        <v>0</v>
      </c>
      <c r="Q10" s="113" t="b">
        <v>0</v>
      </c>
      <c r="R10" s="113" t="s">
        <v>52</v>
      </c>
      <c r="S10" s="113" t="b">
        <v>1</v>
      </c>
      <c r="T10" s="113" t="b">
        <v>0</v>
      </c>
      <c r="U10" s="113" t="s">
        <v>52</v>
      </c>
      <c r="V10" s="113" t="b">
        <v>0</v>
      </c>
      <c r="W10" s="113" t="b">
        <v>0</v>
      </c>
      <c r="X10" s="113" t="s">
        <v>52</v>
      </c>
      <c r="Y10" s="111" t="s">
        <v>139</v>
      </c>
      <c r="Z10" s="38" t="s">
        <v>138</v>
      </c>
      <c r="AA10" s="37" t="s">
        <v>142</v>
      </c>
      <c r="AB10" s="41" t="s">
        <v>149</v>
      </c>
      <c r="AC10" s="23" t="s">
        <v>158</v>
      </c>
      <c r="AD10" s="99" t="s">
        <v>52</v>
      </c>
      <c r="AE10" s="86">
        <v>29.3</v>
      </c>
      <c r="AF10" s="23">
        <v>-103.52</v>
      </c>
      <c r="AG10" s="33" t="s">
        <v>52</v>
      </c>
      <c r="AH10" s="33" t="s">
        <v>52</v>
      </c>
      <c r="AI10" s="33" t="s">
        <v>52</v>
      </c>
      <c r="AJ10" s="28">
        <v>64.58</v>
      </c>
      <c r="AK10" s="23" t="s">
        <v>52</v>
      </c>
      <c r="AL10" s="23" t="s">
        <v>52</v>
      </c>
      <c r="AM10" s="43" t="s">
        <v>150</v>
      </c>
      <c r="AN10" s="21">
        <v>-10.64</v>
      </c>
      <c r="AO10" s="21">
        <v>0.80000000000000071</v>
      </c>
      <c r="AP10" s="36">
        <v>3</v>
      </c>
      <c r="AQ10" s="87" t="s">
        <v>52</v>
      </c>
      <c r="AR10" s="20" t="s">
        <v>52</v>
      </c>
      <c r="AS10" s="20" t="s">
        <v>52</v>
      </c>
      <c r="AT10" s="16" t="s">
        <v>52</v>
      </c>
      <c r="AU10" s="16" t="s">
        <v>52</v>
      </c>
      <c r="AV10" s="16" t="s">
        <v>52</v>
      </c>
      <c r="AW10" s="16" t="s">
        <v>52</v>
      </c>
      <c r="AX10" s="88" t="s">
        <v>52</v>
      </c>
      <c r="AY10" s="16" t="s">
        <v>52</v>
      </c>
      <c r="AZ10" s="16" t="s">
        <v>52</v>
      </c>
      <c r="BA10" s="16" t="s">
        <v>52</v>
      </c>
      <c r="BB10" s="39" t="s">
        <v>52</v>
      </c>
      <c r="BC10" s="39" t="s">
        <v>52</v>
      </c>
      <c r="BD10" s="39" t="s">
        <v>52</v>
      </c>
      <c r="BE10" s="39">
        <v>3</v>
      </c>
      <c r="BF10" s="39" t="s">
        <v>52</v>
      </c>
      <c r="BG10" s="16" t="s">
        <v>52</v>
      </c>
      <c r="BH10" s="16" t="s">
        <v>52</v>
      </c>
      <c r="BI10" s="16" t="s">
        <v>52</v>
      </c>
      <c r="BJ10" s="39" t="s">
        <v>52</v>
      </c>
      <c r="BK10" s="36" t="s">
        <v>151</v>
      </c>
      <c r="BL10" s="16" t="s">
        <v>52</v>
      </c>
      <c r="BM10" s="16" t="s">
        <v>52</v>
      </c>
      <c r="BN10" s="16" t="s">
        <v>52</v>
      </c>
      <c r="BO10" s="16" t="s">
        <v>52</v>
      </c>
      <c r="BP10" s="16" t="s">
        <v>52</v>
      </c>
      <c r="BQ10" s="16" t="s">
        <v>52</v>
      </c>
      <c r="BR10" s="16" t="s">
        <v>52</v>
      </c>
      <c r="BS10" s="16" t="s">
        <v>52</v>
      </c>
      <c r="BT10" s="16" t="s">
        <v>52</v>
      </c>
      <c r="BU10" s="16" t="s">
        <v>52</v>
      </c>
      <c r="BV10" s="16" t="s">
        <v>52</v>
      </c>
      <c r="BW10" s="16" t="s">
        <v>52</v>
      </c>
      <c r="BX10" s="16" t="s">
        <v>52</v>
      </c>
      <c r="BY10" s="16" t="s">
        <v>52</v>
      </c>
      <c r="BZ10" s="16" t="s">
        <v>52</v>
      </c>
      <c r="CA10" s="16" t="s">
        <v>52</v>
      </c>
      <c r="CB10" s="16" t="s">
        <v>52</v>
      </c>
      <c r="CC10" s="16" t="s">
        <v>52</v>
      </c>
      <c r="CD10" s="16" t="s">
        <v>52</v>
      </c>
      <c r="CE10" s="16" t="s">
        <v>52</v>
      </c>
      <c r="CF10" s="16" t="s">
        <v>52</v>
      </c>
      <c r="CG10" s="16" t="s">
        <v>52</v>
      </c>
      <c r="CH10" s="16" t="s">
        <v>52</v>
      </c>
      <c r="CI10" s="16" t="s">
        <v>52</v>
      </c>
      <c r="CJ10" s="25">
        <v>-26.161000000000001</v>
      </c>
      <c r="CK10" s="5" t="s">
        <v>140</v>
      </c>
      <c r="CL10" s="30" t="s">
        <v>141</v>
      </c>
      <c r="CM10" s="17" t="s">
        <v>52</v>
      </c>
      <c r="CN10" s="77" t="s">
        <v>52</v>
      </c>
      <c r="CO10" s="17" t="s">
        <v>52</v>
      </c>
      <c r="CP10" s="25">
        <v>-6.8100000000000005</v>
      </c>
      <c r="CQ10" s="5" t="s">
        <v>143</v>
      </c>
      <c r="CR10" s="29" t="s">
        <v>142</v>
      </c>
      <c r="CS10" s="75" t="s">
        <v>52</v>
      </c>
      <c r="CT10" s="78" t="s">
        <v>52</v>
      </c>
      <c r="CU10" s="24" t="s">
        <v>52</v>
      </c>
      <c r="CV10" s="31">
        <v>16.73</v>
      </c>
      <c r="CW10" s="5" t="s">
        <v>144</v>
      </c>
      <c r="CX10" s="17" t="s">
        <v>52</v>
      </c>
      <c r="CY10" s="17" t="s">
        <v>52</v>
      </c>
      <c r="CZ10" s="17" t="s">
        <v>52</v>
      </c>
      <c r="DA10" s="40" t="s">
        <v>52</v>
      </c>
      <c r="DB10" s="30" t="s">
        <v>145</v>
      </c>
      <c r="DC10" s="25">
        <v>-20.612400000000001</v>
      </c>
      <c r="DD10" s="17" t="s">
        <v>52</v>
      </c>
      <c r="DE10" s="17" t="s">
        <v>52</v>
      </c>
      <c r="DF10" s="17" t="s">
        <v>52</v>
      </c>
      <c r="DG10" s="17" t="s">
        <v>52</v>
      </c>
      <c r="DH10" s="17" t="s">
        <v>52</v>
      </c>
      <c r="DI10" s="17" t="s">
        <v>52</v>
      </c>
      <c r="DJ10" s="17" t="s">
        <v>52</v>
      </c>
      <c r="DK10" s="17" t="s">
        <v>52</v>
      </c>
      <c r="DL10" s="66" t="s">
        <v>52</v>
      </c>
      <c r="DM10" s="17">
        <v>6000</v>
      </c>
      <c r="DN10" s="5" t="s">
        <v>129</v>
      </c>
      <c r="DO10" s="17">
        <v>1000</v>
      </c>
      <c r="DP10" s="17">
        <v>1000</v>
      </c>
      <c r="DQ10" s="77" t="s">
        <v>129</v>
      </c>
      <c r="DR10" s="17" t="s">
        <v>146</v>
      </c>
      <c r="DS10" s="18" t="s">
        <v>43</v>
      </c>
      <c r="DT10" s="18" t="s">
        <v>52</v>
      </c>
      <c r="DU10" s="18" t="s">
        <v>52</v>
      </c>
      <c r="DV10" s="18" t="s">
        <v>52</v>
      </c>
      <c r="DW10" s="18" t="s">
        <v>52</v>
      </c>
      <c r="DX10" s="6" t="s">
        <v>44</v>
      </c>
      <c r="DY10" s="18" t="s">
        <v>42</v>
      </c>
      <c r="DZ10" s="18" t="s">
        <v>52</v>
      </c>
      <c r="EA10" s="18" t="s">
        <v>52</v>
      </c>
      <c r="EB10" s="34" t="s">
        <v>52</v>
      </c>
      <c r="EC10" s="34" t="s">
        <v>52</v>
      </c>
      <c r="ED10" s="34" t="s">
        <v>52</v>
      </c>
      <c r="EE10" s="19" t="s">
        <v>41</v>
      </c>
      <c r="EF10" s="18" t="s">
        <v>52</v>
      </c>
      <c r="EG10" s="35">
        <v>549.342896887498</v>
      </c>
      <c r="EH10" s="94" t="s">
        <v>52</v>
      </c>
      <c r="EI10" s="35">
        <v>91.557149481249667</v>
      </c>
      <c r="EJ10" s="35">
        <v>91.557149481249667</v>
      </c>
      <c r="EK10" s="7" t="s">
        <v>147</v>
      </c>
      <c r="EL10" s="7" t="s">
        <v>148</v>
      </c>
      <c r="EM10" s="7" t="s">
        <v>148</v>
      </c>
      <c r="EN10" s="35" t="s">
        <v>128</v>
      </c>
      <c r="EO10" s="35" t="s">
        <v>128</v>
      </c>
      <c r="EP10" s="26" t="s">
        <v>203</v>
      </c>
    </row>
    <row r="11" spans="1:146" x14ac:dyDescent="0.2">
      <c r="A11" s="98" t="s">
        <v>188</v>
      </c>
      <c r="B11" s="32" t="s">
        <v>189</v>
      </c>
      <c r="C11" s="45" t="s">
        <v>53</v>
      </c>
      <c r="D11" s="45" t="s">
        <v>137</v>
      </c>
      <c r="E11" s="45">
        <v>2003</v>
      </c>
      <c r="F11" s="38" t="s">
        <v>138</v>
      </c>
      <c r="G11" s="45">
        <f t="shared" si="0"/>
        <v>64739.999999999993</v>
      </c>
      <c r="H11" s="45" t="s">
        <v>52</v>
      </c>
      <c r="I11" s="45" t="s">
        <v>52</v>
      </c>
      <c r="J11" s="93">
        <v>831.99691470054506</v>
      </c>
      <c r="K11" s="93">
        <v>138.66615245009086</v>
      </c>
      <c r="L11" s="93">
        <v>138.66615245009086</v>
      </c>
      <c r="M11" s="113" t="b">
        <v>1</v>
      </c>
      <c r="N11" s="113">
        <v>3</v>
      </c>
      <c r="O11" s="121" t="s">
        <v>204</v>
      </c>
      <c r="P11" s="113" t="b">
        <v>0</v>
      </c>
      <c r="Q11" s="113" t="b">
        <v>0</v>
      </c>
      <c r="R11" s="113" t="s">
        <v>52</v>
      </c>
      <c r="S11" s="113" t="b">
        <v>1</v>
      </c>
      <c r="T11" s="113" t="b">
        <v>0</v>
      </c>
      <c r="U11" s="113" t="s">
        <v>52</v>
      </c>
      <c r="V11" s="113" t="b">
        <v>0</v>
      </c>
      <c r="W11" s="113" t="b">
        <v>0</v>
      </c>
      <c r="X11" s="113" t="s">
        <v>52</v>
      </c>
      <c r="Y11" s="111" t="s">
        <v>139</v>
      </c>
      <c r="Z11" s="38" t="s">
        <v>138</v>
      </c>
      <c r="AA11" s="37" t="s">
        <v>142</v>
      </c>
      <c r="AB11" s="41" t="s">
        <v>149</v>
      </c>
      <c r="AC11" s="23" t="s">
        <v>159</v>
      </c>
      <c r="AD11" s="99" t="s">
        <v>52</v>
      </c>
      <c r="AE11" s="86">
        <v>29.3</v>
      </c>
      <c r="AF11" s="23">
        <v>-103.52</v>
      </c>
      <c r="AG11" s="33" t="s">
        <v>52</v>
      </c>
      <c r="AH11" s="33" t="s">
        <v>52</v>
      </c>
      <c r="AI11" s="33" t="s">
        <v>52</v>
      </c>
      <c r="AJ11" s="28">
        <v>64.739999999999995</v>
      </c>
      <c r="AK11" s="23" t="s">
        <v>52</v>
      </c>
      <c r="AL11" s="23" t="s">
        <v>52</v>
      </c>
      <c r="AM11" s="43" t="s">
        <v>150</v>
      </c>
      <c r="AN11" s="21">
        <v>-10.050000000000001</v>
      </c>
      <c r="AO11" s="21">
        <v>0.42000000000000171</v>
      </c>
      <c r="AP11" s="36">
        <v>3</v>
      </c>
      <c r="AQ11" s="87" t="s">
        <v>52</v>
      </c>
      <c r="AR11" s="20" t="s">
        <v>52</v>
      </c>
      <c r="AS11" s="20" t="s">
        <v>52</v>
      </c>
      <c r="AT11" s="16" t="s">
        <v>52</v>
      </c>
      <c r="AU11" s="16" t="s">
        <v>52</v>
      </c>
      <c r="AV11" s="16" t="s">
        <v>52</v>
      </c>
      <c r="AW11" s="16" t="s">
        <v>52</v>
      </c>
      <c r="AX11" s="88" t="s">
        <v>52</v>
      </c>
      <c r="AY11" s="16" t="s">
        <v>52</v>
      </c>
      <c r="AZ11" s="16" t="s">
        <v>52</v>
      </c>
      <c r="BA11" s="16" t="s">
        <v>52</v>
      </c>
      <c r="BB11" s="39" t="s">
        <v>52</v>
      </c>
      <c r="BC11" s="39" t="s">
        <v>52</v>
      </c>
      <c r="BD11" s="39" t="s">
        <v>52</v>
      </c>
      <c r="BE11" s="39">
        <v>3</v>
      </c>
      <c r="BF11" s="39" t="s">
        <v>52</v>
      </c>
      <c r="BG11" s="16" t="s">
        <v>52</v>
      </c>
      <c r="BH11" s="16" t="s">
        <v>52</v>
      </c>
      <c r="BI11" s="16" t="s">
        <v>52</v>
      </c>
      <c r="BJ11" s="39" t="s">
        <v>52</v>
      </c>
      <c r="BK11" s="36" t="s">
        <v>151</v>
      </c>
      <c r="BL11" s="16" t="s">
        <v>52</v>
      </c>
      <c r="BM11" s="16" t="s">
        <v>52</v>
      </c>
      <c r="BN11" s="16" t="s">
        <v>52</v>
      </c>
      <c r="BO11" s="16" t="s">
        <v>52</v>
      </c>
      <c r="BP11" s="16" t="s">
        <v>52</v>
      </c>
      <c r="BQ11" s="16" t="s">
        <v>52</v>
      </c>
      <c r="BR11" s="16" t="s">
        <v>52</v>
      </c>
      <c r="BS11" s="16" t="s">
        <v>52</v>
      </c>
      <c r="BT11" s="16" t="s">
        <v>52</v>
      </c>
      <c r="BU11" s="16" t="s">
        <v>52</v>
      </c>
      <c r="BV11" s="16" t="s">
        <v>52</v>
      </c>
      <c r="BW11" s="16" t="s">
        <v>52</v>
      </c>
      <c r="BX11" s="16" t="s">
        <v>52</v>
      </c>
      <c r="BY11" s="16" t="s">
        <v>52</v>
      </c>
      <c r="BZ11" s="16" t="s">
        <v>52</v>
      </c>
      <c r="CA11" s="16" t="s">
        <v>52</v>
      </c>
      <c r="CB11" s="16" t="s">
        <v>52</v>
      </c>
      <c r="CC11" s="16" t="s">
        <v>52</v>
      </c>
      <c r="CD11" s="16" t="s">
        <v>52</v>
      </c>
      <c r="CE11" s="16" t="s">
        <v>52</v>
      </c>
      <c r="CF11" s="16" t="s">
        <v>52</v>
      </c>
      <c r="CG11" s="16" t="s">
        <v>52</v>
      </c>
      <c r="CH11" s="16" t="s">
        <v>52</v>
      </c>
      <c r="CI11" s="16" t="s">
        <v>52</v>
      </c>
      <c r="CJ11" s="25">
        <v>-26.073000000000004</v>
      </c>
      <c r="CK11" s="5" t="s">
        <v>140</v>
      </c>
      <c r="CL11" s="30" t="s">
        <v>141</v>
      </c>
      <c r="CM11" s="17" t="s">
        <v>52</v>
      </c>
      <c r="CN11" s="77" t="s">
        <v>52</v>
      </c>
      <c r="CO11" s="17" t="s">
        <v>52</v>
      </c>
      <c r="CP11" s="25">
        <v>-6.73</v>
      </c>
      <c r="CQ11" s="5" t="s">
        <v>143</v>
      </c>
      <c r="CR11" s="29" t="s">
        <v>142</v>
      </c>
      <c r="CS11" s="75" t="s">
        <v>52</v>
      </c>
      <c r="CT11" s="78" t="s">
        <v>52</v>
      </c>
      <c r="CU11" s="24" t="s">
        <v>52</v>
      </c>
      <c r="CV11" s="31">
        <v>17.3</v>
      </c>
      <c r="CW11" s="5" t="s">
        <v>144</v>
      </c>
      <c r="CX11" s="17" t="s">
        <v>52</v>
      </c>
      <c r="CY11" s="17" t="s">
        <v>52</v>
      </c>
      <c r="CZ11" s="17" t="s">
        <v>52</v>
      </c>
      <c r="DA11" s="40" t="s">
        <v>52</v>
      </c>
      <c r="DB11" s="30" t="s">
        <v>145</v>
      </c>
      <c r="DC11" s="25">
        <v>-19.954000000000001</v>
      </c>
      <c r="DD11" s="17" t="s">
        <v>52</v>
      </c>
      <c r="DE11" s="17" t="s">
        <v>52</v>
      </c>
      <c r="DF11" s="17" t="s">
        <v>52</v>
      </c>
      <c r="DG11" s="17" t="s">
        <v>52</v>
      </c>
      <c r="DH11" s="17" t="s">
        <v>52</v>
      </c>
      <c r="DI11" s="17" t="s">
        <v>52</v>
      </c>
      <c r="DJ11" s="17" t="s">
        <v>52</v>
      </c>
      <c r="DK11" s="17" t="s">
        <v>52</v>
      </c>
      <c r="DL11" s="66" t="s">
        <v>52</v>
      </c>
      <c r="DM11" s="17">
        <v>6000</v>
      </c>
      <c r="DN11" s="5" t="s">
        <v>129</v>
      </c>
      <c r="DO11" s="17">
        <v>1000</v>
      </c>
      <c r="DP11" s="17">
        <v>1000</v>
      </c>
      <c r="DQ11" s="77" t="s">
        <v>129</v>
      </c>
      <c r="DR11" s="17" t="s">
        <v>146</v>
      </c>
      <c r="DS11" s="18" t="s">
        <v>43</v>
      </c>
      <c r="DT11" s="18" t="s">
        <v>52</v>
      </c>
      <c r="DU11" s="18" t="s">
        <v>52</v>
      </c>
      <c r="DV11" s="18" t="s">
        <v>52</v>
      </c>
      <c r="DW11" s="18" t="s">
        <v>52</v>
      </c>
      <c r="DX11" s="6" t="s">
        <v>44</v>
      </c>
      <c r="DY11" s="18" t="s">
        <v>42</v>
      </c>
      <c r="DZ11" s="18" t="s">
        <v>52</v>
      </c>
      <c r="EA11" s="18" t="s">
        <v>52</v>
      </c>
      <c r="EB11" s="34" t="s">
        <v>52</v>
      </c>
      <c r="EC11" s="34" t="s">
        <v>52</v>
      </c>
      <c r="ED11" s="34" t="s">
        <v>52</v>
      </c>
      <c r="EE11" s="19" t="s">
        <v>41</v>
      </c>
      <c r="EF11" s="18" t="s">
        <v>52</v>
      </c>
      <c r="EG11" s="35">
        <v>831.99691470054506</v>
      </c>
      <c r="EH11" s="94" t="s">
        <v>52</v>
      </c>
      <c r="EI11" s="35">
        <v>138.66615245009086</v>
      </c>
      <c r="EJ11" s="35">
        <v>138.66615245009086</v>
      </c>
      <c r="EK11" s="7" t="s">
        <v>147</v>
      </c>
      <c r="EL11" s="7" t="s">
        <v>148</v>
      </c>
      <c r="EM11" s="7" t="s">
        <v>148</v>
      </c>
      <c r="EN11" s="35" t="s">
        <v>128</v>
      </c>
      <c r="EO11" s="35" t="s">
        <v>128</v>
      </c>
      <c r="EP11" s="26" t="s">
        <v>203</v>
      </c>
    </row>
    <row r="12" spans="1:146" x14ac:dyDescent="0.2">
      <c r="A12" s="98" t="s">
        <v>188</v>
      </c>
      <c r="B12" s="32" t="s">
        <v>189</v>
      </c>
      <c r="C12" s="45" t="s">
        <v>53</v>
      </c>
      <c r="D12" s="45" t="s">
        <v>137</v>
      </c>
      <c r="E12" s="45">
        <v>2003</v>
      </c>
      <c r="F12" s="38" t="s">
        <v>138</v>
      </c>
      <c r="G12" s="45">
        <f t="shared" si="0"/>
        <v>64930.000000000007</v>
      </c>
      <c r="H12" s="45" t="s">
        <v>52</v>
      </c>
      <c r="I12" s="45" t="s">
        <v>52</v>
      </c>
      <c r="J12" s="93">
        <v>270.71908613358028</v>
      </c>
      <c r="K12" s="93">
        <v>45.119847688930065</v>
      </c>
      <c r="L12" s="93">
        <v>45.119847688930008</v>
      </c>
      <c r="M12" s="113" t="b">
        <v>1</v>
      </c>
      <c r="N12" s="113">
        <v>3</v>
      </c>
      <c r="O12" s="121" t="s">
        <v>204</v>
      </c>
      <c r="P12" s="113" t="b">
        <v>0</v>
      </c>
      <c r="Q12" s="113" t="b">
        <v>0</v>
      </c>
      <c r="R12" s="113" t="s">
        <v>52</v>
      </c>
      <c r="S12" s="113" t="b">
        <v>1</v>
      </c>
      <c r="T12" s="113" t="b">
        <v>0</v>
      </c>
      <c r="U12" s="113" t="s">
        <v>52</v>
      </c>
      <c r="V12" s="113" t="b">
        <v>0</v>
      </c>
      <c r="W12" s="113" t="b">
        <v>0</v>
      </c>
      <c r="X12" s="113" t="s">
        <v>52</v>
      </c>
      <c r="Y12" s="111" t="s">
        <v>139</v>
      </c>
      <c r="Z12" s="38" t="s">
        <v>138</v>
      </c>
      <c r="AA12" s="37" t="s">
        <v>142</v>
      </c>
      <c r="AB12" s="41" t="s">
        <v>149</v>
      </c>
      <c r="AC12" s="23" t="s">
        <v>160</v>
      </c>
      <c r="AD12" s="99" t="s">
        <v>52</v>
      </c>
      <c r="AE12" s="86">
        <v>29.3</v>
      </c>
      <c r="AF12" s="23">
        <v>-103.52</v>
      </c>
      <c r="AG12" s="33" t="s">
        <v>52</v>
      </c>
      <c r="AH12" s="33" t="s">
        <v>52</v>
      </c>
      <c r="AI12" s="33" t="s">
        <v>52</v>
      </c>
      <c r="AJ12" s="28">
        <v>64.930000000000007</v>
      </c>
      <c r="AK12" s="23" t="s">
        <v>52</v>
      </c>
      <c r="AL12" s="23" t="s">
        <v>52</v>
      </c>
      <c r="AM12" s="43" t="s">
        <v>150</v>
      </c>
      <c r="AN12" s="21">
        <v>-11.12</v>
      </c>
      <c r="AO12" s="21">
        <v>9.9999999999997868E-2</v>
      </c>
      <c r="AP12" s="36">
        <v>3</v>
      </c>
      <c r="AQ12" s="87" t="s">
        <v>52</v>
      </c>
      <c r="AR12" s="20" t="s">
        <v>52</v>
      </c>
      <c r="AS12" s="20" t="s">
        <v>52</v>
      </c>
      <c r="AT12" s="16" t="s">
        <v>52</v>
      </c>
      <c r="AU12" s="16" t="s">
        <v>52</v>
      </c>
      <c r="AV12" s="20" t="s">
        <v>52</v>
      </c>
      <c r="AW12" s="16" t="s">
        <v>52</v>
      </c>
      <c r="AX12" s="88" t="s">
        <v>52</v>
      </c>
      <c r="AY12" s="16" t="s">
        <v>52</v>
      </c>
      <c r="AZ12" s="16" t="s">
        <v>52</v>
      </c>
      <c r="BA12" s="16" t="s">
        <v>52</v>
      </c>
      <c r="BB12" s="39" t="s">
        <v>52</v>
      </c>
      <c r="BC12" s="39" t="s">
        <v>52</v>
      </c>
      <c r="BD12" s="39" t="s">
        <v>52</v>
      </c>
      <c r="BE12" s="39">
        <v>3</v>
      </c>
      <c r="BF12" s="39" t="s">
        <v>52</v>
      </c>
      <c r="BG12" s="16" t="s">
        <v>52</v>
      </c>
      <c r="BH12" s="16" t="s">
        <v>52</v>
      </c>
      <c r="BI12" s="16" t="s">
        <v>52</v>
      </c>
      <c r="BJ12" s="39" t="s">
        <v>52</v>
      </c>
      <c r="BK12" s="36" t="s">
        <v>151</v>
      </c>
      <c r="BL12" s="16" t="s">
        <v>52</v>
      </c>
      <c r="BM12" s="16" t="s">
        <v>52</v>
      </c>
      <c r="BN12" s="16" t="s">
        <v>52</v>
      </c>
      <c r="BO12" s="16" t="s">
        <v>52</v>
      </c>
      <c r="BP12" s="16" t="s">
        <v>52</v>
      </c>
      <c r="BQ12" s="16" t="s">
        <v>52</v>
      </c>
      <c r="BR12" s="16" t="s">
        <v>52</v>
      </c>
      <c r="BS12" s="16" t="s">
        <v>52</v>
      </c>
      <c r="BT12" s="16" t="s">
        <v>52</v>
      </c>
      <c r="BU12" s="16" t="s">
        <v>52</v>
      </c>
      <c r="BV12" s="16" t="s">
        <v>52</v>
      </c>
      <c r="BW12" s="16" t="s">
        <v>52</v>
      </c>
      <c r="BX12" s="16" t="s">
        <v>52</v>
      </c>
      <c r="BY12" s="16" t="s">
        <v>52</v>
      </c>
      <c r="BZ12" s="16" t="s">
        <v>52</v>
      </c>
      <c r="CA12" s="16" t="s">
        <v>52</v>
      </c>
      <c r="CB12" s="16" t="s">
        <v>52</v>
      </c>
      <c r="CC12" s="16" t="s">
        <v>52</v>
      </c>
      <c r="CD12" s="16" t="s">
        <v>52</v>
      </c>
      <c r="CE12" s="16" t="s">
        <v>52</v>
      </c>
      <c r="CF12" s="16" t="s">
        <v>52</v>
      </c>
      <c r="CG12" s="16" t="s">
        <v>52</v>
      </c>
      <c r="CH12" s="16" t="s">
        <v>52</v>
      </c>
      <c r="CI12" s="16" t="s">
        <v>52</v>
      </c>
      <c r="CJ12" s="25">
        <v>-25.897000000000002</v>
      </c>
      <c r="CK12" s="5" t="s">
        <v>140</v>
      </c>
      <c r="CL12" s="30" t="s">
        <v>141</v>
      </c>
      <c r="CM12" s="17" t="s">
        <v>52</v>
      </c>
      <c r="CN12" s="77" t="s">
        <v>52</v>
      </c>
      <c r="CO12" s="17" t="s">
        <v>52</v>
      </c>
      <c r="CP12" s="25">
        <v>-6.57</v>
      </c>
      <c r="CQ12" s="5" t="s">
        <v>143</v>
      </c>
      <c r="CR12" s="29" t="s">
        <v>142</v>
      </c>
      <c r="CS12" s="75" t="s">
        <v>52</v>
      </c>
      <c r="CT12" s="78" t="s">
        <v>52</v>
      </c>
      <c r="CU12" s="24" t="s">
        <v>52</v>
      </c>
      <c r="CV12" s="31">
        <v>17.82000000000005</v>
      </c>
      <c r="CW12" s="5" t="s">
        <v>144</v>
      </c>
      <c r="CX12" s="17" t="s">
        <v>52</v>
      </c>
      <c r="CY12" s="17" t="s">
        <v>52</v>
      </c>
      <c r="CZ12" s="17" t="s">
        <v>52</v>
      </c>
      <c r="DA12" s="40" t="s">
        <v>52</v>
      </c>
      <c r="DB12" s="30" t="s">
        <v>145</v>
      </c>
      <c r="DC12" s="25">
        <v>-20.961599999999994</v>
      </c>
      <c r="DD12" s="17" t="s">
        <v>52</v>
      </c>
      <c r="DE12" s="17" t="s">
        <v>52</v>
      </c>
      <c r="DF12" s="17" t="s">
        <v>52</v>
      </c>
      <c r="DG12" s="17" t="s">
        <v>52</v>
      </c>
      <c r="DH12" s="17" t="s">
        <v>52</v>
      </c>
      <c r="DI12" s="17" t="s">
        <v>52</v>
      </c>
      <c r="DJ12" s="17" t="s">
        <v>52</v>
      </c>
      <c r="DK12" s="17" t="s">
        <v>52</v>
      </c>
      <c r="DL12" s="66" t="s">
        <v>52</v>
      </c>
      <c r="DM12" s="17">
        <v>6000</v>
      </c>
      <c r="DN12" s="5" t="s">
        <v>129</v>
      </c>
      <c r="DO12" s="17">
        <v>1000</v>
      </c>
      <c r="DP12" s="17">
        <v>1000</v>
      </c>
      <c r="DQ12" s="77" t="s">
        <v>129</v>
      </c>
      <c r="DR12" s="17" t="s">
        <v>146</v>
      </c>
      <c r="DS12" s="18" t="s">
        <v>43</v>
      </c>
      <c r="DT12" s="18" t="s">
        <v>52</v>
      </c>
      <c r="DU12" s="18" t="s">
        <v>52</v>
      </c>
      <c r="DV12" s="18" t="s">
        <v>52</v>
      </c>
      <c r="DW12" s="18" t="s">
        <v>52</v>
      </c>
      <c r="DX12" s="6" t="s">
        <v>44</v>
      </c>
      <c r="DY12" s="18" t="s">
        <v>42</v>
      </c>
      <c r="DZ12" s="18" t="s">
        <v>52</v>
      </c>
      <c r="EA12" s="18" t="s">
        <v>52</v>
      </c>
      <c r="EB12" s="34" t="s">
        <v>52</v>
      </c>
      <c r="EC12" s="34" t="s">
        <v>52</v>
      </c>
      <c r="ED12" s="34" t="s">
        <v>52</v>
      </c>
      <c r="EE12" s="19" t="s">
        <v>41</v>
      </c>
      <c r="EF12" s="18" t="s">
        <v>52</v>
      </c>
      <c r="EG12" s="35">
        <v>270.71908613358028</v>
      </c>
      <c r="EH12" s="94" t="s">
        <v>52</v>
      </c>
      <c r="EI12" s="35">
        <v>45.119847688930065</v>
      </c>
      <c r="EJ12" s="35">
        <v>45.119847688930008</v>
      </c>
      <c r="EK12" s="7" t="s">
        <v>147</v>
      </c>
      <c r="EL12" s="7" t="s">
        <v>148</v>
      </c>
      <c r="EM12" s="7" t="s">
        <v>148</v>
      </c>
      <c r="EN12" s="35" t="s">
        <v>128</v>
      </c>
      <c r="EO12" s="35" t="s">
        <v>128</v>
      </c>
      <c r="EP12" s="26" t="s">
        <v>203</v>
      </c>
    </row>
    <row r="13" spans="1:146" x14ac:dyDescent="0.2">
      <c r="A13" s="98" t="s">
        <v>188</v>
      </c>
      <c r="B13" s="32" t="s">
        <v>189</v>
      </c>
      <c r="C13" s="45" t="s">
        <v>53</v>
      </c>
      <c r="D13" s="45" t="s">
        <v>137</v>
      </c>
      <c r="E13" s="45">
        <v>2003</v>
      </c>
      <c r="F13" s="38" t="s">
        <v>138</v>
      </c>
      <c r="G13" s="45">
        <f t="shared" si="0"/>
        <v>65000</v>
      </c>
      <c r="H13" s="45" t="s">
        <v>52</v>
      </c>
      <c r="I13" s="45" t="s">
        <v>52</v>
      </c>
      <c r="J13" s="93">
        <v>-248.93347364098278</v>
      </c>
      <c r="K13" s="93">
        <v>-41.488912273497135</v>
      </c>
      <c r="L13" s="93">
        <v>-41.488912273497107</v>
      </c>
      <c r="M13" s="113" t="b">
        <v>1</v>
      </c>
      <c r="N13" s="113">
        <v>3</v>
      </c>
      <c r="O13" s="121" t="s">
        <v>204</v>
      </c>
      <c r="P13" s="113" t="b">
        <v>0</v>
      </c>
      <c r="Q13" s="113" t="b">
        <v>0</v>
      </c>
      <c r="R13" s="113" t="s">
        <v>52</v>
      </c>
      <c r="S13" s="113" t="b">
        <v>1</v>
      </c>
      <c r="T13" s="113" t="b">
        <v>0</v>
      </c>
      <c r="U13" s="113" t="s">
        <v>52</v>
      </c>
      <c r="V13" s="113" t="b">
        <v>0</v>
      </c>
      <c r="W13" s="113" t="b">
        <v>0</v>
      </c>
      <c r="X13" s="113" t="s">
        <v>52</v>
      </c>
      <c r="Y13" s="111" t="s">
        <v>139</v>
      </c>
      <c r="Z13" s="38" t="s">
        <v>138</v>
      </c>
      <c r="AA13" s="37" t="s">
        <v>142</v>
      </c>
      <c r="AB13" s="41" t="s">
        <v>149</v>
      </c>
      <c r="AC13" s="23" t="s">
        <v>161</v>
      </c>
      <c r="AD13" s="99" t="s">
        <v>52</v>
      </c>
      <c r="AE13" s="86">
        <v>29.3</v>
      </c>
      <c r="AF13" s="23">
        <v>-103.52</v>
      </c>
      <c r="AG13" s="33" t="s">
        <v>52</v>
      </c>
      <c r="AH13" s="33" t="s">
        <v>52</v>
      </c>
      <c r="AI13" s="33" t="s">
        <v>52</v>
      </c>
      <c r="AJ13" s="28">
        <v>65</v>
      </c>
      <c r="AK13" s="23" t="s">
        <v>52</v>
      </c>
      <c r="AL13" s="23" t="s">
        <v>52</v>
      </c>
      <c r="AM13" s="43" t="s">
        <v>150</v>
      </c>
      <c r="AN13" s="21">
        <v>-11.32</v>
      </c>
      <c r="AO13" s="21">
        <v>0.10000000000000142</v>
      </c>
      <c r="AP13" s="36">
        <v>3</v>
      </c>
      <c r="AQ13" s="87" t="s">
        <v>52</v>
      </c>
      <c r="AR13" s="20" t="s">
        <v>52</v>
      </c>
      <c r="AS13" s="20" t="s">
        <v>52</v>
      </c>
      <c r="AT13" s="16" t="s">
        <v>52</v>
      </c>
      <c r="AU13" s="16" t="s">
        <v>52</v>
      </c>
      <c r="AV13" s="20" t="s">
        <v>52</v>
      </c>
      <c r="AW13" s="16" t="s">
        <v>52</v>
      </c>
      <c r="AX13" s="88" t="s">
        <v>52</v>
      </c>
      <c r="AY13" s="16" t="s">
        <v>52</v>
      </c>
      <c r="AZ13" s="16" t="s">
        <v>52</v>
      </c>
      <c r="BA13" s="16" t="s">
        <v>52</v>
      </c>
      <c r="BB13" s="39" t="s">
        <v>52</v>
      </c>
      <c r="BC13" s="39" t="s">
        <v>52</v>
      </c>
      <c r="BD13" s="39" t="s">
        <v>52</v>
      </c>
      <c r="BE13" s="39">
        <v>3</v>
      </c>
      <c r="BF13" s="39" t="s">
        <v>52</v>
      </c>
      <c r="BG13" s="16" t="s">
        <v>52</v>
      </c>
      <c r="BH13" s="16" t="s">
        <v>52</v>
      </c>
      <c r="BI13" s="16" t="s">
        <v>52</v>
      </c>
      <c r="BJ13" s="39" t="s">
        <v>52</v>
      </c>
      <c r="BK13" s="36" t="s">
        <v>151</v>
      </c>
      <c r="BL13" s="16" t="s">
        <v>52</v>
      </c>
      <c r="BM13" s="16" t="s">
        <v>52</v>
      </c>
      <c r="BN13" s="16" t="s">
        <v>52</v>
      </c>
      <c r="BO13" s="16" t="s">
        <v>52</v>
      </c>
      <c r="BP13" s="16" t="s">
        <v>52</v>
      </c>
      <c r="BQ13" s="16" t="s">
        <v>52</v>
      </c>
      <c r="BR13" s="16" t="s">
        <v>52</v>
      </c>
      <c r="BS13" s="16" t="s">
        <v>52</v>
      </c>
      <c r="BT13" s="16" t="s">
        <v>52</v>
      </c>
      <c r="BU13" s="16" t="s">
        <v>52</v>
      </c>
      <c r="BV13" s="16" t="s">
        <v>52</v>
      </c>
      <c r="BW13" s="16" t="s">
        <v>52</v>
      </c>
      <c r="BX13" s="16" t="s">
        <v>52</v>
      </c>
      <c r="BY13" s="16" t="s">
        <v>52</v>
      </c>
      <c r="BZ13" s="16" t="s">
        <v>52</v>
      </c>
      <c r="CA13" s="16" t="s">
        <v>52</v>
      </c>
      <c r="CB13" s="16" t="s">
        <v>52</v>
      </c>
      <c r="CC13" s="16" t="s">
        <v>52</v>
      </c>
      <c r="CD13" s="16" t="s">
        <v>52</v>
      </c>
      <c r="CE13" s="16" t="s">
        <v>52</v>
      </c>
      <c r="CF13" s="16" t="s">
        <v>52</v>
      </c>
      <c r="CG13" s="16" t="s">
        <v>52</v>
      </c>
      <c r="CH13" s="16" t="s">
        <v>52</v>
      </c>
      <c r="CI13" s="16" t="s">
        <v>52</v>
      </c>
      <c r="CJ13" s="25">
        <v>-24.819000000000003</v>
      </c>
      <c r="CK13" s="5" t="s">
        <v>140</v>
      </c>
      <c r="CL13" s="30" t="s">
        <v>141</v>
      </c>
      <c r="CM13" s="17" t="s">
        <v>52</v>
      </c>
      <c r="CN13" s="77" t="s">
        <v>52</v>
      </c>
      <c r="CO13" s="17" t="s">
        <v>52</v>
      </c>
      <c r="CP13" s="25">
        <v>-5.59</v>
      </c>
      <c r="CQ13" s="5" t="s">
        <v>143</v>
      </c>
      <c r="CR13" s="29" t="s">
        <v>142</v>
      </c>
      <c r="CS13" s="75" t="s">
        <v>52</v>
      </c>
      <c r="CT13" s="78" t="s">
        <v>52</v>
      </c>
      <c r="CU13" s="24" t="s">
        <v>52</v>
      </c>
      <c r="CV13" s="31">
        <v>17.71</v>
      </c>
      <c r="CW13" s="5" t="s">
        <v>144</v>
      </c>
      <c r="CX13" s="17" t="s">
        <v>52</v>
      </c>
      <c r="CY13" s="17" t="s">
        <v>52</v>
      </c>
      <c r="CZ13" s="17" t="s">
        <v>52</v>
      </c>
      <c r="DA13" s="40" t="s">
        <v>52</v>
      </c>
      <c r="DB13" s="30" t="s">
        <v>145</v>
      </c>
      <c r="DC13" s="25">
        <v>-21.174800000000001</v>
      </c>
      <c r="DD13" s="17" t="s">
        <v>52</v>
      </c>
      <c r="DE13" s="17" t="s">
        <v>52</v>
      </c>
      <c r="DF13" s="17" t="s">
        <v>52</v>
      </c>
      <c r="DG13" s="17" t="s">
        <v>52</v>
      </c>
      <c r="DH13" s="17" t="s">
        <v>52</v>
      </c>
      <c r="DI13" s="17" t="s">
        <v>52</v>
      </c>
      <c r="DJ13" s="17" t="s">
        <v>52</v>
      </c>
      <c r="DK13" s="17" t="s">
        <v>52</v>
      </c>
      <c r="DL13" s="66" t="s">
        <v>52</v>
      </c>
      <c r="DM13" s="17">
        <v>6000</v>
      </c>
      <c r="DN13" s="5" t="s">
        <v>129</v>
      </c>
      <c r="DO13" s="17">
        <v>1000</v>
      </c>
      <c r="DP13" s="17">
        <v>1000</v>
      </c>
      <c r="DQ13" s="77" t="s">
        <v>129</v>
      </c>
      <c r="DR13" s="17" t="s">
        <v>146</v>
      </c>
      <c r="DS13" s="18" t="s">
        <v>43</v>
      </c>
      <c r="DT13" s="18" t="s">
        <v>52</v>
      </c>
      <c r="DU13" s="18" t="s">
        <v>52</v>
      </c>
      <c r="DV13" s="18" t="s">
        <v>52</v>
      </c>
      <c r="DW13" s="18" t="s">
        <v>52</v>
      </c>
      <c r="DX13" s="6" t="s">
        <v>44</v>
      </c>
      <c r="DY13" s="18" t="s">
        <v>42</v>
      </c>
      <c r="DZ13" s="18" t="s">
        <v>52</v>
      </c>
      <c r="EA13" s="18" t="s">
        <v>52</v>
      </c>
      <c r="EB13" s="34" t="s">
        <v>52</v>
      </c>
      <c r="EC13" s="34" t="s">
        <v>52</v>
      </c>
      <c r="ED13" s="34" t="s">
        <v>52</v>
      </c>
      <c r="EE13" s="19" t="s">
        <v>41</v>
      </c>
      <c r="EF13" s="18" t="s">
        <v>52</v>
      </c>
      <c r="EG13" s="35">
        <v>-248.93347364098278</v>
      </c>
      <c r="EH13" s="94" t="s">
        <v>52</v>
      </c>
      <c r="EI13" s="35">
        <v>-41.488912273497135</v>
      </c>
      <c r="EJ13" s="35">
        <v>-41.488912273497107</v>
      </c>
      <c r="EK13" s="7" t="s">
        <v>147</v>
      </c>
      <c r="EL13" s="7" t="s">
        <v>148</v>
      </c>
      <c r="EM13" s="7" t="s">
        <v>148</v>
      </c>
      <c r="EN13" s="35" t="s">
        <v>128</v>
      </c>
      <c r="EO13" s="35" t="s">
        <v>128</v>
      </c>
      <c r="EP13" s="26" t="s">
        <v>203</v>
      </c>
    </row>
    <row r="14" spans="1:146" x14ac:dyDescent="0.2">
      <c r="A14" s="98" t="s">
        <v>188</v>
      </c>
      <c r="B14" s="32" t="s">
        <v>189</v>
      </c>
      <c r="C14" s="45" t="s">
        <v>53</v>
      </c>
      <c r="D14" s="45" t="s">
        <v>137</v>
      </c>
      <c r="E14" s="45">
        <v>2003</v>
      </c>
      <c r="F14" s="38" t="s">
        <v>138</v>
      </c>
      <c r="G14" s="45">
        <f t="shared" si="0"/>
        <v>65040.000000000007</v>
      </c>
      <c r="H14" s="45" t="s">
        <v>52</v>
      </c>
      <c r="I14" s="45" t="s">
        <v>52</v>
      </c>
      <c r="J14" s="93">
        <v>127.42675124405315</v>
      </c>
      <c r="K14" s="93">
        <v>21.237791874008863</v>
      </c>
      <c r="L14" s="93">
        <v>21.237791874008849</v>
      </c>
      <c r="M14" s="113" t="b">
        <v>1</v>
      </c>
      <c r="N14" s="113">
        <v>3</v>
      </c>
      <c r="O14" s="121" t="s">
        <v>204</v>
      </c>
      <c r="P14" s="113" t="b">
        <v>0</v>
      </c>
      <c r="Q14" s="113" t="b">
        <v>0</v>
      </c>
      <c r="R14" s="113" t="s">
        <v>52</v>
      </c>
      <c r="S14" s="113" t="b">
        <v>1</v>
      </c>
      <c r="T14" s="113" t="b">
        <v>0</v>
      </c>
      <c r="U14" s="113" t="s">
        <v>52</v>
      </c>
      <c r="V14" s="113" t="b">
        <v>0</v>
      </c>
      <c r="W14" s="113" t="b">
        <v>0</v>
      </c>
      <c r="X14" s="113" t="s">
        <v>52</v>
      </c>
      <c r="Y14" s="111" t="s">
        <v>139</v>
      </c>
      <c r="Z14" s="38" t="s">
        <v>138</v>
      </c>
      <c r="AA14" s="37" t="s">
        <v>142</v>
      </c>
      <c r="AB14" s="41" t="s">
        <v>149</v>
      </c>
      <c r="AC14" s="23" t="s">
        <v>162</v>
      </c>
      <c r="AD14" s="99" t="s">
        <v>52</v>
      </c>
      <c r="AE14" s="86">
        <v>29.3</v>
      </c>
      <c r="AF14" s="23">
        <v>-103.52</v>
      </c>
      <c r="AG14" s="33" t="s">
        <v>52</v>
      </c>
      <c r="AH14" s="33" t="s">
        <v>52</v>
      </c>
      <c r="AI14" s="33" t="s">
        <v>52</v>
      </c>
      <c r="AJ14" s="28">
        <v>65.040000000000006</v>
      </c>
      <c r="AK14" s="23" t="s">
        <v>52</v>
      </c>
      <c r="AL14" s="23" t="s">
        <v>52</v>
      </c>
      <c r="AM14" s="43" t="s">
        <v>150</v>
      </c>
      <c r="AN14" s="21">
        <v>-10.35</v>
      </c>
      <c r="AO14" s="21">
        <v>0.59999999999999787</v>
      </c>
      <c r="AP14" s="36">
        <v>3</v>
      </c>
      <c r="AQ14" s="87" t="s">
        <v>52</v>
      </c>
      <c r="AR14" s="20" t="s">
        <v>52</v>
      </c>
      <c r="AS14" s="20" t="s">
        <v>52</v>
      </c>
      <c r="AT14" s="16" t="s">
        <v>52</v>
      </c>
      <c r="AU14" s="16" t="s">
        <v>52</v>
      </c>
      <c r="AV14" s="16" t="s">
        <v>52</v>
      </c>
      <c r="AW14" s="16" t="s">
        <v>52</v>
      </c>
      <c r="AX14" s="88" t="s">
        <v>52</v>
      </c>
      <c r="AY14" s="16" t="s">
        <v>52</v>
      </c>
      <c r="AZ14" s="16" t="s">
        <v>52</v>
      </c>
      <c r="BA14" s="16" t="s">
        <v>52</v>
      </c>
      <c r="BB14" s="39" t="s">
        <v>52</v>
      </c>
      <c r="BC14" s="39" t="s">
        <v>52</v>
      </c>
      <c r="BD14" s="39" t="s">
        <v>52</v>
      </c>
      <c r="BE14" s="39">
        <v>3</v>
      </c>
      <c r="BF14" s="39" t="s">
        <v>52</v>
      </c>
      <c r="BG14" s="16" t="s">
        <v>52</v>
      </c>
      <c r="BH14" s="16" t="s">
        <v>52</v>
      </c>
      <c r="BI14" s="16" t="s">
        <v>52</v>
      </c>
      <c r="BJ14" s="39" t="s">
        <v>52</v>
      </c>
      <c r="BK14" s="36" t="s">
        <v>151</v>
      </c>
      <c r="BL14" s="16" t="s">
        <v>52</v>
      </c>
      <c r="BM14" s="16" t="s">
        <v>52</v>
      </c>
      <c r="BN14" s="16" t="s">
        <v>52</v>
      </c>
      <c r="BO14" s="16" t="s">
        <v>52</v>
      </c>
      <c r="BP14" s="16" t="s">
        <v>52</v>
      </c>
      <c r="BQ14" s="16" t="s">
        <v>52</v>
      </c>
      <c r="BR14" s="16" t="s">
        <v>52</v>
      </c>
      <c r="BS14" s="16" t="s">
        <v>52</v>
      </c>
      <c r="BT14" s="16" t="s">
        <v>52</v>
      </c>
      <c r="BU14" s="16" t="s">
        <v>52</v>
      </c>
      <c r="BV14" s="16" t="s">
        <v>52</v>
      </c>
      <c r="BW14" s="16" t="s">
        <v>52</v>
      </c>
      <c r="BX14" s="16" t="s">
        <v>52</v>
      </c>
      <c r="BY14" s="16" t="s">
        <v>52</v>
      </c>
      <c r="BZ14" s="16" t="s">
        <v>52</v>
      </c>
      <c r="CA14" s="16" t="s">
        <v>52</v>
      </c>
      <c r="CB14" s="16" t="s">
        <v>52</v>
      </c>
      <c r="CC14" s="16" t="s">
        <v>52</v>
      </c>
      <c r="CD14" s="16" t="s">
        <v>52</v>
      </c>
      <c r="CE14" s="16" t="s">
        <v>52</v>
      </c>
      <c r="CF14" s="16" t="s">
        <v>52</v>
      </c>
      <c r="CG14" s="16" t="s">
        <v>52</v>
      </c>
      <c r="CH14" s="16" t="s">
        <v>52</v>
      </c>
      <c r="CI14" s="16" t="s">
        <v>52</v>
      </c>
      <c r="CJ14" s="25">
        <v>-24.841000000000001</v>
      </c>
      <c r="CK14" s="5" t="s">
        <v>140</v>
      </c>
      <c r="CL14" s="30" t="s">
        <v>141</v>
      </c>
      <c r="CM14" s="17" t="s">
        <v>52</v>
      </c>
      <c r="CN14" s="77" t="s">
        <v>52</v>
      </c>
      <c r="CO14" s="17" t="s">
        <v>52</v>
      </c>
      <c r="CP14" s="25">
        <v>-5.6099999999999994</v>
      </c>
      <c r="CQ14" s="5" t="s">
        <v>143</v>
      </c>
      <c r="CR14" s="29" t="s">
        <v>142</v>
      </c>
      <c r="CS14" s="75" t="s">
        <v>52</v>
      </c>
      <c r="CT14" s="78" t="s">
        <v>52</v>
      </c>
      <c r="CU14" s="24" t="s">
        <v>52</v>
      </c>
      <c r="CV14" s="31">
        <v>17.420000000000002</v>
      </c>
      <c r="CW14" s="5" t="s">
        <v>144</v>
      </c>
      <c r="CX14" s="17" t="s">
        <v>52</v>
      </c>
      <c r="CY14" s="17" t="s">
        <v>52</v>
      </c>
      <c r="CZ14" s="17" t="s">
        <v>52</v>
      </c>
      <c r="DA14" s="40" t="s">
        <v>52</v>
      </c>
      <c r="DB14" s="30" t="s">
        <v>145</v>
      </c>
      <c r="DC14" s="25">
        <v>-20.239599999999999</v>
      </c>
      <c r="DD14" s="17" t="s">
        <v>52</v>
      </c>
      <c r="DE14" s="17" t="s">
        <v>52</v>
      </c>
      <c r="DF14" s="17" t="s">
        <v>52</v>
      </c>
      <c r="DG14" s="17" t="s">
        <v>52</v>
      </c>
      <c r="DH14" s="17" t="s">
        <v>52</v>
      </c>
      <c r="DI14" s="17" t="s">
        <v>52</v>
      </c>
      <c r="DJ14" s="17" t="s">
        <v>52</v>
      </c>
      <c r="DK14" s="17" t="s">
        <v>52</v>
      </c>
      <c r="DL14" s="66" t="s">
        <v>52</v>
      </c>
      <c r="DM14" s="17">
        <v>6000</v>
      </c>
      <c r="DN14" s="5" t="s">
        <v>129</v>
      </c>
      <c r="DO14" s="17">
        <v>1000</v>
      </c>
      <c r="DP14" s="17">
        <v>1000</v>
      </c>
      <c r="DQ14" s="77" t="s">
        <v>129</v>
      </c>
      <c r="DR14" s="17" t="s">
        <v>146</v>
      </c>
      <c r="DS14" s="18" t="s">
        <v>43</v>
      </c>
      <c r="DT14" s="18" t="s">
        <v>52</v>
      </c>
      <c r="DU14" s="18" t="s">
        <v>52</v>
      </c>
      <c r="DV14" s="18" t="s">
        <v>52</v>
      </c>
      <c r="DW14" s="18" t="s">
        <v>52</v>
      </c>
      <c r="DX14" s="6" t="s">
        <v>44</v>
      </c>
      <c r="DY14" s="18" t="s">
        <v>42</v>
      </c>
      <c r="DZ14" s="18" t="s">
        <v>52</v>
      </c>
      <c r="EA14" s="18" t="s">
        <v>52</v>
      </c>
      <c r="EB14" s="34" t="s">
        <v>52</v>
      </c>
      <c r="EC14" s="34" t="s">
        <v>52</v>
      </c>
      <c r="ED14" s="34" t="s">
        <v>52</v>
      </c>
      <c r="EE14" s="19" t="s">
        <v>41</v>
      </c>
      <c r="EF14" s="18" t="s">
        <v>52</v>
      </c>
      <c r="EG14" s="35">
        <v>127.42675124405315</v>
      </c>
      <c r="EH14" s="94" t="s">
        <v>52</v>
      </c>
      <c r="EI14" s="35">
        <v>21.237791874008863</v>
      </c>
      <c r="EJ14" s="35">
        <v>21.237791874008849</v>
      </c>
      <c r="EK14" s="7" t="s">
        <v>147</v>
      </c>
      <c r="EL14" s="7" t="s">
        <v>148</v>
      </c>
      <c r="EM14" s="7" t="s">
        <v>148</v>
      </c>
      <c r="EN14" s="35" t="s">
        <v>128</v>
      </c>
      <c r="EO14" s="35" t="s">
        <v>128</v>
      </c>
      <c r="EP14" s="26" t="s">
        <v>203</v>
      </c>
    </row>
    <row r="15" spans="1:146" x14ac:dyDescent="0.2">
      <c r="A15" s="98" t="s">
        <v>188</v>
      </c>
      <c r="B15" s="32" t="s">
        <v>189</v>
      </c>
      <c r="C15" s="45" t="s">
        <v>53</v>
      </c>
      <c r="D15" s="45" t="s">
        <v>137</v>
      </c>
      <c r="E15" s="45">
        <v>2003</v>
      </c>
      <c r="F15" s="38" t="s">
        <v>138</v>
      </c>
      <c r="G15" s="45">
        <f t="shared" si="0"/>
        <v>65099.999999999993</v>
      </c>
      <c r="H15" s="45" t="s">
        <v>52</v>
      </c>
      <c r="I15" s="45" t="s">
        <v>52</v>
      </c>
      <c r="J15" s="93">
        <v>44.987548512293607</v>
      </c>
      <c r="K15" s="93">
        <v>7.497924752048938</v>
      </c>
      <c r="L15" s="93">
        <v>7.4979247520489309</v>
      </c>
      <c r="M15" s="113" t="b">
        <v>1</v>
      </c>
      <c r="N15" s="113">
        <v>3</v>
      </c>
      <c r="O15" s="121" t="s">
        <v>204</v>
      </c>
      <c r="P15" s="113" t="b">
        <v>0</v>
      </c>
      <c r="Q15" s="113" t="b">
        <v>0</v>
      </c>
      <c r="R15" s="113" t="s">
        <v>52</v>
      </c>
      <c r="S15" s="113" t="b">
        <v>1</v>
      </c>
      <c r="T15" s="113" t="b">
        <v>0</v>
      </c>
      <c r="U15" s="113" t="s">
        <v>52</v>
      </c>
      <c r="V15" s="113" t="b">
        <v>0</v>
      </c>
      <c r="W15" s="113" t="b">
        <v>0</v>
      </c>
      <c r="X15" s="113" t="s">
        <v>52</v>
      </c>
      <c r="Y15" s="111" t="s">
        <v>139</v>
      </c>
      <c r="Z15" s="38" t="s">
        <v>138</v>
      </c>
      <c r="AA15" s="37" t="s">
        <v>142</v>
      </c>
      <c r="AB15" s="41" t="s">
        <v>149</v>
      </c>
      <c r="AC15" s="89" t="s">
        <v>163</v>
      </c>
      <c r="AD15" s="99" t="s">
        <v>52</v>
      </c>
      <c r="AE15" s="86">
        <v>29.3</v>
      </c>
      <c r="AF15" s="23">
        <v>-103.52</v>
      </c>
      <c r="AG15" s="33" t="s">
        <v>52</v>
      </c>
      <c r="AH15" s="33" t="s">
        <v>52</v>
      </c>
      <c r="AI15" s="33" t="s">
        <v>52</v>
      </c>
      <c r="AJ15" s="89">
        <v>65.099999999999994</v>
      </c>
      <c r="AK15" s="23" t="s">
        <v>52</v>
      </c>
      <c r="AL15" s="23" t="s">
        <v>52</v>
      </c>
      <c r="AM15" s="43" t="s">
        <v>150</v>
      </c>
      <c r="AN15" s="21">
        <v>-10.7</v>
      </c>
      <c r="AO15" s="21">
        <v>0.9599999999999973</v>
      </c>
      <c r="AP15" s="36">
        <v>3</v>
      </c>
      <c r="AQ15" s="87" t="s">
        <v>52</v>
      </c>
      <c r="AR15" s="20" t="s">
        <v>52</v>
      </c>
      <c r="AS15" s="20" t="s">
        <v>52</v>
      </c>
      <c r="AT15" s="16" t="s">
        <v>52</v>
      </c>
      <c r="AU15" s="16" t="s">
        <v>52</v>
      </c>
      <c r="AV15" s="16" t="s">
        <v>52</v>
      </c>
      <c r="AW15" s="16" t="s">
        <v>52</v>
      </c>
      <c r="AX15" s="88" t="s">
        <v>52</v>
      </c>
      <c r="AY15" s="16" t="s">
        <v>52</v>
      </c>
      <c r="AZ15" s="16" t="s">
        <v>52</v>
      </c>
      <c r="BA15" s="16" t="s">
        <v>52</v>
      </c>
      <c r="BB15" s="39" t="s">
        <v>52</v>
      </c>
      <c r="BC15" s="39" t="s">
        <v>52</v>
      </c>
      <c r="BD15" s="39" t="s">
        <v>52</v>
      </c>
      <c r="BE15" s="39">
        <v>3</v>
      </c>
      <c r="BF15" s="39" t="s">
        <v>52</v>
      </c>
      <c r="BG15" s="16" t="s">
        <v>52</v>
      </c>
      <c r="BH15" s="16" t="s">
        <v>52</v>
      </c>
      <c r="BI15" s="16" t="s">
        <v>52</v>
      </c>
      <c r="BJ15" s="39" t="s">
        <v>52</v>
      </c>
      <c r="BK15" s="36" t="s">
        <v>151</v>
      </c>
      <c r="BL15" s="16" t="s">
        <v>52</v>
      </c>
      <c r="BM15" s="16" t="s">
        <v>52</v>
      </c>
      <c r="BN15" s="16" t="s">
        <v>52</v>
      </c>
      <c r="BO15" s="16" t="s">
        <v>52</v>
      </c>
      <c r="BP15" s="16" t="s">
        <v>52</v>
      </c>
      <c r="BQ15" s="16" t="s">
        <v>52</v>
      </c>
      <c r="BR15" s="16" t="s">
        <v>52</v>
      </c>
      <c r="BS15" s="16" t="s">
        <v>52</v>
      </c>
      <c r="BT15" s="16" t="s">
        <v>52</v>
      </c>
      <c r="BU15" s="16" t="s">
        <v>52</v>
      </c>
      <c r="BV15" s="16" t="s">
        <v>52</v>
      </c>
      <c r="BW15" s="16" t="s">
        <v>52</v>
      </c>
      <c r="BX15" s="16" t="s">
        <v>52</v>
      </c>
      <c r="BY15" s="16" t="s">
        <v>52</v>
      </c>
      <c r="BZ15" s="16" t="s">
        <v>52</v>
      </c>
      <c r="CA15" s="16" t="s">
        <v>52</v>
      </c>
      <c r="CB15" s="16" t="s">
        <v>52</v>
      </c>
      <c r="CC15" s="16" t="s">
        <v>52</v>
      </c>
      <c r="CD15" s="16" t="s">
        <v>52</v>
      </c>
      <c r="CE15" s="16" t="s">
        <v>52</v>
      </c>
      <c r="CF15" s="16" t="s">
        <v>52</v>
      </c>
      <c r="CG15" s="16" t="s">
        <v>52</v>
      </c>
      <c r="CH15" s="16" t="s">
        <v>52</v>
      </c>
      <c r="CI15" s="16" t="s">
        <v>52</v>
      </c>
      <c r="CJ15" s="90">
        <v>-24.973000000000003</v>
      </c>
      <c r="CK15" s="5" t="s">
        <v>140</v>
      </c>
      <c r="CL15" s="30" t="s">
        <v>141</v>
      </c>
      <c r="CM15" s="17" t="s">
        <v>52</v>
      </c>
      <c r="CN15" s="77" t="s">
        <v>52</v>
      </c>
      <c r="CO15" s="17" t="s">
        <v>52</v>
      </c>
      <c r="CP15" s="90">
        <v>-5.73</v>
      </c>
      <c r="CQ15" s="5" t="s">
        <v>143</v>
      </c>
      <c r="CR15" s="29" t="s">
        <v>142</v>
      </c>
      <c r="CS15" s="75" t="s">
        <v>52</v>
      </c>
      <c r="CT15" s="78" t="s">
        <v>52</v>
      </c>
      <c r="CU15" s="24" t="s">
        <v>52</v>
      </c>
      <c r="CV15" s="91">
        <v>17.57000000000005</v>
      </c>
      <c r="CW15" s="5" t="s">
        <v>144</v>
      </c>
      <c r="CX15" s="17" t="s">
        <v>52</v>
      </c>
      <c r="CY15" s="17" t="s">
        <v>52</v>
      </c>
      <c r="CZ15" s="17" t="s">
        <v>52</v>
      </c>
      <c r="DA15" s="40" t="s">
        <v>52</v>
      </c>
      <c r="DB15" s="30" t="s">
        <v>145</v>
      </c>
      <c r="DC15" s="25">
        <v>-20.571599999999993</v>
      </c>
      <c r="DD15" s="17" t="s">
        <v>52</v>
      </c>
      <c r="DE15" s="17" t="s">
        <v>52</v>
      </c>
      <c r="DF15" s="17" t="s">
        <v>52</v>
      </c>
      <c r="DG15" s="17" t="s">
        <v>52</v>
      </c>
      <c r="DH15" s="17" t="s">
        <v>52</v>
      </c>
      <c r="DI15" s="17" t="s">
        <v>52</v>
      </c>
      <c r="DJ15" s="17" t="s">
        <v>52</v>
      </c>
      <c r="DK15" s="17" t="s">
        <v>52</v>
      </c>
      <c r="DL15" s="66" t="s">
        <v>52</v>
      </c>
      <c r="DM15" s="17">
        <v>6000</v>
      </c>
      <c r="DN15" s="5" t="s">
        <v>129</v>
      </c>
      <c r="DO15" s="17">
        <v>1000</v>
      </c>
      <c r="DP15" s="17">
        <v>1000</v>
      </c>
      <c r="DQ15" s="77" t="s">
        <v>129</v>
      </c>
      <c r="DR15" s="17" t="s">
        <v>146</v>
      </c>
      <c r="DS15" s="18" t="s">
        <v>43</v>
      </c>
      <c r="DT15" s="18" t="s">
        <v>52</v>
      </c>
      <c r="DU15" s="18" t="s">
        <v>52</v>
      </c>
      <c r="DV15" s="18" t="s">
        <v>52</v>
      </c>
      <c r="DW15" s="18" t="s">
        <v>52</v>
      </c>
      <c r="DX15" s="6" t="s">
        <v>44</v>
      </c>
      <c r="DY15" s="18" t="s">
        <v>42</v>
      </c>
      <c r="DZ15" s="18" t="s">
        <v>52</v>
      </c>
      <c r="EA15" s="18" t="s">
        <v>52</v>
      </c>
      <c r="EB15" s="34" t="s">
        <v>52</v>
      </c>
      <c r="EC15" s="34" t="s">
        <v>52</v>
      </c>
      <c r="ED15" s="34" t="s">
        <v>52</v>
      </c>
      <c r="EE15" s="19" t="s">
        <v>41</v>
      </c>
      <c r="EF15" s="18" t="s">
        <v>52</v>
      </c>
      <c r="EG15" s="35">
        <v>44.987548512293607</v>
      </c>
      <c r="EH15" s="94" t="s">
        <v>52</v>
      </c>
      <c r="EI15" s="35">
        <v>7.497924752048938</v>
      </c>
      <c r="EJ15" s="35">
        <v>7.4979247520489309</v>
      </c>
      <c r="EK15" s="7" t="s">
        <v>147</v>
      </c>
      <c r="EL15" s="7" t="s">
        <v>148</v>
      </c>
      <c r="EM15" s="7" t="s">
        <v>148</v>
      </c>
      <c r="EN15" s="35" t="s">
        <v>128</v>
      </c>
      <c r="EO15" s="35" t="s">
        <v>128</v>
      </c>
      <c r="EP15" s="26" t="s">
        <v>203</v>
      </c>
    </row>
    <row r="16" spans="1:146" x14ac:dyDescent="0.2">
      <c r="A16" s="98" t="s">
        <v>188</v>
      </c>
      <c r="B16" s="32" t="s">
        <v>189</v>
      </c>
      <c r="C16" s="45" t="s">
        <v>53</v>
      </c>
      <c r="D16" s="45" t="s">
        <v>137</v>
      </c>
      <c r="E16" s="45">
        <v>2003</v>
      </c>
      <c r="F16" s="38" t="s">
        <v>138</v>
      </c>
      <c r="G16" s="45">
        <f t="shared" si="0"/>
        <v>65140</v>
      </c>
      <c r="H16" s="45" t="s">
        <v>52</v>
      </c>
      <c r="I16" s="45" t="s">
        <v>52</v>
      </c>
      <c r="J16" s="93">
        <v>789.94227627518933</v>
      </c>
      <c r="K16" s="93">
        <v>131.65704604586483</v>
      </c>
      <c r="L16" s="93">
        <v>131.65704604586494</v>
      </c>
      <c r="M16" s="113" t="b">
        <v>1</v>
      </c>
      <c r="N16" s="113">
        <v>3</v>
      </c>
      <c r="O16" s="121" t="s">
        <v>204</v>
      </c>
      <c r="P16" s="113" t="b">
        <v>0</v>
      </c>
      <c r="Q16" s="113" t="b">
        <v>0</v>
      </c>
      <c r="R16" s="113" t="s">
        <v>52</v>
      </c>
      <c r="S16" s="113" t="b">
        <v>1</v>
      </c>
      <c r="T16" s="113" t="b">
        <v>0</v>
      </c>
      <c r="U16" s="113" t="s">
        <v>52</v>
      </c>
      <c r="V16" s="113" t="b">
        <v>0</v>
      </c>
      <c r="W16" s="113" t="b">
        <v>0</v>
      </c>
      <c r="X16" s="113" t="s">
        <v>52</v>
      </c>
      <c r="Y16" s="111" t="s">
        <v>139</v>
      </c>
      <c r="Z16" s="38" t="s">
        <v>138</v>
      </c>
      <c r="AA16" s="37" t="s">
        <v>142</v>
      </c>
      <c r="AB16" s="41" t="s">
        <v>149</v>
      </c>
      <c r="AC16" s="89" t="s">
        <v>164</v>
      </c>
      <c r="AD16" s="99" t="s">
        <v>52</v>
      </c>
      <c r="AE16" s="86">
        <v>29.3</v>
      </c>
      <c r="AF16" s="23">
        <v>-103.52</v>
      </c>
      <c r="AG16" s="33" t="s">
        <v>52</v>
      </c>
      <c r="AH16" s="33" t="s">
        <v>52</v>
      </c>
      <c r="AI16" s="33" t="s">
        <v>52</v>
      </c>
      <c r="AJ16" s="89">
        <v>65.14</v>
      </c>
      <c r="AK16" s="23" t="s">
        <v>52</v>
      </c>
      <c r="AL16" s="23" t="s">
        <v>52</v>
      </c>
      <c r="AM16" s="43" t="s">
        <v>150</v>
      </c>
      <c r="AN16" s="21">
        <v>-9.68</v>
      </c>
      <c r="AO16" s="21">
        <v>0.19999999999999929</v>
      </c>
      <c r="AP16" s="36">
        <v>3</v>
      </c>
      <c r="AQ16" s="87" t="s">
        <v>52</v>
      </c>
      <c r="AR16" s="20" t="s">
        <v>52</v>
      </c>
      <c r="AS16" s="20" t="s">
        <v>52</v>
      </c>
      <c r="AT16" s="16" t="s">
        <v>52</v>
      </c>
      <c r="AU16" s="16" t="s">
        <v>52</v>
      </c>
      <c r="AV16" s="16" t="s">
        <v>52</v>
      </c>
      <c r="AW16" s="16" t="s">
        <v>52</v>
      </c>
      <c r="AX16" s="88" t="s">
        <v>52</v>
      </c>
      <c r="AY16" s="16" t="s">
        <v>52</v>
      </c>
      <c r="AZ16" s="16" t="s">
        <v>52</v>
      </c>
      <c r="BA16" s="16" t="s">
        <v>52</v>
      </c>
      <c r="BB16" s="39" t="s">
        <v>52</v>
      </c>
      <c r="BC16" s="39" t="s">
        <v>52</v>
      </c>
      <c r="BD16" s="39" t="s">
        <v>52</v>
      </c>
      <c r="BE16" s="39">
        <v>3</v>
      </c>
      <c r="BF16" s="39" t="s">
        <v>52</v>
      </c>
      <c r="BG16" s="16" t="s">
        <v>52</v>
      </c>
      <c r="BH16" s="16" t="s">
        <v>52</v>
      </c>
      <c r="BI16" s="16" t="s">
        <v>52</v>
      </c>
      <c r="BJ16" s="39" t="s">
        <v>52</v>
      </c>
      <c r="BK16" s="36" t="s">
        <v>151</v>
      </c>
      <c r="BL16" s="16" t="s">
        <v>52</v>
      </c>
      <c r="BM16" s="16" t="s">
        <v>52</v>
      </c>
      <c r="BN16" s="16" t="s">
        <v>52</v>
      </c>
      <c r="BO16" s="16" t="s">
        <v>52</v>
      </c>
      <c r="BP16" s="16" t="s">
        <v>52</v>
      </c>
      <c r="BQ16" s="16" t="s">
        <v>52</v>
      </c>
      <c r="BR16" s="16" t="s">
        <v>52</v>
      </c>
      <c r="BS16" s="16" t="s">
        <v>52</v>
      </c>
      <c r="BT16" s="16" t="s">
        <v>52</v>
      </c>
      <c r="BU16" s="16" t="s">
        <v>52</v>
      </c>
      <c r="BV16" s="16" t="s">
        <v>52</v>
      </c>
      <c r="BW16" s="16" t="s">
        <v>52</v>
      </c>
      <c r="BX16" s="16" t="s">
        <v>52</v>
      </c>
      <c r="BY16" s="16" t="s">
        <v>52</v>
      </c>
      <c r="BZ16" s="16" t="s">
        <v>52</v>
      </c>
      <c r="CA16" s="16" t="s">
        <v>52</v>
      </c>
      <c r="CB16" s="16" t="s">
        <v>52</v>
      </c>
      <c r="CC16" s="16" t="s">
        <v>52</v>
      </c>
      <c r="CD16" s="16" t="s">
        <v>52</v>
      </c>
      <c r="CE16" s="16" t="s">
        <v>52</v>
      </c>
      <c r="CF16" s="16" t="s">
        <v>52</v>
      </c>
      <c r="CG16" s="16" t="s">
        <v>52</v>
      </c>
      <c r="CH16" s="16" t="s">
        <v>52</v>
      </c>
      <c r="CI16" s="16" t="s">
        <v>52</v>
      </c>
      <c r="CJ16" s="90">
        <v>-25.072000000000003</v>
      </c>
      <c r="CK16" s="5" t="s">
        <v>140</v>
      </c>
      <c r="CL16" s="30" t="s">
        <v>141</v>
      </c>
      <c r="CM16" s="17" t="s">
        <v>52</v>
      </c>
      <c r="CN16" s="77" t="s">
        <v>52</v>
      </c>
      <c r="CO16" s="17" t="s">
        <v>52</v>
      </c>
      <c r="CP16" s="90">
        <v>-5.82</v>
      </c>
      <c r="CQ16" s="5" t="s">
        <v>143</v>
      </c>
      <c r="CR16" s="29" t="s">
        <v>142</v>
      </c>
      <c r="CS16" s="75" t="s">
        <v>52</v>
      </c>
      <c r="CT16" s="78" t="s">
        <v>52</v>
      </c>
      <c r="CU16" s="24" t="s">
        <v>52</v>
      </c>
      <c r="CV16" s="91">
        <v>21.82000000000005</v>
      </c>
      <c r="CW16" s="5" t="s">
        <v>144</v>
      </c>
      <c r="CX16" s="17" t="s">
        <v>52</v>
      </c>
      <c r="CY16" s="17" t="s">
        <v>52</v>
      </c>
      <c r="CZ16" s="17" t="s">
        <v>52</v>
      </c>
      <c r="DA16" s="40" t="s">
        <v>52</v>
      </c>
      <c r="DB16" s="30" t="s">
        <v>145</v>
      </c>
      <c r="DC16" s="25">
        <v>-19.041599999999995</v>
      </c>
      <c r="DD16" s="17" t="s">
        <v>52</v>
      </c>
      <c r="DE16" s="17" t="s">
        <v>52</v>
      </c>
      <c r="DF16" s="17" t="s">
        <v>52</v>
      </c>
      <c r="DG16" s="17" t="s">
        <v>52</v>
      </c>
      <c r="DH16" s="17" t="s">
        <v>52</v>
      </c>
      <c r="DI16" s="17" t="s">
        <v>52</v>
      </c>
      <c r="DJ16" s="17" t="s">
        <v>52</v>
      </c>
      <c r="DK16" s="17" t="s">
        <v>52</v>
      </c>
      <c r="DL16" s="66" t="s">
        <v>52</v>
      </c>
      <c r="DM16" s="17">
        <v>6000</v>
      </c>
      <c r="DN16" s="5" t="s">
        <v>129</v>
      </c>
      <c r="DO16" s="17">
        <v>1000</v>
      </c>
      <c r="DP16" s="17">
        <v>1000</v>
      </c>
      <c r="DQ16" s="77" t="s">
        <v>129</v>
      </c>
      <c r="DR16" s="17" t="s">
        <v>146</v>
      </c>
      <c r="DS16" s="18" t="s">
        <v>43</v>
      </c>
      <c r="DT16" s="18" t="s">
        <v>52</v>
      </c>
      <c r="DU16" s="18" t="s">
        <v>52</v>
      </c>
      <c r="DV16" s="18" t="s">
        <v>52</v>
      </c>
      <c r="DW16" s="18" t="s">
        <v>52</v>
      </c>
      <c r="DX16" s="6" t="s">
        <v>44</v>
      </c>
      <c r="DY16" s="18" t="s">
        <v>42</v>
      </c>
      <c r="DZ16" s="18" t="s">
        <v>52</v>
      </c>
      <c r="EA16" s="18" t="s">
        <v>52</v>
      </c>
      <c r="EB16" s="34" t="s">
        <v>52</v>
      </c>
      <c r="EC16" s="34" t="s">
        <v>52</v>
      </c>
      <c r="ED16" s="34" t="s">
        <v>52</v>
      </c>
      <c r="EE16" s="19" t="s">
        <v>41</v>
      </c>
      <c r="EF16" s="18" t="s">
        <v>52</v>
      </c>
      <c r="EG16" s="35">
        <v>789.94227627518933</v>
      </c>
      <c r="EH16" s="94" t="s">
        <v>52</v>
      </c>
      <c r="EI16" s="35">
        <v>131.65704604586483</v>
      </c>
      <c r="EJ16" s="35">
        <v>131.65704604586494</v>
      </c>
      <c r="EK16" s="7" t="s">
        <v>147</v>
      </c>
      <c r="EL16" s="7" t="s">
        <v>148</v>
      </c>
      <c r="EM16" s="7" t="s">
        <v>148</v>
      </c>
      <c r="EN16" s="35" t="s">
        <v>128</v>
      </c>
      <c r="EO16" s="35" t="s">
        <v>128</v>
      </c>
      <c r="EP16" s="26" t="s">
        <v>203</v>
      </c>
    </row>
    <row r="17" spans="1:146" x14ac:dyDescent="0.2">
      <c r="A17" s="98" t="s">
        <v>188</v>
      </c>
      <c r="B17" s="32" t="s">
        <v>189</v>
      </c>
      <c r="C17" s="45" t="s">
        <v>53</v>
      </c>
      <c r="D17" s="45" t="s">
        <v>137</v>
      </c>
      <c r="E17" s="45">
        <v>2003</v>
      </c>
      <c r="F17" s="38" t="s">
        <v>138</v>
      </c>
      <c r="G17" s="45">
        <f t="shared" si="0"/>
        <v>65209.999999999993</v>
      </c>
      <c r="H17" s="45" t="s">
        <v>52</v>
      </c>
      <c r="I17" s="45" t="s">
        <v>52</v>
      </c>
      <c r="J17" s="93">
        <v>1358.2752040916689</v>
      </c>
      <c r="K17" s="93">
        <v>226.37920068194489</v>
      </c>
      <c r="L17" s="93">
        <v>226.37920068194467</v>
      </c>
      <c r="M17" s="113" t="b">
        <v>1</v>
      </c>
      <c r="N17" s="113">
        <v>3</v>
      </c>
      <c r="O17" s="121" t="s">
        <v>204</v>
      </c>
      <c r="P17" s="113" t="b">
        <v>0</v>
      </c>
      <c r="Q17" s="113" t="b">
        <v>0</v>
      </c>
      <c r="R17" s="113" t="s">
        <v>52</v>
      </c>
      <c r="S17" s="113" t="b">
        <v>1</v>
      </c>
      <c r="T17" s="113" t="b">
        <v>0</v>
      </c>
      <c r="U17" s="113" t="s">
        <v>52</v>
      </c>
      <c r="V17" s="113" t="b">
        <v>0</v>
      </c>
      <c r="W17" s="113" t="b">
        <v>0</v>
      </c>
      <c r="X17" s="113" t="s">
        <v>52</v>
      </c>
      <c r="Y17" s="111" t="s">
        <v>139</v>
      </c>
      <c r="Z17" s="38" t="s">
        <v>138</v>
      </c>
      <c r="AA17" s="37" t="s">
        <v>142</v>
      </c>
      <c r="AB17" s="41" t="s">
        <v>149</v>
      </c>
      <c r="AC17" s="89" t="s">
        <v>165</v>
      </c>
      <c r="AD17" s="99" t="s">
        <v>52</v>
      </c>
      <c r="AE17" s="86">
        <v>29.3</v>
      </c>
      <c r="AF17" s="23">
        <v>-103.52</v>
      </c>
      <c r="AG17" s="33" t="s">
        <v>52</v>
      </c>
      <c r="AH17" s="33" t="s">
        <v>52</v>
      </c>
      <c r="AI17" s="33" t="s">
        <v>52</v>
      </c>
      <c r="AJ17" s="89">
        <v>65.209999999999994</v>
      </c>
      <c r="AK17" s="23" t="s">
        <v>52</v>
      </c>
      <c r="AL17" s="23" t="s">
        <v>52</v>
      </c>
      <c r="AM17" s="43" t="s">
        <v>150</v>
      </c>
      <c r="AN17" s="21">
        <v>-8.4499999999999993</v>
      </c>
      <c r="AO17" s="21">
        <v>0.47999999999999687</v>
      </c>
      <c r="AP17" s="36">
        <v>3</v>
      </c>
      <c r="AQ17" s="87" t="s">
        <v>52</v>
      </c>
      <c r="AR17" s="20" t="s">
        <v>52</v>
      </c>
      <c r="AS17" s="20" t="s">
        <v>52</v>
      </c>
      <c r="AT17" s="16" t="s">
        <v>52</v>
      </c>
      <c r="AU17" s="16" t="s">
        <v>52</v>
      </c>
      <c r="AV17" s="16" t="s">
        <v>52</v>
      </c>
      <c r="AW17" s="16" t="s">
        <v>52</v>
      </c>
      <c r="AX17" s="88" t="s">
        <v>52</v>
      </c>
      <c r="AY17" s="16" t="s">
        <v>52</v>
      </c>
      <c r="AZ17" s="16" t="s">
        <v>52</v>
      </c>
      <c r="BA17" s="16" t="s">
        <v>52</v>
      </c>
      <c r="BB17" s="39" t="s">
        <v>52</v>
      </c>
      <c r="BC17" s="39" t="s">
        <v>52</v>
      </c>
      <c r="BD17" s="39" t="s">
        <v>52</v>
      </c>
      <c r="BE17" s="39">
        <v>3</v>
      </c>
      <c r="BF17" s="39" t="s">
        <v>52</v>
      </c>
      <c r="BG17" s="16" t="s">
        <v>52</v>
      </c>
      <c r="BH17" s="16" t="s">
        <v>52</v>
      </c>
      <c r="BI17" s="16" t="s">
        <v>52</v>
      </c>
      <c r="BJ17" s="39" t="s">
        <v>52</v>
      </c>
      <c r="BK17" s="36" t="s">
        <v>151</v>
      </c>
      <c r="BL17" s="16" t="s">
        <v>52</v>
      </c>
      <c r="BM17" s="16" t="s">
        <v>52</v>
      </c>
      <c r="BN17" s="16" t="s">
        <v>52</v>
      </c>
      <c r="BO17" s="16" t="s">
        <v>52</v>
      </c>
      <c r="BP17" s="16" t="s">
        <v>52</v>
      </c>
      <c r="BQ17" s="16" t="s">
        <v>52</v>
      </c>
      <c r="BR17" s="16" t="s">
        <v>52</v>
      </c>
      <c r="BS17" s="16" t="s">
        <v>52</v>
      </c>
      <c r="BT17" s="16" t="s">
        <v>52</v>
      </c>
      <c r="BU17" s="16" t="s">
        <v>52</v>
      </c>
      <c r="BV17" s="16" t="s">
        <v>52</v>
      </c>
      <c r="BW17" s="16" t="s">
        <v>52</v>
      </c>
      <c r="BX17" s="16" t="s">
        <v>52</v>
      </c>
      <c r="BY17" s="16" t="s">
        <v>52</v>
      </c>
      <c r="BZ17" s="16" t="s">
        <v>52</v>
      </c>
      <c r="CA17" s="16" t="s">
        <v>52</v>
      </c>
      <c r="CB17" s="16" t="s">
        <v>52</v>
      </c>
      <c r="CC17" s="16" t="s">
        <v>52</v>
      </c>
      <c r="CD17" s="16" t="s">
        <v>52</v>
      </c>
      <c r="CE17" s="16" t="s">
        <v>52</v>
      </c>
      <c r="CF17" s="16" t="s">
        <v>52</v>
      </c>
      <c r="CG17" s="16" t="s">
        <v>52</v>
      </c>
      <c r="CH17" s="16" t="s">
        <v>52</v>
      </c>
      <c r="CI17" s="16" t="s">
        <v>52</v>
      </c>
      <c r="CJ17" s="90">
        <v>-25.072000000000003</v>
      </c>
      <c r="CK17" s="5" t="s">
        <v>140</v>
      </c>
      <c r="CL17" s="30" t="s">
        <v>141</v>
      </c>
      <c r="CM17" s="17" t="s">
        <v>52</v>
      </c>
      <c r="CN17" s="77" t="s">
        <v>52</v>
      </c>
      <c r="CO17" s="17" t="s">
        <v>52</v>
      </c>
      <c r="CP17" s="90">
        <v>-5.82</v>
      </c>
      <c r="CQ17" s="5" t="s">
        <v>143</v>
      </c>
      <c r="CR17" s="29" t="s">
        <v>142</v>
      </c>
      <c r="CS17" s="75" t="s">
        <v>52</v>
      </c>
      <c r="CT17" s="78" t="s">
        <v>52</v>
      </c>
      <c r="CU17" s="24" t="s">
        <v>52</v>
      </c>
      <c r="CV17" s="91">
        <v>20.079999999999998</v>
      </c>
      <c r="CW17" s="5" t="s">
        <v>144</v>
      </c>
      <c r="CX17" s="17" t="s">
        <v>52</v>
      </c>
      <c r="CY17" s="17" t="s">
        <v>52</v>
      </c>
      <c r="CZ17" s="17" t="s">
        <v>52</v>
      </c>
      <c r="DA17" s="40" t="s">
        <v>52</v>
      </c>
      <c r="DB17" s="30" t="s">
        <v>145</v>
      </c>
      <c r="DC17" s="25">
        <v>-18.020400000000002</v>
      </c>
      <c r="DD17" s="17" t="s">
        <v>52</v>
      </c>
      <c r="DE17" s="17" t="s">
        <v>52</v>
      </c>
      <c r="DF17" s="17" t="s">
        <v>52</v>
      </c>
      <c r="DG17" s="17" t="s">
        <v>52</v>
      </c>
      <c r="DH17" s="17" t="s">
        <v>52</v>
      </c>
      <c r="DI17" s="17" t="s">
        <v>52</v>
      </c>
      <c r="DJ17" s="17" t="s">
        <v>52</v>
      </c>
      <c r="DK17" s="17" t="s">
        <v>52</v>
      </c>
      <c r="DL17" s="66" t="s">
        <v>52</v>
      </c>
      <c r="DM17" s="17">
        <v>6000</v>
      </c>
      <c r="DN17" s="5" t="s">
        <v>129</v>
      </c>
      <c r="DO17" s="17">
        <v>1000</v>
      </c>
      <c r="DP17" s="17">
        <v>1000</v>
      </c>
      <c r="DQ17" s="77" t="s">
        <v>129</v>
      </c>
      <c r="DR17" s="17" t="s">
        <v>146</v>
      </c>
      <c r="DS17" s="18" t="s">
        <v>43</v>
      </c>
      <c r="DT17" s="18" t="s">
        <v>52</v>
      </c>
      <c r="DU17" s="18" t="s">
        <v>52</v>
      </c>
      <c r="DV17" s="18" t="s">
        <v>52</v>
      </c>
      <c r="DW17" s="18" t="s">
        <v>52</v>
      </c>
      <c r="DX17" s="6" t="s">
        <v>44</v>
      </c>
      <c r="DY17" s="18" t="s">
        <v>42</v>
      </c>
      <c r="DZ17" s="18" t="s">
        <v>52</v>
      </c>
      <c r="EA17" s="18" t="s">
        <v>52</v>
      </c>
      <c r="EB17" s="34" t="s">
        <v>52</v>
      </c>
      <c r="EC17" s="34" t="s">
        <v>52</v>
      </c>
      <c r="ED17" s="34" t="s">
        <v>52</v>
      </c>
      <c r="EE17" s="19" t="s">
        <v>41</v>
      </c>
      <c r="EF17" s="18" t="s">
        <v>52</v>
      </c>
      <c r="EG17" s="35">
        <v>1358.2752040916689</v>
      </c>
      <c r="EH17" s="94" t="s">
        <v>52</v>
      </c>
      <c r="EI17" s="35">
        <v>226.37920068194489</v>
      </c>
      <c r="EJ17" s="35">
        <v>226.37920068194467</v>
      </c>
      <c r="EK17" s="7" t="s">
        <v>147</v>
      </c>
      <c r="EL17" s="7" t="s">
        <v>148</v>
      </c>
      <c r="EM17" s="7" t="s">
        <v>148</v>
      </c>
      <c r="EN17" s="35" t="s">
        <v>128</v>
      </c>
      <c r="EO17" s="35" t="s">
        <v>128</v>
      </c>
      <c r="EP17" s="26" t="s">
        <v>203</v>
      </c>
    </row>
    <row r="18" spans="1:146" x14ac:dyDescent="0.2">
      <c r="A18" s="98" t="s">
        <v>188</v>
      </c>
      <c r="B18" s="32" t="s">
        <v>189</v>
      </c>
      <c r="C18" s="45" t="s">
        <v>53</v>
      </c>
      <c r="D18" s="45" t="s">
        <v>137</v>
      </c>
      <c r="E18" s="45">
        <v>2003</v>
      </c>
      <c r="F18" s="38" t="s">
        <v>138</v>
      </c>
      <c r="G18" s="45">
        <f t="shared" si="0"/>
        <v>65360</v>
      </c>
      <c r="H18" s="45" t="s">
        <v>52</v>
      </c>
      <c r="I18" s="45" t="s">
        <v>52</v>
      </c>
      <c r="J18" s="93">
        <v>1277.2993325124751</v>
      </c>
      <c r="K18" s="93">
        <v>212.8832220854124</v>
      </c>
      <c r="L18" s="93">
        <v>212.88322208541263</v>
      </c>
      <c r="M18" s="113" t="b">
        <v>1</v>
      </c>
      <c r="N18" s="113">
        <v>3</v>
      </c>
      <c r="O18" s="121" t="s">
        <v>204</v>
      </c>
      <c r="P18" s="113" t="b">
        <v>0</v>
      </c>
      <c r="Q18" s="113" t="b">
        <v>0</v>
      </c>
      <c r="R18" s="113" t="s">
        <v>52</v>
      </c>
      <c r="S18" s="113" t="b">
        <v>1</v>
      </c>
      <c r="T18" s="113" t="b">
        <v>0</v>
      </c>
      <c r="U18" s="113" t="s">
        <v>52</v>
      </c>
      <c r="V18" s="113" t="b">
        <v>0</v>
      </c>
      <c r="W18" s="113" t="b">
        <v>0</v>
      </c>
      <c r="X18" s="113" t="s">
        <v>52</v>
      </c>
      <c r="Y18" s="111" t="s">
        <v>139</v>
      </c>
      <c r="Z18" s="38" t="s">
        <v>138</v>
      </c>
      <c r="AA18" s="37" t="s">
        <v>142</v>
      </c>
      <c r="AB18" s="41" t="s">
        <v>149</v>
      </c>
      <c r="AC18" s="89" t="s">
        <v>166</v>
      </c>
      <c r="AD18" s="99" t="s">
        <v>52</v>
      </c>
      <c r="AE18" s="86">
        <v>29.3</v>
      </c>
      <c r="AF18" s="23">
        <v>-103.52</v>
      </c>
      <c r="AG18" s="33" t="s">
        <v>52</v>
      </c>
      <c r="AH18" s="33" t="s">
        <v>52</v>
      </c>
      <c r="AI18" s="33" t="s">
        <v>52</v>
      </c>
      <c r="AJ18" s="89">
        <v>65.36</v>
      </c>
      <c r="AK18" s="23" t="s">
        <v>52</v>
      </c>
      <c r="AL18" s="23" t="s">
        <v>52</v>
      </c>
      <c r="AM18" s="43" t="s">
        <v>150</v>
      </c>
      <c r="AN18" s="21">
        <v>-8.74</v>
      </c>
      <c r="AO18" s="21">
        <v>0.24000000000000199</v>
      </c>
      <c r="AP18" s="36">
        <v>3</v>
      </c>
      <c r="AQ18" s="87" t="s">
        <v>52</v>
      </c>
      <c r="AR18" s="20" t="s">
        <v>52</v>
      </c>
      <c r="AS18" s="20" t="s">
        <v>52</v>
      </c>
      <c r="AT18" s="16" t="s">
        <v>52</v>
      </c>
      <c r="AU18" s="16" t="s">
        <v>52</v>
      </c>
      <c r="AV18" s="16" t="s">
        <v>52</v>
      </c>
      <c r="AW18" s="16" t="s">
        <v>52</v>
      </c>
      <c r="AX18" s="88" t="s">
        <v>52</v>
      </c>
      <c r="AY18" s="16" t="s">
        <v>52</v>
      </c>
      <c r="AZ18" s="16" t="s">
        <v>52</v>
      </c>
      <c r="BA18" s="16" t="s">
        <v>52</v>
      </c>
      <c r="BB18" s="39" t="s">
        <v>52</v>
      </c>
      <c r="BC18" s="39" t="s">
        <v>52</v>
      </c>
      <c r="BD18" s="39" t="s">
        <v>52</v>
      </c>
      <c r="BE18" s="39">
        <v>3</v>
      </c>
      <c r="BF18" s="39" t="s">
        <v>52</v>
      </c>
      <c r="BG18" s="16" t="s">
        <v>52</v>
      </c>
      <c r="BH18" s="16" t="s">
        <v>52</v>
      </c>
      <c r="BI18" s="16" t="s">
        <v>52</v>
      </c>
      <c r="BJ18" s="39" t="s">
        <v>52</v>
      </c>
      <c r="BK18" s="36" t="s">
        <v>151</v>
      </c>
      <c r="BL18" s="16" t="s">
        <v>52</v>
      </c>
      <c r="BM18" s="16" t="s">
        <v>52</v>
      </c>
      <c r="BN18" s="16" t="s">
        <v>52</v>
      </c>
      <c r="BO18" s="16" t="s">
        <v>52</v>
      </c>
      <c r="BP18" s="16" t="s">
        <v>52</v>
      </c>
      <c r="BQ18" s="16" t="s">
        <v>52</v>
      </c>
      <c r="BR18" s="16" t="s">
        <v>52</v>
      </c>
      <c r="BS18" s="16" t="s">
        <v>52</v>
      </c>
      <c r="BT18" s="16" t="s">
        <v>52</v>
      </c>
      <c r="BU18" s="16" t="s">
        <v>52</v>
      </c>
      <c r="BV18" s="16" t="s">
        <v>52</v>
      </c>
      <c r="BW18" s="16" t="s">
        <v>52</v>
      </c>
      <c r="BX18" s="16" t="s">
        <v>52</v>
      </c>
      <c r="BY18" s="16" t="s">
        <v>52</v>
      </c>
      <c r="BZ18" s="16" t="s">
        <v>52</v>
      </c>
      <c r="CA18" s="16" t="s">
        <v>52</v>
      </c>
      <c r="CB18" s="16" t="s">
        <v>52</v>
      </c>
      <c r="CC18" s="16" t="s">
        <v>52</v>
      </c>
      <c r="CD18" s="16" t="s">
        <v>52</v>
      </c>
      <c r="CE18" s="16" t="s">
        <v>52</v>
      </c>
      <c r="CF18" s="16" t="s">
        <v>52</v>
      </c>
      <c r="CG18" s="16" t="s">
        <v>52</v>
      </c>
      <c r="CH18" s="16" t="s">
        <v>52</v>
      </c>
      <c r="CI18" s="16" t="s">
        <v>52</v>
      </c>
      <c r="CJ18" s="90">
        <v>-25.182000000000002</v>
      </c>
      <c r="CK18" s="5" t="s">
        <v>140</v>
      </c>
      <c r="CL18" s="30" t="s">
        <v>141</v>
      </c>
      <c r="CM18" s="17" t="s">
        <v>52</v>
      </c>
      <c r="CN18" s="77" t="s">
        <v>52</v>
      </c>
      <c r="CO18" s="17" t="s">
        <v>52</v>
      </c>
      <c r="CP18" s="90">
        <v>-5.92</v>
      </c>
      <c r="CQ18" s="5" t="s">
        <v>143</v>
      </c>
      <c r="CR18" s="29" t="s">
        <v>142</v>
      </c>
      <c r="CS18" s="75" t="s">
        <v>52</v>
      </c>
      <c r="CT18" s="78" t="s">
        <v>52</v>
      </c>
      <c r="CU18" s="24" t="s">
        <v>52</v>
      </c>
      <c r="CV18" s="91">
        <v>20.46</v>
      </c>
      <c r="CW18" s="5" t="s">
        <v>144</v>
      </c>
      <c r="CX18" s="17" t="s">
        <v>52</v>
      </c>
      <c r="CY18" s="17" t="s">
        <v>52</v>
      </c>
      <c r="CZ18" s="17" t="s">
        <v>52</v>
      </c>
      <c r="DA18" s="40" t="s">
        <v>52</v>
      </c>
      <c r="DB18" s="30" t="s">
        <v>145</v>
      </c>
      <c r="DC18" s="25">
        <v>-18.264800000000001</v>
      </c>
      <c r="DD18" s="17" t="s">
        <v>52</v>
      </c>
      <c r="DE18" s="17" t="s">
        <v>52</v>
      </c>
      <c r="DF18" s="17" t="s">
        <v>52</v>
      </c>
      <c r="DG18" s="17" t="s">
        <v>52</v>
      </c>
      <c r="DH18" s="17" t="s">
        <v>52</v>
      </c>
      <c r="DI18" s="17" t="s">
        <v>52</v>
      </c>
      <c r="DJ18" s="17" t="s">
        <v>52</v>
      </c>
      <c r="DK18" s="17" t="s">
        <v>52</v>
      </c>
      <c r="DL18" s="66" t="s">
        <v>52</v>
      </c>
      <c r="DM18" s="17">
        <v>6000</v>
      </c>
      <c r="DN18" s="5" t="s">
        <v>129</v>
      </c>
      <c r="DO18" s="17">
        <v>1000</v>
      </c>
      <c r="DP18" s="17">
        <v>1000</v>
      </c>
      <c r="DQ18" s="77" t="s">
        <v>129</v>
      </c>
      <c r="DR18" s="17" t="s">
        <v>146</v>
      </c>
      <c r="DS18" s="18" t="s">
        <v>43</v>
      </c>
      <c r="DT18" s="18" t="s">
        <v>52</v>
      </c>
      <c r="DU18" s="18" t="s">
        <v>52</v>
      </c>
      <c r="DV18" s="18" t="s">
        <v>52</v>
      </c>
      <c r="DW18" s="18" t="s">
        <v>52</v>
      </c>
      <c r="DX18" s="6" t="s">
        <v>44</v>
      </c>
      <c r="DY18" s="18" t="s">
        <v>42</v>
      </c>
      <c r="DZ18" s="18" t="s">
        <v>52</v>
      </c>
      <c r="EA18" s="18" t="s">
        <v>52</v>
      </c>
      <c r="EB18" s="34" t="s">
        <v>52</v>
      </c>
      <c r="EC18" s="34" t="s">
        <v>52</v>
      </c>
      <c r="ED18" s="34" t="s">
        <v>52</v>
      </c>
      <c r="EE18" s="19" t="s">
        <v>41</v>
      </c>
      <c r="EF18" s="18" t="s">
        <v>52</v>
      </c>
      <c r="EG18" s="35">
        <v>1277.2993325124751</v>
      </c>
      <c r="EH18" s="94" t="s">
        <v>52</v>
      </c>
      <c r="EI18" s="35">
        <v>212.8832220854124</v>
      </c>
      <c r="EJ18" s="35">
        <v>212.88322208541263</v>
      </c>
      <c r="EK18" s="7" t="s">
        <v>147</v>
      </c>
      <c r="EL18" s="7" t="s">
        <v>148</v>
      </c>
      <c r="EM18" s="7" t="s">
        <v>148</v>
      </c>
      <c r="EN18" s="35" t="s">
        <v>128</v>
      </c>
      <c r="EO18" s="35" t="s">
        <v>128</v>
      </c>
      <c r="EP18" s="26" t="s">
        <v>203</v>
      </c>
    </row>
    <row r="19" spans="1:146" x14ac:dyDescent="0.2">
      <c r="A19" s="98" t="s">
        <v>188</v>
      </c>
      <c r="B19" s="32" t="s">
        <v>189</v>
      </c>
      <c r="C19" s="45" t="s">
        <v>53</v>
      </c>
      <c r="D19" s="45" t="s">
        <v>137</v>
      </c>
      <c r="E19" s="45">
        <v>2003</v>
      </c>
      <c r="F19" s="38" t="s">
        <v>138</v>
      </c>
      <c r="G19" s="45">
        <f t="shared" si="0"/>
        <v>65430.000000000007</v>
      </c>
      <c r="H19" s="45" t="s">
        <v>52</v>
      </c>
      <c r="I19" s="45" t="s">
        <v>52</v>
      </c>
      <c r="J19" s="93">
        <v>796.42791329315662</v>
      </c>
      <c r="K19" s="93">
        <v>132.73798554885946</v>
      </c>
      <c r="L19" s="93">
        <v>132.73798554885946</v>
      </c>
      <c r="M19" s="113" t="b">
        <v>1</v>
      </c>
      <c r="N19" s="113">
        <v>3</v>
      </c>
      <c r="O19" s="121" t="s">
        <v>204</v>
      </c>
      <c r="P19" s="113" t="b">
        <v>0</v>
      </c>
      <c r="Q19" s="113" t="b">
        <v>0</v>
      </c>
      <c r="R19" s="113" t="s">
        <v>52</v>
      </c>
      <c r="S19" s="113" t="b">
        <v>1</v>
      </c>
      <c r="T19" s="113" t="b">
        <v>0</v>
      </c>
      <c r="U19" s="113" t="s">
        <v>52</v>
      </c>
      <c r="V19" s="113" t="b">
        <v>0</v>
      </c>
      <c r="W19" s="113" t="b">
        <v>0</v>
      </c>
      <c r="X19" s="113" t="s">
        <v>52</v>
      </c>
      <c r="Y19" s="111" t="s">
        <v>139</v>
      </c>
      <c r="Z19" s="38" t="s">
        <v>138</v>
      </c>
      <c r="AA19" s="37" t="s">
        <v>142</v>
      </c>
      <c r="AB19" s="41" t="s">
        <v>149</v>
      </c>
      <c r="AC19" s="89" t="s">
        <v>167</v>
      </c>
      <c r="AD19" s="99" t="s">
        <v>52</v>
      </c>
      <c r="AE19" s="86">
        <v>29.3</v>
      </c>
      <c r="AF19" s="23">
        <v>-103.52</v>
      </c>
      <c r="AG19" s="33" t="s">
        <v>52</v>
      </c>
      <c r="AH19" s="33" t="s">
        <v>52</v>
      </c>
      <c r="AI19" s="33" t="s">
        <v>52</v>
      </c>
      <c r="AJ19" s="89">
        <v>65.430000000000007</v>
      </c>
      <c r="AK19" s="23" t="s">
        <v>52</v>
      </c>
      <c r="AL19" s="23" t="s">
        <v>52</v>
      </c>
      <c r="AM19" s="43" t="s">
        <v>150</v>
      </c>
      <c r="AN19" s="21">
        <v>-9.73</v>
      </c>
      <c r="AO19" s="21">
        <v>0.94000000000000128</v>
      </c>
      <c r="AP19" s="36">
        <v>3</v>
      </c>
      <c r="AQ19" s="87" t="s">
        <v>52</v>
      </c>
      <c r="AR19" s="20" t="s">
        <v>52</v>
      </c>
      <c r="AS19" s="20" t="s">
        <v>52</v>
      </c>
      <c r="AT19" s="16" t="s">
        <v>52</v>
      </c>
      <c r="AU19" s="16" t="s">
        <v>52</v>
      </c>
      <c r="AV19" s="16" t="s">
        <v>52</v>
      </c>
      <c r="AW19" s="16" t="s">
        <v>52</v>
      </c>
      <c r="AX19" s="88" t="s">
        <v>52</v>
      </c>
      <c r="AY19" s="16" t="s">
        <v>52</v>
      </c>
      <c r="AZ19" s="16" t="s">
        <v>52</v>
      </c>
      <c r="BA19" s="16" t="s">
        <v>52</v>
      </c>
      <c r="BB19" s="39" t="s">
        <v>52</v>
      </c>
      <c r="BC19" s="39" t="s">
        <v>52</v>
      </c>
      <c r="BD19" s="39" t="s">
        <v>52</v>
      </c>
      <c r="BE19" s="39">
        <v>3</v>
      </c>
      <c r="BF19" s="39" t="s">
        <v>52</v>
      </c>
      <c r="BG19" s="16" t="s">
        <v>52</v>
      </c>
      <c r="BH19" s="16" t="s">
        <v>52</v>
      </c>
      <c r="BI19" s="16" t="s">
        <v>52</v>
      </c>
      <c r="BJ19" s="39" t="s">
        <v>52</v>
      </c>
      <c r="BK19" s="36" t="s">
        <v>151</v>
      </c>
      <c r="BL19" s="16" t="s">
        <v>52</v>
      </c>
      <c r="BM19" s="16" t="s">
        <v>52</v>
      </c>
      <c r="BN19" s="16" t="s">
        <v>52</v>
      </c>
      <c r="BO19" s="16" t="s">
        <v>52</v>
      </c>
      <c r="BP19" s="16" t="s">
        <v>52</v>
      </c>
      <c r="BQ19" s="16" t="s">
        <v>52</v>
      </c>
      <c r="BR19" s="16" t="s">
        <v>52</v>
      </c>
      <c r="BS19" s="16" t="s">
        <v>52</v>
      </c>
      <c r="BT19" s="16" t="s">
        <v>52</v>
      </c>
      <c r="BU19" s="16" t="s">
        <v>52</v>
      </c>
      <c r="BV19" s="16" t="s">
        <v>52</v>
      </c>
      <c r="BW19" s="16" t="s">
        <v>52</v>
      </c>
      <c r="BX19" s="16" t="s">
        <v>52</v>
      </c>
      <c r="BY19" s="16" t="s">
        <v>52</v>
      </c>
      <c r="BZ19" s="16" t="s">
        <v>52</v>
      </c>
      <c r="CA19" s="16" t="s">
        <v>52</v>
      </c>
      <c r="CB19" s="16" t="s">
        <v>52</v>
      </c>
      <c r="CC19" s="16" t="s">
        <v>52</v>
      </c>
      <c r="CD19" s="16" t="s">
        <v>52</v>
      </c>
      <c r="CE19" s="16" t="s">
        <v>52</v>
      </c>
      <c r="CF19" s="16" t="s">
        <v>52</v>
      </c>
      <c r="CG19" s="16" t="s">
        <v>52</v>
      </c>
      <c r="CH19" s="16" t="s">
        <v>52</v>
      </c>
      <c r="CI19" s="16" t="s">
        <v>52</v>
      </c>
      <c r="CJ19" s="90">
        <v>-25.193000000000001</v>
      </c>
      <c r="CK19" s="5" t="s">
        <v>140</v>
      </c>
      <c r="CL19" s="30" t="s">
        <v>141</v>
      </c>
      <c r="CM19" s="17" t="s">
        <v>52</v>
      </c>
      <c r="CN19" s="77" t="s">
        <v>52</v>
      </c>
      <c r="CO19" s="17" t="s">
        <v>52</v>
      </c>
      <c r="CP19" s="90">
        <v>-5.93</v>
      </c>
      <c r="CQ19" s="5" t="s">
        <v>143</v>
      </c>
      <c r="CR19" s="29" t="s">
        <v>142</v>
      </c>
      <c r="CS19" s="75" t="s">
        <v>52</v>
      </c>
      <c r="CT19" s="78" t="s">
        <v>52</v>
      </c>
      <c r="CU19" s="24" t="s">
        <v>52</v>
      </c>
      <c r="CV19" s="91">
        <v>21.340300000000013</v>
      </c>
      <c r="CW19" s="5" t="s">
        <v>144</v>
      </c>
      <c r="CX19" s="17" t="s">
        <v>52</v>
      </c>
      <c r="CY19" s="17" t="s">
        <v>52</v>
      </c>
      <c r="CZ19" s="17" t="s">
        <v>52</v>
      </c>
      <c r="DA19" s="40" t="s">
        <v>52</v>
      </c>
      <c r="DB19" s="30" t="s">
        <v>145</v>
      </c>
      <c r="DC19" s="25">
        <v>-19.149163999999999</v>
      </c>
      <c r="DD19" s="17" t="s">
        <v>52</v>
      </c>
      <c r="DE19" s="17" t="s">
        <v>52</v>
      </c>
      <c r="DF19" s="17" t="s">
        <v>52</v>
      </c>
      <c r="DG19" s="17" t="s">
        <v>52</v>
      </c>
      <c r="DH19" s="17" t="s">
        <v>52</v>
      </c>
      <c r="DI19" s="17" t="s">
        <v>52</v>
      </c>
      <c r="DJ19" s="17" t="s">
        <v>52</v>
      </c>
      <c r="DK19" s="17" t="s">
        <v>52</v>
      </c>
      <c r="DL19" s="66" t="s">
        <v>52</v>
      </c>
      <c r="DM19" s="17">
        <v>6000</v>
      </c>
      <c r="DN19" s="5" t="s">
        <v>129</v>
      </c>
      <c r="DO19" s="17">
        <v>1000</v>
      </c>
      <c r="DP19" s="17">
        <v>1000</v>
      </c>
      <c r="DQ19" s="77" t="s">
        <v>129</v>
      </c>
      <c r="DR19" s="17" t="s">
        <v>146</v>
      </c>
      <c r="DS19" s="18" t="s">
        <v>43</v>
      </c>
      <c r="DT19" s="18" t="s">
        <v>52</v>
      </c>
      <c r="DU19" s="18" t="s">
        <v>52</v>
      </c>
      <c r="DV19" s="18" t="s">
        <v>52</v>
      </c>
      <c r="DW19" s="18" t="s">
        <v>52</v>
      </c>
      <c r="DX19" s="6" t="s">
        <v>44</v>
      </c>
      <c r="DY19" s="18" t="s">
        <v>42</v>
      </c>
      <c r="DZ19" s="18" t="s">
        <v>52</v>
      </c>
      <c r="EA19" s="18" t="s">
        <v>52</v>
      </c>
      <c r="EB19" s="34" t="s">
        <v>52</v>
      </c>
      <c r="EC19" s="34" t="s">
        <v>52</v>
      </c>
      <c r="ED19" s="34" t="s">
        <v>52</v>
      </c>
      <c r="EE19" s="19" t="s">
        <v>41</v>
      </c>
      <c r="EF19" s="18" t="s">
        <v>52</v>
      </c>
      <c r="EG19" s="35">
        <v>796.42791329315662</v>
      </c>
      <c r="EH19" s="94" t="s">
        <v>52</v>
      </c>
      <c r="EI19" s="35">
        <v>132.73798554885946</v>
      </c>
      <c r="EJ19" s="35">
        <v>132.73798554885946</v>
      </c>
      <c r="EK19" s="7" t="s">
        <v>147</v>
      </c>
      <c r="EL19" s="7" t="s">
        <v>148</v>
      </c>
      <c r="EM19" s="7" t="s">
        <v>148</v>
      </c>
      <c r="EN19" s="35" t="s">
        <v>128</v>
      </c>
      <c r="EO19" s="35" t="s">
        <v>128</v>
      </c>
      <c r="EP19" s="26" t="s">
        <v>203</v>
      </c>
    </row>
    <row r="20" spans="1:146" x14ac:dyDescent="0.2">
      <c r="A20" s="98" t="s">
        <v>188</v>
      </c>
      <c r="B20" s="32" t="s">
        <v>189</v>
      </c>
      <c r="C20" s="45" t="s">
        <v>53</v>
      </c>
      <c r="D20" s="45" t="s">
        <v>137</v>
      </c>
      <c r="E20" s="45">
        <v>2003</v>
      </c>
      <c r="F20" s="38" t="s">
        <v>138</v>
      </c>
      <c r="G20" s="45">
        <f t="shared" si="0"/>
        <v>65489.999999999993</v>
      </c>
      <c r="H20" s="45" t="s">
        <v>52</v>
      </c>
      <c r="I20" s="45" t="s">
        <v>52</v>
      </c>
      <c r="J20" s="93">
        <v>657.41116841543715</v>
      </c>
      <c r="K20" s="93">
        <v>109.56852806923951</v>
      </c>
      <c r="L20" s="93">
        <v>109.56852806923951</v>
      </c>
      <c r="M20" s="113" t="b">
        <v>1</v>
      </c>
      <c r="N20" s="113">
        <v>3</v>
      </c>
      <c r="O20" s="121" t="s">
        <v>204</v>
      </c>
      <c r="P20" s="113" t="b">
        <v>0</v>
      </c>
      <c r="Q20" s="113" t="b">
        <v>0</v>
      </c>
      <c r="R20" s="113" t="s">
        <v>52</v>
      </c>
      <c r="S20" s="113" t="b">
        <v>1</v>
      </c>
      <c r="T20" s="113" t="b">
        <v>0</v>
      </c>
      <c r="U20" s="113" t="s">
        <v>52</v>
      </c>
      <c r="V20" s="113" t="b">
        <v>0</v>
      </c>
      <c r="W20" s="113" t="b">
        <v>0</v>
      </c>
      <c r="X20" s="113" t="s">
        <v>52</v>
      </c>
      <c r="Y20" s="111" t="s">
        <v>139</v>
      </c>
      <c r="Z20" s="38" t="s">
        <v>138</v>
      </c>
      <c r="AA20" s="37" t="s">
        <v>142</v>
      </c>
      <c r="AB20" s="41" t="s">
        <v>149</v>
      </c>
      <c r="AC20" s="89" t="s">
        <v>168</v>
      </c>
      <c r="AD20" s="99" t="s">
        <v>52</v>
      </c>
      <c r="AE20" s="86">
        <v>29.3</v>
      </c>
      <c r="AF20" s="23">
        <v>-103.52</v>
      </c>
      <c r="AG20" s="33" t="s">
        <v>52</v>
      </c>
      <c r="AH20" s="33" t="s">
        <v>52</v>
      </c>
      <c r="AI20" s="33" t="s">
        <v>52</v>
      </c>
      <c r="AJ20" s="89">
        <v>65.489999999999995</v>
      </c>
      <c r="AK20" s="23" t="s">
        <v>52</v>
      </c>
      <c r="AL20" s="23" t="s">
        <v>52</v>
      </c>
      <c r="AM20" s="43" t="s">
        <v>150</v>
      </c>
      <c r="AN20" s="21">
        <v>-9.94</v>
      </c>
      <c r="AO20" s="21">
        <v>0.17999999999999972</v>
      </c>
      <c r="AP20" s="36">
        <v>3</v>
      </c>
      <c r="AQ20" s="87" t="s">
        <v>52</v>
      </c>
      <c r="AR20" s="20" t="s">
        <v>52</v>
      </c>
      <c r="AS20" s="20" t="s">
        <v>52</v>
      </c>
      <c r="AT20" s="16" t="s">
        <v>52</v>
      </c>
      <c r="AU20" s="16" t="s">
        <v>52</v>
      </c>
      <c r="AV20" s="16" t="s">
        <v>52</v>
      </c>
      <c r="AW20" s="16" t="s">
        <v>52</v>
      </c>
      <c r="AX20" s="88" t="s">
        <v>52</v>
      </c>
      <c r="AY20" s="16" t="s">
        <v>52</v>
      </c>
      <c r="AZ20" s="16" t="s">
        <v>52</v>
      </c>
      <c r="BA20" s="16" t="s">
        <v>52</v>
      </c>
      <c r="BB20" s="39" t="s">
        <v>52</v>
      </c>
      <c r="BC20" s="39" t="s">
        <v>52</v>
      </c>
      <c r="BD20" s="39" t="s">
        <v>52</v>
      </c>
      <c r="BE20" s="39">
        <v>3</v>
      </c>
      <c r="BF20" s="39" t="s">
        <v>52</v>
      </c>
      <c r="BG20" s="16" t="s">
        <v>52</v>
      </c>
      <c r="BH20" s="16" t="s">
        <v>52</v>
      </c>
      <c r="BI20" s="16" t="s">
        <v>52</v>
      </c>
      <c r="BJ20" s="39" t="s">
        <v>52</v>
      </c>
      <c r="BK20" s="36" t="s">
        <v>151</v>
      </c>
      <c r="BL20" s="16" t="s">
        <v>52</v>
      </c>
      <c r="BM20" s="16" t="s">
        <v>52</v>
      </c>
      <c r="BN20" s="16" t="s">
        <v>52</v>
      </c>
      <c r="BO20" s="16" t="s">
        <v>52</v>
      </c>
      <c r="BP20" s="16" t="s">
        <v>52</v>
      </c>
      <c r="BQ20" s="16" t="s">
        <v>52</v>
      </c>
      <c r="BR20" s="16" t="s">
        <v>52</v>
      </c>
      <c r="BS20" s="16" t="s">
        <v>52</v>
      </c>
      <c r="BT20" s="16" t="s">
        <v>52</v>
      </c>
      <c r="BU20" s="16" t="s">
        <v>52</v>
      </c>
      <c r="BV20" s="16" t="s">
        <v>52</v>
      </c>
      <c r="BW20" s="16" t="s">
        <v>52</v>
      </c>
      <c r="BX20" s="16" t="s">
        <v>52</v>
      </c>
      <c r="BY20" s="16" t="s">
        <v>52</v>
      </c>
      <c r="BZ20" s="16" t="s">
        <v>52</v>
      </c>
      <c r="CA20" s="16" t="s">
        <v>52</v>
      </c>
      <c r="CB20" s="16" t="s">
        <v>52</v>
      </c>
      <c r="CC20" s="16" t="s">
        <v>52</v>
      </c>
      <c r="CD20" s="16" t="s">
        <v>52</v>
      </c>
      <c r="CE20" s="16" t="s">
        <v>52</v>
      </c>
      <c r="CF20" s="16" t="s">
        <v>52</v>
      </c>
      <c r="CG20" s="16" t="s">
        <v>52</v>
      </c>
      <c r="CH20" s="16" t="s">
        <v>52</v>
      </c>
      <c r="CI20" s="16" t="s">
        <v>52</v>
      </c>
      <c r="CJ20" s="90">
        <v>-25.193000000000001</v>
      </c>
      <c r="CK20" s="5" t="s">
        <v>140</v>
      </c>
      <c r="CL20" s="30" t="s">
        <v>141</v>
      </c>
      <c r="CM20" s="17" t="s">
        <v>52</v>
      </c>
      <c r="CN20" s="77" t="s">
        <v>52</v>
      </c>
      <c r="CO20" s="17" t="s">
        <v>52</v>
      </c>
      <c r="CP20" s="90">
        <v>-5.93</v>
      </c>
      <c r="CQ20" s="5" t="s">
        <v>143</v>
      </c>
      <c r="CR20" s="29" t="s">
        <v>142</v>
      </c>
      <c r="CS20" s="75" t="s">
        <v>52</v>
      </c>
      <c r="CT20" s="78" t="s">
        <v>52</v>
      </c>
      <c r="CU20" s="24" t="s">
        <v>52</v>
      </c>
      <c r="CV20" s="91">
        <v>20.79</v>
      </c>
      <c r="CW20" s="5" t="s">
        <v>144</v>
      </c>
      <c r="CX20" s="17" t="s">
        <v>52</v>
      </c>
      <c r="CY20" s="17" t="s">
        <v>52</v>
      </c>
      <c r="CZ20" s="17" t="s">
        <v>52</v>
      </c>
      <c r="DA20" s="40" t="s">
        <v>52</v>
      </c>
      <c r="DB20" s="30" t="s">
        <v>145</v>
      </c>
      <c r="DC20" s="25">
        <v>-19.4252</v>
      </c>
      <c r="DD20" s="17" t="s">
        <v>52</v>
      </c>
      <c r="DE20" s="17" t="s">
        <v>52</v>
      </c>
      <c r="DF20" s="17" t="s">
        <v>52</v>
      </c>
      <c r="DG20" s="17" t="s">
        <v>52</v>
      </c>
      <c r="DH20" s="17" t="s">
        <v>52</v>
      </c>
      <c r="DI20" s="17" t="s">
        <v>52</v>
      </c>
      <c r="DJ20" s="17" t="s">
        <v>52</v>
      </c>
      <c r="DK20" s="17" t="s">
        <v>52</v>
      </c>
      <c r="DL20" s="66" t="s">
        <v>52</v>
      </c>
      <c r="DM20" s="17">
        <v>6000</v>
      </c>
      <c r="DN20" s="5" t="s">
        <v>129</v>
      </c>
      <c r="DO20" s="17">
        <v>1000</v>
      </c>
      <c r="DP20" s="17">
        <v>1000</v>
      </c>
      <c r="DQ20" s="77" t="s">
        <v>129</v>
      </c>
      <c r="DR20" s="17" t="s">
        <v>146</v>
      </c>
      <c r="DS20" s="18" t="s">
        <v>43</v>
      </c>
      <c r="DT20" s="18" t="s">
        <v>52</v>
      </c>
      <c r="DU20" s="18" t="s">
        <v>52</v>
      </c>
      <c r="DV20" s="18" t="s">
        <v>52</v>
      </c>
      <c r="DW20" s="18" t="s">
        <v>52</v>
      </c>
      <c r="DX20" s="6" t="s">
        <v>44</v>
      </c>
      <c r="DY20" s="18" t="s">
        <v>42</v>
      </c>
      <c r="DZ20" s="18" t="s">
        <v>52</v>
      </c>
      <c r="EA20" s="18" t="s">
        <v>52</v>
      </c>
      <c r="EB20" s="34" t="s">
        <v>52</v>
      </c>
      <c r="EC20" s="34" t="s">
        <v>52</v>
      </c>
      <c r="ED20" s="34" t="s">
        <v>52</v>
      </c>
      <c r="EE20" s="19" t="s">
        <v>41</v>
      </c>
      <c r="EF20" s="18" t="s">
        <v>52</v>
      </c>
      <c r="EG20" s="35">
        <v>657.41116841543715</v>
      </c>
      <c r="EH20" s="94" t="s">
        <v>52</v>
      </c>
      <c r="EI20" s="35">
        <v>109.56852806923951</v>
      </c>
      <c r="EJ20" s="35">
        <v>109.56852806923951</v>
      </c>
      <c r="EK20" s="7" t="s">
        <v>147</v>
      </c>
      <c r="EL20" s="7" t="s">
        <v>148</v>
      </c>
      <c r="EM20" s="7" t="s">
        <v>148</v>
      </c>
      <c r="EN20" s="35" t="s">
        <v>128</v>
      </c>
      <c r="EO20" s="35" t="s">
        <v>128</v>
      </c>
      <c r="EP20" s="26" t="s">
        <v>203</v>
      </c>
    </row>
    <row r="21" spans="1:146" x14ac:dyDescent="0.2">
      <c r="A21" s="98" t="s">
        <v>188</v>
      </c>
      <c r="B21" s="32" t="s">
        <v>189</v>
      </c>
      <c r="C21" s="45" t="s">
        <v>53</v>
      </c>
      <c r="D21" s="45" t="s">
        <v>137</v>
      </c>
      <c r="E21" s="45">
        <v>2003</v>
      </c>
      <c r="F21" s="38" t="s">
        <v>138</v>
      </c>
      <c r="G21" s="45">
        <f t="shared" si="0"/>
        <v>65540</v>
      </c>
      <c r="H21" s="45" t="s">
        <v>52</v>
      </c>
      <c r="I21" s="45" t="s">
        <v>52</v>
      </c>
      <c r="J21" s="93">
        <v>384.97285763059188</v>
      </c>
      <c r="K21" s="93">
        <v>64.162142938431998</v>
      </c>
      <c r="L21" s="93">
        <v>64.162142938431941</v>
      </c>
      <c r="M21" s="113" t="b">
        <v>1</v>
      </c>
      <c r="N21" s="113">
        <v>3</v>
      </c>
      <c r="O21" s="121" t="s">
        <v>204</v>
      </c>
      <c r="P21" s="113" t="b">
        <v>0</v>
      </c>
      <c r="Q21" s="113" t="b">
        <v>0</v>
      </c>
      <c r="R21" s="113" t="s">
        <v>52</v>
      </c>
      <c r="S21" s="113" t="b">
        <v>1</v>
      </c>
      <c r="T21" s="113" t="b">
        <v>0</v>
      </c>
      <c r="U21" s="113" t="s">
        <v>52</v>
      </c>
      <c r="V21" s="113" t="b">
        <v>0</v>
      </c>
      <c r="W21" s="113" t="b">
        <v>0</v>
      </c>
      <c r="X21" s="113" t="s">
        <v>52</v>
      </c>
      <c r="Y21" s="111" t="s">
        <v>139</v>
      </c>
      <c r="Z21" s="38" t="s">
        <v>138</v>
      </c>
      <c r="AA21" s="37" t="s">
        <v>142</v>
      </c>
      <c r="AB21" s="41" t="s">
        <v>149</v>
      </c>
      <c r="AC21" s="89" t="s">
        <v>169</v>
      </c>
      <c r="AD21" s="99" t="s">
        <v>52</v>
      </c>
      <c r="AE21" s="86">
        <v>29.3</v>
      </c>
      <c r="AF21" s="23">
        <v>-103.52</v>
      </c>
      <c r="AG21" s="33" t="s">
        <v>52</v>
      </c>
      <c r="AH21" s="33" t="s">
        <v>52</v>
      </c>
      <c r="AI21" s="33" t="s">
        <v>52</v>
      </c>
      <c r="AJ21" s="89">
        <v>65.540000000000006</v>
      </c>
      <c r="AK21" s="23" t="s">
        <v>52</v>
      </c>
      <c r="AL21" s="23" t="s">
        <v>52</v>
      </c>
      <c r="AM21" s="43" t="s">
        <v>150</v>
      </c>
      <c r="AN21" s="21">
        <v>-10.45</v>
      </c>
      <c r="AO21" s="21">
        <v>0.35999999999999943</v>
      </c>
      <c r="AP21" s="36">
        <v>3</v>
      </c>
      <c r="AQ21" s="87" t="s">
        <v>52</v>
      </c>
      <c r="AR21" s="20" t="s">
        <v>52</v>
      </c>
      <c r="AS21" s="20" t="s">
        <v>52</v>
      </c>
      <c r="AT21" s="16" t="s">
        <v>52</v>
      </c>
      <c r="AU21" s="16" t="s">
        <v>52</v>
      </c>
      <c r="AV21" s="16" t="s">
        <v>52</v>
      </c>
      <c r="AW21" s="16" t="s">
        <v>52</v>
      </c>
      <c r="AX21" s="88" t="s">
        <v>52</v>
      </c>
      <c r="AY21" s="16" t="s">
        <v>52</v>
      </c>
      <c r="AZ21" s="16" t="s">
        <v>52</v>
      </c>
      <c r="BA21" s="16" t="s">
        <v>52</v>
      </c>
      <c r="BB21" s="39" t="s">
        <v>52</v>
      </c>
      <c r="BC21" s="39" t="s">
        <v>52</v>
      </c>
      <c r="BD21" s="39" t="s">
        <v>52</v>
      </c>
      <c r="BE21" s="39">
        <v>3</v>
      </c>
      <c r="BF21" s="39" t="s">
        <v>52</v>
      </c>
      <c r="BG21" s="16" t="s">
        <v>52</v>
      </c>
      <c r="BH21" s="16" t="s">
        <v>52</v>
      </c>
      <c r="BI21" s="16" t="s">
        <v>52</v>
      </c>
      <c r="BJ21" s="39" t="s">
        <v>52</v>
      </c>
      <c r="BK21" s="36" t="s">
        <v>151</v>
      </c>
      <c r="BL21" s="16" t="s">
        <v>52</v>
      </c>
      <c r="BM21" s="16" t="s">
        <v>52</v>
      </c>
      <c r="BN21" s="16" t="s">
        <v>52</v>
      </c>
      <c r="BO21" s="16" t="s">
        <v>52</v>
      </c>
      <c r="BP21" s="16" t="s">
        <v>52</v>
      </c>
      <c r="BQ21" s="16" t="s">
        <v>52</v>
      </c>
      <c r="BR21" s="16" t="s">
        <v>52</v>
      </c>
      <c r="BS21" s="16" t="s">
        <v>52</v>
      </c>
      <c r="BT21" s="16" t="s">
        <v>52</v>
      </c>
      <c r="BU21" s="16" t="s">
        <v>52</v>
      </c>
      <c r="BV21" s="16" t="s">
        <v>52</v>
      </c>
      <c r="BW21" s="16" t="s">
        <v>52</v>
      </c>
      <c r="BX21" s="16" t="s">
        <v>52</v>
      </c>
      <c r="BY21" s="16" t="s">
        <v>52</v>
      </c>
      <c r="BZ21" s="16" t="s">
        <v>52</v>
      </c>
      <c r="CA21" s="16" t="s">
        <v>52</v>
      </c>
      <c r="CB21" s="16" t="s">
        <v>52</v>
      </c>
      <c r="CC21" s="16" t="s">
        <v>52</v>
      </c>
      <c r="CD21" s="16" t="s">
        <v>52</v>
      </c>
      <c r="CE21" s="16" t="s">
        <v>52</v>
      </c>
      <c r="CF21" s="16" t="s">
        <v>52</v>
      </c>
      <c r="CG21" s="16" t="s">
        <v>52</v>
      </c>
      <c r="CH21" s="16" t="s">
        <v>52</v>
      </c>
      <c r="CI21" s="16" t="s">
        <v>52</v>
      </c>
      <c r="CJ21" s="90">
        <v>-25.061000000000003</v>
      </c>
      <c r="CK21" s="5" t="s">
        <v>140</v>
      </c>
      <c r="CL21" s="30" t="s">
        <v>141</v>
      </c>
      <c r="CM21" s="17" t="s">
        <v>52</v>
      </c>
      <c r="CN21" s="77" t="s">
        <v>52</v>
      </c>
      <c r="CO21" s="17" t="s">
        <v>52</v>
      </c>
      <c r="CP21" s="90">
        <v>-5.8100000000000005</v>
      </c>
      <c r="CQ21" s="5" t="s">
        <v>143</v>
      </c>
      <c r="CR21" s="29" t="s">
        <v>142</v>
      </c>
      <c r="CS21" s="75" t="s">
        <v>52</v>
      </c>
      <c r="CT21" s="78" t="s">
        <v>52</v>
      </c>
      <c r="CU21" s="24" t="s">
        <v>52</v>
      </c>
      <c r="CV21" s="91">
        <v>21.34</v>
      </c>
      <c r="CW21" s="5" t="s">
        <v>144</v>
      </c>
      <c r="CX21" s="17" t="s">
        <v>52</v>
      </c>
      <c r="CY21" s="17" t="s">
        <v>52</v>
      </c>
      <c r="CZ21" s="17" t="s">
        <v>52</v>
      </c>
      <c r="DA21" s="40" t="s">
        <v>52</v>
      </c>
      <c r="DB21" s="30" t="s">
        <v>145</v>
      </c>
      <c r="DC21" s="25">
        <v>-19.869199999999999</v>
      </c>
      <c r="DD21" s="17" t="s">
        <v>52</v>
      </c>
      <c r="DE21" s="17" t="s">
        <v>52</v>
      </c>
      <c r="DF21" s="17" t="s">
        <v>52</v>
      </c>
      <c r="DG21" s="17" t="s">
        <v>52</v>
      </c>
      <c r="DH21" s="17" t="s">
        <v>52</v>
      </c>
      <c r="DI21" s="17" t="s">
        <v>52</v>
      </c>
      <c r="DJ21" s="17" t="s">
        <v>52</v>
      </c>
      <c r="DK21" s="17" t="s">
        <v>52</v>
      </c>
      <c r="DL21" s="66" t="s">
        <v>52</v>
      </c>
      <c r="DM21" s="17">
        <v>6000</v>
      </c>
      <c r="DN21" s="5" t="s">
        <v>129</v>
      </c>
      <c r="DO21" s="17">
        <v>1000</v>
      </c>
      <c r="DP21" s="17">
        <v>1000</v>
      </c>
      <c r="DQ21" s="77" t="s">
        <v>129</v>
      </c>
      <c r="DR21" s="17" t="s">
        <v>146</v>
      </c>
      <c r="DS21" s="18" t="s">
        <v>43</v>
      </c>
      <c r="DT21" s="18" t="s">
        <v>52</v>
      </c>
      <c r="DU21" s="18" t="s">
        <v>52</v>
      </c>
      <c r="DV21" s="18" t="s">
        <v>52</v>
      </c>
      <c r="DW21" s="18" t="s">
        <v>52</v>
      </c>
      <c r="DX21" s="6" t="s">
        <v>44</v>
      </c>
      <c r="DY21" s="18" t="s">
        <v>42</v>
      </c>
      <c r="DZ21" s="18" t="s">
        <v>52</v>
      </c>
      <c r="EA21" s="18" t="s">
        <v>52</v>
      </c>
      <c r="EB21" s="34" t="s">
        <v>52</v>
      </c>
      <c r="EC21" s="34" t="s">
        <v>52</v>
      </c>
      <c r="ED21" s="34" t="s">
        <v>52</v>
      </c>
      <c r="EE21" s="19" t="s">
        <v>41</v>
      </c>
      <c r="EF21" s="18" t="s">
        <v>52</v>
      </c>
      <c r="EG21" s="35">
        <v>384.97285763059188</v>
      </c>
      <c r="EH21" s="94" t="s">
        <v>52</v>
      </c>
      <c r="EI21" s="35">
        <v>64.162142938431998</v>
      </c>
      <c r="EJ21" s="35">
        <v>64.162142938431941</v>
      </c>
      <c r="EK21" s="7" t="s">
        <v>147</v>
      </c>
      <c r="EL21" s="7" t="s">
        <v>148</v>
      </c>
      <c r="EM21" s="7" t="s">
        <v>148</v>
      </c>
      <c r="EN21" s="35" t="s">
        <v>128</v>
      </c>
      <c r="EO21" s="35" t="s">
        <v>128</v>
      </c>
      <c r="EP21" s="26" t="s">
        <v>203</v>
      </c>
    </row>
    <row r="22" spans="1:146" x14ac:dyDescent="0.2">
      <c r="A22" s="98" t="s">
        <v>188</v>
      </c>
      <c r="B22" s="32" t="s">
        <v>189</v>
      </c>
      <c r="C22" s="45" t="s">
        <v>53</v>
      </c>
      <c r="D22" s="45" t="s">
        <v>137</v>
      </c>
      <c r="E22" s="45">
        <v>2003</v>
      </c>
      <c r="F22" s="38" t="s">
        <v>138</v>
      </c>
      <c r="G22" s="45">
        <f t="shared" si="0"/>
        <v>67540</v>
      </c>
      <c r="H22" s="45" t="s">
        <v>52</v>
      </c>
      <c r="I22" s="45" t="s">
        <v>52</v>
      </c>
      <c r="J22" s="93">
        <v>31.291155619052205</v>
      </c>
      <c r="K22" s="93">
        <v>5.2151926031753675</v>
      </c>
      <c r="L22" s="93">
        <v>5.2151926031753675</v>
      </c>
      <c r="M22" s="113" t="b">
        <v>1</v>
      </c>
      <c r="N22" s="113">
        <v>3</v>
      </c>
      <c r="O22" s="121" t="s">
        <v>204</v>
      </c>
      <c r="P22" s="113" t="b">
        <v>0</v>
      </c>
      <c r="Q22" s="113" t="b">
        <v>0</v>
      </c>
      <c r="R22" s="113" t="s">
        <v>52</v>
      </c>
      <c r="S22" s="113" t="b">
        <v>1</v>
      </c>
      <c r="T22" s="113" t="b">
        <v>0</v>
      </c>
      <c r="U22" s="113" t="s">
        <v>52</v>
      </c>
      <c r="V22" s="113" t="b">
        <v>0</v>
      </c>
      <c r="W22" s="113" t="b">
        <v>0</v>
      </c>
      <c r="X22" s="113" t="s">
        <v>52</v>
      </c>
      <c r="Y22" s="111" t="s">
        <v>139</v>
      </c>
      <c r="Z22" s="38" t="s">
        <v>138</v>
      </c>
      <c r="AA22" s="37" t="s">
        <v>142</v>
      </c>
      <c r="AB22" s="41" t="s">
        <v>149</v>
      </c>
      <c r="AC22" s="89" t="s">
        <v>170</v>
      </c>
      <c r="AD22" s="99" t="s">
        <v>52</v>
      </c>
      <c r="AE22" s="86">
        <v>29.3</v>
      </c>
      <c r="AF22" s="23">
        <v>-103.52</v>
      </c>
      <c r="AG22" s="33" t="s">
        <v>52</v>
      </c>
      <c r="AH22" s="33" t="s">
        <v>52</v>
      </c>
      <c r="AI22" s="33" t="s">
        <v>52</v>
      </c>
      <c r="AJ22" s="89">
        <v>67.540000000000006</v>
      </c>
      <c r="AK22" s="23" t="s">
        <v>52</v>
      </c>
      <c r="AL22" s="23" t="s">
        <v>52</v>
      </c>
      <c r="AM22" s="43" t="s">
        <v>150</v>
      </c>
      <c r="AN22" s="21">
        <v>-10.16</v>
      </c>
      <c r="AO22" s="21">
        <v>0.26000000000000156</v>
      </c>
      <c r="AP22" s="36">
        <v>3</v>
      </c>
      <c r="AQ22" s="87" t="s">
        <v>52</v>
      </c>
      <c r="AR22" s="20" t="s">
        <v>52</v>
      </c>
      <c r="AS22" s="20" t="s">
        <v>52</v>
      </c>
      <c r="AT22" s="16" t="s">
        <v>52</v>
      </c>
      <c r="AU22" s="16" t="s">
        <v>52</v>
      </c>
      <c r="AV22" s="16" t="s">
        <v>52</v>
      </c>
      <c r="AW22" s="16" t="s">
        <v>52</v>
      </c>
      <c r="AX22" s="88" t="s">
        <v>52</v>
      </c>
      <c r="AY22" s="16" t="s">
        <v>52</v>
      </c>
      <c r="AZ22" s="16" t="s">
        <v>52</v>
      </c>
      <c r="BA22" s="16" t="s">
        <v>52</v>
      </c>
      <c r="BB22" s="39" t="s">
        <v>52</v>
      </c>
      <c r="BC22" s="39" t="s">
        <v>52</v>
      </c>
      <c r="BD22" s="39" t="s">
        <v>52</v>
      </c>
      <c r="BE22" s="39">
        <v>3</v>
      </c>
      <c r="BF22" s="39" t="s">
        <v>52</v>
      </c>
      <c r="BG22" s="16" t="s">
        <v>52</v>
      </c>
      <c r="BH22" s="16" t="s">
        <v>52</v>
      </c>
      <c r="BI22" s="16" t="s">
        <v>52</v>
      </c>
      <c r="BJ22" s="39" t="s">
        <v>52</v>
      </c>
      <c r="BK22" s="36" t="s">
        <v>151</v>
      </c>
      <c r="BL22" s="16" t="s">
        <v>52</v>
      </c>
      <c r="BM22" s="16" t="s">
        <v>52</v>
      </c>
      <c r="BN22" s="16" t="s">
        <v>52</v>
      </c>
      <c r="BO22" s="16" t="s">
        <v>52</v>
      </c>
      <c r="BP22" s="16" t="s">
        <v>52</v>
      </c>
      <c r="BQ22" s="16" t="s">
        <v>52</v>
      </c>
      <c r="BR22" s="16" t="s">
        <v>52</v>
      </c>
      <c r="BS22" s="16" t="s">
        <v>52</v>
      </c>
      <c r="BT22" s="16" t="s">
        <v>52</v>
      </c>
      <c r="BU22" s="16" t="s">
        <v>52</v>
      </c>
      <c r="BV22" s="16" t="s">
        <v>52</v>
      </c>
      <c r="BW22" s="16" t="s">
        <v>52</v>
      </c>
      <c r="BX22" s="16" t="s">
        <v>52</v>
      </c>
      <c r="BY22" s="16" t="s">
        <v>52</v>
      </c>
      <c r="BZ22" s="16" t="s">
        <v>52</v>
      </c>
      <c r="CA22" s="16" t="s">
        <v>52</v>
      </c>
      <c r="CB22" s="16" t="s">
        <v>52</v>
      </c>
      <c r="CC22" s="16" t="s">
        <v>52</v>
      </c>
      <c r="CD22" s="16" t="s">
        <v>52</v>
      </c>
      <c r="CE22" s="16" t="s">
        <v>52</v>
      </c>
      <c r="CF22" s="16" t="s">
        <v>52</v>
      </c>
      <c r="CG22" s="16" t="s">
        <v>52</v>
      </c>
      <c r="CH22" s="16" t="s">
        <v>52</v>
      </c>
      <c r="CI22" s="16" t="s">
        <v>52</v>
      </c>
      <c r="CJ22" s="90">
        <v>-24.588000000000001</v>
      </c>
      <c r="CK22" s="5" t="s">
        <v>140</v>
      </c>
      <c r="CL22" s="30" t="s">
        <v>141</v>
      </c>
      <c r="CM22" s="17" t="s">
        <v>52</v>
      </c>
      <c r="CN22" s="77" t="s">
        <v>52</v>
      </c>
      <c r="CO22" s="17" t="s">
        <v>52</v>
      </c>
      <c r="CP22" s="90">
        <v>-5.38</v>
      </c>
      <c r="CQ22" s="5" t="s">
        <v>143</v>
      </c>
      <c r="CR22" s="29" t="s">
        <v>142</v>
      </c>
      <c r="CS22" s="75" t="s">
        <v>52</v>
      </c>
      <c r="CT22" s="78" t="s">
        <v>52</v>
      </c>
      <c r="CU22" s="24" t="s">
        <v>52</v>
      </c>
      <c r="CV22" s="91">
        <v>16.010000000000002</v>
      </c>
      <c r="CW22" s="5" t="s">
        <v>144</v>
      </c>
      <c r="CX22" s="17" t="s">
        <v>52</v>
      </c>
      <c r="CY22" s="17" t="s">
        <v>52</v>
      </c>
      <c r="CZ22" s="17" t="s">
        <v>52</v>
      </c>
      <c r="DA22" s="40" t="s">
        <v>52</v>
      </c>
      <c r="DB22" s="30" t="s">
        <v>145</v>
      </c>
      <c r="DC22" s="25">
        <v>-20.218800000000002</v>
      </c>
      <c r="DD22" s="17" t="s">
        <v>52</v>
      </c>
      <c r="DE22" s="17" t="s">
        <v>52</v>
      </c>
      <c r="DF22" s="17" t="s">
        <v>52</v>
      </c>
      <c r="DG22" s="17" t="s">
        <v>52</v>
      </c>
      <c r="DH22" s="17" t="s">
        <v>52</v>
      </c>
      <c r="DI22" s="17" t="s">
        <v>52</v>
      </c>
      <c r="DJ22" s="17" t="s">
        <v>52</v>
      </c>
      <c r="DK22" s="17" t="s">
        <v>52</v>
      </c>
      <c r="DL22" s="66" t="s">
        <v>52</v>
      </c>
      <c r="DM22" s="17">
        <v>6000</v>
      </c>
      <c r="DN22" s="5" t="s">
        <v>129</v>
      </c>
      <c r="DO22" s="17">
        <v>1000</v>
      </c>
      <c r="DP22" s="17">
        <v>1000</v>
      </c>
      <c r="DQ22" s="77" t="s">
        <v>129</v>
      </c>
      <c r="DR22" s="17" t="s">
        <v>146</v>
      </c>
      <c r="DS22" s="18" t="s">
        <v>43</v>
      </c>
      <c r="DT22" s="18" t="s">
        <v>52</v>
      </c>
      <c r="DU22" s="18" t="s">
        <v>52</v>
      </c>
      <c r="DV22" s="18" t="s">
        <v>52</v>
      </c>
      <c r="DW22" s="18" t="s">
        <v>52</v>
      </c>
      <c r="DX22" s="6" t="s">
        <v>44</v>
      </c>
      <c r="DY22" s="18" t="s">
        <v>42</v>
      </c>
      <c r="DZ22" s="18" t="s">
        <v>52</v>
      </c>
      <c r="EA22" s="18" t="s">
        <v>52</v>
      </c>
      <c r="EB22" s="34" t="s">
        <v>52</v>
      </c>
      <c r="EC22" s="34" t="s">
        <v>52</v>
      </c>
      <c r="ED22" s="34" t="s">
        <v>52</v>
      </c>
      <c r="EE22" s="19" t="s">
        <v>41</v>
      </c>
      <c r="EF22" s="18" t="s">
        <v>52</v>
      </c>
      <c r="EG22" s="35">
        <v>31.291155619052205</v>
      </c>
      <c r="EH22" s="94" t="s">
        <v>52</v>
      </c>
      <c r="EI22" s="35">
        <v>5.2151926031753675</v>
      </c>
      <c r="EJ22" s="35">
        <v>5.2151926031753675</v>
      </c>
      <c r="EK22" s="7" t="s">
        <v>147</v>
      </c>
      <c r="EL22" s="7" t="s">
        <v>148</v>
      </c>
      <c r="EM22" s="7" t="s">
        <v>148</v>
      </c>
      <c r="EN22" s="35" t="s">
        <v>128</v>
      </c>
      <c r="EO22" s="35" t="s">
        <v>128</v>
      </c>
      <c r="EP22" s="26" t="s">
        <v>203</v>
      </c>
    </row>
    <row r="23" spans="1:146" x14ac:dyDescent="0.2">
      <c r="A23" s="98" t="s">
        <v>188</v>
      </c>
      <c r="B23" s="32" t="s">
        <v>189</v>
      </c>
      <c r="C23" s="45" t="s">
        <v>53</v>
      </c>
      <c r="D23" s="45" t="s">
        <v>137</v>
      </c>
      <c r="E23" s="45">
        <v>2003</v>
      </c>
      <c r="F23" s="38" t="s">
        <v>138</v>
      </c>
      <c r="G23" s="45">
        <f>AJ23*1000</f>
        <v>67760</v>
      </c>
      <c r="H23" s="45" t="s">
        <v>52</v>
      </c>
      <c r="I23" s="45" t="s">
        <v>52</v>
      </c>
      <c r="J23" s="93">
        <v>512.06995896749299</v>
      </c>
      <c r="K23" s="93">
        <v>85.344993161248851</v>
      </c>
      <c r="L23" s="93">
        <v>85.344993161248794</v>
      </c>
      <c r="M23" s="113" t="b">
        <v>1</v>
      </c>
      <c r="N23" s="113">
        <v>3</v>
      </c>
      <c r="O23" s="121" t="s">
        <v>204</v>
      </c>
      <c r="P23" s="113" t="b">
        <v>0</v>
      </c>
      <c r="Q23" s="113" t="b">
        <v>0</v>
      </c>
      <c r="R23" s="113" t="s">
        <v>52</v>
      </c>
      <c r="S23" s="113" t="b">
        <v>1</v>
      </c>
      <c r="T23" s="113" t="b">
        <v>0</v>
      </c>
      <c r="U23" s="113" t="s">
        <v>52</v>
      </c>
      <c r="V23" s="113" t="b">
        <v>0</v>
      </c>
      <c r="W23" s="113" t="b">
        <v>0</v>
      </c>
      <c r="X23" s="113" t="s">
        <v>52</v>
      </c>
      <c r="Y23" s="111" t="s">
        <v>139</v>
      </c>
      <c r="Z23" s="38" t="s">
        <v>138</v>
      </c>
      <c r="AA23" s="37" t="s">
        <v>142</v>
      </c>
      <c r="AB23" s="41" t="s">
        <v>149</v>
      </c>
      <c r="AC23" s="89" t="s">
        <v>171</v>
      </c>
      <c r="AD23" s="99" t="s">
        <v>52</v>
      </c>
      <c r="AE23" s="86">
        <v>29.3</v>
      </c>
      <c r="AF23" s="23">
        <v>-103.52</v>
      </c>
      <c r="AG23" s="33" t="s">
        <v>52</v>
      </c>
      <c r="AH23" s="33" t="s">
        <v>52</v>
      </c>
      <c r="AI23" s="33" t="s">
        <v>52</v>
      </c>
      <c r="AJ23" s="89">
        <v>67.760000000000005</v>
      </c>
      <c r="AK23" s="23" t="s">
        <v>52</v>
      </c>
      <c r="AL23" s="23" t="s">
        <v>52</v>
      </c>
      <c r="AM23" s="43" t="s">
        <v>150</v>
      </c>
      <c r="AN23" s="21">
        <v>-9.15</v>
      </c>
      <c r="AO23" s="21">
        <v>0.83999999999999986</v>
      </c>
      <c r="AP23" s="36">
        <v>3</v>
      </c>
      <c r="AQ23" s="87" t="s">
        <v>52</v>
      </c>
      <c r="AR23" s="20" t="s">
        <v>52</v>
      </c>
      <c r="AS23" s="20" t="s">
        <v>52</v>
      </c>
      <c r="AT23" s="16" t="s">
        <v>52</v>
      </c>
      <c r="AU23" s="16" t="s">
        <v>52</v>
      </c>
      <c r="AV23" s="16" t="s">
        <v>52</v>
      </c>
      <c r="AW23" s="16" t="s">
        <v>52</v>
      </c>
      <c r="AX23" s="88" t="s">
        <v>52</v>
      </c>
      <c r="AY23" s="16" t="s">
        <v>52</v>
      </c>
      <c r="AZ23" s="16" t="s">
        <v>52</v>
      </c>
      <c r="BA23" s="16" t="s">
        <v>52</v>
      </c>
      <c r="BB23" s="39" t="s">
        <v>52</v>
      </c>
      <c r="BC23" s="39" t="s">
        <v>52</v>
      </c>
      <c r="BD23" s="39" t="s">
        <v>52</v>
      </c>
      <c r="BE23" s="39">
        <v>3</v>
      </c>
      <c r="BF23" s="39" t="s">
        <v>52</v>
      </c>
      <c r="BG23" s="16" t="s">
        <v>52</v>
      </c>
      <c r="BH23" s="16" t="s">
        <v>52</v>
      </c>
      <c r="BI23" s="16" t="s">
        <v>52</v>
      </c>
      <c r="BJ23" s="39" t="s">
        <v>52</v>
      </c>
      <c r="BK23" s="36" t="s">
        <v>151</v>
      </c>
      <c r="BL23" s="16" t="s">
        <v>52</v>
      </c>
      <c r="BM23" s="16" t="s">
        <v>52</v>
      </c>
      <c r="BN23" s="16" t="s">
        <v>52</v>
      </c>
      <c r="BO23" s="16" t="s">
        <v>52</v>
      </c>
      <c r="BP23" s="16" t="s">
        <v>52</v>
      </c>
      <c r="BQ23" s="16" t="s">
        <v>52</v>
      </c>
      <c r="BR23" s="16" t="s">
        <v>52</v>
      </c>
      <c r="BS23" s="16" t="s">
        <v>52</v>
      </c>
      <c r="BT23" s="16" t="s">
        <v>52</v>
      </c>
      <c r="BU23" s="16" t="s">
        <v>52</v>
      </c>
      <c r="BV23" s="16" t="s">
        <v>52</v>
      </c>
      <c r="BW23" s="16" t="s">
        <v>52</v>
      </c>
      <c r="BX23" s="16" t="s">
        <v>52</v>
      </c>
      <c r="BY23" s="16" t="s">
        <v>52</v>
      </c>
      <c r="BZ23" s="16" t="s">
        <v>52</v>
      </c>
      <c r="CA23" s="16" t="s">
        <v>52</v>
      </c>
      <c r="CB23" s="16" t="s">
        <v>52</v>
      </c>
      <c r="CC23" s="16" t="s">
        <v>52</v>
      </c>
      <c r="CD23" s="16" t="s">
        <v>52</v>
      </c>
      <c r="CE23" s="16" t="s">
        <v>52</v>
      </c>
      <c r="CF23" s="16" t="s">
        <v>52</v>
      </c>
      <c r="CG23" s="16" t="s">
        <v>52</v>
      </c>
      <c r="CH23" s="16" t="s">
        <v>52</v>
      </c>
      <c r="CI23" s="16" t="s">
        <v>52</v>
      </c>
      <c r="CJ23" s="90">
        <v>-24.610000000000003</v>
      </c>
      <c r="CK23" s="5" t="s">
        <v>140</v>
      </c>
      <c r="CL23" s="30" t="s">
        <v>141</v>
      </c>
      <c r="CM23" s="17" t="s">
        <v>52</v>
      </c>
      <c r="CN23" s="77" t="s">
        <v>52</v>
      </c>
      <c r="CO23" s="17" t="s">
        <v>52</v>
      </c>
      <c r="CP23" s="90">
        <v>-5.4</v>
      </c>
      <c r="CQ23" s="5" t="s">
        <v>143</v>
      </c>
      <c r="CR23" s="29" t="s">
        <v>142</v>
      </c>
      <c r="CS23" s="75" t="s">
        <v>52</v>
      </c>
      <c r="CT23" s="78" t="s">
        <v>52</v>
      </c>
      <c r="CU23" s="24" t="s">
        <v>52</v>
      </c>
      <c r="CV23" s="91">
        <v>16.54</v>
      </c>
      <c r="CW23" s="5" t="s">
        <v>144</v>
      </c>
      <c r="CX23" s="17" t="s">
        <v>52</v>
      </c>
      <c r="CY23" s="17" t="s">
        <v>52</v>
      </c>
      <c r="CZ23" s="17" t="s">
        <v>52</v>
      </c>
      <c r="DA23" s="40" t="s">
        <v>52</v>
      </c>
      <c r="DB23" s="30" t="s">
        <v>145</v>
      </c>
      <c r="DC23" s="25">
        <v>-19.145200000000003</v>
      </c>
      <c r="DD23" s="17" t="s">
        <v>52</v>
      </c>
      <c r="DE23" s="17" t="s">
        <v>52</v>
      </c>
      <c r="DF23" s="17" t="s">
        <v>52</v>
      </c>
      <c r="DG23" s="17" t="s">
        <v>52</v>
      </c>
      <c r="DH23" s="17" t="s">
        <v>52</v>
      </c>
      <c r="DI23" s="17" t="s">
        <v>52</v>
      </c>
      <c r="DJ23" s="17" t="s">
        <v>52</v>
      </c>
      <c r="DK23" s="17" t="s">
        <v>52</v>
      </c>
      <c r="DL23" s="66" t="s">
        <v>52</v>
      </c>
      <c r="DM23" s="17">
        <v>6000</v>
      </c>
      <c r="DN23" s="5" t="s">
        <v>129</v>
      </c>
      <c r="DO23" s="17">
        <v>1000</v>
      </c>
      <c r="DP23" s="17">
        <v>1000</v>
      </c>
      <c r="DQ23" s="77" t="s">
        <v>129</v>
      </c>
      <c r="DR23" s="17" t="s">
        <v>146</v>
      </c>
      <c r="DS23" s="18" t="s">
        <v>43</v>
      </c>
      <c r="DT23" s="18" t="s">
        <v>52</v>
      </c>
      <c r="DU23" s="18" t="s">
        <v>52</v>
      </c>
      <c r="DV23" s="18" t="s">
        <v>52</v>
      </c>
      <c r="DW23" s="18" t="s">
        <v>52</v>
      </c>
      <c r="DX23" s="6" t="s">
        <v>44</v>
      </c>
      <c r="DY23" s="18" t="s">
        <v>42</v>
      </c>
      <c r="DZ23" s="18" t="s">
        <v>52</v>
      </c>
      <c r="EA23" s="18" t="s">
        <v>52</v>
      </c>
      <c r="EB23" s="34" t="s">
        <v>52</v>
      </c>
      <c r="EC23" s="34" t="s">
        <v>52</v>
      </c>
      <c r="ED23" s="34" t="s">
        <v>52</v>
      </c>
      <c r="EE23" s="19" t="s">
        <v>41</v>
      </c>
      <c r="EF23" s="18" t="s">
        <v>52</v>
      </c>
      <c r="EG23" s="35">
        <v>512.06995896749299</v>
      </c>
      <c r="EH23" s="94" t="s">
        <v>52</v>
      </c>
      <c r="EI23" s="35">
        <v>85.344993161248851</v>
      </c>
      <c r="EJ23" s="35">
        <v>85.344993161248794</v>
      </c>
      <c r="EK23" s="7" t="s">
        <v>147</v>
      </c>
      <c r="EL23" s="7" t="s">
        <v>148</v>
      </c>
      <c r="EM23" s="7" t="s">
        <v>148</v>
      </c>
      <c r="EN23" s="35" t="s">
        <v>128</v>
      </c>
      <c r="EO23" s="35" t="s">
        <v>128</v>
      </c>
      <c r="EP23" s="26" t="s">
        <v>203</v>
      </c>
    </row>
    <row r="24" spans="1:146" x14ac:dyDescent="0.2">
      <c r="A24" s="98" t="s">
        <v>188</v>
      </c>
      <c r="B24" s="32" t="s">
        <v>189</v>
      </c>
      <c r="C24" s="45" t="s">
        <v>53</v>
      </c>
      <c r="D24" s="45" t="s">
        <v>137</v>
      </c>
      <c r="E24" s="45">
        <v>2003</v>
      </c>
      <c r="F24" s="38" t="s">
        <v>138</v>
      </c>
      <c r="G24" s="45">
        <f t="shared" si="0"/>
        <v>67910</v>
      </c>
      <c r="H24" s="45" t="s">
        <v>52</v>
      </c>
      <c r="I24" s="45" t="s">
        <v>52</v>
      </c>
      <c r="J24" s="93">
        <v>329.24932142049272</v>
      </c>
      <c r="K24" s="93">
        <v>54.874886903415472</v>
      </c>
      <c r="L24" s="93">
        <v>54.874886903415415</v>
      </c>
      <c r="M24" s="113" t="b">
        <v>1</v>
      </c>
      <c r="N24" s="113">
        <v>3</v>
      </c>
      <c r="O24" s="121" t="s">
        <v>204</v>
      </c>
      <c r="P24" s="113" t="b">
        <v>0</v>
      </c>
      <c r="Q24" s="113" t="b">
        <v>0</v>
      </c>
      <c r="R24" s="113" t="s">
        <v>52</v>
      </c>
      <c r="S24" s="113" t="b">
        <v>1</v>
      </c>
      <c r="T24" s="113" t="b">
        <v>0</v>
      </c>
      <c r="U24" s="113" t="s">
        <v>52</v>
      </c>
      <c r="V24" s="113" t="b">
        <v>0</v>
      </c>
      <c r="W24" s="113" t="b">
        <v>0</v>
      </c>
      <c r="X24" s="113" t="s">
        <v>52</v>
      </c>
      <c r="Y24" s="111" t="s">
        <v>139</v>
      </c>
      <c r="Z24" s="38" t="s">
        <v>138</v>
      </c>
      <c r="AA24" s="37" t="s">
        <v>142</v>
      </c>
      <c r="AB24" s="41" t="s">
        <v>149</v>
      </c>
      <c r="AC24" s="89" t="s">
        <v>172</v>
      </c>
      <c r="AD24" s="99" t="s">
        <v>52</v>
      </c>
      <c r="AE24" s="86">
        <v>29.3</v>
      </c>
      <c r="AF24" s="23">
        <v>-103.52</v>
      </c>
      <c r="AG24" s="33" t="s">
        <v>52</v>
      </c>
      <c r="AH24" s="33" t="s">
        <v>52</v>
      </c>
      <c r="AI24" s="33" t="s">
        <v>52</v>
      </c>
      <c r="AJ24" s="89">
        <v>67.91</v>
      </c>
      <c r="AK24" s="23" t="s">
        <v>52</v>
      </c>
      <c r="AL24" s="23" t="s">
        <v>52</v>
      </c>
      <c r="AM24" s="43" t="s">
        <v>150</v>
      </c>
      <c r="AN24" s="21">
        <v>-9.92</v>
      </c>
      <c r="AO24" s="21">
        <v>0.17999999999999972</v>
      </c>
      <c r="AP24" s="36">
        <v>3</v>
      </c>
      <c r="AQ24" s="87" t="s">
        <v>52</v>
      </c>
      <c r="AR24" s="20" t="s">
        <v>52</v>
      </c>
      <c r="AS24" s="20" t="s">
        <v>52</v>
      </c>
      <c r="AT24" s="16" t="s">
        <v>52</v>
      </c>
      <c r="AU24" s="16" t="s">
        <v>52</v>
      </c>
      <c r="AV24" s="16" t="s">
        <v>52</v>
      </c>
      <c r="AW24" s="16" t="s">
        <v>52</v>
      </c>
      <c r="AX24" s="88" t="s">
        <v>52</v>
      </c>
      <c r="AY24" s="16" t="s">
        <v>52</v>
      </c>
      <c r="AZ24" s="16" t="s">
        <v>52</v>
      </c>
      <c r="BA24" s="16" t="s">
        <v>52</v>
      </c>
      <c r="BB24" s="39" t="s">
        <v>52</v>
      </c>
      <c r="BC24" s="39" t="s">
        <v>52</v>
      </c>
      <c r="BD24" s="39" t="s">
        <v>52</v>
      </c>
      <c r="BE24" s="39">
        <v>3</v>
      </c>
      <c r="BF24" s="39" t="s">
        <v>52</v>
      </c>
      <c r="BG24" s="16" t="s">
        <v>52</v>
      </c>
      <c r="BH24" s="16" t="s">
        <v>52</v>
      </c>
      <c r="BI24" s="16" t="s">
        <v>52</v>
      </c>
      <c r="BJ24" s="39" t="s">
        <v>52</v>
      </c>
      <c r="BK24" s="36" t="s">
        <v>151</v>
      </c>
      <c r="BL24" s="16" t="s">
        <v>52</v>
      </c>
      <c r="BM24" s="16" t="s">
        <v>52</v>
      </c>
      <c r="BN24" s="16" t="s">
        <v>52</v>
      </c>
      <c r="BO24" s="16" t="s">
        <v>52</v>
      </c>
      <c r="BP24" s="16" t="s">
        <v>52</v>
      </c>
      <c r="BQ24" s="16" t="s">
        <v>52</v>
      </c>
      <c r="BR24" s="16" t="s">
        <v>52</v>
      </c>
      <c r="BS24" s="16" t="s">
        <v>52</v>
      </c>
      <c r="BT24" s="16" t="s">
        <v>52</v>
      </c>
      <c r="BU24" s="16" t="s">
        <v>52</v>
      </c>
      <c r="BV24" s="16" t="s">
        <v>52</v>
      </c>
      <c r="BW24" s="16" t="s">
        <v>52</v>
      </c>
      <c r="BX24" s="16" t="s">
        <v>52</v>
      </c>
      <c r="BY24" s="16" t="s">
        <v>52</v>
      </c>
      <c r="BZ24" s="16" t="s">
        <v>52</v>
      </c>
      <c r="CA24" s="16" t="s">
        <v>52</v>
      </c>
      <c r="CB24" s="16" t="s">
        <v>52</v>
      </c>
      <c r="CC24" s="16" t="s">
        <v>52</v>
      </c>
      <c r="CD24" s="16" t="s">
        <v>52</v>
      </c>
      <c r="CE24" s="16" t="s">
        <v>52</v>
      </c>
      <c r="CF24" s="16" t="s">
        <v>52</v>
      </c>
      <c r="CG24" s="16" t="s">
        <v>52</v>
      </c>
      <c r="CH24" s="16" t="s">
        <v>52</v>
      </c>
      <c r="CI24" s="16" t="s">
        <v>52</v>
      </c>
      <c r="CJ24" s="90">
        <v>-24.665000000000003</v>
      </c>
      <c r="CK24" s="5" t="s">
        <v>140</v>
      </c>
      <c r="CL24" s="30" t="s">
        <v>141</v>
      </c>
      <c r="CM24" s="17" t="s">
        <v>52</v>
      </c>
      <c r="CN24" s="77" t="s">
        <v>52</v>
      </c>
      <c r="CO24" s="17" t="s">
        <v>52</v>
      </c>
      <c r="CP24" s="90">
        <v>-5.45</v>
      </c>
      <c r="CQ24" s="5" t="s">
        <v>143</v>
      </c>
      <c r="CR24" s="29" t="s">
        <v>142</v>
      </c>
      <c r="CS24" s="75" t="s">
        <v>52</v>
      </c>
      <c r="CT24" s="78" t="s">
        <v>52</v>
      </c>
      <c r="CU24" s="24" t="s">
        <v>52</v>
      </c>
      <c r="CV24" s="91">
        <v>19.190000000000001</v>
      </c>
      <c r="CW24" s="5" t="s">
        <v>144</v>
      </c>
      <c r="CX24" s="17" t="s">
        <v>52</v>
      </c>
      <c r="CY24" s="17" t="s">
        <v>52</v>
      </c>
      <c r="CZ24" s="17" t="s">
        <v>52</v>
      </c>
      <c r="DA24" s="40" t="s">
        <v>52</v>
      </c>
      <c r="DB24" s="30" t="s">
        <v>145</v>
      </c>
      <c r="DC24" s="25">
        <v>-19.597200000000001</v>
      </c>
      <c r="DD24" s="17" t="s">
        <v>52</v>
      </c>
      <c r="DE24" s="17" t="s">
        <v>52</v>
      </c>
      <c r="DF24" s="17" t="s">
        <v>52</v>
      </c>
      <c r="DG24" s="17" t="s">
        <v>52</v>
      </c>
      <c r="DH24" s="17" t="s">
        <v>52</v>
      </c>
      <c r="DI24" s="17" t="s">
        <v>52</v>
      </c>
      <c r="DJ24" s="17" t="s">
        <v>52</v>
      </c>
      <c r="DK24" s="17" t="s">
        <v>52</v>
      </c>
      <c r="DL24" s="66" t="s">
        <v>52</v>
      </c>
      <c r="DM24" s="17">
        <v>6000</v>
      </c>
      <c r="DN24" s="5" t="s">
        <v>129</v>
      </c>
      <c r="DO24" s="17">
        <v>1000</v>
      </c>
      <c r="DP24" s="17">
        <v>1000</v>
      </c>
      <c r="DQ24" s="77" t="s">
        <v>129</v>
      </c>
      <c r="DR24" s="17" t="s">
        <v>146</v>
      </c>
      <c r="DS24" s="18" t="s">
        <v>43</v>
      </c>
      <c r="DT24" s="18" t="s">
        <v>52</v>
      </c>
      <c r="DU24" s="18" t="s">
        <v>52</v>
      </c>
      <c r="DV24" s="18" t="s">
        <v>52</v>
      </c>
      <c r="DW24" s="18" t="s">
        <v>52</v>
      </c>
      <c r="DX24" s="6" t="s">
        <v>44</v>
      </c>
      <c r="DY24" s="18" t="s">
        <v>42</v>
      </c>
      <c r="DZ24" s="18" t="s">
        <v>52</v>
      </c>
      <c r="EA24" s="18" t="s">
        <v>52</v>
      </c>
      <c r="EB24" s="34" t="s">
        <v>52</v>
      </c>
      <c r="EC24" s="34" t="s">
        <v>52</v>
      </c>
      <c r="ED24" s="34" t="s">
        <v>52</v>
      </c>
      <c r="EE24" s="19" t="s">
        <v>41</v>
      </c>
      <c r="EF24" s="18" t="s">
        <v>52</v>
      </c>
      <c r="EG24" s="35">
        <v>329.24932142049272</v>
      </c>
      <c r="EH24" s="94" t="s">
        <v>52</v>
      </c>
      <c r="EI24" s="35">
        <v>54.874886903415472</v>
      </c>
      <c r="EJ24" s="35">
        <v>54.874886903415415</v>
      </c>
      <c r="EK24" s="7" t="s">
        <v>147</v>
      </c>
      <c r="EL24" s="7" t="s">
        <v>148</v>
      </c>
      <c r="EM24" s="7" t="s">
        <v>148</v>
      </c>
      <c r="EN24" s="35" t="s">
        <v>128</v>
      </c>
      <c r="EO24" s="35" t="s">
        <v>128</v>
      </c>
      <c r="EP24" s="26" t="s">
        <v>203</v>
      </c>
    </row>
    <row r="25" spans="1:146" x14ac:dyDescent="0.2">
      <c r="A25" s="98" t="s">
        <v>188</v>
      </c>
      <c r="B25" s="32" t="s">
        <v>189</v>
      </c>
      <c r="C25" s="45" t="s">
        <v>53</v>
      </c>
      <c r="D25" s="45" t="s">
        <v>137</v>
      </c>
      <c r="E25" s="45">
        <v>2003</v>
      </c>
      <c r="F25" s="38" t="s">
        <v>138</v>
      </c>
      <c r="G25" s="45">
        <f t="shared" si="0"/>
        <v>68080</v>
      </c>
      <c r="H25" s="45" t="s">
        <v>52</v>
      </c>
      <c r="I25" s="45" t="s">
        <v>52</v>
      </c>
      <c r="J25" s="93">
        <v>475.08389446001974</v>
      </c>
      <c r="K25" s="93">
        <v>79.180649076669965</v>
      </c>
      <c r="L25" s="93">
        <v>79.180649076669908</v>
      </c>
      <c r="M25" s="113" t="b">
        <v>1</v>
      </c>
      <c r="N25" s="113">
        <v>3</v>
      </c>
      <c r="O25" s="121" t="s">
        <v>204</v>
      </c>
      <c r="P25" s="113" t="b">
        <v>0</v>
      </c>
      <c r="Q25" s="113" t="b">
        <v>0</v>
      </c>
      <c r="R25" s="113" t="s">
        <v>52</v>
      </c>
      <c r="S25" s="113" t="b">
        <v>1</v>
      </c>
      <c r="T25" s="113" t="b">
        <v>0</v>
      </c>
      <c r="U25" s="113" t="s">
        <v>52</v>
      </c>
      <c r="V25" s="113" t="b">
        <v>0</v>
      </c>
      <c r="W25" s="113" t="b">
        <v>0</v>
      </c>
      <c r="X25" s="113" t="s">
        <v>52</v>
      </c>
      <c r="Y25" s="111" t="s">
        <v>139</v>
      </c>
      <c r="Z25" s="38" t="s">
        <v>138</v>
      </c>
      <c r="AA25" s="37" t="s">
        <v>142</v>
      </c>
      <c r="AB25" s="41" t="s">
        <v>149</v>
      </c>
      <c r="AC25" s="89" t="s">
        <v>173</v>
      </c>
      <c r="AD25" s="99" t="s">
        <v>52</v>
      </c>
      <c r="AE25" s="86">
        <v>29.3</v>
      </c>
      <c r="AF25" s="23">
        <v>-103.52</v>
      </c>
      <c r="AG25" s="33" t="s">
        <v>52</v>
      </c>
      <c r="AH25" s="33" t="s">
        <v>52</v>
      </c>
      <c r="AI25" s="33" t="s">
        <v>52</v>
      </c>
      <c r="AJ25" s="89">
        <v>68.08</v>
      </c>
      <c r="AK25" s="23" t="s">
        <v>52</v>
      </c>
      <c r="AL25" s="23" t="s">
        <v>52</v>
      </c>
      <c r="AM25" s="43" t="s">
        <v>150</v>
      </c>
      <c r="AN25" s="21">
        <v>-9.5399999999999991</v>
      </c>
      <c r="AO25" s="21">
        <v>0.57999999999999829</v>
      </c>
      <c r="AP25" s="36">
        <v>3</v>
      </c>
      <c r="AQ25" s="87" t="s">
        <v>52</v>
      </c>
      <c r="AR25" s="20" t="s">
        <v>52</v>
      </c>
      <c r="AS25" s="20" t="s">
        <v>52</v>
      </c>
      <c r="AT25" s="16" t="s">
        <v>52</v>
      </c>
      <c r="AU25" s="16" t="s">
        <v>52</v>
      </c>
      <c r="AV25" s="16" t="s">
        <v>52</v>
      </c>
      <c r="AW25" s="16" t="s">
        <v>52</v>
      </c>
      <c r="AX25" s="88" t="s">
        <v>52</v>
      </c>
      <c r="AY25" s="16" t="s">
        <v>52</v>
      </c>
      <c r="AZ25" s="16" t="s">
        <v>52</v>
      </c>
      <c r="BA25" s="16" t="s">
        <v>52</v>
      </c>
      <c r="BB25" s="39" t="s">
        <v>52</v>
      </c>
      <c r="BC25" s="39" t="s">
        <v>52</v>
      </c>
      <c r="BD25" s="39" t="s">
        <v>52</v>
      </c>
      <c r="BE25" s="39">
        <v>3</v>
      </c>
      <c r="BF25" s="39" t="s">
        <v>52</v>
      </c>
      <c r="BG25" s="16" t="s">
        <v>52</v>
      </c>
      <c r="BH25" s="16" t="s">
        <v>52</v>
      </c>
      <c r="BI25" s="16" t="s">
        <v>52</v>
      </c>
      <c r="BJ25" s="39" t="s">
        <v>52</v>
      </c>
      <c r="BK25" s="36" t="s">
        <v>151</v>
      </c>
      <c r="BL25" s="16" t="s">
        <v>52</v>
      </c>
      <c r="BM25" s="16" t="s">
        <v>52</v>
      </c>
      <c r="BN25" s="16" t="s">
        <v>52</v>
      </c>
      <c r="BO25" s="16" t="s">
        <v>52</v>
      </c>
      <c r="BP25" s="16" t="s">
        <v>52</v>
      </c>
      <c r="BQ25" s="16" t="s">
        <v>52</v>
      </c>
      <c r="BR25" s="16" t="s">
        <v>52</v>
      </c>
      <c r="BS25" s="16" t="s">
        <v>52</v>
      </c>
      <c r="BT25" s="16" t="s">
        <v>52</v>
      </c>
      <c r="BU25" s="16" t="s">
        <v>52</v>
      </c>
      <c r="BV25" s="16" t="s">
        <v>52</v>
      </c>
      <c r="BW25" s="16" t="s">
        <v>52</v>
      </c>
      <c r="BX25" s="16" t="s">
        <v>52</v>
      </c>
      <c r="BY25" s="16" t="s">
        <v>52</v>
      </c>
      <c r="BZ25" s="16" t="s">
        <v>52</v>
      </c>
      <c r="CA25" s="16" t="s">
        <v>52</v>
      </c>
      <c r="CB25" s="16" t="s">
        <v>52</v>
      </c>
      <c r="CC25" s="16" t="s">
        <v>52</v>
      </c>
      <c r="CD25" s="16" t="s">
        <v>52</v>
      </c>
      <c r="CE25" s="16" t="s">
        <v>52</v>
      </c>
      <c r="CF25" s="16" t="s">
        <v>52</v>
      </c>
      <c r="CG25" s="16" t="s">
        <v>52</v>
      </c>
      <c r="CH25" s="16" t="s">
        <v>52</v>
      </c>
      <c r="CI25" s="16" t="s">
        <v>52</v>
      </c>
      <c r="CJ25" s="90">
        <v>-24.808000000000003</v>
      </c>
      <c r="CK25" s="5" t="s">
        <v>140</v>
      </c>
      <c r="CL25" s="30" t="s">
        <v>141</v>
      </c>
      <c r="CM25" s="17" t="s">
        <v>52</v>
      </c>
      <c r="CN25" s="77" t="s">
        <v>52</v>
      </c>
      <c r="CO25" s="17" t="s">
        <v>52</v>
      </c>
      <c r="CP25" s="90">
        <v>-5.58</v>
      </c>
      <c r="CQ25" s="5" t="s">
        <v>143</v>
      </c>
      <c r="CR25" s="29" t="s">
        <v>142</v>
      </c>
      <c r="CS25" s="75" t="s">
        <v>52</v>
      </c>
      <c r="CT25" s="78" t="s">
        <v>52</v>
      </c>
      <c r="CU25" s="24" t="s">
        <v>52</v>
      </c>
      <c r="CV25" s="91">
        <v>17.489999999999998</v>
      </c>
      <c r="CW25" s="5" t="s">
        <v>144</v>
      </c>
      <c r="CX25" s="17" t="s">
        <v>52</v>
      </c>
      <c r="CY25" s="17" t="s">
        <v>52</v>
      </c>
      <c r="CZ25" s="17" t="s">
        <v>52</v>
      </c>
      <c r="DA25" s="40" t="s">
        <v>52</v>
      </c>
      <c r="DB25" s="30" t="s">
        <v>145</v>
      </c>
      <c r="DC25" s="25">
        <v>-19.421199999999999</v>
      </c>
      <c r="DD25" s="17" t="s">
        <v>52</v>
      </c>
      <c r="DE25" s="17" t="s">
        <v>52</v>
      </c>
      <c r="DF25" s="17" t="s">
        <v>52</v>
      </c>
      <c r="DG25" s="17" t="s">
        <v>52</v>
      </c>
      <c r="DH25" s="17" t="s">
        <v>52</v>
      </c>
      <c r="DI25" s="17" t="s">
        <v>52</v>
      </c>
      <c r="DJ25" s="17" t="s">
        <v>52</v>
      </c>
      <c r="DK25" s="17" t="s">
        <v>52</v>
      </c>
      <c r="DL25" s="66" t="s">
        <v>52</v>
      </c>
      <c r="DM25" s="17">
        <v>6000</v>
      </c>
      <c r="DN25" s="5" t="s">
        <v>129</v>
      </c>
      <c r="DO25" s="17">
        <v>1000</v>
      </c>
      <c r="DP25" s="17">
        <v>1000</v>
      </c>
      <c r="DQ25" s="77" t="s">
        <v>129</v>
      </c>
      <c r="DR25" s="17" t="s">
        <v>146</v>
      </c>
      <c r="DS25" s="18" t="s">
        <v>43</v>
      </c>
      <c r="DT25" s="18" t="s">
        <v>52</v>
      </c>
      <c r="DU25" s="18" t="s">
        <v>52</v>
      </c>
      <c r="DV25" s="18" t="s">
        <v>52</v>
      </c>
      <c r="DW25" s="18" t="s">
        <v>52</v>
      </c>
      <c r="DX25" s="6" t="s">
        <v>44</v>
      </c>
      <c r="DY25" s="18" t="s">
        <v>42</v>
      </c>
      <c r="DZ25" s="18" t="s">
        <v>52</v>
      </c>
      <c r="EA25" s="18" t="s">
        <v>52</v>
      </c>
      <c r="EB25" s="34" t="s">
        <v>52</v>
      </c>
      <c r="EC25" s="34" t="s">
        <v>52</v>
      </c>
      <c r="ED25" s="34" t="s">
        <v>52</v>
      </c>
      <c r="EE25" s="19" t="s">
        <v>41</v>
      </c>
      <c r="EF25" s="18" t="s">
        <v>52</v>
      </c>
      <c r="EG25" s="35">
        <v>475.08389446001974</v>
      </c>
      <c r="EH25" s="94" t="s">
        <v>52</v>
      </c>
      <c r="EI25" s="35">
        <v>79.180649076669965</v>
      </c>
      <c r="EJ25" s="35">
        <v>79.180649076669908</v>
      </c>
      <c r="EK25" s="7" t="s">
        <v>147</v>
      </c>
      <c r="EL25" s="7" t="s">
        <v>148</v>
      </c>
      <c r="EM25" s="7" t="s">
        <v>148</v>
      </c>
      <c r="EN25" s="35" t="s">
        <v>128</v>
      </c>
      <c r="EO25" s="35" t="s">
        <v>128</v>
      </c>
      <c r="EP25" s="26" t="s">
        <v>203</v>
      </c>
    </row>
    <row r="26" spans="1:146" x14ac:dyDescent="0.2">
      <c r="A26" s="98" t="s">
        <v>188</v>
      </c>
      <c r="B26" s="32" t="s">
        <v>189</v>
      </c>
      <c r="C26" s="45" t="s">
        <v>53</v>
      </c>
      <c r="D26" s="45" t="s">
        <v>137</v>
      </c>
      <c r="E26" s="45">
        <v>2003</v>
      </c>
      <c r="F26" s="38" t="s">
        <v>138</v>
      </c>
      <c r="G26" s="45">
        <f t="shared" si="0"/>
        <v>68250</v>
      </c>
      <c r="H26" s="45" t="s">
        <v>52</v>
      </c>
      <c r="I26" s="45" t="s">
        <v>52</v>
      </c>
      <c r="J26" s="93">
        <v>414.8814539210079</v>
      </c>
      <c r="K26" s="93">
        <v>69.14690898683466</v>
      </c>
      <c r="L26" s="93">
        <v>69.14690898683466</v>
      </c>
      <c r="M26" s="113" t="b">
        <v>1</v>
      </c>
      <c r="N26" s="113">
        <v>3</v>
      </c>
      <c r="O26" s="121" t="s">
        <v>204</v>
      </c>
      <c r="P26" s="113" t="b">
        <v>0</v>
      </c>
      <c r="Q26" s="113" t="b">
        <v>0</v>
      </c>
      <c r="R26" s="113" t="s">
        <v>52</v>
      </c>
      <c r="S26" s="113" t="b">
        <v>1</v>
      </c>
      <c r="T26" s="113" t="b">
        <v>0</v>
      </c>
      <c r="U26" s="113" t="s">
        <v>52</v>
      </c>
      <c r="V26" s="113" t="b">
        <v>0</v>
      </c>
      <c r="W26" s="113" t="b">
        <v>0</v>
      </c>
      <c r="X26" s="113" t="s">
        <v>52</v>
      </c>
      <c r="Y26" s="111" t="s">
        <v>139</v>
      </c>
      <c r="Z26" s="38" t="s">
        <v>138</v>
      </c>
      <c r="AA26" s="37" t="s">
        <v>142</v>
      </c>
      <c r="AB26" s="41" t="s">
        <v>149</v>
      </c>
      <c r="AC26" s="89" t="s">
        <v>174</v>
      </c>
      <c r="AD26" s="99" t="s">
        <v>52</v>
      </c>
      <c r="AE26" s="86">
        <v>29.3</v>
      </c>
      <c r="AF26" s="23">
        <v>-103.52</v>
      </c>
      <c r="AG26" s="33" t="s">
        <v>52</v>
      </c>
      <c r="AH26" s="33" t="s">
        <v>52</v>
      </c>
      <c r="AI26" s="33" t="s">
        <v>52</v>
      </c>
      <c r="AJ26" s="89">
        <v>68.25</v>
      </c>
      <c r="AK26" s="23" t="s">
        <v>52</v>
      </c>
      <c r="AL26" s="23" t="s">
        <v>52</v>
      </c>
      <c r="AM26" s="43" t="s">
        <v>150</v>
      </c>
      <c r="AN26" s="21">
        <v>-9.8699999999999992</v>
      </c>
      <c r="AO26" s="21">
        <v>0.5</v>
      </c>
      <c r="AP26" s="36">
        <v>3</v>
      </c>
      <c r="AQ26" s="87" t="s">
        <v>52</v>
      </c>
      <c r="AR26" s="20" t="s">
        <v>52</v>
      </c>
      <c r="AS26" s="20" t="s">
        <v>52</v>
      </c>
      <c r="AT26" s="16" t="s">
        <v>52</v>
      </c>
      <c r="AU26" s="16" t="s">
        <v>52</v>
      </c>
      <c r="AV26" s="16" t="s">
        <v>52</v>
      </c>
      <c r="AW26" s="16" t="s">
        <v>52</v>
      </c>
      <c r="AX26" s="88" t="s">
        <v>52</v>
      </c>
      <c r="AY26" s="16" t="s">
        <v>52</v>
      </c>
      <c r="AZ26" s="16" t="s">
        <v>52</v>
      </c>
      <c r="BA26" s="16" t="s">
        <v>52</v>
      </c>
      <c r="BB26" s="39" t="s">
        <v>52</v>
      </c>
      <c r="BC26" s="39" t="s">
        <v>52</v>
      </c>
      <c r="BD26" s="39" t="s">
        <v>52</v>
      </c>
      <c r="BE26" s="39">
        <v>3</v>
      </c>
      <c r="BF26" s="39" t="s">
        <v>52</v>
      </c>
      <c r="BG26" s="16" t="s">
        <v>52</v>
      </c>
      <c r="BH26" s="16" t="s">
        <v>52</v>
      </c>
      <c r="BI26" s="16" t="s">
        <v>52</v>
      </c>
      <c r="BJ26" s="39" t="s">
        <v>52</v>
      </c>
      <c r="BK26" s="36" t="s">
        <v>151</v>
      </c>
      <c r="BL26" s="16" t="s">
        <v>52</v>
      </c>
      <c r="BM26" s="16" t="s">
        <v>52</v>
      </c>
      <c r="BN26" s="16" t="s">
        <v>52</v>
      </c>
      <c r="BO26" s="16" t="s">
        <v>52</v>
      </c>
      <c r="BP26" s="16" t="s">
        <v>52</v>
      </c>
      <c r="BQ26" s="16" t="s">
        <v>52</v>
      </c>
      <c r="BR26" s="16" t="s">
        <v>52</v>
      </c>
      <c r="BS26" s="16" t="s">
        <v>52</v>
      </c>
      <c r="BT26" s="16" t="s">
        <v>52</v>
      </c>
      <c r="BU26" s="16" t="s">
        <v>52</v>
      </c>
      <c r="BV26" s="16" t="s">
        <v>52</v>
      </c>
      <c r="BW26" s="16" t="s">
        <v>52</v>
      </c>
      <c r="BX26" s="16" t="s">
        <v>52</v>
      </c>
      <c r="BY26" s="16" t="s">
        <v>52</v>
      </c>
      <c r="BZ26" s="16" t="s">
        <v>52</v>
      </c>
      <c r="CA26" s="16" t="s">
        <v>52</v>
      </c>
      <c r="CB26" s="16" t="s">
        <v>52</v>
      </c>
      <c r="CC26" s="16" t="s">
        <v>52</v>
      </c>
      <c r="CD26" s="16" t="s">
        <v>52</v>
      </c>
      <c r="CE26" s="16" t="s">
        <v>52</v>
      </c>
      <c r="CF26" s="16" t="s">
        <v>52</v>
      </c>
      <c r="CG26" s="16" t="s">
        <v>52</v>
      </c>
      <c r="CH26" s="16" t="s">
        <v>52</v>
      </c>
      <c r="CI26" s="16" t="s">
        <v>52</v>
      </c>
      <c r="CJ26" s="90">
        <v>-24.863000000000003</v>
      </c>
      <c r="CK26" s="5" t="s">
        <v>140</v>
      </c>
      <c r="CL26" s="30" t="s">
        <v>141</v>
      </c>
      <c r="CM26" s="17" t="s">
        <v>52</v>
      </c>
      <c r="CN26" s="77" t="s">
        <v>52</v>
      </c>
      <c r="CO26" s="17" t="s">
        <v>52</v>
      </c>
      <c r="CP26" s="90">
        <v>-5.63</v>
      </c>
      <c r="CQ26" s="5" t="s">
        <v>143</v>
      </c>
      <c r="CR26" s="29" t="s">
        <v>142</v>
      </c>
      <c r="CS26" s="75" t="s">
        <v>52</v>
      </c>
      <c r="CT26" s="78" t="s">
        <v>52</v>
      </c>
      <c r="CU26" s="24" t="s">
        <v>52</v>
      </c>
      <c r="CV26" s="91">
        <v>18.7</v>
      </c>
      <c r="CW26" s="5" t="s">
        <v>144</v>
      </c>
      <c r="CX26" s="17" t="s">
        <v>52</v>
      </c>
      <c r="CY26" s="17" t="s">
        <v>52</v>
      </c>
      <c r="CZ26" s="17" t="s">
        <v>52</v>
      </c>
      <c r="DA26" s="40" t="s">
        <v>52</v>
      </c>
      <c r="DB26" s="30" t="s">
        <v>145</v>
      </c>
      <c r="DC26" s="25">
        <v>-19.606000000000002</v>
      </c>
      <c r="DD26" s="17" t="s">
        <v>52</v>
      </c>
      <c r="DE26" s="17" t="s">
        <v>52</v>
      </c>
      <c r="DF26" s="17" t="s">
        <v>52</v>
      </c>
      <c r="DG26" s="17" t="s">
        <v>52</v>
      </c>
      <c r="DH26" s="17" t="s">
        <v>52</v>
      </c>
      <c r="DI26" s="17" t="s">
        <v>52</v>
      </c>
      <c r="DJ26" s="17" t="s">
        <v>52</v>
      </c>
      <c r="DK26" s="17" t="s">
        <v>52</v>
      </c>
      <c r="DL26" s="66" t="s">
        <v>52</v>
      </c>
      <c r="DM26" s="17">
        <v>6000</v>
      </c>
      <c r="DN26" s="5" t="s">
        <v>129</v>
      </c>
      <c r="DO26" s="17">
        <v>1000</v>
      </c>
      <c r="DP26" s="17">
        <v>1000</v>
      </c>
      <c r="DQ26" s="77" t="s">
        <v>129</v>
      </c>
      <c r="DR26" s="17" t="s">
        <v>146</v>
      </c>
      <c r="DS26" s="18" t="s">
        <v>43</v>
      </c>
      <c r="DT26" s="18" t="s">
        <v>52</v>
      </c>
      <c r="DU26" s="18" t="s">
        <v>52</v>
      </c>
      <c r="DV26" s="18" t="s">
        <v>52</v>
      </c>
      <c r="DW26" s="18" t="s">
        <v>52</v>
      </c>
      <c r="DX26" s="6" t="s">
        <v>44</v>
      </c>
      <c r="DY26" s="18" t="s">
        <v>42</v>
      </c>
      <c r="DZ26" s="18" t="s">
        <v>52</v>
      </c>
      <c r="EA26" s="18" t="s">
        <v>52</v>
      </c>
      <c r="EB26" s="34" t="s">
        <v>52</v>
      </c>
      <c r="EC26" s="34" t="s">
        <v>52</v>
      </c>
      <c r="ED26" s="34" t="s">
        <v>52</v>
      </c>
      <c r="EE26" s="19" t="s">
        <v>41</v>
      </c>
      <c r="EF26" s="18" t="s">
        <v>52</v>
      </c>
      <c r="EG26" s="35">
        <v>414.8814539210079</v>
      </c>
      <c r="EH26" s="94" t="s">
        <v>52</v>
      </c>
      <c r="EI26" s="35">
        <v>69.14690898683466</v>
      </c>
      <c r="EJ26" s="35">
        <v>69.14690898683466</v>
      </c>
      <c r="EK26" s="7" t="s">
        <v>147</v>
      </c>
      <c r="EL26" s="7" t="s">
        <v>148</v>
      </c>
      <c r="EM26" s="7" t="s">
        <v>148</v>
      </c>
      <c r="EN26" s="35" t="s">
        <v>128</v>
      </c>
      <c r="EO26" s="35" t="s">
        <v>128</v>
      </c>
      <c r="EP26" s="26" t="s">
        <v>203</v>
      </c>
    </row>
    <row r="27" spans="1:146" x14ac:dyDescent="0.2">
      <c r="A27" s="98" t="s">
        <v>188</v>
      </c>
      <c r="B27" s="32" t="s">
        <v>189</v>
      </c>
      <c r="C27" s="45" t="s">
        <v>53</v>
      </c>
      <c r="D27" s="45" t="s">
        <v>137</v>
      </c>
      <c r="E27" s="45">
        <v>2003</v>
      </c>
      <c r="F27" s="38" t="s">
        <v>138</v>
      </c>
      <c r="G27" s="45">
        <f t="shared" si="0"/>
        <v>68400</v>
      </c>
      <c r="H27" s="45" t="s">
        <v>52</v>
      </c>
      <c r="I27" s="45" t="s">
        <v>52</v>
      </c>
      <c r="J27" s="93">
        <v>606.71466038013978</v>
      </c>
      <c r="K27" s="93">
        <v>101.11911006335663</v>
      </c>
      <c r="L27" s="93">
        <v>101.11911006335663</v>
      </c>
      <c r="M27" s="113" t="b">
        <v>1</v>
      </c>
      <c r="N27" s="113">
        <v>3</v>
      </c>
      <c r="O27" s="121" t="s">
        <v>204</v>
      </c>
      <c r="P27" s="113" t="b">
        <v>0</v>
      </c>
      <c r="Q27" s="113" t="b">
        <v>0</v>
      </c>
      <c r="R27" s="113" t="s">
        <v>52</v>
      </c>
      <c r="S27" s="113" t="b">
        <v>1</v>
      </c>
      <c r="T27" s="113" t="b">
        <v>0</v>
      </c>
      <c r="U27" s="113" t="s">
        <v>52</v>
      </c>
      <c r="V27" s="113" t="b">
        <v>0</v>
      </c>
      <c r="W27" s="113" t="b">
        <v>0</v>
      </c>
      <c r="X27" s="113" t="s">
        <v>52</v>
      </c>
      <c r="Y27" s="111" t="s">
        <v>139</v>
      </c>
      <c r="Z27" s="38" t="s">
        <v>138</v>
      </c>
      <c r="AA27" s="37" t="s">
        <v>142</v>
      </c>
      <c r="AB27" s="41" t="s">
        <v>149</v>
      </c>
      <c r="AC27" s="89" t="s">
        <v>175</v>
      </c>
      <c r="AD27" s="99" t="s">
        <v>52</v>
      </c>
      <c r="AE27" s="86">
        <v>29.3</v>
      </c>
      <c r="AF27" s="23">
        <v>-103.52</v>
      </c>
      <c r="AG27" s="33" t="s">
        <v>52</v>
      </c>
      <c r="AH27" s="33" t="s">
        <v>52</v>
      </c>
      <c r="AI27" s="33" t="s">
        <v>52</v>
      </c>
      <c r="AJ27" s="89">
        <v>68.400000000000006</v>
      </c>
      <c r="AK27" s="23" t="s">
        <v>52</v>
      </c>
      <c r="AL27" s="23" t="s">
        <v>52</v>
      </c>
      <c r="AM27" s="43" t="s">
        <v>150</v>
      </c>
      <c r="AN27" s="21">
        <v>-9.58</v>
      </c>
      <c r="AO27" s="21">
        <v>0.53999999999999915</v>
      </c>
      <c r="AP27" s="36">
        <v>3</v>
      </c>
      <c r="AQ27" s="87" t="s">
        <v>52</v>
      </c>
      <c r="AR27" s="20" t="s">
        <v>52</v>
      </c>
      <c r="AS27" s="20" t="s">
        <v>52</v>
      </c>
      <c r="AT27" s="16" t="s">
        <v>52</v>
      </c>
      <c r="AU27" s="16" t="s">
        <v>52</v>
      </c>
      <c r="AV27" s="16" t="s">
        <v>52</v>
      </c>
      <c r="AW27" s="16" t="s">
        <v>52</v>
      </c>
      <c r="AX27" s="88" t="s">
        <v>52</v>
      </c>
      <c r="AY27" s="16" t="s">
        <v>52</v>
      </c>
      <c r="AZ27" s="16" t="s">
        <v>52</v>
      </c>
      <c r="BA27" s="16" t="s">
        <v>52</v>
      </c>
      <c r="BB27" s="39" t="s">
        <v>52</v>
      </c>
      <c r="BC27" s="39" t="s">
        <v>52</v>
      </c>
      <c r="BD27" s="39" t="s">
        <v>52</v>
      </c>
      <c r="BE27" s="39">
        <v>3</v>
      </c>
      <c r="BF27" s="39" t="s">
        <v>52</v>
      </c>
      <c r="BG27" s="16" t="s">
        <v>52</v>
      </c>
      <c r="BH27" s="16" t="s">
        <v>52</v>
      </c>
      <c r="BI27" s="16" t="s">
        <v>52</v>
      </c>
      <c r="BJ27" s="39" t="s">
        <v>52</v>
      </c>
      <c r="BK27" s="36" t="s">
        <v>151</v>
      </c>
      <c r="BL27" s="16" t="s">
        <v>52</v>
      </c>
      <c r="BM27" s="16" t="s">
        <v>52</v>
      </c>
      <c r="BN27" s="16" t="s">
        <v>52</v>
      </c>
      <c r="BO27" s="16" t="s">
        <v>52</v>
      </c>
      <c r="BP27" s="16" t="s">
        <v>52</v>
      </c>
      <c r="BQ27" s="16" t="s">
        <v>52</v>
      </c>
      <c r="BR27" s="16" t="s">
        <v>52</v>
      </c>
      <c r="BS27" s="16" t="s">
        <v>52</v>
      </c>
      <c r="BT27" s="16" t="s">
        <v>52</v>
      </c>
      <c r="BU27" s="16" t="s">
        <v>52</v>
      </c>
      <c r="BV27" s="16" t="s">
        <v>52</v>
      </c>
      <c r="BW27" s="16" t="s">
        <v>52</v>
      </c>
      <c r="BX27" s="16" t="s">
        <v>52</v>
      </c>
      <c r="BY27" s="16" t="s">
        <v>52</v>
      </c>
      <c r="BZ27" s="16" t="s">
        <v>52</v>
      </c>
      <c r="CA27" s="16" t="s">
        <v>52</v>
      </c>
      <c r="CB27" s="16" t="s">
        <v>52</v>
      </c>
      <c r="CC27" s="16" t="s">
        <v>52</v>
      </c>
      <c r="CD27" s="16" t="s">
        <v>52</v>
      </c>
      <c r="CE27" s="16" t="s">
        <v>52</v>
      </c>
      <c r="CF27" s="16" t="s">
        <v>52</v>
      </c>
      <c r="CG27" s="16" t="s">
        <v>52</v>
      </c>
      <c r="CH27" s="16" t="s">
        <v>52</v>
      </c>
      <c r="CI27" s="16" t="s">
        <v>52</v>
      </c>
      <c r="CJ27" s="90">
        <v>-24.907000000000004</v>
      </c>
      <c r="CK27" s="5" t="s">
        <v>140</v>
      </c>
      <c r="CL27" s="30" t="s">
        <v>141</v>
      </c>
      <c r="CM27" s="17" t="s">
        <v>52</v>
      </c>
      <c r="CN27" s="77" t="s">
        <v>52</v>
      </c>
      <c r="CO27" s="17" t="s">
        <v>52</v>
      </c>
      <c r="CP27" s="90">
        <v>-5.67</v>
      </c>
      <c r="CQ27" s="5" t="s">
        <v>143</v>
      </c>
      <c r="CR27" s="29" t="s">
        <v>142</v>
      </c>
      <c r="CS27" s="75" t="s">
        <v>52</v>
      </c>
      <c r="CT27" s="78" t="s">
        <v>52</v>
      </c>
      <c r="CU27" s="24" t="s">
        <v>52</v>
      </c>
      <c r="CV27" s="91">
        <v>19.3</v>
      </c>
      <c r="CW27" s="5" t="s">
        <v>144</v>
      </c>
      <c r="CX27" s="17" t="s">
        <v>52</v>
      </c>
      <c r="CY27" s="17" t="s">
        <v>52</v>
      </c>
      <c r="CZ27" s="17" t="s">
        <v>52</v>
      </c>
      <c r="DA27" s="40" t="s">
        <v>52</v>
      </c>
      <c r="DB27" s="30" t="s">
        <v>145</v>
      </c>
      <c r="DC27" s="25">
        <v>-19.244</v>
      </c>
      <c r="DD27" s="17" t="s">
        <v>52</v>
      </c>
      <c r="DE27" s="17" t="s">
        <v>52</v>
      </c>
      <c r="DF27" s="17" t="s">
        <v>52</v>
      </c>
      <c r="DG27" s="17" t="s">
        <v>52</v>
      </c>
      <c r="DH27" s="17" t="s">
        <v>52</v>
      </c>
      <c r="DI27" s="17" t="s">
        <v>52</v>
      </c>
      <c r="DJ27" s="17" t="s">
        <v>52</v>
      </c>
      <c r="DK27" s="17" t="s">
        <v>52</v>
      </c>
      <c r="DL27" s="66" t="s">
        <v>52</v>
      </c>
      <c r="DM27" s="17">
        <v>6000</v>
      </c>
      <c r="DN27" s="5" t="s">
        <v>129</v>
      </c>
      <c r="DO27" s="17">
        <v>1000</v>
      </c>
      <c r="DP27" s="17">
        <v>1000</v>
      </c>
      <c r="DQ27" s="77" t="s">
        <v>129</v>
      </c>
      <c r="DR27" s="17" t="s">
        <v>146</v>
      </c>
      <c r="DS27" s="18" t="s">
        <v>43</v>
      </c>
      <c r="DT27" s="18" t="s">
        <v>52</v>
      </c>
      <c r="DU27" s="18" t="s">
        <v>52</v>
      </c>
      <c r="DV27" s="18" t="s">
        <v>52</v>
      </c>
      <c r="DW27" s="18" t="s">
        <v>52</v>
      </c>
      <c r="DX27" s="6" t="s">
        <v>44</v>
      </c>
      <c r="DY27" s="18" t="s">
        <v>42</v>
      </c>
      <c r="DZ27" s="18" t="s">
        <v>52</v>
      </c>
      <c r="EA27" s="18" t="s">
        <v>52</v>
      </c>
      <c r="EB27" s="34" t="s">
        <v>52</v>
      </c>
      <c r="EC27" s="34" t="s">
        <v>52</v>
      </c>
      <c r="ED27" s="34" t="s">
        <v>52</v>
      </c>
      <c r="EE27" s="19" t="s">
        <v>41</v>
      </c>
      <c r="EF27" s="18" t="s">
        <v>52</v>
      </c>
      <c r="EG27" s="35">
        <v>606.71466038013978</v>
      </c>
      <c r="EH27" s="94" t="s">
        <v>52</v>
      </c>
      <c r="EI27" s="35">
        <v>101.11911006335663</v>
      </c>
      <c r="EJ27" s="35">
        <v>101.11911006335663</v>
      </c>
      <c r="EK27" s="7" t="s">
        <v>147</v>
      </c>
      <c r="EL27" s="7" t="s">
        <v>148</v>
      </c>
      <c r="EM27" s="7" t="s">
        <v>148</v>
      </c>
      <c r="EN27" s="35" t="s">
        <v>128</v>
      </c>
      <c r="EO27" s="35" t="s">
        <v>128</v>
      </c>
      <c r="EP27" s="26" t="s">
        <v>203</v>
      </c>
    </row>
    <row r="28" spans="1:146" x14ac:dyDescent="0.2">
      <c r="A28" s="98" t="s">
        <v>188</v>
      </c>
      <c r="B28" s="32" t="s">
        <v>189</v>
      </c>
      <c r="C28" s="45" t="s">
        <v>53</v>
      </c>
      <c r="D28" s="45" t="s">
        <v>137</v>
      </c>
      <c r="E28" s="45">
        <v>2003</v>
      </c>
      <c r="F28" s="38" t="s">
        <v>138</v>
      </c>
      <c r="G28" s="45">
        <f t="shared" si="0"/>
        <v>68570</v>
      </c>
      <c r="H28" s="45" t="s">
        <v>52</v>
      </c>
      <c r="I28" s="45" t="s">
        <v>52</v>
      </c>
      <c r="J28" s="93">
        <v>435.12013779244995</v>
      </c>
      <c r="K28" s="93">
        <v>72.520022965408316</v>
      </c>
      <c r="L28" s="93">
        <v>72.520022965408316</v>
      </c>
      <c r="M28" s="113" t="b">
        <v>1</v>
      </c>
      <c r="N28" s="113">
        <v>3</v>
      </c>
      <c r="O28" s="121" t="s">
        <v>204</v>
      </c>
      <c r="P28" s="113" t="b">
        <v>0</v>
      </c>
      <c r="Q28" s="113" t="b">
        <v>0</v>
      </c>
      <c r="R28" s="113" t="s">
        <v>52</v>
      </c>
      <c r="S28" s="113" t="b">
        <v>1</v>
      </c>
      <c r="T28" s="113" t="b">
        <v>0</v>
      </c>
      <c r="U28" s="113" t="s">
        <v>52</v>
      </c>
      <c r="V28" s="113" t="b">
        <v>0</v>
      </c>
      <c r="W28" s="113" t="b">
        <v>0</v>
      </c>
      <c r="X28" s="113" t="s">
        <v>52</v>
      </c>
      <c r="Y28" s="111" t="s">
        <v>139</v>
      </c>
      <c r="Z28" s="38" t="s">
        <v>138</v>
      </c>
      <c r="AA28" s="37" t="s">
        <v>142</v>
      </c>
      <c r="AB28" s="41" t="s">
        <v>149</v>
      </c>
      <c r="AC28" s="89" t="s">
        <v>176</v>
      </c>
      <c r="AD28" s="99" t="s">
        <v>52</v>
      </c>
      <c r="AE28" s="86">
        <v>29.3</v>
      </c>
      <c r="AF28" s="23">
        <v>-103.52</v>
      </c>
      <c r="AG28" s="33" t="s">
        <v>52</v>
      </c>
      <c r="AH28" s="33" t="s">
        <v>52</v>
      </c>
      <c r="AI28" s="33" t="s">
        <v>52</v>
      </c>
      <c r="AJ28" s="89">
        <v>68.569999999999993</v>
      </c>
      <c r="AK28" s="23" t="s">
        <v>52</v>
      </c>
      <c r="AL28" s="23" t="s">
        <v>52</v>
      </c>
      <c r="AM28" s="43" t="s">
        <v>150</v>
      </c>
      <c r="AN28" s="21">
        <v>-9.68</v>
      </c>
      <c r="AO28" s="21">
        <v>0.75999999999999801</v>
      </c>
      <c r="AP28" s="36">
        <v>3</v>
      </c>
      <c r="AQ28" s="87" t="s">
        <v>52</v>
      </c>
      <c r="AR28" s="20" t="s">
        <v>52</v>
      </c>
      <c r="AS28" s="20" t="s">
        <v>52</v>
      </c>
      <c r="AT28" s="16" t="s">
        <v>52</v>
      </c>
      <c r="AU28" s="16" t="s">
        <v>52</v>
      </c>
      <c r="AV28" s="16" t="s">
        <v>52</v>
      </c>
      <c r="AW28" s="16" t="s">
        <v>52</v>
      </c>
      <c r="AX28" s="88" t="s">
        <v>52</v>
      </c>
      <c r="AY28" s="16" t="s">
        <v>52</v>
      </c>
      <c r="AZ28" s="16" t="s">
        <v>52</v>
      </c>
      <c r="BA28" s="16" t="s">
        <v>52</v>
      </c>
      <c r="BB28" s="39" t="s">
        <v>52</v>
      </c>
      <c r="BC28" s="39" t="s">
        <v>52</v>
      </c>
      <c r="BD28" s="39" t="s">
        <v>52</v>
      </c>
      <c r="BE28" s="39">
        <v>3</v>
      </c>
      <c r="BF28" s="39" t="s">
        <v>52</v>
      </c>
      <c r="BG28" s="16" t="s">
        <v>52</v>
      </c>
      <c r="BH28" s="16" t="s">
        <v>52</v>
      </c>
      <c r="BI28" s="16" t="s">
        <v>52</v>
      </c>
      <c r="BJ28" s="39" t="s">
        <v>52</v>
      </c>
      <c r="BK28" s="36" t="s">
        <v>151</v>
      </c>
      <c r="BL28" s="16" t="s">
        <v>52</v>
      </c>
      <c r="BM28" s="16" t="s">
        <v>52</v>
      </c>
      <c r="BN28" s="16" t="s">
        <v>52</v>
      </c>
      <c r="BO28" s="16" t="s">
        <v>52</v>
      </c>
      <c r="BP28" s="16" t="s">
        <v>52</v>
      </c>
      <c r="BQ28" s="16" t="s">
        <v>52</v>
      </c>
      <c r="BR28" s="16" t="s">
        <v>52</v>
      </c>
      <c r="BS28" s="16" t="s">
        <v>52</v>
      </c>
      <c r="BT28" s="16" t="s">
        <v>52</v>
      </c>
      <c r="BU28" s="16" t="s">
        <v>52</v>
      </c>
      <c r="BV28" s="16" t="s">
        <v>52</v>
      </c>
      <c r="BW28" s="16" t="s">
        <v>52</v>
      </c>
      <c r="BX28" s="16" t="s">
        <v>52</v>
      </c>
      <c r="BY28" s="16" t="s">
        <v>52</v>
      </c>
      <c r="BZ28" s="16" t="s">
        <v>52</v>
      </c>
      <c r="CA28" s="16" t="s">
        <v>52</v>
      </c>
      <c r="CB28" s="16" t="s">
        <v>52</v>
      </c>
      <c r="CC28" s="16" t="s">
        <v>52</v>
      </c>
      <c r="CD28" s="16" t="s">
        <v>52</v>
      </c>
      <c r="CE28" s="16" t="s">
        <v>52</v>
      </c>
      <c r="CF28" s="16" t="s">
        <v>52</v>
      </c>
      <c r="CG28" s="16" t="s">
        <v>52</v>
      </c>
      <c r="CH28" s="16" t="s">
        <v>52</v>
      </c>
      <c r="CI28" s="16" t="s">
        <v>52</v>
      </c>
      <c r="CJ28" s="90">
        <v>-24.885000000000002</v>
      </c>
      <c r="CK28" s="5" t="s">
        <v>140</v>
      </c>
      <c r="CL28" s="30" t="s">
        <v>141</v>
      </c>
      <c r="CM28" s="17" t="s">
        <v>52</v>
      </c>
      <c r="CN28" s="77" t="s">
        <v>52</v>
      </c>
      <c r="CO28" s="17" t="s">
        <v>52</v>
      </c>
      <c r="CP28" s="90">
        <v>-5.65</v>
      </c>
      <c r="CQ28" s="5" t="s">
        <v>143</v>
      </c>
      <c r="CR28" s="29" t="s">
        <v>142</v>
      </c>
      <c r="CS28" s="75" t="s">
        <v>52</v>
      </c>
      <c r="CT28" s="78" t="s">
        <v>52</v>
      </c>
      <c r="CU28" s="24" t="s">
        <v>52</v>
      </c>
      <c r="CV28" s="91">
        <v>17.3</v>
      </c>
      <c r="CW28" s="5" t="s">
        <v>144</v>
      </c>
      <c r="CX28" s="17" t="s">
        <v>52</v>
      </c>
      <c r="CY28" s="17" t="s">
        <v>52</v>
      </c>
      <c r="CZ28" s="17" t="s">
        <v>52</v>
      </c>
      <c r="DA28" s="40" t="s">
        <v>52</v>
      </c>
      <c r="DB28" s="30" t="s">
        <v>145</v>
      </c>
      <c r="DC28" s="25">
        <v>-19.584</v>
      </c>
      <c r="DD28" s="17" t="s">
        <v>52</v>
      </c>
      <c r="DE28" s="17" t="s">
        <v>52</v>
      </c>
      <c r="DF28" s="17" t="s">
        <v>52</v>
      </c>
      <c r="DG28" s="17" t="s">
        <v>52</v>
      </c>
      <c r="DH28" s="17" t="s">
        <v>52</v>
      </c>
      <c r="DI28" s="17" t="s">
        <v>52</v>
      </c>
      <c r="DJ28" s="17" t="s">
        <v>52</v>
      </c>
      <c r="DK28" s="17" t="s">
        <v>52</v>
      </c>
      <c r="DL28" s="66" t="s">
        <v>52</v>
      </c>
      <c r="DM28" s="17">
        <v>6000</v>
      </c>
      <c r="DN28" s="5" t="s">
        <v>129</v>
      </c>
      <c r="DO28" s="17">
        <v>1000</v>
      </c>
      <c r="DP28" s="17">
        <v>1000</v>
      </c>
      <c r="DQ28" s="77" t="s">
        <v>129</v>
      </c>
      <c r="DR28" s="17" t="s">
        <v>146</v>
      </c>
      <c r="DS28" s="18" t="s">
        <v>43</v>
      </c>
      <c r="DT28" s="18" t="s">
        <v>52</v>
      </c>
      <c r="DU28" s="18" t="s">
        <v>52</v>
      </c>
      <c r="DV28" s="18" t="s">
        <v>52</v>
      </c>
      <c r="DW28" s="18" t="s">
        <v>52</v>
      </c>
      <c r="DX28" s="6" t="s">
        <v>44</v>
      </c>
      <c r="DY28" s="18" t="s">
        <v>42</v>
      </c>
      <c r="DZ28" s="18" t="s">
        <v>52</v>
      </c>
      <c r="EA28" s="18" t="s">
        <v>52</v>
      </c>
      <c r="EB28" s="34" t="s">
        <v>52</v>
      </c>
      <c r="EC28" s="34" t="s">
        <v>52</v>
      </c>
      <c r="ED28" s="34" t="s">
        <v>52</v>
      </c>
      <c r="EE28" s="19" t="s">
        <v>41</v>
      </c>
      <c r="EF28" s="18" t="s">
        <v>52</v>
      </c>
      <c r="EG28" s="35">
        <v>435.12013779244995</v>
      </c>
      <c r="EH28" s="94" t="s">
        <v>52</v>
      </c>
      <c r="EI28" s="35">
        <v>72.520022965408316</v>
      </c>
      <c r="EJ28" s="35">
        <v>72.520022965408316</v>
      </c>
      <c r="EK28" s="7" t="s">
        <v>147</v>
      </c>
      <c r="EL28" s="7" t="s">
        <v>148</v>
      </c>
      <c r="EM28" s="7" t="s">
        <v>148</v>
      </c>
      <c r="EN28" s="35" t="s">
        <v>128</v>
      </c>
      <c r="EO28" s="35" t="s">
        <v>128</v>
      </c>
      <c r="EP28" s="26" t="s">
        <v>203</v>
      </c>
    </row>
    <row r="29" spans="1:146" x14ac:dyDescent="0.2">
      <c r="A29" s="98" t="s">
        <v>188</v>
      </c>
      <c r="B29" s="32" t="s">
        <v>189</v>
      </c>
      <c r="C29" s="45" t="s">
        <v>53</v>
      </c>
      <c r="D29" s="45" t="s">
        <v>137</v>
      </c>
      <c r="E29" s="45">
        <v>2003</v>
      </c>
      <c r="F29" s="38" t="s">
        <v>138</v>
      </c>
      <c r="G29" s="45">
        <f t="shared" si="0"/>
        <v>68730</v>
      </c>
      <c r="H29" s="45" t="s">
        <v>52</v>
      </c>
      <c r="I29" s="45" t="s">
        <v>52</v>
      </c>
      <c r="J29" s="93">
        <v>1033.7023159480334</v>
      </c>
      <c r="K29" s="93">
        <v>172.28371932467223</v>
      </c>
      <c r="L29" s="93">
        <v>172.28371932467235</v>
      </c>
      <c r="M29" s="113" t="b">
        <v>1</v>
      </c>
      <c r="N29" s="113">
        <v>3</v>
      </c>
      <c r="O29" s="121" t="s">
        <v>204</v>
      </c>
      <c r="P29" s="113" t="b">
        <v>0</v>
      </c>
      <c r="Q29" s="113" t="b">
        <v>0</v>
      </c>
      <c r="R29" s="113" t="s">
        <v>52</v>
      </c>
      <c r="S29" s="113" t="b">
        <v>1</v>
      </c>
      <c r="T29" s="113" t="b">
        <v>0</v>
      </c>
      <c r="U29" s="113" t="s">
        <v>52</v>
      </c>
      <c r="V29" s="113" t="b">
        <v>0</v>
      </c>
      <c r="W29" s="113" t="b">
        <v>0</v>
      </c>
      <c r="X29" s="113" t="s">
        <v>52</v>
      </c>
      <c r="Y29" s="111" t="s">
        <v>139</v>
      </c>
      <c r="Z29" s="38" t="s">
        <v>138</v>
      </c>
      <c r="AA29" s="37" t="s">
        <v>142</v>
      </c>
      <c r="AB29" s="41" t="s">
        <v>149</v>
      </c>
      <c r="AC29" s="89" t="s">
        <v>177</v>
      </c>
      <c r="AD29" s="99" t="s">
        <v>52</v>
      </c>
      <c r="AE29" s="86">
        <v>29.3</v>
      </c>
      <c r="AF29" s="23">
        <v>-103.52</v>
      </c>
      <c r="AG29" s="33" t="s">
        <v>52</v>
      </c>
      <c r="AH29" s="33" t="s">
        <v>52</v>
      </c>
      <c r="AI29" s="33" t="s">
        <v>52</v>
      </c>
      <c r="AJ29" s="89">
        <v>68.73</v>
      </c>
      <c r="AK29" s="23" t="s">
        <v>52</v>
      </c>
      <c r="AL29" s="23" t="s">
        <v>52</v>
      </c>
      <c r="AM29" s="43" t="s">
        <v>150</v>
      </c>
      <c r="AN29" s="21">
        <v>-8.5</v>
      </c>
      <c r="AO29" s="21">
        <v>0.94000000000000128</v>
      </c>
      <c r="AP29" s="36">
        <v>3</v>
      </c>
      <c r="AQ29" s="87" t="s">
        <v>52</v>
      </c>
      <c r="AR29" s="20" t="s">
        <v>52</v>
      </c>
      <c r="AS29" s="20" t="s">
        <v>52</v>
      </c>
      <c r="AT29" s="16" t="s">
        <v>52</v>
      </c>
      <c r="AU29" s="16" t="s">
        <v>52</v>
      </c>
      <c r="AV29" s="16" t="s">
        <v>52</v>
      </c>
      <c r="AW29" s="16" t="s">
        <v>52</v>
      </c>
      <c r="AX29" s="88" t="s">
        <v>52</v>
      </c>
      <c r="AY29" s="16" t="s">
        <v>52</v>
      </c>
      <c r="AZ29" s="16" t="s">
        <v>52</v>
      </c>
      <c r="BA29" s="16" t="s">
        <v>52</v>
      </c>
      <c r="BB29" s="39" t="s">
        <v>52</v>
      </c>
      <c r="BC29" s="39" t="s">
        <v>52</v>
      </c>
      <c r="BD29" s="39" t="s">
        <v>52</v>
      </c>
      <c r="BE29" s="39">
        <v>3</v>
      </c>
      <c r="BF29" s="39" t="s">
        <v>52</v>
      </c>
      <c r="BG29" s="16" t="s">
        <v>52</v>
      </c>
      <c r="BH29" s="16" t="s">
        <v>52</v>
      </c>
      <c r="BI29" s="16" t="s">
        <v>52</v>
      </c>
      <c r="BJ29" s="39" t="s">
        <v>52</v>
      </c>
      <c r="BK29" s="36" t="s">
        <v>151</v>
      </c>
      <c r="BL29" s="16" t="s">
        <v>52</v>
      </c>
      <c r="BM29" s="16" t="s">
        <v>52</v>
      </c>
      <c r="BN29" s="16" t="s">
        <v>52</v>
      </c>
      <c r="BO29" s="16" t="s">
        <v>52</v>
      </c>
      <c r="BP29" s="16" t="s">
        <v>52</v>
      </c>
      <c r="BQ29" s="16" t="s">
        <v>52</v>
      </c>
      <c r="BR29" s="16" t="s">
        <v>52</v>
      </c>
      <c r="BS29" s="16" t="s">
        <v>52</v>
      </c>
      <c r="BT29" s="16" t="s">
        <v>52</v>
      </c>
      <c r="BU29" s="16" t="s">
        <v>52</v>
      </c>
      <c r="BV29" s="16" t="s">
        <v>52</v>
      </c>
      <c r="BW29" s="16" t="s">
        <v>52</v>
      </c>
      <c r="BX29" s="16" t="s">
        <v>52</v>
      </c>
      <c r="BY29" s="16" t="s">
        <v>52</v>
      </c>
      <c r="BZ29" s="16" t="s">
        <v>52</v>
      </c>
      <c r="CA29" s="16" t="s">
        <v>52</v>
      </c>
      <c r="CB29" s="16" t="s">
        <v>52</v>
      </c>
      <c r="CC29" s="16" t="s">
        <v>52</v>
      </c>
      <c r="CD29" s="16" t="s">
        <v>52</v>
      </c>
      <c r="CE29" s="16" t="s">
        <v>52</v>
      </c>
      <c r="CF29" s="16" t="s">
        <v>52</v>
      </c>
      <c r="CG29" s="16" t="s">
        <v>52</v>
      </c>
      <c r="CH29" s="16" t="s">
        <v>52</v>
      </c>
      <c r="CI29" s="16" t="s">
        <v>52</v>
      </c>
      <c r="CJ29" s="90">
        <v>-24.863000000000003</v>
      </c>
      <c r="CK29" s="5" t="s">
        <v>140</v>
      </c>
      <c r="CL29" s="30" t="s">
        <v>141</v>
      </c>
      <c r="CM29" s="17" t="s">
        <v>52</v>
      </c>
      <c r="CN29" s="77" t="s">
        <v>52</v>
      </c>
      <c r="CO29" s="17" t="s">
        <v>52</v>
      </c>
      <c r="CP29" s="90">
        <v>-5.63</v>
      </c>
      <c r="CQ29" s="5" t="s">
        <v>143</v>
      </c>
      <c r="CR29" s="29" t="s">
        <v>142</v>
      </c>
      <c r="CS29" s="75" t="s">
        <v>52</v>
      </c>
      <c r="CT29" s="78" t="s">
        <v>52</v>
      </c>
      <c r="CU29" s="24" t="s">
        <v>52</v>
      </c>
      <c r="CV29" s="91">
        <v>17.53</v>
      </c>
      <c r="CW29" s="5" t="s">
        <v>144</v>
      </c>
      <c r="CX29" s="17" t="s">
        <v>52</v>
      </c>
      <c r="CY29" s="17" t="s">
        <v>52</v>
      </c>
      <c r="CZ29" s="17" t="s">
        <v>52</v>
      </c>
      <c r="DA29" s="40" t="s">
        <v>52</v>
      </c>
      <c r="DB29" s="30" t="s">
        <v>145</v>
      </c>
      <c r="DC29" s="25">
        <v>-18.3764</v>
      </c>
      <c r="DD29" s="17" t="s">
        <v>52</v>
      </c>
      <c r="DE29" s="17" t="s">
        <v>52</v>
      </c>
      <c r="DF29" s="17" t="s">
        <v>52</v>
      </c>
      <c r="DG29" s="17" t="s">
        <v>52</v>
      </c>
      <c r="DH29" s="17" t="s">
        <v>52</v>
      </c>
      <c r="DI29" s="17" t="s">
        <v>52</v>
      </c>
      <c r="DJ29" s="17" t="s">
        <v>52</v>
      </c>
      <c r="DK29" s="17" t="s">
        <v>52</v>
      </c>
      <c r="DL29" s="66" t="s">
        <v>52</v>
      </c>
      <c r="DM29" s="17">
        <v>6000</v>
      </c>
      <c r="DN29" s="5" t="s">
        <v>129</v>
      </c>
      <c r="DO29" s="17">
        <v>1000</v>
      </c>
      <c r="DP29" s="17">
        <v>1000</v>
      </c>
      <c r="DQ29" s="77" t="s">
        <v>129</v>
      </c>
      <c r="DR29" s="17" t="s">
        <v>146</v>
      </c>
      <c r="DS29" s="18" t="s">
        <v>43</v>
      </c>
      <c r="DT29" s="18" t="s">
        <v>52</v>
      </c>
      <c r="DU29" s="18" t="s">
        <v>52</v>
      </c>
      <c r="DV29" s="18" t="s">
        <v>52</v>
      </c>
      <c r="DW29" s="18" t="s">
        <v>52</v>
      </c>
      <c r="DX29" s="6" t="s">
        <v>44</v>
      </c>
      <c r="DY29" s="18" t="s">
        <v>42</v>
      </c>
      <c r="DZ29" s="18" t="s">
        <v>52</v>
      </c>
      <c r="EA29" s="18" t="s">
        <v>52</v>
      </c>
      <c r="EB29" s="34" t="s">
        <v>52</v>
      </c>
      <c r="EC29" s="34" t="s">
        <v>52</v>
      </c>
      <c r="ED29" s="34" t="s">
        <v>52</v>
      </c>
      <c r="EE29" s="19" t="s">
        <v>41</v>
      </c>
      <c r="EF29" s="18" t="s">
        <v>52</v>
      </c>
      <c r="EG29" s="35">
        <v>1033.7023159480334</v>
      </c>
      <c r="EH29" s="94" t="s">
        <v>52</v>
      </c>
      <c r="EI29" s="35">
        <v>172.28371932467223</v>
      </c>
      <c r="EJ29" s="35">
        <v>172.28371932467235</v>
      </c>
      <c r="EK29" s="7" t="s">
        <v>147</v>
      </c>
      <c r="EL29" s="7" t="s">
        <v>148</v>
      </c>
      <c r="EM29" s="7" t="s">
        <v>148</v>
      </c>
      <c r="EN29" s="35" t="s">
        <v>128</v>
      </c>
      <c r="EO29" s="35" t="s">
        <v>128</v>
      </c>
      <c r="EP29" s="26" t="s">
        <v>203</v>
      </c>
    </row>
    <row r="30" spans="1:146" x14ac:dyDescent="0.2">
      <c r="A30" s="98" t="s">
        <v>188</v>
      </c>
      <c r="B30" s="32" t="s">
        <v>189</v>
      </c>
      <c r="C30" s="45" t="s">
        <v>53</v>
      </c>
      <c r="D30" s="45" t="s">
        <v>137</v>
      </c>
      <c r="E30" s="45">
        <v>2003</v>
      </c>
      <c r="F30" s="38" t="s">
        <v>138</v>
      </c>
      <c r="G30" s="45">
        <f t="shared" si="0"/>
        <v>68940</v>
      </c>
      <c r="H30" s="45" t="s">
        <v>52</v>
      </c>
      <c r="I30" s="45" t="s">
        <v>52</v>
      </c>
      <c r="J30" s="93">
        <v>610.73177636234834</v>
      </c>
      <c r="K30" s="93">
        <v>101.7886293937247</v>
      </c>
      <c r="L30" s="93">
        <v>101.7886293937247</v>
      </c>
      <c r="M30" s="113" t="b">
        <v>1</v>
      </c>
      <c r="N30" s="113">
        <v>3</v>
      </c>
      <c r="O30" s="121" t="s">
        <v>204</v>
      </c>
      <c r="P30" s="113" t="b">
        <v>0</v>
      </c>
      <c r="Q30" s="113" t="b">
        <v>0</v>
      </c>
      <c r="R30" s="113" t="s">
        <v>52</v>
      </c>
      <c r="S30" s="113" t="b">
        <v>1</v>
      </c>
      <c r="T30" s="113" t="b">
        <v>0</v>
      </c>
      <c r="U30" s="113" t="s">
        <v>52</v>
      </c>
      <c r="V30" s="113" t="b">
        <v>0</v>
      </c>
      <c r="W30" s="113" t="b">
        <v>0</v>
      </c>
      <c r="X30" s="113" t="s">
        <v>52</v>
      </c>
      <c r="Y30" s="111" t="s">
        <v>139</v>
      </c>
      <c r="Z30" s="38" t="s">
        <v>138</v>
      </c>
      <c r="AA30" s="37" t="s">
        <v>142</v>
      </c>
      <c r="AB30" s="41" t="s">
        <v>149</v>
      </c>
      <c r="AC30" s="89" t="s">
        <v>178</v>
      </c>
      <c r="AD30" s="99" t="s">
        <v>52</v>
      </c>
      <c r="AE30" s="86">
        <v>29.3</v>
      </c>
      <c r="AF30" s="23">
        <v>-103.52</v>
      </c>
      <c r="AG30" s="33" t="s">
        <v>52</v>
      </c>
      <c r="AH30" s="33" t="s">
        <v>52</v>
      </c>
      <c r="AI30" s="33" t="s">
        <v>52</v>
      </c>
      <c r="AJ30" s="89">
        <v>68.94</v>
      </c>
      <c r="AK30" s="23" t="s">
        <v>52</v>
      </c>
      <c r="AL30" s="23" t="s">
        <v>52</v>
      </c>
      <c r="AM30" s="43" t="s">
        <v>150</v>
      </c>
      <c r="AN30" s="21">
        <v>-9.43</v>
      </c>
      <c r="AO30" s="21">
        <v>0.5</v>
      </c>
      <c r="AP30" s="36">
        <v>3</v>
      </c>
      <c r="AQ30" s="87" t="s">
        <v>52</v>
      </c>
      <c r="AR30" s="20" t="s">
        <v>52</v>
      </c>
      <c r="AS30" s="20" t="s">
        <v>52</v>
      </c>
      <c r="AT30" s="16" t="s">
        <v>52</v>
      </c>
      <c r="AU30" s="16" t="s">
        <v>52</v>
      </c>
      <c r="AV30" s="16" t="s">
        <v>52</v>
      </c>
      <c r="AW30" s="16" t="s">
        <v>52</v>
      </c>
      <c r="AX30" s="88" t="s">
        <v>52</v>
      </c>
      <c r="AY30" s="16" t="s">
        <v>52</v>
      </c>
      <c r="AZ30" s="16" t="s">
        <v>52</v>
      </c>
      <c r="BA30" s="16" t="s">
        <v>52</v>
      </c>
      <c r="BB30" s="39" t="s">
        <v>52</v>
      </c>
      <c r="BC30" s="39" t="s">
        <v>52</v>
      </c>
      <c r="BD30" s="39" t="s">
        <v>52</v>
      </c>
      <c r="BE30" s="39">
        <v>3</v>
      </c>
      <c r="BF30" s="39" t="s">
        <v>52</v>
      </c>
      <c r="BG30" s="16" t="s">
        <v>52</v>
      </c>
      <c r="BH30" s="16" t="s">
        <v>52</v>
      </c>
      <c r="BI30" s="16" t="s">
        <v>52</v>
      </c>
      <c r="BJ30" s="39" t="s">
        <v>52</v>
      </c>
      <c r="BK30" s="36" t="s">
        <v>151</v>
      </c>
      <c r="BL30" s="16" t="s">
        <v>52</v>
      </c>
      <c r="BM30" s="16" t="s">
        <v>52</v>
      </c>
      <c r="BN30" s="16" t="s">
        <v>52</v>
      </c>
      <c r="BO30" s="16" t="s">
        <v>52</v>
      </c>
      <c r="BP30" s="16" t="s">
        <v>52</v>
      </c>
      <c r="BQ30" s="16" t="s">
        <v>52</v>
      </c>
      <c r="BR30" s="16" t="s">
        <v>52</v>
      </c>
      <c r="BS30" s="16" t="s">
        <v>52</v>
      </c>
      <c r="BT30" s="16" t="s">
        <v>52</v>
      </c>
      <c r="BU30" s="16" t="s">
        <v>52</v>
      </c>
      <c r="BV30" s="16" t="s">
        <v>52</v>
      </c>
      <c r="BW30" s="16" t="s">
        <v>52</v>
      </c>
      <c r="BX30" s="16" t="s">
        <v>52</v>
      </c>
      <c r="BY30" s="16" t="s">
        <v>52</v>
      </c>
      <c r="BZ30" s="16" t="s">
        <v>52</v>
      </c>
      <c r="CA30" s="16" t="s">
        <v>52</v>
      </c>
      <c r="CB30" s="16" t="s">
        <v>52</v>
      </c>
      <c r="CC30" s="16" t="s">
        <v>52</v>
      </c>
      <c r="CD30" s="16" t="s">
        <v>52</v>
      </c>
      <c r="CE30" s="16" t="s">
        <v>52</v>
      </c>
      <c r="CF30" s="16" t="s">
        <v>52</v>
      </c>
      <c r="CG30" s="16" t="s">
        <v>52</v>
      </c>
      <c r="CH30" s="16" t="s">
        <v>52</v>
      </c>
      <c r="CI30" s="16" t="s">
        <v>52</v>
      </c>
      <c r="CJ30" s="90">
        <v>-24.896000000000001</v>
      </c>
      <c r="CK30" s="5" t="s">
        <v>140</v>
      </c>
      <c r="CL30" s="30" t="s">
        <v>141</v>
      </c>
      <c r="CM30" s="17" t="s">
        <v>52</v>
      </c>
      <c r="CN30" s="77" t="s">
        <v>52</v>
      </c>
      <c r="CO30" s="17" t="s">
        <v>52</v>
      </c>
      <c r="CP30" s="90">
        <v>-5.66</v>
      </c>
      <c r="CQ30" s="5" t="s">
        <v>143</v>
      </c>
      <c r="CR30" s="29" t="s">
        <v>142</v>
      </c>
      <c r="CS30" s="75" t="s">
        <v>52</v>
      </c>
      <c r="CT30" s="78" t="s">
        <v>52</v>
      </c>
      <c r="CU30" s="24" t="s">
        <v>52</v>
      </c>
      <c r="CV30" s="91">
        <v>18.21</v>
      </c>
      <c r="CW30" s="5" t="s">
        <v>144</v>
      </c>
      <c r="CX30" s="17" t="s">
        <v>52</v>
      </c>
      <c r="CY30" s="17" t="s">
        <v>52</v>
      </c>
      <c r="CZ30" s="17" t="s">
        <v>52</v>
      </c>
      <c r="DA30" s="40" t="s">
        <v>52</v>
      </c>
      <c r="DB30" s="30" t="s">
        <v>145</v>
      </c>
      <c r="DC30" s="25">
        <v>-19.224800000000002</v>
      </c>
      <c r="DD30" s="17" t="s">
        <v>52</v>
      </c>
      <c r="DE30" s="17" t="s">
        <v>52</v>
      </c>
      <c r="DF30" s="17" t="s">
        <v>52</v>
      </c>
      <c r="DG30" s="17" t="s">
        <v>52</v>
      </c>
      <c r="DH30" s="17" t="s">
        <v>52</v>
      </c>
      <c r="DI30" s="17" t="s">
        <v>52</v>
      </c>
      <c r="DJ30" s="17" t="s">
        <v>52</v>
      </c>
      <c r="DK30" s="17" t="s">
        <v>52</v>
      </c>
      <c r="DL30" s="66" t="s">
        <v>52</v>
      </c>
      <c r="DM30" s="17">
        <v>6000</v>
      </c>
      <c r="DN30" s="5" t="s">
        <v>129</v>
      </c>
      <c r="DO30" s="17">
        <v>1000</v>
      </c>
      <c r="DP30" s="17">
        <v>1000</v>
      </c>
      <c r="DQ30" s="77" t="s">
        <v>129</v>
      </c>
      <c r="DR30" s="17" t="s">
        <v>146</v>
      </c>
      <c r="DS30" s="18" t="s">
        <v>43</v>
      </c>
      <c r="DT30" s="18" t="s">
        <v>52</v>
      </c>
      <c r="DU30" s="18" t="s">
        <v>52</v>
      </c>
      <c r="DV30" s="18" t="s">
        <v>52</v>
      </c>
      <c r="DW30" s="18" t="s">
        <v>52</v>
      </c>
      <c r="DX30" s="6" t="s">
        <v>44</v>
      </c>
      <c r="DY30" s="18" t="s">
        <v>42</v>
      </c>
      <c r="DZ30" s="18" t="s">
        <v>52</v>
      </c>
      <c r="EA30" s="18" t="s">
        <v>52</v>
      </c>
      <c r="EB30" s="34" t="s">
        <v>52</v>
      </c>
      <c r="EC30" s="34" t="s">
        <v>52</v>
      </c>
      <c r="ED30" s="34" t="s">
        <v>52</v>
      </c>
      <c r="EE30" s="19" t="s">
        <v>41</v>
      </c>
      <c r="EF30" s="18" t="s">
        <v>52</v>
      </c>
      <c r="EG30" s="35">
        <v>610.73177636234834</v>
      </c>
      <c r="EH30" s="94" t="s">
        <v>52</v>
      </c>
      <c r="EI30" s="35">
        <v>101.7886293937247</v>
      </c>
      <c r="EJ30" s="35">
        <v>101.7886293937247</v>
      </c>
      <c r="EK30" s="7" t="s">
        <v>147</v>
      </c>
      <c r="EL30" s="7" t="s">
        <v>148</v>
      </c>
      <c r="EM30" s="7" t="s">
        <v>148</v>
      </c>
      <c r="EN30" s="35" t="s">
        <v>128</v>
      </c>
      <c r="EO30" s="35" t="s">
        <v>128</v>
      </c>
      <c r="EP30" s="26" t="s">
        <v>203</v>
      </c>
    </row>
    <row r="31" spans="1:146" x14ac:dyDescent="0.2">
      <c r="A31" s="98" t="s">
        <v>188</v>
      </c>
      <c r="B31" s="32" t="s">
        <v>189</v>
      </c>
      <c r="C31" s="45" t="s">
        <v>53</v>
      </c>
      <c r="D31" s="45" t="s">
        <v>137</v>
      </c>
      <c r="E31" s="45">
        <v>2003</v>
      </c>
      <c r="F31" s="38" t="s">
        <v>138</v>
      </c>
      <c r="G31" s="45">
        <f t="shared" si="0"/>
        <v>69130</v>
      </c>
      <c r="H31" s="45" t="s">
        <v>52</v>
      </c>
      <c r="I31" s="45" t="s">
        <v>52</v>
      </c>
      <c r="J31" s="93">
        <v>927.33393044660056</v>
      </c>
      <c r="K31" s="93">
        <v>154.5556550744335</v>
      </c>
      <c r="L31" s="93">
        <v>154.55565507443339</v>
      </c>
      <c r="M31" s="113" t="b">
        <v>1</v>
      </c>
      <c r="N31" s="113">
        <v>3</v>
      </c>
      <c r="O31" s="121" t="s">
        <v>204</v>
      </c>
      <c r="P31" s="113" t="b">
        <v>0</v>
      </c>
      <c r="Q31" s="113" t="b">
        <v>0</v>
      </c>
      <c r="R31" s="113" t="s">
        <v>52</v>
      </c>
      <c r="S31" s="113" t="b">
        <v>1</v>
      </c>
      <c r="T31" s="113" t="b">
        <v>0</v>
      </c>
      <c r="U31" s="113" t="s">
        <v>52</v>
      </c>
      <c r="V31" s="113" t="b">
        <v>0</v>
      </c>
      <c r="W31" s="113" t="b">
        <v>0</v>
      </c>
      <c r="X31" s="113" t="s">
        <v>52</v>
      </c>
      <c r="Y31" s="111" t="s">
        <v>139</v>
      </c>
      <c r="Z31" s="38" t="s">
        <v>138</v>
      </c>
      <c r="AA31" s="37" t="s">
        <v>142</v>
      </c>
      <c r="AB31" s="41" t="s">
        <v>149</v>
      </c>
      <c r="AC31" s="89" t="s">
        <v>179</v>
      </c>
      <c r="AD31" s="99" t="s">
        <v>52</v>
      </c>
      <c r="AE31" s="86">
        <v>29.3</v>
      </c>
      <c r="AF31" s="23">
        <v>-103.52</v>
      </c>
      <c r="AG31" s="33" t="s">
        <v>52</v>
      </c>
      <c r="AH31" s="33" t="s">
        <v>52</v>
      </c>
      <c r="AI31" s="33" t="s">
        <v>52</v>
      </c>
      <c r="AJ31" s="89">
        <v>69.13</v>
      </c>
      <c r="AK31" s="23" t="s">
        <v>52</v>
      </c>
      <c r="AL31" s="23" t="s">
        <v>52</v>
      </c>
      <c r="AM31" s="43" t="s">
        <v>150</v>
      </c>
      <c r="AN31" s="21">
        <v>-9.2799999999999994</v>
      </c>
      <c r="AO31" s="21">
        <v>0.17999999999999972</v>
      </c>
      <c r="AP31" s="36">
        <v>3</v>
      </c>
      <c r="AQ31" s="87" t="s">
        <v>52</v>
      </c>
      <c r="AR31" s="20" t="s">
        <v>52</v>
      </c>
      <c r="AS31" s="20" t="s">
        <v>52</v>
      </c>
      <c r="AT31" s="16" t="s">
        <v>52</v>
      </c>
      <c r="AU31" s="16" t="s">
        <v>52</v>
      </c>
      <c r="AV31" s="16" t="s">
        <v>52</v>
      </c>
      <c r="AW31" s="16" t="s">
        <v>52</v>
      </c>
      <c r="AX31" s="88" t="s">
        <v>52</v>
      </c>
      <c r="AY31" s="16" t="s">
        <v>52</v>
      </c>
      <c r="AZ31" s="16" t="s">
        <v>52</v>
      </c>
      <c r="BA31" s="16" t="s">
        <v>52</v>
      </c>
      <c r="BB31" s="39" t="s">
        <v>52</v>
      </c>
      <c r="BC31" s="39" t="s">
        <v>52</v>
      </c>
      <c r="BD31" s="39" t="s">
        <v>52</v>
      </c>
      <c r="BE31" s="39">
        <v>3</v>
      </c>
      <c r="BF31" s="39" t="s">
        <v>52</v>
      </c>
      <c r="BG31" s="16" t="s">
        <v>52</v>
      </c>
      <c r="BH31" s="16" t="s">
        <v>52</v>
      </c>
      <c r="BI31" s="16" t="s">
        <v>52</v>
      </c>
      <c r="BJ31" s="39" t="s">
        <v>52</v>
      </c>
      <c r="BK31" s="36" t="s">
        <v>151</v>
      </c>
      <c r="BL31" s="16" t="s">
        <v>52</v>
      </c>
      <c r="BM31" s="16" t="s">
        <v>52</v>
      </c>
      <c r="BN31" s="16" t="s">
        <v>52</v>
      </c>
      <c r="BO31" s="16" t="s">
        <v>52</v>
      </c>
      <c r="BP31" s="16" t="s">
        <v>52</v>
      </c>
      <c r="BQ31" s="16" t="s">
        <v>52</v>
      </c>
      <c r="BR31" s="16" t="s">
        <v>52</v>
      </c>
      <c r="BS31" s="16" t="s">
        <v>52</v>
      </c>
      <c r="BT31" s="16" t="s">
        <v>52</v>
      </c>
      <c r="BU31" s="16" t="s">
        <v>52</v>
      </c>
      <c r="BV31" s="16" t="s">
        <v>52</v>
      </c>
      <c r="BW31" s="16" t="s">
        <v>52</v>
      </c>
      <c r="BX31" s="16" t="s">
        <v>52</v>
      </c>
      <c r="BY31" s="16" t="s">
        <v>52</v>
      </c>
      <c r="BZ31" s="16" t="s">
        <v>52</v>
      </c>
      <c r="CA31" s="16" t="s">
        <v>52</v>
      </c>
      <c r="CB31" s="16" t="s">
        <v>52</v>
      </c>
      <c r="CC31" s="16" t="s">
        <v>52</v>
      </c>
      <c r="CD31" s="16" t="s">
        <v>52</v>
      </c>
      <c r="CE31" s="16" t="s">
        <v>52</v>
      </c>
      <c r="CF31" s="16" t="s">
        <v>52</v>
      </c>
      <c r="CG31" s="16" t="s">
        <v>52</v>
      </c>
      <c r="CH31" s="16" t="s">
        <v>52</v>
      </c>
      <c r="CI31" s="16" t="s">
        <v>52</v>
      </c>
      <c r="CJ31" s="90">
        <v>-24.973000000000003</v>
      </c>
      <c r="CK31" s="5" t="s">
        <v>140</v>
      </c>
      <c r="CL31" s="30" t="s">
        <v>141</v>
      </c>
      <c r="CM31" s="17" t="s">
        <v>52</v>
      </c>
      <c r="CN31" s="77" t="s">
        <v>52</v>
      </c>
      <c r="CO31" s="17" t="s">
        <v>52</v>
      </c>
      <c r="CP31" s="90">
        <v>-5.73</v>
      </c>
      <c r="CQ31" s="5" t="s">
        <v>143</v>
      </c>
      <c r="CR31" s="29" t="s">
        <v>142</v>
      </c>
      <c r="CS31" s="75" t="s">
        <v>52</v>
      </c>
      <c r="CT31" s="78" t="s">
        <v>52</v>
      </c>
      <c r="CU31" s="24" t="s">
        <v>52</v>
      </c>
      <c r="CV31" s="91">
        <v>21.49</v>
      </c>
      <c r="CW31" s="5" t="s">
        <v>144</v>
      </c>
      <c r="CX31" s="17" t="s">
        <v>52</v>
      </c>
      <c r="CY31" s="17" t="s">
        <v>52</v>
      </c>
      <c r="CZ31" s="17" t="s">
        <v>52</v>
      </c>
      <c r="DA31" s="40" t="s">
        <v>52</v>
      </c>
      <c r="DB31" s="30" t="s">
        <v>145</v>
      </c>
      <c r="DC31" s="25">
        <v>-18.6812</v>
      </c>
      <c r="DD31" s="17" t="s">
        <v>52</v>
      </c>
      <c r="DE31" s="17" t="s">
        <v>52</v>
      </c>
      <c r="DF31" s="17" t="s">
        <v>52</v>
      </c>
      <c r="DG31" s="17" t="s">
        <v>52</v>
      </c>
      <c r="DH31" s="17" t="s">
        <v>52</v>
      </c>
      <c r="DI31" s="17" t="s">
        <v>52</v>
      </c>
      <c r="DJ31" s="17" t="s">
        <v>52</v>
      </c>
      <c r="DK31" s="17" t="s">
        <v>52</v>
      </c>
      <c r="DL31" s="66" t="s">
        <v>52</v>
      </c>
      <c r="DM31" s="17">
        <v>6000</v>
      </c>
      <c r="DN31" s="5" t="s">
        <v>129</v>
      </c>
      <c r="DO31" s="17">
        <v>1000</v>
      </c>
      <c r="DP31" s="17">
        <v>1000</v>
      </c>
      <c r="DQ31" s="77" t="s">
        <v>129</v>
      </c>
      <c r="DR31" s="17" t="s">
        <v>146</v>
      </c>
      <c r="DS31" s="18" t="s">
        <v>43</v>
      </c>
      <c r="DT31" s="18" t="s">
        <v>52</v>
      </c>
      <c r="DU31" s="18" t="s">
        <v>52</v>
      </c>
      <c r="DV31" s="18" t="s">
        <v>52</v>
      </c>
      <c r="DW31" s="18" t="s">
        <v>52</v>
      </c>
      <c r="DX31" s="6" t="s">
        <v>44</v>
      </c>
      <c r="DY31" s="18" t="s">
        <v>42</v>
      </c>
      <c r="DZ31" s="18" t="s">
        <v>52</v>
      </c>
      <c r="EA31" s="18" t="s">
        <v>52</v>
      </c>
      <c r="EB31" s="34" t="s">
        <v>52</v>
      </c>
      <c r="EC31" s="34" t="s">
        <v>52</v>
      </c>
      <c r="ED31" s="34" t="s">
        <v>52</v>
      </c>
      <c r="EE31" s="19" t="s">
        <v>41</v>
      </c>
      <c r="EF31" s="18" t="s">
        <v>52</v>
      </c>
      <c r="EG31" s="35">
        <v>927.33393044660056</v>
      </c>
      <c r="EH31" s="94" t="s">
        <v>52</v>
      </c>
      <c r="EI31" s="35">
        <v>154.5556550744335</v>
      </c>
      <c r="EJ31" s="35">
        <v>154.55565507443339</v>
      </c>
      <c r="EK31" s="7" t="s">
        <v>147</v>
      </c>
      <c r="EL31" s="7" t="s">
        <v>148</v>
      </c>
      <c r="EM31" s="7" t="s">
        <v>148</v>
      </c>
      <c r="EN31" s="35" t="s">
        <v>128</v>
      </c>
      <c r="EO31" s="35" t="s">
        <v>128</v>
      </c>
      <c r="EP31" s="26" t="s">
        <v>203</v>
      </c>
    </row>
    <row r="32" spans="1:146" x14ac:dyDescent="0.2">
      <c r="A32" s="98" t="s">
        <v>188</v>
      </c>
      <c r="B32" s="32" t="s">
        <v>189</v>
      </c>
      <c r="C32" s="45" t="s">
        <v>53</v>
      </c>
      <c r="D32" s="45" t="s">
        <v>137</v>
      </c>
      <c r="E32" s="45">
        <v>2003</v>
      </c>
      <c r="F32" s="38" t="s">
        <v>138</v>
      </c>
      <c r="G32" s="45">
        <f t="shared" si="0"/>
        <v>69300</v>
      </c>
      <c r="H32" s="45" t="s">
        <v>52</v>
      </c>
      <c r="I32" s="45" t="s">
        <v>52</v>
      </c>
      <c r="J32" s="93">
        <v>1126.3800228891155</v>
      </c>
      <c r="K32" s="93">
        <v>187.73000381485258</v>
      </c>
      <c r="L32" s="93">
        <v>187.73000381485258</v>
      </c>
      <c r="M32" s="113" t="b">
        <v>1</v>
      </c>
      <c r="N32" s="113">
        <v>3</v>
      </c>
      <c r="O32" s="121" t="s">
        <v>204</v>
      </c>
      <c r="P32" s="113" t="b">
        <v>0</v>
      </c>
      <c r="Q32" s="113" t="b">
        <v>0</v>
      </c>
      <c r="R32" s="113" t="s">
        <v>52</v>
      </c>
      <c r="S32" s="113" t="b">
        <v>1</v>
      </c>
      <c r="T32" s="113" t="b">
        <v>0</v>
      </c>
      <c r="U32" s="113" t="s">
        <v>52</v>
      </c>
      <c r="V32" s="113" t="b">
        <v>0</v>
      </c>
      <c r="W32" s="113" t="b">
        <v>0</v>
      </c>
      <c r="X32" s="113" t="s">
        <v>52</v>
      </c>
      <c r="Y32" s="111" t="s">
        <v>139</v>
      </c>
      <c r="Z32" s="38" t="s">
        <v>138</v>
      </c>
      <c r="AA32" s="37" t="s">
        <v>142</v>
      </c>
      <c r="AB32" s="41" t="s">
        <v>149</v>
      </c>
      <c r="AC32" s="89" t="s">
        <v>180</v>
      </c>
      <c r="AD32" s="99" t="s">
        <v>52</v>
      </c>
      <c r="AE32" s="86">
        <v>29.3</v>
      </c>
      <c r="AF32" s="23">
        <v>-103.52</v>
      </c>
      <c r="AG32" s="33" t="s">
        <v>52</v>
      </c>
      <c r="AH32" s="33" t="s">
        <v>52</v>
      </c>
      <c r="AI32" s="33" t="s">
        <v>52</v>
      </c>
      <c r="AJ32" s="89">
        <v>69.3</v>
      </c>
      <c r="AK32" s="23" t="s">
        <v>52</v>
      </c>
      <c r="AL32" s="23" t="s">
        <v>52</v>
      </c>
      <c r="AM32" s="43" t="s">
        <v>150</v>
      </c>
      <c r="AN32" s="21">
        <v>-8.83</v>
      </c>
      <c r="AO32" s="21">
        <v>0.17999999999999972</v>
      </c>
      <c r="AP32" s="36">
        <v>3</v>
      </c>
      <c r="AQ32" s="87" t="s">
        <v>52</v>
      </c>
      <c r="AR32" s="20" t="s">
        <v>52</v>
      </c>
      <c r="AS32" s="20" t="s">
        <v>52</v>
      </c>
      <c r="AT32" s="16" t="s">
        <v>52</v>
      </c>
      <c r="AU32" s="16" t="s">
        <v>52</v>
      </c>
      <c r="AV32" s="16" t="s">
        <v>52</v>
      </c>
      <c r="AW32" s="16" t="s">
        <v>52</v>
      </c>
      <c r="AX32" s="88" t="s">
        <v>52</v>
      </c>
      <c r="AY32" s="16" t="s">
        <v>52</v>
      </c>
      <c r="AZ32" s="16" t="s">
        <v>52</v>
      </c>
      <c r="BA32" s="16" t="s">
        <v>52</v>
      </c>
      <c r="BB32" s="39" t="s">
        <v>52</v>
      </c>
      <c r="BC32" s="39" t="s">
        <v>52</v>
      </c>
      <c r="BD32" s="39" t="s">
        <v>52</v>
      </c>
      <c r="BE32" s="39">
        <v>3</v>
      </c>
      <c r="BF32" s="39" t="s">
        <v>52</v>
      </c>
      <c r="BG32" s="16" t="s">
        <v>52</v>
      </c>
      <c r="BH32" s="16" t="s">
        <v>52</v>
      </c>
      <c r="BI32" s="16" t="s">
        <v>52</v>
      </c>
      <c r="BJ32" s="39" t="s">
        <v>52</v>
      </c>
      <c r="BK32" s="36" t="s">
        <v>151</v>
      </c>
      <c r="BL32" s="16" t="s">
        <v>52</v>
      </c>
      <c r="BM32" s="16" t="s">
        <v>52</v>
      </c>
      <c r="BN32" s="16" t="s">
        <v>52</v>
      </c>
      <c r="BO32" s="16" t="s">
        <v>52</v>
      </c>
      <c r="BP32" s="16" t="s">
        <v>52</v>
      </c>
      <c r="BQ32" s="16" t="s">
        <v>52</v>
      </c>
      <c r="BR32" s="16" t="s">
        <v>52</v>
      </c>
      <c r="BS32" s="16" t="s">
        <v>52</v>
      </c>
      <c r="BT32" s="16" t="s">
        <v>52</v>
      </c>
      <c r="BU32" s="16" t="s">
        <v>52</v>
      </c>
      <c r="BV32" s="16" t="s">
        <v>52</v>
      </c>
      <c r="BW32" s="16" t="s">
        <v>52</v>
      </c>
      <c r="BX32" s="16" t="s">
        <v>52</v>
      </c>
      <c r="BY32" s="16" t="s">
        <v>52</v>
      </c>
      <c r="BZ32" s="16" t="s">
        <v>52</v>
      </c>
      <c r="CA32" s="16" t="s">
        <v>52</v>
      </c>
      <c r="CB32" s="16" t="s">
        <v>52</v>
      </c>
      <c r="CC32" s="16" t="s">
        <v>52</v>
      </c>
      <c r="CD32" s="16" t="s">
        <v>52</v>
      </c>
      <c r="CE32" s="16" t="s">
        <v>52</v>
      </c>
      <c r="CF32" s="16" t="s">
        <v>52</v>
      </c>
      <c r="CG32" s="16" t="s">
        <v>52</v>
      </c>
      <c r="CH32" s="16" t="s">
        <v>52</v>
      </c>
      <c r="CI32" s="16" t="s">
        <v>52</v>
      </c>
      <c r="CJ32" s="90">
        <v>-24.885000000000002</v>
      </c>
      <c r="CK32" s="5" t="s">
        <v>140</v>
      </c>
      <c r="CL32" s="30" t="s">
        <v>141</v>
      </c>
      <c r="CM32" s="17" t="s">
        <v>52</v>
      </c>
      <c r="CN32" s="77" t="s">
        <v>52</v>
      </c>
      <c r="CO32" s="17" t="s">
        <v>52</v>
      </c>
      <c r="CP32" s="90">
        <v>-5.65</v>
      </c>
      <c r="CQ32" s="5" t="s">
        <v>143</v>
      </c>
      <c r="CR32" s="29" t="s">
        <v>142</v>
      </c>
      <c r="CS32" s="75" t="s">
        <v>52</v>
      </c>
      <c r="CT32" s="78" t="s">
        <v>52</v>
      </c>
      <c r="CU32" s="24" t="s">
        <v>52</v>
      </c>
      <c r="CV32" s="91">
        <v>21.48</v>
      </c>
      <c r="CW32" s="5" t="s">
        <v>144</v>
      </c>
      <c r="CX32" s="17" t="s">
        <v>52</v>
      </c>
      <c r="CY32" s="17" t="s">
        <v>52</v>
      </c>
      <c r="CZ32" s="17" t="s">
        <v>52</v>
      </c>
      <c r="DA32" s="40" t="s">
        <v>52</v>
      </c>
      <c r="DB32" s="30" t="s">
        <v>145</v>
      </c>
      <c r="DC32" s="25">
        <v>-18.232399999999998</v>
      </c>
      <c r="DD32" s="17" t="s">
        <v>52</v>
      </c>
      <c r="DE32" s="17" t="s">
        <v>52</v>
      </c>
      <c r="DF32" s="17" t="s">
        <v>52</v>
      </c>
      <c r="DG32" s="17" t="s">
        <v>52</v>
      </c>
      <c r="DH32" s="17" t="s">
        <v>52</v>
      </c>
      <c r="DI32" s="17" t="s">
        <v>52</v>
      </c>
      <c r="DJ32" s="17" t="s">
        <v>52</v>
      </c>
      <c r="DK32" s="17" t="s">
        <v>52</v>
      </c>
      <c r="DL32" s="66" t="s">
        <v>52</v>
      </c>
      <c r="DM32" s="17">
        <v>6000</v>
      </c>
      <c r="DN32" s="5" t="s">
        <v>129</v>
      </c>
      <c r="DO32" s="17">
        <v>1000</v>
      </c>
      <c r="DP32" s="17">
        <v>1000</v>
      </c>
      <c r="DQ32" s="77" t="s">
        <v>129</v>
      </c>
      <c r="DR32" s="17" t="s">
        <v>146</v>
      </c>
      <c r="DS32" s="18" t="s">
        <v>43</v>
      </c>
      <c r="DT32" s="18" t="s">
        <v>52</v>
      </c>
      <c r="DU32" s="18" t="s">
        <v>52</v>
      </c>
      <c r="DV32" s="18" t="s">
        <v>52</v>
      </c>
      <c r="DW32" s="18" t="s">
        <v>52</v>
      </c>
      <c r="DX32" s="6" t="s">
        <v>44</v>
      </c>
      <c r="DY32" s="18" t="s">
        <v>42</v>
      </c>
      <c r="DZ32" s="18" t="s">
        <v>52</v>
      </c>
      <c r="EA32" s="18" t="s">
        <v>52</v>
      </c>
      <c r="EB32" s="34" t="s">
        <v>52</v>
      </c>
      <c r="EC32" s="34" t="s">
        <v>52</v>
      </c>
      <c r="ED32" s="34" t="s">
        <v>52</v>
      </c>
      <c r="EE32" s="19" t="s">
        <v>41</v>
      </c>
      <c r="EF32" s="18" t="s">
        <v>52</v>
      </c>
      <c r="EG32" s="35">
        <v>1126.3800228891155</v>
      </c>
      <c r="EH32" s="94" t="s">
        <v>52</v>
      </c>
      <c r="EI32" s="35">
        <v>187.73000381485258</v>
      </c>
      <c r="EJ32" s="35">
        <v>187.73000381485258</v>
      </c>
      <c r="EK32" s="7" t="s">
        <v>147</v>
      </c>
      <c r="EL32" s="7" t="s">
        <v>148</v>
      </c>
      <c r="EM32" s="7" t="s">
        <v>148</v>
      </c>
      <c r="EN32" s="35" t="s">
        <v>128</v>
      </c>
      <c r="EO32" s="35" t="s">
        <v>128</v>
      </c>
      <c r="EP32" s="26" t="s">
        <v>203</v>
      </c>
    </row>
    <row r="33" spans="1:146" x14ac:dyDescent="0.2">
      <c r="A33" s="98" t="s">
        <v>188</v>
      </c>
      <c r="B33" s="32" t="s">
        <v>189</v>
      </c>
      <c r="C33" s="45" t="s">
        <v>53</v>
      </c>
      <c r="D33" s="45" t="s">
        <v>137</v>
      </c>
      <c r="E33" s="45">
        <v>2003</v>
      </c>
      <c r="F33" s="38" t="s">
        <v>138</v>
      </c>
      <c r="G33" s="45">
        <f t="shared" si="0"/>
        <v>69360</v>
      </c>
      <c r="H33" s="45" t="s">
        <v>52</v>
      </c>
      <c r="I33" s="45" t="s">
        <v>52</v>
      </c>
      <c r="J33" s="93">
        <v>986.02000747942986</v>
      </c>
      <c r="K33" s="93">
        <v>164.33666791323833</v>
      </c>
      <c r="L33" s="93">
        <v>164.33666791323833</v>
      </c>
      <c r="M33" s="113" t="b">
        <v>1</v>
      </c>
      <c r="N33" s="113">
        <v>3</v>
      </c>
      <c r="O33" s="121" t="s">
        <v>204</v>
      </c>
      <c r="P33" s="113" t="b">
        <v>0</v>
      </c>
      <c r="Q33" s="113" t="b">
        <v>0</v>
      </c>
      <c r="R33" s="113" t="s">
        <v>52</v>
      </c>
      <c r="S33" s="113" t="b">
        <v>1</v>
      </c>
      <c r="T33" s="113" t="b">
        <v>0</v>
      </c>
      <c r="U33" s="113" t="s">
        <v>52</v>
      </c>
      <c r="V33" s="113" t="b">
        <v>0</v>
      </c>
      <c r="W33" s="113" t="b">
        <v>0</v>
      </c>
      <c r="X33" s="113" t="s">
        <v>52</v>
      </c>
      <c r="Y33" s="111" t="s">
        <v>139</v>
      </c>
      <c r="Z33" s="38" t="s">
        <v>138</v>
      </c>
      <c r="AA33" s="37" t="s">
        <v>142</v>
      </c>
      <c r="AB33" s="41" t="s">
        <v>149</v>
      </c>
      <c r="AC33" s="89" t="s">
        <v>181</v>
      </c>
      <c r="AD33" s="99" t="s">
        <v>52</v>
      </c>
      <c r="AE33" s="86">
        <v>29.3</v>
      </c>
      <c r="AF33" s="23">
        <v>-103.52</v>
      </c>
      <c r="AG33" s="33" t="s">
        <v>52</v>
      </c>
      <c r="AH33" s="33" t="s">
        <v>52</v>
      </c>
      <c r="AI33" s="33" t="s">
        <v>52</v>
      </c>
      <c r="AJ33" s="89">
        <v>69.36</v>
      </c>
      <c r="AK33" s="23" t="s">
        <v>52</v>
      </c>
      <c r="AL33" s="23" t="s">
        <v>52</v>
      </c>
      <c r="AM33" s="43" t="s">
        <v>150</v>
      </c>
      <c r="AN33" s="21">
        <v>-9.2100000000000009</v>
      </c>
      <c r="AO33" s="21">
        <v>0.84000000000000341</v>
      </c>
      <c r="AP33" s="36">
        <v>3</v>
      </c>
      <c r="AQ33" s="87" t="s">
        <v>52</v>
      </c>
      <c r="AR33" s="20" t="s">
        <v>52</v>
      </c>
      <c r="AS33" s="20" t="s">
        <v>52</v>
      </c>
      <c r="AT33" s="16" t="s">
        <v>52</v>
      </c>
      <c r="AU33" s="16" t="s">
        <v>52</v>
      </c>
      <c r="AV33" s="16" t="s">
        <v>52</v>
      </c>
      <c r="AW33" s="16" t="s">
        <v>52</v>
      </c>
      <c r="AX33" s="88" t="s">
        <v>52</v>
      </c>
      <c r="AY33" s="16" t="s">
        <v>52</v>
      </c>
      <c r="AZ33" s="16" t="s">
        <v>52</v>
      </c>
      <c r="BA33" s="16" t="s">
        <v>52</v>
      </c>
      <c r="BB33" s="39" t="s">
        <v>52</v>
      </c>
      <c r="BC33" s="39" t="s">
        <v>52</v>
      </c>
      <c r="BD33" s="39" t="s">
        <v>52</v>
      </c>
      <c r="BE33" s="39">
        <v>3</v>
      </c>
      <c r="BF33" s="39" t="s">
        <v>52</v>
      </c>
      <c r="BG33" s="16" t="s">
        <v>52</v>
      </c>
      <c r="BH33" s="16" t="s">
        <v>52</v>
      </c>
      <c r="BI33" s="16" t="s">
        <v>52</v>
      </c>
      <c r="BJ33" s="39" t="s">
        <v>52</v>
      </c>
      <c r="BK33" s="36" t="s">
        <v>151</v>
      </c>
      <c r="BL33" s="16" t="s">
        <v>52</v>
      </c>
      <c r="BM33" s="16" t="s">
        <v>52</v>
      </c>
      <c r="BN33" s="16" t="s">
        <v>52</v>
      </c>
      <c r="BO33" s="16" t="s">
        <v>52</v>
      </c>
      <c r="BP33" s="16" t="s">
        <v>52</v>
      </c>
      <c r="BQ33" s="16" t="s">
        <v>52</v>
      </c>
      <c r="BR33" s="16" t="s">
        <v>52</v>
      </c>
      <c r="BS33" s="16" t="s">
        <v>52</v>
      </c>
      <c r="BT33" s="16" t="s">
        <v>52</v>
      </c>
      <c r="BU33" s="16" t="s">
        <v>52</v>
      </c>
      <c r="BV33" s="16" t="s">
        <v>52</v>
      </c>
      <c r="BW33" s="16" t="s">
        <v>52</v>
      </c>
      <c r="BX33" s="16" t="s">
        <v>52</v>
      </c>
      <c r="BY33" s="16" t="s">
        <v>52</v>
      </c>
      <c r="BZ33" s="16" t="s">
        <v>52</v>
      </c>
      <c r="CA33" s="16" t="s">
        <v>52</v>
      </c>
      <c r="CB33" s="16" t="s">
        <v>52</v>
      </c>
      <c r="CC33" s="16" t="s">
        <v>52</v>
      </c>
      <c r="CD33" s="16" t="s">
        <v>52</v>
      </c>
      <c r="CE33" s="16" t="s">
        <v>52</v>
      </c>
      <c r="CF33" s="16" t="s">
        <v>52</v>
      </c>
      <c r="CG33" s="16" t="s">
        <v>52</v>
      </c>
      <c r="CH33" s="16" t="s">
        <v>52</v>
      </c>
      <c r="CI33" s="16" t="s">
        <v>52</v>
      </c>
      <c r="CJ33" s="90">
        <v>-24.885000000000002</v>
      </c>
      <c r="CK33" s="5" t="s">
        <v>140</v>
      </c>
      <c r="CL33" s="30" t="s">
        <v>141</v>
      </c>
      <c r="CM33" s="17" t="s">
        <v>52</v>
      </c>
      <c r="CN33" s="77" t="s">
        <v>52</v>
      </c>
      <c r="CO33" s="17" t="s">
        <v>52</v>
      </c>
      <c r="CP33" s="90">
        <v>-5.65</v>
      </c>
      <c r="CQ33" s="5" t="s">
        <v>143</v>
      </c>
      <c r="CR33" s="29" t="s">
        <v>142</v>
      </c>
      <c r="CS33" s="75" t="s">
        <v>52</v>
      </c>
      <c r="CT33" s="78" t="s">
        <v>52</v>
      </c>
      <c r="CU33" s="24" t="s">
        <v>52</v>
      </c>
      <c r="CV33" s="91">
        <v>22.54</v>
      </c>
      <c r="CW33" s="5" t="s">
        <v>144</v>
      </c>
      <c r="CX33" s="17" t="s">
        <v>52</v>
      </c>
      <c r="CY33" s="17" t="s">
        <v>52</v>
      </c>
      <c r="CZ33" s="17" t="s">
        <v>52</v>
      </c>
      <c r="DA33" s="40" t="s">
        <v>52</v>
      </c>
      <c r="DB33" s="30" t="s">
        <v>145</v>
      </c>
      <c r="DC33" s="25">
        <v>-18.485200000000003</v>
      </c>
      <c r="DD33" s="17" t="s">
        <v>52</v>
      </c>
      <c r="DE33" s="17" t="s">
        <v>52</v>
      </c>
      <c r="DF33" s="17" t="s">
        <v>52</v>
      </c>
      <c r="DG33" s="17" t="s">
        <v>52</v>
      </c>
      <c r="DH33" s="17" t="s">
        <v>52</v>
      </c>
      <c r="DI33" s="17" t="s">
        <v>52</v>
      </c>
      <c r="DJ33" s="17" t="s">
        <v>52</v>
      </c>
      <c r="DK33" s="17" t="s">
        <v>52</v>
      </c>
      <c r="DL33" s="66" t="s">
        <v>52</v>
      </c>
      <c r="DM33" s="17">
        <v>6000</v>
      </c>
      <c r="DN33" s="5" t="s">
        <v>129</v>
      </c>
      <c r="DO33" s="17">
        <v>1000</v>
      </c>
      <c r="DP33" s="17">
        <v>1000</v>
      </c>
      <c r="DQ33" s="77" t="s">
        <v>129</v>
      </c>
      <c r="DR33" s="17" t="s">
        <v>146</v>
      </c>
      <c r="DS33" s="18" t="s">
        <v>43</v>
      </c>
      <c r="DT33" s="18" t="s">
        <v>52</v>
      </c>
      <c r="DU33" s="18" t="s">
        <v>52</v>
      </c>
      <c r="DV33" s="18" t="s">
        <v>52</v>
      </c>
      <c r="DW33" s="18" t="s">
        <v>52</v>
      </c>
      <c r="DX33" s="6" t="s">
        <v>44</v>
      </c>
      <c r="DY33" s="18" t="s">
        <v>42</v>
      </c>
      <c r="DZ33" s="18" t="s">
        <v>52</v>
      </c>
      <c r="EA33" s="18" t="s">
        <v>52</v>
      </c>
      <c r="EB33" s="34" t="s">
        <v>52</v>
      </c>
      <c r="EC33" s="34" t="s">
        <v>52</v>
      </c>
      <c r="ED33" s="34" t="s">
        <v>52</v>
      </c>
      <c r="EE33" s="19" t="s">
        <v>41</v>
      </c>
      <c r="EF33" s="18" t="s">
        <v>52</v>
      </c>
      <c r="EG33" s="35">
        <v>986.02000747942986</v>
      </c>
      <c r="EH33" s="94" t="s">
        <v>52</v>
      </c>
      <c r="EI33" s="35">
        <v>164.33666791323833</v>
      </c>
      <c r="EJ33" s="35">
        <v>164.33666791323833</v>
      </c>
      <c r="EK33" s="7" t="s">
        <v>147</v>
      </c>
      <c r="EL33" s="7" t="s">
        <v>148</v>
      </c>
      <c r="EM33" s="7" t="s">
        <v>148</v>
      </c>
      <c r="EN33" s="35" t="s">
        <v>128</v>
      </c>
      <c r="EO33" s="35" t="s">
        <v>128</v>
      </c>
      <c r="EP33" s="26" t="s">
        <v>203</v>
      </c>
    </row>
    <row r="34" spans="1:146" x14ac:dyDescent="0.2">
      <c r="A34" s="98" t="s">
        <v>188</v>
      </c>
      <c r="B34" s="32" t="s">
        <v>189</v>
      </c>
      <c r="C34" s="45" t="s">
        <v>53</v>
      </c>
      <c r="D34" s="45" t="s">
        <v>137</v>
      </c>
      <c r="E34" s="45">
        <v>2003</v>
      </c>
      <c r="F34" s="38" t="s">
        <v>138</v>
      </c>
      <c r="G34" s="45">
        <f t="shared" si="0"/>
        <v>69550</v>
      </c>
      <c r="H34" s="45" t="s">
        <v>52</v>
      </c>
      <c r="I34" s="45" t="s">
        <v>52</v>
      </c>
      <c r="J34" s="93">
        <v>364.77597955706972</v>
      </c>
      <c r="K34" s="93">
        <v>60.795996592844972</v>
      </c>
      <c r="L34" s="93">
        <v>60.795996592844972</v>
      </c>
      <c r="M34" s="113" t="b">
        <v>1</v>
      </c>
      <c r="N34" s="113">
        <v>3</v>
      </c>
      <c r="O34" s="121" t="s">
        <v>204</v>
      </c>
      <c r="P34" s="113" t="b">
        <v>0</v>
      </c>
      <c r="Q34" s="113" t="b">
        <v>0</v>
      </c>
      <c r="R34" s="113" t="s">
        <v>52</v>
      </c>
      <c r="S34" s="113" t="b">
        <v>1</v>
      </c>
      <c r="T34" s="113" t="b">
        <v>0</v>
      </c>
      <c r="U34" s="113" t="s">
        <v>52</v>
      </c>
      <c r="V34" s="113" t="b">
        <v>0</v>
      </c>
      <c r="W34" s="113" t="b">
        <v>0</v>
      </c>
      <c r="X34" s="113" t="s">
        <v>52</v>
      </c>
      <c r="Y34" s="111" t="s">
        <v>139</v>
      </c>
      <c r="Z34" s="38" t="s">
        <v>138</v>
      </c>
      <c r="AA34" s="37" t="s">
        <v>142</v>
      </c>
      <c r="AB34" s="41" t="s">
        <v>149</v>
      </c>
      <c r="AC34" s="89" t="s">
        <v>182</v>
      </c>
      <c r="AD34" s="99" t="s">
        <v>52</v>
      </c>
      <c r="AE34" s="86">
        <v>29.3</v>
      </c>
      <c r="AF34" s="23">
        <v>-103.52</v>
      </c>
      <c r="AG34" s="33" t="s">
        <v>52</v>
      </c>
      <c r="AH34" s="33" t="s">
        <v>52</v>
      </c>
      <c r="AI34" s="33" t="s">
        <v>52</v>
      </c>
      <c r="AJ34" s="89">
        <v>69.55</v>
      </c>
      <c r="AK34" s="23" t="s">
        <v>52</v>
      </c>
      <c r="AL34" s="23" t="s">
        <v>52</v>
      </c>
      <c r="AM34" s="43" t="s">
        <v>150</v>
      </c>
      <c r="AN34" s="21">
        <v>-10.02</v>
      </c>
      <c r="AO34" s="21">
        <v>0.80000000000000071</v>
      </c>
      <c r="AP34" s="36">
        <v>3</v>
      </c>
      <c r="AQ34" s="87" t="s">
        <v>52</v>
      </c>
      <c r="AR34" s="20" t="s">
        <v>52</v>
      </c>
      <c r="AS34" s="20" t="s">
        <v>52</v>
      </c>
      <c r="AT34" s="16" t="s">
        <v>52</v>
      </c>
      <c r="AU34" s="16" t="s">
        <v>52</v>
      </c>
      <c r="AV34" s="16" t="s">
        <v>52</v>
      </c>
      <c r="AW34" s="16" t="s">
        <v>52</v>
      </c>
      <c r="AX34" s="88" t="s">
        <v>52</v>
      </c>
      <c r="AY34" s="16" t="s">
        <v>52</v>
      </c>
      <c r="AZ34" s="16" t="s">
        <v>52</v>
      </c>
      <c r="BA34" s="16" t="s">
        <v>52</v>
      </c>
      <c r="BB34" s="39" t="s">
        <v>52</v>
      </c>
      <c r="BC34" s="39" t="s">
        <v>52</v>
      </c>
      <c r="BD34" s="39" t="s">
        <v>52</v>
      </c>
      <c r="BE34" s="39">
        <v>3</v>
      </c>
      <c r="BF34" s="39" t="s">
        <v>52</v>
      </c>
      <c r="BG34" s="16" t="s">
        <v>52</v>
      </c>
      <c r="BH34" s="16" t="s">
        <v>52</v>
      </c>
      <c r="BI34" s="16" t="s">
        <v>52</v>
      </c>
      <c r="BJ34" s="39" t="s">
        <v>52</v>
      </c>
      <c r="BK34" s="36" t="s">
        <v>151</v>
      </c>
      <c r="BL34" s="16" t="s">
        <v>52</v>
      </c>
      <c r="BM34" s="16" t="s">
        <v>52</v>
      </c>
      <c r="BN34" s="16" t="s">
        <v>52</v>
      </c>
      <c r="BO34" s="16" t="s">
        <v>52</v>
      </c>
      <c r="BP34" s="16" t="s">
        <v>52</v>
      </c>
      <c r="BQ34" s="16" t="s">
        <v>52</v>
      </c>
      <c r="BR34" s="16" t="s">
        <v>52</v>
      </c>
      <c r="BS34" s="16" t="s">
        <v>52</v>
      </c>
      <c r="BT34" s="16" t="s">
        <v>52</v>
      </c>
      <c r="BU34" s="16" t="s">
        <v>52</v>
      </c>
      <c r="BV34" s="16" t="s">
        <v>52</v>
      </c>
      <c r="BW34" s="16" t="s">
        <v>52</v>
      </c>
      <c r="BX34" s="16" t="s">
        <v>52</v>
      </c>
      <c r="BY34" s="16" t="s">
        <v>52</v>
      </c>
      <c r="BZ34" s="16" t="s">
        <v>52</v>
      </c>
      <c r="CA34" s="16" t="s">
        <v>52</v>
      </c>
      <c r="CB34" s="16" t="s">
        <v>52</v>
      </c>
      <c r="CC34" s="16" t="s">
        <v>52</v>
      </c>
      <c r="CD34" s="16" t="s">
        <v>52</v>
      </c>
      <c r="CE34" s="16" t="s">
        <v>52</v>
      </c>
      <c r="CF34" s="16" t="s">
        <v>52</v>
      </c>
      <c r="CG34" s="16" t="s">
        <v>52</v>
      </c>
      <c r="CH34" s="16" t="s">
        <v>52</v>
      </c>
      <c r="CI34" s="16" t="s">
        <v>52</v>
      </c>
      <c r="CJ34" s="90">
        <v>-24.885000000000002</v>
      </c>
      <c r="CK34" s="5" t="s">
        <v>140</v>
      </c>
      <c r="CL34" s="30" t="s">
        <v>141</v>
      </c>
      <c r="CM34" s="17" t="s">
        <v>52</v>
      </c>
      <c r="CN34" s="77" t="s">
        <v>52</v>
      </c>
      <c r="CO34" s="17" t="s">
        <v>52</v>
      </c>
      <c r="CP34" s="90">
        <v>-5.65</v>
      </c>
      <c r="CQ34" s="5" t="s">
        <v>143</v>
      </c>
      <c r="CR34" s="29" t="s">
        <v>142</v>
      </c>
      <c r="CS34" s="75" t="s">
        <v>52</v>
      </c>
      <c r="CT34" s="78" t="s">
        <v>52</v>
      </c>
      <c r="CU34" s="24" t="s">
        <v>52</v>
      </c>
      <c r="CV34" s="91">
        <v>18.850000000000001</v>
      </c>
      <c r="CW34" s="5" t="s">
        <v>144</v>
      </c>
      <c r="CX34" s="17" t="s">
        <v>52</v>
      </c>
      <c r="CY34" s="17" t="s">
        <v>52</v>
      </c>
      <c r="CZ34" s="17" t="s">
        <v>52</v>
      </c>
      <c r="DA34" s="40" t="s">
        <v>52</v>
      </c>
      <c r="DB34" s="30" t="s">
        <v>145</v>
      </c>
      <c r="DC34" s="25">
        <v>-19.738</v>
      </c>
      <c r="DD34" s="17" t="s">
        <v>52</v>
      </c>
      <c r="DE34" s="17" t="s">
        <v>52</v>
      </c>
      <c r="DF34" s="17" t="s">
        <v>52</v>
      </c>
      <c r="DG34" s="17" t="s">
        <v>52</v>
      </c>
      <c r="DH34" s="17" t="s">
        <v>52</v>
      </c>
      <c r="DI34" s="17" t="s">
        <v>52</v>
      </c>
      <c r="DJ34" s="17" t="s">
        <v>52</v>
      </c>
      <c r="DK34" s="17" t="s">
        <v>52</v>
      </c>
      <c r="DL34" s="66" t="s">
        <v>52</v>
      </c>
      <c r="DM34" s="17">
        <v>6000</v>
      </c>
      <c r="DN34" s="5" t="s">
        <v>129</v>
      </c>
      <c r="DO34" s="17">
        <v>1000</v>
      </c>
      <c r="DP34" s="17">
        <v>1000</v>
      </c>
      <c r="DQ34" s="77" t="s">
        <v>129</v>
      </c>
      <c r="DR34" s="17" t="s">
        <v>146</v>
      </c>
      <c r="DS34" s="18" t="s">
        <v>43</v>
      </c>
      <c r="DT34" s="18" t="s">
        <v>52</v>
      </c>
      <c r="DU34" s="18" t="s">
        <v>52</v>
      </c>
      <c r="DV34" s="18" t="s">
        <v>52</v>
      </c>
      <c r="DW34" s="18" t="s">
        <v>52</v>
      </c>
      <c r="DX34" s="6" t="s">
        <v>44</v>
      </c>
      <c r="DY34" s="18" t="s">
        <v>42</v>
      </c>
      <c r="DZ34" s="18" t="s">
        <v>52</v>
      </c>
      <c r="EA34" s="18" t="s">
        <v>52</v>
      </c>
      <c r="EB34" s="34" t="s">
        <v>52</v>
      </c>
      <c r="EC34" s="34" t="s">
        <v>52</v>
      </c>
      <c r="ED34" s="34" t="s">
        <v>52</v>
      </c>
      <c r="EE34" s="19" t="s">
        <v>41</v>
      </c>
      <c r="EF34" s="18" t="s">
        <v>52</v>
      </c>
      <c r="EG34" s="35">
        <v>364.77597955706972</v>
      </c>
      <c r="EH34" s="94" t="s">
        <v>52</v>
      </c>
      <c r="EI34" s="35">
        <v>60.795996592844972</v>
      </c>
      <c r="EJ34" s="35">
        <v>60.795996592844972</v>
      </c>
      <c r="EK34" s="7" t="s">
        <v>147</v>
      </c>
      <c r="EL34" s="7" t="s">
        <v>148</v>
      </c>
      <c r="EM34" s="7" t="s">
        <v>148</v>
      </c>
      <c r="EN34" s="35" t="s">
        <v>128</v>
      </c>
      <c r="EO34" s="35" t="s">
        <v>128</v>
      </c>
      <c r="EP34" s="26" t="s">
        <v>203</v>
      </c>
    </row>
    <row r="35" spans="1:146" x14ac:dyDescent="0.2">
      <c r="A35" s="98" t="s">
        <v>188</v>
      </c>
      <c r="B35" s="32" t="s">
        <v>189</v>
      </c>
      <c r="C35" s="45" t="s">
        <v>53</v>
      </c>
      <c r="D35" s="45" t="s">
        <v>137</v>
      </c>
      <c r="E35" s="45">
        <v>2003</v>
      </c>
      <c r="F35" s="38" t="s">
        <v>138</v>
      </c>
      <c r="G35" s="45">
        <f t="shared" si="0"/>
        <v>69680</v>
      </c>
      <c r="H35" s="45" t="s">
        <v>52</v>
      </c>
      <c r="I35" s="45" t="s">
        <v>52</v>
      </c>
      <c r="J35" s="93">
        <v>114.57817527403637</v>
      </c>
      <c r="K35" s="93">
        <v>19.096362545672733</v>
      </c>
      <c r="L35" s="93">
        <v>19.096362545672719</v>
      </c>
      <c r="M35" s="113" t="b">
        <v>1</v>
      </c>
      <c r="N35" s="113">
        <v>3</v>
      </c>
      <c r="O35" s="121" t="s">
        <v>204</v>
      </c>
      <c r="P35" s="113" t="b">
        <v>0</v>
      </c>
      <c r="Q35" s="113" t="b">
        <v>0</v>
      </c>
      <c r="R35" s="113" t="s">
        <v>52</v>
      </c>
      <c r="S35" s="113" t="b">
        <v>1</v>
      </c>
      <c r="T35" s="113" t="b">
        <v>0</v>
      </c>
      <c r="U35" s="113" t="s">
        <v>52</v>
      </c>
      <c r="V35" s="113" t="b">
        <v>0</v>
      </c>
      <c r="W35" s="113" t="b">
        <v>0</v>
      </c>
      <c r="X35" s="113" t="s">
        <v>52</v>
      </c>
      <c r="Y35" s="111" t="s">
        <v>139</v>
      </c>
      <c r="Z35" s="38" t="s">
        <v>138</v>
      </c>
      <c r="AA35" s="37" t="s">
        <v>142</v>
      </c>
      <c r="AB35" s="41" t="s">
        <v>149</v>
      </c>
      <c r="AC35" s="89" t="s">
        <v>183</v>
      </c>
      <c r="AD35" s="99" t="s">
        <v>52</v>
      </c>
      <c r="AE35" s="86">
        <v>29.3</v>
      </c>
      <c r="AF35" s="23">
        <v>-103.52</v>
      </c>
      <c r="AG35" s="33" t="s">
        <v>52</v>
      </c>
      <c r="AH35" s="33" t="s">
        <v>52</v>
      </c>
      <c r="AI35" s="33" t="s">
        <v>52</v>
      </c>
      <c r="AJ35" s="89">
        <v>69.680000000000007</v>
      </c>
      <c r="AK35" s="23" t="s">
        <v>52</v>
      </c>
      <c r="AL35" s="23" t="s">
        <v>52</v>
      </c>
      <c r="AM35" s="43" t="s">
        <v>150</v>
      </c>
      <c r="AN35" s="21">
        <v>-10.36</v>
      </c>
      <c r="AO35" s="21">
        <v>0.4599999999999973</v>
      </c>
      <c r="AP35" s="36">
        <v>3</v>
      </c>
      <c r="AQ35" s="87" t="s">
        <v>52</v>
      </c>
      <c r="AR35" s="20" t="s">
        <v>52</v>
      </c>
      <c r="AS35" s="20" t="s">
        <v>52</v>
      </c>
      <c r="AT35" s="16" t="s">
        <v>52</v>
      </c>
      <c r="AU35" s="16" t="s">
        <v>52</v>
      </c>
      <c r="AV35" s="16" t="s">
        <v>52</v>
      </c>
      <c r="AW35" s="16" t="s">
        <v>52</v>
      </c>
      <c r="AX35" s="88" t="s">
        <v>52</v>
      </c>
      <c r="AY35" s="16" t="s">
        <v>52</v>
      </c>
      <c r="AZ35" s="16" t="s">
        <v>52</v>
      </c>
      <c r="BA35" s="16" t="s">
        <v>52</v>
      </c>
      <c r="BB35" s="39" t="s">
        <v>52</v>
      </c>
      <c r="BC35" s="39" t="s">
        <v>52</v>
      </c>
      <c r="BD35" s="39" t="s">
        <v>52</v>
      </c>
      <c r="BE35" s="39">
        <v>3</v>
      </c>
      <c r="BF35" s="39" t="s">
        <v>52</v>
      </c>
      <c r="BG35" s="16" t="s">
        <v>52</v>
      </c>
      <c r="BH35" s="16" t="s">
        <v>52</v>
      </c>
      <c r="BI35" s="16" t="s">
        <v>52</v>
      </c>
      <c r="BJ35" s="39" t="s">
        <v>52</v>
      </c>
      <c r="BK35" s="36" t="s">
        <v>151</v>
      </c>
      <c r="BL35" s="16" t="s">
        <v>52</v>
      </c>
      <c r="BM35" s="16" t="s">
        <v>52</v>
      </c>
      <c r="BN35" s="16" t="s">
        <v>52</v>
      </c>
      <c r="BO35" s="16" t="s">
        <v>52</v>
      </c>
      <c r="BP35" s="16" t="s">
        <v>52</v>
      </c>
      <c r="BQ35" s="16" t="s">
        <v>52</v>
      </c>
      <c r="BR35" s="16" t="s">
        <v>52</v>
      </c>
      <c r="BS35" s="16" t="s">
        <v>52</v>
      </c>
      <c r="BT35" s="16" t="s">
        <v>52</v>
      </c>
      <c r="BU35" s="16" t="s">
        <v>52</v>
      </c>
      <c r="BV35" s="16" t="s">
        <v>52</v>
      </c>
      <c r="BW35" s="16" t="s">
        <v>52</v>
      </c>
      <c r="BX35" s="16" t="s">
        <v>52</v>
      </c>
      <c r="BY35" s="16" t="s">
        <v>52</v>
      </c>
      <c r="BZ35" s="16" t="s">
        <v>52</v>
      </c>
      <c r="CA35" s="16" t="s">
        <v>52</v>
      </c>
      <c r="CB35" s="16" t="s">
        <v>52</v>
      </c>
      <c r="CC35" s="16" t="s">
        <v>52</v>
      </c>
      <c r="CD35" s="16" t="s">
        <v>52</v>
      </c>
      <c r="CE35" s="16" t="s">
        <v>52</v>
      </c>
      <c r="CF35" s="16" t="s">
        <v>52</v>
      </c>
      <c r="CG35" s="16" t="s">
        <v>52</v>
      </c>
      <c r="CH35" s="16" t="s">
        <v>52</v>
      </c>
      <c r="CI35" s="16" t="s">
        <v>52</v>
      </c>
      <c r="CJ35" s="90">
        <v>-24.94</v>
      </c>
      <c r="CK35" s="5" t="s">
        <v>140</v>
      </c>
      <c r="CL35" s="30" t="s">
        <v>141</v>
      </c>
      <c r="CM35" s="17" t="s">
        <v>52</v>
      </c>
      <c r="CN35" s="77" t="s">
        <v>52</v>
      </c>
      <c r="CO35" s="17" t="s">
        <v>52</v>
      </c>
      <c r="CP35" s="90">
        <v>-5.7</v>
      </c>
      <c r="CQ35" s="5" t="s">
        <v>143</v>
      </c>
      <c r="CR35" s="29" t="s">
        <v>142</v>
      </c>
      <c r="CS35" s="75" t="s">
        <v>52</v>
      </c>
      <c r="CT35" s="78" t="s">
        <v>52</v>
      </c>
      <c r="CU35" s="24" t="s">
        <v>52</v>
      </c>
      <c r="CV35" s="91">
        <v>16.420000000000002</v>
      </c>
      <c r="CW35" s="5" t="s">
        <v>144</v>
      </c>
      <c r="CX35" s="17" t="s">
        <v>52</v>
      </c>
      <c r="CY35" s="17" t="s">
        <v>52</v>
      </c>
      <c r="CZ35" s="17" t="s">
        <v>52</v>
      </c>
      <c r="DA35" s="40" t="s">
        <v>52</v>
      </c>
      <c r="DB35" s="30" t="s">
        <v>145</v>
      </c>
      <c r="DC35" s="25">
        <v>-20.369599999999998</v>
      </c>
      <c r="DD35" s="17" t="s">
        <v>52</v>
      </c>
      <c r="DE35" s="17" t="s">
        <v>52</v>
      </c>
      <c r="DF35" s="17" t="s">
        <v>52</v>
      </c>
      <c r="DG35" s="17" t="s">
        <v>52</v>
      </c>
      <c r="DH35" s="17" t="s">
        <v>52</v>
      </c>
      <c r="DI35" s="17" t="s">
        <v>52</v>
      </c>
      <c r="DJ35" s="17" t="s">
        <v>52</v>
      </c>
      <c r="DK35" s="17" t="s">
        <v>52</v>
      </c>
      <c r="DL35" s="66" t="s">
        <v>52</v>
      </c>
      <c r="DM35" s="17">
        <v>6000</v>
      </c>
      <c r="DN35" s="5" t="s">
        <v>129</v>
      </c>
      <c r="DO35" s="17">
        <v>1000</v>
      </c>
      <c r="DP35" s="17">
        <v>1000</v>
      </c>
      <c r="DQ35" s="77" t="s">
        <v>129</v>
      </c>
      <c r="DR35" s="17" t="s">
        <v>146</v>
      </c>
      <c r="DS35" s="18" t="s">
        <v>43</v>
      </c>
      <c r="DT35" s="18" t="s">
        <v>52</v>
      </c>
      <c r="DU35" s="18" t="s">
        <v>52</v>
      </c>
      <c r="DV35" s="18" t="s">
        <v>52</v>
      </c>
      <c r="DW35" s="18" t="s">
        <v>52</v>
      </c>
      <c r="DX35" s="6" t="s">
        <v>44</v>
      </c>
      <c r="DY35" s="18" t="s">
        <v>42</v>
      </c>
      <c r="DZ35" s="18" t="s">
        <v>52</v>
      </c>
      <c r="EA35" s="18" t="s">
        <v>52</v>
      </c>
      <c r="EB35" s="34" t="s">
        <v>52</v>
      </c>
      <c r="EC35" s="34" t="s">
        <v>52</v>
      </c>
      <c r="ED35" s="34" t="s">
        <v>52</v>
      </c>
      <c r="EE35" s="19" t="s">
        <v>41</v>
      </c>
      <c r="EF35" s="18" t="s">
        <v>52</v>
      </c>
      <c r="EG35" s="35">
        <v>114.57817527403637</v>
      </c>
      <c r="EH35" s="94" t="s">
        <v>52</v>
      </c>
      <c r="EI35" s="35">
        <v>19.096362545672733</v>
      </c>
      <c r="EJ35" s="35">
        <v>19.096362545672719</v>
      </c>
      <c r="EK35" s="7" t="s">
        <v>147</v>
      </c>
      <c r="EL35" s="7" t="s">
        <v>148</v>
      </c>
      <c r="EM35" s="7" t="s">
        <v>148</v>
      </c>
      <c r="EN35" s="35" t="s">
        <v>128</v>
      </c>
      <c r="EO35" s="35" t="s">
        <v>128</v>
      </c>
      <c r="EP35" s="26" t="s">
        <v>203</v>
      </c>
    </row>
    <row r="36" spans="1:146" x14ac:dyDescent="0.2">
      <c r="A36" s="98" t="s">
        <v>188</v>
      </c>
      <c r="B36" s="32" t="s">
        <v>189</v>
      </c>
      <c r="C36" s="45" t="s">
        <v>53</v>
      </c>
      <c r="D36" s="45" t="s">
        <v>137</v>
      </c>
      <c r="E36" s="45">
        <v>2003</v>
      </c>
      <c r="F36" s="38" t="s">
        <v>138</v>
      </c>
      <c r="G36" s="45">
        <f t="shared" si="0"/>
        <v>69840</v>
      </c>
      <c r="H36" s="45" t="s">
        <v>52</v>
      </c>
      <c r="I36" s="45" t="s">
        <v>52</v>
      </c>
      <c r="J36" s="93">
        <v>377.6775274834539</v>
      </c>
      <c r="K36" s="93">
        <v>62.946254580575669</v>
      </c>
      <c r="L36" s="93">
        <v>62.946254580575669</v>
      </c>
      <c r="M36" s="113" t="b">
        <v>1</v>
      </c>
      <c r="N36" s="113">
        <v>3</v>
      </c>
      <c r="O36" s="121" t="s">
        <v>204</v>
      </c>
      <c r="P36" s="113" t="b">
        <v>0</v>
      </c>
      <c r="Q36" s="113" t="b">
        <v>0</v>
      </c>
      <c r="R36" s="113" t="s">
        <v>52</v>
      </c>
      <c r="S36" s="113" t="b">
        <v>1</v>
      </c>
      <c r="T36" s="113" t="b">
        <v>0</v>
      </c>
      <c r="U36" s="113" t="s">
        <v>52</v>
      </c>
      <c r="V36" s="113" t="b">
        <v>0</v>
      </c>
      <c r="W36" s="113" t="b">
        <v>0</v>
      </c>
      <c r="X36" s="113" t="s">
        <v>52</v>
      </c>
      <c r="Y36" s="111" t="s">
        <v>139</v>
      </c>
      <c r="Z36" s="38" t="s">
        <v>138</v>
      </c>
      <c r="AA36" s="37" t="s">
        <v>142</v>
      </c>
      <c r="AB36" s="41" t="s">
        <v>149</v>
      </c>
      <c r="AC36" s="89" t="s">
        <v>184</v>
      </c>
      <c r="AD36" s="99" t="s">
        <v>52</v>
      </c>
      <c r="AE36" s="86">
        <v>29.3</v>
      </c>
      <c r="AF36" s="23">
        <v>-103.52</v>
      </c>
      <c r="AG36" s="33" t="s">
        <v>52</v>
      </c>
      <c r="AH36" s="33" t="s">
        <v>52</v>
      </c>
      <c r="AI36" s="33" t="s">
        <v>52</v>
      </c>
      <c r="AJ36" s="89">
        <v>69.84</v>
      </c>
      <c r="AK36" s="23" t="s">
        <v>52</v>
      </c>
      <c r="AL36" s="23" t="s">
        <v>52</v>
      </c>
      <c r="AM36" s="43" t="s">
        <v>150</v>
      </c>
      <c r="AN36" s="21">
        <v>-9.83</v>
      </c>
      <c r="AO36" s="21">
        <v>0.44000000000000128</v>
      </c>
      <c r="AP36" s="36">
        <v>3</v>
      </c>
      <c r="AQ36" s="87" t="s">
        <v>52</v>
      </c>
      <c r="AR36" s="20" t="s">
        <v>52</v>
      </c>
      <c r="AS36" s="20" t="s">
        <v>52</v>
      </c>
      <c r="AT36" s="16" t="s">
        <v>52</v>
      </c>
      <c r="AU36" s="16" t="s">
        <v>52</v>
      </c>
      <c r="AV36" s="16" t="s">
        <v>52</v>
      </c>
      <c r="AW36" s="16" t="s">
        <v>52</v>
      </c>
      <c r="AX36" s="88" t="s">
        <v>52</v>
      </c>
      <c r="AY36" s="16" t="s">
        <v>52</v>
      </c>
      <c r="AZ36" s="16" t="s">
        <v>52</v>
      </c>
      <c r="BA36" s="16" t="s">
        <v>52</v>
      </c>
      <c r="BB36" s="39" t="s">
        <v>52</v>
      </c>
      <c r="BC36" s="39" t="s">
        <v>52</v>
      </c>
      <c r="BD36" s="39" t="s">
        <v>52</v>
      </c>
      <c r="BE36" s="39">
        <v>3</v>
      </c>
      <c r="BF36" s="39" t="s">
        <v>52</v>
      </c>
      <c r="BG36" s="16" t="s">
        <v>52</v>
      </c>
      <c r="BH36" s="16" t="s">
        <v>52</v>
      </c>
      <c r="BI36" s="16" t="s">
        <v>52</v>
      </c>
      <c r="BJ36" s="39" t="s">
        <v>52</v>
      </c>
      <c r="BK36" s="36" t="s">
        <v>151</v>
      </c>
      <c r="BL36" s="16" t="s">
        <v>52</v>
      </c>
      <c r="BM36" s="16" t="s">
        <v>52</v>
      </c>
      <c r="BN36" s="16" t="s">
        <v>52</v>
      </c>
      <c r="BO36" s="16" t="s">
        <v>52</v>
      </c>
      <c r="BP36" s="16" t="s">
        <v>52</v>
      </c>
      <c r="BQ36" s="16" t="s">
        <v>52</v>
      </c>
      <c r="BR36" s="16" t="s">
        <v>52</v>
      </c>
      <c r="BS36" s="16" t="s">
        <v>52</v>
      </c>
      <c r="BT36" s="16" t="s">
        <v>52</v>
      </c>
      <c r="BU36" s="16" t="s">
        <v>52</v>
      </c>
      <c r="BV36" s="16" t="s">
        <v>52</v>
      </c>
      <c r="BW36" s="16" t="s">
        <v>52</v>
      </c>
      <c r="BX36" s="16" t="s">
        <v>52</v>
      </c>
      <c r="BY36" s="16" t="s">
        <v>52</v>
      </c>
      <c r="BZ36" s="16" t="s">
        <v>52</v>
      </c>
      <c r="CA36" s="16" t="s">
        <v>52</v>
      </c>
      <c r="CB36" s="16" t="s">
        <v>52</v>
      </c>
      <c r="CC36" s="16" t="s">
        <v>52</v>
      </c>
      <c r="CD36" s="16" t="s">
        <v>52</v>
      </c>
      <c r="CE36" s="16" t="s">
        <v>52</v>
      </c>
      <c r="CF36" s="16" t="s">
        <v>52</v>
      </c>
      <c r="CG36" s="16" t="s">
        <v>52</v>
      </c>
      <c r="CH36" s="16" t="s">
        <v>52</v>
      </c>
      <c r="CI36" s="16" t="s">
        <v>52</v>
      </c>
      <c r="CJ36" s="90">
        <v>-25.127000000000002</v>
      </c>
      <c r="CK36" s="5" t="s">
        <v>140</v>
      </c>
      <c r="CL36" s="30" t="s">
        <v>141</v>
      </c>
      <c r="CM36" s="17" t="s">
        <v>52</v>
      </c>
      <c r="CN36" s="77" t="s">
        <v>52</v>
      </c>
      <c r="CO36" s="17" t="s">
        <v>52</v>
      </c>
      <c r="CP36" s="90">
        <v>-5.87</v>
      </c>
      <c r="CQ36" s="5" t="s">
        <v>143</v>
      </c>
      <c r="CR36" s="29" t="s">
        <v>142</v>
      </c>
      <c r="CS36" s="75" t="s">
        <v>52</v>
      </c>
      <c r="CT36" s="78" t="s">
        <v>52</v>
      </c>
      <c r="CU36" s="24" t="s">
        <v>52</v>
      </c>
      <c r="CV36" s="91">
        <v>15.49</v>
      </c>
      <c r="CW36" s="5" t="s">
        <v>144</v>
      </c>
      <c r="CX36" s="17" t="s">
        <v>52</v>
      </c>
      <c r="CY36" s="17" t="s">
        <v>52</v>
      </c>
      <c r="CZ36" s="17" t="s">
        <v>52</v>
      </c>
      <c r="DA36" s="40" t="s">
        <v>52</v>
      </c>
      <c r="DB36" s="30" t="s">
        <v>145</v>
      </c>
      <c r="DC36" s="25">
        <v>-19.9512</v>
      </c>
      <c r="DD36" s="17" t="s">
        <v>52</v>
      </c>
      <c r="DE36" s="17" t="s">
        <v>52</v>
      </c>
      <c r="DF36" s="17" t="s">
        <v>52</v>
      </c>
      <c r="DG36" s="17" t="s">
        <v>52</v>
      </c>
      <c r="DH36" s="17" t="s">
        <v>52</v>
      </c>
      <c r="DI36" s="17" t="s">
        <v>52</v>
      </c>
      <c r="DJ36" s="17" t="s">
        <v>52</v>
      </c>
      <c r="DK36" s="17" t="s">
        <v>52</v>
      </c>
      <c r="DL36" s="66" t="s">
        <v>52</v>
      </c>
      <c r="DM36" s="17">
        <v>6000</v>
      </c>
      <c r="DN36" s="5" t="s">
        <v>129</v>
      </c>
      <c r="DO36" s="17">
        <v>1000</v>
      </c>
      <c r="DP36" s="17">
        <v>1000</v>
      </c>
      <c r="DQ36" s="77" t="s">
        <v>129</v>
      </c>
      <c r="DR36" s="17" t="s">
        <v>146</v>
      </c>
      <c r="DS36" s="18" t="s">
        <v>43</v>
      </c>
      <c r="DT36" s="18" t="s">
        <v>52</v>
      </c>
      <c r="DU36" s="18" t="s">
        <v>52</v>
      </c>
      <c r="DV36" s="18" t="s">
        <v>52</v>
      </c>
      <c r="DW36" s="18" t="s">
        <v>52</v>
      </c>
      <c r="DX36" s="6" t="s">
        <v>44</v>
      </c>
      <c r="DY36" s="18" t="s">
        <v>42</v>
      </c>
      <c r="DZ36" s="18" t="s">
        <v>52</v>
      </c>
      <c r="EA36" s="18" t="s">
        <v>52</v>
      </c>
      <c r="EB36" s="34" t="s">
        <v>52</v>
      </c>
      <c r="EC36" s="34" t="s">
        <v>52</v>
      </c>
      <c r="ED36" s="34" t="s">
        <v>52</v>
      </c>
      <c r="EE36" s="19" t="s">
        <v>41</v>
      </c>
      <c r="EF36" s="18" t="s">
        <v>52</v>
      </c>
      <c r="EG36" s="35">
        <v>377.6775274834539</v>
      </c>
      <c r="EH36" s="94" t="s">
        <v>52</v>
      </c>
      <c r="EI36" s="35">
        <v>62.946254580575669</v>
      </c>
      <c r="EJ36" s="35">
        <v>62.946254580575669</v>
      </c>
      <c r="EK36" s="7" t="s">
        <v>147</v>
      </c>
      <c r="EL36" s="7" t="s">
        <v>148</v>
      </c>
      <c r="EM36" s="7" t="s">
        <v>148</v>
      </c>
      <c r="EN36" s="35" t="s">
        <v>128</v>
      </c>
      <c r="EO36" s="35" t="s">
        <v>128</v>
      </c>
      <c r="EP36" s="26" t="s">
        <v>203</v>
      </c>
    </row>
    <row r="37" spans="1:146" x14ac:dyDescent="0.2">
      <c r="A37" s="98" t="s">
        <v>188</v>
      </c>
      <c r="B37" s="32" t="s">
        <v>189</v>
      </c>
      <c r="C37" s="45" t="s">
        <v>53</v>
      </c>
      <c r="D37" s="45" t="s">
        <v>137</v>
      </c>
      <c r="E37" s="45">
        <v>2003</v>
      </c>
      <c r="F37" s="38" t="s">
        <v>138</v>
      </c>
      <c r="G37" s="45">
        <f t="shared" si="0"/>
        <v>70700</v>
      </c>
      <c r="H37" s="45" t="s">
        <v>52</v>
      </c>
      <c r="I37" s="45" t="s">
        <v>52</v>
      </c>
      <c r="J37" s="93">
        <v>762.62463633364223</v>
      </c>
      <c r="K37" s="93">
        <v>127.10410605560708</v>
      </c>
      <c r="L37" s="93">
        <v>127.10410605560708</v>
      </c>
      <c r="M37" s="113" t="b">
        <v>1</v>
      </c>
      <c r="N37" s="113">
        <v>3</v>
      </c>
      <c r="O37" s="121" t="s">
        <v>204</v>
      </c>
      <c r="P37" s="113" t="b">
        <v>0</v>
      </c>
      <c r="Q37" s="113" t="b">
        <v>0</v>
      </c>
      <c r="R37" s="113" t="s">
        <v>52</v>
      </c>
      <c r="S37" s="113" t="b">
        <v>1</v>
      </c>
      <c r="T37" s="113" t="b">
        <v>0</v>
      </c>
      <c r="U37" s="113" t="s">
        <v>52</v>
      </c>
      <c r="V37" s="113" t="b">
        <v>0</v>
      </c>
      <c r="W37" s="113" t="b">
        <v>0</v>
      </c>
      <c r="X37" s="113" t="s">
        <v>52</v>
      </c>
      <c r="Y37" s="111" t="s">
        <v>139</v>
      </c>
      <c r="Z37" s="38" t="s">
        <v>138</v>
      </c>
      <c r="AA37" s="37" t="s">
        <v>142</v>
      </c>
      <c r="AB37" s="41" t="s">
        <v>149</v>
      </c>
      <c r="AC37" s="89" t="s">
        <v>185</v>
      </c>
      <c r="AD37" s="99" t="s">
        <v>52</v>
      </c>
      <c r="AE37" s="86">
        <v>29.3</v>
      </c>
      <c r="AF37" s="23">
        <v>-103.52</v>
      </c>
      <c r="AG37" s="33" t="s">
        <v>52</v>
      </c>
      <c r="AH37" s="33" t="s">
        <v>52</v>
      </c>
      <c r="AI37" s="33" t="s">
        <v>52</v>
      </c>
      <c r="AJ37" s="89">
        <v>70.7</v>
      </c>
      <c r="AK37" s="23" t="s">
        <v>52</v>
      </c>
      <c r="AL37" s="23" t="s">
        <v>52</v>
      </c>
      <c r="AM37" s="43" t="s">
        <v>150</v>
      </c>
      <c r="AN37" s="21">
        <v>-9.94</v>
      </c>
      <c r="AO37" s="21">
        <v>0.55999999999999872</v>
      </c>
      <c r="AP37" s="36">
        <v>3</v>
      </c>
      <c r="AQ37" s="87" t="s">
        <v>52</v>
      </c>
      <c r="AR37" s="20" t="s">
        <v>52</v>
      </c>
      <c r="AS37" s="20" t="s">
        <v>52</v>
      </c>
      <c r="AT37" s="16" t="s">
        <v>52</v>
      </c>
      <c r="AU37" s="16" t="s">
        <v>52</v>
      </c>
      <c r="AV37" s="16" t="s">
        <v>52</v>
      </c>
      <c r="AW37" s="16" t="s">
        <v>52</v>
      </c>
      <c r="AX37" s="88" t="s">
        <v>52</v>
      </c>
      <c r="AY37" s="16" t="s">
        <v>52</v>
      </c>
      <c r="AZ37" s="16" t="s">
        <v>52</v>
      </c>
      <c r="BA37" s="16" t="s">
        <v>52</v>
      </c>
      <c r="BB37" s="39" t="s">
        <v>52</v>
      </c>
      <c r="BC37" s="39" t="s">
        <v>52</v>
      </c>
      <c r="BD37" s="39" t="s">
        <v>52</v>
      </c>
      <c r="BE37" s="39">
        <v>3</v>
      </c>
      <c r="BF37" s="39" t="s">
        <v>52</v>
      </c>
      <c r="BG37" s="16" t="s">
        <v>52</v>
      </c>
      <c r="BH37" s="16" t="s">
        <v>52</v>
      </c>
      <c r="BI37" s="16" t="s">
        <v>52</v>
      </c>
      <c r="BJ37" s="39" t="s">
        <v>52</v>
      </c>
      <c r="BK37" s="36" t="s">
        <v>151</v>
      </c>
      <c r="BL37" s="16" t="s">
        <v>52</v>
      </c>
      <c r="BM37" s="16" t="s">
        <v>52</v>
      </c>
      <c r="BN37" s="16" t="s">
        <v>52</v>
      </c>
      <c r="BO37" s="16" t="s">
        <v>52</v>
      </c>
      <c r="BP37" s="16" t="s">
        <v>52</v>
      </c>
      <c r="BQ37" s="16" t="s">
        <v>52</v>
      </c>
      <c r="BR37" s="16" t="s">
        <v>52</v>
      </c>
      <c r="BS37" s="16" t="s">
        <v>52</v>
      </c>
      <c r="BT37" s="16" t="s">
        <v>52</v>
      </c>
      <c r="BU37" s="16" t="s">
        <v>52</v>
      </c>
      <c r="BV37" s="16" t="s">
        <v>52</v>
      </c>
      <c r="BW37" s="16" t="s">
        <v>52</v>
      </c>
      <c r="BX37" s="16" t="s">
        <v>52</v>
      </c>
      <c r="BY37" s="16" t="s">
        <v>52</v>
      </c>
      <c r="BZ37" s="16" t="s">
        <v>52</v>
      </c>
      <c r="CA37" s="16" t="s">
        <v>52</v>
      </c>
      <c r="CB37" s="16" t="s">
        <v>52</v>
      </c>
      <c r="CC37" s="16" t="s">
        <v>52</v>
      </c>
      <c r="CD37" s="16" t="s">
        <v>52</v>
      </c>
      <c r="CE37" s="16" t="s">
        <v>52</v>
      </c>
      <c r="CF37" s="16" t="s">
        <v>52</v>
      </c>
      <c r="CG37" s="16" t="s">
        <v>52</v>
      </c>
      <c r="CH37" s="16" t="s">
        <v>52</v>
      </c>
      <c r="CI37" s="16" t="s">
        <v>52</v>
      </c>
      <c r="CJ37" s="90">
        <v>-25.798000000000002</v>
      </c>
      <c r="CK37" s="5" t="s">
        <v>140</v>
      </c>
      <c r="CL37" s="30" t="s">
        <v>141</v>
      </c>
      <c r="CM37" s="17" t="s">
        <v>52</v>
      </c>
      <c r="CN37" s="77" t="s">
        <v>52</v>
      </c>
      <c r="CO37" s="17" t="s">
        <v>52</v>
      </c>
      <c r="CP37" s="90">
        <v>-6.48</v>
      </c>
      <c r="CQ37" s="5" t="s">
        <v>143</v>
      </c>
      <c r="CR37" s="29" t="s">
        <v>142</v>
      </c>
      <c r="CS37" s="75" t="s">
        <v>52</v>
      </c>
      <c r="CT37" s="78" t="s">
        <v>52</v>
      </c>
      <c r="CU37" s="24" t="s">
        <v>52</v>
      </c>
      <c r="CV37" s="91">
        <v>17.53</v>
      </c>
      <c r="CW37" s="5" t="s">
        <v>144</v>
      </c>
      <c r="CX37" s="17" t="s">
        <v>52</v>
      </c>
      <c r="CY37" s="17" t="s">
        <v>52</v>
      </c>
      <c r="CZ37" s="17" t="s">
        <v>52</v>
      </c>
      <c r="DA37" s="40" t="s">
        <v>52</v>
      </c>
      <c r="DB37" s="30" t="s">
        <v>145</v>
      </c>
      <c r="DC37" s="25">
        <v>-19.816400000000002</v>
      </c>
      <c r="DD37" s="17" t="s">
        <v>52</v>
      </c>
      <c r="DE37" s="17" t="s">
        <v>52</v>
      </c>
      <c r="DF37" s="17" t="s">
        <v>52</v>
      </c>
      <c r="DG37" s="17" t="s">
        <v>52</v>
      </c>
      <c r="DH37" s="17" t="s">
        <v>52</v>
      </c>
      <c r="DI37" s="17" t="s">
        <v>52</v>
      </c>
      <c r="DJ37" s="17" t="s">
        <v>52</v>
      </c>
      <c r="DK37" s="17" t="s">
        <v>52</v>
      </c>
      <c r="DL37" s="66" t="s">
        <v>52</v>
      </c>
      <c r="DM37" s="17">
        <v>6000</v>
      </c>
      <c r="DN37" s="5" t="s">
        <v>129</v>
      </c>
      <c r="DO37" s="17">
        <v>1000</v>
      </c>
      <c r="DP37" s="17">
        <v>1000</v>
      </c>
      <c r="DQ37" s="77" t="s">
        <v>129</v>
      </c>
      <c r="DR37" s="17" t="s">
        <v>146</v>
      </c>
      <c r="DS37" s="18" t="s">
        <v>43</v>
      </c>
      <c r="DT37" s="18" t="s">
        <v>52</v>
      </c>
      <c r="DU37" s="18" t="s">
        <v>52</v>
      </c>
      <c r="DV37" s="18" t="s">
        <v>52</v>
      </c>
      <c r="DW37" s="18" t="s">
        <v>52</v>
      </c>
      <c r="DX37" s="6" t="s">
        <v>44</v>
      </c>
      <c r="DY37" s="18" t="s">
        <v>42</v>
      </c>
      <c r="DZ37" s="18" t="s">
        <v>52</v>
      </c>
      <c r="EA37" s="18" t="s">
        <v>52</v>
      </c>
      <c r="EB37" s="34" t="s">
        <v>52</v>
      </c>
      <c r="EC37" s="34" t="s">
        <v>52</v>
      </c>
      <c r="ED37" s="34" t="s">
        <v>52</v>
      </c>
      <c r="EE37" s="19" t="s">
        <v>41</v>
      </c>
      <c r="EF37" s="18" t="s">
        <v>52</v>
      </c>
      <c r="EG37" s="35">
        <v>762.62463633364223</v>
      </c>
      <c r="EH37" s="94" t="s">
        <v>52</v>
      </c>
      <c r="EI37" s="35">
        <v>127.10410605560708</v>
      </c>
      <c r="EJ37" s="35">
        <v>127.10410605560708</v>
      </c>
      <c r="EK37" s="7" t="s">
        <v>147</v>
      </c>
      <c r="EL37" s="7" t="s">
        <v>148</v>
      </c>
      <c r="EM37" s="7" t="s">
        <v>148</v>
      </c>
      <c r="EN37" s="35" t="s">
        <v>128</v>
      </c>
      <c r="EO37" s="35" t="s">
        <v>128</v>
      </c>
      <c r="EP37" s="26" t="s">
        <v>203</v>
      </c>
    </row>
    <row r="38" spans="1:146" x14ac:dyDescent="0.2">
      <c r="A38" s="98" t="s">
        <v>188</v>
      </c>
      <c r="B38" s="32" t="s">
        <v>189</v>
      </c>
      <c r="C38" s="45" t="s">
        <v>53</v>
      </c>
      <c r="D38" s="45" t="s">
        <v>137</v>
      </c>
      <c r="E38" s="45">
        <v>2003</v>
      </c>
      <c r="F38" s="38" t="s">
        <v>138</v>
      </c>
      <c r="G38" s="45">
        <f t="shared" si="0"/>
        <v>70850</v>
      </c>
      <c r="H38" s="45" t="s">
        <v>52</v>
      </c>
      <c r="I38" s="45" t="s">
        <v>52</v>
      </c>
      <c r="J38" s="93">
        <v>867.74257968279198</v>
      </c>
      <c r="K38" s="93">
        <v>144.62376328046537</v>
      </c>
      <c r="L38" s="93">
        <v>144.62376328046537</v>
      </c>
      <c r="M38" s="113" t="b">
        <v>1</v>
      </c>
      <c r="N38" s="113">
        <v>3</v>
      </c>
      <c r="O38" s="121" t="s">
        <v>204</v>
      </c>
      <c r="P38" s="113" t="b">
        <v>0</v>
      </c>
      <c r="Q38" s="113" t="b">
        <v>0</v>
      </c>
      <c r="R38" s="113" t="s">
        <v>52</v>
      </c>
      <c r="S38" s="113" t="b">
        <v>1</v>
      </c>
      <c r="T38" s="113" t="b">
        <v>0</v>
      </c>
      <c r="U38" s="113" t="s">
        <v>52</v>
      </c>
      <c r="V38" s="113" t="b">
        <v>0</v>
      </c>
      <c r="W38" s="113" t="b">
        <v>0</v>
      </c>
      <c r="X38" s="113" t="s">
        <v>52</v>
      </c>
      <c r="Y38" s="111" t="s">
        <v>139</v>
      </c>
      <c r="Z38" s="38" t="s">
        <v>138</v>
      </c>
      <c r="AA38" s="37" t="s">
        <v>142</v>
      </c>
      <c r="AB38" s="41" t="s">
        <v>149</v>
      </c>
      <c r="AC38" s="89" t="s">
        <v>186</v>
      </c>
      <c r="AD38" s="99" t="s">
        <v>52</v>
      </c>
      <c r="AE38" s="86">
        <v>29.3</v>
      </c>
      <c r="AF38" s="23">
        <v>-103.52</v>
      </c>
      <c r="AG38" s="33" t="s">
        <v>52</v>
      </c>
      <c r="AH38" s="33" t="s">
        <v>52</v>
      </c>
      <c r="AI38" s="33" t="s">
        <v>52</v>
      </c>
      <c r="AJ38" s="89">
        <v>70.849999999999994</v>
      </c>
      <c r="AK38" s="23" t="s">
        <v>52</v>
      </c>
      <c r="AL38" s="23" t="s">
        <v>52</v>
      </c>
      <c r="AM38" s="43" t="s">
        <v>150</v>
      </c>
      <c r="AN38" s="21">
        <v>-9.81</v>
      </c>
      <c r="AO38" s="21">
        <v>0.98000000000000043</v>
      </c>
      <c r="AP38" s="36">
        <v>3</v>
      </c>
      <c r="AQ38" s="87" t="s">
        <v>52</v>
      </c>
      <c r="AR38" s="20" t="s">
        <v>52</v>
      </c>
      <c r="AS38" s="20" t="s">
        <v>52</v>
      </c>
      <c r="AT38" s="16" t="s">
        <v>52</v>
      </c>
      <c r="AU38" s="16" t="s">
        <v>52</v>
      </c>
      <c r="AV38" s="16" t="s">
        <v>52</v>
      </c>
      <c r="AW38" s="16" t="s">
        <v>52</v>
      </c>
      <c r="AX38" s="88" t="s">
        <v>52</v>
      </c>
      <c r="AY38" s="16" t="s">
        <v>52</v>
      </c>
      <c r="AZ38" s="16" t="s">
        <v>52</v>
      </c>
      <c r="BA38" s="16" t="s">
        <v>52</v>
      </c>
      <c r="BB38" s="39" t="s">
        <v>52</v>
      </c>
      <c r="BC38" s="39" t="s">
        <v>52</v>
      </c>
      <c r="BD38" s="39" t="s">
        <v>52</v>
      </c>
      <c r="BE38" s="39">
        <v>3</v>
      </c>
      <c r="BF38" s="39" t="s">
        <v>52</v>
      </c>
      <c r="BG38" s="16" t="s">
        <v>52</v>
      </c>
      <c r="BH38" s="16" t="s">
        <v>52</v>
      </c>
      <c r="BI38" s="16" t="s">
        <v>52</v>
      </c>
      <c r="BJ38" s="39" t="s">
        <v>52</v>
      </c>
      <c r="BK38" s="36" t="s">
        <v>151</v>
      </c>
      <c r="BL38" s="16" t="s">
        <v>52</v>
      </c>
      <c r="BM38" s="16" t="s">
        <v>52</v>
      </c>
      <c r="BN38" s="16" t="s">
        <v>52</v>
      </c>
      <c r="BO38" s="16" t="s">
        <v>52</v>
      </c>
      <c r="BP38" s="16" t="s">
        <v>52</v>
      </c>
      <c r="BQ38" s="16" t="s">
        <v>52</v>
      </c>
      <c r="BR38" s="16" t="s">
        <v>52</v>
      </c>
      <c r="BS38" s="16" t="s">
        <v>52</v>
      </c>
      <c r="BT38" s="16" t="s">
        <v>52</v>
      </c>
      <c r="BU38" s="16" t="s">
        <v>52</v>
      </c>
      <c r="BV38" s="16" t="s">
        <v>52</v>
      </c>
      <c r="BW38" s="16" t="s">
        <v>52</v>
      </c>
      <c r="BX38" s="16" t="s">
        <v>52</v>
      </c>
      <c r="BY38" s="16" t="s">
        <v>52</v>
      </c>
      <c r="BZ38" s="16" t="s">
        <v>52</v>
      </c>
      <c r="CA38" s="16" t="s">
        <v>52</v>
      </c>
      <c r="CB38" s="16" t="s">
        <v>52</v>
      </c>
      <c r="CC38" s="16" t="s">
        <v>52</v>
      </c>
      <c r="CD38" s="16" t="s">
        <v>52</v>
      </c>
      <c r="CE38" s="16" t="s">
        <v>52</v>
      </c>
      <c r="CF38" s="16" t="s">
        <v>52</v>
      </c>
      <c r="CG38" s="16" t="s">
        <v>52</v>
      </c>
      <c r="CH38" s="16" t="s">
        <v>52</v>
      </c>
      <c r="CI38" s="16" t="s">
        <v>52</v>
      </c>
      <c r="CJ38" s="90">
        <v>-25.886000000000003</v>
      </c>
      <c r="CK38" s="5" t="s">
        <v>140</v>
      </c>
      <c r="CL38" s="30" t="s">
        <v>141</v>
      </c>
      <c r="CM38" s="17" t="s">
        <v>52</v>
      </c>
      <c r="CN38" s="77" t="s">
        <v>52</v>
      </c>
      <c r="CO38" s="17" t="s">
        <v>52</v>
      </c>
      <c r="CP38" s="90">
        <v>-6.5600000000000005</v>
      </c>
      <c r="CQ38" s="5" t="s">
        <v>143</v>
      </c>
      <c r="CR38" s="29" t="s">
        <v>142</v>
      </c>
      <c r="CS38" s="75" t="s">
        <v>52</v>
      </c>
      <c r="CT38" s="78" t="s">
        <v>52</v>
      </c>
      <c r="CU38" s="24" t="s">
        <v>52</v>
      </c>
      <c r="CV38" s="91">
        <v>17.420000000000002</v>
      </c>
      <c r="CW38" s="5" t="s">
        <v>144</v>
      </c>
      <c r="CX38" s="17" t="s">
        <v>52</v>
      </c>
      <c r="CY38" s="17" t="s">
        <v>52</v>
      </c>
      <c r="CZ38" s="17" t="s">
        <v>52</v>
      </c>
      <c r="DA38" s="40" t="s">
        <v>52</v>
      </c>
      <c r="DB38" s="30" t="s">
        <v>145</v>
      </c>
      <c r="DC38" s="25">
        <v>-19.6996</v>
      </c>
      <c r="DD38" s="17" t="s">
        <v>52</v>
      </c>
      <c r="DE38" s="17" t="s">
        <v>52</v>
      </c>
      <c r="DF38" s="17" t="s">
        <v>52</v>
      </c>
      <c r="DG38" s="17" t="s">
        <v>52</v>
      </c>
      <c r="DH38" s="17" t="s">
        <v>52</v>
      </c>
      <c r="DI38" s="17" t="s">
        <v>52</v>
      </c>
      <c r="DJ38" s="17" t="s">
        <v>52</v>
      </c>
      <c r="DK38" s="17" t="s">
        <v>52</v>
      </c>
      <c r="DL38" s="66" t="s">
        <v>52</v>
      </c>
      <c r="DM38" s="17">
        <v>6000</v>
      </c>
      <c r="DN38" s="5" t="s">
        <v>129</v>
      </c>
      <c r="DO38" s="17">
        <v>1000</v>
      </c>
      <c r="DP38" s="17">
        <v>1000</v>
      </c>
      <c r="DQ38" s="77" t="s">
        <v>129</v>
      </c>
      <c r="DR38" s="17" t="s">
        <v>146</v>
      </c>
      <c r="DS38" s="18" t="s">
        <v>43</v>
      </c>
      <c r="DT38" s="18" t="s">
        <v>52</v>
      </c>
      <c r="DU38" s="18" t="s">
        <v>52</v>
      </c>
      <c r="DV38" s="18" t="s">
        <v>52</v>
      </c>
      <c r="DW38" s="18" t="s">
        <v>52</v>
      </c>
      <c r="DX38" s="6" t="s">
        <v>44</v>
      </c>
      <c r="DY38" s="18" t="s">
        <v>42</v>
      </c>
      <c r="DZ38" s="18" t="s">
        <v>52</v>
      </c>
      <c r="EA38" s="18" t="s">
        <v>52</v>
      </c>
      <c r="EB38" s="34" t="s">
        <v>52</v>
      </c>
      <c r="EC38" s="34" t="s">
        <v>52</v>
      </c>
      <c r="ED38" s="34" t="s">
        <v>52</v>
      </c>
      <c r="EE38" s="19" t="s">
        <v>41</v>
      </c>
      <c r="EF38" s="18" t="s">
        <v>52</v>
      </c>
      <c r="EG38" s="35">
        <v>867.74257968279198</v>
      </c>
      <c r="EH38" s="94" t="s">
        <v>52</v>
      </c>
      <c r="EI38" s="35">
        <v>144.62376328046537</v>
      </c>
      <c r="EJ38" s="35">
        <v>144.62376328046537</v>
      </c>
      <c r="EK38" s="7" t="s">
        <v>147</v>
      </c>
      <c r="EL38" s="7" t="s">
        <v>148</v>
      </c>
      <c r="EM38" s="7" t="s">
        <v>148</v>
      </c>
      <c r="EN38" s="35" t="s">
        <v>128</v>
      </c>
      <c r="EO38" s="35" t="s">
        <v>128</v>
      </c>
      <c r="EP38" s="26" t="s">
        <v>203</v>
      </c>
    </row>
    <row r="39" spans="1:146" x14ac:dyDescent="0.2">
      <c r="A39" s="98" t="s">
        <v>188</v>
      </c>
      <c r="B39" s="32" t="s">
        <v>189</v>
      </c>
      <c r="C39" s="45" t="s">
        <v>53</v>
      </c>
      <c r="D39" s="45" t="s">
        <v>137</v>
      </c>
      <c r="E39" s="45">
        <v>2003</v>
      </c>
      <c r="F39" s="38" t="s">
        <v>138</v>
      </c>
      <c r="G39" s="45">
        <f t="shared" si="0"/>
        <v>71000</v>
      </c>
      <c r="H39" s="45" t="s">
        <v>52</v>
      </c>
      <c r="I39" s="45" t="s">
        <v>52</v>
      </c>
      <c r="J39" s="93">
        <v>883.03868684403301</v>
      </c>
      <c r="K39" s="93">
        <v>147.1731144740055</v>
      </c>
      <c r="L39" s="93">
        <v>147.17311447400539</v>
      </c>
      <c r="M39" s="113" t="b">
        <v>1</v>
      </c>
      <c r="N39" s="113">
        <v>3</v>
      </c>
      <c r="O39" s="121" t="s">
        <v>204</v>
      </c>
      <c r="P39" s="113" t="b">
        <v>0</v>
      </c>
      <c r="Q39" s="113" t="b">
        <v>0</v>
      </c>
      <c r="R39" s="113" t="s">
        <v>52</v>
      </c>
      <c r="S39" s="113" t="b">
        <v>1</v>
      </c>
      <c r="T39" s="113" t="b">
        <v>0</v>
      </c>
      <c r="U39" s="113" t="s">
        <v>52</v>
      </c>
      <c r="V39" s="113" t="b">
        <v>0</v>
      </c>
      <c r="W39" s="113" t="b">
        <v>0</v>
      </c>
      <c r="X39" s="113" t="s">
        <v>52</v>
      </c>
      <c r="Y39" s="111" t="s">
        <v>139</v>
      </c>
      <c r="Z39" s="38" t="s">
        <v>138</v>
      </c>
      <c r="AA39" s="37" t="s">
        <v>142</v>
      </c>
      <c r="AB39" s="41" t="s">
        <v>149</v>
      </c>
      <c r="AC39" s="89" t="s">
        <v>187</v>
      </c>
      <c r="AD39" s="99" t="s">
        <v>52</v>
      </c>
      <c r="AE39" s="86">
        <v>29.3</v>
      </c>
      <c r="AF39" s="23">
        <v>-103.52</v>
      </c>
      <c r="AG39" s="33" t="s">
        <v>52</v>
      </c>
      <c r="AH39" s="33" t="s">
        <v>52</v>
      </c>
      <c r="AI39" s="33" t="s">
        <v>52</v>
      </c>
      <c r="AJ39" s="89">
        <v>71</v>
      </c>
      <c r="AK39" s="23" t="s">
        <v>52</v>
      </c>
      <c r="AL39" s="23" t="s">
        <v>52</v>
      </c>
      <c r="AM39" s="43" t="s">
        <v>150</v>
      </c>
      <c r="AN39" s="21">
        <v>-9.89</v>
      </c>
      <c r="AO39" s="21">
        <v>0.62000000000000099</v>
      </c>
      <c r="AP39" s="36">
        <v>3</v>
      </c>
      <c r="AQ39" s="87" t="s">
        <v>52</v>
      </c>
      <c r="AR39" s="20" t="s">
        <v>52</v>
      </c>
      <c r="AS39" s="20" t="s">
        <v>52</v>
      </c>
      <c r="AT39" s="16" t="s">
        <v>52</v>
      </c>
      <c r="AU39" s="16" t="s">
        <v>52</v>
      </c>
      <c r="AV39" s="16" t="s">
        <v>52</v>
      </c>
      <c r="AW39" s="16" t="s">
        <v>52</v>
      </c>
      <c r="AX39" s="88" t="s">
        <v>52</v>
      </c>
      <c r="AY39" s="16" t="s">
        <v>52</v>
      </c>
      <c r="AZ39" s="16" t="s">
        <v>52</v>
      </c>
      <c r="BA39" s="16" t="s">
        <v>52</v>
      </c>
      <c r="BB39" s="39" t="s">
        <v>52</v>
      </c>
      <c r="BC39" s="39" t="s">
        <v>52</v>
      </c>
      <c r="BD39" s="39" t="s">
        <v>52</v>
      </c>
      <c r="BE39" s="39">
        <v>3</v>
      </c>
      <c r="BF39" s="39" t="s">
        <v>52</v>
      </c>
      <c r="BG39" s="16" t="s">
        <v>52</v>
      </c>
      <c r="BH39" s="16" t="s">
        <v>52</v>
      </c>
      <c r="BI39" s="16" t="s">
        <v>52</v>
      </c>
      <c r="BJ39" s="39" t="s">
        <v>52</v>
      </c>
      <c r="BK39" s="36" t="s">
        <v>151</v>
      </c>
      <c r="BL39" s="16" t="s">
        <v>52</v>
      </c>
      <c r="BM39" s="16" t="s">
        <v>52</v>
      </c>
      <c r="BN39" s="16" t="s">
        <v>52</v>
      </c>
      <c r="BO39" s="16" t="s">
        <v>52</v>
      </c>
      <c r="BP39" s="16" t="s">
        <v>52</v>
      </c>
      <c r="BQ39" s="16" t="s">
        <v>52</v>
      </c>
      <c r="BR39" s="16" t="s">
        <v>52</v>
      </c>
      <c r="BS39" s="16" t="s">
        <v>52</v>
      </c>
      <c r="BT39" s="16" t="s">
        <v>52</v>
      </c>
      <c r="BU39" s="16" t="s">
        <v>52</v>
      </c>
      <c r="BV39" s="16" t="s">
        <v>52</v>
      </c>
      <c r="BW39" s="16" t="s">
        <v>52</v>
      </c>
      <c r="BX39" s="16" t="s">
        <v>52</v>
      </c>
      <c r="BY39" s="16" t="s">
        <v>52</v>
      </c>
      <c r="BZ39" s="16" t="s">
        <v>52</v>
      </c>
      <c r="CA39" s="16" t="s">
        <v>52</v>
      </c>
      <c r="CB39" s="16" t="s">
        <v>52</v>
      </c>
      <c r="CC39" s="16" t="s">
        <v>52</v>
      </c>
      <c r="CD39" s="16" t="s">
        <v>52</v>
      </c>
      <c r="CE39" s="16" t="s">
        <v>52</v>
      </c>
      <c r="CF39" s="16" t="s">
        <v>52</v>
      </c>
      <c r="CG39" s="16" t="s">
        <v>52</v>
      </c>
      <c r="CH39" s="16" t="s">
        <v>52</v>
      </c>
      <c r="CI39" s="16" t="s">
        <v>52</v>
      </c>
      <c r="CJ39" s="90">
        <v>-25.886000000000003</v>
      </c>
      <c r="CK39" s="5" t="s">
        <v>140</v>
      </c>
      <c r="CL39" s="30" t="s">
        <v>141</v>
      </c>
      <c r="CM39" s="17" t="s">
        <v>52</v>
      </c>
      <c r="CN39" s="77" t="s">
        <v>52</v>
      </c>
      <c r="CO39" s="17" t="s">
        <v>52</v>
      </c>
      <c r="CP39" s="90">
        <v>-6.5600000000000005</v>
      </c>
      <c r="CQ39" s="5" t="s">
        <v>143</v>
      </c>
      <c r="CR39" s="29" t="s">
        <v>142</v>
      </c>
      <c r="CS39" s="75" t="s">
        <v>52</v>
      </c>
      <c r="CT39" s="78" t="s">
        <v>52</v>
      </c>
      <c r="CU39" s="24" t="s">
        <v>52</v>
      </c>
      <c r="CV39" s="91">
        <v>18.329999999999998</v>
      </c>
      <c r="CW39" s="5" t="s">
        <v>144</v>
      </c>
      <c r="CX39" s="17" t="s">
        <v>52</v>
      </c>
      <c r="CY39" s="17" t="s">
        <v>52</v>
      </c>
      <c r="CZ39" s="17" t="s">
        <v>52</v>
      </c>
      <c r="DA39" s="40" t="s">
        <v>52</v>
      </c>
      <c r="DB39" s="30" t="s">
        <v>145</v>
      </c>
      <c r="DC39" s="25">
        <v>-19.670400000000001</v>
      </c>
      <c r="DD39" s="17" t="s">
        <v>52</v>
      </c>
      <c r="DE39" s="17" t="s">
        <v>52</v>
      </c>
      <c r="DF39" s="17" t="s">
        <v>52</v>
      </c>
      <c r="DG39" s="17" t="s">
        <v>52</v>
      </c>
      <c r="DH39" s="17" t="s">
        <v>52</v>
      </c>
      <c r="DI39" s="17" t="s">
        <v>52</v>
      </c>
      <c r="DJ39" s="17" t="s">
        <v>52</v>
      </c>
      <c r="DK39" s="17" t="s">
        <v>52</v>
      </c>
      <c r="DL39" s="66" t="s">
        <v>52</v>
      </c>
      <c r="DM39" s="17">
        <v>6000</v>
      </c>
      <c r="DN39" s="5" t="s">
        <v>129</v>
      </c>
      <c r="DO39" s="17">
        <v>1000</v>
      </c>
      <c r="DP39" s="17">
        <v>1000</v>
      </c>
      <c r="DQ39" s="77" t="s">
        <v>129</v>
      </c>
      <c r="DR39" s="17" t="s">
        <v>146</v>
      </c>
      <c r="DS39" s="18" t="s">
        <v>43</v>
      </c>
      <c r="DT39" s="18" t="s">
        <v>52</v>
      </c>
      <c r="DU39" s="18" t="s">
        <v>52</v>
      </c>
      <c r="DV39" s="18" t="s">
        <v>52</v>
      </c>
      <c r="DW39" s="18" t="s">
        <v>52</v>
      </c>
      <c r="DX39" s="6" t="s">
        <v>44</v>
      </c>
      <c r="DY39" s="18" t="s">
        <v>42</v>
      </c>
      <c r="DZ39" s="18" t="s">
        <v>52</v>
      </c>
      <c r="EA39" s="18" t="s">
        <v>52</v>
      </c>
      <c r="EB39" s="34" t="s">
        <v>52</v>
      </c>
      <c r="EC39" s="34" t="s">
        <v>52</v>
      </c>
      <c r="ED39" s="34" t="s">
        <v>52</v>
      </c>
      <c r="EE39" s="19" t="s">
        <v>41</v>
      </c>
      <c r="EF39" s="18" t="s">
        <v>52</v>
      </c>
      <c r="EG39" s="35">
        <v>883.03868684403301</v>
      </c>
      <c r="EH39" s="94" t="s">
        <v>52</v>
      </c>
      <c r="EI39" s="35">
        <v>147.1731144740055</v>
      </c>
      <c r="EJ39" s="35">
        <v>147.17311447400539</v>
      </c>
      <c r="EK39" s="7" t="s">
        <v>147</v>
      </c>
      <c r="EL39" s="7" t="s">
        <v>148</v>
      </c>
      <c r="EM39" s="7" t="s">
        <v>148</v>
      </c>
      <c r="EN39" s="35" t="s">
        <v>128</v>
      </c>
      <c r="EO39" s="35" t="s">
        <v>128</v>
      </c>
      <c r="EP39" s="26" t="s">
        <v>203</v>
      </c>
    </row>
    <row r="40" spans="1:146" x14ac:dyDescent="0.2">
      <c r="C40" s="45"/>
      <c r="D40" s="45"/>
      <c r="E40" s="45"/>
      <c r="F40" s="45"/>
      <c r="G40" s="45"/>
      <c r="H40" s="45"/>
      <c r="I40" s="45"/>
      <c r="J40" s="45"/>
      <c r="K40" s="45"/>
      <c r="L40" s="45"/>
      <c r="M40" s="112"/>
      <c r="N40" s="112"/>
      <c r="O40" s="112"/>
      <c r="P40" s="112"/>
      <c r="Q40" s="112"/>
      <c r="R40" s="112"/>
      <c r="S40" s="112"/>
      <c r="T40" s="112"/>
      <c r="U40" s="112"/>
      <c r="V40" s="112"/>
      <c r="W40" s="112"/>
      <c r="X40" s="112"/>
      <c r="Y40" s="15"/>
      <c r="AA40" s="15"/>
      <c r="AB40" s="15"/>
      <c r="AN40" s="22"/>
      <c r="AO40" s="22"/>
    </row>
    <row r="41" spans="1:146" x14ac:dyDescent="0.2">
      <c r="C41" s="45"/>
      <c r="D41" s="45"/>
      <c r="E41" s="45"/>
      <c r="F41" s="45"/>
      <c r="G41" s="45"/>
      <c r="H41" s="45"/>
      <c r="I41" s="45"/>
      <c r="J41" s="45"/>
      <c r="K41" s="45"/>
      <c r="L41" s="45"/>
      <c r="M41" s="112"/>
      <c r="N41" s="112"/>
      <c r="O41" s="112"/>
      <c r="P41" s="112"/>
      <c r="Q41" s="112"/>
      <c r="R41" s="112"/>
      <c r="S41" s="112"/>
      <c r="T41" s="112"/>
      <c r="U41" s="112"/>
      <c r="V41" s="112"/>
      <c r="W41" s="112"/>
      <c r="X41" s="112"/>
      <c r="Y41" s="15"/>
      <c r="AA41" s="15"/>
      <c r="AB41" s="15"/>
      <c r="AN41" s="22"/>
      <c r="AO41" s="22"/>
    </row>
    <row r="42" spans="1:146" x14ac:dyDescent="0.2">
      <c r="C42" s="45"/>
      <c r="D42" s="45"/>
      <c r="E42" s="45"/>
      <c r="F42" s="45"/>
      <c r="G42" s="45"/>
      <c r="H42" s="45"/>
      <c r="I42" s="45"/>
      <c r="J42" s="45"/>
      <c r="K42" s="45"/>
      <c r="L42" s="45"/>
      <c r="M42" s="112"/>
      <c r="N42" s="112"/>
      <c r="O42" s="112"/>
      <c r="P42" s="112"/>
      <c r="Q42" s="112"/>
      <c r="R42" s="112"/>
      <c r="S42" s="112"/>
      <c r="T42" s="112"/>
      <c r="U42" s="112"/>
      <c r="V42" s="112"/>
      <c r="W42" s="112"/>
      <c r="X42" s="112"/>
      <c r="Y42" s="15"/>
      <c r="AA42" s="15"/>
      <c r="AB42" s="15"/>
      <c r="AN42" s="22"/>
      <c r="AO42" s="22"/>
    </row>
    <row r="43" spans="1:146" x14ac:dyDescent="0.2">
      <c r="C43" s="45"/>
      <c r="D43" s="45"/>
      <c r="E43" s="45"/>
      <c r="F43" s="45"/>
      <c r="G43" s="45"/>
      <c r="H43" s="45"/>
      <c r="I43" s="45"/>
      <c r="J43" s="45"/>
      <c r="K43" s="45"/>
      <c r="L43" s="45"/>
      <c r="M43" s="112"/>
      <c r="N43" s="112"/>
      <c r="O43" s="112"/>
      <c r="P43" s="112"/>
      <c r="Q43" s="112"/>
      <c r="R43" s="112"/>
      <c r="S43" s="112"/>
      <c r="T43" s="112"/>
      <c r="U43" s="112"/>
      <c r="V43" s="112"/>
      <c r="W43" s="112"/>
      <c r="X43" s="112"/>
      <c r="Y43" s="15"/>
      <c r="AA43" s="15"/>
      <c r="AB43" s="15"/>
      <c r="AN43" s="22"/>
      <c r="AO43" s="22"/>
    </row>
    <row r="44" spans="1:146" x14ac:dyDescent="0.2">
      <c r="C44" s="45"/>
      <c r="D44" s="45"/>
      <c r="E44" s="45"/>
      <c r="F44" s="45"/>
      <c r="G44" s="45"/>
      <c r="H44" s="45"/>
      <c r="I44" s="45"/>
      <c r="J44" s="45"/>
      <c r="K44" s="45"/>
      <c r="L44" s="45"/>
      <c r="M44" s="112"/>
      <c r="N44" s="112"/>
      <c r="O44" s="112"/>
      <c r="P44" s="112"/>
      <c r="Q44" s="112"/>
      <c r="R44" s="112"/>
      <c r="S44" s="112"/>
      <c r="T44" s="112"/>
      <c r="U44" s="112"/>
      <c r="V44" s="112"/>
      <c r="W44" s="112"/>
      <c r="X44" s="112"/>
      <c r="Y44" s="15"/>
      <c r="AA44" s="15"/>
      <c r="AB44" s="15"/>
      <c r="AN44" s="22"/>
      <c r="AO44" s="22"/>
    </row>
    <row r="45" spans="1:146" x14ac:dyDescent="0.2">
      <c r="C45" s="45"/>
      <c r="D45" s="45"/>
      <c r="E45" s="45"/>
      <c r="F45" s="45"/>
      <c r="G45" s="45"/>
      <c r="H45" s="45"/>
      <c r="I45" s="45"/>
      <c r="J45" s="45"/>
      <c r="K45" s="45"/>
      <c r="L45" s="45"/>
      <c r="M45" s="112"/>
      <c r="N45" s="112"/>
      <c r="O45" s="112"/>
      <c r="P45" s="112"/>
      <c r="Q45" s="112"/>
      <c r="R45" s="112"/>
      <c r="S45" s="112"/>
      <c r="T45" s="112"/>
      <c r="U45" s="112"/>
      <c r="V45" s="112"/>
      <c r="W45" s="112"/>
      <c r="X45" s="112"/>
      <c r="Y45" s="15"/>
      <c r="AA45" s="15"/>
      <c r="AB45" s="15"/>
      <c r="AN45" s="22"/>
      <c r="AO45" s="22"/>
    </row>
    <row r="46" spans="1:146" x14ac:dyDescent="0.2">
      <c r="C46" s="45"/>
      <c r="D46" s="45"/>
      <c r="E46" s="45"/>
      <c r="F46" s="45"/>
      <c r="G46" s="45"/>
      <c r="H46" s="45"/>
      <c r="I46" s="45"/>
      <c r="J46" s="45"/>
      <c r="K46" s="45"/>
      <c r="L46" s="45"/>
      <c r="M46" s="112"/>
      <c r="N46" s="112"/>
      <c r="O46" s="112"/>
      <c r="P46" s="112"/>
      <c r="Q46" s="112"/>
      <c r="R46" s="112"/>
      <c r="S46" s="112"/>
      <c r="T46" s="112"/>
      <c r="U46" s="112"/>
      <c r="V46" s="112"/>
      <c r="W46" s="112"/>
      <c r="X46" s="112"/>
      <c r="Y46" s="15"/>
      <c r="AA46" s="15"/>
      <c r="AB46" s="15"/>
      <c r="AN46" s="22"/>
      <c r="AO46" s="22"/>
    </row>
    <row r="47" spans="1:146" x14ac:dyDescent="0.2">
      <c r="C47" s="45"/>
      <c r="D47" s="45"/>
      <c r="E47" s="45"/>
      <c r="F47" s="45"/>
      <c r="G47" s="45"/>
      <c r="H47" s="45"/>
      <c r="I47" s="45"/>
      <c r="J47" s="45"/>
      <c r="K47" s="45"/>
      <c r="L47" s="45"/>
      <c r="M47" s="112"/>
      <c r="N47" s="112"/>
      <c r="O47" s="112"/>
      <c r="P47" s="112"/>
      <c r="Q47" s="112"/>
      <c r="R47" s="112"/>
      <c r="S47" s="112"/>
      <c r="T47" s="112"/>
      <c r="U47" s="112"/>
      <c r="V47" s="112"/>
      <c r="W47" s="112"/>
      <c r="X47" s="112"/>
      <c r="Y47" s="15"/>
      <c r="AA47" s="15"/>
      <c r="AB47" s="15"/>
      <c r="AN47" s="22"/>
      <c r="AO47" s="22"/>
    </row>
    <row r="48" spans="1:146" x14ac:dyDescent="0.2">
      <c r="C48" s="45"/>
      <c r="D48" s="45"/>
      <c r="E48" s="45"/>
      <c r="F48" s="45"/>
      <c r="G48" s="45"/>
      <c r="H48" s="45"/>
      <c r="I48" s="45"/>
      <c r="J48" s="45"/>
      <c r="K48" s="45"/>
      <c r="L48" s="45"/>
      <c r="M48" s="112"/>
      <c r="N48" s="112"/>
      <c r="O48" s="112"/>
      <c r="P48" s="112"/>
      <c r="Q48" s="112"/>
      <c r="R48" s="112"/>
      <c r="S48" s="112"/>
      <c r="T48" s="112"/>
      <c r="U48" s="112"/>
      <c r="V48" s="112"/>
      <c r="W48" s="112"/>
      <c r="X48" s="112"/>
      <c r="Y48" s="15"/>
      <c r="AA48" s="15"/>
      <c r="AB48" s="15"/>
      <c r="AN48" s="22"/>
      <c r="AO48" s="22"/>
    </row>
    <row r="49" spans="3:41" x14ac:dyDescent="0.2">
      <c r="C49" s="45"/>
      <c r="D49" s="45"/>
      <c r="E49" s="45"/>
      <c r="F49" s="45"/>
      <c r="G49" s="45"/>
      <c r="H49" s="45"/>
      <c r="I49" s="45"/>
      <c r="J49" s="45"/>
      <c r="K49" s="45"/>
      <c r="L49" s="45"/>
      <c r="M49" s="112"/>
      <c r="N49" s="112"/>
      <c r="O49" s="112"/>
      <c r="P49" s="112"/>
      <c r="Q49" s="112"/>
      <c r="R49" s="112"/>
      <c r="S49" s="112"/>
      <c r="T49" s="112"/>
      <c r="U49" s="112"/>
      <c r="V49" s="112"/>
      <c r="W49" s="112"/>
      <c r="X49" s="112"/>
      <c r="Y49" s="15"/>
      <c r="AA49" s="15"/>
      <c r="AB49" s="15"/>
      <c r="AN49" s="22"/>
      <c r="AO49" s="22"/>
    </row>
    <row r="50" spans="3:41" x14ac:dyDescent="0.2">
      <c r="C50" s="45"/>
      <c r="D50" s="45"/>
      <c r="E50" s="45"/>
      <c r="F50" s="45"/>
      <c r="G50" s="45"/>
      <c r="H50" s="45"/>
      <c r="I50" s="45"/>
      <c r="J50" s="45"/>
      <c r="K50" s="45"/>
      <c r="L50" s="45"/>
      <c r="M50" s="112"/>
      <c r="N50" s="112"/>
      <c r="O50" s="112"/>
      <c r="P50" s="112"/>
      <c r="Q50" s="112"/>
      <c r="R50" s="112"/>
      <c r="S50" s="112"/>
      <c r="T50" s="112"/>
      <c r="U50" s="112"/>
      <c r="V50" s="112"/>
      <c r="W50" s="112"/>
      <c r="X50" s="112"/>
      <c r="Y50" s="15"/>
      <c r="AA50" s="15"/>
      <c r="AB50" s="15"/>
      <c r="AN50" s="22"/>
      <c r="AO50" s="22"/>
    </row>
    <row r="51" spans="3:41" x14ac:dyDescent="0.2">
      <c r="C51" s="45"/>
      <c r="D51" s="45"/>
      <c r="E51" s="45"/>
      <c r="F51" s="45"/>
      <c r="G51" s="45"/>
      <c r="H51" s="45"/>
      <c r="I51" s="45"/>
      <c r="J51" s="45"/>
      <c r="K51" s="45"/>
      <c r="L51" s="45"/>
      <c r="M51" s="112"/>
      <c r="N51" s="112"/>
      <c r="O51" s="112"/>
      <c r="P51" s="112"/>
      <c r="Q51" s="112"/>
      <c r="R51" s="112"/>
      <c r="S51" s="112"/>
      <c r="T51" s="112"/>
      <c r="U51" s="112"/>
      <c r="V51" s="112"/>
      <c r="W51" s="112"/>
      <c r="X51" s="112"/>
      <c r="Y51" s="15"/>
      <c r="AA51" s="15"/>
      <c r="AB51" s="15"/>
      <c r="AN51" s="22"/>
      <c r="AO51" s="22"/>
    </row>
    <row r="52" spans="3:41" x14ac:dyDescent="0.2">
      <c r="C52" s="45"/>
      <c r="D52" s="45"/>
      <c r="E52" s="45"/>
      <c r="F52" s="45"/>
      <c r="G52" s="45"/>
      <c r="H52" s="45"/>
      <c r="I52" s="45"/>
      <c r="J52" s="45"/>
      <c r="K52" s="45"/>
      <c r="L52" s="45"/>
      <c r="M52" s="112"/>
      <c r="N52" s="112"/>
      <c r="O52" s="112"/>
      <c r="P52" s="112"/>
      <c r="Q52" s="112"/>
      <c r="R52" s="112"/>
      <c r="S52" s="112"/>
      <c r="T52" s="112"/>
      <c r="U52" s="112"/>
      <c r="V52" s="112"/>
      <c r="W52" s="112"/>
      <c r="X52" s="112"/>
      <c r="Y52" s="15"/>
      <c r="AA52" s="15"/>
      <c r="AB52" s="15"/>
      <c r="AN52" s="22"/>
      <c r="AO52" s="22"/>
    </row>
    <row r="53" spans="3:41" x14ac:dyDescent="0.2">
      <c r="C53" s="45"/>
      <c r="D53" s="45"/>
      <c r="E53" s="45"/>
      <c r="F53" s="45"/>
      <c r="G53" s="45"/>
      <c r="H53" s="45"/>
      <c r="I53" s="45"/>
      <c r="J53" s="45"/>
      <c r="K53" s="45"/>
      <c r="L53" s="45"/>
      <c r="M53" s="112"/>
      <c r="N53" s="112"/>
      <c r="O53" s="112"/>
      <c r="P53" s="112"/>
      <c r="Q53" s="112"/>
      <c r="R53" s="112"/>
      <c r="S53" s="112"/>
      <c r="T53" s="112"/>
      <c r="U53" s="112"/>
      <c r="V53" s="112"/>
      <c r="W53" s="112"/>
      <c r="X53" s="112"/>
      <c r="Y53" s="15"/>
      <c r="AA53" s="15"/>
      <c r="AB53" s="15"/>
      <c r="AN53" s="22"/>
      <c r="AO53" s="22"/>
    </row>
    <row r="54" spans="3:41" x14ac:dyDescent="0.2">
      <c r="C54" s="45"/>
      <c r="D54" s="45"/>
      <c r="E54" s="45"/>
      <c r="F54" s="45"/>
      <c r="G54" s="45"/>
      <c r="H54" s="45"/>
      <c r="I54" s="45"/>
      <c r="J54" s="45"/>
      <c r="K54" s="45"/>
      <c r="L54" s="45"/>
      <c r="M54" s="112"/>
      <c r="N54" s="112"/>
      <c r="O54" s="112"/>
      <c r="P54" s="112"/>
      <c r="Q54" s="112"/>
      <c r="R54" s="112"/>
      <c r="S54" s="112"/>
      <c r="T54" s="112"/>
      <c r="U54" s="112"/>
      <c r="V54" s="112"/>
      <c r="W54" s="112"/>
      <c r="X54" s="112"/>
      <c r="Y54" s="15"/>
      <c r="AA54" s="15"/>
      <c r="AB54" s="15"/>
      <c r="AN54" s="22"/>
      <c r="AO54" s="22"/>
    </row>
    <row r="55" spans="3:41" x14ac:dyDescent="0.2">
      <c r="C55" s="45"/>
      <c r="D55" s="45"/>
      <c r="E55" s="45"/>
      <c r="F55" s="45"/>
      <c r="G55" s="45"/>
      <c r="H55" s="45"/>
      <c r="I55" s="45"/>
      <c r="J55" s="45"/>
      <c r="K55" s="45"/>
      <c r="L55" s="45"/>
      <c r="M55" s="112"/>
      <c r="N55" s="112"/>
      <c r="O55" s="112"/>
      <c r="P55" s="112"/>
      <c r="Q55" s="112"/>
      <c r="R55" s="112"/>
      <c r="S55" s="112"/>
      <c r="T55" s="112"/>
      <c r="U55" s="112"/>
      <c r="V55" s="112"/>
      <c r="W55" s="112"/>
      <c r="X55" s="112"/>
      <c r="Y55" s="15"/>
      <c r="AA55" s="15"/>
      <c r="AB55" s="15"/>
      <c r="AN55" s="22"/>
      <c r="AO55" s="22"/>
    </row>
    <row r="56" spans="3:41" x14ac:dyDescent="0.2">
      <c r="C56" s="45"/>
      <c r="D56" s="45"/>
      <c r="E56" s="45"/>
      <c r="F56" s="45"/>
      <c r="G56" s="45"/>
      <c r="H56" s="45"/>
      <c r="I56" s="45"/>
      <c r="J56" s="45"/>
      <c r="K56" s="45"/>
      <c r="L56" s="45"/>
      <c r="M56" s="112"/>
      <c r="N56" s="112"/>
      <c r="O56" s="112"/>
      <c r="P56" s="112"/>
      <c r="Q56" s="112"/>
      <c r="R56" s="112"/>
      <c r="S56" s="112"/>
      <c r="T56" s="112"/>
      <c r="U56" s="112"/>
      <c r="V56" s="112"/>
      <c r="W56" s="112"/>
      <c r="X56" s="112"/>
      <c r="Y56" s="15"/>
      <c r="AA56" s="15"/>
      <c r="AB56" s="15"/>
      <c r="AN56" s="22"/>
      <c r="AO56" s="22"/>
    </row>
    <row r="57" spans="3:41" x14ac:dyDescent="0.2">
      <c r="C57" s="45"/>
      <c r="D57" s="45"/>
      <c r="E57" s="45"/>
      <c r="F57" s="45"/>
      <c r="G57" s="45"/>
      <c r="H57" s="45"/>
      <c r="I57" s="45"/>
      <c r="J57" s="45"/>
      <c r="K57" s="45"/>
      <c r="L57" s="45"/>
      <c r="M57" s="112"/>
      <c r="N57" s="112"/>
      <c r="O57" s="112"/>
      <c r="P57" s="112"/>
      <c r="Q57" s="112"/>
      <c r="R57" s="112"/>
      <c r="S57" s="112"/>
      <c r="T57" s="112"/>
      <c r="U57" s="112"/>
      <c r="V57" s="112"/>
      <c r="W57" s="112"/>
      <c r="X57" s="112"/>
      <c r="Y57" s="15"/>
      <c r="AA57" s="15"/>
      <c r="AB57" s="15"/>
      <c r="AN57" s="22"/>
      <c r="AO57" s="22"/>
    </row>
    <row r="58" spans="3:41" x14ac:dyDescent="0.2">
      <c r="C58" s="45"/>
      <c r="D58" s="45"/>
      <c r="E58" s="45"/>
      <c r="F58" s="45"/>
      <c r="G58" s="45"/>
      <c r="H58" s="45"/>
      <c r="I58" s="45"/>
      <c r="J58" s="45"/>
      <c r="K58" s="45"/>
      <c r="L58" s="45"/>
      <c r="M58" s="112"/>
      <c r="N58" s="112"/>
      <c r="O58" s="112"/>
      <c r="P58" s="112"/>
      <c r="Q58" s="112"/>
      <c r="R58" s="112"/>
      <c r="S58" s="112"/>
      <c r="T58" s="112"/>
      <c r="U58" s="112"/>
      <c r="V58" s="112"/>
      <c r="W58" s="112"/>
      <c r="X58" s="112"/>
      <c r="Y58" s="15"/>
      <c r="AA58" s="15"/>
      <c r="AB58" s="15"/>
      <c r="AN58" s="22"/>
      <c r="AO58" s="22"/>
    </row>
    <row r="59" spans="3:41" x14ac:dyDescent="0.2">
      <c r="C59" s="45"/>
      <c r="D59" s="45"/>
      <c r="E59" s="45"/>
      <c r="F59" s="45"/>
      <c r="G59" s="45"/>
      <c r="H59" s="45"/>
      <c r="I59" s="45"/>
      <c r="J59" s="45"/>
      <c r="K59" s="45"/>
      <c r="L59" s="45"/>
      <c r="M59" s="112"/>
      <c r="N59" s="112"/>
      <c r="O59" s="112"/>
      <c r="P59" s="112"/>
      <c r="Q59" s="112"/>
      <c r="R59" s="112"/>
      <c r="S59" s="112"/>
      <c r="T59" s="112"/>
      <c r="U59" s="112"/>
      <c r="V59" s="112"/>
      <c r="W59" s="112"/>
      <c r="X59" s="112"/>
      <c r="Y59" s="15"/>
      <c r="AA59" s="15"/>
      <c r="AB59" s="15"/>
      <c r="AN59" s="22"/>
      <c r="AO59" s="22"/>
    </row>
    <row r="60" spans="3:41" x14ac:dyDescent="0.2">
      <c r="C60" s="45"/>
      <c r="D60" s="45"/>
      <c r="E60" s="45"/>
      <c r="F60" s="45"/>
      <c r="G60" s="45"/>
      <c r="H60" s="45"/>
      <c r="I60" s="45"/>
      <c r="J60" s="45"/>
      <c r="K60" s="45"/>
      <c r="L60" s="45"/>
      <c r="M60" s="112"/>
      <c r="N60" s="112"/>
      <c r="O60" s="112"/>
      <c r="P60" s="112"/>
      <c r="Q60" s="112"/>
      <c r="R60" s="112"/>
      <c r="S60" s="112"/>
      <c r="T60" s="112"/>
      <c r="U60" s="112"/>
      <c r="V60" s="112"/>
      <c r="W60" s="112"/>
      <c r="X60" s="112"/>
      <c r="Y60" s="15"/>
      <c r="AA60" s="15"/>
      <c r="AB60" s="15"/>
      <c r="AN60" s="22"/>
      <c r="AO60" s="22"/>
    </row>
    <row r="61" spans="3:41" x14ac:dyDescent="0.2">
      <c r="C61" s="45"/>
      <c r="D61" s="45"/>
      <c r="E61" s="45"/>
      <c r="F61" s="45"/>
      <c r="G61" s="45"/>
      <c r="H61" s="45"/>
      <c r="I61" s="45"/>
      <c r="J61" s="45"/>
      <c r="K61" s="45"/>
      <c r="L61" s="45"/>
      <c r="M61" s="112"/>
      <c r="N61" s="112"/>
      <c r="O61" s="112"/>
      <c r="P61" s="112"/>
      <c r="Q61" s="112"/>
      <c r="R61" s="112"/>
      <c r="S61" s="112"/>
      <c r="T61" s="112"/>
      <c r="U61" s="112"/>
      <c r="V61" s="112"/>
      <c r="W61" s="112"/>
      <c r="X61" s="112"/>
      <c r="Y61" s="15"/>
      <c r="AA61" s="15"/>
      <c r="AB61" s="15"/>
      <c r="AN61" s="22"/>
      <c r="AO61" s="22"/>
    </row>
    <row r="62" spans="3:41" x14ac:dyDescent="0.2">
      <c r="C62" s="45"/>
      <c r="D62" s="45"/>
      <c r="E62" s="45"/>
      <c r="F62" s="45"/>
      <c r="G62" s="45"/>
      <c r="H62" s="45"/>
      <c r="I62" s="45"/>
      <c r="J62" s="45"/>
      <c r="K62" s="45"/>
      <c r="L62" s="45"/>
      <c r="M62" s="112"/>
      <c r="N62" s="112"/>
      <c r="O62" s="112"/>
      <c r="P62" s="112"/>
      <c r="Q62" s="112"/>
      <c r="R62" s="112"/>
      <c r="S62" s="112"/>
      <c r="T62" s="112"/>
      <c r="U62" s="112"/>
      <c r="V62" s="112"/>
      <c r="W62" s="112"/>
      <c r="X62" s="112"/>
      <c r="Y62" s="15"/>
      <c r="AA62" s="15"/>
      <c r="AB62" s="15"/>
      <c r="AN62" s="22"/>
      <c r="AO62" s="22"/>
    </row>
    <row r="63" spans="3:41" x14ac:dyDescent="0.2">
      <c r="C63" s="45"/>
      <c r="D63" s="45"/>
      <c r="E63" s="45"/>
      <c r="F63" s="45"/>
      <c r="G63" s="45"/>
      <c r="H63" s="45"/>
      <c r="I63" s="45"/>
      <c r="J63" s="45"/>
      <c r="K63" s="45"/>
      <c r="L63" s="45"/>
      <c r="M63" s="112"/>
      <c r="N63" s="112"/>
      <c r="O63" s="112"/>
      <c r="P63" s="112"/>
      <c r="Q63" s="112"/>
      <c r="R63" s="112"/>
      <c r="S63" s="112"/>
      <c r="T63" s="112"/>
      <c r="U63" s="112"/>
      <c r="V63" s="112"/>
      <c r="W63" s="112"/>
      <c r="X63" s="112"/>
      <c r="Y63" s="15"/>
      <c r="AA63" s="15"/>
      <c r="AB63" s="15"/>
      <c r="AN63" s="22"/>
      <c r="AO63" s="22"/>
    </row>
    <row r="64" spans="3:41" x14ac:dyDescent="0.2">
      <c r="C64" s="45"/>
      <c r="D64" s="45"/>
      <c r="E64" s="45"/>
      <c r="F64" s="45"/>
      <c r="G64" s="45"/>
      <c r="H64" s="45"/>
      <c r="I64" s="45"/>
      <c r="J64" s="45"/>
      <c r="K64" s="45"/>
      <c r="L64" s="45"/>
      <c r="M64" s="112"/>
      <c r="N64" s="112"/>
      <c r="O64" s="112"/>
      <c r="P64" s="112"/>
      <c r="Q64" s="112"/>
      <c r="R64" s="112"/>
      <c r="S64" s="112"/>
      <c r="T64" s="112"/>
      <c r="U64" s="112"/>
      <c r="V64" s="112"/>
      <c r="W64" s="112"/>
      <c r="X64" s="112"/>
      <c r="Y64" s="15"/>
      <c r="AA64" s="15"/>
      <c r="AB64" s="15"/>
      <c r="AN64" s="22"/>
      <c r="AO64" s="22"/>
    </row>
    <row r="65" spans="3:41" x14ac:dyDescent="0.2">
      <c r="C65" s="45"/>
      <c r="D65" s="45"/>
      <c r="E65" s="45"/>
      <c r="F65" s="45"/>
      <c r="G65" s="45"/>
      <c r="H65" s="45"/>
      <c r="I65" s="45"/>
      <c r="J65" s="45"/>
      <c r="K65" s="45"/>
      <c r="L65" s="45"/>
      <c r="M65" s="112"/>
      <c r="N65" s="112"/>
      <c r="O65" s="112"/>
      <c r="P65" s="112"/>
      <c r="Q65" s="112"/>
      <c r="R65" s="112"/>
      <c r="S65" s="112"/>
      <c r="T65" s="112"/>
      <c r="U65" s="112"/>
      <c r="V65" s="112"/>
      <c r="W65" s="112"/>
      <c r="X65" s="112"/>
      <c r="Y65" s="15"/>
      <c r="AA65" s="15"/>
      <c r="AB65" s="15"/>
      <c r="AN65" s="22"/>
      <c r="AO65" s="22"/>
    </row>
    <row r="66" spans="3:41" x14ac:dyDescent="0.2">
      <c r="C66" s="45"/>
      <c r="D66" s="45"/>
      <c r="E66" s="45"/>
      <c r="F66" s="45"/>
      <c r="G66" s="45"/>
      <c r="H66" s="45"/>
      <c r="I66" s="45"/>
      <c r="J66" s="45"/>
      <c r="K66" s="45"/>
      <c r="L66" s="45"/>
      <c r="M66" s="112"/>
      <c r="N66" s="112"/>
      <c r="O66" s="112"/>
      <c r="P66" s="112"/>
      <c r="Q66" s="112"/>
      <c r="R66" s="112"/>
      <c r="S66" s="112"/>
      <c r="T66" s="112"/>
      <c r="U66" s="112"/>
      <c r="V66" s="112"/>
      <c r="W66" s="112"/>
      <c r="X66" s="112"/>
      <c r="Y66" s="15"/>
      <c r="AA66" s="15"/>
      <c r="AB66" s="15"/>
      <c r="AN66" s="22"/>
      <c r="AO66" s="22"/>
    </row>
    <row r="67" spans="3:41" x14ac:dyDescent="0.2">
      <c r="C67" s="45"/>
      <c r="D67" s="45"/>
      <c r="E67" s="45"/>
      <c r="F67" s="45"/>
      <c r="G67" s="45"/>
      <c r="H67" s="45"/>
      <c r="I67" s="45"/>
      <c r="J67" s="45"/>
      <c r="K67" s="45"/>
      <c r="L67" s="45"/>
      <c r="M67" s="112"/>
      <c r="N67" s="112"/>
      <c r="O67" s="112"/>
      <c r="P67" s="112"/>
      <c r="Q67" s="112"/>
      <c r="R67" s="112"/>
      <c r="S67" s="112"/>
      <c r="T67" s="112"/>
      <c r="U67" s="112"/>
      <c r="V67" s="112"/>
      <c r="W67" s="112"/>
      <c r="X67" s="112"/>
      <c r="Y67" s="15"/>
      <c r="AA67" s="15"/>
      <c r="AB67" s="15"/>
      <c r="AN67" s="22"/>
      <c r="AO67" s="22"/>
    </row>
    <row r="68" spans="3:41" x14ac:dyDescent="0.2">
      <c r="C68" s="45"/>
      <c r="D68" s="45"/>
      <c r="E68" s="45"/>
      <c r="F68" s="45"/>
      <c r="G68" s="45"/>
      <c r="H68" s="45"/>
      <c r="I68" s="45"/>
      <c r="J68" s="45"/>
      <c r="K68" s="45"/>
      <c r="L68" s="45"/>
      <c r="M68" s="112"/>
      <c r="N68" s="112"/>
      <c r="O68" s="112"/>
      <c r="P68" s="112"/>
      <c r="Q68" s="112"/>
      <c r="R68" s="112"/>
      <c r="S68" s="112"/>
      <c r="T68" s="112"/>
      <c r="U68" s="112"/>
      <c r="V68" s="112"/>
      <c r="W68" s="112"/>
      <c r="X68" s="112"/>
      <c r="Y68" s="15"/>
      <c r="AA68" s="15"/>
      <c r="AB68" s="15"/>
      <c r="AN68" s="22"/>
      <c r="AO68" s="22"/>
    </row>
    <row r="69" spans="3:41" x14ac:dyDescent="0.2">
      <c r="C69" s="45"/>
      <c r="D69" s="45"/>
      <c r="E69" s="45"/>
      <c r="F69" s="45"/>
      <c r="G69" s="45"/>
      <c r="H69" s="45"/>
      <c r="I69" s="45"/>
      <c r="J69" s="45"/>
      <c r="K69" s="45"/>
      <c r="L69" s="45"/>
      <c r="M69" s="112"/>
      <c r="N69" s="112"/>
      <c r="O69" s="112"/>
      <c r="P69" s="112"/>
      <c r="Q69" s="112"/>
      <c r="R69" s="112"/>
      <c r="S69" s="112"/>
      <c r="T69" s="112"/>
      <c r="U69" s="112"/>
      <c r="V69" s="112"/>
      <c r="W69" s="112"/>
      <c r="X69" s="112"/>
      <c r="Y69" s="15"/>
      <c r="AA69" s="15"/>
      <c r="AB69" s="15"/>
      <c r="AN69" s="22"/>
      <c r="AO69" s="22"/>
    </row>
    <row r="70" spans="3:41" x14ac:dyDescent="0.2">
      <c r="C70" s="45"/>
      <c r="D70" s="45"/>
      <c r="E70" s="45"/>
      <c r="F70" s="45"/>
      <c r="G70" s="45"/>
      <c r="H70" s="45"/>
      <c r="I70" s="45"/>
      <c r="J70" s="45"/>
      <c r="K70" s="45"/>
      <c r="L70" s="45"/>
      <c r="M70" s="112"/>
      <c r="N70" s="112"/>
      <c r="O70" s="112"/>
      <c r="P70" s="112"/>
      <c r="Q70" s="112"/>
      <c r="R70" s="112"/>
      <c r="S70" s="112"/>
      <c r="T70" s="112"/>
      <c r="U70" s="112"/>
      <c r="V70" s="112"/>
      <c r="W70" s="112"/>
      <c r="X70" s="112"/>
      <c r="Y70" s="15"/>
      <c r="AA70" s="15"/>
      <c r="AB70" s="15"/>
      <c r="AN70" s="22"/>
      <c r="AO70" s="22"/>
    </row>
    <row r="71" spans="3:41" x14ac:dyDescent="0.2">
      <c r="C71" s="45"/>
      <c r="D71" s="45"/>
      <c r="E71" s="45"/>
      <c r="F71" s="45"/>
      <c r="G71" s="45"/>
      <c r="H71" s="45"/>
      <c r="I71" s="45"/>
      <c r="J71" s="45"/>
      <c r="K71" s="45"/>
      <c r="L71" s="45"/>
      <c r="M71" s="112"/>
      <c r="N71" s="112"/>
      <c r="O71" s="112"/>
      <c r="P71" s="112"/>
      <c r="Q71" s="112"/>
      <c r="R71" s="112"/>
      <c r="S71" s="112"/>
      <c r="T71" s="112"/>
      <c r="U71" s="112"/>
      <c r="V71" s="112"/>
      <c r="W71" s="112"/>
      <c r="X71" s="112"/>
      <c r="Y71" s="15"/>
      <c r="AA71" s="15"/>
      <c r="AB71" s="15"/>
      <c r="AN71" s="22"/>
      <c r="AO71" s="22"/>
    </row>
    <row r="72" spans="3:41" x14ac:dyDescent="0.2">
      <c r="C72" s="45"/>
      <c r="D72" s="45"/>
      <c r="E72" s="45"/>
      <c r="F72" s="45"/>
      <c r="G72" s="45"/>
      <c r="H72" s="45"/>
      <c r="I72" s="45"/>
      <c r="J72" s="45"/>
      <c r="K72" s="45"/>
      <c r="L72" s="45"/>
      <c r="M72" s="112"/>
      <c r="N72" s="112"/>
      <c r="O72" s="112"/>
      <c r="P72" s="112"/>
      <c r="Q72" s="112"/>
      <c r="R72" s="112"/>
      <c r="S72" s="112"/>
      <c r="T72" s="112"/>
      <c r="U72" s="112"/>
      <c r="V72" s="112"/>
      <c r="W72" s="112"/>
      <c r="X72" s="112"/>
      <c r="Y72" s="15"/>
      <c r="AA72" s="15"/>
      <c r="AB72" s="15"/>
      <c r="AN72" s="22"/>
      <c r="AO72" s="22"/>
    </row>
    <row r="73" spans="3:41" x14ac:dyDescent="0.2">
      <c r="C73" s="45"/>
      <c r="D73" s="45"/>
      <c r="E73" s="45"/>
      <c r="F73" s="45"/>
      <c r="G73" s="45"/>
      <c r="H73" s="45"/>
      <c r="I73" s="45"/>
      <c r="J73" s="45"/>
      <c r="K73" s="45"/>
      <c r="L73" s="45"/>
      <c r="M73" s="112"/>
      <c r="N73" s="112"/>
      <c r="O73" s="112"/>
      <c r="P73" s="112"/>
      <c r="Q73" s="112"/>
      <c r="R73" s="112"/>
      <c r="S73" s="112"/>
      <c r="T73" s="112"/>
      <c r="U73" s="112"/>
      <c r="V73" s="112"/>
      <c r="W73" s="112"/>
      <c r="X73" s="112"/>
      <c r="Y73" s="15"/>
      <c r="AA73" s="15"/>
      <c r="AB73" s="15"/>
      <c r="AN73" s="22"/>
      <c r="AO73" s="22"/>
    </row>
    <row r="74" spans="3:41" x14ac:dyDescent="0.2">
      <c r="C74" s="45"/>
      <c r="D74" s="45"/>
      <c r="E74" s="45"/>
      <c r="F74" s="45"/>
      <c r="G74" s="45"/>
      <c r="H74" s="45"/>
      <c r="I74" s="45"/>
      <c r="J74" s="45"/>
      <c r="K74" s="45"/>
      <c r="L74" s="45"/>
      <c r="M74" s="112"/>
      <c r="N74" s="112"/>
      <c r="O74" s="112"/>
      <c r="P74" s="112"/>
      <c r="Q74" s="112"/>
      <c r="R74" s="112"/>
      <c r="S74" s="112"/>
      <c r="T74" s="112"/>
      <c r="U74" s="112"/>
      <c r="V74" s="112"/>
      <c r="W74" s="112"/>
      <c r="X74" s="112"/>
      <c r="Y74" s="15"/>
      <c r="AA74" s="15"/>
      <c r="AB74" s="15"/>
      <c r="AN74" s="22"/>
      <c r="AO74" s="22"/>
    </row>
    <row r="75" spans="3:41" x14ac:dyDescent="0.2">
      <c r="C75" s="45"/>
      <c r="D75" s="45"/>
      <c r="E75" s="45"/>
      <c r="F75" s="45"/>
      <c r="G75" s="45"/>
      <c r="H75" s="45"/>
      <c r="I75" s="45"/>
      <c r="J75" s="45"/>
      <c r="K75" s="45"/>
      <c r="L75" s="45"/>
      <c r="M75" s="112"/>
      <c r="N75" s="112"/>
      <c r="O75" s="112"/>
      <c r="P75" s="112"/>
      <c r="Q75" s="112"/>
      <c r="R75" s="112"/>
      <c r="S75" s="112"/>
      <c r="T75" s="112"/>
      <c r="U75" s="112"/>
      <c r="V75" s="112"/>
      <c r="W75" s="112"/>
      <c r="X75" s="112"/>
      <c r="Y75" s="15"/>
      <c r="AA75" s="15"/>
      <c r="AB75" s="15"/>
      <c r="AN75" s="22"/>
      <c r="AO75" s="22"/>
    </row>
    <row r="76" spans="3:41" x14ac:dyDescent="0.2">
      <c r="C76" s="45"/>
      <c r="D76" s="45"/>
      <c r="E76" s="45"/>
      <c r="F76" s="45"/>
      <c r="G76" s="45"/>
      <c r="H76" s="45"/>
      <c r="I76" s="45"/>
      <c r="J76" s="45"/>
      <c r="K76" s="45"/>
      <c r="L76" s="45"/>
      <c r="M76" s="112"/>
      <c r="N76" s="112"/>
      <c r="O76" s="112"/>
      <c r="P76" s="112"/>
      <c r="Q76" s="112"/>
      <c r="R76" s="112"/>
      <c r="S76" s="112"/>
      <c r="T76" s="112"/>
      <c r="U76" s="112"/>
      <c r="V76" s="112"/>
      <c r="W76" s="112"/>
      <c r="X76" s="112"/>
      <c r="Y76" s="15"/>
      <c r="AA76" s="15"/>
      <c r="AB76" s="15"/>
      <c r="AN76" s="22"/>
      <c r="AO76" s="22"/>
    </row>
    <row r="77" spans="3:41" x14ac:dyDescent="0.2">
      <c r="C77" s="45"/>
      <c r="D77" s="45"/>
      <c r="E77" s="45"/>
      <c r="F77" s="45"/>
      <c r="G77" s="45"/>
      <c r="H77" s="45"/>
      <c r="I77" s="45"/>
      <c r="J77" s="45"/>
      <c r="K77" s="45"/>
      <c r="L77" s="45"/>
      <c r="M77" s="112"/>
      <c r="N77" s="112"/>
      <c r="O77" s="112"/>
      <c r="P77" s="112"/>
      <c r="Q77" s="112"/>
      <c r="R77" s="112"/>
      <c r="S77" s="112"/>
      <c r="T77" s="112"/>
      <c r="U77" s="112"/>
      <c r="V77" s="112"/>
      <c r="W77" s="112"/>
      <c r="X77" s="112"/>
      <c r="Y77" s="15"/>
      <c r="AA77" s="15"/>
      <c r="AB77" s="15"/>
      <c r="AN77" s="22"/>
      <c r="AO77" s="22"/>
    </row>
    <row r="78" spans="3:41" x14ac:dyDescent="0.2">
      <c r="C78" s="45"/>
      <c r="D78" s="45"/>
      <c r="E78" s="45"/>
      <c r="F78" s="45"/>
      <c r="G78" s="45"/>
      <c r="H78" s="45"/>
      <c r="I78" s="45"/>
      <c r="J78" s="45"/>
      <c r="K78" s="45"/>
      <c r="L78" s="45"/>
      <c r="M78" s="112"/>
      <c r="N78" s="112"/>
      <c r="O78" s="112"/>
      <c r="P78" s="112"/>
      <c r="Q78" s="112"/>
      <c r="R78" s="112"/>
      <c r="S78" s="112"/>
      <c r="T78" s="112"/>
      <c r="U78" s="112"/>
      <c r="V78" s="112"/>
      <c r="W78" s="112"/>
      <c r="X78" s="112"/>
      <c r="Y78" s="15"/>
      <c r="AA78" s="15"/>
      <c r="AB78" s="15"/>
      <c r="AN78" s="22"/>
      <c r="AO78" s="22"/>
    </row>
    <row r="79" spans="3:41" x14ac:dyDescent="0.2">
      <c r="C79" s="45"/>
      <c r="D79" s="45"/>
      <c r="E79" s="45"/>
      <c r="F79" s="45"/>
      <c r="G79" s="45"/>
      <c r="H79" s="45"/>
      <c r="I79" s="45"/>
      <c r="J79" s="45"/>
      <c r="K79" s="45"/>
      <c r="L79" s="45"/>
      <c r="M79" s="112"/>
      <c r="N79" s="112"/>
      <c r="O79" s="112"/>
      <c r="P79" s="112"/>
      <c r="Q79" s="112"/>
      <c r="R79" s="112"/>
      <c r="S79" s="112"/>
      <c r="T79" s="112"/>
      <c r="U79" s="112"/>
      <c r="V79" s="112"/>
      <c r="W79" s="112"/>
      <c r="X79" s="112"/>
      <c r="Y79" s="15"/>
      <c r="AA79" s="15"/>
      <c r="AB79" s="15"/>
      <c r="AN79" s="22"/>
      <c r="AO79" s="22"/>
    </row>
    <row r="80" spans="3:41" x14ac:dyDescent="0.2">
      <c r="C80" s="45"/>
      <c r="D80" s="45"/>
      <c r="E80" s="45"/>
      <c r="F80" s="45"/>
      <c r="G80" s="45"/>
      <c r="H80" s="45"/>
      <c r="I80" s="45"/>
      <c r="J80" s="45"/>
      <c r="K80" s="45"/>
      <c r="L80" s="45"/>
      <c r="M80" s="112"/>
      <c r="N80" s="112"/>
      <c r="O80" s="112"/>
      <c r="P80" s="112"/>
      <c r="Q80" s="112"/>
      <c r="R80" s="112"/>
      <c r="S80" s="112"/>
      <c r="T80" s="112"/>
      <c r="U80" s="112"/>
      <c r="V80" s="112"/>
      <c r="W80" s="112"/>
      <c r="X80" s="112"/>
      <c r="Y80" s="15"/>
      <c r="AA80" s="15"/>
      <c r="AB80" s="15"/>
      <c r="AN80" s="22"/>
      <c r="AO80" s="22"/>
    </row>
    <row r="81" spans="3:41" x14ac:dyDescent="0.2">
      <c r="C81" s="45"/>
      <c r="D81" s="45"/>
      <c r="E81" s="45"/>
      <c r="F81" s="45"/>
      <c r="G81" s="45"/>
      <c r="H81" s="45"/>
      <c r="I81" s="45"/>
      <c r="J81" s="45"/>
      <c r="K81" s="45"/>
      <c r="L81" s="45"/>
      <c r="M81" s="112"/>
      <c r="N81" s="112"/>
      <c r="O81" s="112"/>
      <c r="P81" s="112"/>
      <c r="Q81" s="112"/>
      <c r="R81" s="112"/>
      <c r="S81" s="112"/>
      <c r="T81" s="112"/>
      <c r="U81" s="112"/>
      <c r="V81" s="112"/>
      <c r="W81" s="112"/>
      <c r="X81" s="112"/>
      <c r="Y81" s="15"/>
      <c r="AA81" s="15"/>
      <c r="AB81" s="15"/>
      <c r="AN81" s="22"/>
      <c r="AO81" s="22"/>
    </row>
    <row r="82" spans="3:41" x14ac:dyDescent="0.2">
      <c r="C82" s="45"/>
      <c r="D82" s="45"/>
      <c r="E82" s="45"/>
      <c r="F82" s="45"/>
      <c r="G82" s="45"/>
      <c r="H82" s="45"/>
      <c r="I82" s="45"/>
      <c r="J82" s="45"/>
      <c r="K82" s="45"/>
      <c r="L82" s="45"/>
      <c r="M82" s="112"/>
      <c r="N82" s="112"/>
      <c r="O82" s="112"/>
      <c r="P82" s="112"/>
      <c r="Q82" s="112"/>
      <c r="R82" s="112"/>
      <c r="S82" s="112"/>
      <c r="T82" s="112"/>
      <c r="U82" s="112"/>
      <c r="V82" s="112"/>
      <c r="W82" s="112"/>
      <c r="X82" s="112"/>
      <c r="Y82" s="15"/>
      <c r="AA82" s="15"/>
      <c r="AB82" s="15"/>
      <c r="AN82" s="22"/>
      <c r="AO82" s="22"/>
    </row>
    <row r="83" spans="3:41" x14ac:dyDescent="0.2">
      <c r="C83" s="45"/>
      <c r="D83" s="45"/>
      <c r="E83" s="45"/>
      <c r="F83" s="45"/>
      <c r="G83" s="45"/>
      <c r="H83" s="45"/>
      <c r="I83" s="45"/>
      <c r="J83" s="45"/>
      <c r="K83" s="45"/>
      <c r="L83" s="45"/>
      <c r="M83" s="112"/>
      <c r="N83" s="112"/>
      <c r="O83" s="112"/>
      <c r="P83" s="112"/>
      <c r="Q83" s="112"/>
      <c r="R83" s="112"/>
      <c r="S83" s="112"/>
      <c r="T83" s="112"/>
      <c r="U83" s="112"/>
      <c r="V83" s="112"/>
      <c r="W83" s="112"/>
      <c r="X83" s="112"/>
      <c r="Y83" s="15"/>
      <c r="AA83" s="15"/>
      <c r="AB83" s="15"/>
      <c r="AN83" s="22"/>
      <c r="AO83" s="22"/>
    </row>
    <row r="84" spans="3:41" x14ac:dyDescent="0.2">
      <c r="C84" s="45"/>
      <c r="D84" s="45"/>
      <c r="E84" s="45"/>
      <c r="F84" s="45"/>
      <c r="G84" s="45"/>
      <c r="H84" s="45"/>
      <c r="I84" s="45"/>
      <c r="J84" s="45"/>
      <c r="K84" s="45"/>
      <c r="L84" s="45"/>
      <c r="M84" s="112"/>
      <c r="N84" s="112"/>
      <c r="O84" s="112"/>
      <c r="P84" s="112"/>
      <c r="Q84" s="112"/>
      <c r="R84" s="112"/>
      <c r="S84" s="112"/>
      <c r="T84" s="112"/>
      <c r="U84" s="112"/>
      <c r="V84" s="112"/>
      <c r="W84" s="112"/>
      <c r="X84" s="112"/>
      <c r="Y84" s="15"/>
      <c r="AA84" s="15"/>
      <c r="AB84" s="15"/>
      <c r="AN84" s="22"/>
      <c r="AO84" s="22"/>
    </row>
    <row r="85" spans="3:41" x14ac:dyDescent="0.2">
      <c r="C85" s="45"/>
      <c r="D85" s="45"/>
      <c r="E85" s="45"/>
      <c r="F85" s="45"/>
      <c r="G85" s="45"/>
      <c r="H85" s="45"/>
      <c r="I85" s="45"/>
      <c r="J85" s="45"/>
      <c r="K85" s="45"/>
      <c r="L85" s="45"/>
      <c r="M85" s="112"/>
      <c r="N85" s="112"/>
      <c r="O85" s="112"/>
      <c r="P85" s="112"/>
      <c r="Q85" s="112"/>
      <c r="R85" s="112"/>
      <c r="S85" s="112"/>
      <c r="T85" s="112"/>
      <c r="U85" s="112"/>
      <c r="V85" s="112"/>
      <c r="W85" s="112"/>
      <c r="X85" s="112"/>
      <c r="Y85" s="15"/>
      <c r="AA85" s="15"/>
      <c r="AB85" s="15"/>
      <c r="AN85" s="22"/>
      <c r="AO85" s="22"/>
    </row>
    <row r="86" spans="3:41" x14ac:dyDescent="0.2">
      <c r="C86" s="45"/>
      <c r="D86" s="45"/>
      <c r="E86" s="45"/>
      <c r="F86" s="45"/>
      <c r="G86" s="45"/>
      <c r="H86" s="45"/>
      <c r="I86" s="45"/>
      <c r="J86" s="45"/>
      <c r="K86" s="45"/>
      <c r="L86" s="45"/>
      <c r="M86" s="112"/>
      <c r="N86" s="112"/>
      <c r="O86" s="112"/>
      <c r="P86" s="112"/>
      <c r="Q86" s="112"/>
      <c r="R86" s="112"/>
      <c r="S86" s="112"/>
      <c r="T86" s="112"/>
      <c r="U86" s="112"/>
      <c r="V86" s="112"/>
      <c r="W86" s="112"/>
      <c r="X86" s="112"/>
      <c r="Y86" s="15"/>
      <c r="AA86" s="15"/>
      <c r="AB86" s="15"/>
      <c r="AN86" s="22"/>
      <c r="AO86" s="22"/>
    </row>
    <row r="87" spans="3:41" x14ac:dyDescent="0.2">
      <c r="C87" s="45"/>
      <c r="D87" s="45"/>
      <c r="E87" s="45"/>
      <c r="F87" s="45"/>
      <c r="G87" s="45"/>
      <c r="H87" s="45"/>
      <c r="I87" s="45"/>
      <c r="J87" s="45"/>
      <c r="K87" s="45"/>
      <c r="L87" s="45"/>
      <c r="M87" s="112"/>
      <c r="N87" s="112"/>
      <c r="O87" s="112"/>
      <c r="P87" s="112"/>
      <c r="Q87" s="112"/>
      <c r="R87" s="112"/>
      <c r="S87" s="112"/>
      <c r="T87" s="112"/>
      <c r="U87" s="112"/>
      <c r="V87" s="112"/>
      <c r="W87" s="112"/>
      <c r="X87" s="112"/>
      <c r="Y87" s="15"/>
      <c r="AA87" s="15"/>
      <c r="AB87" s="15"/>
      <c r="AN87" s="22"/>
      <c r="AO87" s="22"/>
    </row>
    <row r="88" spans="3:41" x14ac:dyDescent="0.2">
      <c r="C88" s="45"/>
      <c r="D88" s="45"/>
      <c r="E88" s="45"/>
      <c r="F88" s="45"/>
      <c r="G88" s="45"/>
      <c r="H88" s="45"/>
      <c r="I88" s="45"/>
      <c r="J88" s="45"/>
      <c r="K88" s="45"/>
      <c r="L88" s="45"/>
      <c r="M88" s="112"/>
      <c r="N88" s="112"/>
      <c r="O88" s="112"/>
      <c r="P88" s="112"/>
      <c r="Q88" s="112"/>
      <c r="R88" s="112"/>
      <c r="S88" s="112"/>
      <c r="T88" s="112"/>
      <c r="U88" s="112"/>
      <c r="V88" s="112"/>
      <c r="W88" s="112"/>
      <c r="X88" s="112"/>
      <c r="Y88" s="15"/>
      <c r="AA88" s="15"/>
      <c r="AB88" s="15"/>
      <c r="AN88" s="22"/>
      <c r="AO88" s="22"/>
    </row>
    <row r="89" spans="3:41" x14ac:dyDescent="0.2">
      <c r="C89" s="45"/>
      <c r="D89" s="45"/>
      <c r="E89" s="45"/>
      <c r="F89" s="45"/>
      <c r="G89" s="45"/>
      <c r="H89" s="45"/>
      <c r="I89" s="45"/>
      <c r="J89" s="45"/>
      <c r="K89" s="45"/>
      <c r="L89" s="45"/>
      <c r="M89" s="112"/>
      <c r="N89" s="112"/>
      <c r="O89" s="112"/>
      <c r="P89" s="112"/>
      <c r="Q89" s="112"/>
      <c r="R89" s="112"/>
      <c r="S89" s="112"/>
      <c r="T89" s="112"/>
      <c r="U89" s="112"/>
      <c r="V89" s="112"/>
      <c r="W89" s="112"/>
      <c r="X89" s="112"/>
      <c r="Y89" s="15"/>
      <c r="AA89" s="15"/>
      <c r="AB89" s="15"/>
      <c r="AN89" s="22"/>
      <c r="AO89" s="22"/>
    </row>
    <row r="90" spans="3:41" x14ac:dyDescent="0.2">
      <c r="C90" s="45"/>
      <c r="D90" s="45"/>
      <c r="E90" s="45"/>
      <c r="F90" s="45"/>
      <c r="G90" s="45"/>
      <c r="H90" s="45"/>
      <c r="I90" s="45"/>
      <c r="J90" s="45"/>
      <c r="K90" s="45"/>
      <c r="L90" s="45"/>
      <c r="M90" s="112"/>
      <c r="N90" s="112"/>
      <c r="O90" s="112"/>
      <c r="P90" s="112"/>
      <c r="Q90" s="112"/>
      <c r="R90" s="112"/>
      <c r="S90" s="112"/>
      <c r="T90" s="112"/>
      <c r="U90" s="112"/>
      <c r="V90" s="112"/>
      <c r="W90" s="112"/>
      <c r="X90" s="112"/>
      <c r="Y90" s="15"/>
      <c r="AA90" s="15"/>
      <c r="AB90" s="15"/>
      <c r="AN90" s="22"/>
      <c r="AO90" s="22"/>
    </row>
    <row r="91" spans="3:41" x14ac:dyDescent="0.2">
      <c r="C91" s="45"/>
      <c r="D91" s="45"/>
      <c r="E91" s="45"/>
      <c r="F91" s="45"/>
      <c r="G91" s="45"/>
      <c r="H91" s="45"/>
      <c r="I91" s="45"/>
      <c r="J91" s="45"/>
      <c r="K91" s="45"/>
      <c r="L91" s="45"/>
      <c r="M91" s="112"/>
      <c r="N91" s="112"/>
      <c r="O91" s="112"/>
      <c r="P91" s="112"/>
      <c r="Q91" s="112"/>
      <c r="R91" s="112"/>
      <c r="S91" s="112"/>
      <c r="T91" s="112"/>
      <c r="U91" s="112"/>
      <c r="V91" s="112"/>
      <c r="W91" s="112"/>
      <c r="X91" s="112"/>
      <c r="Y91" s="15"/>
      <c r="AA91" s="15"/>
      <c r="AB91" s="15"/>
      <c r="AN91" s="22"/>
      <c r="AO91" s="22"/>
    </row>
    <row r="92" spans="3:41" x14ac:dyDescent="0.2">
      <c r="C92" s="45"/>
      <c r="D92" s="45"/>
      <c r="E92" s="45"/>
      <c r="F92" s="45"/>
      <c r="G92" s="45"/>
      <c r="H92" s="45"/>
      <c r="I92" s="45"/>
      <c r="J92" s="45"/>
      <c r="K92" s="45"/>
      <c r="L92" s="45"/>
      <c r="M92" s="112"/>
      <c r="N92" s="112"/>
      <c r="O92" s="112"/>
      <c r="P92" s="112"/>
      <c r="Q92" s="112"/>
      <c r="R92" s="112"/>
      <c r="S92" s="112"/>
      <c r="T92" s="112"/>
      <c r="U92" s="112"/>
      <c r="V92" s="112"/>
      <c r="W92" s="112"/>
      <c r="X92" s="112"/>
      <c r="Y92" s="15"/>
      <c r="AA92" s="15"/>
      <c r="AB92" s="15"/>
      <c r="AN92" s="22"/>
      <c r="AO92" s="22"/>
    </row>
    <row r="93" spans="3:41" x14ac:dyDescent="0.2">
      <c r="C93" s="45"/>
      <c r="D93" s="45"/>
      <c r="E93" s="45"/>
      <c r="F93" s="45"/>
      <c r="G93" s="45"/>
      <c r="H93" s="45"/>
      <c r="I93" s="45"/>
      <c r="J93" s="45"/>
      <c r="K93" s="45"/>
      <c r="L93" s="45"/>
      <c r="M93" s="112"/>
      <c r="N93" s="112"/>
      <c r="O93" s="112"/>
      <c r="P93" s="112"/>
      <c r="Q93" s="112"/>
      <c r="R93" s="112"/>
      <c r="S93" s="112"/>
      <c r="T93" s="112"/>
      <c r="U93" s="112"/>
      <c r="V93" s="112"/>
      <c r="W93" s="112"/>
      <c r="X93" s="112"/>
      <c r="Y93" s="15"/>
      <c r="AA93" s="15"/>
      <c r="AB93" s="15"/>
      <c r="AN93" s="22"/>
      <c r="AO93" s="22"/>
    </row>
    <row r="94" spans="3:41" x14ac:dyDescent="0.2">
      <c r="C94" s="45"/>
      <c r="D94" s="45"/>
      <c r="E94" s="45"/>
      <c r="F94" s="45"/>
      <c r="G94" s="45"/>
      <c r="H94" s="45"/>
      <c r="I94" s="45"/>
      <c r="J94" s="45"/>
      <c r="K94" s="45"/>
      <c r="L94" s="45"/>
      <c r="M94" s="112"/>
      <c r="N94" s="112"/>
      <c r="O94" s="112"/>
      <c r="P94" s="112"/>
      <c r="Q94" s="112"/>
      <c r="R94" s="112"/>
      <c r="S94" s="112"/>
      <c r="T94" s="112"/>
      <c r="U94" s="112"/>
      <c r="V94" s="112"/>
      <c r="W94" s="112"/>
      <c r="X94" s="112"/>
      <c r="Y94" s="15"/>
      <c r="AA94" s="15"/>
      <c r="AB94" s="15"/>
      <c r="AN94" s="22"/>
      <c r="AO94" s="22"/>
    </row>
    <row r="95" spans="3:41" x14ac:dyDescent="0.2">
      <c r="C95" s="45"/>
      <c r="D95" s="45"/>
      <c r="E95" s="45"/>
      <c r="F95" s="45"/>
      <c r="G95" s="45"/>
      <c r="H95" s="45"/>
      <c r="I95" s="45"/>
      <c r="J95" s="45"/>
      <c r="K95" s="45"/>
      <c r="L95" s="45"/>
      <c r="M95" s="112"/>
      <c r="N95" s="112"/>
      <c r="O95" s="112"/>
      <c r="P95" s="112"/>
      <c r="Q95" s="112"/>
      <c r="R95" s="112"/>
      <c r="S95" s="112"/>
      <c r="T95" s="112"/>
      <c r="U95" s="112"/>
      <c r="V95" s="112"/>
      <c r="W95" s="112"/>
      <c r="X95" s="112"/>
      <c r="Y95" s="15"/>
      <c r="AA95" s="15"/>
      <c r="AB95" s="15"/>
      <c r="AN95" s="22"/>
      <c r="AO95" s="22"/>
    </row>
    <row r="96" spans="3:41" x14ac:dyDescent="0.2">
      <c r="C96" s="45"/>
      <c r="D96" s="45"/>
      <c r="E96" s="45"/>
      <c r="F96" s="45"/>
      <c r="G96" s="45"/>
      <c r="H96" s="45"/>
      <c r="I96" s="45"/>
      <c r="J96" s="45"/>
      <c r="K96" s="45"/>
      <c r="L96" s="45"/>
      <c r="M96" s="112"/>
      <c r="N96" s="112"/>
      <c r="O96" s="112"/>
      <c r="P96" s="112"/>
      <c r="Q96" s="112"/>
      <c r="R96" s="112"/>
      <c r="S96" s="112"/>
      <c r="T96" s="112"/>
      <c r="U96" s="112"/>
      <c r="V96" s="112"/>
      <c r="W96" s="112"/>
      <c r="X96" s="112"/>
      <c r="Y96" s="15"/>
      <c r="AA96" s="15"/>
      <c r="AB96" s="15"/>
      <c r="AN96" s="22"/>
      <c r="AO96" s="22"/>
    </row>
    <row r="97" spans="3:41" x14ac:dyDescent="0.2">
      <c r="C97" s="45"/>
      <c r="D97" s="45"/>
      <c r="E97" s="45"/>
      <c r="F97" s="45"/>
      <c r="G97" s="45"/>
      <c r="H97" s="45"/>
      <c r="I97" s="45"/>
      <c r="J97" s="45"/>
      <c r="K97" s="45"/>
      <c r="L97" s="45"/>
      <c r="M97" s="112"/>
      <c r="N97" s="112"/>
      <c r="O97" s="112"/>
      <c r="P97" s="112"/>
      <c r="Q97" s="112"/>
      <c r="R97" s="112"/>
      <c r="S97" s="112"/>
      <c r="T97" s="112"/>
      <c r="U97" s="112"/>
      <c r="V97" s="112"/>
      <c r="W97" s="112"/>
      <c r="X97" s="112"/>
      <c r="Y97" s="15"/>
      <c r="AA97" s="15"/>
      <c r="AB97" s="15"/>
      <c r="AN97" s="22"/>
      <c r="AO97" s="22"/>
    </row>
    <row r="98" spans="3:41" x14ac:dyDescent="0.2">
      <c r="C98" s="45"/>
      <c r="D98" s="45"/>
      <c r="E98" s="45"/>
      <c r="F98" s="45"/>
      <c r="G98" s="45"/>
      <c r="H98" s="45"/>
      <c r="I98" s="45"/>
      <c r="J98" s="45"/>
      <c r="K98" s="45"/>
      <c r="L98" s="45"/>
      <c r="M98" s="112"/>
      <c r="N98" s="112"/>
      <c r="O98" s="112"/>
      <c r="P98" s="112"/>
      <c r="Q98" s="112"/>
      <c r="R98" s="112"/>
      <c r="S98" s="112"/>
      <c r="T98" s="112"/>
      <c r="U98" s="112"/>
      <c r="V98" s="112"/>
      <c r="W98" s="112"/>
      <c r="X98" s="112"/>
      <c r="Y98" s="15"/>
      <c r="AA98" s="15"/>
      <c r="AB98" s="15"/>
      <c r="AN98" s="22"/>
      <c r="AO98" s="22"/>
    </row>
    <row r="99" spans="3:41" x14ac:dyDescent="0.2">
      <c r="C99" s="45"/>
      <c r="D99" s="45"/>
      <c r="E99" s="45"/>
      <c r="F99" s="45"/>
      <c r="G99" s="45"/>
      <c r="H99" s="45"/>
      <c r="I99" s="45"/>
      <c r="J99" s="45"/>
      <c r="K99" s="45"/>
      <c r="L99" s="45"/>
      <c r="M99" s="112"/>
      <c r="N99" s="112"/>
      <c r="O99" s="112"/>
      <c r="P99" s="112"/>
      <c r="Q99" s="112"/>
      <c r="R99" s="112"/>
      <c r="S99" s="112"/>
      <c r="T99" s="112"/>
      <c r="U99" s="112"/>
      <c r="V99" s="112"/>
      <c r="W99" s="112"/>
      <c r="X99" s="112"/>
      <c r="Y99" s="15"/>
      <c r="AA99" s="15"/>
      <c r="AB99" s="15"/>
      <c r="AN99" s="22"/>
      <c r="AO99" s="22"/>
    </row>
    <row r="100" spans="3:41" x14ac:dyDescent="0.2">
      <c r="C100" s="45"/>
      <c r="D100" s="45"/>
      <c r="E100" s="45"/>
      <c r="F100" s="45"/>
      <c r="G100" s="45"/>
      <c r="H100" s="45"/>
      <c r="I100" s="45"/>
      <c r="J100" s="45"/>
      <c r="K100" s="45"/>
      <c r="L100" s="45"/>
      <c r="M100" s="112"/>
      <c r="N100" s="112"/>
      <c r="O100" s="112"/>
      <c r="P100" s="112"/>
      <c r="Q100" s="112"/>
      <c r="R100" s="112"/>
      <c r="S100" s="112"/>
      <c r="T100" s="112"/>
      <c r="U100" s="112"/>
      <c r="V100" s="112"/>
      <c r="W100" s="112"/>
      <c r="X100" s="112"/>
      <c r="Y100" s="15"/>
      <c r="AA100" s="15"/>
      <c r="AB100" s="15"/>
      <c r="AN100" s="22"/>
      <c r="AO100" s="22"/>
    </row>
    <row r="101" spans="3:41" x14ac:dyDescent="0.2">
      <c r="C101" s="45"/>
      <c r="D101" s="45"/>
      <c r="E101" s="45"/>
      <c r="F101" s="45"/>
      <c r="G101" s="45"/>
      <c r="H101" s="45"/>
      <c r="I101" s="45"/>
      <c r="J101" s="45"/>
      <c r="K101" s="45"/>
      <c r="L101" s="45"/>
      <c r="M101" s="112"/>
      <c r="N101" s="112"/>
      <c r="O101" s="112"/>
      <c r="P101" s="112"/>
      <c r="Q101" s="112"/>
      <c r="R101" s="112"/>
      <c r="S101" s="112"/>
      <c r="T101" s="112"/>
      <c r="U101" s="112"/>
      <c r="V101" s="112"/>
      <c r="W101" s="112"/>
      <c r="X101" s="112"/>
      <c r="Y101" s="15"/>
      <c r="AA101" s="15"/>
      <c r="AB101" s="15"/>
      <c r="AN101" s="22"/>
      <c r="AO101" s="22"/>
    </row>
    <row r="102" spans="3:41" x14ac:dyDescent="0.2">
      <c r="C102" s="45"/>
      <c r="D102" s="45"/>
      <c r="E102" s="45"/>
      <c r="F102" s="45"/>
      <c r="G102" s="45"/>
      <c r="H102" s="45"/>
      <c r="I102" s="45"/>
      <c r="J102" s="45"/>
      <c r="K102" s="45"/>
      <c r="L102" s="45"/>
      <c r="M102" s="112"/>
      <c r="N102" s="112"/>
      <c r="O102" s="112"/>
      <c r="P102" s="112"/>
      <c r="Q102" s="112"/>
      <c r="R102" s="112"/>
      <c r="S102" s="112"/>
      <c r="T102" s="112"/>
      <c r="U102" s="112"/>
      <c r="V102" s="112"/>
      <c r="W102" s="112"/>
      <c r="X102" s="112"/>
      <c r="Y102" s="15"/>
      <c r="AA102" s="15"/>
      <c r="AB102" s="15"/>
      <c r="AN102" s="22"/>
      <c r="AO102" s="22"/>
    </row>
    <row r="103" spans="3:41" x14ac:dyDescent="0.2">
      <c r="C103" s="45"/>
      <c r="D103" s="45"/>
      <c r="E103" s="45"/>
      <c r="F103" s="45"/>
      <c r="G103" s="45"/>
      <c r="H103" s="45"/>
      <c r="I103" s="45"/>
      <c r="J103" s="45"/>
      <c r="K103" s="45"/>
      <c r="L103" s="45"/>
      <c r="M103" s="112"/>
      <c r="N103" s="112"/>
      <c r="O103" s="112"/>
      <c r="P103" s="112"/>
      <c r="Q103" s="112"/>
      <c r="R103" s="112"/>
      <c r="S103" s="112"/>
      <c r="T103" s="112"/>
      <c r="U103" s="112"/>
      <c r="V103" s="112"/>
      <c r="W103" s="112"/>
      <c r="X103" s="112"/>
      <c r="Y103" s="15"/>
      <c r="AA103" s="15"/>
      <c r="AB103" s="15"/>
      <c r="AN103" s="22"/>
      <c r="AO103" s="22"/>
    </row>
    <row r="104" spans="3:41" x14ac:dyDescent="0.2">
      <c r="C104" s="45"/>
      <c r="D104" s="45"/>
      <c r="E104" s="45"/>
      <c r="F104" s="45"/>
      <c r="G104" s="45"/>
      <c r="H104" s="45"/>
      <c r="I104" s="45"/>
      <c r="J104" s="45"/>
      <c r="K104" s="45"/>
      <c r="L104" s="45"/>
      <c r="M104" s="112"/>
      <c r="N104" s="112"/>
      <c r="O104" s="112"/>
      <c r="P104" s="112"/>
      <c r="Q104" s="112"/>
      <c r="R104" s="112"/>
      <c r="S104" s="112"/>
      <c r="T104" s="112"/>
      <c r="U104" s="112"/>
      <c r="V104" s="112"/>
      <c r="W104" s="112"/>
      <c r="X104" s="112"/>
      <c r="Y104" s="15"/>
      <c r="AA104" s="15"/>
      <c r="AB104" s="15"/>
    </row>
    <row r="105" spans="3:41" x14ac:dyDescent="0.2">
      <c r="C105" s="45"/>
      <c r="D105" s="45"/>
      <c r="E105" s="45"/>
      <c r="F105" s="45"/>
      <c r="G105" s="45"/>
      <c r="H105" s="45"/>
      <c r="I105" s="45"/>
      <c r="J105" s="45"/>
      <c r="K105" s="45"/>
      <c r="L105" s="45"/>
      <c r="M105" s="112"/>
      <c r="N105" s="112"/>
      <c r="O105" s="112"/>
      <c r="P105" s="112"/>
      <c r="Q105" s="112"/>
      <c r="R105" s="112"/>
      <c r="S105" s="112"/>
      <c r="T105" s="112"/>
      <c r="U105" s="112"/>
      <c r="V105" s="112"/>
      <c r="W105" s="112"/>
      <c r="X105" s="112"/>
      <c r="Y105" s="15"/>
      <c r="AA105" s="15"/>
      <c r="AB105" s="15"/>
    </row>
    <row r="106" spans="3:41" x14ac:dyDescent="0.2">
      <c r="C106" s="45"/>
      <c r="D106" s="45"/>
      <c r="E106" s="45"/>
      <c r="F106" s="45"/>
      <c r="G106" s="45"/>
      <c r="H106" s="45"/>
      <c r="I106" s="45"/>
      <c r="J106" s="45"/>
      <c r="K106" s="45"/>
      <c r="L106" s="45"/>
      <c r="M106" s="112"/>
      <c r="N106" s="112"/>
      <c r="O106" s="112"/>
      <c r="P106" s="112"/>
      <c r="Q106" s="112"/>
      <c r="R106" s="112"/>
      <c r="S106" s="112"/>
      <c r="T106" s="112"/>
      <c r="U106" s="112"/>
      <c r="V106" s="112"/>
      <c r="W106" s="112"/>
      <c r="X106" s="112"/>
      <c r="Y106" s="15"/>
      <c r="AA106" s="15"/>
      <c r="AB106" s="15"/>
    </row>
    <row r="107" spans="3:41" x14ac:dyDescent="0.2">
      <c r="C107" s="45"/>
      <c r="D107" s="45"/>
      <c r="E107" s="45"/>
      <c r="F107" s="45"/>
      <c r="G107" s="45"/>
      <c r="H107" s="45"/>
      <c r="I107" s="45"/>
      <c r="J107" s="45"/>
      <c r="K107" s="45"/>
      <c r="L107" s="45"/>
      <c r="M107" s="112"/>
      <c r="N107" s="112"/>
      <c r="O107" s="112"/>
      <c r="P107" s="112"/>
      <c r="Q107" s="112"/>
      <c r="R107" s="112"/>
      <c r="S107" s="112"/>
      <c r="T107" s="112"/>
      <c r="U107" s="112"/>
      <c r="V107" s="112"/>
      <c r="W107" s="112"/>
      <c r="X107" s="112"/>
      <c r="Y107" s="15"/>
      <c r="AA107" s="15"/>
      <c r="AB107" s="15"/>
    </row>
    <row r="108" spans="3:41" x14ac:dyDescent="0.2">
      <c r="C108" s="45"/>
      <c r="D108" s="45"/>
      <c r="E108" s="45"/>
      <c r="F108" s="45"/>
      <c r="G108" s="45"/>
      <c r="H108" s="45"/>
      <c r="I108" s="45"/>
      <c r="J108" s="45"/>
      <c r="K108" s="45"/>
      <c r="L108" s="45"/>
      <c r="M108" s="112"/>
      <c r="N108" s="112"/>
      <c r="O108" s="112"/>
      <c r="P108" s="112"/>
      <c r="Q108" s="112"/>
      <c r="R108" s="112"/>
      <c r="S108" s="112"/>
      <c r="T108" s="112"/>
      <c r="U108" s="112"/>
      <c r="V108" s="112"/>
      <c r="W108" s="112"/>
      <c r="X108" s="112"/>
      <c r="Y108" s="15"/>
      <c r="AA108" s="15"/>
      <c r="AB108" s="15"/>
    </row>
    <row r="109" spans="3:41" x14ac:dyDescent="0.2">
      <c r="C109" s="45"/>
      <c r="D109" s="45"/>
      <c r="E109" s="45"/>
      <c r="F109" s="45"/>
      <c r="G109" s="45"/>
      <c r="H109" s="45"/>
      <c r="I109" s="45"/>
      <c r="J109" s="45"/>
      <c r="K109" s="45"/>
      <c r="L109" s="45"/>
      <c r="M109" s="112"/>
      <c r="N109" s="112"/>
      <c r="O109" s="112"/>
      <c r="P109" s="112"/>
      <c r="Q109" s="112"/>
      <c r="R109" s="112"/>
      <c r="S109" s="112"/>
      <c r="T109" s="112"/>
      <c r="U109" s="112"/>
      <c r="V109" s="112"/>
      <c r="W109" s="112"/>
      <c r="X109" s="112"/>
      <c r="Y109" s="15"/>
      <c r="AA109" s="15"/>
      <c r="AB109" s="15"/>
    </row>
    <row r="110" spans="3:41" x14ac:dyDescent="0.2">
      <c r="C110" s="45"/>
      <c r="D110" s="45"/>
      <c r="E110" s="45"/>
      <c r="F110" s="45"/>
      <c r="G110" s="45"/>
      <c r="H110" s="45"/>
      <c r="I110" s="45"/>
      <c r="J110" s="45"/>
      <c r="K110" s="45"/>
      <c r="L110" s="45"/>
      <c r="M110" s="112"/>
      <c r="N110" s="112"/>
      <c r="O110" s="112"/>
      <c r="P110" s="112"/>
      <c r="Q110" s="112"/>
      <c r="R110" s="112"/>
      <c r="S110" s="112"/>
      <c r="T110" s="112"/>
      <c r="U110" s="112"/>
      <c r="V110" s="112"/>
      <c r="W110" s="112"/>
      <c r="X110" s="112"/>
      <c r="Y110" s="15"/>
      <c r="AA110" s="15"/>
      <c r="AB110" s="15"/>
    </row>
    <row r="111" spans="3:41" x14ac:dyDescent="0.2">
      <c r="C111" s="45"/>
      <c r="D111" s="45"/>
      <c r="E111" s="45"/>
      <c r="F111" s="45"/>
      <c r="G111" s="45"/>
      <c r="H111" s="45"/>
      <c r="I111" s="45"/>
      <c r="J111" s="45"/>
      <c r="K111" s="45"/>
      <c r="L111" s="45"/>
      <c r="M111" s="112"/>
      <c r="N111" s="112"/>
      <c r="O111" s="112"/>
      <c r="P111" s="112"/>
      <c r="Q111" s="112"/>
      <c r="R111" s="112"/>
      <c r="S111" s="112"/>
      <c r="T111" s="112"/>
      <c r="U111" s="112"/>
      <c r="V111" s="112"/>
      <c r="W111" s="112"/>
      <c r="X111" s="112"/>
      <c r="Y111" s="15"/>
      <c r="AA111" s="15"/>
      <c r="AB111" s="15"/>
    </row>
    <row r="112" spans="3:41" x14ac:dyDescent="0.2">
      <c r="C112" s="45"/>
      <c r="D112" s="45"/>
      <c r="E112" s="45"/>
      <c r="F112" s="45"/>
      <c r="G112" s="45"/>
      <c r="H112" s="45"/>
      <c r="I112" s="45"/>
      <c r="J112" s="45"/>
      <c r="K112" s="45"/>
      <c r="L112" s="45"/>
      <c r="M112" s="112"/>
      <c r="N112" s="112"/>
      <c r="O112" s="112"/>
      <c r="P112" s="112"/>
      <c r="Q112" s="112"/>
      <c r="R112" s="112"/>
      <c r="S112" s="112"/>
      <c r="T112" s="112"/>
      <c r="U112" s="112"/>
      <c r="V112" s="112"/>
      <c r="W112" s="112"/>
      <c r="X112" s="112"/>
      <c r="Y112" s="15"/>
      <c r="AA112" s="15"/>
      <c r="AB112" s="15"/>
    </row>
    <row r="113" spans="3:28" x14ac:dyDescent="0.2">
      <c r="C113" s="45"/>
      <c r="D113" s="45"/>
      <c r="E113" s="45"/>
      <c r="F113" s="45"/>
      <c r="G113" s="45"/>
      <c r="H113" s="45"/>
      <c r="I113" s="45"/>
      <c r="J113" s="45"/>
      <c r="K113" s="45"/>
      <c r="L113" s="45"/>
      <c r="M113" s="112"/>
      <c r="N113" s="112"/>
      <c r="O113" s="112"/>
      <c r="P113" s="112"/>
      <c r="Q113" s="112"/>
      <c r="R113" s="112"/>
      <c r="S113" s="112"/>
      <c r="T113" s="112"/>
      <c r="U113" s="112"/>
      <c r="V113" s="112"/>
      <c r="W113" s="112"/>
      <c r="X113" s="112"/>
      <c r="Y113" s="15"/>
      <c r="AA113" s="15"/>
      <c r="AB113" s="15"/>
    </row>
    <row r="114" spans="3:28" x14ac:dyDescent="0.2">
      <c r="C114" s="45"/>
      <c r="D114" s="45"/>
      <c r="E114" s="45"/>
      <c r="F114" s="45"/>
      <c r="G114" s="45"/>
      <c r="H114" s="45"/>
      <c r="I114" s="45"/>
      <c r="J114" s="45"/>
      <c r="K114" s="45"/>
      <c r="L114" s="45"/>
      <c r="M114" s="112"/>
      <c r="N114" s="112"/>
      <c r="O114" s="112"/>
      <c r="P114" s="112"/>
      <c r="Q114" s="112"/>
      <c r="R114" s="112"/>
      <c r="S114" s="112"/>
      <c r="T114" s="112"/>
      <c r="U114" s="112"/>
      <c r="V114" s="112"/>
      <c r="W114" s="112"/>
      <c r="X114" s="112"/>
      <c r="Y114" s="15"/>
      <c r="AA114" s="15"/>
      <c r="AB114" s="15"/>
    </row>
    <row r="115" spans="3:28" x14ac:dyDescent="0.2">
      <c r="C115" s="45"/>
      <c r="D115" s="45"/>
      <c r="E115" s="45"/>
      <c r="F115" s="45"/>
      <c r="G115" s="45"/>
      <c r="H115" s="45"/>
      <c r="I115" s="45"/>
      <c r="J115" s="45"/>
      <c r="K115" s="45"/>
      <c r="L115" s="45"/>
      <c r="M115" s="112"/>
      <c r="N115" s="112"/>
      <c r="O115" s="112"/>
      <c r="P115" s="112"/>
      <c r="Q115" s="112"/>
      <c r="R115" s="112"/>
      <c r="S115" s="112"/>
      <c r="T115" s="112"/>
      <c r="U115" s="112"/>
      <c r="V115" s="112"/>
      <c r="W115" s="112"/>
      <c r="X115" s="112"/>
      <c r="Y115" s="15"/>
      <c r="AA115" s="15"/>
      <c r="AB115" s="15"/>
    </row>
    <row r="116" spans="3:28" x14ac:dyDescent="0.2">
      <c r="C116" s="45"/>
      <c r="D116" s="45"/>
      <c r="E116" s="45"/>
      <c r="F116" s="45"/>
      <c r="G116" s="45"/>
      <c r="H116" s="45"/>
      <c r="I116" s="45"/>
      <c r="J116" s="45"/>
      <c r="K116" s="45"/>
      <c r="L116" s="45"/>
      <c r="M116" s="112"/>
      <c r="N116" s="112"/>
      <c r="O116" s="112"/>
      <c r="P116" s="112"/>
      <c r="Q116" s="112"/>
      <c r="R116" s="112"/>
      <c r="S116" s="112"/>
      <c r="T116" s="112"/>
      <c r="U116" s="112"/>
      <c r="V116" s="112"/>
      <c r="W116" s="112"/>
      <c r="X116" s="112"/>
      <c r="Y116" s="15"/>
      <c r="AA116" s="15"/>
      <c r="AB116" s="15"/>
    </row>
    <row r="117" spans="3:28" x14ac:dyDescent="0.2">
      <c r="C117" s="45"/>
      <c r="D117" s="45"/>
      <c r="E117" s="45"/>
      <c r="F117" s="45"/>
      <c r="G117" s="45"/>
      <c r="H117" s="45"/>
      <c r="I117" s="45"/>
      <c r="J117" s="45"/>
      <c r="K117" s="45"/>
      <c r="L117" s="45"/>
      <c r="M117" s="112"/>
      <c r="N117" s="112"/>
      <c r="O117" s="112"/>
      <c r="P117" s="112"/>
      <c r="Q117" s="112"/>
      <c r="R117" s="112"/>
      <c r="S117" s="112"/>
      <c r="T117" s="112"/>
      <c r="U117" s="112"/>
      <c r="V117" s="112"/>
      <c r="W117" s="112"/>
      <c r="X117" s="112"/>
      <c r="Y117" s="15"/>
      <c r="AA117" s="15"/>
      <c r="AB117" s="15"/>
    </row>
    <row r="118" spans="3:28" x14ac:dyDescent="0.2">
      <c r="C118" s="45"/>
      <c r="D118" s="45"/>
      <c r="E118" s="45"/>
      <c r="F118" s="45"/>
      <c r="G118" s="45"/>
      <c r="H118" s="45"/>
      <c r="I118" s="45"/>
      <c r="J118" s="45"/>
      <c r="K118" s="45"/>
      <c r="L118" s="45"/>
      <c r="M118" s="112"/>
      <c r="N118" s="112"/>
      <c r="O118" s="112"/>
      <c r="P118" s="112"/>
      <c r="Q118" s="112"/>
      <c r="R118" s="112"/>
      <c r="S118" s="112"/>
      <c r="T118" s="112"/>
      <c r="U118" s="112"/>
      <c r="V118" s="112"/>
      <c r="W118" s="112"/>
      <c r="X118" s="112"/>
      <c r="Y118" s="15"/>
      <c r="AA118" s="15"/>
      <c r="AB118" s="15"/>
    </row>
    <row r="119" spans="3:28" x14ac:dyDescent="0.2">
      <c r="C119" s="45"/>
      <c r="D119" s="45"/>
      <c r="E119" s="45"/>
      <c r="F119" s="45"/>
      <c r="G119" s="45"/>
      <c r="H119" s="45"/>
      <c r="I119" s="45"/>
      <c r="J119" s="45"/>
      <c r="K119" s="45"/>
      <c r="L119" s="45"/>
      <c r="M119" s="112"/>
      <c r="N119" s="112"/>
      <c r="O119" s="112"/>
      <c r="P119" s="112"/>
      <c r="Q119" s="112"/>
      <c r="R119" s="112"/>
      <c r="S119" s="112"/>
      <c r="T119" s="112"/>
      <c r="U119" s="112"/>
      <c r="V119" s="112"/>
      <c r="W119" s="112"/>
      <c r="X119" s="112"/>
      <c r="Y119" s="15"/>
      <c r="AA119" s="15"/>
      <c r="AB119" s="15"/>
    </row>
    <row r="120" spans="3:28" x14ac:dyDescent="0.2">
      <c r="C120" s="45"/>
      <c r="D120" s="45"/>
      <c r="E120" s="45"/>
      <c r="F120" s="45"/>
      <c r="G120" s="45"/>
      <c r="H120" s="45"/>
      <c r="I120" s="45"/>
      <c r="J120" s="45"/>
      <c r="K120" s="45"/>
      <c r="L120" s="45"/>
      <c r="M120" s="112"/>
      <c r="N120" s="112"/>
      <c r="O120" s="112"/>
      <c r="P120" s="112"/>
      <c r="Q120" s="112"/>
      <c r="R120" s="112"/>
      <c r="S120" s="112"/>
      <c r="T120" s="112"/>
      <c r="U120" s="112"/>
      <c r="V120" s="112"/>
      <c r="W120" s="112"/>
      <c r="X120" s="112"/>
      <c r="Y120" s="15"/>
      <c r="AA120" s="15"/>
      <c r="AB120" s="15"/>
    </row>
    <row r="121" spans="3:28" x14ac:dyDescent="0.2">
      <c r="C121" s="45"/>
      <c r="D121" s="45"/>
      <c r="E121" s="45"/>
      <c r="F121" s="45"/>
      <c r="G121" s="45"/>
      <c r="H121" s="45"/>
      <c r="I121" s="45"/>
      <c r="J121" s="45"/>
      <c r="K121" s="45"/>
      <c r="L121" s="45"/>
      <c r="M121" s="112"/>
      <c r="N121" s="112"/>
      <c r="O121" s="112"/>
      <c r="P121" s="112"/>
      <c r="Q121" s="112"/>
      <c r="R121" s="112"/>
      <c r="S121" s="112"/>
      <c r="T121" s="112"/>
      <c r="U121" s="112"/>
      <c r="V121" s="112"/>
      <c r="W121" s="112"/>
      <c r="X121" s="112"/>
      <c r="Y121" s="15"/>
      <c r="AA121" s="15"/>
      <c r="AB121" s="15"/>
    </row>
    <row r="122" spans="3:28" x14ac:dyDescent="0.2">
      <c r="C122" s="45"/>
      <c r="D122" s="45"/>
      <c r="E122" s="45"/>
      <c r="F122" s="45"/>
      <c r="G122" s="45"/>
      <c r="H122" s="45"/>
      <c r="I122" s="45"/>
      <c r="J122" s="45"/>
      <c r="K122" s="45"/>
      <c r="L122" s="45"/>
      <c r="M122" s="112"/>
      <c r="N122" s="112"/>
      <c r="O122" s="112"/>
      <c r="P122" s="112"/>
      <c r="Q122" s="112"/>
      <c r="R122" s="112"/>
      <c r="S122" s="112"/>
      <c r="T122" s="112"/>
      <c r="U122" s="112"/>
      <c r="V122" s="112"/>
      <c r="W122" s="112"/>
      <c r="X122" s="112"/>
      <c r="Y122" s="15"/>
      <c r="AA122" s="15"/>
      <c r="AB122" s="15"/>
    </row>
    <row r="123" spans="3:28" x14ac:dyDescent="0.2">
      <c r="C123" s="45"/>
      <c r="D123" s="45"/>
      <c r="E123" s="45"/>
      <c r="F123" s="45"/>
      <c r="G123" s="45"/>
      <c r="H123" s="45"/>
      <c r="I123" s="45"/>
      <c r="J123" s="45"/>
      <c r="K123" s="45"/>
      <c r="L123" s="45"/>
      <c r="M123" s="112"/>
      <c r="N123" s="112"/>
      <c r="O123" s="112"/>
      <c r="P123" s="112"/>
      <c r="Q123" s="112"/>
      <c r="R123" s="112"/>
      <c r="S123" s="112"/>
      <c r="T123" s="112"/>
      <c r="U123" s="112"/>
      <c r="V123" s="112"/>
      <c r="W123" s="112"/>
      <c r="X123" s="112"/>
      <c r="Y123" s="15"/>
      <c r="AA123" s="15"/>
      <c r="AB123" s="15"/>
    </row>
    <row r="124" spans="3:28" x14ac:dyDescent="0.2">
      <c r="C124" s="45"/>
      <c r="D124" s="45"/>
      <c r="E124" s="45"/>
      <c r="F124" s="45"/>
      <c r="G124" s="45"/>
      <c r="H124" s="45"/>
      <c r="I124" s="45"/>
      <c r="J124" s="45"/>
      <c r="K124" s="45"/>
      <c r="L124" s="45"/>
      <c r="M124" s="112"/>
      <c r="N124" s="112"/>
      <c r="O124" s="112"/>
      <c r="P124" s="112"/>
      <c r="Q124" s="112"/>
      <c r="R124" s="112"/>
      <c r="S124" s="112"/>
      <c r="T124" s="112"/>
      <c r="U124" s="112"/>
      <c r="V124" s="112"/>
      <c r="W124" s="112"/>
      <c r="X124" s="112"/>
      <c r="Y124" s="15"/>
      <c r="AA124" s="15"/>
      <c r="AB124" s="15"/>
    </row>
    <row r="125" spans="3:28" x14ac:dyDescent="0.2">
      <c r="C125" s="45"/>
      <c r="D125" s="45"/>
      <c r="E125" s="45"/>
      <c r="F125" s="45"/>
      <c r="G125" s="45"/>
      <c r="H125" s="45"/>
      <c r="I125" s="45"/>
      <c r="J125" s="45"/>
      <c r="K125" s="45"/>
      <c r="L125" s="45"/>
      <c r="M125" s="112"/>
      <c r="N125" s="112"/>
      <c r="O125" s="112"/>
      <c r="P125" s="112"/>
      <c r="Q125" s="112"/>
      <c r="R125" s="112"/>
      <c r="S125" s="112"/>
      <c r="T125" s="112"/>
      <c r="U125" s="112"/>
      <c r="V125" s="112"/>
      <c r="W125" s="112"/>
      <c r="X125" s="112"/>
      <c r="Y125" s="15"/>
      <c r="AA125" s="15"/>
      <c r="AB125" s="15"/>
    </row>
    <row r="126" spans="3:28" x14ac:dyDescent="0.2">
      <c r="C126" s="45"/>
      <c r="D126" s="45"/>
      <c r="E126" s="45"/>
      <c r="F126" s="45"/>
      <c r="G126" s="45"/>
      <c r="H126" s="45"/>
      <c r="I126" s="45"/>
      <c r="J126" s="45"/>
      <c r="K126" s="45"/>
      <c r="L126" s="45"/>
      <c r="M126" s="112"/>
      <c r="N126" s="112"/>
      <c r="O126" s="112"/>
      <c r="P126" s="112"/>
      <c r="Q126" s="112"/>
      <c r="R126" s="112"/>
      <c r="S126" s="112"/>
      <c r="T126" s="112"/>
      <c r="U126" s="112"/>
      <c r="V126" s="112"/>
      <c r="W126" s="112"/>
      <c r="X126" s="112"/>
      <c r="Y126" s="15"/>
      <c r="AA126" s="15"/>
      <c r="AB126" s="15"/>
    </row>
    <row r="127" spans="3:28" x14ac:dyDescent="0.2">
      <c r="C127" s="45"/>
      <c r="D127" s="45"/>
      <c r="E127" s="45"/>
      <c r="F127" s="45"/>
      <c r="G127" s="45"/>
      <c r="H127" s="45"/>
      <c r="I127" s="45"/>
      <c r="J127" s="45"/>
      <c r="K127" s="45"/>
      <c r="L127" s="45"/>
      <c r="M127" s="112"/>
      <c r="N127" s="112"/>
      <c r="O127" s="112"/>
      <c r="P127" s="112"/>
      <c r="Q127" s="112"/>
      <c r="R127" s="112"/>
      <c r="S127" s="112"/>
      <c r="T127" s="112"/>
      <c r="U127" s="112"/>
      <c r="V127" s="112"/>
      <c r="W127" s="112"/>
      <c r="X127" s="112"/>
      <c r="Y127" s="15"/>
      <c r="AA127" s="15"/>
      <c r="AB127" s="15"/>
    </row>
    <row r="128" spans="3:28" x14ac:dyDescent="0.2">
      <c r="C128" s="45"/>
      <c r="D128" s="45"/>
      <c r="E128" s="45"/>
      <c r="F128" s="45"/>
      <c r="G128" s="45"/>
      <c r="H128" s="45"/>
      <c r="I128" s="45"/>
      <c r="J128" s="45"/>
      <c r="K128" s="45"/>
      <c r="L128" s="45"/>
      <c r="M128" s="112"/>
      <c r="N128" s="112"/>
      <c r="O128" s="112"/>
      <c r="P128" s="112"/>
      <c r="Q128" s="112"/>
      <c r="R128" s="112"/>
      <c r="S128" s="112"/>
      <c r="T128" s="112"/>
      <c r="U128" s="112"/>
      <c r="V128" s="112"/>
      <c r="W128" s="112"/>
      <c r="X128" s="112"/>
      <c r="Y128" s="15"/>
      <c r="AA128" s="15"/>
      <c r="AB128" s="15"/>
    </row>
    <row r="129" spans="3:28" x14ac:dyDescent="0.2">
      <c r="C129" s="45"/>
      <c r="D129" s="45"/>
      <c r="E129" s="45"/>
      <c r="F129" s="45"/>
      <c r="G129" s="45"/>
      <c r="H129" s="45"/>
      <c r="I129" s="45"/>
      <c r="J129" s="45"/>
      <c r="K129" s="45"/>
      <c r="L129" s="45"/>
      <c r="M129" s="112"/>
      <c r="N129" s="112"/>
      <c r="O129" s="112"/>
      <c r="P129" s="112"/>
      <c r="Q129" s="112"/>
      <c r="R129" s="112"/>
      <c r="S129" s="112"/>
      <c r="T129" s="112"/>
      <c r="U129" s="112"/>
      <c r="V129" s="112"/>
      <c r="W129" s="112"/>
      <c r="X129" s="112"/>
      <c r="Y129" s="15"/>
      <c r="AA129" s="15"/>
      <c r="AB129" s="15"/>
    </row>
    <row r="130" spans="3:28" x14ac:dyDescent="0.2">
      <c r="C130" s="45"/>
      <c r="D130" s="45"/>
      <c r="E130" s="45"/>
      <c r="F130" s="45"/>
      <c r="G130" s="45"/>
      <c r="H130" s="45"/>
      <c r="I130" s="45"/>
      <c r="J130" s="45"/>
      <c r="K130" s="45"/>
      <c r="L130" s="45"/>
      <c r="M130" s="112"/>
      <c r="N130" s="112"/>
      <c r="O130" s="112"/>
      <c r="P130" s="112"/>
      <c r="Q130" s="112"/>
      <c r="R130" s="112"/>
      <c r="S130" s="112"/>
      <c r="T130" s="112"/>
      <c r="U130" s="112"/>
      <c r="V130" s="112"/>
      <c r="W130" s="112"/>
      <c r="X130" s="112"/>
      <c r="Y130" s="15"/>
      <c r="AA130" s="15"/>
      <c r="AB130" s="15"/>
    </row>
    <row r="131" spans="3:28" x14ac:dyDescent="0.2">
      <c r="C131" s="45"/>
      <c r="D131" s="45"/>
      <c r="E131" s="45"/>
      <c r="F131" s="45"/>
      <c r="G131" s="45"/>
      <c r="H131" s="45"/>
      <c r="I131" s="45"/>
      <c r="J131" s="45"/>
      <c r="K131" s="45"/>
      <c r="L131" s="45"/>
      <c r="M131" s="112"/>
      <c r="N131" s="112"/>
      <c r="O131" s="112"/>
      <c r="P131" s="112"/>
      <c r="Q131" s="112"/>
      <c r="R131" s="112"/>
      <c r="S131" s="112"/>
      <c r="T131" s="112"/>
      <c r="U131" s="112"/>
      <c r="V131" s="112"/>
      <c r="W131" s="112"/>
      <c r="X131" s="112"/>
      <c r="Y131" s="15"/>
      <c r="AA131" s="15"/>
      <c r="AB131" s="15"/>
    </row>
    <row r="132" spans="3:28" x14ac:dyDescent="0.2">
      <c r="C132" s="45"/>
      <c r="D132" s="45"/>
      <c r="E132" s="45"/>
      <c r="F132" s="45"/>
      <c r="G132" s="45"/>
      <c r="H132" s="45"/>
      <c r="I132" s="45"/>
      <c r="J132" s="45"/>
      <c r="K132" s="45"/>
      <c r="L132" s="45"/>
      <c r="M132" s="112"/>
      <c r="N132" s="112"/>
      <c r="O132" s="112"/>
      <c r="P132" s="112"/>
      <c r="Q132" s="112"/>
      <c r="R132" s="112"/>
      <c r="S132" s="112"/>
      <c r="T132" s="112"/>
      <c r="U132" s="112"/>
      <c r="V132" s="112"/>
      <c r="W132" s="112"/>
      <c r="X132" s="112"/>
      <c r="Y132" s="15"/>
      <c r="AA132" s="15"/>
      <c r="AB132" s="15"/>
    </row>
    <row r="133" spans="3:28" x14ac:dyDescent="0.2">
      <c r="C133" s="45"/>
      <c r="D133" s="45"/>
      <c r="E133" s="45"/>
      <c r="F133" s="45"/>
      <c r="G133" s="45"/>
      <c r="H133" s="45"/>
      <c r="I133" s="45"/>
      <c r="J133" s="45"/>
      <c r="K133" s="45"/>
      <c r="L133" s="45"/>
      <c r="M133" s="112"/>
      <c r="N133" s="112"/>
      <c r="O133" s="112"/>
      <c r="P133" s="112"/>
      <c r="Q133" s="112"/>
      <c r="R133" s="112"/>
      <c r="S133" s="112"/>
      <c r="T133" s="112"/>
      <c r="U133" s="112"/>
      <c r="V133" s="112"/>
      <c r="W133" s="112"/>
      <c r="X133" s="112"/>
      <c r="Y133" s="15"/>
      <c r="AA133" s="15"/>
      <c r="AB133" s="15"/>
    </row>
    <row r="134" spans="3:28" x14ac:dyDescent="0.2">
      <c r="C134" s="45"/>
      <c r="D134" s="45"/>
      <c r="E134" s="45"/>
      <c r="F134" s="45"/>
      <c r="G134" s="45"/>
      <c r="H134" s="45"/>
      <c r="I134" s="45"/>
      <c r="J134" s="45"/>
      <c r="K134" s="45"/>
      <c r="L134" s="45"/>
      <c r="M134" s="112"/>
      <c r="N134" s="112"/>
      <c r="O134" s="112"/>
      <c r="P134" s="112"/>
      <c r="Q134" s="112"/>
      <c r="R134" s="112"/>
      <c r="S134" s="112"/>
      <c r="T134" s="112"/>
      <c r="U134" s="112"/>
      <c r="V134" s="112"/>
      <c r="W134" s="112"/>
      <c r="X134" s="112"/>
      <c r="Y134" s="15"/>
      <c r="AA134" s="15"/>
      <c r="AB134" s="15"/>
    </row>
    <row r="135" spans="3:28" x14ac:dyDescent="0.2">
      <c r="C135" s="45"/>
      <c r="D135" s="45"/>
      <c r="E135" s="45"/>
      <c r="F135" s="45"/>
      <c r="G135" s="45"/>
      <c r="H135" s="45"/>
      <c r="I135" s="45"/>
      <c r="J135" s="45"/>
      <c r="K135" s="45"/>
      <c r="L135" s="45"/>
      <c r="M135" s="112"/>
      <c r="N135" s="112"/>
      <c r="O135" s="112"/>
      <c r="P135" s="112"/>
      <c r="Q135" s="112"/>
      <c r="R135" s="112"/>
      <c r="S135" s="112"/>
      <c r="T135" s="112"/>
      <c r="U135" s="112"/>
      <c r="V135" s="112"/>
      <c r="W135" s="112"/>
      <c r="X135" s="112"/>
      <c r="Y135" s="15"/>
      <c r="AA135" s="15"/>
      <c r="AB135" s="15"/>
    </row>
    <row r="136" spans="3:28" x14ac:dyDescent="0.2">
      <c r="C136" s="45"/>
      <c r="D136" s="45"/>
      <c r="E136" s="45"/>
      <c r="F136" s="45"/>
      <c r="G136" s="45"/>
      <c r="H136" s="45"/>
      <c r="I136" s="45"/>
      <c r="J136" s="45"/>
      <c r="K136" s="45"/>
      <c r="L136" s="45"/>
      <c r="M136" s="112"/>
      <c r="N136" s="112"/>
      <c r="O136" s="112"/>
      <c r="P136" s="112"/>
      <c r="Q136" s="112"/>
      <c r="R136" s="112"/>
      <c r="S136" s="112"/>
      <c r="T136" s="112"/>
      <c r="U136" s="112"/>
      <c r="V136" s="112"/>
      <c r="W136" s="112"/>
      <c r="X136" s="112"/>
      <c r="Y136" s="15"/>
      <c r="AA136" s="15"/>
      <c r="AB136" s="15"/>
    </row>
    <row r="137" spans="3:28" x14ac:dyDescent="0.2">
      <c r="C137" s="45"/>
      <c r="D137" s="45"/>
      <c r="E137" s="45"/>
      <c r="F137" s="45"/>
      <c r="G137" s="45"/>
      <c r="H137" s="45"/>
      <c r="I137" s="45"/>
      <c r="J137" s="45"/>
      <c r="K137" s="45"/>
      <c r="L137" s="45"/>
      <c r="M137" s="112"/>
      <c r="N137" s="112"/>
      <c r="O137" s="112"/>
      <c r="P137" s="112"/>
      <c r="Q137" s="112"/>
      <c r="R137" s="112"/>
      <c r="S137" s="112"/>
      <c r="T137" s="112"/>
      <c r="U137" s="112"/>
      <c r="V137" s="112"/>
      <c r="W137" s="112"/>
      <c r="X137" s="112"/>
      <c r="Y137" s="15"/>
      <c r="AB137" s="15"/>
    </row>
    <row r="138" spans="3:28" x14ac:dyDescent="0.2">
      <c r="C138" s="45"/>
      <c r="D138" s="45"/>
      <c r="E138" s="45"/>
      <c r="F138" s="45"/>
      <c r="G138" s="45"/>
      <c r="H138" s="45"/>
      <c r="I138" s="45"/>
      <c r="J138" s="45"/>
      <c r="K138" s="45"/>
      <c r="L138" s="45"/>
      <c r="M138" s="112"/>
      <c r="N138" s="112"/>
      <c r="O138" s="112"/>
      <c r="P138" s="112"/>
      <c r="Q138" s="112"/>
      <c r="R138" s="112"/>
      <c r="S138" s="112"/>
      <c r="T138" s="112"/>
      <c r="U138" s="112"/>
      <c r="V138" s="112"/>
      <c r="W138" s="112"/>
      <c r="X138" s="112"/>
      <c r="Y138" s="15"/>
      <c r="AB138" s="15"/>
    </row>
    <row r="139" spans="3:28" x14ac:dyDescent="0.2">
      <c r="C139" s="45"/>
      <c r="D139" s="45"/>
      <c r="E139" s="45"/>
      <c r="F139" s="45"/>
      <c r="G139" s="45"/>
      <c r="H139" s="45"/>
      <c r="I139" s="45"/>
      <c r="J139" s="45"/>
      <c r="K139" s="45"/>
      <c r="L139" s="45"/>
      <c r="M139" s="112"/>
      <c r="N139" s="112"/>
      <c r="O139" s="112"/>
      <c r="P139" s="112"/>
      <c r="Q139" s="112"/>
      <c r="R139" s="112"/>
      <c r="S139" s="112"/>
      <c r="T139" s="112"/>
      <c r="U139" s="112"/>
      <c r="V139" s="112"/>
      <c r="W139" s="112"/>
      <c r="X139" s="112"/>
      <c r="Y139" s="15"/>
      <c r="AB139" s="15"/>
    </row>
    <row r="140" spans="3:28" x14ac:dyDescent="0.2">
      <c r="C140" s="45"/>
      <c r="D140" s="45"/>
      <c r="E140" s="45"/>
      <c r="F140" s="45"/>
      <c r="G140" s="45"/>
      <c r="H140" s="45"/>
      <c r="I140" s="45"/>
      <c r="J140" s="45"/>
      <c r="K140" s="45"/>
      <c r="L140" s="45"/>
      <c r="M140" s="112"/>
      <c r="N140" s="112"/>
      <c r="O140" s="112"/>
      <c r="P140" s="112"/>
      <c r="Q140" s="112"/>
      <c r="R140" s="112"/>
      <c r="S140" s="112"/>
      <c r="T140" s="112"/>
      <c r="U140" s="112"/>
      <c r="V140" s="112"/>
      <c r="W140" s="112"/>
      <c r="X140" s="112"/>
      <c r="Y140" s="15"/>
      <c r="AB140" s="15"/>
    </row>
    <row r="141" spans="3:28" x14ac:dyDescent="0.2">
      <c r="C141" s="45"/>
      <c r="D141" s="45"/>
      <c r="E141" s="45"/>
      <c r="F141" s="45"/>
      <c r="G141" s="45"/>
      <c r="H141" s="45"/>
      <c r="I141" s="45"/>
      <c r="J141" s="45"/>
      <c r="K141" s="45"/>
      <c r="L141" s="45"/>
      <c r="M141" s="112"/>
      <c r="N141" s="112"/>
      <c r="O141" s="112"/>
      <c r="P141" s="112"/>
      <c r="Q141" s="112"/>
      <c r="R141" s="112"/>
      <c r="S141" s="112"/>
      <c r="T141" s="112"/>
      <c r="U141" s="112"/>
      <c r="V141" s="112"/>
      <c r="W141" s="112"/>
      <c r="X141" s="112"/>
      <c r="Y141" s="15"/>
      <c r="AB141" s="15"/>
    </row>
    <row r="142" spans="3:28" x14ac:dyDescent="0.2">
      <c r="C142" s="45"/>
      <c r="D142" s="45"/>
      <c r="E142" s="45"/>
      <c r="F142" s="45"/>
      <c r="G142" s="45"/>
      <c r="H142" s="45"/>
      <c r="I142" s="45"/>
      <c r="J142" s="45"/>
      <c r="K142" s="45"/>
      <c r="L142" s="45"/>
      <c r="M142" s="112"/>
      <c r="N142" s="112"/>
      <c r="O142" s="112"/>
      <c r="P142" s="112"/>
      <c r="Q142" s="112"/>
      <c r="R142" s="112"/>
      <c r="S142" s="112"/>
      <c r="T142" s="112"/>
      <c r="U142" s="112"/>
      <c r="V142" s="112"/>
      <c r="W142" s="112"/>
      <c r="X142" s="112"/>
      <c r="Y142" s="15"/>
      <c r="AB142" s="15"/>
    </row>
    <row r="143" spans="3:28" x14ac:dyDescent="0.2">
      <c r="C143" s="45"/>
      <c r="D143" s="45"/>
      <c r="E143" s="45"/>
      <c r="F143" s="45"/>
      <c r="G143" s="45"/>
      <c r="H143" s="45"/>
      <c r="I143" s="45"/>
      <c r="J143" s="45"/>
      <c r="K143" s="45"/>
      <c r="L143" s="45"/>
      <c r="M143" s="112"/>
      <c r="N143" s="112"/>
      <c r="O143" s="112"/>
      <c r="P143" s="112"/>
      <c r="Q143" s="112"/>
      <c r="R143" s="112"/>
      <c r="S143" s="112"/>
      <c r="T143" s="112"/>
      <c r="U143" s="112"/>
      <c r="V143" s="112"/>
      <c r="W143" s="112"/>
      <c r="X143" s="112"/>
      <c r="Y143" s="15"/>
      <c r="AB143" s="15"/>
    </row>
    <row r="144" spans="3:28" x14ac:dyDescent="0.2">
      <c r="C144" s="45"/>
      <c r="D144" s="45"/>
      <c r="E144" s="45"/>
      <c r="F144" s="45"/>
      <c r="G144" s="45"/>
      <c r="H144" s="45"/>
      <c r="I144" s="45"/>
      <c r="J144" s="45"/>
      <c r="K144" s="45"/>
      <c r="L144" s="45"/>
      <c r="M144" s="112"/>
      <c r="N144" s="112"/>
      <c r="O144" s="112"/>
      <c r="P144" s="112"/>
      <c r="Q144" s="112"/>
      <c r="R144" s="112"/>
      <c r="S144" s="112"/>
      <c r="T144" s="112"/>
      <c r="U144" s="112"/>
      <c r="V144" s="112"/>
      <c r="W144" s="112"/>
      <c r="X144" s="112"/>
      <c r="Y144" s="15"/>
      <c r="AB144" s="15"/>
    </row>
    <row r="145" spans="3:28" x14ac:dyDescent="0.2">
      <c r="C145" s="45"/>
      <c r="D145" s="45"/>
      <c r="E145" s="45"/>
      <c r="F145" s="45"/>
      <c r="G145" s="45"/>
      <c r="H145" s="45"/>
      <c r="I145" s="45"/>
      <c r="J145" s="45"/>
      <c r="K145" s="45"/>
      <c r="L145" s="45"/>
      <c r="M145" s="112"/>
      <c r="N145" s="112"/>
      <c r="O145" s="112"/>
      <c r="P145" s="112"/>
      <c r="Q145" s="112"/>
      <c r="R145" s="112"/>
      <c r="S145" s="112"/>
      <c r="T145" s="112"/>
      <c r="U145" s="112"/>
      <c r="V145" s="112"/>
      <c r="W145" s="112"/>
      <c r="X145" s="112"/>
      <c r="Y145" s="15"/>
      <c r="AB145" s="15"/>
    </row>
    <row r="146" spans="3:28" x14ac:dyDescent="0.2">
      <c r="C146" s="45"/>
      <c r="D146" s="45"/>
      <c r="E146" s="45"/>
      <c r="F146" s="45"/>
      <c r="G146" s="45"/>
      <c r="H146" s="45"/>
      <c r="I146" s="45"/>
      <c r="J146" s="45"/>
      <c r="K146" s="45"/>
      <c r="L146" s="45"/>
      <c r="M146" s="112"/>
      <c r="N146" s="112"/>
      <c r="O146" s="112"/>
      <c r="P146" s="112"/>
      <c r="Q146" s="112"/>
      <c r="R146" s="112"/>
      <c r="S146" s="112"/>
      <c r="T146" s="112"/>
      <c r="U146" s="112"/>
      <c r="V146" s="112"/>
      <c r="W146" s="112"/>
      <c r="X146" s="112"/>
      <c r="Y146" s="15"/>
      <c r="AB146" s="15"/>
    </row>
    <row r="147" spans="3:28" x14ac:dyDescent="0.2">
      <c r="C147" s="45"/>
      <c r="D147" s="45"/>
      <c r="E147" s="45"/>
      <c r="F147" s="45"/>
      <c r="G147" s="45"/>
      <c r="H147" s="45"/>
      <c r="I147" s="45"/>
      <c r="J147" s="45"/>
      <c r="K147" s="45"/>
      <c r="L147" s="45"/>
      <c r="M147" s="112"/>
      <c r="N147" s="112"/>
      <c r="O147" s="112"/>
      <c r="P147" s="112"/>
      <c r="Q147" s="112"/>
      <c r="R147" s="112"/>
      <c r="S147" s="112"/>
      <c r="T147" s="112"/>
      <c r="U147" s="112"/>
      <c r="V147" s="112"/>
      <c r="W147" s="112"/>
      <c r="X147" s="112"/>
      <c r="Y147" s="15"/>
      <c r="AB147" s="15"/>
    </row>
    <row r="148" spans="3:28" x14ac:dyDescent="0.2">
      <c r="C148" s="45"/>
      <c r="D148" s="45"/>
      <c r="E148" s="45"/>
      <c r="F148" s="45"/>
      <c r="G148" s="45"/>
      <c r="H148" s="45"/>
      <c r="I148" s="45"/>
      <c r="J148" s="45"/>
      <c r="K148" s="45"/>
      <c r="L148" s="45"/>
      <c r="M148" s="112"/>
      <c r="N148" s="112"/>
      <c r="O148" s="112"/>
      <c r="P148" s="112"/>
      <c r="Q148" s="112"/>
      <c r="R148" s="112"/>
      <c r="S148" s="112"/>
      <c r="T148" s="112"/>
      <c r="U148" s="112"/>
      <c r="V148" s="112"/>
      <c r="W148" s="112"/>
      <c r="X148" s="112"/>
      <c r="Y148" s="15"/>
      <c r="AB148" s="15"/>
    </row>
    <row r="149" spans="3:28" x14ac:dyDescent="0.2">
      <c r="C149" s="45"/>
      <c r="D149" s="45"/>
      <c r="E149" s="45"/>
      <c r="F149" s="45"/>
      <c r="G149" s="45"/>
      <c r="H149" s="45"/>
      <c r="I149" s="45"/>
      <c r="J149" s="45"/>
      <c r="K149" s="45"/>
      <c r="L149" s="45"/>
      <c r="M149" s="112"/>
      <c r="N149" s="112"/>
      <c r="O149" s="112"/>
      <c r="P149" s="112"/>
      <c r="Q149" s="112"/>
      <c r="R149" s="112"/>
      <c r="S149" s="112"/>
      <c r="T149" s="112"/>
      <c r="U149" s="112"/>
      <c r="V149" s="112"/>
      <c r="W149" s="112"/>
      <c r="X149" s="112"/>
      <c r="Y149" s="15"/>
      <c r="AB149" s="15"/>
    </row>
    <row r="150" spans="3:28" x14ac:dyDescent="0.2">
      <c r="C150" s="45"/>
      <c r="D150" s="45"/>
      <c r="E150" s="45"/>
      <c r="F150" s="45"/>
      <c r="G150" s="45"/>
      <c r="H150" s="45"/>
      <c r="I150" s="45"/>
      <c r="J150" s="45"/>
      <c r="K150" s="45"/>
      <c r="L150" s="45"/>
      <c r="M150" s="112"/>
      <c r="N150" s="112"/>
      <c r="O150" s="112"/>
      <c r="P150" s="112"/>
      <c r="Q150" s="112"/>
      <c r="R150" s="112"/>
      <c r="S150" s="112"/>
      <c r="T150" s="112"/>
      <c r="U150" s="112"/>
      <c r="V150" s="112"/>
      <c r="W150" s="112"/>
      <c r="X150" s="112"/>
      <c r="Y150" s="15"/>
      <c r="AB150" s="15"/>
    </row>
    <row r="151" spans="3:28" x14ac:dyDescent="0.2">
      <c r="C151" s="45"/>
      <c r="D151" s="45"/>
      <c r="E151" s="45"/>
      <c r="F151" s="45"/>
      <c r="G151" s="45"/>
      <c r="H151" s="45"/>
      <c r="I151" s="45"/>
      <c r="J151" s="45"/>
      <c r="K151" s="45"/>
      <c r="L151" s="45"/>
      <c r="M151" s="112"/>
      <c r="N151" s="112"/>
      <c r="O151" s="112"/>
      <c r="P151" s="112"/>
      <c r="Q151" s="112"/>
      <c r="R151" s="112"/>
      <c r="S151" s="112"/>
      <c r="T151" s="112"/>
      <c r="U151" s="112"/>
      <c r="V151" s="112"/>
      <c r="W151" s="112"/>
      <c r="X151" s="112"/>
      <c r="Y151" s="15"/>
      <c r="AB151" s="15"/>
    </row>
    <row r="152" spans="3:28" x14ac:dyDescent="0.2">
      <c r="C152" s="45"/>
      <c r="D152" s="45"/>
      <c r="E152" s="45"/>
      <c r="F152" s="45"/>
      <c r="G152" s="45"/>
      <c r="H152" s="45"/>
      <c r="I152" s="45"/>
      <c r="J152" s="45"/>
      <c r="K152" s="45"/>
      <c r="L152" s="45"/>
      <c r="M152" s="112"/>
      <c r="N152" s="112"/>
      <c r="O152" s="112"/>
      <c r="P152" s="112"/>
      <c r="Q152" s="112"/>
      <c r="R152" s="112"/>
      <c r="S152" s="112"/>
      <c r="T152" s="112"/>
      <c r="U152" s="112"/>
      <c r="V152" s="112"/>
      <c r="W152" s="112"/>
      <c r="X152" s="112"/>
      <c r="Y152" s="15"/>
      <c r="AB152" s="15"/>
    </row>
    <row r="153" spans="3:28" x14ac:dyDescent="0.2">
      <c r="C153" s="45"/>
      <c r="D153" s="45"/>
      <c r="E153" s="45"/>
      <c r="F153" s="45"/>
      <c r="G153" s="45"/>
      <c r="H153" s="45"/>
      <c r="I153" s="45"/>
      <c r="J153" s="45"/>
      <c r="K153" s="45"/>
      <c r="L153" s="45"/>
      <c r="M153" s="112"/>
      <c r="N153" s="112"/>
      <c r="O153" s="112"/>
      <c r="P153" s="112"/>
      <c r="Q153" s="112"/>
      <c r="R153" s="112"/>
      <c r="S153" s="112"/>
      <c r="T153" s="112"/>
      <c r="U153" s="112"/>
      <c r="V153" s="112"/>
      <c r="W153" s="112"/>
      <c r="X153" s="112"/>
      <c r="Y153" s="15"/>
      <c r="AB153" s="15"/>
    </row>
    <row r="154" spans="3:28" x14ac:dyDescent="0.2">
      <c r="C154" s="45"/>
      <c r="D154" s="45"/>
      <c r="E154" s="45"/>
      <c r="F154" s="45"/>
      <c r="G154" s="45"/>
      <c r="H154" s="45"/>
      <c r="I154" s="45"/>
      <c r="J154" s="45"/>
      <c r="K154" s="45"/>
      <c r="L154" s="45"/>
      <c r="M154" s="112"/>
      <c r="N154" s="112"/>
      <c r="O154" s="112"/>
      <c r="P154" s="112"/>
      <c r="Q154" s="112"/>
      <c r="R154" s="112"/>
      <c r="S154" s="112"/>
      <c r="T154" s="112"/>
      <c r="U154" s="112"/>
      <c r="V154" s="112"/>
      <c r="W154" s="112"/>
      <c r="X154" s="112"/>
      <c r="Y154" s="15"/>
      <c r="AB154" s="15"/>
    </row>
    <row r="155" spans="3:28" x14ac:dyDescent="0.2">
      <c r="C155" s="45"/>
      <c r="D155" s="45"/>
      <c r="E155" s="45"/>
      <c r="F155" s="45"/>
      <c r="G155" s="45"/>
      <c r="H155" s="45"/>
      <c r="I155" s="45"/>
      <c r="J155" s="45"/>
      <c r="K155" s="45"/>
      <c r="L155" s="45"/>
      <c r="M155" s="112"/>
      <c r="N155" s="112"/>
      <c r="O155" s="112"/>
      <c r="P155" s="112"/>
      <c r="Q155" s="112"/>
      <c r="R155" s="112"/>
      <c r="S155" s="112"/>
      <c r="T155" s="112"/>
      <c r="U155" s="112"/>
      <c r="V155" s="112"/>
      <c r="W155" s="112"/>
      <c r="X155" s="112"/>
      <c r="Y155" s="15"/>
      <c r="AB155" s="15"/>
    </row>
    <row r="156" spans="3:28" x14ac:dyDescent="0.2">
      <c r="C156" s="45"/>
      <c r="D156" s="45"/>
      <c r="E156" s="45"/>
      <c r="F156" s="45"/>
      <c r="G156" s="45"/>
      <c r="H156" s="45"/>
      <c r="I156" s="45"/>
      <c r="J156" s="45"/>
      <c r="K156" s="45"/>
      <c r="L156" s="45"/>
      <c r="M156" s="112"/>
      <c r="N156" s="112"/>
      <c r="O156" s="112"/>
      <c r="P156" s="112"/>
      <c r="Q156" s="112"/>
      <c r="R156" s="112"/>
      <c r="S156" s="112"/>
      <c r="T156" s="112"/>
      <c r="U156" s="112"/>
      <c r="V156" s="112"/>
      <c r="W156" s="112"/>
      <c r="X156" s="112"/>
      <c r="Y156" s="15"/>
      <c r="AB156" s="15"/>
    </row>
    <row r="157" spans="3:28" x14ac:dyDescent="0.2">
      <c r="C157" s="45"/>
      <c r="D157" s="45"/>
      <c r="E157" s="45"/>
      <c r="F157" s="45"/>
      <c r="G157" s="45"/>
      <c r="H157" s="45"/>
      <c r="I157" s="45"/>
      <c r="J157" s="45"/>
      <c r="K157" s="45"/>
      <c r="L157" s="45"/>
      <c r="M157" s="112"/>
      <c r="N157" s="112"/>
      <c r="O157" s="112"/>
      <c r="P157" s="112"/>
      <c r="Q157" s="112"/>
      <c r="R157" s="112"/>
      <c r="S157" s="112"/>
      <c r="T157" s="112"/>
      <c r="U157" s="112"/>
      <c r="V157" s="112"/>
      <c r="W157" s="112"/>
      <c r="X157" s="112"/>
      <c r="Y157" s="15"/>
      <c r="AB157" s="15"/>
    </row>
    <row r="158" spans="3:28" x14ac:dyDescent="0.2">
      <c r="C158" s="45"/>
      <c r="D158" s="45"/>
      <c r="E158" s="45"/>
      <c r="F158" s="45"/>
      <c r="G158" s="45"/>
      <c r="H158" s="45"/>
      <c r="I158" s="45"/>
      <c r="J158" s="45"/>
      <c r="K158" s="45"/>
      <c r="L158" s="45"/>
      <c r="M158" s="112"/>
      <c r="N158" s="112"/>
      <c r="O158" s="112"/>
      <c r="P158" s="112"/>
      <c r="Q158" s="112"/>
      <c r="R158" s="112"/>
      <c r="S158" s="112"/>
      <c r="T158" s="112"/>
      <c r="U158" s="112"/>
      <c r="V158" s="112"/>
      <c r="W158" s="112"/>
      <c r="X158" s="112"/>
      <c r="Y158" s="15"/>
      <c r="AB158" s="15"/>
    </row>
    <row r="159" spans="3:28" x14ac:dyDescent="0.2">
      <c r="C159" s="45"/>
      <c r="D159" s="45"/>
      <c r="E159" s="45"/>
      <c r="F159" s="45"/>
      <c r="G159" s="45"/>
      <c r="H159" s="45"/>
      <c r="I159" s="45"/>
      <c r="J159" s="45"/>
      <c r="K159" s="45"/>
      <c r="L159" s="45"/>
      <c r="M159" s="112"/>
      <c r="N159" s="112"/>
      <c r="O159" s="112"/>
      <c r="P159" s="112"/>
      <c r="Q159" s="112"/>
      <c r="R159" s="112"/>
      <c r="S159" s="112"/>
      <c r="T159" s="112"/>
      <c r="U159" s="112"/>
      <c r="V159" s="112"/>
      <c r="W159" s="112"/>
      <c r="X159" s="112"/>
      <c r="Y159" s="15"/>
      <c r="AB159" s="15"/>
    </row>
    <row r="160" spans="3:28" x14ac:dyDescent="0.2">
      <c r="C160" s="45"/>
      <c r="D160" s="45"/>
      <c r="E160" s="45"/>
      <c r="F160" s="45"/>
      <c r="G160" s="45"/>
      <c r="H160" s="45"/>
      <c r="I160" s="45"/>
      <c r="J160" s="45"/>
      <c r="K160" s="45"/>
      <c r="L160" s="45"/>
      <c r="M160" s="112"/>
      <c r="N160" s="112"/>
      <c r="O160" s="112"/>
      <c r="P160" s="112"/>
      <c r="Q160" s="112"/>
      <c r="R160" s="112"/>
      <c r="S160" s="112"/>
      <c r="T160" s="112"/>
      <c r="U160" s="112"/>
      <c r="V160" s="112"/>
      <c r="W160" s="112"/>
      <c r="X160" s="112"/>
      <c r="Y160" s="15"/>
      <c r="AB160" s="15"/>
    </row>
    <row r="161" spans="3:28" x14ac:dyDescent="0.2">
      <c r="C161" s="45"/>
      <c r="D161" s="45"/>
      <c r="E161" s="45"/>
      <c r="F161" s="45"/>
      <c r="G161" s="45"/>
      <c r="H161" s="45"/>
      <c r="I161" s="45"/>
      <c r="J161" s="45"/>
      <c r="K161" s="45"/>
      <c r="L161" s="45"/>
      <c r="M161" s="112"/>
      <c r="N161" s="112"/>
      <c r="O161" s="112"/>
      <c r="P161" s="112"/>
      <c r="Q161" s="112"/>
      <c r="R161" s="112"/>
      <c r="S161" s="112"/>
      <c r="T161" s="112"/>
      <c r="U161" s="112"/>
      <c r="V161" s="112"/>
      <c r="W161" s="112"/>
      <c r="X161" s="112"/>
      <c r="Y161" s="15"/>
      <c r="AB161" s="15"/>
    </row>
    <row r="162" spans="3:28" x14ac:dyDescent="0.2">
      <c r="C162" s="45"/>
      <c r="D162" s="45"/>
      <c r="E162" s="45"/>
      <c r="F162" s="45"/>
      <c r="G162" s="45"/>
      <c r="H162" s="45"/>
      <c r="I162" s="45"/>
      <c r="J162" s="45"/>
      <c r="K162" s="45"/>
      <c r="L162" s="45"/>
      <c r="M162" s="112"/>
      <c r="N162" s="112"/>
      <c r="O162" s="112"/>
      <c r="P162" s="112"/>
      <c r="Q162" s="112"/>
      <c r="R162" s="112"/>
      <c r="S162" s="112"/>
      <c r="T162" s="112"/>
      <c r="U162" s="112"/>
      <c r="V162" s="112"/>
      <c r="W162" s="112"/>
      <c r="X162" s="112"/>
      <c r="Y162" s="15"/>
      <c r="AB162" s="15"/>
    </row>
    <row r="163" spans="3:28" x14ac:dyDescent="0.2">
      <c r="C163" s="45"/>
      <c r="D163" s="45"/>
      <c r="E163" s="45"/>
      <c r="F163" s="45"/>
      <c r="G163" s="45"/>
      <c r="H163" s="45"/>
      <c r="I163" s="45"/>
      <c r="J163" s="45"/>
      <c r="K163" s="45"/>
      <c r="L163" s="45"/>
      <c r="M163" s="112"/>
      <c r="N163" s="112"/>
      <c r="O163" s="112"/>
      <c r="P163" s="112"/>
      <c r="Q163" s="112"/>
      <c r="R163" s="112"/>
      <c r="S163" s="112"/>
      <c r="T163" s="112"/>
      <c r="U163" s="112"/>
      <c r="V163" s="112"/>
      <c r="W163" s="112"/>
      <c r="X163" s="112"/>
      <c r="Y163" s="15"/>
      <c r="AB163" s="15"/>
    </row>
    <row r="164" spans="3:28" x14ac:dyDescent="0.2">
      <c r="C164" s="45"/>
      <c r="D164" s="45"/>
      <c r="E164" s="45"/>
      <c r="F164" s="45"/>
      <c r="G164" s="45"/>
      <c r="H164" s="45"/>
      <c r="I164" s="45"/>
      <c r="J164" s="45"/>
      <c r="K164" s="45"/>
      <c r="L164" s="45"/>
      <c r="M164" s="112"/>
      <c r="N164" s="112"/>
      <c r="O164" s="112"/>
      <c r="P164" s="112"/>
      <c r="Q164" s="112"/>
      <c r="R164" s="112"/>
      <c r="S164" s="112"/>
      <c r="T164" s="112"/>
      <c r="U164" s="112"/>
      <c r="V164" s="112"/>
      <c r="W164" s="112"/>
      <c r="X164" s="112"/>
      <c r="Y164" s="15"/>
      <c r="AB164" s="15"/>
    </row>
    <row r="165" spans="3:28" x14ac:dyDescent="0.2">
      <c r="C165" s="45"/>
      <c r="D165" s="45"/>
      <c r="E165" s="45"/>
      <c r="F165" s="45"/>
      <c r="G165" s="45"/>
      <c r="H165" s="45"/>
      <c r="I165" s="45"/>
      <c r="J165" s="45"/>
      <c r="K165" s="45"/>
      <c r="L165" s="45"/>
      <c r="M165" s="112"/>
      <c r="N165" s="112"/>
      <c r="O165" s="112"/>
      <c r="P165" s="112"/>
      <c r="Q165" s="112"/>
      <c r="R165" s="112"/>
      <c r="S165" s="112"/>
      <c r="T165" s="112"/>
      <c r="U165" s="112"/>
      <c r="V165" s="112"/>
      <c r="W165" s="112"/>
      <c r="X165" s="112"/>
      <c r="Y165" s="15"/>
      <c r="AB165" s="15"/>
    </row>
    <row r="166" spans="3:28" x14ac:dyDescent="0.2">
      <c r="C166" s="45"/>
      <c r="D166" s="45"/>
      <c r="E166" s="45"/>
      <c r="F166" s="45"/>
      <c r="G166" s="45"/>
      <c r="H166" s="45"/>
      <c r="I166" s="45"/>
      <c r="J166" s="45"/>
      <c r="K166" s="45"/>
      <c r="L166" s="45"/>
      <c r="M166" s="112"/>
      <c r="N166" s="112"/>
      <c r="O166" s="112"/>
      <c r="P166" s="112"/>
      <c r="Q166" s="112"/>
      <c r="R166" s="112"/>
      <c r="S166" s="112"/>
      <c r="T166" s="112"/>
      <c r="U166" s="112"/>
      <c r="V166" s="112"/>
      <c r="W166" s="112"/>
      <c r="X166" s="112"/>
      <c r="Y166" s="15"/>
      <c r="AB166" s="15"/>
    </row>
    <row r="167" spans="3:28" x14ac:dyDescent="0.2">
      <c r="C167" s="45"/>
      <c r="D167" s="45"/>
      <c r="E167" s="45"/>
      <c r="F167" s="45"/>
      <c r="G167" s="45"/>
      <c r="H167" s="45"/>
      <c r="I167" s="45"/>
      <c r="J167" s="45"/>
      <c r="K167" s="45"/>
      <c r="L167" s="45"/>
      <c r="M167" s="112"/>
      <c r="N167" s="112"/>
      <c r="O167" s="112"/>
      <c r="P167" s="112"/>
      <c r="Q167" s="112"/>
      <c r="R167" s="112"/>
      <c r="S167" s="112"/>
      <c r="T167" s="112"/>
      <c r="U167" s="112"/>
      <c r="V167" s="112"/>
      <c r="W167" s="112"/>
      <c r="X167" s="112"/>
      <c r="Y167" s="15"/>
      <c r="AB167" s="15"/>
    </row>
    <row r="168" spans="3:28" x14ac:dyDescent="0.2">
      <c r="C168" s="45"/>
      <c r="D168" s="45"/>
      <c r="E168" s="45"/>
      <c r="F168" s="45"/>
      <c r="G168" s="45"/>
      <c r="H168" s="45"/>
      <c r="I168" s="45"/>
      <c r="J168" s="45"/>
      <c r="K168" s="45"/>
      <c r="L168" s="45"/>
      <c r="M168" s="112"/>
      <c r="N168" s="112"/>
      <c r="O168" s="112"/>
      <c r="P168" s="112"/>
      <c r="Q168" s="112"/>
      <c r="R168" s="112"/>
      <c r="S168" s="112"/>
      <c r="T168" s="112"/>
      <c r="U168" s="112"/>
      <c r="V168" s="112"/>
      <c r="W168" s="112"/>
      <c r="X168" s="112"/>
      <c r="Y168" s="15"/>
      <c r="AB168" s="15"/>
    </row>
    <row r="169" spans="3:28" x14ac:dyDescent="0.2">
      <c r="C169" s="45"/>
      <c r="D169" s="45"/>
      <c r="E169" s="45"/>
      <c r="F169" s="45"/>
      <c r="G169" s="45"/>
      <c r="H169" s="45"/>
      <c r="I169" s="45"/>
      <c r="J169" s="45"/>
      <c r="K169" s="45"/>
      <c r="L169" s="45"/>
      <c r="M169" s="112"/>
      <c r="N169" s="112"/>
      <c r="O169" s="112"/>
      <c r="P169" s="112"/>
      <c r="Q169" s="112"/>
      <c r="R169" s="112"/>
      <c r="S169" s="112"/>
      <c r="T169" s="112"/>
      <c r="U169" s="112"/>
      <c r="V169" s="112"/>
      <c r="W169" s="112"/>
      <c r="X169" s="112"/>
      <c r="Y169" s="15"/>
      <c r="AB169" s="15"/>
    </row>
    <row r="170" spans="3:28" x14ac:dyDescent="0.2">
      <c r="C170" s="45"/>
      <c r="D170" s="45"/>
      <c r="E170" s="45"/>
      <c r="F170" s="45"/>
      <c r="G170" s="45"/>
      <c r="H170" s="45"/>
      <c r="I170" s="45"/>
      <c r="J170" s="45"/>
      <c r="K170" s="45"/>
      <c r="L170" s="45"/>
      <c r="M170" s="112"/>
      <c r="N170" s="112"/>
      <c r="O170" s="112"/>
      <c r="P170" s="112"/>
      <c r="Q170" s="112"/>
      <c r="R170" s="112"/>
      <c r="S170" s="112"/>
      <c r="T170" s="112"/>
      <c r="U170" s="112"/>
      <c r="V170" s="112"/>
      <c r="W170" s="112"/>
      <c r="X170" s="112"/>
      <c r="Y170" s="15"/>
      <c r="AB170" s="15"/>
    </row>
    <row r="171" spans="3:28" x14ac:dyDescent="0.2">
      <c r="C171" s="45"/>
      <c r="D171" s="45"/>
      <c r="E171" s="45"/>
      <c r="F171" s="45"/>
      <c r="G171" s="45"/>
      <c r="H171" s="45"/>
      <c r="I171" s="45"/>
      <c r="J171" s="45"/>
      <c r="K171" s="45"/>
      <c r="L171" s="45"/>
      <c r="M171" s="112"/>
      <c r="N171" s="112"/>
      <c r="O171" s="112"/>
      <c r="P171" s="112"/>
      <c r="Q171" s="112"/>
      <c r="R171" s="112"/>
      <c r="S171" s="112"/>
      <c r="T171" s="112"/>
      <c r="U171" s="112"/>
      <c r="V171" s="112"/>
      <c r="W171" s="112"/>
      <c r="X171" s="112"/>
      <c r="Y171" s="15"/>
      <c r="AB171" s="15"/>
    </row>
    <row r="172" spans="3:28" x14ac:dyDescent="0.2">
      <c r="C172" s="45"/>
      <c r="D172" s="45"/>
      <c r="E172" s="45"/>
      <c r="F172" s="45"/>
      <c r="G172" s="45"/>
      <c r="H172" s="45"/>
      <c r="I172" s="45"/>
      <c r="J172" s="45"/>
      <c r="K172" s="45"/>
      <c r="L172" s="45"/>
      <c r="M172" s="112"/>
      <c r="N172" s="112"/>
      <c r="O172" s="112"/>
      <c r="P172" s="112"/>
      <c r="Q172" s="112"/>
      <c r="R172" s="112"/>
      <c r="S172" s="112"/>
      <c r="T172" s="112"/>
      <c r="U172" s="112"/>
      <c r="V172" s="112"/>
      <c r="W172" s="112"/>
      <c r="X172" s="112"/>
      <c r="Y172" s="15"/>
      <c r="AB172" s="15"/>
    </row>
    <row r="173" spans="3:28" x14ac:dyDescent="0.2">
      <c r="C173" s="45"/>
      <c r="D173" s="45"/>
      <c r="E173" s="45"/>
      <c r="F173" s="45"/>
      <c r="G173" s="45"/>
      <c r="H173" s="45"/>
      <c r="I173" s="45"/>
      <c r="J173" s="45"/>
      <c r="K173" s="45"/>
      <c r="L173" s="45"/>
      <c r="M173" s="112"/>
      <c r="N173" s="112"/>
      <c r="O173" s="112"/>
      <c r="P173" s="112"/>
      <c r="Q173" s="112"/>
      <c r="R173" s="112"/>
      <c r="S173" s="112"/>
      <c r="T173" s="112"/>
      <c r="U173" s="112"/>
      <c r="V173" s="112"/>
      <c r="W173" s="112"/>
      <c r="X173" s="112"/>
      <c r="Y173" s="15"/>
      <c r="AB173" s="15"/>
    </row>
    <row r="174" spans="3:28" x14ac:dyDescent="0.2">
      <c r="C174" s="45"/>
      <c r="D174" s="45"/>
      <c r="E174" s="45"/>
      <c r="F174" s="45"/>
      <c r="G174" s="45"/>
      <c r="H174" s="45"/>
      <c r="I174" s="45"/>
      <c r="J174" s="45"/>
      <c r="K174" s="45"/>
      <c r="L174" s="45"/>
      <c r="M174" s="112"/>
      <c r="N174" s="112"/>
      <c r="O174" s="112"/>
      <c r="P174" s="112"/>
      <c r="Q174" s="112"/>
      <c r="R174" s="112"/>
      <c r="S174" s="112"/>
      <c r="T174" s="112"/>
      <c r="U174" s="112"/>
      <c r="V174" s="112"/>
      <c r="W174" s="112"/>
      <c r="X174" s="112"/>
      <c r="Y174" s="15"/>
      <c r="AB174" s="15"/>
    </row>
    <row r="175" spans="3:28" x14ac:dyDescent="0.2">
      <c r="C175" s="45"/>
      <c r="D175" s="45"/>
      <c r="E175" s="45"/>
      <c r="F175" s="45"/>
      <c r="G175" s="45"/>
      <c r="H175" s="45"/>
      <c r="I175" s="45"/>
      <c r="J175" s="45"/>
      <c r="K175" s="45"/>
      <c r="L175" s="45"/>
      <c r="M175" s="112"/>
      <c r="N175" s="112"/>
      <c r="O175" s="112"/>
      <c r="P175" s="112"/>
      <c r="Q175" s="112"/>
      <c r="R175" s="112"/>
      <c r="S175" s="112"/>
      <c r="T175" s="112"/>
      <c r="U175" s="112"/>
      <c r="V175" s="112"/>
      <c r="W175" s="112"/>
      <c r="X175" s="112"/>
      <c r="Y175" s="15"/>
      <c r="AB175" s="15"/>
    </row>
    <row r="176" spans="3:28" x14ac:dyDescent="0.2">
      <c r="C176" s="45"/>
      <c r="D176" s="45"/>
      <c r="E176" s="45"/>
      <c r="F176" s="45"/>
      <c r="G176" s="45"/>
      <c r="H176" s="45"/>
      <c r="I176" s="45"/>
      <c r="J176" s="45"/>
      <c r="K176" s="45"/>
      <c r="L176" s="45"/>
      <c r="M176" s="112"/>
      <c r="N176" s="112"/>
      <c r="O176" s="112"/>
      <c r="P176" s="112"/>
      <c r="Q176" s="112"/>
      <c r="R176" s="112"/>
      <c r="S176" s="112"/>
      <c r="T176" s="112"/>
      <c r="U176" s="112"/>
      <c r="V176" s="112"/>
      <c r="W176" s="112"/>
      <c r="X176" s="112"/>
      <c r="Y176" s="15"/>
      <c r="AB176" s="15"/>
    </row>
    <row r="177" spans="3:28" x14ac:dyDescent="0.2">
      <c r="C177" s="45"/>
      <c r="D177" s="45"/>
      <c r="E177" s="45"/>
      <c r="F177" s="45"/>
      <c r="G177" s="45"/>
      <c r="H177" s="45"/>
      <c r="I177" s="45"/>
      <c r="J177" s="45"/>
      <c r="K177" s="45"/>
      <c r="L177" s="45"/>
      <c r="M177" s="112"/>
      <c r="N177" s="112"/>
      <c r="O177" s="112"/>
      <c r="P177" s="112"/>
      <c r="Q177" s="112"/>
      <c r="R177" s="112"/>
      <c r="S177" s="112"/>
      <c r="T177" s="112"/>
      <c r="U177" s="112"/>
      <c r="V177" s="112"/>
      <c r="W177" s="112"/>
      <c r="X177" s="112"/>
      <c r="Y177" s="15"/>
      <c r="AB177" s="15"/>
    </row>
    <row r="178" spans="3:28" x14ac:dyDescent="0.2">
      <c r="C178" s="45"/>
      <c r="D178" s="45"/>
      <c r="E178" s="45"/>
      <c r="F178" s="45"/>
      <c r="G178" s="45"/>
      <c r="H178" s="45"/>
      <c r="I178" s="45"/>
      <c r="J178" s="45"/>
      <c r="K178" s="45"/>
      <c r="L178" s="45"/>
      <c r="M178" s="112"/>
      <c r="N178" s="112"/>
      <c r="O178" s="112"/>
      <c r="P178" s="112"/>
      <c r="Q178" s="112"/>
      <c r="R178" s="112"/>
      <c r="S178" s="112"/>
      <c r="T178" s="112"/>
      <c r="U178" s="112"/>
      <c r="V178" s="112"/>
      <c r="W178" s="112"/>
      <c r="X178" s="112"/>
      <c r="Y178" s="15"/>
      <c r="AB178" s="15"/>
    </row>
    <row r="179" spans="3:28" x14ac:dyDescent="0.2">
      <c r="C179" s="45"/>
      <c r="D179" s="45"/>
      <c r="E179" s="45"/>
      <c r="F179" s="45"/>
      <c r="G179" s="45"/>
      <c r="H179" s="45"/>
      <c r="I179" s="45"/>
      <c r="J179" s="45"/>
      <c r="K179" s="45"/>
      <c r="L179" s="45"/>
      <c r="M179" s="112"/>
      <c r="N179" s="112"/>
      <c r="O179" s="112"/>
      <c r="P179" s="112"/>
      <c r="Q179" s="112"/>
      <c r="R179" s="112"/>
      <c r="S179" s="112"/>
      <c r="T179" s="112"/>
      <c r="U179" s="112"/>
      <c r="V179" s="112"/>
      <c r="W179" s="112"/>
      <c r="X179" s="112"/>
      <c r="Y179" s="15"/>
      <c r="AB179" s="15"/>
    </row>
    <row r="180" spans="3:28" x14ac:dyDescent="0.2">
      <c r="C180" s="45"/>
      <c r="D180" s="45"/>
      <c r="E180" s="45"/>
      <c r="F180" s="45"/>
      <c r="G180" s="45"/>
      <c r="H180" s="45"/>
      <c r="I180" s="45"/>
      <c r="J180" s="45"/>
      <c r="K180" s="45"/>
      <c r="L180" s="45"/>
      <c r="M180" s="112"/>
      <c r="N180" s="112"/>
      <c r="O180" s="112"/>
      <c r="P180" s="112"/>
      <c r="Q180" s="112"/>
      <c r="R180" s="112"/>
      <c r="S180" s="112"/>
      <c r="T180" s="112"/>
      <c r="U180" s="112"/>
      <c r="V180" s="112"/>
      <c r="W180" s="112"/>
      <c r="X180" s="112"/>
      <c r="Y180" s="15"/>
      <c r="AB180" s="15"/>
    </row>
    <row r="181" spans="3:28" x14ac:dyDescent="0.2">
      <c r="C181" s="45"/>
      <c r="D181" s="45"/>
      <c r="E181" s="45"/>
      <c r="F181" s="45"/>
      <c r="G181" s="45"/>
      <c r="H181" s="45"/>
      <c r="I181" s="45"/>
      <c r="J181" s="45"/>
      <c r="K181" s="45"/>
      <c r="L181" s="45"/>
      <c r="M181" s="112"/>
      <c r="N181" s="112"/>
      <c r="O181" s="112"/>
      <c r="P181" s="112"/>
      <c r="Q181" s="112"/>
      <c r="R181" s="112"/>
      <c r="S181" s="112"/>
      <c r="T181" s="112"/>
      <c r="U181" s="112"/>
      <c r="V181" s="112"/>
      <c r="W181" s="112"/>
      <c r="X181" s="112"/>
      <c r="Y181" s="15"/>
      <c r="AB181" s="15"/>
    </row>
    <row r="182" spans="3:28" x14ac:dyDescent="0.2">
      <c r="C182" s="45"/>
      <c r="D182" s="45"/>
      <c r="E182" s="45"/>
      <c r="F182" s="45"/>
      <c r="G182" s="45"/>
      <c r="H182" s="45"/>
      <c r="I182" s="45"/>
      <c r="J182" s="45"/>
      <c r="K182" s="45"/>
      <c r="L182" s="45"/>
      <c r="M182" s="112"/>
      <c r="N182" s="112"/>
      <c r="O182" s="112"/>
      <c r="P182" s="112"/>
      <c r="Q182" s="112"/>
      <c r="R182" s="112"/>
      <c r="S182" s="112"/>
      <c r="T182" s="112"/>
      <c r="U182" s="112"/>
      <c r="V182" s="112"/>
      <c r="W182" s="112"/>
      <c r="X182" s="112"/>
      <c r="Y182" s="15"/>
      <c r="AB182" s="15"/>
    </row>
    <row r="183" spans="3:28" x14ac:dyDescent="0.2">
      <c r="C183" s="45"/>
      <c r="D183" s="45"/>
      <c r="E183" s="45"/>
      <c r="F183" s="45"/>
      <c r="G183" s="45"/>
      <c r="H183" s="45"/>
      <c r="I183" s="45"/>
      <c r="J183" s="45"/>
      <c r="K183" s="45"/>
      <c r="L183" s="45"/>
      <c r="M183" s="112"/>
      <c r="N183" s="112"/>
      <c r="O183" s="112"/>
      <c r="P183" s="112"/>
      <c r="Q183" s="112"/>
      <c r="R183" s="112"/>
      <c r="S183" s="112"/>
      <c r="T183" s="112"/>
      <c r="U183" s="112"/>
      <c r="V183" s="112"/>
      <c r="W183" s="112"/>
      <c r="X183" s="112"/>
      <c r="Y183" s="15"/>
      <c r="AB183" s="15"/>
    </row>
    <row r="184" spans="3:28" x14ac:dyDescent="0.2">
      <c r="C184" s="45"/>
      <c r="D184" s="45"/>
      <c r="E184" s="45"/>
      <c r="F184" s="45"/>
      <c r="G184" s="45"/>
      <c r="H184" s="45"/>
      <c r="I184" s="45"/>
      <c r="J184" s="45"/>
      <c r="K184" s="45"/>
      <c r="L184" s="45"/>
      <c r="M184" s="112"/>
      <c r="N184" s="112"/>
      <c r="O184" s="112"/>
      <c r="P184" s="112"/>
      <c r="Q184" s="112"/>
      <c r="R184" s="112"/>
      <c r="S184" s="112"/>
      <c r="T184" s="112"/>
      <c r="U184" s="112"/>
      <c r="V184" s="112"/>
      <c r="W184" s="112"/>
      <c r="X184" s="112"/>
      <c r="Y184" s="15"/>
      <c r="AB184" s="15"/>
    </row>
    <row r="185" spans="3:28" x14ac:dyDescent="0.2">
      <c r="C185" s="45"/>
      <c r="D185" s="45"/>
      <c r="E185" s="45"/>
      <c r="F185" s="45"/>
      <c r="G185" s="45"/>
      <c r="H185" s="45"/>
      <c r="I185" s="45"/>
      <c r="J185" s="45"/>
      <c r="K185" s="45"/>
      <c r="L185" s="45"/>
      <c r="M185" s="112"/>
      <c r="N185" s="112"/>
      <c r="O185" s="112"/>
      <c r="P185" s="112"/>
      <c r="Q185" s="112"/>
      <c r="R185" s="112"/>
      <c r="S185" s="112"/>
      <c r="T185" s="112"/>
      <c r="U185" s="112"/>
      <c r="V185" s="112"/>
      <c r="W185" s="112"/>
      <c r="X185" s="112"/>
      <c r="Y185" s="15"/>
      <c r="AB185" s="15"/>
    </row>
    <row r="186" spans="3:28" x14ac:dyDescent="0.2">
      <c r="C186" s="45"/>
      <c r="D186" s="45"/>
      <c r="E186" s="45"/>
      <c r="F186" s="45"/>
      <c r="G186" s="45"/>
      <c r="H186" s="45"/>
      <c r="I186" s="45"/>
      <c r="J186" s="45"/>
      <c r="K186" s="45"/>
      <c r="L186" s="45"/>
      <c r="M186" s="112"/>
      <c r="N186" s="112"/>
      <c r="O186" s="112"/>
      <c r="P186" s="112"/>
      <c r="Q186" s="112"/>
      <c r="R186" s="112"/>
      <c r="S186" s="112"/>
      <c r="T186" s="112"/>
      <c r="U186" s="112"/>
      <c r="V186" s="112"/>
      <c r="W186" s="112"/>
      <c r="X186" s="112"/>
      <c r="Y186" s="15"/>
      <c r="AB186" s="15"/>
    </row>
    <row r="187" spans="3:28" x14ac:dyDescent="0.2">
      <c r="C187" s="45"/>
      <c r="D187" s="45"/>
      <c r="E187" s="45"/>
      <c r="F187" s="45"/>
      <c r="G187" s="45"/>
      <c r="H187" s="45"/>
      <c r="I187" s="45"/>
      <c r="J187" s="45"/>
      <c r="K187" s="45"/>
      <c r="L187" s="45"/>
      <c r="M187" s="112"/>
      <c r="N187" s="112"/>
      <c r="O187" s="112"/>
      <c r="P187" s="112"/>
      <c r="Q187" s="112"/>
      <c r="R187" s="112"/>
      <c r="S187" s="112"/>
      <c r="T187" s="112"/>
      <c r="U187" s="112"/>
      <c r="V187" s="112"/>
      <c r="W187" s="112"/>
      <c r="X187" s="112"/>
      <c r="Y187" s="15"/>
      <c r="AB187" s="15"/>
    </row>
    <row r="188" spans="3:28" x14ac:dyDescent="0.2">
      <c r="C188" s="45"/>
      <c r="D188" s="45"/>
      <c r="E188" s="45"/>
      <c r="F188" s="45"/>
      <c r="G188" s="45"/>
      <c r="H188" s="45"/>
      <c r="I188" s="45"/>
      <c r="J188" s="45"/>
      <c r="K188" s="45"/>
      <c r="L188" s="45"/>
      <c r="M188" s="112"/>
      <c r="N188" s="112"/>
      <c r="O188" s="112"/>
      <c r="P188" s="112"/>
      <c r="Q188" s="112"/>
      <c r="R188" s="112"/>
      <c r="S188" s="112"/>
      <c r="T188" s="112"/>
      <c r="U188" s="112"/>
      <c r="V188" s="112"/>
      <c r="W188" s="112"/>
      <c r="X188" s="112"/>
      <c r="Y188" s="15"/>
      <c r="AB188" s="15"/>
    </row>
    <row r="189" spans="3:28" x14ac:dyDescent="0.2">
      <c r="C189" s="45"/>
      <c r="D189" s="45"/>
      <c r="E189" s="45"/>
      <c r="F189" s="45"/>
      <c r="G189" s="45"/>
      <c r="H189" s="45"/>
      <c r="I189" s="45"/>
      <c r="J189" s="45"/>
      <c r="K189" s="45"/>
      <c r="L189" s="45"/>
      <c r="M189" s="112"/>
      <c r="N189" s="112"/>
      <c r="O189" s="112"/>
      <c r="P189" s="112"/>
      <c r="Q189" s="112"/>
      <c r="R189" s="112"/>
      <c r="S189" s="112"/>
      <c r="T189" s="112"/>
      <c r="U189" s="112"/>
      <c r="V189" s="112"/>
      <c r="W189" s="112"/>
      <c r="X189" s="112"/>
      <c r="Y189" s="15"/>
      <c r="AB189" s="15"/>
    </row>
    <row r="190" spans="3:28" x14ac:dyDescent="0.2">
      <c r="C190" s="45"/>
      <c r="D190" s="45"/>
      <c r="E190" s="45"/>
      <c r="F190" s="45"/>
      <c r="G190" s="45"/>
      <c r="H190" s="45"/>
      <c r="I190" s="45"/>
      <c r="J190" s="45"/>
      <c r="K190" s="45"/>
      <c r="L190" s="45"/>
      <c r="M190" s="112"/>
      <c r="N190" s="112"/>
      <c r="O190" s="112"/>
      <c r="P190" s="112"/>
      <c r="Q190" s="112"/>
      <c r="R190" s="112"/>
      <c r="S190" s="112"/>
      <c r="T190" s="112"/>
      <c r="U190" s="112"/>
      <c r="V190" s="112"/>
      <c r="W190" s="112"/>
      <c r="X190" s="112"/>
      <c r="Y190" s="15"/>
      <c r="AB190" s="15"/>
    </row>
    <row r="191" spans="3:28" x14ac:dyDescent="0.2">
      <c r="C191" s="45"/>
      <c r="D191" s="45"/>
      <c r="E191" s="45"/>
      <c r="F191" s="45"/>
      <c r="G191" s="45"/>
      <c r="H191" s="45"/>
      <c r="I191" s="45"/>
      <c r="J191" s="45"/>
      <c r="K191" s="45"/>
      <c r="L191" s="45"/>
      <c r="M191" s="112"/>
      <c r="N191" s="112"/>
      <c r="O191" s="112"/>
      <c r="P191" s="112"/>
      <c r="Q191" s="112"/>
      <c r="R191" s="112"/>
      <c r="S191" s="112"/>
      <c r="T191" s="112"/>
      <c r="U191" s="112"/>
      <c r="V191" s="112"/>
      <c r="W191" s="112"/>
      <c r="X191" s="112"/>
      <c r="Y191" s="15"/>
      <c r="AB191" s="15"/>
    </row>
    <row r="192" spans="3:28" x14ac:dyDescent="0.2">
      <c r="C192" s="45"/>
      <c r="D192" s="45"/>
      <c r="E192" s="45"/>
      <c r="F192" s="45"/>
      <c r="G192" s="45"/>
      <c r="H192" s="45"/>
      <c r="I192" s="45"/>
      <c r="J192" s="45"/>
      <c r="K192" s="45"/>
      <c r="L192" s="45"/>
      <c r="M192" s="112"/>
      <c r="N192" s="112"/>
      <c r="O192" s="112"/>
      <c r="P192" s="112"/>
      <c r="Q192" s="112"/>
      <c r="R192" s="112"/>
      <c r="S192" s="112"/>
      <c r="T192" s="112"/>
      <c r="U192" s="112"/>
      <c r="V192" s="112"/>
      <c r="W192" s="112"/>
      <c r="X192" s="112"/>
      <c r="Y192" s="15"/>
      <c r="AB192" s="15"/>
    </row>
    <row r="193" spans="3:28" x14ac:dyDescent="0.2">
      <c r="C193" s="45"/>
      <c r="D193" s="45"/>
      <c r="E193" s="45"/>
      <c r="F193" s="45"/>
      <c r="G193" s="45"/>
      <c r="H193" s="45"/>
      <c r="I193" s="45"/>
      <c r="J193" s="45"/>
      <c r="K193" s="45"/>
      <c r="L193" s="45"/>
      <c r="M193" s="112"/>
      <c r="N193" s="112"/>
      <c r="O193" s="112"/>
      <c r="P193" s="112"/>
      <c r="Q193" s="112"/>
      <c r="R193" s="112"/>
      <c r="S193" s="112"/>
      <c r="T193" s="112"/>
      <c r="U193" s="112"/>
      <c r="V193" s="112"/>
      <c r="W193" s="112"/>
      <c r="X193" s="112"/>
      <c r="Y193" s="15"/>
      <c r="AB193" s="15"/>
    </row>
    <row r="194" spans="3:28" x14ac:dyDescent="0.2">
      <c r="C194" s="45"/>
      <c r="D194" s="45"/>
      <c r="E194" s="45"/>
      <c r="F194" s="45"/>
      <c r="G194" s="45"/>
      <c r="H194" s="45"/>
      <c r="I194" s="45"/>
      <c r="J194" s="45"/>
      <c r="K194" s="45"/>
      <c r="L194" s="45"/>
      <c r="M194" s="112"/>
      <c r="N194" s="112"/>
      <c r="O194" s="112"/>
      <c r="P194" s="112"/>
      <c r="Q194" s="112"/>
      <c r="R194" s="112"/>
      <c r="S194" s="112"/>
      <c r="T194" s="112"/>
      <c r="U194" s="112"/>
      <c r="V194" s="112"/>
      <c r="W194" s="112"/>
      <c r="X194" s="112"/>
      <c r="Y194" s="15"/>
      <c r="AB194" s="15"/>
    </row>
    <row r="195" spans="3:28" x14ac:dyDescent="0.2">
      <c r="C195" s="45"/>
      <c r="D195" s="45"/>
      <c r="E195" s="45"/>
      <c r="F195" s="45"/>
      <c r="G195" s="45"/>
      <c r="H195" s="45"/>
      <c r="I195" s="45"/>
      <c r="J195" s="45"/>
      <c r="K195" s="45"/>
      <c r="L195" s="45"/>
      <c r="M195" s="112"/>
      <c r="N195" s="112"/>
      <c r="O195" s="112"/>
      <c r="P195" s="112"/>
      <c r="Q195" s="112"/>
      <c r="R195" s="112"/>
      <c r="S195" s="112"/>
      <c r="T195" s="112"/>
      <c r="U195" s="112"/>
      <c r="V195" s="112"/>
      <c r="W195" s="112"/>
      <c r="X195" s="112"/>
      <c r="Y195" s="15"/>
      <c r="AB195" s="15"/>
    </row>
    <row r="196" spans="3:28" x14ac:dyDescent="0.2">
      <c r="C196" s="45"/>
      <c r="D196" s="45"/>
      <c r="E196" s="45"/>
      <c r="F196" s="45"/>
      <c r="G196" s="45"/>
      <c r="H196" s="45"/>
      <c r="I196" s="45"/>
      <c r="J196" s="45"/>
      <c r="K196" s="45"/>
      <c r="L196" s="45"/>
      <c r="M196" s="112"/>
      <c r="N196" s="112"/>
      <c r="O196" s="112"/>
      <c r="P196" s="112"/>
      <c r="Q196" s="112"/>
      <c r="R196" s="112"/>
      <c r="S196" s="112"/>
      <c r="T196" s="112"/>
      <c r="U196" s="112"/>
      <c r="V196" s="112"/>
      <c r="W196" s="112"/>
      <c r="X196" s="112"/>
      <c r="Y196" s="15"/>
      <c r="AB196" s="15"/>
    </row>
    <row r="197" spans="3:28" x14ac:dyDescent="0.2">
      <c r="C197" s="45"/>
      <c r="D197" s="45"/>
      <c r="E197" s="45"/>
      <c r="F197" s="45"/>
      <c r="G197" s="45"/>
      <c r="H197" s="45"/>
      <c r="I197" s="45"/>
      <c r="J197" s="45"/>
      <c r="K197" s="45"/>
      <c r="L197" s="45"/>
      <c r="M197" s="112"/>
      <c r="N197" s="112"/>
      <c r="O197" s="112"/>
      <c r="P197" s="112"/>
      <c r="Q197" s="112"/>
      <c r="R197" s="112"/>
      <c r="S197" s="112"/>
      <c r="T197" s="112"/>
      <c r="U197" s="112"/>
      <c r="V197" s="112"/>
      <c r="W197" s="112"/>
      <c r="X197" s="112"/>
      <c r="Y197" s="15"/>
      <c r="AB197" s="15"/>
    </row>
    <row r="198" spans="3:28" x14ac:dyDescent="0.2">
      <c r="C198" s="45"/>
      <c r="D198" s="45"/>
      <c r="E198" s="45"/>
      <c r="F198" s="45"/>
      <c r="G198" s="45"/>
      <c r="H198" s="45"/>
      <c r="I198" s="45"/>
      <c r="J198" s="45"/>
      <c r="K198" s="45"/>
      <c r="L198" s="45"/>
      <c r="M198" s="112"/>
      <c r="N198" s="112"/>
      <c r="O198" s="112"/>
      <c r="P198" s="112"/>
      <c r="Q198" s="112"/>
      <c r="R198" s="112"/>
      <c r="S198" s="112"/>
      <c r="T198" s="112"/>
      <c r="U198" s="112"/>
      <c r="V198" s="112"/>
      <c r="W198" s="112"/>
      <c r="X198" s="112"/>
      <c r="Y198" s="15"/>
      <c r="AB198" s="15"/>
    </row>
    <row r="199" spans="3:28" x14ac:dyDescent="0.2">
      <c r="C199" s="45"/>
      <c r="D199" s="45"/>
      <c r="E199" s="45"/>
      <c r="F199" s="45"/>
      <c r="G199" s="45"/>
      <c r="H199" s="45"/>
      <c r="I199" s="45"/>
      <c r="J199" s="45"/>
      <c r="K199" s="45"/>
      <c r="L199" s="45"/>
      <c r="M199" s="112"/>
      <c r="N199" s="112"/>
      <c r="O199" s="112"/>
      <c r="P199" s="112"/>
      <c r="Q199" s="112"/>
      <c r="R199" s="112"/>
      <c r="S199" s="112"/>
      <c r="T199" s="112"/>
      <c r="U199" s="112"/>
      <c r="V199" s="112"/>
      <c r="W199" s="112"/>
      <c r="X199" s="112"/>
      <c r="Y199" s="15"/>
      <c r="AB199" s="15"/>
    </row>
    <row r="200" spans="3:28" x14ac:dyDescent="0.2">
      <c r="C200" s="45"/>
      <c r="D200" s="45"/>
      <c r="E200" s="45"/>
      <c r="F200" s="45"/>
      <c r="G200" s="45"/>
      <c r="H200" s="45"/>
      <c r="I200" s="45"/>
      <c r="J200" s="45"/>
      <c r="K200" s="45"/>
      <c r="L200" s="45"/>
      <c r="M200" s="112"/>
      <c r="N200" s="112"/>
      <c r="O200" s="112"/>
      <c r="P200" s="112"/>
      <c r="Q200" s="112"/>
      <c r="R200" s="112"/>
      <c r="S200" s="112"/>
      <c r="T200" s="112"/>
      <c r="U200" s="112"/>
      <c r="V200" s="112"/>
      <c r="W200" s="112"/>
      <c r="X200" s="112"/>
      <c r="Y200" s="15"/>
      <c r="AB200" s="15"/>
    </row>
    <row r="201" spans="3:28" x14ac:dyDescent="0.2">
      <c r="C201" s="45"/>
      <c r="D201" s="45"/>
      <c r="E201" s="45"/>
      <c r="F201" s="45"/>
      <c r="G201" s="45"/>
      <c r="H201" s="45"/>
      <c r="I201" s="45"/>
      <c r="J201" s="45"/>
      <c r="K201" s="45"/>
      <c r="L201" s="45"/>
      <c r="M201" s="112"/>
      <c r="N201" s="112"/>
      <c r="O201" s="112"/>
      <c r="P201" s="112"/>
      <c r="Q201" s="112"/>
      <c r="R201" s="112"/>
      <c r="S201" s="112"/>
      <c r="T201" s="112"/>
      <c r="U201" s="112"/>
      <c r="V201" s="112"/>
      <c r="W201" s="112"/>
      <c r="X201" s="112"/>
      <c r="Y201" s="15"/>
      <c r="AB201" s="15"/>
    </row>
    <row r="202" spans="3:28" x14ac:dyDescent="0.2">
      <c r="C202" s="45"/>
      <c r="D202" s="45"/>
      <c r="E202" s="45"/>
      <c r="F202" s="45"/>
      <c r="G202" s="45"/>
      <c r="H202" s="45"/>
      <c r="I202" s="45"/>
      <c r="J202" s="45"/>
      <c r="K202" s="45"/>
      <c r="L202" s="45"/>
      <c r="M202" s="112"/>
      <c r="N202" s="112"/>
      <c r="O202" s="112"/>
      <c r="P202" s="112"/>
      <c r="Q202" s="112"/>
      <c r="R202" s="112"/>
      <c r="S202" s="112"/>
      <c r="T202" s="112"/>
      <c r="U202" s="112"/>
      <c r="V202" s="112"/>
      <c r="W202" s="112"/>
      <c r="X202" s="112"/>
      <c r="Y202" s="15"/>
      <c r="AB202" s="15"/>
    </row>
    <row r="203" spans="3:28" x14ac:dyDescent="0.2">
      <c r="C203" s="45"/>
      <c r="D203" s="45"/>
      <c r="E203" s="45"/>
      <c r="F203" s="45"/>
      <c r="G203" s="45"/>
      <c r="H203" s="45"/>
      <c r="I203" s="45"/>
      <c r="J203" s="45"/>
      <c r="K203" s="45"/>
      <c r="L203" s="45"/>
      <c r="M203" s="112"/>
      <c r="N203" s="112"/>
      <c r="O203" s="112"/>
      <c r="P203" s="112"/>
      <c r="Q203" s="112"/>
      <c r="R203" s="112"/>
      <c r="S203" s="112"/>
      <c r="T203" s="112"/>
      <c r="U203" s="112"/>
      <c r="V203" s="112"/>
      <c r="W203" s="112"/>
      <c r="X203" s="112"/>
      <c r="Y203" s="15"/>
      <c r="AB203" s="15"/>
    </row>
    <row r="204" spans="3:28" x14ac:dyDescent="0.2">
      <c r="C204" s="45"/>
      <c r="D204" s="45"/>
      <c r="E204" s="45"/>
      <c r="F204" s="45"/>
      <c r="G204" s="45"/>
      <c r="H204" s="45"/>
      <c r="I204" s="45"/>
      <c r="J204" s="45"/>
      <c r="K204" s="45"/>
      <c r="L204" s="45"/>
      <c r="M204" s="112"/>
      <c r="N204" s="112"/>
      <c r="O204" s="112"/>
      <c r="P204" s="112"/>
      <c r="Q204" s="112"/>
      <c r="R204" s="112"/>
      <c r="S204" s="112"/>
      <c r="T204" s="112"/>
      <c r="U204" s="112"/>
      <c r="V204" s="112"/>
      <c r="W204" s="112"/>
      <c r="X204" s="112"/>
      <c r="Y204" s="15"/>
      <c r="AB204" s="15"/>
    </row>
    <row r="205" spans="3:28" x14ac:dyDescent="0.2">
      <c r="C205" s="45"/>
      <c r="D205" s="45"/>
      <c r="E205" s="45"/>
      <c r="F205" s="45"/>
      <c r="G205" s="45"/>
      <c r="H205" s="45"/>
      <c r="I205" s="45"/>
      <c r="J205" s="45"/>
      <c r="K205" s="45"/>
      <c r="L205" s="45"/>
      <c r="M205" s="112"/>
      <c r="N205" s="112"/>
      <c r="O205" s="112"/>
      <c r="P205" s="112"/>
      <c r="Q205" s="112"/>
      <c r="R205" s="112"/>
      <c r="S205" s="112"/>
      <c r="T205" s="112"/>
      <c r="U205" s="112"/>
      <c r="V205" s="112"/>
      <c r="W205" s="112"/>
      <c r="X205" s="112"/>
      <c r="Y205" s="15"/>
      <c r="AB205" s="15"/>
    </row>
    <row r="206" spans="3:28" x14ac:dyDescent="0.2">
      <c r="C206" s="45"/>
      <c r="D206" s="45"/>
      <c r="E206" s="45"/>
      <c r="F206" s="45"/>
      <c r="G206" s="45"/>
      <c r="H206" s="45"/>
      <c r="I206" s="45"/>
      <c r="J206" s="45"/>
      <c r="K206" s="45"/>
      <c r="L206" s="45"/>
      <c r="M206" s="112"/>
      <c r="N206" s="112"/>
      <c r="O206" s="112"/>
      <c r="P206" s="112"/>
      <c r="Q206" s="112"/>
      <c r="R206" s="112"/>
      <c r="S206" s="112"/>
      <c r="T206" s="112"/>
      <c r="U206" s="112"/>
      <c r="V206" s="112"/>
      <c r="W206" s="112"/>
      <c r="X206" s="112"/>
      <c r="Y206" s="15"/>
      <c r="AB206" s="15"/>
    </row>
    <row r="207" spans="3:28" x14ac:dyDescent="0.2">
      <c r="C207" s="45"/>
      <c r="D207" s="45"/>
      <c r="E207" s="45"/>
      <c r="F207" s="45"/>
      <c r="G207" s="45"/>
      <c r="H207" s="45"/>
      <c r="I207" s="45"/>
      <c r="J207" s="45"/>
      <c r="K207" s="45"/>
      <c r="L207" s="45"/>
      <c r="M207" s="112"/>
      <c r="N207" s="112"/>
      <c r="O207" s="112"/>
      <c r="P207" s="112"/>
      <c r="Q207" s="112"/>
      <c r="R207" s="112"/>
      <c r="S207" s="112"/>
      <c r="T207" s="112"/>
      <c r="U207" s="112"/>
      <c r="V207" s="112"/>
      <c r="W207" s="112"/>
      <c r="X207" s="112"/>
      <c r="Y207" s="15"/>
      <c r="AB207" s="15"/>
    </row>
    <row r="208" spans="3:28" x14ac:dyDescent="0.2">
      <c r="C208" s="45"/>
      <c r="D208" s="45"/>
      <c r="E208" s="45"/>
      <c r="F208" s="45"/>
      <c r="G208" s="45"/>
      <c r="H208" s="45"/>
      <c r="I208" s="45"/>
      <c r="J208" s="45"/>
      <c r="K208" s="45"/>
      <c r="L208" s="45"/>
      <c r="M208" s="112"/>
      <c r="N208" s="112"/>
      <c r="O208" s="112"/>
      <c r="P208" s="112"/>
      <c r="Q208" s="112"/>
      <c r="R208" s="112"/>
      <c r="S208" s="112"/>
      <c r="T208" s="112"/>
      <c r="U208" s="112"/>
      <c r="V208" s="112"/>
      <c r="W208" s="112"/>
      <c r="X208" s="112"/>
      <c r="Y208" s="15"/>
      <c r="AB208" s="15"/>
    </row>
    <row r="209" spans="3:28" x14ac:dyDescent="0.2">
      <c r="C209" s="45"/>
      <c r="D209" s="45"/>
      <c r="E209" s="45"/>
      <c r="F209" s="45"/>
      <c r="G209" s="45"/>
      <c r="H209" s="45"/>
      <c r="I209" s="45"/>
      <c r="J209" s="45"/>
      <c r="K209" s="45"/>
      <c r="L209" s="45"/>
      <c r="M209" s="112"/>
      <c r="N209" s="112"/>
      <c r="O209" s="112"/>
      <c r="P209" s="112"/>
      <c r="Q209" s="112"/>
      <c r="R209" s="112"/>
      <c r="S209" s="112"/>
      <c r="T209" s="112"/>
      <c r="U209" s="112"/>
      <c r="V209" s="112"/>
      <c r="W209" s="112"/>
      <c r="X209" s="112"/>
      <c r="Y209" s="15"/>
      <c r="AB209" s="15"/>
    </row>
    <row r="210" spans="3:28" x14ac:dyDescent="0.2">
      <c r="C210" s="45"/>
      <c r="D210" s="45"/>
      <c r="E210" s="45"/>
      <c r="F210" s="45"/>
      <c r="G210" s="45"/>
      <c r="H210" s="45"/>
      <c r="I210" s="45"/>
      <c r="J210" s="45"/>
      <c r="K210" s="45"/>
      <c r="L210" s="45"/>
      <c r="M210" s="112"/>
      <c r="N210" s="112"/>
      <c r="O210" s="112"/>
      <c r="P210" s="112"/>
      <c r="Q210" s="112"/>
      <c r="R210" s="112"/>
      <c r="S210" s="112"/>
      <c r="T210" s="112"/>
      <c r="U210" s="112"/>
      <c r="V210" s="112"/>
      <c r="W210" s="112"/>
      <c r="X210" s="112"/>
      <c r="Y210" s="15"/>
      <c r="AB210" s="15"/>
    </row>
    <row r="211" spans="3:28" x14ac:dyDescent="0.2">
      <c r="C211" s="45"/>
      <c r="D211" s="45"/>
      <c r="E211" s="45"/>
      <c r="F211" s="45"/>
      <c r="G211" s="45"/>
      <c r="H211" s="45"/>
      <c r="I211" s="45"/>
      <c r="J211" s="45"/>
      <c r="K211" s="45"/>
      <c r="L211" s="45"/>
      <c r="M211" s="112"/>
      <c r="N211" s="112"/>
      <c r="O211" s="112"/>
      <c r="P211" s="112"/>
      <c r="Q211" s="112"/>
      <c r="R211" s="112"/>
      <c r="S211" s="112"/>
      <c r="T211" s="112"/>
      <c r="U211" s="112"/>
      <c r="V211" s="112"/>
      <c r="W211" s="112"/>
      <c r="X211" s="112"/>
      <c r="Y211" s="15"/>
      <c r="AB211" s="15"/>
    </row>
    <row r="212" spans="3:28" x14ac:dyDescent="0.2">
      <c r="C212" s="45"/>
      <c r="D212" s="45"/>
      <c r="E212" s="45"/>
      <c r="F212" s="45"/>
      <c r="G212" s="45"/>
      <c r="H212" s="45"/>
      <c r="I212" s="45"/>
      <c r="J212" s="45"/>
      <c r="K212" s="45"/>
      <c r="L212" s="45"/>
      <c r="M212" s="112"/>
      <c r="N212" s="112"/>
      <c r="O212" s="112"/>
      <c r="P212" s="112"/>
      <c r="Q212" s="112"/>
      <c r="R212" s="112"/>
      <c r="S212" s="112"/>
      <c r="T212" s="112"/>
      <c r="U212" s="112"/>
      <c r="V212" s="112"/>
      <c r="W212" s="112"/>
      <c r="X212" s="112"/>
      <c r="Y212" s="15"/>
      <c r="AB212" s="15"/>
    </row>
    <row r="213" spans="3:28" x14ac:dyDescent="0.2">
      <c r="C213" s="45"/>
      <c r="D213" s="45"/>
      <c r="E213" s="45"/>
      <c r="F213" s="45"/>
      <c r="G213" s="45"/>
      <c r="H213" s="45"/>
      <c r="I213" s="45"/>
      <c r="J213" s="45"/>
      <c r="K213" s="45"/>
      <c r="L213" s="45"/>
      <c r="M213" s="112"/>
      <c r="N213" s="112"/>
      <c r="O213" s="112"/>
      <c r="P213" s="112"/>
      <c r="Q213" s="112"/>
      <c r="R213" s="112"/>
      <c r="S213" s="112"/>
      <c r="T213" s="112"/>
      <c r="U213" s="112"/>
      <c r="V213" s="112"/>
      <c r="W213" s="112"/>
      <c r="X213" s="112"/>
      <c r="Y213" s="15"/>
      <c r="AB213" s="15"/>
    </row>
    <row r="214" spans="3:28" x14ac:dyDescent="0.2">
      <c r="C214" s="45"/>
      <c r="D214" s="45"/>
      <c r="E214" s="45"/>
      <c r="F214" s="45"/>
      <c r="G214" s="45"/>
      <c r="H214" s="45"/>
      <c r="I214" s="45"/>
      <c r="J214" s="45"/>
      <c r="K214" s="45"/>
      <c r="L214" s="45"/>
      <c r="M214" s="112"/>
      <c r="N214" s="112"/>
      <c r="O214" s="112"/>
      <c r="P214" s="112"/>
      <c r="Q214" s="112"/>
      <c r="R214" s="112"/>
      <c r="S214" s="112"/>
      <c r="T214" s="112"/>
      <c r="U214" s="112"/>
      <c r="V214" s="112"/>
      <c r="W214" s="112"/>
      <c r="X214" s="112"/>
      <c r="Y214" s="15"/>
      <c r="AB214" s="15"/>
    </row>
    <row r="215" spans="3:28" x14ac:dyDescent="0.2">
      <c r="C215" s="45"/>
      <c r="D215" s="45"/>
      <c r="E215" s="45"/>
      <c r="F215" s="45"/>
      <c r="G215" s="45"/>
      <c r="H215" s="45"/>
      <c r="I215" s="45"/>
      <c r="J215" s="45"/>
      <c r="K215" s="45"/>
      <c r="L215" s="45"/>
      <c r="M215" s="112"/>
      <c r="N215" s="112"/>
      <c r="O215" s="112"/>
      <c r="P215" s="112"/>
      <c r="Q215" s="112"/>
      <c r="R215" s="112"/>
      <c r="S215" s="112"/>
      <c r="T215" s="112"/>
      <c r="U215" s="112"/>
      <c r="V215" s="112"/>
      <c r="W215" s="112"/>
      <c r="X215" s="112"/>
      <c r="Y215" s="15"/>
      <c r="AB215" s="15"/>
    </row>
    <row r="216" spans="3:28" x14ac:dyDescent="0.2">
      <c r="C216" s="45"/>
      <c r="D216" s="45"/>
      <c r="E216" s="45"/>
      <c r="F216" s="45"/>
      <c r="G216" s="45"/>
      <c r="H216" s="45"/>
      <c r="I216" s="45"/>
      <c r="J216" s="45"/>
      <c r="K216" s="45"/>
      <c r="L216" s="45"/>
      <c r="M216" s="112"/>
      <c r="N216" s="112"/>
      <c r="O216" s="112"/>
      <c r="P216" s="112"/>
      <c r="Q216" s="112"/>
      <c r="R216" s="112"/>
      <c r="S216" s="112"/>
      <c r="T216" s="112"/>
      <c r="U216" s="112"/>
      <c r="V216" s="112"/>
      <c r="W216" s="112"/>
      <c r="X216" s="112"/>
      <c r="Y216" s="15"/>
      <c r="AB216" s="15"/>
    </row>
    <row r="217" spans="3:28" x14ac:dyDescent="0.2">
      <c r="C217" s="45"/>
      <c r="D217" s="45"/>
      <c r="E217" s="45"/>
      <c r="F217" s="45"/>
      <c r="G217" s="45"/>
      <c r="H217" s="45"/>
      <c r="I217" s="45"/>
      <c r="J217" s="45"/>
      <c r="K217" s="45"/>
      <c r="L217" s="45"/>
      <c r="M217" s="112"/>
      <c r="N217" s="112"/>
      <c r="O217" s="112"/>
      <c r="P217" s="112"/>
      <c r="Q217" s="112"/>
      <c r="R217" s="112"/>
      <c r="S217" s="112"/>
      <c r="T217" s="112"/>
      <c r="U217" s="112"/>
      <c r="V217" s="112"/>
      <c r="W217" s="112"/>
      <c r="X217" s="112"/>
      <c r="Y217" s="15"/>
      <c r="AB217" s="15"/>
    </row>
    <row r="218" spans="3:28" x14ac:dyDescent="0.2">
      <c r="C218" s="45"/>
      <c r="D218" s="45"/>
      <c r="E218" s="45"/>
      <c r="F218" s="45"/>
      <c r="G218" s="45"/>
      <c r="H218" s="45"/>
      <c r="I218" s="45"/>
      <c r="J218" s="45"/>
      <c r="K218" s="45"/>
      <c r="L218" s="45"/>
      <c r="M218" s="112"/>
      <c r="N218" s="112"/>
      <c r="O218" s="112"/>
      <c r="P218" s="112"/>
      <c r="Q218" s="112"/>
      <c r="R218" s="112"/>
      <c r="S218" s="112"/>
      <c r="T218" s="112"/>
      <c r="U218" s="112"/>
      <c r="V218" s="112"/>
      <c r="W218" s="112"/>
      <c r="X218" s="112"/>
      <c r="Y218" s="15"/>
      <c r="AB218" s="15"/>
    </row>
    <row r="219" spans="3:28" x14ac:dyDescent="0.2">
      <c r="C219" s="45"/>
      <c r="D219" s="45"/>
      <c r="E219" s="45"/>
      <c r="F219" s="45"/>
      <c r="G219" s="45"/>
      <c r="H219" s="45"/>
      <c r="I219" s="45"/>
      <c r="J219" s="45"/>
      <c r="K219" s="45"/>
      <c r="L219" s="45"/>
      <c r="M219" s="112"/>
      <c r="N219" s="112"/>
      <c r="O219" s="112"/>
      <c r="P219" s="112"/>
      <c r="Q219" s="112"/>
      <c r="R219" s="112"/>
      <c r="S219" s="112"/>
      <c r="T219" s="112"/>
      <c r="U219" s="112"/>
      <c r="V219" s="112"/>
      <c r="W219" s="112"/>
      <c r="X219" s="112"/>
      <c r="Y219" s="15"/>
      <c r="AB219" s="15"/>
    </row>
    <row r="220" spans="3:28" x14ac:dyDescent="0.2">
      <c r="C220" s="45"/>
      <c r="D220" s="45"/>
      <c r="E220" s="45"/>
      <c r="F220" s="45"/>
      <c r="G220" s="45"/>
      <c r="H220" s="45"/>
      <c r="I220" s="45"/>
      <c r="J220" s="45"/>
      <c r="K220" s="45"/>
      <c r="L220" s="45"/>
      <c r="M220" s="112"/>
      <c r="N220" s="112"/>
      <c r="O220" s="112"/>
      <c r="P220" s="112"/>
      <c r="Q220" s="112"/>
      <c r="R220" s="112"/>
      <c r="S220" s="112"/>
      <c r="T220" s="112"/>
      <c r="U220" s="112"/>
      <c r="V220" s="112"/>
      <c r="W220" s="112"/>
      <c r="X220" s="112"/>
      <c r="Y220" s="15"/>
      <c r="AB220" s="15"/>
    </row>
    <row r="221" spans="3:28" x14ac:dyDescent="0.2">
      <c r="C221" s="45"/>
      <c r="D221" s="45"/>
      <c r="E221" s="45"/>
      <c r="F221" s="45"/>
      <c r="G221" s="45"/>
      <c r="H221" s="45"/>
      <c r="I221" s="45"/>
      <c r="J221" s="45"/>
      <c r="K221" s="45"/>
      <c r="L221" s="45"/>
      <c r="M221" s="112"/>
      <c r="N221" s="112"/>
      <c r="O221" s="112"/>
      <c r="P221" s="112"/>
      <c r="Q221" s="112"/>
      <c r="R221" s="112"/>
      <c r="S221" s="112"/>
      <c r="T221" s="112"/>
      <c r="U221" s="112"/>
      <c r="V221" s="112"/>
      <c r="W221" s="112"/>
      <c r="X221" s="112"/>
      <c r="Y221" s="15"/>
      <c r="AB221" s="15"/>
    </row>
    <row r="222" spans="3:28" x14ac:dyDescent="0.2">
      <c r="C222" s="45"/>
      <c r="D222" s="45"/>
      <c r="E222" s="45"/>
      <c r="F222" s="45"/>
      <c r="G222" s="45"/>
      <c r="H222" s="45"/>
      <c r="I222" s="45"/>
      <c r="J222" s="45"/>
      <c r="K222" s="45"/>
      <c r="L222" s="45"/>
      <c r="M222" s="112"/>
      <c r="N222" s="112"/>
      <c r="O222" s="112"/>
      <c r="P222" s="112"/>
      <c r="Q222" s="112"/>
      <c r="R222" s="112"/>
      <c r="S222" s="112"/>
      <c r="T222" s="112"/>
      <c r="U222" s="112"/>
      <c r="V222" s="112"/>
      <c r="W222" s="112"/>
      <c r="X222" s="112"/>
      <c r="Y222" s="15"/>
      <c r="AB222" s="15"/>
    </row>
    <row r="223" spans="3:28" x14ac:dyDescent="0.2">
      <c r="C223" s="45"/>
      <c r="D223" s="45"/>
      <c r="E223" s="45"/>
      <c r="F223" s="45"/>
      <c r="G223" s="45"/>
      <c r="H223" s="45"/>
      <c r="I223" s="45"/>
      <c r="J223" s="45"/>
      <c r="K223" s="45"/>
      <c r="L223" s="45"/>
      <c r="M223" s="112"/>
      <c r="N223" s="112"/>
      <c r="O223" s="112"/>
      <c r="P223" s="112"/>
      <c r="Q223" s="112"/>
      <c r="R223" s="112"/>
      <c r="S223" s="112"/>
      <c r="T223" s="112"/>
      <c r="U223" s="112"/>
      <c r="V223" s="112"/>
      <c r="W223" s="112"/>
      <c r="X223" s="112"/>
      <c r="Y223" s="15"/>
      <c r="AB223" s="15"/>
    </row>
    <row r="224" spans="3:28" x14ac:dyDescent="0.2">
      <c r="C224" s="45"/>
      <c r="D224" s="45"/>
      <c r="E224" s="45"/>
      <c r="F224" s="45"/>
      <c r="G224" s="45"/>
      <c r="H224" s="45"/>
      <c r="I224" s="45"/>
      <c r="J224" s="45"/>
      <c r="K224" s="45"/>
      <c r="L224" s="45"/>
      <c r="M224" s="112"/>
      <c r="N224" s="112"/>
      <c r="O224" s="112"/>
      <c r="P224" s="112"/>
      <c r="Q224" s="112"/>
      <c r="R224" s="112"/>
      <c r="S224" s="112"/>
      <c r="T224" s="112"/>
      <c r="U224" s="112"/>
      <c r="V224" s="112"/>
      <c r="W224" s="112"/>
      <c r="X224" s="112"/>
      <c r="Y224" s="15"/>
      <c r="AB224" s="15"/>
    </row>
    <row r="225" spans="3:28" x14ac:dyDescent="0.2">
      <c r="C225" s="45"/>
      <c r="D225" s="45"/>
      <c r="E225" s="45"/>
      <c r="F225" s="45"/>
      <c r="G225" s="45"/>
      <c r="H225" s="45"/>
      <c r="I225" s="45"/>
      <c r="J225" s="45"/>
      <c r="K225" s="45"/>
      <c r="L225" s="45"/>
      <c r="M225" s="112"/>
      <c r="N225" s="112"/>
      <c r="O225" s="112"/>
      <c r="P225" s="112"/>
      <c r="Q225" s="112"/>
      <c r="R225" s="112"/>
      <c r="S225" s="112"/>
      <c r="T225" s="112"/>
      <c r="U225" s="112"/>
      <c r="V225" s="112"/>
      <c r="W225" s="112"/>
      <c r="X225" s="112"/>
      <c r="Y225" s="15"/>
      <c r="AB225" s="15"/>
    </row>
    <row r="226" spans="3:28" x14ac:dyDescent="0.2">
      <c r="C226" s="45"/>
      <c r="D226" s="45"/>
      <c r="E226" s="45"/>
      <c r="F226" s="45"/>
      <c r="G226" s="45"/>
      <c r="H226" s="45"/>
      <c r="I226" s="45"/>
      <c r="J226" s="45"/>
      <c r="K226" s="45"/>
      <c r="L226" s="45"/>
      <c r="M226" s="112"/>
      <c r="N226" s="112"/>
      <c r="O226" s="112"/>
      <c r="P226" s="112"/>
      <c r="Q226" s="112"/>
      <c r="R226" s="112"/>
      <c r="S226" s="112"/>
      <c r="T226" s="112"/>
      <c r="U226" s="112"/>
      <c r="V226" s="112"/>
      <c r="W226" s="112"/>
      <c r="X226" s="112"/>
      <c r="Y226" s="15"/>
      <c r="AB226" s="15"/>
    </row>
    <row r="227" spans="3:28" x14ac:dyDescent="0.2">
      <c r="C227" s="45"/>
      <c r="D227" s="45"/>
      <c r="E227" s="45"/>
      <c r="F227" s="45"/>
      <c r="G227" s="45"/>
      <c r="H227" s="45"/>
      <c r="I227" s="45"/>
      <c r="J227" s="45"/>
      <c r="K227" s="45"/>
      <c r="L227" s="45"/>
      <c r="M227" s="112"/>
      <c r="N227" s="112"/>
      <c r="O227" s="112"/>
      <c r="P227" s="112"/>
      <c r="Q227" s="112"/>
      <c r="R227" s="112"/>
      <c r="S227" s="112"/>
      <c r="T227" s="112"/>
      <c r="U227" s="112"/>
      <c r="V227" s="112"/>
      <c r="W227" s="112"/>
      <c r="X227" s="112"/>
      <c r="Y227" s="15"/>
      <c r="AB227" s="15"/>
    </row>
    <row r="228" spans="3:28" x14ac:dyDescent="0.2">
      <c r="C228" s="45"/>
      <c r="D228" s="45"/>
      <c r="E228" s="45"/>
      <c r="F228" s="45"/>
      <c r="G228" s="45"/>
      <c r="H228" s="45"/>
      <c r="I228" s="45"/>
      <c r="J228" s="45"/>
      <c r="K228" s="45"/>
      <c r="L228" s="45"/>
      <c r="M228" s="112"/>
      <c r="N228" s="112"/>
      <c r="O228" s="112"/>
      <c r="P228" s="112"/>
      <c r="Q228" s="112"/>
      <c r="R228" s="112"/>
      <c r="S228" s="112"/>
      <c r="T228" s="112"/>
      <c r="U228" s="112"/>
      <c r="V228" s="112"/>
      <c r="W228" s="112"/>
      <c r="X228" s="112"/>
      <c r="Y228" s="15"/>
      <c r="AB228" s="15"/>
    </row>
    <row r="229" spans="3:28" x14ac:dyDescent="0.2">
      <c r="C229" s="45"/>
      <c r="D229" s="45"/>
      <c r="E229" s="45"/>
      <c r="F229" s="45"/>
      <c r="G229" s="45"/>
      <c r="H229" s="45"/>
      <c r="I229" s="45"/>
      <c r="J229" s="45"/>
      <c r="K229" s="45"/>
      <c r="L229" s="45"/>
      <c r="M229" s="112"/>
      <c r="N229" s="112"/>
      <c r="O229" s="112"/>
      <c r="P229" s="112"/>
      <c r="Q229" s="112"/>
      <c r="R229" s="112"/>
      <c r="S229" s="112"/>
      <c r="T229" s="112"/>
      <c r="U229" s="112"/>
      <c r="V229" s="112"/>
      <c r="W229" s="112"/>
      <c r="X229" s="112"/>
      <c r="Y229" s="15"/>
      <c r="AB229" s="15"/>
    </row>
    <row r="230" spans="3:28" x14ac:dyDescent="0.2">
      <c r="C230" s="45"/>
      <c r="D230" s="45"/>
      <c r="E230" s="45"/>
      <c r="F230" s="45"/>
      <c r="G230" s="45"/>
      <c r="H230" s="45"/>
      <c r="I230" s="45"/>
      <c r="J230" s="45"/>
      <c r="K230" s="45"/>
      <c r="L230" s="45"/>
      <c r="M230" s="112"/>
      <c r="N230" s="112"/>
      <c r="O230" s="112"/>
      <c r="P230" s="112"/>
      <c r="Q230" s="112"/>
      <c r="R230" s="112"/>
      <c r="S230" s="112"/>
      <c r="T230" s="112"/>
      <c r="U230" s="112"/>
      <c r="V230" s="112"/>
      <c r="W230" s="112"/>
      <c r="X230" s="112"/>
      <c r="Y230" s="15"/>
      <c r="AB230" s="15"/>
    </row>
    <row r="231" spans="3:28" x14ac:dyDescent="0.2">
      <c r="C231" s="45"/>
      <c r="D231" s="45"/>
      <c r="E231" s="45"/>
      <c r="F231" s="45"/>
      <c r="G231" s="45"/>
      <c r="H231" s="45"/>
      <c r="I231" s="45"/>
      <c r="J231" s="45"/>
      <c r="K231" s="45"/>
      <c r="L231" s="45"/>
      <c r="M231" s="112"/>
      <c r="N231" s="112"/>
      <c r="O231" s="112"/>
      <c r="P231" s="112"/>
      <c r="Q231" s="112"/>
      <c r="R231" s="112"/>
      <c r="S231" s="112"/>
      <c r="T231" s="112"/>
      <c r="U231" s="112"/>
      <c r="V231" s="112"/>
      <c r="W231" s="112"/>
      <c r="X231" s="112"/>
      <c r="Y231" s="15"/>
      <c r="AB231" s="15"/>
    </row>
    <row r="232" spans="3:28" x14ac:dyDescent="0.2">
      <c r="C232" s="45"/>
      <c r="D232" s="45"/>
      <c r="E232" s="45"/>
      <c r="F232" s="45"/>
      <c r="G232" s="45"/>
      <c r="H232" s="45"/>
      <c r="I232" s="45"/>
      <c r="J232" s="45"/>
      <c r="K232" s="45"/>
      <c r="L232" s="45"/>
      <c r="M232" s="112"/>
      <c r="N232" s="112"/>
      <c r="O232" s="112"/>
      <c r="P232" s="112"/>
      <c r="Q232" s="112"/>
      <c r="R232" s="112"/>
      <c r="S232" s="112"/>
      <c r="T232" s="112"/>
      <c r="U232" s="112"/>
      <c r="V232" s="112"/>
      <c r="W232" s="112"/>
      <c r="X232" s="112"/>
      <c r="Y232" s="15"/>
      <c r="AB232" s="15"/>
    </row>
    <row r="233" spans="3:28" x14ac:dyDescent="0.2">
      <c r="C233" s="45"/>
      <c r="D233" s="45"/>
      <c r="E233" s="45"/>
      <c r="F233" s="45"/>
      <c r="G233" s="45"/>
      <c r="H233" s="45"/>
      <c r="I233" s="45"/>
      <c r="J233" s="45"/>
      <c r="K233" s="45"/>
      <c r="L233" s="45"/>
      <c r="M233" s="112"/>
      <c r="N233" s="112"/>
      <c r="O233" s="112"/>
      <c r="P233" s="112"/>
      <c r="Q233" s="112"/>
      <c r="R233" s="112"/>
      <c r="S233" s="112"/>
      <c r="T233" s="112"/>
      <c r="U233" s="112"/>
      <c r="V233" s="112"/>
      <c r="W233" s="112"/>
      <c r="X233" s="112"/>
      <c r="Y233" s="15"/>
      <c r="AB233" s="15"/>
    </row>
    <row r="234" spans="3:28" x14ac:dyDescent="0.2">
      <c r="C234" s="45"/>
      <c r="D234" s="45"/>
      <c r="E234" s="45"/>
      <c r="F234" s="45"/>
      <c r="G234" s="45"/>
      <c r="H234" s="45"/>
      <c r="I234" s="45"/>
      <c r="J234" s="45"/>
      <c r="K234" s="45"/>
      <c r="L234" s="45"/>
      <c r="M234" s="112"/>
      <c r="N234" s="112"/>
      <c r="O234" s="112"/>
      <c r="P234" s="112"/>
      <c r="Q234" s="112"/>
      <c r="R234" s="112"/>
      <c r="S234" s="112"/>
      <c r="T234" s="112"/>
      <c r="U234" s="112"/>
      <c r="V234" s="112"/>
      <c r="W234" s="112"/>
      <c r="X234" s="112"/>
      <c r="Y234" s="15"/>
      <c r="AB234" s="15"/>
    </row>
    <row r="235" spans="3:28" x14ac:dyDescent="0.2">
      <c r="C235" s="45"/>
      <c r="D235" s="45"/>
      <c r="E235" s="45"/>
      <c r="F235" s="45"/>
      <c r="G235" s="45"/>
      <c r="H235" s="45"/>
      <c r="I235" s="45"/>
      <c r="J235" s="45"/>
      <c r="K235" s="45"/>
      <c r="L235" s="45"/>
      <c r="M235" s="112"/>
      <c r="N235" s="112"/>
      <c r="O235" s="112"/>
      <c r="P235" s="112"/>
      <c r="Q235" s="112"/>
      <c r="R235" s="112"/>
      <c r="S235" s="112"/>
      <c r="T235" s="112"/>
      <c r="U235" s="112"/>
      <c r="V235" s="112"/>
      <c r="W235" s="112"/>
      <c r="X235" s="112"/>
      <c r="Y235" s="15"/>
      <c r="AB235" s="15"/>
    </row>
    <row r="236" spans="3:28" x14ac:dyDescent="0.2">
      <c r="C236" s="45"/>
      <c r="D236" s="45"/>
      <c r="E236" s="45"/>
      <c r="F236" s="45"/>
      <c r="G236" s="45"/>
      <c r="H236" s="45"/>
      <c r="I236" s="45"/>
      <c r="J236" s="45"/>
      <c r="K236" s="45"/>
      <c r="L236" s="45"/>
      <c r="M236" s="112"/>
      <c r="N236" s="112"/>
      <c r="O236" s="112"/>
      <c r="P236" s="112"/>
      <c r="Q236" s="112"/>
      <c r="R236" s="112"/>
      <c r="S236" s="112"/>
      <c r="T236" s="112"/>
      <c r="U236" s="112"/>
      <c r="V236" s="112"/>
      <c r="W236" s="112"/>
      <c r="X236" s="112"/>
      <c r="Y236" s="15"/>
      <c r="AB236" s="15"/>
    </row>
    <row r="237" spans="3:28" x14ac:dyDescent="0.2">
      <c r="C237" s="45"/>
      <c r="D237" s="45"/>
      <c r="E237" s="45"/>
      <c r="F237" s="45"/>
      <c r="G237" s="45"/>
      <c r="H237" s="45"/>
      <c r="I237" s="45"/>
      <c r="J237" s="45"/>
      <c r="K237" s="45"/>
      <c r="L237" s="45"/>
      <c r="M237" s="112"/>
      <c r="N237" s="112"/>
      <c r="O237" s="112"/>
      <c r="P237" s="112"/>
      <c r="Q237" s="112"/>
      <c r="R237" s="112"/>
      <c r="S237" s="112"/>
      <c r="T237" s="112"/>
      <c r="U237" s="112"/>
      <c r="V237" s="112"/>
      <c r="W237" s="112"/>
      <c r="X237" s="112"/>
      <c r="Y237" s="15"/>
      <c r="AB237" s="15"/>
    </row>
    <row r="238" spans="3:28" x14ac:dyDescent="0.2">
      <c r="C238" s="45"/>
      <c r="D238" s="45"/>
      <c r="E238" s="45"/>
      <c r="F238" s="45"/>
      <c r="G238" s="45"/>
      <c r="H238" s="45"/>
      <c r="I238" s="45"/>
      <c r="J238" s="45"/>
      <c r="K238" s="45"/>
      <c r="L238" s="45"/>
      <c r="M238" s="112"/>
      <c r="N238" s="112"/>
      <c r="O238" s="112"/>
      <c r="P238" s="112"/>
      <c r="Q238" s="112"/>
      <c r="R238" s="112"/>
      <c r="S238" s="112"/>
      <c r="T238" s="112"/>
      <c r="U238" s="112"/>
      <c r="V238" s="112"/>
      <c r="W238" s="112"/>
      <c r="X238" s="112"/>
      <c r="Y238" s="15"/>
      <c r="AB238" s="15"/>
    </row>
    <row r="239" spans="3:28" x14ac:dyDescent="0.2">
      <c r="C239" s="45"/>
      <c r="D239" s="45"/>
      <c r="E239" s="45"/>
      <c r="F239" s="45"/>
      <c r="G239" s="45"/>
      <c r="H239" s="45"/>
      <c r="I239" s="45"/>
      <c r="J239" s="45"/>
      <c r="K239" s="45"/>
      <c r="L239" s="45"/>
      <c r="M239" s="112"/>
      <c r="N239" s="112"/>
      <c r="O239" s="112"/>
      <c r="P239" s="112"/>
      <c r="Q239" s="112"/>
      <c r="R239" s="112"/>
      <c r="S239" s="112"/>
      <c r="T239" s="112"/>
      <c r="U239" s="112"/>
      <c r="V239" s="112"/>
      <c r="W239" s="112"/>
      <c r="X239" s="112"/>
      <c r="Y239" s="15"/>
      <c r="AB239" s="15"/>
    </row>
    <row r="240" spans="3:28" x14ac:dyDescent="0.2">
      <c r="C240" s="45"/>
      <c r="D240" s="45"/>
      <c r="E240" s="45"/>
      <c r="F240" s="45"/>
      <c r="G240" s="45"/>
      <c r="H240" s="45"/>
      <c r="I240" s="45"/>
      <c r="J240" s="45"/>
      <c r="K240" s="45"/>
      <c r="L240" s="45"/>
      <c r="M240" s="112"/>
      <c r="N240" s="112"/>
      <c r="O240" s="112"/>
      <c r="P240" s="112"/>
      <c r="Q240" s="112"/>
      <c r="R240" s="112"/>
      <c r="S240" s="112"/>
      <c r="T240" s="112"/>
      <c r="U240" s="112"/>
      <c r="V240" s="112"/>
      <c r="W240" s="112"/>
      <c r="X240" s="112"/>
      <c r="Y240" s="15"/>
      <c r="AB240" s="15"/>
    </row>
    <row r="241" spans="3:28" x14ac:dyDescent="0.2">
      <c r="C241" s="45"/>
      <c r="D241" s="45"/>
      <c r="E241" s="45"/>
      <c r="F241" s="45"/>
      <c r="G241" s="45"/>
      <c r="H241" s="45"/>
      <c r="I241" s="45"/>
      <c r="J241" s="45"/>
      <c r="K241" s="45"/>
      <c r="L241" s="45"/>
      <c r="M241" s="112"/>
      <c r="N241" s="112"/>
      <c r="O241" s="112"/>
      <c r="P241" s="112"/>
      <c r="Q241" s="112"/>
      <c r="R241" s="112"/>
      <c r="S241" s="112"/>
      <c r="T241" s="112"/>
      <c r="U241" s="112"/>
      <c r="V241" s="112"/>
      <c r="W241" s="112"/>
      <c r="X241" s="112"/>
      <c r="Y241" s="15"/>
      <c r="AB241" s="15"/>
    </row>
    <row r="242" spans="3:28" x14ac:dyDescent="0.2">
      <c r="C242" s="45"/>
      <c r="D242" s="45"/>
      <c r="E242" s="45"/>
      <c r="F242" s="45"/>
      <c r="G242" s="45"/>
      <c r="H242" s="45"/>
      <c r="I242" s="45"/>
      <c r="J242" s="45"/>
      <c r="K242" s="45"/>
      <c r="L242" s="45"/>
      <c r="M242" s="112"/>
      <c r="N242" s="112"/>
      <c r="O242" s="112"/>
      <c r="P242" s="112"/>
      <c r="Q242" s="112"/>
      <c r="R242" s="112"/>
      <c r="S242" s="112"/>
      <c r="T242" s="112"/>
      <c r="U242" s="112"/>
      <c r="V242" s="112"/>
      <c r="W242" s="112"/>
      <c r="X242" s="112"/>
      <c r="Y242" s="15"/>
      <c r="AB242" s="15"/>
    </row>
    <row r="243" spans="3:28" x14ac:dyDescent="0.2">
      <c r="C243" s="45"/>
      <c r="D243" s="45"/>
      <c r="E243" s="45"/>
      <c r="F243" s="45"/>
      <c r="G243" s="45"/>
      <c r="H243" s="45"/>
      <c r="I243" s="45"/>
      <c r="J243" s="45"/>
      <c r="K243" s="45"/>
      <c r="L243" s="45"/>
      <c r="M243" s="112"/>
      <c r="N243" s="112"/>
      <c r="O243" s="112"/>
      <c r="P243" s="112"/>
      <c r="Q243" s="112"/>
      <c r="R243" s="112"/>
      <c r="S243" s="112"/>
      <c r="T243" s="112"/>
      <c r="U243" s="112"/>
      <c r="V243" s="112"/>
      <c r="W243" s="112"/>
      <c r="X243" s="112"/>
      <c r="Y243" s="15"/>
      <c r="AB243" s="15"/>
    </row>
    <row r="244" spans="3:28" x14ac:dyDescent="0.2">
      <c r="C244" s="45"/>
      <c r="D244" s="45"/>
      <c r="E244" s="45"/>
      <c r="F244" s="45"/>
      <c r="G244" s="45"/>
      <c r="H244" s="45"/>
      <c r="I244" s="45"/>
      <c r="J244" s="45"/>
      <c r="K244" s="45"/>
      <c r="L244" s="45"/>
      <c r="M244" s="112"/>
      <c r="N244" s="112"/>
      <c r="O244" s="112"/>
      <c r="P244" s="112"/>
      <c r="Q244" s="112"/>
      <c r="R244" s="112"/>
      <c r="S244" s="112"/>
      <c r="T244" s="112"/>
      <c r="U244" s="112"/>
      <c r="V244" s="112"/>
      <c r="W244" s="112"/>
      <c r="X244" s="112"/>
      <c r="Y244" s="15"/>
      <c r="AB244" s="15"/>
    </row>
    <row r="245" spans="3:28" x14ac:dyDescent="0.2">
      <c r="C245" s="45"/>
      <c r="D245" s="45"/>
      <c r="E245" s="45"/>
      <c r="F245" s="45"/>
      <c r="G245" s="45"/>
      <c r="H245" s="45"/>
      <c r="I245" s="45"/>
      <c r="J245" s="45"/>
      <c r="K245" s="45"/>
      <c r="L245" s="45"/>
      <c r="M245" s="112"/>
      <c r="N245" s="112"/>
      <c r="O245" s="112"/>
      <c r="P245" s="112"/>
      <c r="Q245" s="112"/>
      <c r="R245" s="112"/>
      <c r="S245" s="112"/>
      <c r="T245" s="112"/>
      <c r="U245" s="112"/>
      <c r="V245" s="112"/>
      <c r="W245" s="112"/>
      <c r="X245" s="112"/>
      <c r="Y245" s="15"/>
      <c r="AB245" s="15"/>
    </row>
    <row r="246" spans="3:28" x14ac:dyDescent="0.2">
      <c r="C246" s="45"/>
      <c r="D246" s="45"/>
      <c r="E246" s="45"/>
      <c r="F246" s="45"/>
      <c r="G246" s="45"/>
      <c r="H246" s="45"/>
      <c r="I246" s="45"/>
      <c r="J246" s="45"/>
      <c r="K246" s="45"/>
      <c r="L246" s="45"/>
      <c r="M246" s="112"/>
      <c r="N246" s="112"/>
      <c r="O246" s="112"/>
      <c r="P246" s="112"/>
      <c r="Q246" s="112"/>
      <c r="R246" s="112"/>
      <c r="S246" s="112"/>
      <c r="T246" s="112"/>
      <c r="U246" s="112"/>
      <c r="V246" s="112"/>
      <c r="W246" s="112"/>
      <c r="X246" s="112"/>
      <c r="Y246" s="15"/>
      <c r="AB246" s="15"/>
    </row>
    <row r="247" spans="3:28" x14ac:dyDescent="0.2">
      <c r="Y247" s="15"/>
      <c r="AB247" s="15"/>
    </row>
    <row r="248" spans="3:28" x14ac:dyDescent="0.2">
      <c r="Y248" s="15"/>
      <c r="AB248" s="15"/>
    </row>
    <row r="249" spans="3:28" x14ac:dyDescent="0.2">
      <c r="Y249" s="15"/>
      <c r="AB249" s="15"/>
    </row>
    <row r="250" spans="3:28" x14ac:dyDescent="0.2">
      <c r="Y250" s="15"/>
      <c r="AB250" s="15"/>
    </row>
    <row r="251" spans="3:28" x14ac:dyDescent="0.2">
      <c r="Y251" s="15"/>
      <c r="AB251" s="15"/>
    </row>
    <row r="252" spans="3:28" x14ac:dyDescent="0.2">
      <c r="Y252" s="15"/>
      <c r="AB252" s="15"/>
    </row>
    <row r="253" spans="3:28" x14ac:dyDescent="0.2">
      <c r="Y253" s="15"/>
      <c r="AB253" s="15"/>
    </row>
    <row r="254" spans="3:28" x14ac:dyDescent="0.2">
      <c r="Y254" s="15"/>
      <c r="AB254" s="15"/>
    </row>
    <row r="255" spans="3:28" x14ac:dyDescent="0.2">
      <c r="Y255" s="15"/>
      <c r="AB255" s="15"/>
    </row>
    <row r="256" spans="3:28" x14ac:dyDescent="0.2">
      <c r="Y256" s="15"/>
      <c r="AB256" s="15"/>
    </row>
    <row r="257" spans="25:28" x14ac:dyDescent="0.2">
      <c r="Y257" s="15"/>
      <c r="AB257" s="15"/>
    </row>
    <row r="258" spans="25:28" x14ac:dyDescent="0.2">
      <c r="Y258" s="15"/>
      <c r="AB258" s="15"/>
    </row>
    <row r="259" spans="25:28" x14ac:dyDescent="0.2">
      <c r="Y259" s="15"/>
      <c r="AB259" s="15"/>
    </row>
    <row r="260" spans="25:28" x14ac:dyDescent="0.2">
      <c r="Y260" s="15"/>
      <c r="AB260" s="15"/>
    </row>
    <row r="261" spans="25:28" x14ac:dyDescent="0.2">
      <c r="Y261" s="15"/>
      <c r="AB261" s="15"/>
    </row>
    <row r="262" spans="25:28" x14ac:dyDescent="0.2">
      <c r="Y262" s="15"/>
      <c r="AB262" s="15"/>
    </row>
    <row r="263" spans="25:28" x14ac:dyDescent="0.2">
      <c r="Y263" s="15"/>
      <c r="AB263" s="15"/>
    </row>
    <row r="264" spans="25:28" x14ac:dyDescent="0.2">
      <c r="Y264" s="15"/>
      <c r="AB264" s="15"/>
    </row>
    <row r="265" spans="25:28" x14ac:dyDescent="0.2">
      <c r="Y265" s="15"/>
      <c r="AB265" s="15"/>
    </row>
    <row r="266" spans="25:28" x14ac:dyDescent="0.2">
      <c r="Y266" s="15"/>
      <c r="AB266" s="15"/>
    </row>
    <row r="267" spans="25:28" x14ac:dyDescent="0.2">
      <c r="Y267" s="15"/>
      <c r="AB267" s="15"/>
    </row>
    <row r="268" spans="25:28" x14ac:dyDescent="0.2">
      <c r="Y268" s="15"/>
      <c r="AB268" s="15"/>
    </row>
    <row r="269" spans="25:28" x14ac:dyDescent="0.2">
      <c r="Y269" s="15"/>
      <c r="AB269" s="15"/>
    </row>
    <row r="270" spans="25:28" x14ac:dyDescent="0.2">
      <c r="Y270" s="15"/>
      <c r="AB270" s="15"/>
    </row>
    <row r="271" spans="25:28" x14ac:dyDescent="0.2">
      <c r="Y271" s="15"/>
      <c r="AB271" s="15"/>
    </row>
    <row r="272" spans="25:28" x14ac:dyDescent="0.2">
      <c r="Y272" s="15"/>
      <c r="AB272" s="15"/>
    </row>
    <row r="273" spans="25:28" x14ac:dyDescent="0.2">
      <c r="Y273" s="15"/>
      <c r="AB273" s="15"/>
    </row>
    <row r="274" spans="25:28" x14ac:dyDescent="0.2">
      <c r="Y274" s="15"/>
      <c r="AB274" s="15"/>
    </row>
    <row r="275" spans="25:28" x14ac:dyDescent="0.2">
      <c r="Y275" s="15"/>
      <c r="AB275" s="15"/>
    </row>
    <row r="276" spans="25:28" x14ac:dyDescent="0.2">
      <c r="Y276" s="15"/>
      <c r="AB276" s="15"/>
    </row>
    <row r="277" spans="25:28" x14ac:dyDescent="0.2">
      <c r="Y277" s="15"/>
      <c r="AB277" s="15"/>
    </row>
    <row r="278" spans="25:28" x14ac:dyDescent="0.2">
      <c r="Y278" s="15"/>
      <c r="AB278" s="15"/>
    </row>
    <row r="279" spans="25:28" x14ac:dyDescent="0.2">
      <c r="Y279" s="15"/>
      <c r="AB279" s="15"/>
    </row>
    <row r="280" spans="25:28" x14ac:dyDescent="0.2">
      <c r="Y280" s="15"/>
      <c r="AB280" s="15"/>
    </row>
    <row r="281" spans="25:28" x14ac:dyDescent="0.2">
      <c r="Y281" s="15"/>
      <c r="AB281" s="15"/>
    </row>
    <row r="282" spans="25:28" x14ac:dyDescent="0.2">
      <c r="Y282" s="15"/>
      <c r="AB282" s="15"/>
    </row>
    <row r="283" spans="25:28" x14ac:dyDescent="0.2">
      <c r="Y283" s="15"/>
      <c r="AB283" s="15"/>
    </row>
    <row r="284" spans="25:28" x14ac:dyDescent="0.2">
      <c r="Y284" s="15"/>
      <c r="AB284" s="15"/>
    </row>
    <row r="285" spans="25:28" x14ac:dyDescent="0.2">
      <c r="Y285" s="15"/>
      <c r="AB285" s="15"/>
    </row>
    <row r="286" spans="25:28" x14ac:dyDescent="0.2">
      <c r="Y286" s="15"/>
      <c r="AB286" s="15"/>
    </row>
    <row r="287" spans="25:28" x14ac:dyDescent="0.2">
      <c r="Y287" s="15"/>
      <c r="AB287" s="15"/>
    </row>
    <row r="288" spans="25:28" x14ac:dyDescent="0.2">
      <c r="Y288" s="15"/>
      <c r="AB288" s="15"/>
    </row>
    <row r="289" spans="25:28" x14ac:dyDescent="0.2">
      <c r="Y289" s="15"/>
      <c r="AB289" s="15"/>
    </row>
    <row r="290" spans="25:28" x14ac:dyDescent="0.2">
      <c r="Y290" s="15"/>
      <c r="AB290" s="15"/>
    </row>
    <row r="291" spans="25:28" x14ac:dyDescent="0.2">
      <c r="Y291" s="15"/>
      <c r="AB291" s="15"/>
    </row>
    <row r="292" spans="25:28" x14ac:dyDescent="0.2">
      <c r="Y292" s="15"/>
      <c r="AB292" s="15"/>
    </row>
    <row r="293" spans="25:28" x14ac:dyDescent="0.2">
      <c r="Y293" s="15"/>
      <c r="AB293" s="15"/>
    </row>
    <row r="294" spans="25:28" x14ac:dyDescent="0.2">
      <c r="Y294" s="15"/>
      <c r="AB294" s="15"/>
    </row>
    <row r="295" spans="25:28" x14ac:dyDescent="0.2">
      <c r="Y295" s="15"/>
    </row>
    <row r="296" spans="25:28" x14ac:dyDescent="0.2">
      <c r="Y296" s="15"/>
    </row>
    <row r="297" spans="25:28" x14ac:dyDescent="0.2">
      <c r="Y297" s="15"/>
    </row>
    <row r="298" spans="25:28" x14ac:dyDescent="0.2">
      <c r="Y298" s="15"/>
    </row>
    <row r="299" spans="25:28" x14ac:dyDescent="0.2">
      <c r="Y299" s="15"/>
    </row>
    <row r="300" spans="25:28" x14ac:dyDescent="0.2">
      <c r="Y300" s="15"/>
    </row>
    <row r="301" spans="25:28" x14ac:dyDescent="0.2">
      <c r="Y301" s="15"/>
    </row>
    <row r="302" spans="25:28" x14ac:dyDescent="0.2">
      <c r="Y302" s="15"/>
    </row>
    <row r="303" spans="25:28" x14ac:dyDescent="0.2">
      <c r="Y303" s="15"/>
    </row>
    <row r="304" spans="25:28" x14ac:dyDescent="0.2">
      <c r="Y304" s="15"/>
    </row>
    <row r="305" spans="25:25" x14ac:dyDescent="0.2">
      <c r="Y305" s="15"/>
    </row>
    <row r="306" spans="25:25" x14ac:dyDescent="0.2">
      <c r="Y306" s="15"/>
    </row>
    <row r="307" spans="25:25" x14ac:dyDescent="0.2">
      <c r="Y307" s="15"/>
    </row>
    <row r="308" spans="25:25" x14ac:dyDescent="0.2">
      <c r="Y308" s="15"/>
    </row>
    <row r="309" spans="25:25" x14ac:dyDescent="0.2">
      <c r="Y309" s="15"/>
    </row>
    <row r="310" spans="25:25" x14ac:dyDescent="0.2">
      <c r="Y310" s="15"/>
    </row>
    <row r="311" spans="25:25" x14ac:dyDescent="0.2">
      <c r="Y311" s="15"/>
    </row>
    <row r="312" spans="25:25" x14ac:dyDescent="0.2">
      <c r="Y312" s="15"/>
    </row>
    <row r="313" spans="25:25" x14ac:dyDescent="0.2">
      <c r="Y313" s="15"/>
    </row>
    <row r="314" spans="25:25" x14ac:dyDescent="0.2">
      <c r="Y314" s="15"/>
    </row>
    <row r="315" spans="25:25" x14ac:dyDescent="0.2">
      <c r="Y315" s="15"/>
    </row>
    <row r="316" spans="25:25" x14ac:dyDescent="0.2">
      <c r="Y316" s="15"/>
    </row>
    <row r="317" spans="25:25" x14ac:dyDescent="0.2">
      <c r="Y317" s="15"/>
    </row>
    <row r="318" spans="25:25" x14ac:dyDescent="0.2">
      <c r="Y318" s="15"/>
    </row>
    <row r="319" spans="25:25" x14ac:dyDescent="0.2">
      <c r="Y319" s="15"/>
    </row>
    <row r="320" spans="25:25" x14ac:dyDescent="0.2">
      <c r="Y320" s="15"/>
    </row>
    <row r="321" spans="25:25" x14ac:dyDescent="0.2">
      <c r="Y321" s="15"/>
    </row>
    <row r="322" spans="25:25" x14ac:dyDescent="0.2">
      <c r="Y322" s="15"/>
    </row>
    <row r="323" spans="25:25" x14ac:dyDescent="0.2">
      <c r="Y323" s="15"/>
    </row>
    <row r="324" spans="25:25" x14ac:dyDescent="0.2">
      <c r="Y324" s="15"/>
    </row>
    <row r="325" spans="25:25" x14ac:dyDescent="0.2">
      <c r="Y325" s="15"/>
    </row>
    <row r="326" spans="25:25" x14ac:dyDescent="0.2">
      <c r="Y326" s="15"/>
    </row>
    <row r="327" spans="25:25" x14ac:dyDescent="0.2">
      <c r="Y327" s="15"/>
    </row>
    <row r="328" spans="25:25" x14ac:dyDescent="0.2">
      <c r="Y328" s="15"/>
    </row>
    <row r="329" spans="25:25" x14ac:dyDescent="0.2">
      <c r="Y329" s="15"/>
    </row>
    <row r="330" spans="25:25" x14ac:dyDescent="0.2">
      <c r="Y330" s="15"/>
    </row>
    <row r="331" spans="25:25" x14ac:dyDescent="0.2">
      <c r="Y331" s="15"/>
    </row>
    <row r="332" spans="25:25" x14ac:dyDescent="0.2">
      <c r="Y332" s="15"/>
    </row>
    <row r="333" spans="25:25" x14ac:dyDescent="0.2">
      <c r="Y333" s="15"/>
    </row>
    <row r="334" spans="25:25" x14ac:dyDescent="0.2">
      <c r="Y334" s="15"/>
    </row>
    <row r="335" spans="25:25" x14ac:dyDescent="0.2">
      <c r="Y335" s="15"/>
    </row>
    <row r="336" spans="25:25" x14ac:dyDescent="0.2">
      <c r="Y336" s="15"/>
    </row>
    <row r="337" spans="25:25" x14ac:dyDescent="0.2">
      <c r="Y337" s="15"/>
    </row>
    <row r="338" spans="25:25" x14ac:dyDescent="0.2">
      <c r="Y338" s="15"/>
    </row>
    <row r="339" spans="25:25" x14ac:dyDescent="0.2">
      <c r="Y339" s="15"/>
    </row>
    <row r="340" spans="25:25" x14ac:dyDescent="0.2">
      <c r="Y340" s="15"/>
    </row>
    <row r="341" spans="25:25" x14ac:dyDescent="0.2">
      <c r="Y341" s="15"/>
    </row>
    <row r="342" spans="25:25" x14ac:dyDescent="0.2">
      <c r="Y342" s="15"/>
    </row>
    <row r="343" spans="25:25" x14ac:dyDescent="0.2">
      <c r="Y343" s="15"/>
    </row>
    <row r="344" spans="25:25" x14ac:dyDescent="0.2">
      <c r="Y344" s="15"/>
    </row>
    <row r="345" spans="25:25" x14ac:dyDescent="0.2">
      <c r="Y345" s="15"/>
    </row>
    <row r="346" spans="25:25" x14ac:dyDescent="0.2">
      <c r="Y346" s="15"/>
    </row>
    <row r="347" spans="25:25" x14ac:dyDescent="0.2">
      <c r="Y347" s="15"/>
    </row>
    <row r="348" spans="25:25" x14ac:dyDescent="0.2">
      <c r="Y348" s="15"/>
    </row>
    <row r="349" spans="25:25" x14ac:dyDescent="0.2">
      <c r="Y349" s="15"/>
    </row>
    <row r="350" spans="25:25" x14ac:dyDescent="0.2">
      <c r="Y350" s="15"/>
    </row>
    <row r="351" spans="25:25" x14ac:dyDescent="0.2">
      <c r="Y351" s="15"/>
    </row>
    <row r="352" spans="25:25" x14ac:dyDescent="0.2">
      <c r="Y352" s="15"/>
    </row>
    <row r="353" spans="25:25" x14ac:dyDescent="0.2">
      <c r="Y353" s="15"/>
    </row>
    <row r="354" spans="25:25" x14ac:dyDescent="0.2">
      <c r="Y354" s="15"/>
    </row>
    <row r="355" spans="25:25" x14ac:dyDescent="0.2">
      <c r="Y355" s="15"/>
    </row>
    <row r="356" spans="25:25" x14ac:dyDescent="0.2">
      <c r="Y356" s="15"/>
    </row>
    <row r="357" spans="25:25" x14ac:dyDescent="0.2">
      <c r="Y357" s="15"/>
    </row>
    <row r="358" spans="25:25" x14ac:dyDescent="0.2">
      <c r="Y358" s="15"/>
    </row>
    <row r="359" spans="25:25" x14ac:dyDescent="0.2">
      <c r="Y359" s="15"/>
    </row>
    <row r="360" spans="25:25" x14ac:dyDescent="0.2">
      <c r="Y360" s="15"/>
    </row>
    <row r="361" spans="25:25" x14ac:dyDescent="0.2">
      <c r="Y361" s="15"/>
    </row>
    <row r="362" spans="25:25" x14ac:dyDescent="0.2">
      <c r="Y362" s="15"/>
    </row>
    <row r="363" spans="25:25" x14ac:dyDescent="0.2">
      <c r="Y363" s="15"/>
    </row>
    <row r="364" spans="25:25" x14ac:dyDescent="0.2">
      <c r="Y364" s="15"/>
    </row>
    <row r="365" spans="25:25" x14ac:dyDescent="0.2">
      <c r="Y365" s="15"/>
    </row>
    <row r="366" spans="25:25" x14ac:dyDescent="0.2">
      <c r="Y366" s="15"/>
    </row>
    <row r="367" spans="25:25" x14ac:dyDescent="0.2">
      <c r="Y367" s="15"/>
    </row>
    <row r="368" spans="25:25" x14ac:dyDescent="0.2">
      <c r="Y368" s="15"/>
    </row>
    <row r="369" spans="25:25" x14ac:dyDescent="0.2">
      <c r="Y369" s="15"/>
    </row>
    <row r="370" spans="25:25" x14ac:dyDescent="0.2">
      <c r="Y370" s="15"/>
    </row>
    <row r="371" spans="25:25" x14ac:dyDescent="0.2">
      <c r="Y371" s="15"/>
    </row>
    <row r="372" spans="25:25" x14ac:dyDescent="0.2">
      <c r="Y372" s="15"/>
    </row>
    <row r="373" spans="25:25" x14ac:dyDescent="0.2">
      <c r="Y373" s="15"/>
    </row>
    <row r="374" spans="25:25" x14ac:dyDescent="0.2">
      <c r="Y374" s="15"/>
    </row>
    <row r="375" spans="25:25" x14ac:dyDescent="0.2">
      <c r="Y375" s="15"/>
    </row>
    <row r="376" spans="25:25" x14ac:dyDescent="0.2">
      <c r="Y376" s="15"/>
    </row>
    <row r="377" spans="25:25" x14ac:dyDescent="0.2">
      <c r="Y377" s="15"/>
    </row>
    <row r="378" spans="25:25" x14ac:dyDescent="0.2">
      <c r="Y378" s="15"/>
    </row>
    <row r="379" spans="25:25" x14ac:dyDescent="0.2">
      <c r="Y379" s="15"/>
    </row>
    <row r="380" spans="25:25" x14ac:dyDescent="0.2">
      <c r="Y380" s="15"/>
    </row>
    <row r="381" spans="25:25" x14ac:dyDescent="0.2">
      <c r="Y381" s="15"/>
    </row>
    <row r="382" spans="25:25" x14ac:dyDescent="0.2">
      <c r="Y382" s="15"/>
    </row>
    <row r="383" spans="25:25" x14ac:dyDescent="0.2">
      <c r="Y383" s="15"/>
    </row>
    <row r="384" spans="25:25" x14ac:dyDescent="0.2">
      <c r="Y384" s="15"/>
    </row>
    <row r="385" spans="25:25" x14ac:dyDescent="0.2">
      <c r="Y385" s="15"/>
    </row>
    <row r="386" spans="25:25" x14ac:dyDescent="0.2">
      <c r="Y386" s="15"/>
    </row>
    <row r="387" spans="25:25" x14ac:dyDescent="0.2">
      <c r="Y387" s="15"/>
    </row>
    <row r="388" spans="25:25" x14ac:dyDescent="0.2">
      <c r="Y388" s="15"/>
    </row>
    <row r="389" spans="25:25" x14ac:dyDescent="0.2">
      <c r="Y389" s="15"/>
    </row>
    <row r="390" spans="25:25" x14ac:dyDescent="0.2">
      <c r="Y390" s="15"/>
    </row>
    <row r="391" spans="25:25" x14ac:dyDescent="0.2">
      <c r="Y391" s="15"/>
    </row>
    <row r="392" spans="25:25" x14ac:dyDescent="0.2">
      <c r="Y392" s="15"/>
    </row>
    <row r="393" spans="25:25" x14ac:dyDescent="0.2">
      <c r="Y393" s="15"/>
    </row>
    <row r="394" spans="25:25" x14ac:dyDescent="0.2">
      <c r="Y394" s="15"/>
    </row>
    <row r="395" spans="25:25" x14ac:dyDescent="0.2">
      <c r="Y395" s="15"/>
    </row>
    <row r="396" spans="25:25" x14ac:dyDescent="0.2">
      <c r="Y396" s="15"/>
    </row>
    <row r="397" spans="25:25" x14ac:dyDescent="0.2">
      <c r="Y397" s="15"/>
    </row>
    <row r="398" spans="25:25" x14ac:dyDescent="0.2">
      <c r="Y398" s="15"/>
    </row>
    <row r="399" spans="25:25" x14ac:dyDescent="0.2">
      <c r="Y399" s="15"/>
    </row>
    <row r="400" spans="25:25" x14ac:dyDescent="0.2">
      <c r="Y400" s="15"/>
    </row>
    <row r="401" spans="25:25" x14ac:dyDescent="0.2">
      <c r="Y401" s="15"/>
    </row>
    <row r="402" spans="25:25" x14ac:dyDescent="0.2">
      <c r="Y402" s="15"/>
    </row>
    <row r="403" spans="25:25" x14ac:dyDescent="0.2">
      <c r="Y403" s="15"/>
    </row>
    <row r="404" spans="25:25" x14ac:dyDescent="0.2">
      <c r="Y404" s="15"/>
    </row>
    <row r="405" spans="25:25" x14ac:dyDescent="0.2">
      <c r="Y405" s="15"/>
    </row>
    <row r="406" spans="25:25" x14ac:dyDescent="0.2">
      <c r="Y406" s="15"/>
    </row>
    <row r="407" spans="25:25" x14ac:dyDescent="0.2">
      <c r="Y407" s="15"/>
    </row>
    <row r="408" spans="25:25" x14ac:dyDescent="0.2">
      <c r="Y408" s="15"/>
    </row>
    <row r="409" spans="25:25" x14ac:dyDescent="0.2">
      <c r="Y409" s="15"/>
    </row>
    <row r="410" spans="25:25" x14ac:dyDescent="0.2">
      <c r="Y410" s="15"/>
    </row>
    <row r="411" spans="25:25" x14ac:dyDescent="0.2">
      <c r="Y411" s="15"/>
    </row>
    <row r="412" spans="25:25" x14ac:dyDescent="0.2">
      <c r="Y412" s="15"/>
    </row>
    <row r="413" spans="25:25" x14ac:dyDescent="0.2">
      <c r="Y413" s="15"/>
    </row>
    <row r="414" spans="25:25" x14ac:dyDescent="0.2">
      <c r="Y414" s="15"/>
    </row>
    <row r="415" spans="25:25" x14ac:dyDescent="0.2">
      <c r="Y415" s="15"/>
    </row>
    <row r="416" spans="25:25" x14ac:dyDescent="0.2">
      <c r="Y416" s="15"/>
    </row>
    <row r="417" spans="25:25" x14ac:dyDescent="0.2">
      <c r="Y417" s="15"/>
    </row>
    <row r="418" spans="25:25" x14ac:dyDescent="0.2">
      <c r="Y418" s="15"/>
    </row>
    <row r="419" spans="25:25" x14ac:dyDescent="0.2">
      <c r="Y419" s="15"/>
    </row>
    <row r="420" spans="25:25" x14ac:dyDescent="0.2">
      <c r="Y420" s="15"/>
    </row>
    <row r="421" spans="25:25" x14ac:dyDescent="0.2">
      <c r="Y421" s="15"/>
    </row>
    <row r="422" spans="25:25" x14ac:dyDescent="0.2">
      <c r="Y422" s="15"/>
    </row>
    <row r="423" spans="25:25" x14ac:dyDescent="0.2">
      <c r="Y423" s="15"/>
    </row>
    <row r="424" spans="25:25" x14ac:dyDescent="0.2">
      <c r="Y424" s="15"/>
    </row>
    <row r="425" spans="25:25" x14ac:dyDescent="0.2">
      <c r="Y425" s="15"/>
    </row>
    <row r="426" spans="25:25" x14ac:dyDescent="0.2">
      <c r="Y426" s="15"/>
    </row>
    <row r="427" spans="25:25" x14ac:dyDescent="0.2">
      <c r="Y427" s="15"/>
    </row>
    <row r="428" spans="25:25" x14ac:dyDescent="0.2">
      <c r="Y428" s="15"/>
    </row>
    <row r="429" spans="25:25" x14ac:dyDescent="0.2">
      <c r="Y429" s="15"/>
    </row>
    <row r="430" spans="25:25" x14ac:dyDescent="0.2">
      <c r="Y430" s="15"/>
    </row>
    <row r="431" spans="25:25" x14ac:dyDescent="0.2">
      <c r="Y431" s="15"/>
    </row>
    <row r="432" spans="25:25" x14ac:dyDescent="0.2">
      <c r="Y432" s="15"/>
    </row>
    <row r="433" spans="25:25" x14ac:dyDescent="0.2">
      <c r="Y433" s="15"/>
    </row>
    <row r="434" spans="25:25" x14ac:dyDescent="0.2">
      <c r="Y434" s="15"/>
    </row>
    <row r="435" spans="25:25" x14ac:dyDescent="0.2">
      <c r="Y435" s="15"/>
    </row>
    <row r="436" spans="25:25" x14ac:dyDescent="0.2">
      <c r="Y436" s="15"/>
    </row>
    <row r="437" spans="25:25" x14ac:dyDescent="0.2">
      <c r="Y437" s="15"/>
    </row>
    <row r="438" spans="25:25" x14ac:dyDescent="0.2">
      <c r="Y438" s="15"/>
    </row>
    <row r="439" spans="25:25" x14ac:dyDescent="0.2">
      <c r="Y439" s="15"/>
    </row>
    <row r="440" spans="25:25" x14ac:dyDescent="0.2">
      <c r="Y440" s="15"/>
    </row>
    <row r="441" spans="25:25" x14ac:dyDescent="0.2">
      <c r="Y441" s="15"/>
    </row>
    <row r="442" spans="25:25" x14ac:dyDescent="0.2">
      <c r="Y442" s="15"/>
    </row>
    <row r="443" spans="25:25" x14ac:dyDescent="0.2">
      <c r="Y443" s="15"/>
    </row>
    <row r="444" spans="25:25" x14ac:dyDescent="0.2">
      <c r="Y444" s="15"/>
    </row>
    <row r="445" spans="25:25" x14ac:dyDescent="0.2">
      <c r="Y445" s="15"/>
    </row>
    <row r="446" spans="25:25" x14ac:dyDescent="0.2">
      <c r="Y446" s="15"/>
    </row>
    <row r="447" spans="25:25" x14ac:dyDescent="0.2">
      <c r="Y447" s="15"/>
    </row>
    <row r="448" spans="25:25" x14ac:dyDescent="0.2">
      <c r="Y448" s="15"/>
    </row>
    <row r="449" spans="25:25" x14ac:dyDescent="0.2">
      <c r="Y449" s="15"/>
    </row>
    <row r="450" spans="25:25" x14ac:dyDescent="0.2">
      <c r="Y450" s="15"/>
    </row>
    <row r="451" spans="25:25" x14ac:dyDescent="0.2">
      <c r="Y451" s="15"/>
    </row>
    <row r="452" spans="25:25" x14ac:dyDescent="0.2">
      <c r="Y452" s="15"/>
    </row>
    <row r="453" spans="25:25" x14ac:dyDescent="0.2">
      <c r="Y453" s="15"/>
    </row>
    <row r="454" spans="25:25" x14ac:dyDescent="0.2">
      <c r="Y454" s="15"/>
    </row>
    <row r="455" spans="25:25" x14ac:dyDescent="0.2">
      <c r="Y455" s="15"/>
    </row>
    <row r="456" spans="25:25" x14ac:dyDescent="0.2">
      <c r="Y456" s="15"/>
    </row>
    <row r="457" spans="25:25" x14ac:dyDescent="0.2">
      <c r="Y457" s="15"/>
    </row>
    <row r="458" spans="25:25" x14ac:dyDescent="0.2">
      <c r="Y458" s="15"/>
    </row>
    <row r="459" spans="25:25" x14ac:dyDescent="0.2">
      <c r="Y459" s="15"/>
    </row>
    <row r="460" spans="25:25" x14ac:dyDescent="0.2">
      <c r="Y460" s="15"/>
    </row>
    <row r="461" spans="25:25" x14ac:dyDescent="0.2">
      <c r="Y461" s="15"/>
    </row>
    <row r="462" spans="25:25" x14ac:dyDescent="0.2">
      <c r="Y462" s="15"/>
    </row>
    <row r="463" spans="25:25" x14ac:dyDescent="0.2">
      <c r="Y463" s="15"/>
    </row>
    <row r="464" spans="25:25" x14ac:dyDescent="0.2">
      <c r="Y464" s="15"/>
    </row>
    <row r="465" spans="25:25" x14ac:dyDescent="0.2">
      <c r="Y465" s="15"/>
    </row>
    <row r="466" spans="25:25" x14ac:dyDescent="0.2">
      <c r="Y466" s="15"/>
    </row>
    <row r="467" spans="25:25" x14ac:dyDescent="0.2">
      <c r="Y467" s="15"/>
    </row>
    <row r="468" spans="25:25" x14ac:dyDescent="0.2">
      <c r="Y468" s="15"/>
    </row>
    <row r="469" spans="25:25" x14ac:dyDescent="0.2">
      <c r="Y469" s="15"/>
    </row>
    <row r="470" spans="25:25" x14ac:dyDescent="0.2">
      <c r="Y470" s="15"/>
    </row>
    <row r="471" spans="25:25" x14ac:dyDescent="0.2">
      <c r="Y471" s="15"/>
    </row>
    <row r="472" spans="25:25" x14ac:dyDescent="0.2">
      <c r="Y472" s="15"/>
    </row>
    <row r="473" spans="25:25" x14ac:dyDescent="0.2">
      <c r="Y473" s="15"/>
    </row>
    <row r="474" spans="25:25" x14ac:dyDescent="0.2">
      <c r="Y474" s="15"/>
    </row>
    <row r="475" spans="25:25" x14ac:dyDescent="0.2">
      <c r="Y475" s="15"/>
    </row>
    <row r="476" spans="25:25" x14ac:dyDescent="0.2">
      <c r="Y476" s="15"/>
    </row>
    <row r="477" spans="25:25" x14ac:dyDescent="0.2">
      <c r="Y477" s="15"/>
    </row>
    <row r="478" spans="25:25" x14ac:dyDescent="0.2">
      <c r="Y478" s="15"/>
    </row>
    <row r="479" spans="25:25" x14ac:dyDescent="0.2">
      <c r="Y479" s="15"/>
    </row>
    <row r="480" spans="25:25" x14ac:dyDescent="0.2">
      <c r="Y480" s="15"/>
    </row>
    <row r="481" spans="25:25" x14ac:dyDescent="0.2">
      <c r="Y481" s="15"/>
    </row>
    <row r="482" spans="25:25" x14ac:dyDescent="0.2">
      <c r="Y482" s="15"/>
    </row>
    <row r="483" spans="25:25" x14ac:dyDescent="0.2">
      <c r="Y483" s="15"/>
    </row>
    <row r="484" spans="25:25" x14ac:dyDescent="0.2">
      <c r="Y484" s="15"/>
    </row>
    <row r="485" spans="25:25" x14ac:dyDescent="0.2">
      <c r="Y485" s="15"/>
    </row>
    <row r="486" spans="25:25" x14ac:dyDescent="0.2">
      <c r="Y486" s="15"/>
    </row>
    <row r="487" spans="25:25" x14ac:dyDescent="0.2">
      <c r="Y487" s="15"/>
    </row>
    <row r="488" spans="25:25" x14ac:dyDescent="0.2">
      <c r="Y488" s="15"/>
    </row>
    <row r="489" spans="25:25" x14ac:dyDescent="0.2">
      <c r="Y489" s="15"/>
    </row>
    <row r="490" spans="25:25" x14ac:dyDescent="0.2">
      <c r="Y490" s="15"/>
    </row>
    <row r="491" spans="25:25" x14ac:dyDescent="0.2">
      <c r="Y491" s="15"/>
    </row>
    <row r="492" spans="25:25" x14ac:dyDescent="0.2">
      <c r="Y492" s="15"/>
    </row>
    <row r="493" spans="25:25" x14ac:dyDescent="0.2">
      <c r="Y493" s="15"/>
    </row>
    <row r="494" spans="25:25" x14ac:dyDescent="0.2">
      <c r="Y494" s="15"/>
    </row>
    <row r="495" spans="25:25" x14ac:dyDescent="0.2">
      <c r="Y495" s="15"/>
    </row>
    <row r="496" spans="25:25" x14ac:dyDescent="0.2">
      <c r="Y496" s="15"/>
    </row>
    <row r="497" spans="25:25" x14ac:dyDescent="0.2">
      <c r="Y497" s="15"/>
    </row>
    <row r="498" spans="25:25" x14ac:dyDescent="0.2">
      <c r="Y498" s="15"/>
    </row>
    <row r="499" spans="25:25" x14ac:dyDescent="0.2">
      <c r="Y499" s="15"/>
    </row>
    <row r="500" spans="25:25" x14ac:dyDescent="0.2">
      <c r="Y500" s="15"/>
    </row>
    <row r="501" spans="25:25" x14ac:dyDescent="0.2">
      <c r="Y501" s="15"/>
    </row>
    <row r="502" spans="25:25" x14ac:dyDescent="0.2">
      <c r="Y502" s="15"/>
    </row>
    <row r="503" spans="25:25" x14ac:dyDescent="0.2">
      <c r="Y503" s="15"/>
    </row>
    <row r="504" spans="25:25" x14ac:dyDescent="0.2">
      <c r="Y504" s="15"/>
    </row>
    <row r="505" spans="25:25" x14ac:dyDescent="0.2">
      <c r="Y505" s="15"/>
    </row>
    <row r="506" spans="25:25" x14ac:dyDescent="0.2">
      <c r="Y506" s="15"/>
    </row>
    <row r="507" spans="25:25" x14ac:dyDescent="0.2">
      <c r="Y507" s="15"/>
    </row>
    <row r="508" spans="25:25" x14ac:dyDescent="0.2">
      <c r="Y508" s="15"/>
    </row>
    <row r="509" spans="25:25" x14ac:dyDescent="0.2">
      <c r="Y509" s="15"/>
    </row>
    <row r="510" spans="25:25" x14ac:dyDescent="0.2">
      <c r="Y510" s="15"/>
    </row>
    <row r="511" spans="25:25" x14ac:dyDescent="0.2">
      <c r="Y511" s="15"/>
    </row>
    <row r="512" spans="25:25" x14ac:dyDescent="0.2">
      <c r="Y512" s="15"/>
    </row>
    <row r="513" spans="25:25" x14ac:dyDescent="0.2">
      <c r="Y513" s="15"/>
    </row>
    <row r="514" spans="25:25" x14ac:dyDescent="0.2">
      <c r="Y514" s="15"/>
    </row>
    <row r="515" spans="25:25" x14ac:dyDescent="0.2">
      <c r="Y515" s="15"/>
    </row>
    <row r="516" spans="25:25" x14ac:dyDescent="0.2">
      <c r="Y516" s="15"/>
    </row>
    <row r="517" spans="25:25" x14ac:dyDescent="0.2">
      <c r="Y517" s="15"/>
    </row>
    <row r="518" spans="25:25" x14ac:dyDescent="0.2">
      <c r="Y518" s="15"/>
    </row>
    <row r="519" spans="25:25" x14ac:dyDescent="0.2">
      <c r="Y519" s="15"/>
    </row>
    <row r="520" spans="25:25" x14ac:dyDescent="0.2">
      <c r="Y520" s="15"/>
    </row>
    <row r="521" spans="25:25" x14ac:dyDescent="0.2">
      <c r="Y521" s="15"/>
    </row>
    <row r="522" spans="25:25" x14ac:dyDescent="0.2">
      <c r="Y522" s="15"/>
    </row>
    <row r="523" spans="25:25" x14ac:dyDescent="0.2">
      <c r="Y523" s="15"/>
    </row>
    <row r="524" spans="25:25" x14ac:dyDescent="0.2">
      <c r="Y524" s="15"/>
    </row>
    <row r="525" spans="25:25" x14ac:dyDescent="0.2">
      <c r="Y525" s="15"/>
    </row>
    <row r="526" spans="25:25" x14ac:dyDescent="0.2">
      <c r="Y526" s="15"/>
    </row>
    <row r="527" spans="25:25" x14ac:dyDescent="0.2">
      <c r="Y527" s="15"/>
    </row>
    <row r="528" spans="25:25" x14ac:dyDescent="0.2">
      <c r="Y528" s="15"/>
    </row>
    <row r="529" spans="25:25" x14ac:dyDescent="0.2">
      <c r="Y529" s="15"/>
    </row>
    <row r="530" spans="25:25" x14ac:dyDescent="0.2">
      <c r="Y530" s="15"/>
    </row>
    <row r="531" spans="25:25" x14ac:dyDescent="0.2">
      <c r="Y531" s="15"/>
    </row>
    <row r="532" spans="25:25" x14ac:dyDescent="0.2">
      <c r="Y532" s="15"/>
    </row>
    <row r="533" spans="25:25" x14ac:dyDescent="0.2">
      <c r="Y533" s="15"/>
    </row>
    <row r="534" spans="25:25" x14ac:dyDescent="0.2">
      <c r="Y534" s="15"/>
    </row>
    <row r="535" spans="25:25" x14ac:dyDescent="0.2">
      <c r="Y535" s="15"/>
    </row>
    <row r="536" spans="25:25" x14ac:dyDescent="0.2">
      <c r="Y536" s="15"/>
    </row>
    <row r="537" spans="25:25" x14ac:dyDescent="0.2">
      <c r="Y537" s="15"/>
    </row>
    <row r="538" spans="25:25" x14ac:dyDescent="0.2">
      <c r="Y538" s="15"/>
    </row>
    <row r="539" spans="25:25" x14ac:dyDescent="0.2">
      <c r="Y539" s="15"/>
    </row>
    <row r="540" spans="25:25" x14ac:dyDescent="0.2">
      <c r="Y540" s="15"/>
    </row>
    <row r="541" spans="25:25" x14ac:dyDescent="0.2">
      <c r="Y541" s="15"/>
    </row>
    <row r="542" spans="25:25" x14ac:dyDescent="0.2">
      <c r="Y542" s="15"/>
    </row>
    <row r="543" spans="25:25" x14ac:dyDescent="0.2">
      <c r="Y543" s="15"/>
    </row>
    <row r="544" spans="25:25" x14ac:dyDescent="0.2">
      <c r="Y544" s="15"/>
    </row>
    <row r="545" spans="25:25" x14ac:dyDescent="0.2">
      <c r="Y545" s="15"/>
    </row>
    <row r="546" spans="25:25" x14ac:dyDescent="0.2">
      <c r="Y546" s="15"/>
    </row>
    <row r="547" spans="25:25" x14ac:dyDescent="0.2">
      <c r="Y547" s="15"/>
    </row>
    <row r="548" spans="25:25" x14ac:dyDescent="0.2">
      <c r="Y548" s="15"/>
    </row>
    <row r="549" spans="25:25" x14ac:dyDescent="0.2">
      <c r="Y549" s="15"/>
    </row>
    <row r="550" spans="25:25" x14ac:dyDescent="0.2">
      <c r="Y550" s="15"/>
    </row>
    <row r="551" spans="25:25" x14ac:dyDescent="0.2">
      <c r="Y551" s="15"/>
    </row>
    <row r="552" spans="25:25" x14ac:dyDescent="0.2">
      <c r="Y552" s="15"/>
    </row>
    <row r="553" spans="25:25" x14ac:dyDescent="0.2">
      <c r="Y553" s="15"/>
    </row>
    <row r="554" spans="25:25" x14ac:dyDescent="0.2">
      <c r="Y554" s="15"/>
    </row>
    <row r="555" spans="25:25" x14ac:dyDescent="0.2">
      <c r="Y555" s="15"/>
    </row>
    <row r="556" spans="25:25" x14ac:dyDescent="0.2">
      <c r="Y556" s="15"/>
    </row>
    <row r="557" spans="25:25" x14ac:dyDescent="0.2">
      <c r="Y557" s="15"/>
    </row>
    <row r="558" spans="25:25" x14ac:dyDescent="0.2">
      <c r="Y558" s="15"/>
    </row>
    <row r="559" spans="25:25" x14ac:dyDescent="0.2">
      <c r="Y559" s="15"/>
    </row>
    <row r="560" spans="25:25" x14ac:dyDescent="0.2">
      <c r="Y560" s="15"/>
    </row>
    <row r="561" spans="25:25" x14ac:dyDescent="0.2">
      <c r="Y561" s="15"/>
    </row>
    <row r="562" spans="25:25" x14ac:dyDescent="0.2">
      <c r="Y562" s="15"/>
    </row>
    <row r="563" spans="25:25" x14ac:dyDescent="0.2">
      <c r="Y563" s="15"/>
    </row>
    <row r="564" spans="25:25" x14ac:dyDescent="0.2">
      <c r="Y564" s="15"/>
    </row>
    <row r="565" spans="25:25" x14ac:dyDescent="0.2">
      <c r="Y565" s="15"/>
    </row>
    <row r="566" spans="25:25" x14ac:dyDescent="0.2">
      <c r="Y566" s="15"/>
    </row>
    <row r="567" spans="25:25" x14ac:dyDescent="0.2">
      <c r="Y567" s="15"/>
    </row>
    <row r="568" spans="25:25" x14ac:dyDescent="0.2">
      <c r="Y568" s="15"/>
    </row>
    <row r="569" spans="25:25" x14ac:dyDescent="0.2">
      <c r="Y569" s="15"/>
    </row>
    <row r="570" spans="25:25" x14ac:dyDescent="0.2">
      <c r="Y570" s="15"/>
    </row>
    <row r="571" spans="25:25" x14ac:dyDescent="0.2">
      <c r="Y571" s="15"/>
    </row>
    <row r="572" spans="25:25" x14ac:dyDescent="0.2">
      <c r="Y572" s="15"/>
    </row>
    <row r="573" spans="25:25" x14ac:dyDescent="0.2">
      <c r="Y573" s="15"/>
    </row>
    <row r="574" spans="25:25" x14ac:dyDescent="0.2">
      <c r="Y574" s="15"/>
    </row>
    <row r="575" spans="25:25" x14ac:dyDescent="0.2">
      <c r="Y575" s="15"/>
    </row>
    <row r="576" spans="25:25" x14ac:dyDescent="0.2">
      <c r="Y576" s="15"/>
    </row>
    <row r="577" spans="25:25" x14ac:dyDescent="0.2">
      <c r="Y577" s="15"/>
    </row>
    <row r="578" spans="25:25" x14ac:dyDescent="0.2">
      <c r="Y578" s="15"/>
    </row>
    <row r="579" spans="25:25" x14ac:dyDescent="0.2">
      <c r="Y579" s="15"/>
    </row>
    <row r="580" spans="25:25" x14ac:dyDescent="0.2">
      <c r="Y580" s="15"/>
    </row>
    <row r="581" spans="25:25" x14ac:dyDescent="0.2">
      <c r="Y581" s="15"/>
    </row>
    <row r="582" spans="25:25" x14ac:dyDescent="0.2">
      <c r="Y582" s="15"/>
    </row>
    <row r="583" spans="25:25" x14ac:dyDescent="0.2">
      <c r="Y583" s="15"/>
    </row>
    <row r="584" spans="25:25" x14ac:dyDescent="0.2">
      <c r="Y584" s="15"/>
    </row>
    <row r="585" spans="25:25" x14ac:dyDescent="0.2">
      <c r="Y585" s="15"/>
    </row>
    <row r="586" spans="25:25" x14ac:dyDescent="0.2">
      <c r="Y586" s="15"/>
    </row>
    <row r="587" spans="25:25" x14ac:dyDescent="0.2">
      <c r="Y587" s="15"/>
    </row>
    <row r="588" spans="25:25" x14ac:dyDescent="0.2">
      <c r="Y588" s="15"/>
    </row>
    <row r="589" spans="25:25" x14ac:dyDescent="0.2">
      <c r="Y589" s="15"/>
    </row>
    <row r="590" spans="25:25" x14ac:dyDescent="0.2">
      <c r="Y590" s="15"/>
    </row>
    <row r="591" spans="25:25" x14ac:dyDescent="0.2">
      <c r="Y591" s="15"/>
    </row>
    <row r="592" spans="25:25" x14ac:dyDescent="0.2">
      <c r="Y592" s="15"/>
    </row>
    <row r="593" spans="25:25" x14ac:dyDescent="0.2">
      <c r="Y593" s="15"/>
    </row>
    <row r="594" spans="25:25" x14ac:dyDescent="0.2">
      <c r="Y594" s="15"/>
    </row>
    <row r="595" spans="25:25" x14ac:dyDescent="0.2">
      <c r="Y595" s="15"/>
    </row>
    <row r="596" spans="25:25" x14ac:dyDescent="0.2">
      <c r="Y596" s="15"/>
    </row>
    <row r="597" spans="25:25" x14ac:dyDescent="0.2">
      <c r="Y597" s="15"/>
    </row>
    <row r="598" spans="25:25" x14ac:dyDescent="0.2">
      <c r="Y598" s="15"/>
    </row>
    <row r="599" spans="25:25" x14ac:dyDescent="0.2">
      <c r="Y599" s="15"/>
    </row>
    <row r="600" spans="25:25" x14ac:dyDescent="0.2">
      <c r="Y600" s="15"/>
    </row>
    <row r="601" spans="25:25" x14ac:dyDescent="0.2">
      <c r="Y601" s="15"/>
    </row>
    <row r="602" spans="25:25" x14ac:dyDescent="0.2">
      <c r="Y602" s="15"/>
    </row>
    <row r="603" spans="25:25" x14ac:dyDescent="0.2">
      <c r="Y603" s="15"/>
    </row>
    <row r="604" spans="25:25" x14ac:dyDescent="0.2">
      <c r="Y604" s="15"/>
    </row>
    <row r="605" spans="25:25" x14ac:dyDescent="0.2">
      <c r="Y605" s="15"/>
    </row>
    <row r="606" spans="25:25" x14ac:dyDescent="0.2">
      <c r="Y606" s="15"/>
    </row>
    <row r="607" spans="25:25" x14ac:dyDescent="0.2">
      <c r="Y607" s="15"/>
    </row>
    <row r="608" spans="25:25" x14ac:dyDescent="0.2">
      <c r="Y608" s="15"/>
    </row>
    <row r="609" spans="25:25" x14ac:dyDescent="0.2">
      <c r="Y609" s="15"/>
    </row>
    <row r="610" spans="25:25" x14ac:dyDescent="0.2">
      <c r="Y610" s="15"/>
    </row>
    <row r="611" spans="25:25" x14ac:dyDescent="0.2">
      <c r="Y611" s="15"/>
    </row>
    <row r="612" spans="25:25" x14ac:dyDescent="0.2">
      <c r="Y612" s="15"/>
    </row>
    <row r="613" spans="25:25" x14ac:dyDescent="0.2">
      <c r="Y613" s="15"/>
    </row>
    <row r="614" spans="25:25" x14ac:dyDescent="0.2">
      <c r="Y614" s="15"/>
    </row>
    <row r="615" spans="25:25" x14ac:dyDescent="0.2">
      <c r="Y615" s="15"/>
    </row>
    <row r="616" spans="25:25" x14ac:dyDescent="0.2">
      <c r="Y616" s="15"/>
    </row>
    <row r="617" spans="25:25" x14ac:dyDescent="0.2">
      <c r="Y617" s="15"/>
    </row>
    <row r="618" spans="25:25" x14ac:dyDescent="0.2">
      <c r="Y618" s="15"/>
    </row>
    <row r="619" spans="25:25" x14ac:dyDescent="0.2">
      <c r="Y619" s="15"/>
    </row>
    <row r="620" spans="25:25" x14ac:dyDescent="0.2">
      <c r="Y620" s="15"/>
    </row>
    <row r="621" spans="25:25" x14ac:dyDescent="0.2">
      <c r="Y621" s="15"/>
    </row>
    <row r="622" spans="25:25" x14ac:dyDescent="0.2">
      <c r="Y622" s="15"/>
    </row>
    <row r="623" spans="25:25" x14ac:dyDescent="0.2">
      <c r="Y623" s="15"/>
    </row>
    <row r="624" spans="25:25" x14ac:dyDescent="0.2">
      <c r="Y624" s="15"/>
    </row>
    <row r="625" spans="25:25" x14ac:dyDescent="0.2">
      <c r="Y625" s="15"/>
    </row>
    <row r="626" spans="25:25" x14ac:dyDescent="0.2">
      <c r="Y626" s="15"/>
    </row>
    <row r="627" spans="25:25" x14ac:dyDescent="0.2">
      <c r="Y627" s="15"/>
    </row>
    <row r="628" spans="25:25" x14ac:dyDescent="0.2">
      <c r="Y628" s="15"/>
    </row>
    <row r="629" spans="25:25" x14ac:dyDescent="0.2">
      <c r="Y629" s="15"/>
    </row>
    <row r="630" spans="25:25" x14ac:dyDescent="0.2">
      <c r="Y630" s="15"/>
    </row>
    <row r="631" spans="25:25" x14ac:dyDescent="0.2">
      <c r="Y631" s="15"/>
    </row>
    <row r="632" spans="25:25" x14ac:dyDescent="0.2">
      <c r="Y632" s="15"/>
    </row>
    <row r="633" spans="25:25" x14ac:dyDescent="0.2">
      <c r="Y633" s="15"/>
    </row>
    <row r="634" spans="25:25" x14ac:dyDescent="0.2">
      <c r="Y634" s="15"/>
    </row>
    <row r="635" spans="25:25" x14ac:dyDescent="0.2">
      <c r="Y635" s="15"/>
    </row>
    <row r="636" spans="25:25" x14ac:dyDescent="0.2">
      <c r="Y636" s="15"/>
    </row>
    <row r="637" spans="25:25" x14ac:dyDescent="0.2">
      <c r="Y637" s="15"/>
    </row>
    <row r="638" spans="25:25" x14ac:dyDescent="0.2">
      <c r="Y638" s="15"/>
    </row>
    <row r="639" spans="25:25" x14ac:dyDescent="0.2">
      <c r="Y639" s="15"/>
    </row>
    <row r="640" spans="25:25" x14ac:dyDescent="0.2">
      <c r="Y640" s="15"/>
    </row>
    <row r="641" spans="25:25" x14ac:dyDescent="0.2">
      <c r="Y641" s="15"/>
    </row>
    <row r="642" spans="25:25" x14ac:dyDescent="0.2">
      <c r="Y642" s="15"/>
    </row>
    <row r="643" spans="25:25" x14ac:dyDescent="0.2">
      <c r="Y643" s="15"/>
    </row>
    <row r="644" spans="25:25" x14ac:dyDescent="0.2">
      <c r="Y644" s="15"/>
    </row>
    <row r="645" spans="25:25" x14ac:dyDescent="0.2">
      <c r="Y645" s="15"/>
    </row>
    <row r="646" spans="25:25" x14ac:dyDescent="0.2">
      <c r="Y646" s="15"/>
    </row>
    <row r="647" spans="25:25" x14ac:dyDescent="0.2">
      <c r="Y647" s="15"/>
    </row>
    <row r="648" spans="25:25" x14ac:dyDescent="0.2">
      <c r="Y648" s="15"/>
    </row>
    <row r="649" spans="25:25" x14ac:dyDescent="0.2">
      <c r="Y649" s="15"/>
    </row>
    <row r="650" spans="25:25" x14ac:dyDescent="0.2">
      <c r="Y650" s="15"/>
    </row>
    <row r="651" spans="25:25" x14ac:dyDescent="0.2">
      <c r="Y651" s="15"/>
    </row>
    <row r="652" spans="25:25" x14ac:dyDescent="0.2">
      <c r="Y652" s="15"/>
    </row>
    <row r="653" spans="25:25" x14ac:dyDescent="0.2">
      <c r="Y653" s="15"/>
    </row>
    <row r="654" spans="25:25" x14ac:dyDescent="0.2">
      <c r="Y654" s="15"/>
    </row>
    <row r="655" spans="25:25" x14ac:dyDescent="0.2">
      <c r="Y655" s="15"/>
    </row>
    <row r="656" spans="25:25" x14ac:dyDescent="0.2">
      <c r="Y656" s="15"/>
    </row>
    <row r="657" spans="25:25" x14ac:dyDescent="0.2">
      <c r="Y657" s="15"/>
    </row>
    <row r="658" spans="25:25" x14ac:dyDescent="0.2">
      <c r="Y658" s="15"/>
    </row>
    <row r="659" spans="25:25" x14ac:dyDescent="0.2">
      <c r="Y659" s="15"/>
    </row>
    <row r="660" spans="25:25" x14ac:dyDescent="0.2">
      <c r="Y660" s="15"/>
    </row>
    <row r="661" spans="25:25" x14ac:dyDescent="0.2">
      <c r="Y661" s="15"/>
    </row>
    <row r="662" spans="25:25" x14ac:dyDescent="0.2">
      <c r="Y662" s="15"/>
    </row>
    <row r="663" spans="25:25" x14ac:dyDescent="0.2">
      <c r="Y663" s="15"/>
    </row>
    <row r="664" spans="25:25" x14ac:dyDescent="0.2">
      <c r="Y664" s="15"/>
    </row>
    <row r="665" spans="25:25" x14ac:dyDescent="0.2">
      <c r="Y665" s="15"/>
    </row>
    <row r="666" spans="25:25" x14ac:dyDescent="0.2">
      <c r="Y666" s="15"/>
    </row>
    <row r="667" spans="25:25" x14ac:dyDescent="0.2">
      <c r="Y667" s="15"/>
    </row>
    <row r="668" spans="25:25" x14ac:dyDescent="0.2">
      <c r="Y668" s="15"/>
    </row>
    <row r="669" spans="25:25" x14ac:dyDescent="0.2">
      <c r="Y669" s="15"/>
    </row>
    <row r="670" spans="25:25" x14ac:dyDescent="0.2">
      <c r="Y670" s="15"/>
    </row>
    <row r="671" spans="25:25" x14ac:dyDescent="0.2">
      <c r="Y671" s="15"/>
    </row>
    <row r="672" spans="25:25" x14ac:dyDescent="0.2">
      <c r="Y672" s="15"/>
    </row>
    <row r="673" spans="25:25" x14ac:dyDescent="0.2">
      <c r="Y673" s="15"/>
    </row>
    <row r="674" spans="25:25" x14ac:dyDescent="0.2">
      <c r="Y674" s="15"/>
    </row>
    <row r="675" spans="25:25" x14ac:dyDescent="0.2">
      <c r="Y675" s="15"/>
    </row>
    <row r="676" spans="25:25" x14ac:dyDescent="0.2">
      <c r="Y676" s="15"/>
    </row>
    <row r="677" spans="25:25" x14ac:dyDescent="0.2">
      <c r="Y677" s="15"/>
    </row>
    <row r="678" spans="25:25" x14ac:dyDescent="0.2">
      <c r="Y678" s="15"/>
    </row>
    <row r="679" spans="25:25" x14ac:dyDescent="0.2">
      <c r="Y679" s="15"/>
    </row>
    <row r="680" spans="25:25" x14ac:dyDescent="0.2">
      <c r="Y680" s="15"/>
    </row>
    <row r="681" spans="25:25" x14ac:dyDescent="0.2">
      <c r="Y681" s="15"/>
    </row>
    <row r="682" spans="25:25" x14ac:dyDescent="0.2">
      <c r="Y682" s="15"/>
    </row>
    <row r="683" spans="25:25" x14ac:dyDescent="0.2">
      <c r="Y683" s="15"/>
    </row>
    <row r="684" spans="25:25" x14ac:dyDescent="0.2">
      <c r="Y684" s="15"/>
    </row>
    <row r="685" spans="25:25" x14ac:dyDescent="0.2">
      <c r="Y685" s="15"/>
    </row>
    <row r="686" spans="25:25" x14ac:dyDescent="0.2">
      <c r="Y686" s="15"/>
    </row>
    <row r="687" spans="25:25" x14ac:dyDescent="0.2">
      <c r="Y687" s="15"/>
    </row>
    <row r="688" spans="25:25" x14ac:dyDescent="0.2">
      <c r="Y688" s="15"/>
    </row>
    <row r="689" spans="25:25" x14ac:dyDescent="0.2">
      <c r="Y689" s="15"/>
    </row>
    <row r="690" spans="25:25" x14ac:dyDescent="0.2">
      <c r="Y690" s="15"/>
    </row>
    <row r="691" spans="25:25" x14ac:dyDescent="0.2">
      <c r="Y691" s="15"/>
    </row>
    <row r="692" spans="25:25" x14ac:dyDescent="0.2">
      <c r="Y692" s="15"/>
    </row>
    <row r="693" spans="25:25" x14ac:dyDescent="0.2">
      <c r="Y693" s="15"/>
    </row>
    <row r="694" spans="25:25" x14ac:dyDescent="0.2">
      <c r="Y694" s="15"/>
    </row>
    <row r="695" spans="25:25" x14ac:dyDescent="0.2">
      <c r="Y695" s="15"/>
    </row>
    <row r="696" spans="25:25" x14ac:dyDescent="0.2">
      <c r="Y696" s="15"/>
    </row>
    <row r="697" spans="25:25" x14ac:dyDescent="0.2">
      <c r="Y697" s="15"/>
    </row>
    <row r="698" spans="25:25" x14ac:dyDescent="0.2">
      <c r="Y698" s="15"/>
    </row>
    <row r="699" spans="25:25" x14ac:dyDescent="0.2">
      <c r="Y699" s="15"/>
    </row>
    <row r="700" spans="25:25" x14ac:dyDescent="0.2">
      <c r="Y700" s="15"/>
    </row>
    <row r="701" spans="25:25" x14ac:dyDescent="0.2">
      <c r="Y701" s="15"/>
    </row>
    <row r="702" spans="25:25" x14ac:dyDescent="0.2">
      <c r="Y702" s="15"/>
    </row>
    <row r="703" spans="25:25" x14ac:dyDescent="0.2">
      <c r="Y703" s="15"/>
    </row>
    <row r="704" spans="25:25" x14ac:dyDescent="0.2">
      <c r="Y704" s="15"/>
    </row>
    <row r="705" spans="25:25" x14ac:dyDescent="0.2">
      <c r="Y705" s="15"/>
    </row>
    <row r="706" spans="25:25" x14ac:dyDescent="0.2">
      <c r="Y706" s="15"/>
    </row>
    <row r="707" spans="25:25" x14ac:dyDescent="0.2">
      <c r="Y707" s="15"/>
    </row>
    <row r="708" spans="25:25" x14ac:dyDescent="0.2">
      <c r="Y708" s="15"/>
    </row>
    <row r="709" spans="25:25" x14ac:dyDescent="0.2">
      <c r="Y709" s="15"/>
    </row>
    <row r="710" spans="25:25" x14ac:dyDescent="0.2">
      <c r="Y710" s="15"/>
    </row>
    <row r="711" spans="25:25" x14ac:dyDescent="0.2">
      <c r="Y711" s="15"/>
    </row>
    <row r="712" spans="25:25" x14ac:dyDescent="0.2">
      <c r="Y712" s="15"/>
    </row>
    <row r="713" spans="25:25" x14ac:dyDescent="0.2">
      <c r="Y713" s="15"/>
    </row>
    <row r="714" spans="25:25" x14ac:dyDescent="0.2">
      <c r="Y714" s="15"/>
    </row>
    <row r="715" spans="25:25" x14ac:dyDescent="0.2">
      <c r="Y715" s="15"/>
    </row>
    <row r="716" spans="25:25" x14ac:dyDescent="0.2">
      <c r="Y716" s="15"/>
    </row>
    <row r="717" spans="25:25" x14ac:dyDescent="0.2">
      <c r="Y717" s="15"/>
    </row>
    <row r="718" spans="25:25" x14ac:dyDescent="0.2">
      <c r="Y718" s="15"/>
    </row>
    <row r="719" spans="25:25" x14ac:dyDescent="0.2">
      <c r="Y719" s="15"/>
    </row>
    <row r="720" spans="25:25" x14ac:dyDescent="0.2">
      <c r="Y720" s="15"/>
    </row>
    <row r="721" spans="25:25" x14ac:dyDescent="0.2">
      <c r="Y721" s="15"/>
    </row>
    <row r="722" spans="25:25" x14ac:dyDescent="0.2">
      <c r="Y722" s="15"/>
    </row>
    <row r="723" spans="25:25" x14ac:dyDescent="0.2">
      <c r="Y723" s="15"/>
    </row>
    <row r="724" spans="25:25" x14ac:dyDescent="0.2">
      <c r="Y724" s="15"/>
    </row>
    <row r="725" spans="25:25" x14ac:dyDescent="0.2">
      <c r="Y725" s="15"/>
    </row>
    <row r="726" spans="25:25" x14ac:dyDescent="0.2">
      <c r="Y726" s="15"/>
    </row>
    <row r="727" spans="25:25" x14ac:dyDescent="0.2">
      <c r="Y727" s="15"/>
    </row>
    <row r="728" spans="25:25" x14ac:dyDescent="0.2">
      <c r="Y728" s="15"/>
    </row>
    <row r="729" spans="25:25" x14ac:dyDescent="0.2">
      <c r="Y729" s="15"/>
    </row>
    <row r="730" spans="25:25" x14ac:dyDescent="0.2">
      <c r="Y730" s="15"/>
    </row>
    <row r="731" spans="25:25" x14ac:dyDescent="0.2">
      <c r="Y731" s="15"/>
    </row>
    <row r="732" spans="25:25" x14ac:dyDescent="0.2">
      <c r="Y732" s="15"/>
    </row>
    <row r="733" spans="25:25" x14ac:dyDescent="0.2">
      <c r="Y733" s="15"/>
    </row>
    <row r="734" spans="25:25" x14ac:dyDescent="0.2">
      <c r="Y734" s="15"/>
    </row>
    <row r="735" spans="25:25" x14ac:dyDescent="0.2">
      <c r="Y735" s="15"/>
    </row>
    <row r="736" spans="25:25" x14ac:dyDescent="0.2">
      <c r="Y736" s="15"/>
    </row>
    <row r="737" spans="25:25" x14ac:dyDescent="0.2">
      <c r="Y737" s="15"/>
    </row>
    <row r="738" spans="25:25" x14ac:dyDescent="0.2">
      <c r="Y738" s="15"/>
    </row>
    <row r="739" spans="25:25" x14ac:dyDescent="0.2">
      <c r="Y739" s="15"/>
    </row>
    <row r="740" spans="25:25" x14ac:dyDescent="0.2">
      <c r="Y740" s="15"/>
    </row>
    <row r="741" spans="25:25" x14ac:dyDescent="0.2">
      <c r="Y741" s="15"/>
    </row>
    <row r="742" spans="25:25" x14ac:dyDescent="0.2">
      <c r="Y742" s="15"/>
    </row>
    <row r="743" spans="25:25" x14ac:dyDescent="0.2">
      <c r="Y743" s="15"/>
    </row>
    <row r="744" spans="25:25" x14ac:dyDescent="0.2">
      <c r="Y744" s="15"/>
    </row>
    <row r="745" spans="25:25" x14ac:dyDescent="0.2">
      <c r="Y745" s="15"/>
    </row>
    <row r="746" spans="25:25" x14ac:dyDescent="0.2">
      <c r="Y746" s="15"/>
    </row>
    <row r="747" spans="25:25" x14ac:dyDescent="0.2">
      <c r="Y747" s="15"/>
    </row>
    <row r="748" spans="25:25" x14ac:dyDescent="0.2">
      <c r="Y748" s="15"/>
    </row>
    <row r="749" spans="25:25" x14ac:dyDescent="0.2">
      <c r="Y749" s="15"/>
    </row>
    <row r="750" spans="25:25" x14ac:dyDescent="0.2">
      <c r="Y750" s="15"/>
    </row>
    <row r="751" spans="25:25" x14ac:dyDescent="0.2">
      <c r="Y751" s="15"/>
    </row>
    <row r="752" spans="25:25" x14ac:dyDescent="0.2">
      <c r="Y752" s="15"/>
    </row>
    <row r="753" spans="25:25" x14ac:dyDescent="0.2">
      <c r="Y753" s="15"/>
    </row>
    <row r="754" spans="25:25" x14ac:dyDescent="0.2">
      <c r="Y754" s="15"/>
    </row>
    <row r="755" spans="25:25" x14ac:dyDescent="0.2">
      <c r="Y755" s="15"/>
    </row>
    <row r="756" spans="25:25" x14ac:dyDescent="0.2">
      <c r="Y756" s="15"/>
    </row>
    <row r="757" spans="25:25" x14ac:dyDescent="0.2">
      <c r="Y757" s="15"/>
    </row>
    <row r="758" spans="25:25" x14ac:dyDescent="0.2">
      <c r="Y758" s="15"/>
    </row>
    <row r="759" spans="25:25" x14ac:dyDescent="0.2">
      <c r="Y759" s="15"/>
    </row>
    <row r="760" spans="25:25" x14ac:dyDescent="0.2">
      <c r="Y760" s="15"/>
    </row>
    <row r="761" spans="25:25" x14ac:dyDescent="0.2">
      <c r="Y761" s="15"/>
    </row>
    <row r="762" spans="25:25" x14ac:dyDescent="0.2">
      <c r="Y762" s="15"/>
    </row>
    <row r="763" spans="25:25" x14ac:dyDescent="0.2">
      <c r="Y763" s="15"/>
    </row>
    <row r="764" spans="25:25" x14ac:dyDescent="0.2">
      <c r="Y764" s="15"/>
    </row>
    <row r="765" spans="25:25" x14ac:dyDescent="0.2">
      <c r="Y765" s="15"/>
    </row>
    <row r="766" spans="25:25" x14ac:dyDescent="0.2">
      <c r="Y766" s="15"/>
    </row>
    <row r="767" spans="25:25" x14ac:dyDescent="0.2">
      <c r="Y767" s="15"/>
    </row>
    <row r="768" spans="25:25" x14ac:dyDescent="0.2">
      <c r="Y768" s="15"/>
    </row>
    <row r="769" spans="25:25" x14ac:dyDescent="0.2">
      <c r="Y769" s="15"/>
    </row>
    <row r="770" spans="25:25" x14ac:dyDescent="0.2">
      <c r="Y770" s="15"/>
    </row>
    <row r="771" spans="25:25" x14ac:dyDescent="0.2">
      <c r="Y771" s="15"/>
    </row>
    <row r="772" spans="25:25" x14ac:dyDescent="0.2">
      <c r="Y772" s="15"/>
    </row>
    <row r="773" spans="25:25" x14ac:dyDescent="0.2">
      <c r="Y773" s="15"/>
    </row>
    <row r="774" spans="25:25" x14ac:dyDescent="0.2">
      <c r="Y774" s="15"/>
    </row>
    <row r="775" spans="25:25" x14ac:dyDescent="0.2">
      <c r="Y775" s="15"/>
    </row>
    <row r="776" spans="25:25" x14ac:dyDescent="0.2">
      <c r="Y776" s="15"/>
    </row>
    <row r="777" spans="25:25" x14ac:dyDescent="0.2">
      <c r="Y777" s="15"/>
    </row>
    <row r="778" spans="25:25" x14ac:dyDescent="0.2">
      <c r="Y778" s="15"/>
    </row>
    <row r="779" spans="25:25" x14ac:dyDescent="0.2">
      <c r="Y779" s="15"/>
    </row>
    <row r="780" spans="25:25" x14ac:dyDescent="0.2">
      <c r="Y780" s="15"/>
    </row>
    <row r="781" spans="25:25" x14ac:dyDescent="0.2">
      <c r="Y781" s="15"/>
    </row>
    <row r="782" spans="25:25" x14ac:dyDescent="0.2">
      <c r="Y782" s="15"/>
    </row>
    <row r="783" spans="25:25" x14ac:dyDescent="0.2">
      <c r="Y783" s="15"/>
    </row>
    <row r="784" spans="25:25" x14ac:dyDescent="0.2">
      <c r="Y784" s="15"/>
    </row>
    <row r="785" spans="25:25" x14ac:dyDescent="0.2">
      <c r="Y785" s="15"/>
    </row>
    <row r="786" spans="25:25" x14ac:dyDescent="0.2">
      <c r="Y786" s="15"/>
    </row>
    <row r="787" spans="25:25" x14ac:dyDescent="0.2">
      <c r="Y787" s="15"/>
    </row>
    <row r="788" spans="25:25" x14ac:dyDescent="0.2">
      <c r="Y788" s="15"/>
    </row>
    <row r="789" spans="25:25" x14ac:dyDescent="0.2">
      <c r="Y789" s="15"/>
    </row>
    <row r="790" spans="25:25" x14ac:dyDescent="0.2">
      <c r="Y790" s="15"/>
    </row>
    <row r="791" spans="25:25" x14ac:dyDescent="0.2">
      <c r="Y791" s="15"/>
    </row>
    <row r="792" spans="25:25" x14ac:dyDescent="0.2">
      <c r="Y792" s="15"/>
    </row>
    <row r="793" spans="25:25" x14ac:dyDescent="0.2">
      <c r="Y793" s="15"/>
    </row>
    <row r="794" spans="25:25" x14ac:dyDescent="0.2">
      <c r="Y794" s="15"/>
    </row>
    <row r="795" spans="25:25" x14ac:dyDescent="0.2">
      <c r="Y795" s="15"/>
    </row>
    <row r="796" spans="25:25" x14ac:dyDescent="0.2">
      <c r="Y796" s="15"/>
    </row>
    <row r="797" spans="25:25" x14ac:dyDescent="0.2">
      <c r="Y797" s="15"/>
    </row>
    <row r="798" spans="25:25" x14ac:dyDescent="0.2">
      <c r="Y798" s="15"/>
    </row>
    <row r="799" spans="25:25" x14ac:dyDescent="0.2">
      <c r="Y799" s="15"/>
    </row>
    <row r="800" spans="25:25" x14ac:dyDescent="0.2">
      <c r="Y800" s="15"/>
    </row>
    <row r="801" spans="25:25" x14ac:dyDescent="0.2">
      <c r="Y801" s="15"/>
    </row>
    <row r="802" spans="25:25" x14ac:dyDescent="0.2">
      <c r="Y802" s="15"/>
    </row>
    <row r="803" spans="25:25" x14ac:dyDescent="0.2">
      <c r="Y803" s="15"/>
    </row>
    <row r="804" spans="25:25" x14ac:dyDescent="0.2">
      <c r="Y804" s="15"/>
    </row>
    <row r="805" spans="25:25" x14ac:dyDescent="0.2">
      <c r="Y805" s="15"/>
    </row>
    <row r="806" spans="25:25" x14ac:dyDescent="0.2">
      <c r="Y806" s="15"/>
    </row>
    <row r="807" spans="25:25" x14ac:dyDescent="0.2">
      <c r="Y807" s="15"/>
    </row>
    <row r="808" spans="25:25" x14ac:dyDescent="0.2">
      <c r="Y808" s="15"/>
    </row>
    <row r="809" spans="25:25" x14ac:dyDescent="0.2">
      <c r="Y809" s="15"/>
    </row>
    <row r="810" spans="25:25" x14ac:dyDescent="0.2">
      <c r="Y810" s="15"/>
    </row>
    <row r="811" spans="25:25" x14ac:dyDescent="0.2">
      <c r="Y811" s="15"/>
    </row>
    <row r="812" spans="25:25" x14ac:dyDescent="0.2">
      <c r="Y812" s="15"/>
    </row>
    <row r="813" spans="25:25" x14ac:dyDescent="0.2">
      <c r="Y813" s="15"/>
    </row>
    <row r="814" spans="25:25" x14ac:dyDescent="0.2">
      <c r="Y814" s="15"/>
    </row>
    <row r="815" spans="25:25" x14ac:dyDescent="0.2">
      <c r="Y815" s="15"/>
    </row>
    <row r="816" spans="25:25" x14ac:dyDescent="0.2">
      <c r="Y816" s="15"/>
    </row>
    <row r="817" spans="25:25" x14ac:dyDescent="0.2">
      <c r="Y817" s="15"/>
    </row>
    <row r="818" spans="25:25" x14ac:dyDescent="0.2">
      <c r="Y818" s="15"/>
    </row>
    <row r="819" spans="25:25" x14ac:dyDescent="0.2">
      <c r="Y819" s="15"/>
    </row>
    <row r="820" spans="25:25" x14ac:dyDescent="0.2">
      <c r="Y820" s="15"/>
    </row>
    <row r="821" spans="25:25" x14ac:dyDescent="0.2">
      <c r="Y821" s="15"/>
    </row>
    <row r="822" spans="25:25" x14ac:dyDescent="0.2">
      <c r="Y822" s="15"/>
    </row>
    <row r="823" spans="25:25" x14ac:dyDescent="0.2">
      <c r="Y823" s="15"/>
    </row>
    <row r="824" spans="25:25" x14ac:dyDescent="0.2">
      <c r="Y824" s="15"/>
    </row>
    <row r="825" spans="25:25" x14ac:dyDescent="0.2">
      <c r="Y825" s="15"/>
    </row>
    <row r="826" spans="25:25" x14ac:dyDescent="0.2">
      <c r="Y826" s="15"/>
    </row>
    <row r="827" spans="25:25" x14ac:dyDescent="0.2">
      <c r="Y827" s="15"/>
    </row>
    <row r="828" spans="25:25" x14ac:dyDescent="0.2">
      <c r="Y828" s="15"/>
    </row>
    <row r="829" spans="25:25" x14ac:dyDescent="0.2">
      <c r="Y829" s="15"/>
    </row>
    <row r="830" spans="25:25" x14ac:dyDescent="0.2">
      <c r="Y830" s="15"/>
    </row>
    <row r="831" spans="25:25" x14ac:dyDescent="0.2">
      <c r="Y831" s="15"/>
    </row>
    <row r="832" spans="25:25" x14ac:dyDescent="0.2">
      <c r="Y832" s="15"/>
    </row>
    <row r="833" spans="25:25" x14ac:dyDescent="0.2">
      <c r="Y833" s="15"/>
    </row>
    <row r="834" spans="25:25" x14ac:dyDescent="0.2">
      <c r="Y834" s="15"/>
    </row>
    <row r="835" spans="25:25" x14ac:dyDescent="0.2">
      <c r="Y835" s="15"/>
    </row>
    <row r="836" spans="25:25" x14ac:dyDescent="0.2">
      <c r="Y836" s="15"/>
    </row>
    <row r="837" spans="25:25" x14ac:dyDescent="0.2">
      <c r="Y837" s="15"/>
    </row>
    <row r="838" spans="25:25" x14ac:dyDescent="0.2">
      <c r="Y838" s="15"/>
    </row>
    <row r="839" spans="25:25" x14ac:dyDescent="0.2">
      <c r="Y839" s="15"/>
    </row>
    <row r="840" spans="25:25" x14ac:dyDescent="0.2">
      <c r="Y840" s="15"/>
    </row>
    <row r="841" spans="25:25" x14ac:dyDescent="0.2">
      <c r="Y841" s="15"/>
    </row>
    <row r="842" spans="25:25" x14ac:dyDescent="0.2">
      <c r="Y842" s="15"/>
    </row>
    <row r="843" spans="25:25" x14ac:dyDescent="0.2">
      <c r="Y843" s="15"/>
    </row>
    <row r="844" spans="25:25" x14ac:dyDescent="0.2">
      <c r="Y844" s="15"/>
    </row>
    <row r="845" spans="25:25" x14ac:dyDescent="0.2">
      <c r="Y845" s="15"/>
    </row>
    <row r="846" spans="25:25" x14ac:dyDescent="0.2">
      <c r="Y846" s="15"/>
    </row>
    <row r="847" spans="25:25" x14ac:dyDescent="0.2">
      <c r="Y847" s="15"/>
    </row>
    <row r="848" spans="25:25" x14ac:dyDescent="0.2">
      <c r="Y848" s="15"/>
    </row>
    <row r="849" spans="25:25" x14ac:dyDescent="0.2">
      <c r="Y849" s="15"/>
    </row>
    <row r="850" spans="25:25" x14ac:dyDescent="0.2">
      <c r="Y850" s="15"/>
    </row>
    <row r="851" spans="25:25" x14ac:dyDescent="0.2">
      <c r="Y851" s="15"/>
    </row>
    <row r="852" spans="25:25" x14ac:dyDescent="0.2">
      <c r="Y852" s="15"/>
    </row>
    <row r="853" spans="25:25" x14ac:dyDescent="0.2">
      <c r="Y853" s="15"/>
    </row>
    <row r="854" spans="25:25" x14ac:dyDescent="0.2">
      <c r="Y854" s="15"/>
    </row>
    <row r="855" spans="25:25" x14ac:dyDescent="0.2">
      <c r="Y855" s="15"/>
    </row>
    <row r="856" spans="25:25" x14ac:dyDescent="0.2">
      <c r="Y856" s="15"/>
    </row>
    <row r="857" spans="25:25" x14ac:dyDescent="0.2">
      <c r="Y857" s="15"/>
    </row>
    <row r="858" spans="25:25" x14ac:dyDescent="0.2">
      <c r="Y858" s="15"/>
    </row>
    <row r="859" spans="25:25" x14ac:dyDescent="0.2">
      <c r="Y859" s="15"/>
    </row>
    <row r="860" spans="25:25" x14ac:dyDescent="0.2">
      <c r="Y860" s="15"/>
    </row>
    <row r="861" spans="25:25" x14ac:dyDescent="0.2">
      <c r="Y861" s="15"/>
    </row>
    <row r="862" spans="25:25" x14ac:dyDescent="0.2">
      <c r="Y862" s="15"/>
    </row>
    <row r="863" spans="25:25" x14ac:dyDescent="0.2">
      <c r="Y863" s="15"/>
    </row>
    <row r="864" spans="25:25" x14ac:dyDescent="0.2">
      <c r="Y864" s="15"/>
    </row>
    <row r="865" spans="25:25" x14ac:dyDescent="0.2">
      <c r="Y865" s="15"/>
    </row>
    <row r="866" spans="25:25" x14ac:dyDescent="0.2">
      <c r="Y866" s="15"/>
    </row>
    <row r="867" spans="25:25" x14ac:dyDescent="0.2">
      <c r="Y867" s="15"/>
    </row>
    <row r="868" spans="25:25" x14ac:dyDescent="0.2">
      <c r="Y868" s="15"/>
    </row>
    <row r="869" spans="25:25" x14ac:dyDescent="0.2">
      <c r="Y869" s="15"/>
    </row>
    <row r="870" spans="25:25" x14ac:dyDescent="0.2">
      <c r="Y870" s="15"/>
    </row>
    <row r="871" spans="25:25" x14ac:dyDescent="0.2">
      <c r="Y871" s="15"/>
    </row>
    <row r="872" spans="25:25" x14ac:dyDescent="0.2">
      <c r="Y872" s="15"/>
    </row>
    <row r="873" spans="25:25" x14ac:dyDescent="0.2">
      <c r="Y873" s="15"/>
    </row>
    <row r="874" spans="25:25" x14ac:dyDescent="0.2">
      <c r="Y874" s="15"/>
    </row>
    <row r="875" spans="25:25" x14ac:dyDescent="0.2">
      <c r="Y875" s="15"/>
    </row>
    <row r="876" spans="25:25" x14ac:dyDescent="0.2">
      <c r="Y876" s="15"/>
    </row>
    <row r="877" spans="25:25" x14ac:dyDescent="0.2">
      <c r="Y877" s="15"/>
    </row>
    <row r="878" spans="25:25" x14ac:dyDescent="0.2">
      <c r="Y878" s="15"/>
    </row>
    <row r="879" spans="25:25" x14ac:dyDescent="0.2">
      <c r="Y879" s="15"/>
    </row>
    <row r="880" spans="25:25" x14ac:dyDescent="0.2">
      <c r="Y880" s="15"/>
    </row>
    <row r="881" spans="25:25" x14ac:dyDescent="0.2">
      <c r="Y881" s="15"/>
    </row>
    <row r="882" spans="25:25" x14ac:dyDescent="0.2">
      <c r="Y882" s="15"/>
    </row>
    <row r="883" spans="25:25" x14ac:dyDescent="0.2">
      <c r="Y883" s="15"/>
    </row>
    <row r="884" spans="25:25" x14ac:dyDescent="0.2">
      <c r="Y884" s="15"/>
    </row>
    <row r="885" spans="25:25" x14ac:dyDescent="0.2">
      <c r="Y885" s="15"/>
    </row>
    <row r="886" spans="25:25" x14ac:dyDescent="0.2">
      <c r="Y886" s="15"/>
    </row>
    <row r="887" spans="25:25" x14ac:dyDescent="0.2">
      <c r="Y887" s="15"/>
    </row>
  </sheetData>
  <mergeCells count="7">
    <mergeCell ref="Y2:AB2"/>
    <mergeCell ref="A2:X2"/>
    <mergeCell ref="EG2:EO2"/>
    <mergeCell ref="AC2:AM2"/>
    <mergeCell ref="AN2:CI2"/>
    <mergeCell ref="CJ2:DO2"/>
    <mergeCell ref="DS2:EF2"/>
  </mergeCells>
  <phoneticPr fontId="2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paleosol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Bärbel Hönisch</cp:lastModifiedBy>
  <dcterms:created xsi:type="dcterms:W3CDTF">2017-12-08T17:27:39Z</dcterms:created>
  <dcterms:modified xsi:type="dcterms:W3CDTF">2022-03-17T18:52:08Z</dcterms:modified>
</cp:coreProperties>
</file>