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5"/>
  <workbookPr defaultThemeVersion="166925"/>
  <mc:AlternateContent xmlns:mc="http://schemas.openxmlformats.org/markup-compatibility/2006">
    <mc:Choice Requires="x15">
      <x15ac:absPath xmlns:x15ac="http://schemas.microsoft.com/office/spreadsheetml/2010/11/ac" url="/Users/Daphnia/Desktop/paleo pCO2 data base/archive/archive data files July 2020/"/>
    </mc:Choice>
  </mc:AlternateContent>
  <xr:revisionPtr revIDLastSave="0" documentId="13_ncr:1_{194ED753-AF54-2F4F-8ACA-7D4C0E1D9392}" xr6:coauthVersionLast="36" xr6:coauthVersionMax="45" xr10:uidLastSave="{00000000-0000-0000-0000-000000000000}"/>
  <bookViews>
    <workbookView xWindow="0" yWindow="460" windowWidth="28800" windowHeight="16320" activeTab="1" xr2:uid="{00000000-000D-0000-FFFF-FFFF00000000}"/>
  </bookViews>
  <sheets>
    <sheet name="Data" sheetId="5" r:id="rId1"/>
    <sheet name="Columns" sheetId="4" r:id="rId2"/>
  </sheets>
  <calcPr calcId="181029"/>
</workbook>
</file>

<file path=xl/calcChain.xml><?xml version="1.0" encoding="utf-8"?>
<calcChain xmlns="http://schemas.openxmlformats.org/spreadsheetml/2006/main">
  <c r="D5" i="5" l="1"/>
  <c r="E5" i="5"/>
  <c r="F5" i="5"/>
  <c r="G5" i="5"/>
  <c r="H5" i="5"/>
  <c r="I5" i="5"/>
  <c r="J5" i="5"/>
  <c r="D6" i="5"/>
  <c r="E6" i="5"/>
  <c r="F6" i="5"/>
  <c r="G6" i="5"/>
  <c r="H6" i="5"/>
  <c r="I6" i="5"/>
  <c r="J6" i="5"/>
  <c r="D7" i="5"/>
  <c r="E7" i="5"/>
  <c r="F7" i="5"/>
  <c r="G7" i="5"/>
  <c r="H7" i="5"/>
  <c r="I7" i="5"/>
  <c r="J7" i="5"/>
  <c r="D8" i="5"/>
  <c r="E8" i="5"/>
  <c r="F8" i="5"/>
  <c r="G8" i="5"/>
  <c r="H8" i="5"/>
  <c r="I8" i="5"/>
  <c r="J8" i="5"/>
  <c r="D9" i="5"/>
  <c r="E9" i="5"/>
  <c r="F9" i="5"/>
  <c r="G9" i="5"/>
  <c r="H9" i="5"/>
  <c r="I9" i="5"/>
  <c r="J9" i="5"/>
  <c r="D10" i="5"/>
  <c r="E10" i="5"/>
  <c r="F10" i="5"/>
  <c r="G10" i="5"/>
  <c r="H10" i="5"/>
  <c r="I10" i="5"/>
  <c r="J10" i="5"/>
  <c r="D11" i="5"/>
  <c r="E11" i="5"/>
  <c r="F11" i="5"/>
  <c r="G11" i="5"/>
  <c r="H11" i="5"/>
  <c r="I11" i="5"/>
  <c r="J11" i="5"/>
  <c r="D12" i="5"/>
  <c r="E12" i="5"/>
  <c r="F12" i="5"/>
  <c r="G12" i="5"/>
  <c r="H12" i="5"/>
  <c r="I12" i="5"/>
  <c r="J12" i="5"/>
  <c r="D13" i="5"/>
  <c r="E13" i="5"/>
  <c r="F13" i="5"/>
  <c r="G13" i="5"/>
  <c r="H13" i="5"/>
  <c r="I13" i="5"/>
  <c r="J13" i="5"/>
  <c r="D14" i="5"/>
  <c r="E14" i="5"/>
  <c r="F14" i="5"/>
  <c r="G14" i="5"/>
  <c r="H14" i="5"/>
  <c r="I14" i="5"/>
  <c r="J14" i="5"/>
  <c r="D15" i="5"/>
  <c r="E15" i="5"/>
  <c r="F15" i="5"/>
  <c r="G15" i="5"/>
  <c r="H15" i="5"/>
  <c r="I15" i="5"/>
  <c r="J15" i="5"/>
  <c r="D16" i="5"/>
  <c r="E16" i="5"/>
  <c r="F16" i="5"/>
  <c r="G16" i="5"/>
  <c r="H16" i="5"/>
  <c r="I16" i="5"/>
  <c r="J16" i="5"/>
  <c r="D17" i="5"/>
  <c r="E17" i="5"/>
  <c r="F17" i="5"/>
  <c r="G17" i="5"/>
  <c r="H17" i="5"/>
  <c r="I17" i="5"/>
  <c r="J17" i="5"/>
  <c r="D18" i="5"/>
  <c r="E18" i="5"/>
  <c r="F18" i="5"/>
  <c r="G18" i="5"/>
  <c r="H18" i="5"/>
  <c r="I18" i="5"/>
  <c r="J18" i="5"/>
  <c r="D19" i="5"/>
  <c r="E19" i="5"/>
  <c r="F19" i="5"/>
  <c r="G19" i="5"/>
  <c r="H19" i="5"/>
  <c r="I19" i="5"/>
  <c r="J19" i="5"/>
  <c r="D20" i="5"/>
  <c r="E20" i="5"/>
  <c r="F20" i="5"/>
  <c r="G20" i="5"/>
  <c r="H20" i="5"/>
  <c r="I20" i="5"/>
  <c r="J20" i="5"/>
  <c r="D21" i="5"/>
  <c r="E21" i="5"/>
  <c r="F21" i="5"/>
  <c r="G21" i="5"/>
  <c r="H21" i="5"/>
  <c r="I21" i="5"/>
  <c r="J21" i="5"/>
  <c r="D22" i="5"/>
  <c r="E22" i="5"/>
  <c r="F22" i="5"/>
  <c r="G22" i="5"/>
  <c r="H22" i="5"/>
  <c r="I22" i="5"/>
  <c r="J22" i="5"/>
  <c r="D23" i="5"/>
  <c r="E23" i="5"/>
  <c r="F23" i="5"/>
  <c r="G23" i="5"/>
  <c r="H23" i="5"/>
  <c r="I23" i="5"/>
  <c r="J23" i="5"/>
  <c r="D24" i="5"/>
  <c r="E24" i="5"/>
  <c r="F24" i="5"/>
  <c r="G24" i="5"/>
  <c r="H24" i="5"/>
  <c r="I24" i="5"/>
  <c r="J24" i="5"/>
  <c r="D25" i="5"/>
  <c r="E25" i="5"/>
  <c r="F25" i="5"/>
  <c r="G25" i="5"/>
  <c r="H25" i="5"/>
  <c r="I25" i="5"/>
  <c r="J25" i="5"/>
  <c r="D26" i="5"/>
  <c r="E26" i="5"/>
  <c r="F26" i="5"/>
  <c r="G26" i="5"/>
  <c r="H26" i="5"/>
  <c r="I26" i="5"/>
  <c r="J26" i="5"/>
  <c r="D27" i="5"/>
  <c r="E27" i="5"/>
  <c r="F27" i="5"/>
  <c r="G27" i="5"/>
  <c r="H27" i="5"/>
  <c r="I27" i="5"/>
  <c r="J27" i="5"/>
  <c r="D28" i="5"/>
  <c r="E28" i="5"/>
  <c r="F28" i="5"/>
  <c r="G28" i="5"/>
  <c r="H28" i="5"/>
  <c r="I28" i="5"/>
  <c r="J28" i="5"/>
  <c r="D29" i="5"/>
  <c r="E29" i="5"/>
  <c r="F29" i="5"/>
  <c r="G29" i="5"/>
  <c r="H29" i="5"/>
  <c r="I29" i="5"/>
  <c r="J29" i="5"/>
  <c r="D30" i="5"/>
  <c r="E30" i="5"/>
  <c r="F30" i="5"/>
  <c r="G30" i="5"/>
  <c r="H30" i="5"/>
  <c r="I30" i="5"/>
  <c r="J30" i="5"/>
  <c r="D31" i="5"/>
  <c r="E31" i="5"/>
  <c r="F31" i="5"/>
  <c r="G31" i="5"/>
  <c r="H31" i="5"/>
  <c r="I31" i="5"/>
  <c r="J31" i="5"/>
  <c r="D32" i="5"/>
  <c r="E32" i="5"/>
  <c r="F32" i="5"/>
  <c r="G32" i="5"/>
  <c r="H32" i="5"/>
  <c r="I32" i="5"/>
  <c r="J32" i="5"/>
  <c r="D33" i="5"/>
  <c r="E33" i="5"/>
  <c r="F33" i="5"/>
  <c r="G33" i="5"/>
  <c r="H33" i="5"/>
  <c r="I33" i="5"/>
  <c r="J33" i="5"/>
  <c r="D34" i="5"/>
  <c r="E34" i="5"/>
  <c r="F34" i="5"/>
  <c r="G34" i="5"/>
  <c r="H34" i="5"/>
  <c r="I34" i="5"/>
  <c r="J34" i="5"/>
  <c r="D35" i="5"/>
  <c r="E35" i="5"/>
  <c r="F35" i="5"/>
  <c r="G35" i="5"/>
  <c r="H35" i="5"/>
  <c r="I35" i="5"/>
  <c r="J35" i="5"/>
  <c r="D36" i="5"/>
  <c r="E36" i="5"/>
  <c r="F36" i="5"/>
  <c r="G36" i="5"/>
  <c r="H36" i="5"/>
  <c r="I36" i="5"/>
  <c r="J36" i="5"/>
  <c r="D37" i="5"/>
  <c r="E37" i="5"/>
  <c r="F37" i="5"/>
  <c r="G37" i="5"/>
  <c r="H37" i="5"/>
  <c r="I37" i="5"/>
  <c r="J37" i="5"/>
  <c r="D38" i="5"/>
  <c r="E38" i="5"/>
  <c r="F38" i="5"/>
  <c r="G38" i="5"/>
  <c r="H38" i="5"/>
  <c r="I38" i="5"/>
  <c r="J38" i="5"/>
  <c r="D39" i="5"/>
  <c r="E39" i="5"/>
  <c r="F39" i="5"/>
  <c r="G39" i="5"/>
  <c r="H39" i="5"/>
  <c r="I39" i="5"/>
  <c r="J39" i="5"/>
  <c r="D40" i="5"/>
  <c r="E40" i="5"/>
  <c r="F40" i="5"/>
  <c r="G40" i="5"/>
  <c r="H40" i="5"/>
  <c r="I40" i="5"/>
  <c r="J40" i="5"/>
  <c r="D41" i="5"/>
  <c r="E41" i="5"/>
  <c r="F41" i="5"/>
  <c r="G41" i="5"/>
  <c r="H41" i="5"/>
  <c r="I41" i="5"/>
  <c r="J41" i="5"/>
  <c r="D42" i="5"/>
  <c r="E42" i="5"/>
  <c r="F42" i="5"/>
  <c r="G42" i="5"/>
  <c r="H42" i="5"/>
  <c r="I42" i="5"/>
  <c r="J42" i="5"/>
  <c r="J4" i="5"/>
  <c r="I4" i="5"/>
  <c r="H4" i="5"/>
  <c r="G4" i="5"/>
  <c r="F4" i="5"/>
  <c r="E4" i="5"/>
  <c r="D4" i="5"/>
</calcChain>
</file>

<file path=xl/sharedStrings.xml><?xml version="1.0" encoding="utf-8"?>
<sst xmlns="http://schemas.openxmlformats.org/spreadsheetml/2006/main" count="6272" uniqueCount="336">
  <si>
    <t>proxy</t>
  </si>
  <si>
    <t>first_author_last_name</t>
  </si>
  <si>
    <t>publication_year</t>
  </si>
  <si>
    <t>doi</t>
  </si>
  <si>
    <t>summary</t>
  </si>
  <si>
    <t>info</t>
  </si>
  <si>
    <t>sample</t>
  </si>
  <si>
    <t>age</t>
  </si>
  <si>
    <t>location</t>
  </si>
  <si>
    <t>lithology</t>
  </si>
  <si>
    <t>isotopes_DIC</t>
  </si>
  <si>
    <t>isotopes_biomass</t>
  </si>
  <si>
    <t>seawater_chemistry</t>
  </si>
  <si>
    <t>temperature</t>
  </si>
  <si>
    <t>alkenone_concentration</t>
  </si>
  <si>
    <t>cell_size</t>
  </si>
  <si>
    <t>bfac</t>
  </si>
  <si>
    <t>growth_rate</t>
  </si>
  <si>
    <t>epsilon_p</t>
  </si>
  <si>
    <t>pCO2</t>
  </si>
  <si>
    <t>extra_data</t>
  </si>
  <si>
    <t>age_uncertainty_pos_ka</t>
  </si>
  <si>
    <t>age_uncertainty_neg_ka</t>
  </si>
  <si>
    <t>pCO2_uatm</t>
  </si>
  <si>
    <t>pCO2_uncertainty_pos_uatm</t>
  </si>
  <si>
    <t>pCO2_uncertainty_neg_uatm</t>
  </si>
  <si>
    <t>name_of_individual_entering_data</t>
  </si>
  <si>
    <t>contact_email_of_individual_entering_data</t>
  </si>
  <si>
    <t>site</t>
  </si>
  <si>
    <t>hole</t>
  </si>
  <si>
    <t>core</t>
  </si>
  <si>
    <t>tool</t>
  </si>
  <si>
    <t>half</t>
  </si>
  <si>
    <t>section</t>
  </si>
  <si>
    <t>full_sample_name_in_source</t>
  </si>
  <si>
    <t>depth_top_m</t>
  </si>
  <si>
    <t>depth_bottom_m</t>
  </si>
  <si>
    <t>depth_mid_m</t>
  </si>
  <si>
    <t>depth_scale</t>
  </si>
  <si>
    <t>age_ka_bp</t>
  </si>
  <si>
    <t>age_uncertainty_distribution</t>
  </si>
  <si>
    <t>age_model_reference</t>
  </si>
  <si>
    <t>age_model_notes</t>
  </si>
  <si>
    <t>site_depth</t>
  </si>
  <si>
    <t>site_paleodepth</t>
  </si>
  <si>
    <t>site_paleolocation_reference</t>
  </si>
  <si>
    <t>site_flags_explanation</t>
  </si>
  <si>
    <t>sediment_CaCO3_percent</t>
  </si>
  <si>
    <t>sediment_opal_percent</t>
  </si>
  <si>
    <t>sediment_organic_carbon_percent</t>
  </si>
  <si>
    <t>sediment_composition_methods</t>
  </si>
  <si>
    <t>sediment_composition_notes</t>
  </si>
  <si>
    <t>sediment_composition_references</t>
  </si>
  <si>
    <t>sediment_composition_flags_explanation</t>
  </si>
  <si>
    <t>CaCO3_d13C_permil</t>
  </si>
  <si>
    <t>CaCO3_d13C_uncertainty_permil</t>
  </si>
  <si>
    <t>CaCO3_d13C_uncertainty_type</t>
  </si>
  <si>
    <t>CaCO3_d13C_uncertainty_n</t>
  </si>
  <si>
    <t>CaCO3_d18O_permil</t>
  </si>
  <si>
    <t>CaCO3_d18O_uncertainty_permil</t>
  </si>
  <si>
    <t>CaCO3_d18O_uncertainty_type</t>
  </si>
  <si>
    <t>CaCO3_d18O_uncertainty_n</t>
  </si>
  <si>
    <t>CaCO3_taxon_name</t>
  </si>
  <si>
    <t>CaCO3_size_fraction_range_um</t>
  </si>
  <si>
    <t>CaCO3_vital_effect_permil</t>
  </si>
  <si>
    <t>DIC_d13C_permil</t>
  </si>
  <si>
    <t>DIC_d13C_uncertainty_permil</t>
  </si>
  <si>
    <t>DIC_d13C_uncertainty_type</t>
  </si>
  <si>
    <t>CO2g_d13C_permil</t>
  </si>
  <si>
    <t>CO2g_d13C_uncertainty_permil</t>
  </si>
  <si>
    <t>CO2g_d13C_uncertainty_type</t>
  </si>
  <si>
    <t>CO2aq_d13C_permil</t>
  </si>
  <si>
    <t>CO2aq_d13C_equation_method</t>
  </si>
  <si>
    <t>CO2aq_d13C_flags_explanation</t>
  </si>
  <si>
    <t>organic_d13C_measured_permil</t>
  </si>
  <si>
    <t>organic_d13C_material_name</t>
  </si>
  <si>
    <t>organic_d13C_measured_uncertainty_permil</t>
  </si>
  <si>
    <t>organic_d13C_measured_uncertainty_type</t>
  </si>
  <si>
    <t>organic_d13C_biomass_offset_epsilon_permil</t>
  </si>
  <si>
    <t>organic_d13C_biomass_offset_uncertainty_permil</t>
  </si>
  <si>
    <t>organic_d13C_biomass_offset_uncertainty_type</t>
  </si>
  <si>
    <t>organic_d13C_biomass_permil</t>
  </si>
  <si>
    <t>organic_d13C_biomass_uncertainty_permil</t>
  </si>
  <si>
    <t>organic_d13C_biomass_uncertainty_type</t>
  </si>
  <si>
    <t>organic_d13C_organic_method</t>
  </si>
  <si>
    <t>organic_d13C_organic_flags_explanation</t>
  </si>
  <si>
    <t>salinity_psu</t>
  </si>
  <si>
    <t>salinity_psu_uncertainty_permil</t>
  </si>
  <si>
    <t>salinity_psu_uncertainty_type</t>
  </si>
  <si>
    <t>salinity_method</t>
  </si>
  <si>
    <t>phosphate_umol_kg</t>
  </si>
  <si>
    <t>phosphate_unertainty_type</t>
  </si>
  <si>
    <t>phosphate_reference</t>
  </si>
  <si>
    <t>nitrate_umol_kg</t>
  </si>
  <si>
    <t>nitrate_reference</t>
  </si>
  <si>
    <t>SST_degC</t>
  </si>
  <si>
    <t>SST_degC_uncertainty_pos</t>
  </si>
  <si>
    <t>SST_degC_uncertainty_neg</t>
  </si>
  <si>
    <t>SST_degC_uncertainty_type</t>
  </si>
  <si>
    <t>SST_degC_source</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</si>
  <si>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</si>
  <si>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</si>
  <si>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</si>
  <si>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</si>
  <si>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</si>
  <si>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</si>
  <si>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</si>
  <si>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</si>
  <si>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</si>
  <si>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</si>
  <si>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</si>
  <si>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</si>
  <si>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</si>
  <si>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</si>
  <si>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</si>
  <si>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</si>
  <si>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</si>
  <si>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alkenone_concentration_MK374_conc</t>
  </si>
  <si>
    <t>alkenone_concentration_MK373_conc</t>
  </si>
  <si>
    <t>alkenone_concentration_MK372_conc</t>
  </si>
  <si>
    <t>alkenone_concentration_flags_explanation</t>
  </si>
  <si>
    <t>VSA_volume_surface_area_ratio</t>
  </si>
  <si>
    <t>VSA_volume_surface_area_ratio_uncertainty_pos</t>
  </si>
  <si>
    <t>VSA_volume_surface_area_ratio_uncertainty_neg</t>
  </si>
  <si>
    <t>VSA_volume_surface_area_ratio_uncertainty_type</t>
  </si>
  <si>
    <t>VSA_method</t>
  </si>
  <si>
    <t>VSA_lith_size_um</t>
  </si>
  <si>
    <t>VSA_lith_size_uncertainty_pos_um</t>
  </si>
  <si>
    <t>VSA_lith_size_uncertainty_neg_um</t>
  </si>
  <si>
    <t>VSA_lith_size_uncertainty_type</t>
  </si>
  <si>
    <t>VSA_cell_radius_um</t>
  </si>
  <si>
    <t>VSA_cell_radius_method</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</si>
  <si>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</si>
  <si>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</si>
  <si>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</si>
  <si>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</si>
  <si>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</si>
  <si>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</si>
  <si>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</si>
  <si>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</si>
  <si>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growth_rate_mu</t>
  </si>
  <si>
    <t>growth_rate_mu_uncertainty_pos</t>
  </si>
  <si>
    <t>growth_rate_mu_uncertainty_neg</t>
  </si>
  <si>
    <t>growth_rate_mu_uncertainty_type</t>
  </si>
  <si>
    <t>growth_rate_method</t>
  </si>
  <si>
    <t>growth_rate_flags_explanation</t>
  </si>
  <si>
    <t>bfac_uncertainty_pos</t>
  </si>
  <si>
    <t>bfac_uncertainty_neg</t>
  </si>
  <si>
    <t>bfac_uncertainty_type</t>
  </si>
  <si>
    <t>bfac_equation_method</t>
  </si>
  <si>
    <t>epsilon_f_permil</t>
  </si>
  <si>
    <t>epsilon_p_flags_explanation</t>
  </si>
  <si>
    <t>CO2aq_umol_liter</t>
  </si>
  <si>
    <t>CO2aq_uncertainty_pos_umol_liter</t>
  </si>
  <si>
    <t>CO2aq_uncertainty_neg_umol_liter</t>
  </si>
  <si>
    <t>CO2aq_uncertainty_type</t>
  </si>
  <si>
    <t>CO2aq_equation_method</t>
  </si>
  <si>
    <t>pCO2_uncertainty_type</t>
  </si>
  <si>
    <t>pCO2_equation_method</t>
  </si>
  <si>
    <t>pCO2_flags_explanation</t>
  </si>
  <si>
    <t>mixed_layer_depth</t>
  </si>
  <si>
    <t>photoperiod_hours</t>
  </si>
  <si>
    <t>TCO2_umol_kg</t>
  </si>
  <si>
    <t>alkalinity_ueq_kg</t>
  </si>
  <si>
    <t>silicate_ion</t>
  </si>
  <si>
    <t>description</t>
  </si>
  <si>
    <t>copy from data table</t>
  </si>
  <si>
    <t>doi as e.g. "10.1002/palo.20015"</t>
  </si>
  <si>
    <t>ODP-type information.  For other sediment cores, try to fit into these categories and put sample name into full_sample_name_in_source</t>
  </si>
  <si>
    <t>W or A for work or archive</t>
  </si>
  <si>
    <t>for ODP, mbsf, mcd, etc.</t>
  </si>
  <si>
    <t>1sem, 2sem, 1std, 2std, uniform, etc.  sem and std are gaussian</t>
  </si>
  <si>
    <t>water depth in meters</t>
  </si>
  <si>
    <t>number of measurements going into uncertainty</t>
  </si>
  <si>
    <t>taxon name or "bulk"</t>
  </si>
  <si>
    <t>e.g. 350-400, &lt;63 etc.</t>
  </si>
  <si>
    <t>Mk37_2</t>
  </si>
  <si>
    <t>assumed</t>
  </si>
  <si>
    <t>A</t>
  </si>
  <si>
    <t>organic_d13C_measured_uncertainty_n</t>
  </si>
  <si>
    <t>include_TF</t>
  </si>
  <si>
    <t>include_explanation</t>
  </si>
  <si>
    <t>Pagani</t>
  </si>
  <si>
    <t>Sam Phelps</t>
  </si>
  <si>
    <t>sphelps@ldeo.columbia.edu</t>
  </si>
  <si>
    <t>10.1126/science.1110063</t>
  </si>
  <si>
    <t>D</t>
  </si>
  <si>
    <t>*</t>
  </si>
  <si>
    <t>F</t>
  </si>
  <si>
    <t>NA</t>
  </si>
  <si>
    <t>Calibrated to GTS1995</t>
  </si>
  <si>
    <t>cf. refs 25-31 of Pagani et al., 2005</t>
  </si>
  <si>
    <t>phosphate_umol_kg_uncertainty_pos</t>
  </si>
  <si>
    <t>phosphate_umol_kg_uncertainty_neg</t>
  </si>
  <si>
    <t>Bulk</t>
  </si>
  <si>
    <t>&lt;60µm</t>
  </si>
  <si>
    <t>Subbotina spp.</t>
  </si>
  <si>
    <t>not reported</t>
  </si>
  <si>
    <t>Subbotina spp. / Chiloguembelina cubensis</t>
  </si>
  <si>
    <t>Acarinina spp.</t>
  </si>
  <si>
    <t>Some planktic d13C were modeled using average P-B offset. See ref. 34 in Pagani et al., 2005.</t>
  </si>
  <si>
    <t>No uncertainties reported. Formula for d13C_biomass not reported.</t>
  </si>
  <si>
    <t>Figure 3 caption</t>
  </si>
  <si>
    <t>uniform</t>
  </si>
  <si>
    <t>Data originally came from Pagani's "PaleogeneCO2.xls" book that was available online around 2014. SRP compiled the data into a workbook "Pagani et al., 2005 - Raw + Compiled" in Feb 2019 that has the data for this compilation. SST is calculated from planktonic foram or fine-fraction d18O. If fine fraction, assume "an isotopic offset between the FF and shallow-dwelling foraminifera of -1.5‰" (cf. note 34). They also state that "all carbonates are assumed to be diageneically altered to some degree, which acts to increase their d18O composition." To deal with this, they calculate temperatures from the measured d18Ocalcite, then add 3°C and 6°C for "intermediate" and "maximum" temperature estimates. They also model a change in d18Osw from -0.75‰ in the Eocene to -0.5‰ in the Oligocene. This is stated in the caption of Figure 2, but there is no additional detail.</t>
  </si>
  <si>
    <t>b = 118.52*[PO4] + 84.07</t>
  </si>
  <si>
    <t>Pagani reports three pCO2 values: "MaxCO2-MaxTemp" , "MinCO2-MinTemp" , "MinCO2, MinMinTemp". Here I report the midpoint of the max and min of these three as the "pCO2_uatm" value, and then I report the positive and negative uncertainties to get to "MaxCO2-MaxTemp" and "MinCO2-MinMinTemp." The uncertainty is symmetric because I take the average of the max/min and then calculate the difference.</t>
  </si>
  <si>
    <t>Temperatures are likely not reliable for accurate conversion from CO2aq to pCO2. Uncertainty in d13c_CO2aq is less significant, but these are low temperatures for the time period and regions, especially in comparison to other proxy records for the time period.</t>
  </si>
  <si>
    <t>include_parent_unique_id</t>
  </si>
  <si>
    <t>include_child_unique_id</t>
  </si>
  <si>
    <t>Romanek et al (1992) E_calcite--&gt;CO2g; Mook et al. (1974) E_CO2g-CO2aq</t>
  </si>
  <si>
    <t>pCO2 = CO2 / K0</t>
  </si>
  <si>
    <t>Planktonic d18O using the calibration of Erez and Luz (1983). This is from a supplementary file formerly available on Mark Pagani's website. There are three temperature options, "Temp max", "Temp min", and "Temp minmin". The intermediate value is "Temp min"; "Temp max" is +3°C, and "Temp minmin" is -3°C from "Temp min", so I choose "Temp min", the intermediate value.</t>
  </si>
  <si>
    <t>compilation_notes</t>
  </si>
  <si>
    <t>order</t>
  </si>
  <si>
    <t>variable_name</t>
  </si>
  <si>
    <t>preferably MLA</t>
  </si>
  <si>
    <t>interval_depth_top_cm</t>
  </si>
  <si>
    <t>describe timescale used, what the age model is based on.</t>
  </si>
  <si>
    <t>if site is an upwelling location, note here</t>
  </si>
  <si>
    <t>e.g. Mk37_2</t>
  </si>
  <si>
    <t>copy the temperature data used for the calculation here</t>
  </si>
  <si>
    <t>e.g. TEX86, MgCa</t>
  </si>
  <si>
    <t>put units here; e.g. "ng/g dry wt"</t>
  </si>
  <si>
    <t>epsilon_f value used to calculate CO2aq from epsilon_p and b</t>
  </si>
  <si>
    <t>typically Ep = Ef - b/CO2 for conventional alkenone method</t>
  </si>
  <si>
    <t>typically pCO2 = CO2 / K0</t>
  </si>
  <si>
    <t>notes</t>
  </si>
  <si>
    <t>T or F for whether to include this sample</t>
  </si>
  <si>
    <t>explanation for exclusion</t>
  </si>
  <si>
    <t>unique sample ID for the "parent" of this sample, in the event this study includes recalculated or republished data</t>
  </si>
  <si>
    <t>unique sample ID for the "child" of this sample, in the event subsequent studies recalculate or republish data</t>
  </si>
  <si>
    <t>1std</t>
  </si>
  <si>
    <t>Ep reported here is using the reported "Temp min" temperatures. In Pagani's original spreadsheets, this is "Ep_min." The other options ("minmin" and "max") are -3°C and +3°C different, so I take this to be the intermediate or median value. Ep calculated using: Ep = ((dCO2 + 1000) /(dbio + 1000) -1)*1000. Assume the error is 1std.</t>
  </si>
  <si>
    <t>age_ka</t>
  </si>
  <si>
    <t>Age_uncertainty_pos_ka</t>
  </si>
  <si>
    <t>Age_uncertainty_neg_ka</t>
  </si>
  <si>
    <t>CO2_ppm</t>
  </si>
  <si>
    <t>CO2_uncertainty_pos_ppm</t>
  </si>
  <si>
    <t>Basic Info</t>
  </si>
  <si>
    <t>REFERENCE AND CONTACT INFORMATION</t>
  </si>
  <si>
    <t>CO2aq_d13C_uncertainty_permil</t>
  </si>
  <si>
    <t>CO2aq_d13C_uncertainty_type</t>
  </si>
  <si>
    <t>interval_depth_bot_cm</t>
  </si>
  <si>
    <t>epsilon_p_permil</t>
  </si>
  <si>
    <t>epsilon_p_uncertainty_pos_permil</t>
  </si>
  <si>
    <t>epsilon_p_uncertainty_neg_permil</t>
  </si>
  <si>
    <t>epsilon_p_uncertainty_type</t>
  </si>
  <si>
    <t>phytoplankton</t>
  </si>
  <si>
    <t>Pagani, M., Zachos, J., Freeman, K. H., Bohaty, S., and Tipple, B., (2005). Marked decline in atmospheric carbon dioxide concentrations during the Paleocene, Science, 309, p. 600-603.</t>
  </si>
  <si>
    <t>CO2_uncertainty_neg_ppm</t>
  </si>
  <si>
    <t>Reference of the data product</t>
  </si>
  <si>
    <t>Modern Latitude (decimal degree, south negative)</t>
  </si>
  <si>
    <t>Modern Longitude (decimal degree, west negative)</t>
  </si>
  <si>
    <t>Paleo Latitude (decimal degree, south negative)</t>
  </si>
  <si>
    <t>Paleo Longitude (decimal degree, west negative)</t>
  </si>
  <si>
    <t>doi link to reference</t>
  </si>
  <si>
    <t>reference of the data product</t>
  </si>
  <si>
    <t>site_latitude</t>
  </si>
  <si>
    <t>decimal degrees (south negative)</t>
  </si>
  <si>
    <t>site_longitude</t>
  </si>
  <si>
    <t>decimal degrees (west negative)</t>
  </si>
  <si>
    <t>site_paleolatitude</t>
  </si>
  <si>
    <t>site_paleolongitude</t>
  </si>
  <si>
    <t>unique_id</t>
  </si>
  <si>
    <t>&lt;proxy&gt;_&lt;first_author_last_name&gt;_&lt;publication_year&gt;_&lt;row&gt;</t>
  </si>
  <si>
    <t>phytoplankton_Pagani_2005_1</t>
  </si>
  <si>
    <t>phytoplankton_Pagani_2005_2</t>
  </si>
  <si>
    <t>phytoplankton_Pagani_2005_3</t>
  </si>
  <si>
    <t>phytoplankton_Pagani_2005_4</t>
  </si>
  <si>
    <t>phytoplankton_Pagani_2005_5</t>
  </si>
  <si>
    <t>phytoplankton_Pagani_2005_6</t>
  </si>
  <si>
    <t>phytoplankton_Pagani_2005_7</t>
  </si>
  <si>
    <t>phytoplankton_Pagani_2005_8</t>
  </si>
  <si>
    <t>phytoplankton_Pagani_2005_9</t>
  </si>
  <si>
    <t>phytoplankton_Pagani_2005_10</t>
  </si>
  <si>
    <t>phytoplankton_Pagani_2005_11</t>
  </si>
  <si>
    <t>phytoplankton_Pagani_2005_12</t>
  </si>
  <si>
    <t>phytoplankton_Pagani_2005_13</t>
  </si>
  <si>
    <t>phytoplankton_Pagani_2005_14</t>
  </si>
  <si>
    <t>phytoplankton_Pagani_2005_15</t>
  </si>
  <si>
    <t>phytoplankton_Pagani_2005_16</t>
  </si>
  <si>
    <t>phytoplankton_Pagani_2005_17</t>
  </si>
  <si>
    <t>phytoplankton_Pagani_2005_18</t>
  </si>
  <si>
    <t>phytoplankton_Pagani_2005_19</t>
  </si>
  <si>
    <t>phytoplankton_Pagani_2005_20</t>
  </si>
  <si>
    <t>phytoplankton_Pagani_2005_21</t>
  </si>
  <si>
    <t>phytoplankton_Pagani_2005_22</t>
  </si>
  <si>
    <t>phytoplankton_Pagani_2005_23</t>
  </si>
  <si>
    <t>phytoplankton_Pagani_2005_24</t>
  </si>
  <si>
    <t>phytoplankton_Pagani_2005_25</t>
  </si>
  <si>
    <t>phytoplankton_Pagani_2005_26</t>
  </si>
  <si>
    <t>phytoplankton_Pagani_2005_27</t>
  </si>
  <si>
    <t>phytoplankton_Pagani_2005_28</t>
  </si>
  <si>
    <t>phytoplankton_Pagani_2005_29</t>
  </si>
  <si>
    <t>phytoplankton_Pagani_2005_30</t>
  </si>
  <si>
    <t>phytoplankton_Pagani_2005_31</t>
  </si>
  <si>
    <t>phytoplankton_Pagani_2005_32</t>
  </si>
  <si>
    <t>phytoplankton_Pagani_2005_33</t>
  </si>
  <si>
    <t>phytoplankton_Pagani_2005_34</t>
  </si>
  <si>
    <t>phytoplankton_Pagani_2005_35</t>
  </si>
  <si>
    <t>phytoplankton_Pagani_2005_36</t>
  </si>
  <si>
    <t>phytoplankton_Pagani_2005_37</t>
  </si>
  <si>
    <t>phytoplankton_Pagani_2005_38</t>
  </si>
  <si>
    <t>phytoplankton_Pagani_2005_39</t>
  </si>
  <si>
    <t>phytoplankton_pagani_2011_34</t>
  </si>
  <si>
    <t>phytoplankton_pagani_2011_35</t>
  </si>
  <si>
    <t>phytoplankton_pagani_2011_41</t>
  </si>
  <si>
    <t>phytoplankton_pagani_2011_1</t>
  </si>
  <si>
    <t>phytoplankton_pagani_2011_2</t>
  </si>
  <si>
    <t>phytoplankton_pagani_2011_3</t>
  </si>
  <si>
    <t>phytoplankton_pagani_2011_4</t>
  </si>
  <si>
    <t>phytoplankton_pagani_2011_5</t>
  </si>
  <si>
    <t>phytoplankton_pagani_2011_6</t>
  </si>
  <si>
    <t>phytoplankton_pagani_2011_7</t>
  </si>
  <si>
    <t>phytoplankton_pagani_2011_8</t>
  </si>
  <si>
    <t>phytoplankton_pagani_2011_9</t>
  </si>
  <si>
    <t>phytoplankton_pagani_2011_10</t>
  </si>
  <si>
    <t>phytoplankton_pagani_2011_11</t>
  </si>
  <si>
    <t>phytoplankton_pagani_2011_12</t>
  </si>
  <si>
    <t>phytoplankton_pagani_2011_13</t>
  </si>
  <si>
    <t>phytoplankton_pagani_2011_14</t>
  </si>
  <si>
    <t>phytoplankton_pagani_2011_15</t>
  </si>
  <si>
    <t>phytoplankton_pagani_2011_16</t>
  </si>
  <si>
    <t>phytoplankton_pagani_2011_17</t>
  </si>
  <si>
    <t>phytoplankton_pagani_2011_18</t>
  </si>
  <si>
    <t>phytoplankton_pagani_2011_19</t>
  </si>
  <si>
    <t>phytoplankton_pagani_2011_20</t>
  </si>
  <si>
    <t>phytoplankton_pagani_2011_21</t>
  </si>
  <si>
    <t>phytoplankton_pagani_2011_22</t>
  </si>
  <si>
    <t>phytoplankton_pagani_2011_23</t>
  </si>
  <si>
    <t>phytoplankton_pagani_2011_24</t>
  </si>
  <si>
    <t>phytoplankton_pagani_2011_25</t>
  </si>
  <si>
    <t>phytoplankton_pagani_2011_26</t>
  </si>
  <si>
    <t>phytoplankton_pagani_2011_27</t>
  </si>
  <si>
    <t>phytoplankton_pagani_2011_28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</si>
</sst>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ont>
    <font>
      <sz val="10"/>
      <name val="Arial"/>
      <family val="2"/>
    </font>
    <font>
      <sz val="10"/>
      <name val="Verdana"/>
      <family val="2"/>
    </font>
    <font>
      <b/>
      <sz val="10"/>
      <name val="Arial"/>
      <family val="2"/>
    </font>
    <font>
      <b/>
      <sz val="12"/>
      <name val="Calibri"/>
      <family val="2"/>
      <scheme val="minor"/>
    </font>
    <font>
      <sz val="10"/>
      <color theme="1"/>
      <name val="Arial"/>
      <family val="2"/>
    </font>
    <font>
      <sz val="11"/>
      <name val="Arial"/>
      <family val="2"/>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hair">
        <color auto="1"/>
      </left>
      <right style="hair">
        <color auto="1"/>
      </right>
      <top/>
      <bottom style="thin">
        <color auto="1"/>
      </bottom>
      <diagonal/>
    </border>
    <border>
      <left/>
      <right/>
      <top/>
      <bottom style="thin">
        <color auto="1"/>
      </bottom>
      <diagonal/>
    </border>
  </borders>
  <cellStyleXfs count="2">
    <xf numFmtId="0" fontId="0" fillId="0" borderId="0"/>
    <xf numFmtId="0" fontId="1" fillId="0" borderId="0"/>
  </cellStyleXfs>
  <cellXfs count="32">
    <xf numFmtId="0" fontId="0" fillId="0" borderId="0" xfId="0"/>
    <xf numFmtId="49" fontId="0" fillId="0" borderId="0" xfId="0" applyNumberFormat="1" applyFont="1" applyFill="1" applyBorder="1" applyAlignment="1" applyProtection="1"/>
    <xf numFmtId="49" fontId="1" fillId="0" borderId="0" xfId="0" applyNumberFormat="1" applyFont="1" applyFill="1" applyBorder="1" applyAlignment="1" applyProtection="1"/>
    <xf numFmtId="0" fontId="1" fillId="0" borderId="0" xfId="0" applyFont="1"/>
    <xf numFmtId="1" fontId="0" fillId="0" borderId="0" xfId="0" applyNumberFormat="1" applyAlignment="1">
      <alignment horizontal="left"/>
    </xf>
    <xf numFmtId="1" fontId="2" fillId="0" borderId="0" xfId="0" applyNumberFormat="1" applyFont="1" applyAlignment="1">
      <alignment horizontal="left"/>
    </xf>
    <xf numFmtId="0" fontId="0" fillId="0" borderId="0" xfId="0" applyAlignment="1">
      <alignment horizontal="left"/>
    </xf>
    <xf numFmtId="2" fontId="2" fillId="0" borderId="0" xfId="0" applyNumberFormat="1" applyFont="1" applyAlignment="1">
      <alignment horizontal="left"/>
    </xf>
    <xf numFmtId="2" fontId="0" fillId="0" borderId="0" xfId="0" applyNumberFormat="1" applyAlignment="1">
      <alignment horizontal="left"/>
    </xf>
    <xf numFmtId="49" fontId="0" fillId="0" borderId="0" xfId="0" applyNumberFormat="1"/>
    <xf numFmtId="0" fontId="1" fillId="0" borderId="0" xfId="0" applyFont="1" applyAlignment="1">
      <alignment horizontal="center"/>
    </xf>
    <xf numFmtId="49" fontId="1" fillId="0" borderId="0" xfId="0" applyNumberFormat="1" applyFont="1"/>
    <xf numFmtId="0" fontId="1" fillId="0" borderId="0" xfId="1"/>
    <xf numFmtId="0" fontId="0" fillId="0" borderId="1" xfId="0" applyBorder="1"/>
    <xf numFmtId="0" fontId="0" fillId="0" borderId="2" xfId="0" applyBorder="1" applyAlignment="1">
      <alignment wrapText="1"/>
    </xf>
    <xf numFmtId="0" fontId="0" fillId="0" borderId="2" xfId="0" applyBorder="1"/>
    <xf numFmtId="0" fontId="0" fillId="0" borderId="2" xfId="0" quotePrefix="1" applyBorder="1" applyAlignment="1">
      <alignment wrapText="1"/>
    </xf>
    <xf numFmtId="0" fontId="0" fillId="0" borderId="2" xfId="0" applyBorder="1" applyAlignment="1">
      <alignment horizontal="center" wrapText="1"/>
    </xf>
    <xf numFmtId="0" fontId="0" fillId="0" borderId="2" xfId="0" quotePrefix="1" applyBorder="1" applyAlignment="1">
      <alignment horizontal="center" wrapText="1"/>
    </xf>
    <xf numFmtId="0" fontId="0" fillId="0" borderId="3" xfId="0" quotePrefix="1" applyBorder="1" applyAlignment="1">
      <alignment horizontal="center" wrapText="1"/>
    </xf>
    <xf numFmtId="0" fontId="3" fillId="0" borderId="4" xfId="0" applyFont="1" applyBorder="1"/>
    <xf numFmtId="0" fontId="4" fillId="0" borderId="0" xfId="0" applyFont="1" applyBorder="1"/>
    <xf numFmtId="0" fontId="0" fillId="0" borderId="0" xfId="0" applyAlignment="1">
      <alignment horizontal="left" vertical="center"/>
    </xf>
    <xf numFmtId="0" fontId="0" fillId="0" borderId="0" xfId="0" applyAlignment="1">
      <alignment horizontal="left" vertical="center" wrapText="1"/>
    </xf>
    <xf numFmtId="0" fontId="0" fillId="0" borderId="0" xfId="0" quotePrefix="1" applyAlignment="1">
      <alignment horizontal="left" vertical="center" wrapText="1"/>
    </xf>
    <xf numFmtId="49" fontId="1" fillId="0" borderId="0" xfId="0" applyNumberFormat="1" applyFont="1" applyAlignment="1">
      <alignment wrapText="1"/>
    </xf>
    <xf numFmtId="0" fontId="5" fillId="2" borderId="5" xfId="0" applyFont="1" applyFill="1" applyBorder="1" applyAlignment="1">
      <alignment horizontal="center" wrapText="1"/>
    </xf>
    <xf numFmtId="0" fontId="6" fillId="0" borderId="6" xfId="0" applyFont="1" applyFill="1" applyBorder="1" applyAlignment="1">
      <alignment horizontal="center" vertical="center" wrapText="1"/>
    </xf>
    <xf numFmtId="49" fontId="6" fillId="0" borderId="0" xfId="0" applyNumberFormat="1" applyFont="1" applyAlignment="1">
      <alignment wrapText="1"/>
    </xf>
    <xf numFmtId="0" fontId="0" fillId="0" borderId="0" xfId="0" applyAlignment="1">
      <alignment horizontal="center"/>
    </xf>
    <xf numFmtId="1" fontId="5" fillId="0" borderId="0" xfId="0" applyNumberFormat="1" applyFont="1" applyAlignment="1">
      <alignment horizontal="left"/>
    </xf>
    <xf numFmtId="0" fontId="5" fillId="0" borderId="0" xfId="0" applyFo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Y44"/>
  <sheetViews>
    <sheetView topLeftCell="FN1" zoomScale="90" zoomScaleNormal="90" workbookViewId="0">
      <selection activeCell="FX9" sqref="FX9:FX44"/>
    </sheetView>
  </sheetViews>
  <sheetFormatPr baseColWidth="10" defaultColWidth="8.83203125" defaultRowHeight="13" x14ac:dyDescent="0.15"/>
  <cols>
    <col min="1" max="1" width="13.6640625" customWidth="1"/>
    <col min="2" max="2" width="30.6640625" customWidth="1"/>
    <col min="3" max="3" width="24.6640625" customWidth="1"/>
    <col min="4" max="4" width="35.6640625" customWidth="1"/>
    <col min="5" max="5" width="14.6640625" customWidth="1"/>
    <col min="6" max="7" width="30.6640625" customWidth="1"/>
    <col min="8" max="8" width="17.6640625" customWidth="1"/>
    <col min="9" max="10" width="33.6640625" customWidth="1"/>
    <col min="11" max="11" width="32.6640625" customWidth="1"/>
    <col min="12" max="12" width="41.6640625" customWidth="1"/>
    <col min="13" max="13" width="62.6640625" customWidth="1"/>
    <col min="14" max="14" width="35.6640625" customWidth="1"/>
    <col min="15" max="19" width="4.6640625" customWidth="1"/>
    <col min="20" max="20" width="7.6640625" customWidth="1"/>
    <col min="21" max="21" width="20.6640625" customWidth="1"/>
    <col min="22" max="22" width="23.6640625" customWidth="1"/>
    <col min="23" max="23" width="26.6640625" customWidth="1"/>
    <col min="24" max="24" width="11.6640625" customWidth="1"/>
    <col min="25" max="25" width="14.6640625" customWidth="1"/>
    <col min="26" max="28" width="11.6640625" customWidth="1"/>
    <col min="29" max="30" width="22.6640625" customWidth="1"/>
    <col min="31" max="31" width="28.6640625" customWidth="1"/>
    <col min="32" max="32" width="19.6640625" customWidth="1"/>
    <col min="33" max="33" width="15.6640625" customWidth="1"/>
    <col min="34" max="34" width="13.6640625" customWidth="1"/>
    <col min="35" max="35" width="14.6640625" customWidth="1"/>
    <col min="36" max="36" width="10.6640625" customWidth="1"/>
    <col min="37" max="37" width="18.6640625" customWidth="1"/>
    <col min="38" max="38" width="19.6640625" customWidth="1"/>
    <col min="39" max="39" width="15.6640625" customWidth="1"/>
    <col min="40" max="40" width="28.6640625" customWidth="1"/>
    <col min="41" max="41" width="22.6640625" customWidth="1"/>
    <col min="42" max="42" width="9.6640625" customWidth="1"/>
    <col min="43" max="43" width="22.6640625" customWidth="1"/>
    <col min="44" max="44" width="21.6640625" customWidth="1"/>
    <col min="45" max="45" width="31.6640625" customWidth="1"/>
    <col min="46" max="46" width="28.6640625" customWidth="1"/>
    <col min="47" max="47" width="26.6640625" customWidth="1"/>
    <col min="48" max="48" width="31.6640625" customWidth="1"/>
    <col min="49" max="49" width="38.6640625" customWidth="1"/>
    <col min="50" max="50" width="17.6640625" customWidth="1"/>
    <col min="51" max="51" width="29.6640625" customWidth="1"/>
    <col min="52" max="52" width="27.6640625" customWidth="1"/>
    <col min="53" max="53" width="24.6640625" customWidth="1"/>
    <col min="54" max="54" width="17.6640625" customWidth="1"/>
    <col min="55" max="55" width="29.6640625" customWidth="1"/>
    <col min="56" max="56" width="27.6640625" customWidth="1"/>
    <col min="57" max="57" width="24.6640625" customWidth="1"/>
    <col min="58" max="58" width="16.6640625" customWidth="1"/>
    <col min="59" max="59" width="28.6640625" customWidth="1"/>
    <col min="60" max="60" width="25.6640625" customWidth="1"/>
    <col min="61" max="61" width="15.6640625" customWidth="1"/>
    <col min="62" max="62" width="27.6640625" customWidth="1"/>
    <col min="63" max="63" width="25.6640625" customWidth="1"/>
    <col min="64" max="64" width="16.6640625" customWidth="1"/>
    <col min="65" max="65" width="28.6640625" customWidth="1"/>
    <col min="66" max="66" width="26.6640625" customWidth="1"/>
    <col min="67" max="69" width="17.6640625" customWidth="1"/>
    <col min="70" max="70" width="26.6640625" customWidth="1"/>
    <col min="71" max="72" width="28.6640625" customWidth="1"/>
    <col min="73" max="73" width="26.6640625" customWidth="1"/>
    <col min="74" max="74" width="40.6640625" customWidth="1"/>
    <col min="75" max="75" width="35.6640625" customWidth="1"/>
    <col min="76" max="76" width="38.6640625" customWidth="1"/>
    <col min="77" max="77" width="42.6640625" customWidth="1"/>
    <col min="78" max="78" width="46.6640625" customWidth="1"/>
    <col min="79" max="79" width="44.6640625" customWidth="1"/>
    <col min="80" max="80" width="27.6640625" customWidth="1"/>
    <col min="81" max="81" width="39.6640625" customWidth="1"/>
    <col min="82" max="82" width="37.6640625" customWidth="1"/>
    <col min="83" max="83" width="27.6640625" customWidth="1"/>
    <col min="84" max="84" width="38.6640625" customWidth="1"/>
    <col min="85" max="85" width="12.6640625" customWidth="1"/>
    <col min="86" max="86" width="31.6640625" customWidth="1"/>
    <col min="87" max="87" width="29.6640625" customWidth="1"/>
    <col min="88" max="88" width="15.6640625" customWidth="1"/>
    <col min="89" max="89" width="17.6640625" customWidth="1"/>
    <col min="90" max="90" width="29.6640625" customWidth="1"/>
    <col min="91" max="91" width="25.6640625" customWidth="1"/>
    <col min="92" max="92" width="19.6640625" customWidth="1"/>
    <col min="93" max="93" width="15.6640625" customWidth="1"/>
    <col min="94" max="94" width="17.6640625" customWidth="1"/>
    <col min="95" max="95" width="8.6640625" customWidth="1"/>
    <col min="96" max="97" width="24.6640625" customWidth="1"/>
    <col min="98" max="98" width="25.6640625" customWidth="1"/>
    <col min="99" max="99" width="15.6640625" customWidth="1"/>
    <col min="100" max="100" width="14.6640625" customWidth="1"/>
    <col min="101" max="101" width="26.6640625" customWidth="1"/>
    <col min="102" max="102" width="13.6640625" customWidth="1"/>
    <col min="103" max="104" width="29.6640625" customWidth="1"/>
    <col min="105" max="105" width="30.6640625" customWidth="1"/>
    <col min="106" max="106" width="84.6640625" customWidth="1"/>
    <col min="107" max="107" width="14.6640625" customWidth="1"/>
    <col min="108" max="108" width="24.6640625" customWidth="1"/>
    <col min="109" max="110" width="40.6640625" customWidth="1"/>
    <col min="111" max="111" width="41.6640625" customWidth="1"/>
    <col min="112" max="112" width="14.6640625" customWidth="1"/>
    <col min="113" max="114" width="30.6640625" customWidth="1"/>
    <col min="115" max="115" width="31.6640625" customWidth="1"/>
    <col min="116" max="116" width="33.6640625" customWidth="1"/>
    <col min="117" max="117" width="22.6640625" customWidth="1"/>
    <col min="118" max="120" width="33.6640625" customWidth="1"/>
    <col min="121" max="121" width="40.6640625" customWidth="1"/>
    <col min="122" max="122" width="29.6640625" customWidth="1"/>
    <col min="123" max="124" width="45.6640625" customWidth="1"/>
    <col min="125" max="125" width="46.6640625" customWidth="1"/>
    <col min="126" max="126" width="10.6640625" customWidth="1"/>
    <col min="127" max="127" width="16.6640625" customWidth="1"/>
    <col min="128" max="129" width="32.6640625" customWidth="1"/>
    <col min="130" max="130" width="30.6640625" customWidth="1"/>
    <col min="131" max="131" width="18.6640625" customWidth="1"/>
    <col min="132" max="132" width="22.6640625" customWidth="1"/>
    <col min="133" max="133" width="13.6640625" customWidth="1"/>
    <col min="134" max="135" width="29.6640625" customWidth="1"/>
    <col min="136" max="136" width="30.6640625" customWidth="1"/>
    <col min="137" max="137" width="13.6640625" customWidth="1"/>
    <col min="138" max="139" width="29.6640625" customWidth="1"/>
    <col min="140" max="140" width="30.6640625" customWidth="1"/>
    <col min="141" max="141" width="14.6640625" customWidth="1"/>
    <col min="142" max="143" width="30.6640625" customWidth="1"/>
    <col min="144" max="144" width="31.6640625" customWidth="1"/>
    <col min="145" max="145" width="18.6640625" customWidth="1"/>
    <col min="146" max="146" width="29.6640625" customWidth="1"/>
    <col min="147" max="147" width="7.6640625" customWidth="1"/>
    <col min="148" max="149" width="20.6640625" customWidth="1"/>
    <col min="150" max="150" width="21.6640625" customWidth="1"/>
    <col min="151" max="151" width="25.6640625" customWidth="1"/>
    <col min="152" max="152" width="16.6640625" customWidth="1"/>
    <col min="153" max="153" width="25.6640625" customWidth="1"/>
    <col min="154" max="157" width="29.6640625" customWidth="1"/>
    <col min="158" max="158" width="16.6640625" customWidth="1"/>
    <col min="159" max="160" width="32.6640625" customWidth="1"/>
    <col min="161" max="161" width="22.6640625" customWidth="1"/>
    <col min="162" max="162" width="21.6640625" customWidth="1"/>
    <col min="163" max="163" width="11.6640625" customWidth="1"/>
    <col min="164" max="165" width="25.6640625" customWidth="1"/>
    <col min="166" max="166" width="21.6640625" customWidth="1"/>
    <col min="167" max="167" width="20.6640625" customWidth="1"/>
    <col min="168" max="168" width="22.6640625" customWidth="1"/>
    <col min="169" max="169" width="10.6640625" customWidth="1"/>
    <col min="170" max="171" width="17.6640625" customWidth="1"/>
    <col min="172" max="172" width="12.6640625" customWidth="1"/>
    <col min="173" max="173" width="17.6640625" customWidth="1"/>
    <col min="174" max="174" width="12.6640625" customWidth="1"/>
    <col min="176" max="179" width="10.83203125" customWidth="1"/>
    <col min="180" max="180" width="19" customWidth="1"/>
    <col min="181" max="181" width="10.83203125" customWidth="1"/>
  </cols>
  <sheetData>
    <row r="1" spans="1:181" ht="16" x14ac:dyDescent="0.2">
      <c r="A1" s="20" t="s">
        <v>239</v>
      </c>
      <c r="K1" s="21" t="s">
        <v>240</v>
      </c>
    </row>
    <row r="3" spans="1:181" ht="75" x14ac:dyDescent="0.15">
      <c r="A3" s="13" t="s">
        <v>0</v>
      </c>
      <c r="B3" s="14" t="s">
        <v>1</v>
      </c>
      <c r="C3" s="14" t="s">
        <v>2</v>
      </c>
      <c r="D3" s="15" t="s">
        <v>3</v>
      </c>
      <c r="E3" s="15" t="s">
        <v>234</v>
      </c>
      <c r="F3" s="16" t="s">
        <v>235</v>
      </c>
      <c r="G3" s="16" t="s">
        <v>236</v>
      </c>
      <c r="H3" s="17" t="s">
        <v>237</v>
      </c>
      <c r="I3" s="18" t="s">
        <v>238</v>
      </c>
      <c r="J3" s="19" t="s">
        <v>250</v>
      </c>
      <c r="K3" s="25" t="s">
        <v>26</v>
      </c>
      <c r="L3" s="25" t="s">
        <v>27</v>
      </c>
      <c r="M3" s="26" t="s">
        <v>251</v>
      </c>
      <c r="N3" s="25" t="s">
        <v>256</v>
      </c>
      <c r="O3" s="25" t="s">
        <v>28</v>
      </c>
      <c r="P3" s="25" t="s">
        <v>29</v>
      </c>
      <c r="Q3" s="25" t="s">
        <v>30</v>
      </c>
      <c r="R3" s="25" t="s">
        <v>31</v>
      </c>
      <c r="S3" s="25" t="s">
        <v>32</v>
      </c>
      <c r="T3" s="25" t="s">
        <v>33</v>
      </c>
      <c r="U3" s="25" t="s">
        <v>217</v>
      </c>
      <c r="V3" s="25" t="s">
        <v>243</v>
      </c>
      <c r="W3" s="25" t="s">
        <v>34</v>
      </c>
      <c r="X3" s="25" t="s">
        <v>35</v>
      </c>
      <c r="Y3" s="25" t="s">
        <v>36</v>
      </c>
      <c r="Z3" s="25" t="s">
        <v>37</v>
      </c>
      <c r="AA3" s="25" t="s">
        <v>38</v>
      </c>
      <c r="AB3" s="25" t="s">
        <v>39</v>
      </c>
      <c r="AC3" s="25" t="s">
        <v>21</v>
      </c>
      <c r="AD3" s="25" t="s">
        <v>22</v>
      </c>
      <c r="AE3" s="25" t="s">
        <v>40</v>
      </c>
      <c r="AF3" s="25" t="s">
        <v>41</v>
      </c>
      <c r="AG3" s="25" t="s">
        <v>42</v>
      </c>
      <c r="AH3" s="27" t="s">
        <v>252</v>
      </c>
      <c r="AI3" s="27" t="s">
        <v>253</v>
      </c>
      <c r="AJ3" s="28" t="s">
        <v>43</v>
      </c>
      <c r="AK3" s="27" t="s">
        <v>254</v>
      </c>
      <c r="AL3" s="27" t="s">
        <v>255</v>
      </c>
      <c r="AM3" s="1" t="s">
        <v>44</v>
      </c>
      <c r="AN3" s="1" t="s">
        <v>45</v>
      </c>
      <c r="AO3" s="1" t="s">
        <v>46</v>
      </c>
      <c r="AP3" s="1" t="s">
        <v>9</v>
      </c>
      <c r="AQ3" s="1" t="s">
        <v>47</v>
      </c>
      <c r="AR3" s="1" t="s">
        <v>48</v>
      </c>
      <c r="AS3" s="1" t="s">
        <v>49</v>
      </c>
      <c r="AT3" s="1" t="s">
        <v>50</v>
      </c>
      <c r="AU3" s="1" t="s">
        <v>51</v>
      </c>
      <c r="AV3" s="1" t="s">
        <v>52</v>
      </c>
      <c r="AW3" s="1" t="s">
        <v>53</v>
      </c>
      <c r="AX3" s="1" t="s">
        <v>54</v>
      </c>
      <c r="AY3" s="1" t="s">
        <v>55</v>
      </c>
      <c r="AZ3" s="1" t="s">
        <v>56</v>
      </c>
      <c r="BA3" s="1" t="s">
        <v>57</v>
      </c>
      <c r="BB3" s="1" t="s">
        <v>58</v>
      </c>
      <c r="BC3" s="1" t="s">
        <v>59</v>
      </c>
      <c r="BD3" s="1" t="s">
        <v>60</v>
      </c>
      <c r="BE3" s="1" t="s">
        <v>61</v>
      </c>
      <c r="BF3" s="1" t="s">
        <v>62</v>
      </c>
      <c r="BG3" s="1" t="s">
        <v>63</v>
      </c>
      <c r="BH3" s="1" t="s">
        <v>64</v>
      </c>
      <c r="BI3" s="1" t="s">
        <v>65</v>
      </c>
      <c r="BJ3" s="1" t="s">
        <v>66</v>
      </c>
      <c r="BK3" s="1" t="s">
        <v>67</v>
      </c>
      <c r="BL3" s="1" t="s">
        <v>68</v>
      </c>
      <c r="BM3" s="1" t="s">
        <v>69</v>
      </c>
      <c r="BN3" s="1" t="s">
        <v>70</v>
      </c>
      <c r="BO3" s="1" t="s">
        <v>71</v>
      </c>
      <c r="BP3" s="2" t="s">
        <v>241</v>
      </c>
      <c r="BQ3" s="2" t="s">
        <v>242</v>
      </c>
      <c r="BR3" s="1" t="s">
        <v>72</v>
      </c>
      <c r="BS3" s="1" t="s">
        <v>73</v>
      </c>
      <c r="BT3" s="1" t="s">
        <v>74</v>
      </c>
      <c r="BU3" s="1" t="s">
        <v>75</v>
      </c>
      <c r="BV3" s="1" t="s">
        <v>76</v>
      </c>
      <c r="BW3" s="1" t="s">
        <v>179</v>
      </c>
      <c r="BX3" s="1" t="s">
        <v>77</v>
      </c>
      <c r="BY3" s="1" t="s">
        <v>78</v>
      </c>
      <c r="BZ3" s="1" t="s">
        <v>79</v>
      </c>
      <c r="CA3" s="1" t="s">
        <v>80</v>
      </c>
      <c r="CB3" s="1" t="s">
        <v>81</v>
      </c>
      <c r="CC3" s="1" t="s">
        <v>82</v>
      </c>
      <c r="CD3" s="1" t="s">
        <v>83</v>
      </c>
      <c r="CE3" s="1" t="s">
        <v>84</v>
      </c>
      <c r="CF3" s="1" t="s">
        <v>85</v>
      </c>
      <c r="CG3" s="1" t="s">
        <v>86</v>
      </c>
      <c r="CH3" s="1" t="s">
        <v>87</v>
      </c>
      <c r="CI3" s="1" t="s">
        <v>88</v>
      </c>
      <c r="CJ3" s="1" t="s">
        <v>89</v>
      </c>
      <c r="CK3" s="1" t="s">
        <v>90</v>
      </c>
      <c r="CL3" s="1" t="s">
        <v>192</v>
      </c>
      <c r="CM3" s="1" t="s">
        <v>193</v>
      </c>
      <c r="CN3" s="1" t="s">
        <v>91</v>
      </c>
      <c r="CO3" s="1" t="s">
        <v>92</v>
      </c>
      <c r="CP3" s="1" t="s">
        <v>93</v>
      </c>
      <c r="CQ3" s="1" t="s">
        <v>94</v>
      </c>
      <c r="CR3" s="1" t="s">
        <v>95</v>
      </c>
      <c r="CS3" s="1" t="s">
        <v>96</v>
      </c>
      <c r="CT3" s="1" t="s">
        <v>97</v>
      </c>
      <c r="CU3" s="1" t="s">
        <v>98</v>
      </c>
      <c r="CV3" s="1" t="s">
        <v>99</v>
      </c>
      <c r="CW3" s="1" t="s">
        <v>100</v>
      </c>
      <c r="CX3" s="1" t="s">
        <v>101</v>
      </c>
      <c r="CY3" s="1" t="s">
        <v>102</v>
      </c>
      <c r="CZ3" s="1" t="s">
        <v>103</v>
      </c>
      <c r="DA3" s="1" t="s">
        <v>104</v>
      </c>
      <c r="DB3" s="1" t="s">
        <v>105</v>
      </c>
      <c r="DC3" s="1" t="s">
        <v>106</v>
      </c>
      <c r="DD3" s="1" t="s">
        <v>107</v>
      </c>
      <c r="DE3" s="1" t="s">
        <v>108</v>
      </c>
      <c r="DF3" s="1" t="s">
        <v>109</v>
      </c>
      <c r="DG3" s="1" t="s">
        <v>110</v>
      </c>
      <c r="DH3" s="1" t="s">
        <v>111</v>
      </c>
      <c r="DI3" s="1" t="s">
        <v>112</v>
      </c>
      <c r="DJ3" s="1" t="s">
        <v>113</v>
      </c>
      <c r="DK3" s="1" t="s">
        <v>114</v>
      </c>
      <c r="DL3" s="1" t="s">
        <v>115</v>
      </c>
      <c r="DM3" s="1" t="s">
        <v>116</v>
      </c>
      <c r="DN3" s="1" t="s">
        <v>14</v>
      </c>
      <c r="DO3" s="1" t="s">
        <v>117</v>
      </c>
      <c r="DP3" s="1" t="s">
        <v>118</v>
      </c>
      <c r="DQ3" s="1" t="s">
        <v>119</v>
      </c>
      <c r="DR3" s="1" t="s">
        <v>120</v>
      </c>
      <c r="DS3" s="1" t="s">
        <v>121</v>
      </c>
      <c r="DT3" s="1" t="s">
        <v>122</v>
      </c>
      <c r="DU3" s="1" t="s">
        <v>123</v>
      </c>
      <c r="DV3" s="1" t="s">
        <v>124</v>
      </c>
      <c r="DW3" s="1" t="s">
        <v>125</v>
      </c>
      <c r="DX3" s="1" t="s">
        <v>126</v>
      </c>
      <c r="DY3" s="1" t="s">
        <v>127</v>
      </c>
      <c r="DZ3" s="1" t="s">
        <v>128</v>
      </c>
      <c r="EA3" s="1" t="s">
        <v>129</v>
      </c>
      <c r="EB3" s="1" t="s">
        <v>130</v>
      </c>
      <c r="EC3" s="1" t="s">
        <v>131</v>
      </c>
      <c r="ED3" s="1" t="s">
        <v>132</v>
      </c>
      <c r="EE3" s="1" t="s">
        <v>133</v>
      </c>
      <c r="EF3" s="1" t="s">
        <v>134</v>
      </c>
      <c r="EG3" s="1" t="s">
        <v>135</v>
      </c>
      <c r="EH3" s="1" t="s">
        <v>136</v>
      </c>
      <c r="EI3" s="1" t="s">
        <v>137</v>
      </c>
      <c r="EJ3" s="1" t="s">
        <v>138</v>
      </c>
      <c r="EK3" s="1" t="s">
        <v>139</v>
      </c>
      <c r="EL3" s="1" t="s">
        <v>140</v>
      </c>
      <c r="EM3" s="1" t="s">
        <v>141</v>
      </c>
      <c r="EN3" s="1" t="s">
        <v>142</v>
      </c>
      <c r="EO3" s="1" t="s">
        <v>143</v>
      </c>
      <c r="EP3" s="1" t="s">
        <v>144</v>
      </c>
      <c r="EQ3" s="1" t="s">
        <v>145</v>
      </c>
      <c r="ER3" s="1" t="s">
        <v>16</v>
      </c>
      <c r="ES3" s="1" t="s">
        <v>146</v>
      </c>
      <c r="ET3" s="1" t="s">
        <v>147</v>
      </c>
      <c r="EU3" s="1" t="s">
        <v>148</v>
      </c>
      <c r="EV3" s="1" t="s">
        <v>149</v>
      </c>
      <c r="EW3" s="1" t="s">
        <v>150</v>
      </c>
      <c r="EX3" s="1" t="s">
        <v>244</v>
      </c>
      <c r="EY3" s="1" t="s">
        <v>245</v>
      </c>
      <c r="EZ3" s="1" t="s">
        <v>246</v>
      </c>
      <c r="FA3" s="1" t="s">
        <v>247</v>
      </c>
      <c r="FB3" s="1" t="s">
        <v>151</v>
      </c>
      <c r="FC3" s="1" t="s">
        <v>152</v>
      </c>
      <c r="FD3" s="1" t="s">
        <v>153</v>
      </c>
      <c r="FE3" s="1" t="s">
        <v>154</v>
      </c>
      <c r="FF3" s="1" t="s">
        <v>155</v>
      </c>
      <c r="FG3" s="1" t="s">
        <v>156</v>
      </c>
      <c r="FH3" s="1" t="s">
        <v>23</v>
      </c>
      <c r="FI3" s="1" t="s">
        <v>24</v>
      </c>
      <c r="FJ3" s="1" t="s">
        <v>25</v>
      </c>
      <c r="FK3" s="1" t="s">
        <v>157</v>
      </c>
      <c r="FL3" s="1" t="s">
        <v>158</v>
      </c>
      <c r="FM3" s="1" t="s">
        <v>159</v>
      </c>
      <c r="FN3" s="1" t="s">
        <v>20</v>
      </c>
      <c r="FO3" s="1" t="s">
        <v>160</v>
      </c>
      <c r="FP3" s="1" t="s">
        <v>161</v>
      </c>
      <c r="FQ3" s="1" t="s">
        <v>162</v>
      </c>
      <c r="FR3" s="1" t="s">
        <v>163</v>
      </c>
      <c r="FS3" s="1" t="s">
        <v>164</v>
      </c>
      <c r="FT3" t="s">
        <v>180</v>
      </c>
      <c r="FU3" t="s">
        <v>181</v>
      </c>
      <c r="FV3" s="1" t="s">
        <v>264</v>
      </c>
      <c r="FW3" t="s">
        <v>208</v>
      </c>
      <c r="FX3" t="s">
        <v>209</v>
      </c>
      <c r="FY3" s="3" t="s">
        <v>213</v>
      </c>
    </row>
    <row r="4" spans="1:181" x14ac:dyDescent="0.15">
      <c r="A4" s="3" t="s">
        <v>248</v>
      </c>
      <c r="B4" s="3" t="s">
        <v>182</v>
      </c>
      <c r="C4">
        <v>2005</v>
      </c>
      <c r="D4" s="9" t="str">
        <f>N4</f>
        <v>10.1126/science.1110063</v>
      </c>
      <c r="E4" s="9">
        <f>AB4</f>
        <v>27092.558566835094</v>
      </c>
      <c r="F4" s="9" t="str">
        <f>AC4</f>
        <v>NA</v>
      </c>
      <c r="G4" s="9" t="str">
        <f>AD4</f>
        <v>NA</v>
      </c>
      <c r="H4" s="9">
        <f>FH4</f>
        <v>673.0095020159398</v>
      </c>
      <c r="I4" s="9">
        <f>FI4</f>
        <v>173.53244814709342</v>
      </c>
      <c r="J4" s="9">
        <f>FJ4</f>
        <v>173.53244814709342</v>
      </c>
      <c r="K4" s="2" t="s">
        <v>183</v>
      </c>
      <c r="L4" s="3" t="s">
        <v>184</v>
      </c>
      <c r="M4" s="2" t="s">
        <v>249</v>
      </c>
      <c r="N4" s="2" t="s">
        <v>185</v>
      </c>
      <c r="O4" s="4">
        <v>803</v>
      </c>
      <c r="P4" t="s">
        <v>186</v>
      </c>
      <c r="Q4" s="5">
        <v>42</v>
      </c>
      <c r="R4" s="2" t="s">
        <v>189</v>
      </c>
      <c r="S4" s="2" t="s">
        <v>189</v>
      </c>
      <c r="T4" s="5">
        <v>2</v>
      </c>
      <c r="U4" s="5">
        <v>65</v>
      </c>
      <c r="V4" s="6">
        <v>70</v>
      </c>
      <c r="W4" s="3" t="s">
        <v>189</v>
      </c>
      <c r="X4" s="3" t="s">
        <v>189</v>
      </c>
      <c r="Y4" s="3" t="s">
        <v>189</v>
      </c>
      <c r="Z4" s="7">
        <v>382.875</v>
      </c>
      <c r="AA4" s="3" t="s">
        <v>189</v>
      </c>
      <c r="AB4">
        <v>27092.558566835094</v>
      </c>
      <c r="AC4" s="3" t="s">
        <v>189</v>
      </c>
      <c r="AD4" s="3" t="s">
        <v>189</v>
      </c>
      <c r="AE4" s="3" t="s">
        <v>189</v>
      </c>
      <c r="AF4" s="3" t="s">
        <v>191</v>
      </c>
      <c r="AG4" s="3" t="s">
        <v>190</v>
      </c>
      <c r="AH4" s="3" t="s">
        <v>189</v>
      </c>
      <c r="AI4" s="3" t="s">
        <v>189</v>
      </c>
      <c r="AJ4" s="3" t="s">
        <v>189</v>
      </c>
      <c r="AK4" s="3" t="s">
        <v>189</v>
      </c>
      <c r="AL4" s="3" t="s">
        <v>189</v>
      </c>
      <c r="AM4" s="3" t="s">
        <v>189</v>
      </c>
      <c r="AN4" s="3" t="s">
        <v>189</v>
      </c>
      <c r="AO4" s="3" t="s">
        <v>189</v>
      </c>
      <c r="AP4" s="3" t="s">
        <v>189</v>
      </c>
      <c r="AQ4" s="3" t="s">
        <v>189</v>
      </c>
      <c r="AR4" s="3" t="s">
        <v>189</v>
      </c>
      <c r="AS4" s="3" t="s">
        <v>189</v>
      </c>
      <c r="AT4" s="3" t="s">
        <v>189</v>
      </c>
      <c r="AU4" s="3" t="s">
        <v>189</v>
      </c>
      <c r="AV4" s="3" t="s">
        <v>189</v>
      </c>
      <c r="AW4" s="3" t="s">
        <v>189</v>
      </c>
      <c r="AX4" s="3" t="s">
        <v>189</v>
      </c>
      <c r="AY4" s="3" t="s">
        <v>189</v>
      </c>
      <c r="AZ4" s="3" t="s">
        <v>189</v>
      </c>
      <c r="BA4" s="3" t="s">
        <v>189</v>
      </c>
      <c r="BB4" s="3" t="s">
        <v>189</v>
      </c>
      <c r="BC4" s="3" t="s">
        <v>189</v>
      </c>
      <c r="BD4" s="3" t="s">
        <v>189</v>
      </c>
      <c r="BE4" s="3" t="s">
        <v>189</v>
      </c>
      <c r="BF4" t="s">
        <v>194</v>
      </c>
      <c r="BG4" t="s">
        <v>195</v>
      </c>
      <c r="BH4">
        <v>0.5</v>
      </c>
      <c r="BI4" s="3" t="s">
        <v>189</v>
      </c>
      <c r="BJ4" s="3" t="s">
        <v>189</v>
      </c>
      <c r="BK4" s="3" t="s">
        <v>189</v>
      </c>
      <c r="BL4" s="3" t="s">
        <v>189</v>
      </c>
      <c r="BM4" s="3" t="s">
        <v>189</v>
      </c>
      <c r="BN4" s="3" t="s">
        <v>189</v>
      </c>
      <c r="BO4" s="3" t="s">
        <v>189</v>
      </c>
      <c r="BP4" s="3" t="s">
        <v>189</v>
      </c>
      <c r="BQ4" s="3" t="s">
        <v>189</v>
      </c>
      <c r="BR4" t="s">
        <v>210</v>
      </c>
      <c r="BS4" s="3" t="s">
        <v>189</v>
      </c>
      <c r="BT4" s="8">
        <v>-31.169000000000004</v>
      </c>
      <c r="BU4" t="s">
        <v>176</v>
      </c>
      <c r="BV4" s="3" t="s">
        <v>189</v>
      </c>
      <c r="BW4" s="3" t="s">
        <v>189</v>
      </c>
      <c r="BX4" s="3" t="s">
        <v>189</v>
      </c>
      <c r="BY4">
        <v>4.2</v>
      </c>
      <c r="BZ4" s="3" t="s">
        <v>189</v>
      </c>
      <c r="CA4" s="3" t="s">
        <v>189</v>
      </c>
      <c r="CB4" s="3" t="s">
        <v>189</v>
      </c>
      <c r="CC4" s="3" t="s">
        <v>189</v>
      </c>
      <c r="CD4" s="3" t="s">
        <v>189</v>
      </c>
      <c r="CE4" s="3" t="s">
        <v>189</v>
      </c>
      <c r="CF4" s="3" t="s">
        <v>201</v>
      </c>
      <c r="CG4">
        <v>35</v>
      </c>
      <c r="CH4" s="3" t="s">
        <v>189</v>
      </c>
      <c r="CI4" s="3" t="s">
        <v>189</v>
      </c>
      <c r="CJ4" s="1" t="s">
        <v>177</v>
      </c>
      <c r="CK4">
        <v>0.2</v>
      </c>
      <c r="CL4">
        <v>0.1</v>
      </c>
      <c r="CM4">
        <v>0.1</v>
      </c>
      <c r="CN4" s="3" t="s">
        <v>203</v>
      </c>
      <c r="CO4" t="s">
        <v>202</v>
      </c>
      <c r="CP4" s="3" t="s">
        <v>189</v>
      </c>
      <c r="CQ4" s="3" t="s">
        <v>189</v>
      </c>
      <c r="CR4" s="8">
        <v>21.129750000000001</v>
      </c>
      <c r="CS4" s="3" t="s">
        <v>189</v>
      </c>
      <c r="CT4" s="3" t="s">
        <v>189</v>
      </c>
      <c r="CU4" s="3" t="s">
        <v>189</v>
      </c>
      <c r="CV4" t="s">
        <v>212</v>
      </c>
      <c r="CW4" s="3" t="s">
        <v>189</v>
      </c>
      <c r="CX4" s="3" t="s">
        <v>189</v>
      </c>
      <c r="CY4" s="3" t="s">
        <v>189</v>
      </c>
      <c r="CZ4" s="3" t="s">
        <v>189</v>
      </c>
      <c r="DA4" s="3" t="s">
        <v>189</v>
      </c>
      <c r="DB4" s="3" t="s">
        <v>189</v>
      </c>
      <c r="DC4" s="3" t="s">
        <v>189</v>
      </c>
      <c r="DD4" s="3" t="s">
        <v>189</v>
      </c>
      <c r="DE4" s="3" t="s">
        <v>189</v>
      </c>
      <c r="DF4" s="3" t="s">
        <v>189</v>
      </c>
      <c r="DG4" s="3" t="s">
        <v>189</v>
      </c>
      <c r="DH4" s="3" t="s">
        <v>189</v>
      </c>
      <c r="DI4" s="3" t="s">
        <v>189</v>
      </c>
      <c r="DJ4" s="3" t="s">
        <v>189</v>
      </c>
      <c r="DK4" s="3" t="s">
        <v>189</v>
      </c>
      <c r="DL4" s="3" t="s">
        <v>189</v>
      </c>
      <c r="DM4" s="3" t="s">
        <v>189</v>
      </c>
      <c r="DN4" s="3" t="s">
        <v>189</v>
      </c>
      <c r="DO4" s="3" t="s">
        <v>189</v>
      </c>
      <c r="DP4" s="3" t="s">
        <v>189</v>
      </c>
      <c r="DQ4" s="3" t="s">
        <v>189</v>
      </c>
      <c r="DR4" s="3" t="s">
        <v>189</v>
      </c>
      <c r="DS4" s="3" t="s">
        <v>189</v>
      </c>
      <c r="DT4" s="3" t="s">
        <v>189</v>
      </c>
      <c r="DU4" s="3" t="s">
        <v>189</v>
      </c>
      <c r="DV4" s="3" t="s">
        <v>189</v>
      </c>
      <c r="DW4" s="3" t="s">
        <v>189</v>
      </c>
      <c r="DX4" s="3" t="s">
        <v>189</v>
      </c>
      <c r="DY4" s="3" t="s">
        <v>189</v>
      </c>
      <c r="DZ4" s="3" t="s">
        <v>189</v>
      </c>
      <c r="EA4" s="3" t="s">
        <v>189</v>
      </c>
      <c r="EB4" s="3" t="s">
        <v>189</v>
      </c>
      <c r="EC4" s="3" t="s">
        <v>189</v>
      </c>
      <c r="ED4" s="3" t="s">
        <v>189</v>
      </c>
      <c r="EE4" s="3" t="s">
        <v>189</v>
      </c>
      <c r="EF4" s="3" t="s">
        <v>189</v>
      </c>
      <c r="EG4" s="3" t="s">
        <v>189</v>
      </c>
      <c r="EH4" s="3" t="s">
        <v>189</v>
      </c>
      <c r="EI4" s="3" t="s">
        <v>189</v>
      </c>
      <c r="EJ4" s="3" t="s">
        <v>189</v>
      </c>
      <c r="EK4" s="3" t="s">
        <v>189</v>
      </c>
      <c r="EL4" s="3" t="s">
        <v>189</v>
      </c>
      <c r="EM4" s="3" t="s">
        <v>189</v>
      </c>
      <c r="EN4" s="3" t="s">
        <v>189</v>
      </c>
      <c r="EO4" s="3" t="s">
        <v>189</v>
      </c>
      <c r="EP4" s="3" t="s">
        <v>189</v>
      </c>
      <c r="EQ4" s="3" t="s">
        <v>189</v>
      </c>
      <c r="ER4" s="3" t="s">
        <v>189</v>
      </c>
      <c r="ES4" s="3" t="s">
        <v>189</v>
      </c>
      <c r="ET4" s="3" t="s">
        <v>189</v>
      </c>
      <c r="EU4" s="3" t="s">
        <v>189</v>
      </c>
      <c r="EV4" t="s">
        <v>205</v>
      </c>
      <c r="EW4">
        <v>25</v>
      </c>
      <c r="EX4" s="7">
        <v>19.754992431705531</v>
      </c>
      <c r="EY4" s="3">
        <v>0.37686923047308696</v>
      </c>
      <c r="EZ4" s="3">
        <v>0.3768693967289849</v>
      </c>
      <c r="FA4" s="3" t="s">
        <v>232</v>
      </c>
      <c r="FB4" s="3" t="s">
        <v>233</v>
      </c>
      <c r="FC4" s="3" t="s">
        <v>189</v>
      </c>
      <c r="FD4" s="3" t="s">
        <v>189</v>
      </c>
      <c r="FE4" s="3" t="s">
        <v>189</v>
      </c>
      <c r="FF4" s="3" t="s">
        <v>189</v>
      </c>
      <c r="FG4" s="3" t="s">
        <v>189</v>
      </c>
      <c r="FH4">
        <v>673.0095020159398</v>
      </c>
      <c r="FI4">
        <v>173.53244814709342</v>
      </c>
      <c r="FJ4">
        <v>173.53244814709342</v>
      </c>
      <c r="FK4" s="3" t="s">
        <v>203</v>
      </c>
      <c r="FL4" s="10" t="s">
        <v>211</v>
      </c>
      <c r="FM4" s="3" t="s">
        <v>206</v>
      </c>
      <c r="FT4" s="3" t="s">
        <v>188</v>
      </c>
      <c r="FU4" s="3" t="s">
        <v>207</v>
      </c>
      <c r="FV4" s="29" t="s">
        <v>266</v>
      </c>
      <c r="FW4" s="7" t="s">
        <v>189</v>
      </c>
      <c r="FX4" s="4" t="s">
        <v>189</v>
      </c>
      <c r="FY4" s="3" t="s">
        <v>204</v>
      </c>
    </row>
    <row r="5" spans="1:181" x14ac:dyDescent="0.15">
      <c r="A5" s="3" t="s">
        <v>248</v>
      </c>
      <c r="B5" s="3" t="s">
        <v>182</v>
      </c>
      <c r="C5">
        <v>2005</v>
      </c>
      <c r="D5" s="9" t="str">
        <f t="shared" ref="D5:D42" si="0">N5</f>
        <v>10.1126/science.1110063</v>
      </c>
      <c r="E5" s="9">
        <f t="shared" ref="E5:E42" si="1">AB5</f>
        <v>27444.586409237178</v>
      </c>
      <c r="F5" s="9" t="str">
        <f t="shared" ref="F5:F42" si="2">AC5</f>
        <v>NA</v>
      </c>
      <c r="G5" s="9" t="str">
        <f t="shared" ref="G5:G42" si="3">AD5</f>
        <v>NA</v>
      </c>
      <c r="H5" s="9">
        <f t="shared" ref="H5:H42" si="4">FH5</f>
        <v>617.26911795939725</v>
      </c>
      <c r="I5" s="9">
        <f t="shared" ref="I5:I42" si="5">FI5</f>
        <v>154.91898418951143</v>
      </c>
      <c r="J5" s="9">
        <f t="shared" ref="J5:J42" si="6">FJ5</f>
        <v>154.91898418951143</v>
      </c>
      <c r="K5" s="2" t="s">
        <v>183</v>
      </c>
      <c r="L5" s="3" t="s">
        <v>184</v>
      </c>
      <c r="M5" s="2" t="s">
        <v>249</v>
      </c>
      <c r="N5" s="2" t="s">
        <v>185</v>
      </c>
      <c r="O5" s="4">
        <v>803</v>
      </c>
      <c r="P5" t="s">
        <v>186</v>
      </c>
      <c r="Q5" s="5">
        <v>43</v>
      </c>
      <c r="R5" s="2" t="s">
        <v>189</v>
      </c>
      <c r="S5" s="2" t="s">
        <v>189</v>
      </c>
      <c r="T5" s="5">
        <v>1</v>
      </c>
      <c r="U5" s="5">
        <v>50</v>
      </c>
      <c r="V5" s="6">
        <v>55</v>
      </c>
      <c r="W5" s="3" t="s">
        <v>189</v>
      </c>
      <c r="X5" s="3" t="s">
        <v>189</v>
      </c>
      <c r="Y5" s="3" t="s">
        <v>189</v>
      </c>
      <c r="Z5" s="7">
        <v>390.92500000000001</v>
      </c>
      <c r="AA5" s="3" t="s">
        <v>189</v>
      </c>
      <c r="AB5">
        <v>27444.586409237178</v>
      </c>
      <c r="AC5" s="3" t="s">
        <v>189</v>
      </c>
      <c r="AD5" s="3" t="s">
        <v>189</v>
      </c>
      <c r="AE5" s="3" t="s">
        <v>189</v>
      </c>
      <c r="AF5" s="3" t="s">
        <v>191</v>
      </c>
      <c r="AG5" s="3" t="s">
        <v>190</v>
      </c>
      <c r="AH5" s="3" t="s">
        <v>189</v>
      </c>
      <c r="AI5" s="3" t="s">
        <v>189</v>
      </c>
      <c r="AJ5" s="3" t="s">
        <v>189</v>
      </c>
      <c r="AK5" s="3" t="s">
        <v>189</v>
      </c>
      <c r="AL5" s="3" t="s">
        <v>189</v>
      </c>
      <c r="AM5" s="3" t="s">
        <v>189</v>
      </c>
      <c r="AN5" s="3" t="s">
        <v>189</v>
      </c>
      <c r="AO5" s="3" t="s">
        <v>189</v>
      </c>
      <c r="AP5" s="3" t="s">
        <v>189</v>
      </c>
      <c r="AQ5" s="3" t="s">
        <v>189</v>
      </c>
      <c r="AR5" s="3" t="s">
        <v>189</v>
      </c>
      <c r="AS5" s="3" t="s">
        <v>189</v>
      </c>
      <c r="AT5" s="3" t="s">
        <v>189</v>
      </c>
      <c r="AU5" s="3" t="s">
        <v>189</v>
      </c>
      <c r="AV5" s="3" t="s">
        <v>189</v>
      </c>
      <c r="AW5" s="3" t="s">
        <v>189</v>
      </c>
      <c r="AX5" s="3" t="s">
        <v>189</v>
      </c>
      <c r="AY5" s="3" t="s">
        <v>189</v>
      </c>
      <c r="AZ5" s="3" t="s">
        <v>189</v>
      </c>
      <c r="BA5" s="3" t="s">
        <v>189</v>
      </c>
      <c r="BB5" s="3" t="s">
        <v>189</v>
      </c>
      <c r="BC5" s="3" t="s">
        <v>189</v>
      </c>
      <c r="BD5" s="3" t="s">
        <v>189</v>
      </c>
      <c r="BE5" s="3" t="s">
        <v>189</v>
      </c>
      <c r="BF5" t="s">
        <v>194</v>
      </c>
      <c r="BG5" t="s">
        <v>195</v>
      </c>
      <c r="BH5">
        <v>0.5</v>
      </c>
      <c r="BI5" s="3" t="s">
        <v>189</v>
      </c>
      <c r="BJ5" s="3" t="s">
        <v>189</v>
      </c>
      <c r="BK5" s="3" t="s">
        <v>189</v>
      </c>
      <c r="BL5" s="3" t="s">
        <v>189</v>
      </c>
      <c r="BM5" s="3" t="s">
        <v>189</v>
      </c>
      <c r="BN5" s="3" t="s">
        <v>189</v>
      </c>
      <c r="BO5" s="3" t="s">
        <v>189</v>
      </c>
      <c r="BP5" s="3" t="s">
        <v>189</v>
      </c>
      <c r="BQ5" s="3" t="s">
        <v>189</v>
      </c>
      <c r="BR5" t="s">
        <v>210</v>
      </c>
      <c r="BS5" s="3" t="s">
        <v>189</v>
      </c>
      <c r="BT5" s="8">
        <v>-30.736000000000001</v>
      </c>
      <c r="BU5" t="s">
        <v>176</v>
      </c>
      <c r="BV5" s="3" t="s">
        <v>189</v>
      </c>
      <c r="BW5" s="3" t="s">
        <v>189</v>
      </c>
      <c r="BX5" s="3" t="s">
        <v>189</v>
      </c>
      <c r="BY5">
        <v>4.2</v>
      </c>
      <c r="BZ5" s="3" t="s">
        <v>189</v>
      </c>
      <c r="CA5" s="3" t="s">
        <v>189</v>
      </c>
      <c r="CB5" s="3" t="s">
        <v>189</v>
      </c>
      <c r="CC5" s="3" t="s">
        <v>189</v>
      </c>
      <c r="CD5" s="3" t="s">
        <v>189</v>
      </c>
      <c r="CE5" s="3" t="s">
        <v>189</v>
      </c>
      <c r="CF5" s="3" t="s">
        <v>201</v>
      </c>
      <c r="CG5">
        <v>35</v>
      </c>
      <c r="CH5" s="3" t="s">
        <v>189</v>
      </c>
      <c r="CI5" s="3" t="s">
        <v>189</v>
      </c>
      <c r="CJ5" s="1" t="s">
        <v>177</v>
      </c>
      <c r="CK5">
        <v>0.2</v>
      </c>
      <c r="CL5">
        <v>0.1</v>
      </c>
      <c r="CM5">
        <v>0.1</v>
      </c>
      <c r="CN5" s="3" t="s">
        <v>203</v>
      </c>
      <c r="CO5" t="s">
        <v>202</v>
      </c>
      <c r="CP5" s="3" t="s">
        <v>189</v>
      </c>
      <c r="CQ5" s="3" t="s">
        <v>189</v>
      </c>
      <c r="CR5" s="8">
        <v>21.583430000000003</v>
      </c>
      <c r="CS5" s="3" t="s">
        <v>189</v>
      </c>
      <c r="CT5" s="3" t="s">
        <v>189</v>
      </c>
      <c r="CU5" s="3" t="s">
        <v>189</v>
      </c>
      <c r="CV5" t="s">
        <v>212</v>
      </c>
      <c r="CW5" s="3" t="s">
        <v>189</v>
      </c>
      <c r="CX5" s="3" t="s">
        <v>189</v>
      </c>
      <c r="CY5" s="3" t="s">
        <v>189</v>
      </c>
      <c r="CZ5" s="3" t="s">
        <v>189</v>
      </c>
      <c r="DA5" s="3" t="s">
        <v>189</v>
      </c>
      <c r="DB5" s="3" t="s">
        <v>189</v>
      </c>
      <c r="DC5" s="3" t="s">
        <v>189</v>
      </c>
      <c r="DD5" s="3" t="s">
        <v>189</v>
      </c>
      <c r="DE5" s="3" t="s">
        <v>189</v>
      </c>
      <c r="DF5" s="3" t="s">
        <v>189</v>
      </c>
      <c r="DG5" s="3" t="s">
        <v>189</v>
      </c>
      <c r="DH5" s="3" t="s">
        <v>189</v>
      </c>
      <c r="DI5" s="3" t="s">
        <v>189</v>
      </c>
      <c r="DJ5" s="3" t="s">
        <v>189</v>
      </c>
      <c r="DK5" s="3" t="s">
        <v>189</v>
      </c>
      <c r="DL5" s="3" t="s">
        <v>189</v>
      </c>
      <c r="DM5" s="3" t="s">
        <v>189</v>
      </c>
      <c r="DN5" s="3" t="s">
        <v>189</v>
      </c>
      <c r="DO5" s="3" t="s">
        <v>189</v>
      </c>
      <c r="DP5" s="3" t="s">
        <v>189</v>
      </c>
      <c r="DQ5" s="3" t="s">
        <v>189</v>
      </c>
      <c r="DR5" s="3" t="s">
        <v>189</v>
      </c>
      <c r="DS5" s="3" t="s">
        <v>189</v>
      </c>
      <c r="DT5" s="3" t="s">
        <v>189</v>
      </c>
      <c r="DU5" s="3" t="s">
        <v>189</v>
      </c>
      <c r="DV5" s="3" t="s">
        <v>189</v>
      </c>
      <c r="DW5" s="3" t="s">
        <v>189</v>
      </c>
      <c r="DX5" s="3" t="s">
        <v>189</v>
      </c>
      <c r="DY5" s="3" t="s">
        <v>189</v>
      </c>
      <c r="DZ5" s="3" t="s">
        <v>189</v>
      </c>
      <c r="EA5" s="3" t="s">
        <v>189</v>
      </c>
      <c r="EB5" s="3" t="s">
        <v>189</v>
      </c>
      <c r="EC5" s="3" t="s">
        <v>189</v>
      </c>
      <c r="ED5" s="3" t="s">
        <v>189</v>
      </c>
      <c r="EE5" s="3" t="s">
        <v>189</v>
      </c>
      <c r="EF5" s="3" t="s">
        <v>189</v>
      </c>
      <c r="EG5" s="3" t="s">
        <v>189</v>
      </c>
      <c r="EH5" s="3" t="s">
        <v>189</v>
      </c>
      <c r="EI5" s="3" t="s">
        <v>189</v>
      </c>
      <c r="EJ5" s="3" t="s">
        <v>189</v>
      </c>
      <c r="EK5" s="3" t="s">
        <v>189</v>
      </c>
      <c r="EL5" s="3" t="s">
        <v>189</v>
      </c>
      <c r="EM5" s="3" t="s">
        <v>189</v>
      </c>
      <c r="EN5" s="3" t="s">
        <v>189</v>
      </c>
      <c r="EO5" s="3" t="s">
        <v>189</v>
      </c>
      <c r="EP5" s="3" t="s">
        <v>189</v>
      </c>
      <c r="EQ5" s="3" t="s">
        <v>189</v>
      </c>
      <c r="ER5" s="3" t="s">
        <v>189</v>
      </c>
      <c r="ES5" s="3" t="s">
        <v>189</v>
      </c>
      <c r="ET5" s="3" t="s">
        <v>189</v>
      </c>
      <c r="EU5" s="3" t="s">
        <v>189</v>
      </c>
      <c r="EV5" t="s">
        <v>205</v>
      </c>
      <c r="EW5">
        <v>25</v>
      </c>
      <c r="EX5" s="7">
        <v>19.224226941621403</v>
      </c>
      <c r="EY5" s="3">
        <v>0.37665271029263536</v>
      </c>
      <c r="EZ5" s="3">
        <v>0.37665163680578218</v>
      </c>
      <c r="FA5" s="3" t="s">
        <v>232</v>
      </c>
      <c r="FB5" s="3" t="s">
        <v>233</v>
      </c>
      <c r="FC5" s="3" t="s">
        <v>189</v>
      </c>
      <c r="FD5" s="3" t="s">
        <v>189</v>
      </c>
      <c r="FE5" s="3" t="s">
        <v>189</v>
      </c>
      <c r="FF5" s="3" t="s">
        <v>189</v>
      </c>
      <c r="FG5" s="3" t="s">
        <v>189</v>
      </c>
      <c r="FH5">
        <v>617.26911795939725</v>
      </c>
      <c r="FI5">
        <v>154.91898418951143</v>
      </c>
      <c r="FJ5">
        <v>154.91898418951143</v>
      </c>
      <c r="FK5" s="3" t="s">
        <v>203</v>
      </c>
      <c r="FL5" s="10" t="s">
        <v>211</v>
      </c>
      <c r="FM5" s="3" t="s">
        <v>206</v>
      </c>
      <c r="FT5" s="3" t="s">
        <v>188</v>
      </c>
      <c r="FU5" s="3" t="s">
        <v>207</v>
      </c>
      <c r="FV5" s="29" t="s">
        <v>267</v>
      </c>
      <c r="FW5" s="7" t="s">
        <v>189</v>
      </c>
      <c r="FX5" s="4" t="s">
        <v>189</v>
      </c>
      <c r="FY5" s="3" t="s">
        <v>204</v>
      </c>
    </row>
    <row r="6" spans="1:181" x14ac:dyDescent="0.15">
      <c r="A6" s="3" t="s">
        <v>248</v>
      </c>
      <c r="B6" s="3" t="s">
        <v>182</v>
      </c>
      <c r="C6">
        <v>2005</v>
      </c>
      <c r="D6" s="9" t="str">
        <f t="shared" si="0"/>
        <v>10.1126/science.1110063</v>
      </c>
      <c r="E6" s="9">
        <f t="shared" si="1"/>
        <v>28716.155593412834</v>
      </c>
      <c r="F6" s="9" t="str">
        <f t="shared" si="2"/>
        <v>NA</v>
      </c>
      <c r="G6" s="9" t="str">
        <f t="shared" si="3"/>
        <v>NA</v>
      </c>
      <c r="H6" s="9">
        <f t="shared" si="4"/>
        <v>440.10729190618417</v>
      </c>
      <c r="I6" s="9">
        <f t="shared" si="5"/>
        <v>104.36252589306253</v>
      </c>
      <c r="J6" s="9">
        <f t="shared" si="6"/>
        <v>104.36252589306253</v>
      </c>
      <c r="K6" s="2" t="s">
        <v>183</v>
      </c>
      <c r="L6" s="3" t="s">
        <v>184</v>
      </c>
      <c r="M6" s="2" t="s">
        <v>249</v>
      </c>
      <c r="N6" s="2" t="s">
        <v>185</v>
      </c>
      <c r="O6" s="4">
        <v>803</v>
      </c>
      <c r="P6" t="s">
        <v>186</v>
      </c>
      <c r="Q6" s="5">
        <v>47</v>
      </c>
      <c r="R6" s="2" t="s">
        <v>189</v>
      </c>
      <c r="S6" s="2" t="s">
        <v>189</v>
      </c>
      <c r="T6" s="5">
        <v>1</v>
      </c>
      <c r="U6" s="5">
        <v>25</v>
      </c>
      <c r="V6" s="6">
        <v>30</v>
      </c>
      <c r="W6" s="3" t="s">
        <v>189</v>
      </c>
      <c r="X6" s="3" t="s">
        <v>189</v>
      </c>
      <c r="Y6" s="3" t="s">
        <v>189</v>
      </c>
      <c r="Z6" s="7">
        <v>429.27499999999998</v>
      </c>
      <c r="AA6" s="3" t="s">
        <v>189</v>
      </c>
      <c r="AB6">
        <v>28716.155593412834</v>
      </c>
      <c r="AC6" s="3" t="s">
        <v>189</v>
      </c>
      <c r="AD6" s="3" t="s">
        <v>189</v>
      </c>
      <c r="AE6" s="3" t="s">
        <v>189</v>
      </c>
      <c r="AF6" s="3" t="s">
        <v>191</v>
      </c>
      <c r="AG6" s="3" t="s">
        <v>190</v>
      </c>
      <c r="AH6" s="3" t="s">
        <v>189</v>
      </c>
      <c r="AI6" s="3" t="s">
        <v>189</v>
      </c>
      <c r="AJ6" s="3" t="s">
        <v>189</v>
      </c>
      <c r="AK6" s="3" t="s">
        <v>189</v>
      </c>
      <c r="AL6" s="3" t="s">
        <v>189</v>
      </c>
      <c r="AM6" s="3" t="s">
        <v>189</v>
      </c>
      <c r="AN6" s="3" t="s">
        <v>189</v>
      </c>
      <c r="AO6" s="3" t="s">
        <v>189</v>
      </c>
      <c r="AP6" s="3" t="s">
        <v>189</v>
      </c>
      <c r="AQ6" s="3" t="s">
        <v>189</v>
      </c>
      <c r="AR6" s="3" t="s">
        <v>189</v>
      </c>
      <c r="AS6" s="3" t="s">
        <v>189</v>
      </c>
      <c r="AT6" s="3" t="s">
        <v>189</v>
      </c>
      <c r="AU6" s="3" t="s">
        <v>189</v>
      </c>
      <c r="AV6" s="3" t="s">
        <v>189</v>
      </c>
      <c r="AW6" s="3" t="s">
        <v>189</v>
      </c>
      <c r="AX6" s="3" t="s">
        <v>189</v>
      </c>
      <c r="AY6" s="3" t="s">
        <v>189</v>
      </c>
      <c r="AZ6" s="3" t="s">
        <v>189</v>
      </c>
      <c r="BA6" s="3" t="s">
        <v>189</v>
      </c>
      <c r="BB6" s="3" t="s">
        <v>189</v>
      </c>
      <c r="BC6" s="3" t="s">
        <v>189</v>
      </c>
      <c r="BD6" s="3" t="s">
        <v>189</v>
      </c>
      <c r="BE6" s="3" t="s">
        <v>189</v>
      </c>
      <c r="BF6" t="s">
        <v>194</v>
      </c>
      <c r="BG6" t="s">
        <v>195</v>
      </c>
      <c r="BH6">
        <v>0.5</v>
      </c>
      <c r="BI6" s="3" t="s">
        <v>189</v>
      </c>
      <c r="BJ6" s="3" t="s">
        <v>189</v>
      </c>
      <c r="BK6" s="3" t="s">
        <v>189</v>
      </c>
      <c r="BL6" s="3" t="s">
        <v>189</v>
      </c>
      <c r="BM6" s="3" t="s">
        <v>189</v>
      </c>
      <c r="BN6" s="3" t="s">
        <v>189</v>
      </c>
      <c r="BO6" s="3" t="s">
        <v>189</v>
      </c>
      <c r="BP6" s="3" t="s">
        <v>189</v>
      </c>
      <c r="BQ6" s="3" t="s">
        <v>189</v>
      </c>
      <c r="BR6" t="s">
        <v>210</v>
      </c>
      <c r="BS6" s="3" t="s">
        <v>189</v>
      </c>
      <c r="BT6" s="8">
        <v>-28.751000000000001</v>
      </c>
      <c r="BU6" t="s">
        <v>176</v>
      </c>
      <c r="BV6" s="3" t="s">
        <v>189</v>
      </c>
      <c r="BW6" s="3" t="s">
        <v>189</v>
      </c>
      <c r="BX6" s="3" t="s">
        <v>189</v>
      </c>
      <c r="BY6">
        <v>4.2</v>
      </c>
      <c r="BZ6" s="3" t="s">
        <v>189</v>
      </c>
      <c r="CA6" s="3" t="s">
        <v>189</v>
      </c>
      <c r="CB6" s="3" t="s">
        <v>189</v>
      </c>
      <c r="CC6" s="3" t="s">
        <v>189</v>
      </c>
      <c r="CD6" s="3" t="s">
        <v>189</v>
      </c>
      <c r="CE6" s="3" t="s">
        <v>189</v>
      </c>
      <c r="CF6" s="3" t="s">
        <v>201</v>
      </c>
      <c r="CG6">
        <v>35</v>
      </c>
      <c r="CH6" s="3" t="s">
        <v>189</v>
      </c>
      <c r="CI6" s="3" t="s">
        <v>189</v>
      </c>
      <c r="CJ6" s="1" t="s">
        <v>177</v>
      </c>
      <c r="CK6">
        <v>0.2</v>
      </c>
      <c r="CL6">
        <v>0.1</v>
      </c>
      <c r="CM6">
        <v>0.1</v>
      </c>
      <c r="CN6" s="3" t="s">
        <v>203</v>
      </c>
      <c r="CO6" t="s">
        <v>202</v>
      </c>
      <c r="CP6" s="3" t="s">
        <v>189</v>
      </c>
      <c r="CQ6" s="3" t="s">
        <v>189</v>
      </c>
      <c r="CR6" s="8">
        <v>20.178844800000004</v>
      </c>
      <c r="CS6" s="3" t="s">
        <v>189</v>
      </c>
      <c r="CT6" s="3" t="s">
        <v>189</v>
      </c>
      <c r="CU6" s="3" t="s">
        <v>189</v>
      </c>
      <c r="CV6" t="s">
        <v>212</v>
      </c>
      <c r="CW6" s="3" t="s">
        <v>189</v>
      </c>
      <c r="CX6" s="3" t="s">
        <v>189</v>
      </c>
      <c r="CY6" s="3" t="s">
        <v>189</v>
      </c>
      <c r="CZ6" s="3" t="s">
        <v>189</v>
      </c>
      <c r="DA6" s="3" t="s">
        <v>189</v>
      </c>
      <c r="DB6" s="3" t="s">
        <v>189</v>
      </c>
      <c r="DC6" s="3" t="s">
        <v>189</v>
      </c>
      <c r="DD6" s="3" t="s">
        <v>189</v>
      </c>
      <c r="DE6" s="3" t="s">
        <v>189</v>
      </c>
      <c r="DF6" s="3" t="s">
        <v>189</v>
      </c>
      <c r="DG6" s="3" t="s">
        <v>189</v>
      </c>
      <c r="DH6" s="3" t="s">
        <v>189</v>
      </c>
      <c r="DI6" s="3" t="s">
        <v>189</v>
      </c>
      <c r="DJ6" s="3" t="s">
        <v>189</v>
      </c>
      <c r="DK6" s="3" t="s">
        <v>189</v>
      </c>
      <c r="DL6" s="3" t="s">
        <v>189</v>
      </c>
      <c r="DM6" s="3" t="s">
        <v>189</v>
      </c>
      <c r="DN6" s="3" t="s">
        <v>189</v>
      </c>
      <c r="DO6" s="3" t="s">
        <v>189</v>
      </c>
      <c r="DP6" s="3" t="s">
        <v>189</v>
      </c>
      <c r="DQ6" s="3" t="s">
        <v>189</v>
      </c>
      <c r="DR6" s="3" t="s">
        <v>189</v>
      </c>
      <c r="DS6" s="3" t="s">
        <v>189</v>
      </c>
      <c r="DT6" s="3" t="s">
        <v>189</v>
      </c>
      <c r="DU6" s="3" t="s">
        <v>189</v>
      </c>
      <c r="DV6" s="3" t="s">
        <v>189</v>
      </c>
      <c r="DW6" s="3" t="s">
        <v>189</v>
      </c>
      <c r="DX6" s="3" t="s">
        <v>189</v>
      </c>
      <c r="DY6" s="3" t="s">
        <v>189</v>
      </c>
      <c r="DZ6" s="3" t="s">
        <v>189</v>
      </c>
      <c r="EA6" s="3" t="s">
        <v>189</v>
      </c>
      <c r="EB6" s="3" t="s">
        <v>189</v>
      </c>
      <c r="EC6" s="3" t="s">
        <v>189</v>
      </c>
      <c r="ED6" s="3" t="s">
        <v>189</v>
      </c>
      <c r="EE6" s="3" t="s">
        <v>189</v>
      </c>
      <c r="EF6" s="3" t="s">
        <v>189</v>
      </c>
      <c r="EG6" s="3" t="s">
        <v>189</v>
      </c>
      <c r="EH6" s="3" t="s">
        <v>189</v>
      </c>
      <c r="EI6" s="3" t="s">
        <v>189</v>
      </c>
      <c r="EJ6" s="3" t="s">
        <v>189</v>
      </c>
      <c r="EK6" s="3" t="s">
        <v>189</v>
      </c>
      <c r="EL6" s="3" t="s">
        <v>189</v>
      </c>
      <c r="EM6" s="3" t="s">
        <v>189</v>
      </c>
      <c r="EN6" s="3" t="s">
        <v>189</v>
      </c>
      <c r="EO6" s="3" t="s">
        <v>189</v>
      </c>
      <c r="EP6" s="3" t="s">
        <v>189</v>
      </c>
      <c r="EQ6" s="3" t="s">
        <v>189</v>
      </c>
      <c r="ER6" s="3" t="s">
        <v>189</v>
      </c>
      <c r="ES6" s="3" t="s">
        <v>189</v>
      </c>
      <c r="ET6" s="3" t="s">
        <v>189</v>
      </c>
      <c r="EU6" s="3" t="s">
        <v>189</v>
      </c>
      <c r="EV6" t="s">
        <v>205</v>
      </c>
      <c r="EW6">
        <v>25</v>
      </c>
      <c r="EX6" s="7">
        <v>17.239103677934242</v>
      </c>
      <c r="EY6" s="3">
        <v>0.37598264693161454</v>
      </c>
      <c r="EZ6" s="3">
        <v>0.37598543049921673</v>
      </c>
      <c r="FA6" s="3" t="s">
        <v>232</v>
      </c>
      <c r="FB6" s="3" t="s">
        <v>233</v>
      </c>
      <c r="FC6" s="3" t="s">
        <v>189</v>
      </c>
      <c r="FD6" s="3" t="s">
        <v>189</v>
      </c>
      <c r="FE6" s="3" t="s">
        <v>189</v>
      </c>
      <c r="FF6" s="3" t="s">
        <v>189</v>
      </c>
      <c r="FG6" s="3" t="s">
        <v>189</v>
      </c>
      <c r="FH6">
        <v>440.10729190618417</v>
      </c>
      <c r="FI6">
        <v>104.36252589306253</v>
      </c>
      <c r="FJ6">
        <v>104.36252589306253</v>
      </c>
      <c r="FK6" s="3" t="s">
        <v>203</v>
      </c>
      <c r="FL6" s="10" t="s">
        <v>211</v>
      </c>
      <c r="FM6" s="3" t="s">
        <v>206</v>
      </c>
      <c r="FT6" s="3" t="s">
        <v>188</v>
      </c>
      <c r="FU6" s="3" t="s">
        <v>207</v>
      </c>
      <c r="FV6" s="29" t="s">
        <v>268</v>
      </c>
      <c r="FW6" s="7" t="s">
        <v>189</v>
      </c>
      <c r="FX6" s="4" t="s">
        <v>189</v>
      </c>
      <c r="FY6" s="3" t="s">
        <v>204</v>
      </c>
    </row>
    <row r="7" spans="1:181" x14ac:dyDescent="0.15">
      <c r="A7" s="3" t="s">
        <v>248</v>
      </c>
      <c r="B7" s="3" t="s">
        <v>182</v>
      </c>
      <c r="C7">
        <v>2005</v>
      </c>
      <c r="D7" s="9" t="str">
        <f t="shared" si="0"/>
        <v>10.1126/science.1110063</v>
      </c>
      <c r="E7" s="9">
        <f t="shared" si="1"/>
        <v>29539.95830437804</v>
      </c>
      <c r="F7" s="9" t="str">
        <f t="shared" si="2"/>
        <v>NA</v>
      </c>
      <c r="G7" s="9" t="str">
        <f t="shared" si="3"/>
        <v>NA</v>
      </c>
      <c r="H7" s="9">
        <f t="shared" si="4"/>
        <v>367.49218997585376</v>
      </c>
      <c r="I7" s="9">
        <f t="shared" si="5"/>
        <v>83.676366669614538</v>
      </c>
      <c r="J7" s="9">
        <f t="shared" si="6"/>
        <v>83.676366669614538</v>
      </c>
      <c r="K7" s="2" t="s">
        <v>183</v>
      </c>
      <c r="L7" s="3" t="s">
        <v>184</v>
      </c>
      <c r="M7" s="2" t="s">
        <v>249</v>
      </c>
      <c r="N7" s="2" t="s">
        <v>185</v>
      </c>
      <c r="O7" s="4">
        <v>803</v>
      </c>
      <c r="P7" t="s">
        <v>186</v>
      </c>
      <c r="Q7" s="5">
        <v>48</v>
      </c>
      <c r="R7" s="2" t="s">
        <v>189</v>
      </c>
      <c r="S7" s="2" t="s">
        <v>189</v>
      </c>
      <c r="T7" s="5">
        <v>2</v>
      </c>
      <c r="U7" s="5">
        <v>75</v>
      </c>
      <c r="V7" s="6">
        <v>80</v>
      </c>
      <c r="W7" s="3" t="s">
        <v>189</v>
      </c>
      <c r="X7" s="3" t="s">
        <v>189</v>
      </c>
      <c r="Y7" s="3" t="s">
        <v>189</v>
      </c>
      <c r="Z7" s="7">
        <v>440.875</v>
      </c>
      <c r="AA7" s="3" t="s">
        <v>189</v>
      </c>
      <c r="AB7">
        <v>29539.95830437804</v>
      </c>
      <c r="AC7" s="3" t="s">
        <v>189</v>
      </c>
      <c r="AD7" s="3" t="s">
        <v>189</v>
      </c>
      <c r="AE7" s="3" t="s">
        <v>189</v>
      </c>
      <c r="AF7" s="3" t="s">
        <v>191</v>
      </c>
      <c r="AG7" s="3" t="s">
        <v>190</v>
      </c>
      <c r="AH7" s="3" t="s">
        <v>189</v>
      </c>
      <c r="AI7" s="3" t="s">
        <v>189</v>
      </c>
      <c r="AJ7" s="3" t="s">
        <v>189</v>
      </c>
      <c r="AK7" s="3" t="s">
        <v>189</v>
      </c>
      <c r="AL7" s="3" t="s">
        <v>189</v>
      </c>
      <c r="AM7" s="3" t="s">
        <v>189</v>
      </c>
      <c r="AN7" s="3" t="s">
        <v>189</v>
      </c>
      <c r="AO7" s="3" t="s">
        <v>189</v>
      </c>
      <c r="AP7" s="3" t="s">
        <v>189</v>
      </c>
      <c r="AQ7" s="3" t="s">
        <v>189</v>
      </c>
      <c r="AR7" s="3" t="s">
        <v>189</v>
      </c>
      <c r="AS7" s="3" t="s">
        <v>189</v>
      </c>
      <c r="AT7" s="3" t="s">
        <v>189</v>
      </c>
      <c r="AU7" s="3" t="s">
        <v>189</v>
      </c>
      <c r="AV7" s="3" t="s">
        <v>189</v>
      </c>
      <c r="AW7" s="3" t="s">
        <v>189</v>
      </c>
      <c r="AX7" s="3" t="s">
        <v>189</v>
      </c>
      <c r="AY7" s="3" t="s">
        <v>189</v>
      </c>
      <c r="AZ7" s="3" t="s">
        <v>189</v>
      </c>
      <c r="BA7" s="3" t="s">
        <v>189</v>
      </c>
      <c r="BB7" s="3" t="s">
        <v>189</v>
      </c>
      <c r="BC7" s="3" t="s">
        <v>189</v>
      </c>
      <c r="BD7" s="3" t="s">
        <v>189</v>
      </c>
      <c r="BE7" s="3" t="s">
        <v>189</v>
      </c>
      <c r="BF7" t="s">
        <v>194</v>
      </c>
      <c r="BG7" t="s">
        <v>195</v>
      </c>
      <c r="BH7">
        <v>0.5</v>
      </c>
      <c r="BI7" s="3" t="s">
        <v>189</v>
      </c>
      <c r="BJ7" s="3" t="s">
        <v>189</v>
      </c>
      <c r="BK7" s="3" t="s">
        <v>189</v>
      </c>
      <c r="BL7" s="3" t="s">
        <v>189</v>
      </c>
      <c r="BM7" s="3" t="s">
        <v>189</v>
      </c>
      <c r="BN7" s="3" t="s">
        <v>189</v>
      </c>
      <c r="BO7" s="3" t="s">
        <v>189</v>
      </c>
      <c r="BP7" s="3" t="s">
        <v>189</v>
      </c>
      <c r="BQ7" s="3" t="s">
        <v>189</v>
      </c>
      <c r="BR7" t="s">
        <v>210</v>
      </c>
      <c r="BS7" s="3" t="s">
        <v>189</v>
      </c>
      <c r="BT7" s="8">
        <v>-27.124000000000002</v>
      </c>
      <c r="BU7" t="s">
        <v>176</v>
      </c>
      <c r="BV7" s="3" t="s">
        <v>189</v>
      </c>
      <c r="BW7" s="3" t="s">
        <v>189</v>
      </c>
      <c r="BX7" s="3" t="s">
        <v>189</v>
      </c>
      <c r="BY7">
        <v>4.2</v>
      </c>
      <c r="BZ7" s="3" t="s">
        <v>189</v>
      </c>
      <c r="CA7" s="3" t="s">
        <v>189</v>
      </c>
      <c r="CB7" s="3" t="s">
        <v>189</v>
      </c>
      <c r="CC7" s="3" t="s">
        <v>189</v>
      </c>
      <c r="CD7" s="3" t="s">
        <v>189</v>
      </c>
      <c r="CE7" s="3" t="s">
        <v>189</v>
      </c>
      <c r="CF7" s="3" t="s">
        <v>201</v>
      </c>
      <c r="CG7">
        <v>35</v>
      </c>
      <c r="CH7" s="3" t="s">
        <v>189</v>
      </c>
      <c r="CI7" s="3" t="s">
        <v>189</v>
      </c>
      <c r="CJ7" s="1" t="s">
        <v>177</v>
      </c>
      <c r="CK7">
        <v>0.2</v>
      </c>
      <c r="CL7">
        <v>0.1</v>
      </c>
      <c r="CM7">
        <v>0.1</v>
      </c>
      <c r="CN7" s="3" t="s">
        <v>203</v>
      </c>
      <c r="CO7" t="s">
        <v>202</v>
      </c>
      <c r="CP7" s="3" t="s">
        <v>189</v>
      </c>
      <c r="CQ7" s="3" t="s">
        <v>189</v>
      </c>
      <c r="CR7" s="8">
        <v>20.948434800000001</v>
      </c>
      <c r="CS7" s="3" t="s">
        <v>189</v>
      </c>
      <c r="CT7" s="3" t="s">
        <v>189</v>
      </c>
      <c r="CU7" s="3" t="s">
        <v>189</v>
      </c>
      <c r="CV7" t="s">
        <v>212</v>
      </c>
      <c r="CW7" s="3" t="s">
        <v>189</v>
      </c>
      <c r="CX7" s="3" t="s">
        <v>189</v>
      </c>
      <c r="CY7" s="3" t="s">
        <v>189</v>
      </c>
      <c r="CZ7" s="3" t="s">
        <v>189</v>
      </c>
      <c r="DA7" s="3" t="s">
        <v>189</v>
      </c>
      <c r="DB7" s="3" t="s">
        <v>189</v>
      </c>
      <c r="DC7" s="3" t="s">
        <v>189</v>
      </c>
      <c r="DD7" s="3" t="s">
        <v>189</v>
      </c>
      <c r="DE7" s="3" t="s">
        <v>189</v>
      </c>
      <c r="DF7" s="3" t="s">
        <v>189</v>
      </c>
      <c r="DG7" s="3" t="s">
        <v>189</v>
      </c>
      <c r="DH7" s="3" t="s">
        <v>189</v>
      </c>
      <c r="DI7" s="3" t="s">
        <v>189</v>
      </c>
      <c r="DJ7" s="3" t="s">
        <v>189</v>
      </c>
      <c r="DK7" s="3" t="s">
        <v>189</v>
      </c>
      <c r="DL7" s="3" t="s">
        <v>189</v>
      </c>
      <c r="DM7" s="3" t="s">
        <v>189</v>
      </c>
      <c r="DN7" s="3" t="s">
        <v>189</v>
      </c>
      <c r="DO7" s="3" t="s">
        <v>189</v>
      </c>
      <c r="DP7" s="3" t="s">
        <v>189</v>
      </c>
      <c r="DQ7" s="3" t="s">
        <v>189</v>
      </c>
      <c r="DR7" s="3" t="s">
        <v>189</v>
      </c>
      <c r="DS7" s="3" t="s">
        <v>189</v>
      </c>
      <c r="DT7" s="3" t="s">
        <v>189</v>
      </c>
      <c r="DU7" s="3" t="s">
        <v>189</v>
      </c>
      <c r="DV7" s="3" t="s">
        <v>189</v>
      </c>
      <c r="DW7" s="3" t="s">
        <v>189</v>
      </c>
      <c r="DX7" s="3" t="s">
        <v>189</v>
      </c>
      <c r="DY7" s="3" t="s">
        <v>189</v>
      </c>
      <c r="DZ7" s="3" t="s">
        <v>189</v>
      </c>
      <c r="EA7" s="3" t="s">
        <v>189</v>
      </c>
      <c r="EB7" s="3" t="s">
        <v>189</v>
      </c>
      <c r="EC7" s="3" t="s">
        <v>189</v>
      </c>
      <c r="ED7" s="3" t="s">
        <v>189</v>
      </c>
      <c r="EE7" s="3" t="s">
        <v>189</v>
      </c>
      <c r="EF7" s="3" t="s">
        <v>189</v>
      </c>
      <c r="EG7" s="3" t="s">
        <v>189</v>
      </c>
      <c r="EH7" s="3" t="s">
        <v>189</v>
      </c>
      <c r="EI7" s="3" t="s">
        <v>189</v>
      </c>
      <c r="EJ7" s="3" t="s">
        <v>189</v>
      </c>
      <c r="EK7" s="3" t="s">
        <v>189</v>
      </c>
      <c r="EL7" s="3" t="s">
        <v>189</v>
      </c>
      <c r="EM7" s="3" t="s">
        <v>189</v>
      </c>
      <c r="EN7" s="3" t="s">
        <v>189</v>
      </c>
      <c r="EO7" s="3" t="s">
        <v>189</v>
      </c>
      <c r="EP7" s="3" t="s">
        <v>189</v>
      </c>
      <c r="EQ7" s="3" t="s">
        <v>189</v>
      </c>
      <c r="ER7" s="3" t="s">
        <v>189</v>
      </c>
      <c r="ES7" s="3" t="s">
        <v>189</v>
      </c>
      <c r="ET7" s="3" t="s">
        <v>189</v>
      </c>
      <c r="EU7" s="3" t="s">
        <v>189</v>
      </c>
      <c r="EV7" t="s">
        <v>205</v>
      </c>
      <c r="EW7">
        <v>25</v>
      </c>
      <c r="EX7" s="7">
        <v>15.532913083126321</v>
      </c>
      <c r="EY7" s="3">
        <v>0.37531704516902131</v>
      </c>
      <c r="EZ7" s="3">
        <v>0.37531770647492024</v>
      </c>
      <c r="FA7" s="3" t="s">
        <v>232</v>
      </c>
      <c r="FB7" s="3" t="s">
        <v>233</v>
      </c>
      <c r="FC7" s="3" t="s">
        <v>189</v>
      </c>
      <c r="FD7" s="3" t="s">
        <v>189</v>
      </c>
      <c r="FE7" s="3" t="s">
        <v>189</v>
      </c>
      <c r="FF7" s="3" t="s">
        <v>189</v>
      </c>
      <c r="FG7" s="3" t="s">
        <v>189</v>
      </c>
      <c r="FH7">
        <v>367.49218997585376</v>
      </c>
      <c r="FI7">
        <v>83.676366669614538</v>
      </c>
      <c r="FJ7">
        <v>83.676366669614538</v>
      </c>
      <c r="FK7" s="3" t="s">
        <v>203</v>
      </c>
      <c r="FL7" s="10" t="s">
        <v>211</v>
      </c>
      <c r="FM7" s="3" t="s">
        <v>206</v>
      </c>
      <c r="FT7" s="3" t="s">
        <v>188</v>
      </c>
      <c r="FU7" s="3" t="s">
        <v>207</v>
      </c>
      <c r="FV7" s="29" t="s">
        <v>269</v>
      </c>
      <c r="FW7" s="7" t="s">
        <v>189</v>
      </c>
      <c r="FX7" s="4" t="s">
        <v>189</v>
      </c>
      <c r="FY7" s="3" t="s">
        <v>204</v>
      </c>
    </row>
    <row r="8" spans="1:181" x14ac:dyDescent="0.15">
      <c r="A8" s="3" t="s">
        <v>248</v>
      </c>
      <c r="B8" s="3" t="s">
        <v>182</v>
      </c>
      <c r="C8">
        <v>2005</v>
      </c>
      <c r="D8" s="9" t="str">
        <f t="shared" si="0"/>
        <v>10.1126/science.1110063</v>
      </c>
      <c r="E8" s="9">
        <f t="shared" si="1"/>
        <v>30333.564975677553</v>
      </c>
      <c r="F8" s="9" t="str">
        <f t="shared" si="2"/>
        <v>NA</v>
      </c>
      <c r="G8" s="9" t="str">
        <f t="shared" si="3"/>
        <v>NA</v>
      </c>
      <c r="H8" s="9">
        <f t="shared" si="4"/>
        <v>382.30075765758988</v>
      </c>
      <c r="I8" s="9">
        <f t="shared" si="5"/>
        <v>88.710049304810241</v>
      </c>
      <c r="J8" s="9">
        <f t="shared" si="6"/>
        <v>88.710049304810241</v>
      </c>
      <c r="K8" s="2" t="s">
        <v>183</v>
      </c>
      <c r="L8" s="3" t="s">
        <v>184</v>
      </c>
      <c r="M8" s="2" t="s">
        <v>249</v>
      </c>
      <c r="N8" s="2" t="s">
        <v>185</v>
      </c>
      <c r="O8" s="4">
        <v>803</v>
      </c>
      <c r="P8" t="s">
        <v>186</v>
      </c>
      <c r="Q8" s="5">
        <v>51</v>
      </c>
      <c r="R8" s="2" t="s">
        <v>189</v>
      </c>
      <c r="S8" s="2" t="s">
        <v>189</v>
      </c>
      <c r="T8" s="5">
        <v>2</v>
      </c>
      <c r="U8" s="5">
        <v>70</v>
      </c>
      <c r="V8" s="6">
        <v>75</v>
      </c>
      <c r="W8" s="3" t="s">
        <v>189</v>
      </c>
      <c r="X8" s="3" t="s">
        <v>189</v>
      </c>
      <c r="Y8" s="3" t="s">
        <v>189</v>
      </c>
      <c r="Z8" s="7">
        <v>469.42500000000001</v>
      </c>
      <c r="AA8" s="3" t="s">
        <v>189</v>
      </c>
      <c r="AB8">
        <v>30333.564975677553</v>
      </c>
      <c r="AC8" s="3" t="s">
        <v>189</v>
      </c>
      <c r="AD8" s="3" t="s">
        <v>189</v>
      </c>
      <c r="AE8" s="3" t="s">
        <v>189</v>
      </c>
      <c r="AF8" s="3" t="s">
        <v>191</v>
      </c>
      <c r="AG8" s="3" t="s">
        <v>190</v>
      </c>
      <c r="AH8" s="3" t="s">
        <v>189</v>
      </c>
      <c r="AI8" s="3" t="s">
        <v>189</v>
      </c>
      <c r="AJ8" s="3" t="s">
        <v>189</v>
      </c>
      <c r="AK8" s="3" t="s">
        <v>189</v>
      </c>
      <c r="AL8" s="3" t="s">
        <v>189</v>
      </c>
      <c r="AM8" s="3" t="s">
        <v>189</v>
      </c>
      <c r="AN8" s="3" t="s">
        <v>189</v>
      </c>
      <c r="AO8" s="3" t="s">
        <v>189</v>
      </c>
      <c r="AP8" s="3" t="s">
        <v>189</v>
      </c>
      <c r="AQ8" s="3" t="s">
        <v>189</v>
      </c>
      <c r="AR8" s="3" t="s">
        <v>189</v>
      </c>
      <c r="AS8" s="3" t="s">
        <v>189</v>
      </c>
      <c r="AT8" s="3" t="s">
        <v>189</v>
      </c>
      <c r="AU8" s="3" t="s">
        <v>189</v>
      </c>
      <c r="AV8" s="3" t="s">
        <v>189</v>
      </c>
      <c r="AW8" s="3" t="s">
        <v>189</v>
      </c>
      <c r="AX8" s="3" t="s">
        <v>189</v>
      </c>
      <c r="AY8" s="3" t="s">
        <v>189</v>
      </c>
      <c r="AZ8" s="3" t="s">
        <v>189</v>
      </c>
      <c r="BA8" s="3" t="s">
        <v>189</v>
      </c>
      <c r="BB8" s="3" t="s">
        <v>189</v>
      </c>
      <c r="BC8" s="3" t="s">
        <v>189</v>
      </c>
      <c r="BD8" s="3" t="s">
        <v>189</v>
      </c>
      <c r="BE8" s="3" t="s">
        <v>189</v>
      </c>
      <c r="BF8" t="s">
        <v>194</v>
      </c>
      <c r="BG8" t="s">
        <v>195</v>
      </c>
      <c r="BH8">
        <v>0.5</v>
      </c>
      <c r="BI8" s="3" t="s">
        <v>189</v>
      </c>
      <c r="BJ8" s="3" t="s">
        <v>189</v>
      </c>
      <c r="BK8" s="3" t="s">
        <v>189</v>
      </c>
      <c r="BL8" s="3" t="s">
        <v>189</v>
      </c>
      <c r="BM8" s="3" t="s">
        <v>189</v>
      </c>
      <c r="BN8" s="3" t="s">
        <v>189</v>
      </c>
      <c r="BO8" s="3" t="s">
        <v>189</v>
      </c>
      <c r="BP8" s="3" t="s">
        <v>189</v>
      </c>
      <c r="BQ8" s="3" t="s">
        <v>189</v>
      </c>
      <c r="BR8" t="s">
        <v>210</v>
      </c>
      <c r="BS8" s="3" t="s">
        <v>189</v>
      </c>
      <c r="BT8" s="8">
        <v>-29.71</v>
      </c>
      <c r="BU8" t="s">
        <v>176</v>
      </c>
      <c r="BV8" s="3" t="s">
        <v>189</v>
      </c>
      <c r="BW8" s="3" t="s">
        <v>189</v>
      </c>
      <c r="BX8" s="3" t="s">
        <v>189</v>
      </c>
      <c r="BY8">
        <v>4.2</v>
      </c>
      <c r="BZ8" s="3" t="s">
        <v>189</v>
      </c>
      <c r="CA8" s="3" t="s">
        <v>189</v>
      </c>
      <c r="CB8" s="3" t="s">
        <v>189</v>
      </c>
      <c r="CC8" s="3" t="s">
        <v>189</v>
      </c>
      <c r="CD8" s="3" t="s">
        <v>189</v>
      </c>
      <c r="CE8" s="3" t="s">
        <v>189</v>
      </c>
      <c r="CF8" s="3" t="s">
        <v>201</v>
      </c>
      <c r="CG8">
        <v>35</v>
      </c>
      <c r="CH8" s="3" t="s">
        <v>189</v>
      </c>
      <c r="CI8" s="3" t="s">
        <v>189</v>
      </c>
      <c r="CJ8" s="1" t="s">
        <v>177</v>
      </c>
      <c r="CK8">
        <v>0.2</v>
      </c>
      <c r="CL8">
        <v>0.1</v>
      </c>
      <c r="CM8">
        <v>0.1</v>
      </c>
      <c r="CN8" s="3" t="s">
        <v>203</v>
      </c>
      <c r="CO8" t="s">
        <v>202</v>
      </c>
      <c r="CP8" s="3" t="s">
        <v>189</v>
      </c>
      <c r="CQ8" s="3" t="s">
        <v>189</v>
      </c>
      <c r="CR8" s="8">
        <v>19.817244800000001</v>
      </c>
      <c r="CS8" s="3" t="s">
        <v>189</v>
      </c>
      <c r="CT8" s="3" t="s">
        <v>189</v>
      </c>
      <c r="CU8" s="3" t="s">
        <v>189</v>
      </c>
      <c r="CV8" t="s">
        <v>212</v>
      </c>
      <c r="CW8" s="3" t="s">
        <v>189</v>
      </c>
      <c r="CX8" s="3" t="s">
        <v>189</v>
      </c>
      <c r="CY8" s="3" t="s">
        <v>189</v>
      </c>
      <c r="CZ8" s="3" t="s">
        <v>189</v>
      </c>
      <c r="DA8" s="3" t="s">
        <v>189</v>
      </c>
      <c r="DB8" s="3" t="s">
        <v>189</v>
      </c>
      <c r="DC8" s="3" t="s">
        <v>189</v>
      </c>
      <c r="DD8" s="3" t="s">
        <v>189</v>
      </c>
      <c r="DE8" s="3" t="s">
        <v>189</v>
      </c>
      <c r="DF8" s="3" t="s">
        <v>189</v>
      </c>
      <c r="DG8" s="3" t="s">
        <v>189</v>
      </c>
      <c r="DH8" s="3" t="s">
        <v>189</v>
      </c>
      <c r="DI8" s="3" t="s">
        <v>189</v>
      </c>
      <c r="DJ8" s="3" t="s">
        <v>189</v>
      </c>
      <c r="DK8" s="3" t="s">
        <v>189</v>
      </c>
      <c r="DL8" s="3" t="s">
        <v>189</v>
      </c>
      <c r="DM8" s="3" t="s">
        <v>189</v>
      </c>
      <c r="DN8" s="3" t="s">
        <v>189</v>
      </c>
      <c r="DO8" s="3" t="s">
        <v>189</v>
      </c>
      <c r="DP8" s="3" t="s">
        <v>189</v>
      </c>
      <c r="DQ8" s="3" t="s">
        <v>189</v>
      </c>
      <c r="DR8" s="3" t="s">
        <v>189</v>
      </c>
      <c r="DS8" s="3" t="s">
        <v>189</v>
      </c>
      <c r="DT8" s="3" t="s">
        <v>189</v>
      </c>
      <c r="DU8" s="3" t="s">
        <v>189</v>
      </c>
      <c r="DV8" s="3" t="s">
        <v>189</v>
      </c>
      <c r="DW8" s="3" t="s">
        <v>189</v>
      </c>
      <c r="DX8" s="3" t="s">
        <v>189</v>
      </c>
      <c r="DY8" s="3" t="s">
        <v>189</v>
      </c>
      <c r="DZ8" s="3" t="s">
        <v>189</v>
      </c>
      <c r="EA8" s="3" t="s">
        <v>189</v>
      </c>
      <c r="EB8" s="3" t="s">
        <v>189</v>
      </c>
      <c r="EC8" s="3" t="s">
        <v>189</v>
      </c>
      <c r="ED8" s="3" t="s">
        <v>189</v>
      </c>
      <c r="EE8" s="3" t="s">
        <v>189</v>
      </c>
      <c r="EF8" s="3" t="s">
        <v>189</v>
      </c>
      <c r="EG8" s="3" t="s">
        <v>189</v>
      </c>
      <c r="EH8" s="3" t="s">
        <v>189</v>
      </c>
      <c r="EI8" s="3" t="s">
        <v>189</v>
      </c>
      <c r="EJ8" s="3" t="s">
        <v>189</v>
      </c>
      <c r="EK8" s="3" t="s">
        <v>189</v>
      </c>
      <c r="EL8" s="3" t="s">
        <v>189</v>
      </c>
      <c r="EM8" s="3" t="s">
        <v>189</v>
      </c>
      <c r="EN8" s="3" t="s">
        <v>189</v>
      </c>
      <c r="EO8" s="3" t="s">
        <v>189</v>
      </c>
      <c r="EP8" s="3" t="s">
        <v>189</v>
      </c>
      <c r="EQ8" s="3" t="s">
        <v>189</v>
      </c>
      <c r="ER8" s="3" t="s">
        <v>189</v>
      </c>
      <c r="ES8" s="3" t="s">
        <v>189</v>
      </c>
      <c r="ET8" s="3" t="s">
        <v>189</v>
      </c>
      <c r="EU8" s="3" t="s">
        <v>189</v>
      </c>
      <c r="EV8" t="s">
        <v>205</v>
      </c>
      <c r="EW8">
        <v>25</v>
      </c>
      <c r="EX8" s="7">
        <v>16.168248677737029</v>
      </c>
      <c r="EY8" s="3">
        <v>0.37560347793408155</v>
      </c>
      <c r="EZ8" s="3">
        <v>0.3756072617411288</v>
      </c>
      <c r="FA8" s="3" t="s">
        <v>232</v>
      </c>
      <c r="FB8" s="3" t="s">
        <v>233</v>
      </c>
      <c r="FC8" s="3" t="s">
        <v>189</v>
      </c>
      <c r="FD8" s="3" t="s">
        <v>189</v>
      </c>
      <c r="FE8" s="3" t="s">
        <v>189</v>
      </c>
      <c r="FF8" s="3" t="s">
        <v>189</v>
      </c>
      <c r="FG8" s="3" t="s">
        <v>189</v>
      </c>
      <c r="FH8">
        <v>382.30075765758988</v>
      </c>
      <c r="FI8">
        <v>88.710049304810241</v>
      </c>
      <c r="FJ8">
        <v>88.710049304810241</v>
      </c>
      <c r="FK8" s="3" t="s">
        <v>203</v>
      </c>
      <c r="FL8" s="10" t="s">
        <v>211</v>
      </c>
      <c r="FM8" s="3" t="s">
        <v>206</v>
      </c>
      <c r="FT8" s="3" t="s">
        <v>188</v>
      </c>
      <c r="FU8" s="3" t="s">
        <v>207</v>
      </c>
      <c r="FV8" s="29" t="s">
        <v>270</v>
      </c>
      <c r="FW8" s="7" t="s">
        <v>189</v>
      </c>
      <c r="FX8" s="4" t="s">
        <v>189</v>
      </c>
      <c r="FY8" s="3" t="s">
        <v>204</v>
      </c>
    </row>
    <row r="9" spans="1:181" x14ac:dyDescent="0.15">
      <c r="A9" s="3" t="s">
        <v>248</v>
      </c>
      <c r="B9" s="3" t="s">
        <v>182</v>
      </c>
      <c r="C9">
        <v>2005</v>
      </c>
      <c r="D9" s="9" t="str">
        <f t="shared" si="0"/>
        <v>10.1126/science.1110063</v>
      </c>
      <c r="E9" s="9">
        <f t="shared" si="1"/>
        <v>32954.179836965566</v>
      </c>
      <c r="F9" s="9" t="str">
        <f t="shared" si="2"/>
        <v>NA</v>
      </c>
      <c r="G9" s="9" t="str">
        <f t="shared" si="3"/>
        <v>NA</v>
      </c>
      <c r="H9" s="9">
        <f t="shared" si="4"/>
        <v>1224.4671301750332</v>
      </c>
      <c r="I9" s="9">
        <f t="shared" si="5"/>
        <v>342.71364878263239</v>
      </c>
      <c r="J9" s="9">
        <f t="shared" si="6"/>
        <v>342.71364878263239</v>
      </c>
      <c r="K9" s="2" t="s">
        <v>183</v>
      </c>
      <c r="L9" s="3" t="s">
        <v>184</v>
      </c>
      <c r="M9" s="2" t="s">
        <v>249</v>
      </c>
      <c r="N9" s="2" t="s">
        <v>185</v>
      </c>
      <c r="O9" s="4">
        <v>511</v>
      </c>
      <c r="P9" t="s">
        <v>187</v>
      </c>
      <c r="Q9" s="5">
        <v>9</v>
      </c>
      <c r="R9" s="2" t="s">
        <v>189</v>
      </c>
      <c r="S9" s="2" t="s">
        <v>189</v>
      </c>
      <c r="T9" s="5">
        <v>3</v>
      </c>
      <c r="U9" s="5">
        <v>124</v>
      </c>
      <c r="V9" s="6">
        <v>130</v>
      </c>
      <c r="W9" s="3" t="s">
        <v>189</v>
      </c>
      <c r="X9" s="3" t="s">
        <v>189</v>
      </c>
      <c r="Y9" s="3" t="s">
        <v>189</v>
      </c>
      <c r="Z9" s="7">
        <v>75.77</v>
      </c>
      <c r="AA9" s="3" t="s">
        <v>189</v>
      </c>
      <c r="AB9">
        <v>32954.179836965566</v>
      </c>
      <c r="AC9" s="3" t="s">
        <v>189</v>
      </c>
      <c r="AD9" s="3" t="s">
        <v>189</v>
      </c>
      <c r="AE9" s="3" t="s">
        <v>189</v>
      </c>
      <c r="AF9" s="3" t="s">
        <v>191</v>
      </c>
      <c r="AG9" s="3" t="s">
        <v>190</v>
      </c>
      <c r="AH9" s="3" t="s">
        <v>189</v>
      </c>
      <c r="AI9" s="3" t="s">
        <v>189</v>
      </c>
      <c r="AJ9" s="3" t="s">
        <v>189</v>
      </c>
      <c r="AK9" s="3" t="s">
        <v>189</v>
      </c>
      <c r="AL9" s="3" t="s">
        <v>189</v>
      </c>
      <c r="AM9" s="3" t="s">
        <v>189</v>
      </c>
      <c r="AN9" s="3" t="s">
        <v>189</v>
      </c>
      <c r="AO9" s="3" t="s">
        <v>189</v>
      </c>
      <c r="AP9" s="3" t="s">
        <v>189</v>
      </c>
      <c r="AQ9" s="3" t="s">
        <v>189</v>
      </c>
      <c r="AR9" s="3" t="s">
        <v>189</v>
      </c>
      <c r="AS9" s="3" t="s">
        <v>189</v>
      </c>
      <c r="AT9" s="3" t="s">
        <v>189</v>
      </c>
      <c r="AU9" s="3" t="s">
        <v>189</v>
      </c>
      <c r="AV9" s="3" t="s">
        <v>189</v>
      </c>
      <c r="AW9" s="3" t="s">
        <v>189</v>
      </c>
      <c r="AX9" s="3" t="s">
        <v>189</v>
      </c>
      <c r="AY9" s="3" t="s">
        <v>189</v>
      </c>
      <c r="AZ9" s="3" t="s">
        <v>189</v>
      </c>
      <c r="BA9" s="3" t="s">
        <v>189</v>
      </c>
      <c r="BB9" s="3" t="s">
        <v>189</v>
      </c>
      <c r="BC9" s="3" t="s">
        <v>189</v>
      </c>
      <c r="BD9" s="3" t="s">
        <v>189</v>
      </c>
      <c r="BE9" s="3" t="s">
        <v>189</v>
      </c>
      <c r="BF9" t="s">
        <v>196</v>
      </c>
      <c r="BG9" t="s">
        <v>197</v>
      </c>
      <c r="BH9" s="3" t="s">
        <v>189</v>
      </c>
      <c r="BI9" s="3" t="s">
        <v>189</v>
      </c>
      <c r="BJ9" s="3" t="s">
        <v>189</v>
      </c>
      <c r="BK9" s="3" t="s">
        <v>189</v>
      </c>
      <c r="BL9" s="3" t="s">
        <v>189</v>
      </c>
      <c r="BM9" s="3" t="s">
        <v>189</v>
      </c>
      <c r="BN9" s="3" t="s">
        <v>189</v>
      </c>
      <c r="BO9" s="3" t="s">
        <v>189</v>
      </c>
      <c r="BP9" s="3" t="s">
        <v>189</v>
      </c>
      <c r="BQ9" s="3" t="s">
        <v>189</v>
      </c>
      <c r="BR9" t="s">
        <v>210</v>
      </c>
      <c r="BS9" s="3" t="s">
        <v>189</v>
      </c>
      <c r="BT9" s="8">
        <v>-35.016999999999996</v>
      </c>
      <c r="BU9" t="s">
        <v>176</v>
      </c>
      <c r="BV9" s="3" t="s">
        <v>189</v>
      </c>
      <c r="BW9" s="3" t="s">
        <v>189</v>
      </c>
      <c r="BX9" s="3" t="s">
        <v>189</v>
      </c>
      <c r="BY9">
        <v>4.2</v>
      </c>
      <c r="BZ9" s="3" t="s">
        <v>189</v>
      </c>
      <c r="CA9" s="3" t="s">
        <v>189</v>
      </c>
      <c r="CB9" s="3" t="s">
        <v>189</v>
      </c>
      <c r="CC9" s="3" t="s">
        <v>189</v>
      </c>
      <c r="CD9" s="3" t="s">
        <v>189</v>
      </c>
      <c r="CE9" s="3" t="s">
        <v>189</v>
      </c>
      <c r="CF9" s="3" t="s">
        <v>201</v>
      </c>
      <c r="CG9">
        <v>35</v>
      </c>
      <c r="CH9" s="3" t="s">
        <v>189</v>
      </c>
      <c r="CI9" s="3" t="s">
        <v>189</v>
      </c>
      <c r="CJ9" s="1" t="s">
        <v>177</v>
      </c>
      <c r="CK9">
        <v>0.95</v>
      </c>
      <c r="CL9">
        <v>0.15</v>
      </c>
      <c r="CM9">
        <v>0.15</v>
      </c>
      <c r="CN9" s="3" t="s">
        <v>203</v>
      </c>
      <c r="CO9" t="s">
        <v>202</v>
      </c>
      <c r="CP9" s="3" t="s">
        <v>189</v>
      </c>
      <c r="CQ9" s="3" t="s">
        <v>189</v>
      </c>
      <c r="CR9" s="8">
        <v>10.344571200000001</v>
      </c>
      <c r="CS9" s="3" t="s">
        <v>189</v>
      </c>
      <c r="CT9" s="3" t="s">
        <v>189</v>
      </c>
      <c r="CU9" s="3" t="s">
        <v>189</v>
      </c>
      <c r="CV9" t="s">
        <v>212</v>
      </c>
      <c r="CW9" s="3" t="s">
        <v>189</v>
      </c>
      <c r="CX9" s="3" t="s">
        <v>189</v>
      </c>
      <c r="CY9" s="3" t="s">
        <v>189</v>
      </c>
      <c r="CZ9" s="3" t="s">
        <v>189</v>
      </c>
      <c r="DA9" s="3" t="s">
        <v>189</v>
      </c>
      <c r="DB9" s="3" t="s">
        <v>189</v>
      </c>
      <c r="DC9" s="3" t="s">
        <v>189</v>
      </c>
      <c r="DD9" s="3" t="s">
        <v>189</v>
      </c>
      <c r="DE9" s="3" t="s">
        <v>189</v>
      </c>
      <c r="DF9" s="3" t="s">
        <v>189</v>
      </c>
      <c r="DG9" s="3" t="s">
        <v>189</v>
      </c>
      <c r="DH9" s="3" t="s">
        <v>189</v>
      </c>
      <c r="DI9" s="3" t="s">
        <v>189</v>
      </c>
      <c r="DJ9" s="3" t="s">
        <v>189</v>
      </c>
      <c r="DK9" s="3" t="s">
        <v>189</v>
      </c>
      <c r="DL9" s="3" t="s">
        <v>189</v>
      </c>
      <c r="DM9" s="3" t="s">
        <v>189</v>
      </c>
      <c r="DN9" s="3" t="s">
        <v>189</v>
      </c>
      <c r="DO9" s="3" t="s">
        <v>189</v>
      </c>
      <c r="DP9" s="3" t="s">
        <v>189</v>
      </c>
      <c r="DQ9" s="3" t="s">
        <v>189</v>
      </c>
      <c r="DR9" s="3" t="s">
        <v>189</v>
      </c>
      <c r="DS9" s="3" t="s">
        <v>189</v>
      </c>
      <c r="DT9" s="3" t="s">
        <v>189</v>
      </c>
      <c r="DU9" s="3" t="s">
        <v>189</v>
      </c>
      <c r="DV9" s="3" t="s">
        <v>189</v>
      </c>
      <c r="DW9" s="3" t="s">
        <v>189</v>
      </c>
      <c r="DX9" s="3" t="s">
        <v>189</v>
      </c>
      <c r="DY9" s="3" t="s">
        <v>189</v>
      </c>
      <c r="DZ9" s="3" t="s">
        <v>189</v>
      </c>
      <c r="EA9" s="3" t="s">
        <v>189</v>
      </c>
      <c r="EB9" s="3" t="s">
        <v>189</v>
      </c>
      <c r="EC9" s="3" t="s">
        <v>189</v>
      </c>
      <c r="ED9" s="3" t="s">
        <v>189</v>
      </c>
      <c r="EE9" s="3" t="s">
        <v>189</v>
      </c>
      <c r="EF9" s="3" t="s">
        <v>189</v>
      </c>
      <c r="EG9" s="3" t="s">
        <v>189</v>
      </c>
      <c r="EH9" s="3" t="s">
        <v>189</v>
      </c>
      <c r="EI9" s="3" t="s">
        <v>189</v>
      </c>
      <c r="EJ9" s="3" t="s">
        <v>189</v>
      </c>
      <c r="EK9" s="3" t="s">
        <v>189</v>
      </c>
      <c r="EL9" s="3" t="s">
        <v>189</v>
      </c>
      <c r="EM9" s="3" t="s">
        <v>189</v>
      </c>
      <c r="EN9" s="3" t="s">
        <v>189</v>
      </c>
      <c r="EO9" s="3" t="s">
        <v>189</v>
      </c>
      <c r="EP9" s="3" t="s">
        <v>189</v>
      </c>
      <c r="EQ9" s="3" t="s">
        <v>189</v>
      </c>
      <c r="ER9" s="3" t="s">
        <v>189</v>
      </c>
      <c r="ES9" s="3" t="s">
        <v>189</v>
      </c>
      <c r="ET9" s="3" t="s">
        <v>189</v>
      </c>
      <c r="EU9" s="3" t="s">
        <v>189</v>
      </c>
      <c r="EV9" t="s">
        <v>205</v>
      </c>
      <c r="EW9">
        <v>25</v>
      </c>
      <c r="EX9" s="7">
        <v>21.148105477655442</v>
      </c>
      <c r="EY9" s="3">
        <v>0.37792571005068964</v>
      </c>
      <c r="EZ9" s="3">
        <v>0.37795769825632419</v>
      </c>
      <c r="FA9" s="3" t="s">
        <v>232</v>
      </c>
      <c r="FB9" s="3" t="s">
        <v>233</v>
      </c>
      <c r="FC9" s="3" t="s">
        <v>189</v>
      </c>
      <c r="FD9" s="3" t="s">
        <v>189</v>
      </c>
      <c r="FE9" s="3" t="s">
        <v>189</v>
      </c>
      <c r="FF9" s="3" t="s">
        <v>189</v>
      </c>
      <c r="FG9" s="3" t="s">
        <v>189</v>
      </c>
      <c r="FH9">
        <v>1224.4671301750332</v>
      </c>
      <c r="FI9">
        <v>342.71364878263239</v>
      </c>
      <c r="FJ9">
        <v>342.71364878263239</v>
      </c>
      <c r="FK9" s="3" t="s">
        <v>203</v>
      </c>
      <c r="FL9" s="10" t="s">
        <v>211</v>
      </c>
      <c r="FM9" s="3" t="s">
        <v>206</v>
      </c>
      <c r="FT9" s="3" t="s">
        <v>188</v>
      </c>
      <c r="FU9" s="3" t="s">
        <v>207</v>
      </c>
      <c r="FV9" s="29" t="s">
        <v>271</v>
      </c>
      <c r="FW9" s="7" t="s">
        <v>189</v>
      </c>
      <c r="FX9" s="30" t="s">
        <v>305</v>
      </c>
      <c r="FY9" s="3" t="s">
        <v>204</v>
      </c>
    </row>
    <row r="10" spans="1:181" x14ac:dyDescent="0.15">
      <c r="A10" s="3" t="s">
        <v>248</v>
      </c>
      <c r="B10" s="3" t="s">
        <v>182</v>
      </c>
      <c r="C10">
        <v>2005</v>
      </c>
      <c r="D10" s="9" t="str">
        <f t="shared" si="0"/>
        <v>10.1126/science.1110063</v>
      </c>
      <c r="E10" s="9">
        <f t="shared" si="1"/>
        <v>32974.871069705543</v>
      </c>
      <c r="F10" s="9" t="str">
        <f t="shared" si="2"/>
        <v>NA</v>
      </c>
      <c r="G10" s="9" t="str">
        <f t="shared" si="3"/>
        <v>NA</v>
      </c>
      <c r="H10" s="9">
        <f t="shared" si="4"/>
        <v>763.10946698868804</v>
      </c>
      <c r="I10" s="9">
        <f t="shared" si="5"/>
        <v>187.14525414148966</v>
      </c>
      <c r="J10" s="9">
        <f t="shared" si="6"/>
        <v>187.14525414148966</v>
      </c>
      <c r="K10" s="2" t="s">
        <v>183</v>
      </c>
      <c r="L10" s="3" t="s">
        <v>184</v>
      </c>
      <c r="M10" s="2" t="s">
        <v>249</v>
      </c>
      <c r="N10" s="2" t="s">
        <v>185</v>
      </c>
      <c r="O10" s="4">
        <v>511</v>
      </c>
      <c r="P10" t="s">
        <v>187</v>
      </c>
      <c r="Q10" s="5">
        <v>9</v>
      </c>
      <c r="R10" s="2" t="s">
        <v>189</v>
      </c>
      <c r="S10" s="2" t="s">
        <v>189</v>
      </c>
      <c r="T10" s="5">
        <v>5</v>
      </c>
      <c r="U10" s="5">
        <v>23</v>
      </c>
      <c r="V10" s="6">
        <v>28</v>
      </c>
      <c r="W10" s="3" t="s">
        <v>189</v>
      </c>
      <c r="X10" s="3" t="s">
        <v>189</v>
      </c>
      <c r="Y10" s="3" t="s">
        <v>189</v>
      </c>
      <c r="Z10" s="7">
        <v>77.760000000000005</v>
      </c>
      <c r="AA10" s="3" t="s">
        <v>189</v>
      </c>
      <c r="AB10">
        <v>32974.871069705543</v>
      </c>
      <c r="AC10" s="3" t="s">
        <v>189</v>
      </c>
      <c r="AD10" s="3" t="s">
        <v>189</v>
      </c>
      <c r="AE10" s="3" t="s">
        <v>189</v>
      </c>
      <c r="AF10" s="3" t="s">
        <v>191</v>
      </c>
      <c r="AG10" s="3" t="s">
        <v>190</v>
      </c>
      <c r="AH10" s="3" t="s">
        <v>189</v>
      </c>
      <c r="AI10" s="3" t="s">
        <v>189</v>
      </c>
      <c r="AJ10" s="3" t="s">
        <v>189</v>
      </c>
      <c r="AK10" s="3" t="s">
        <v>189</v>
      </c>
      <c r="AL10" s="3" t="s">
        <v>189</v>
      </c>
      <c r="AM10" s="3" t="s">
        <v>189</v>
      </c>
      <c r="AN10" s="3" t="s">
        <v>189</v>
      </c>
      <c r="AO10" s="3" t="s">
        <v>189</v>
      </c>
      <c r="AP10" s="3" t="s">
        <v>189</v>
      </c>
      <c r="AQ10" s="3" t="s">
        <v>189</v>
      </c>
      <c r="AR10" s="3" t="s">
        <v>189</v>
      </c>
      <c r="AS10" s="3" t="s">
        <v>189</v>
      </c>
      <c r="AT10" s="3" t="s">
        <v>189</v>
      </c>
      <c r="AU10" s="3" t="s">
        <v>189</v>
      </c>
      <c r="AV10" s="3" t="s">
        <v>189</v>
      </c>
      <c r="AW10" s="3" t="s">
        <v>189</v>
      </c>
      <c r="AX10" s="3" t="s">
        <v>189</v>
      </c>
      <c r="AY10" s="3" t="s">
        <v>189</v>
      </c>
      <c r="AZ10" s="3" t="s">
        <v>189</v>
      </c>
      <c r="BA10" s="3" t="s">
        <v>189</v>
      </c>
      <c r="BB10" s="3" t="s">
        <v>189</v>
      </c>
      <c r="BC10" s="3" t="s">
        <v>189</v>
      </c>
      <c r="BD10" s="3" t="s">
        <v>189</v>
      </c>
      <c r="BE10" s="3" t="s">
        <v>189</v>
      </c>
      <c r="BF10" t="s">
        <v>196</v>
      </c>
      <c r="BG10" t="s">
        <v>197</v>
      </c>
      <c r="BH10" s="3" t="s">
        <v>189</v>
      </c>
      <c r="BI10" s="3" t="s">
        <v>189</v>
      </c>
      <c r="BJ10" s="3" t="s">
        <v>189</v>
      </c>
      <c r="BK10" s="3" t="s">
        <v>189</v>
      </c>
      <c r="BL10" s="3" t="s">
        <v>189</v>
      </c>
      <c r="BM10" s="3" t="s">
        <v>189</v>
      </c>
      <c r="BN10" s="3" t="s">
        <v>189</v>
      </c>
      <c r="BO10" s="3" t="s">
        <v>189</v>
      </c>
      <c r="BP10" s="3" t="s">
        <v>189</v>
      </c>
      <c r="BQ10" s="3" t="s">
        <v>189</v>
      </c>
      <c r="BR10" t="s">
        <v>210</v>
      </c>
      <c r="BS10" s="3" t="s">
        <v>189</v>
      </c>
      <c r="BT10" s="8">
        <v>-32.927500000000002</v>
      </c>
      <c r="BU10" t="s">
        <v>176</v>
      </c>
      <c r="BV10" s="3" t="s">
        <v>189</v>
      </c>
      <c r="BW10" s="3" t="s">
        <v>189</v>
      </c>
      <c r="BX10" s="3" t="s">
        <v>189</v>
      </c>
      <c r="BY10">
        <v>4.2</v>
      </c>
      <c r="BZ10" s="3" t="s">
        <v>189</v>
      </c>
      <c r="CA10" s="3" t="s">
        <v>189</v>
      </c>
      <c r="CB10" s="3" t="s">
        <v>189</v>
      </c>
      <c r="CC10" s="3" t="s">
        <v>189</v>
      </c>
      <c r="CD10" s="3" t="s">
        <v>189</v>
      </c>
      <c r="CE10" s="3" t="s">
        <v>189</v>
      </c>
      <c r="CF10" s="3" t="s">
        <v>201</v>
      </c>
      <c r="CG10">
        <v>35</v>
      </c>
      <c r="CH10" s="3" t="s">
        <v>189</v>
      </c>
      <c r="CI10" s="3" t="s">
        <v>189</v>
      </c>
      <c r="CJ10" s="1" t="s">
        <v>177</v>
      </c>
      <c r="CK10">
        <v>0.95</v>
      </c>
      <c r="CL10">
        <v>0.15</v>
      </c>
      <c r="CM10">
        <v>0.15</v>
      </c>
      <c r="CN10" s="3" t="s">
        <v>203</v>
      </c>
      <c r="CO10" t="s">
        <v>202</v>
      </c>
      <c r="CP10" s="3" t="s">
        <v>189</v>
      </c>
      <c r="CQ10" s="3" t="s">
        <v>189</v>
      </c>
      <c r="CR10" s="8">
        <v>10.514563200000001</v>
      </c>
      <c r="CS10" s="3" t="s">
        <v>189</v>
      </c>
      <c r="CT10" s="3" t="s">
        <v>189</v>
      </c>
      <c r="CU10" s="3" t="s">
        <v>189</v>
      </c>
      <c r="CV10" t="s">
        <v>212</v>
      </c>
      <c r="CW10" s="3" t="s">
        <v>189</v>
      </c>
      <c r="CX10" s="3" t="s">
        <v>189</v>
      </c>
      <c r="CY10" s="3" t="s">
        <v>189</v>
      </c>
      <c r="CZ10" s="3" t="s">
        <v>189</v>
      </c>
      <c r="DA10" s="3" t="s">
        <v>189</v>
      </c>
      <c r="DB10" s="3" t="s">
        <v>189</v>
      </c>
      <c r="DC10" s="3" t="s">
        <v>189</v>
      </c>
      <c r="DD10" s="3" t="s">
        <v>189</v>
      </c>
      <c r="DE10" s="3" t="s">
        <v>189</v>
      </c>
      <c r="DF10" s="3" t="s">
        <v>189</v>
      </c>
      <c r="DG10" s="3" t="s">
        <v>189</v>
      </c>
      <c r="DH10" s="3" t="s">
        <v>189</v>
      </c>
      <c r="DI10" s="3" t="s">
        <v>189</v>
      </c>
      <c r="DJ10" s="3" t="s">
        <v>189</v>
      </c>
      <c r="DK10" s="3" t="s">
        <v>189</v>
      </c>
      <c r="DL10" s="3" t="s">
        <v>189</v>
      </c>
      <c r="DM10" s="3" t="s">
        <v>189</v>
      </c>
      <c r="DN10" s="3" t="s">
        <v>189</v>
      </c>
      <c r="DO10" s="3" t="s">
        <v>189</v>
      </c>
      <c r="DP10" s="3" t="s">
        <v>189</v>
      </c>
      <c r="DQ10" s="3" t="s">
        <v>189</v>
      </c>
      <c r="DR10" s="3" t="s">
        <v>189</v>
      </c>
      <c r="DS10" s="3" t="s">
        <v>189</v>
      </c>
      <c r="DT10" s="3" t="s">
        <v>189</v>
      </c>
      <c r="DU10" s="3" t="s">
        <v>189</v>
      </c>
      <c r="DV10" s="3" t="s">
        <v>189</v>
      </c>
      <c r="DW10" s="3" t="s">
        <v>189</v>
      </c>
      <c r="DX10" s="3" t="s">
        <v>189</v>
      </c>
      <c r="DY10" s="3" t="s">
        <v>189</v>
      </c>
      <c r="DZ10" s="3" t="s">
        <v>189</v>
      </c>
      <c r="EA10" s="3" t="s">
        <v>189</v>
      </c>
      <c r="EB10" s="3" t="s">
        <v>189</v>
      </c>
      <c r="EC10" s="3" t="s">
        <v>189</v>
      </c>
      <c r="ED10" s="3" t="s">
        <v>189</v>
      </c>
      <c r="EE10" s="3" t="s">
        <v>189</v>
      </c>
      <c r="EF10" s="3" t="s">
        <v>189</v>
      </c>
      <c r="EG10" s="3" t="s">
        <v>189</v>
      </c>
      <c r="EH10" s="3" t="s">
        <v>189</v>
      </c>
      <c r="EI10" s="3" t="s">
        <v>189</v>
      </c>
      <c r="EJ10" s="3" t="s">
        <v>189</v>
      </c>
      <c r="EK10" s="3" t="s">
        <v>189</v>
      </c>
      <c r="EL10" s="3" t="s">
        <v>189</v>
      </c>
      <c r="EM10" s="3" t="s">
        <v>189</v>
      </c>
      <c r="EN10" s="3" t="s">
        <v>189</v>
      </c>
      <c r="EO10" s="3" t="s">
        <v>189</v>
      </c>
      <c r="EP10" s="3" t="s">
        <v>189</v>
      </c>
      <c r="EQ10" s="3" t="s">
        <v>189</v>
      </c>
      <c r="ER10" s="3" t="s">
        <v>189</v>
      </c>
      <c r="ES10" s="3" t="s">
        <v>189</v>
      </c>
      <c r="ET10" s="3" t="s">
        <v>189</v>
      </c>
      <c r="EU10" s="3" t="s">
        <v>189</v>
      </c>
      <c r="EV10" t="s">
        <v>205</v>
      </c>
      <c r="EW10">
        <v>25</v>
      </c>
      <c r="EX10" s="7">
        <v>18.862126512592781</v>
      </c>
      <c r="EY10" s="3">
        <v>0.37706990470764978</v>
      </c>
      <c r="EZ10" s="3">
        <v>0.3771012635258586</v>
      </c>
      <c r="FA10" s="3" t="s">
        <v>232</v>
      </c>
      <c r="FB10" s="3" t="s">
        <v>233</v>
      </c>
      <c r="FC10" s="3" t="s">
        <v>189</v>
      </c>
      <c r="FD10" s="3" t="s">
        <v>189</v>
      </c>
      <c r="FE10" s="3" t="s">
        <v>189</v>
      </c>
      <c r="FF10" s="3" t="s">
        <v>189</v>
      </c>
      <c r="FG10" s="3" t="s">
        <v>189</v>
      </c>
      <c r="FH10">
        <v>763.10946698868804</v>
      </c>
      <c r="FI10">
        <v>187.14525414148966</v>
      </c>
      <c r="FJ10">
        <v>187.14525414148966</v>
      </c>
      <c r="FK10" s="3" t="s">
        <v>203</v>
      </c>
      <c r="FL10" s="10" t="s">
        <v>211</v>
      </c>
      <c r="FM10" s="3" t="s">
        <v>206</v>
      </c>
      <c r="FT10" s="3" t="s">
        <v>188</v>
      </c>
      <c r="FU10" s="3" t="s">
        <v>207</v>
      </c>
      <c r="FV10" s="29" t="s">
        <v>272</v>
      </c>
      <c r="FW10" s="7" t="s">
        <v>189</v>
      </c>
      <c r="FX10" s="30" t="s">
        <v>306</v>
      </c>
      <c r="FY10" s="3" t="s">
        <v>204</v>
      </c>
    </row>
    <row r="11" spans="1:181" x14ac:dyDescent="0.15">
      <c r="A11" s="3" t="s">
        <v>248</v>
      </c>
      <c r="B11" s="3" t="s">
        <v>182</v>
      </c>
      <c r="C11">
        <v>2005</v>
      </c>
      <c r="D11" s="9" t="str">
        <f t="shared" si="0"/>
        <v>10.1126/science.1110063</v>
      </c>
      <c r="E11" s="9">
        <f t="shared" si="1"/>
        <v>37014.037735849059</v>
      </c>
      <c r="F11" s="9" t="str">
        <f t="shared" si="2"/>
        <v>NA</v>
      </c>
      <c r="G11" s="9" t="str">
        <f t="shared" si="3"/>
        <v>NA</v>
      </c>
      <c r="H11" s="9">
        <f t="shared" si="4"/>
        <v>910.80510844957075</v>
      </c>
      <c r="I11" s="9">
        <f t="shared" si="5"/>
        <v>221.88689199041278</v>
      </c>
      <c r="J11" s="9">
        <f t="shared" si="6"/>
        <v>221.88689199041278</v>
      </c>
      <c r="K11" s="2" t="s">
        <v>183</v>
      </c>
      <c r="L11" s="3" t="s">
        <v>184</v>
      </c>
      <c r="M11" s="2" t="s">
        <v>249</v>
      </c>
      <c r="N11" s="2" t="s">
        <v>185</v>
      </c>
      <c r="O11" s="4">
        <v>511</v>
      </c>
      <c r="P11" t="s">
        <v>187</v>
      </c>
      <c r="Q11" s="5">
        <v>20</v>
      </c>
      <c r="R11" s="2" t="s">
        <v>189</v>
      </c>
      <c r="S11" s="2" t="s">
        <v>189</v>
      </c>
      <c r="T11" s="5">
        <v>2</v>
      </c>
      <c r="U11" s="5">
        <v>122</v>
      </c>
      <c r="V11" s="6">
        <v>127</v>
      </c>
      <c r="W11" s="3" t="s">
        <v>189</v>
      </c>
      <c r="X11" s="3" t="s">
        <v>189</v>
      </c>
      <c r="Y11" s="3" t="s">
        <v>189</v>
      </c>
      <c r="Z11" s="7">
        <v>178.745</v>
      </c>
      <c r="AA11" s="3" t="s">
        <v>189</v>
      </c>
      <c r="AB11">
        <v>37014.037735849059</v>
      </c>
      <c r="AC11" s="3" t="s">
        <v>189</v>
      </c>
      <c r="AD11" s="3" t="s">
        <v>189</v>
      </c>
      <c r="AE11" s="3" t="s">
        <v>189</v>
      </c>
      <c r="AF11" s="3" t="s">
        <v>191</v>
      </c>
      <c r="AG11" s="3" t="s">
        <v>190</v>
      </c>
      <c r="AH11" s="3" t="s">
        <v>189</v>
      </c>
      <c r="AI11" s="3" t="s">
        <v>189</v>
      </c>
      <c r="AJ11" s="3" t="s">
        <v>189</v>
      </c>
      <c r="AK11" s="3" t="s">
        <v>189</v>
      </c>
      <c r="AL11" s="3" t="s">
        <v>189</v>
      </c>
      <c r="AM11" s="3" t="s">
        <v>189</v>
      </c>
      <c r="AN11" s="3" t="s">
        <v>189</v>
      </c>
      <c r="AO11" s="3" t="s">
        <v>189</v>
      </c>
      <c r="AP11" s="3" t="s">
        <v>189</v>
      </c>
      <c r="AQ11" s="3" t="s">
        <v>189</v>
      </c>
      <c r="AR11" s="3" t="s">
        <v>189</v>
      </c>
      <c r="AS11" s="3" t="s">
        <v>189</v>
      </c>
      <c r="AT11" s="3" t="s">
        <v>189</v>
      </c>
      <c r="AU11" s="3" t="s">
        <v>189</v>
      </c>
      <c r="AV11" s="3" t="s">
        <v>189</v>
      </c>
      <c r="AW11" s="3" t="s">
        <v>189</v>
      </c>
      <c r="AX11" s="3" t="s">
        <v>189</v>
      </c>
      <c r="AY11" s="3" t="s">
        <v>189</v>
      </c>
      <c r="AZ11" s="3" t="s">
        <v>189</v>
      </c>
      <c r="BA11" s="3" t="s">
        <v>189</v>
      </c>
      <c r="BB11" s="3" t="s">
        <v>189</v>
      </c>
      <c r="BC11" s="3" t="s">
        <v>189</v>
      </c>
      <c r="BD11" s="3" t="s">
        <v>189</v>
      </c>
      <c r="BE11" s="3" t="s">
        <v>189</v>
      </c>
      <c r="BF11" t="s">
        <v>196</v>
      </c>
      <c r="BG11" t="s">
        <v>197</v>
      </c>
      <c r="BH11" s="3" t="s">
        <v>189</v>
      </c>
      <c r="BI11" s="3" t="s">
        <v>189</v>
      </c>
      <c r="BJ11" s="3" t="s">
        <v>189</v>
      </c>
      <c r="BK11" s="3" t="s">
        <v>189</v>
      </c>
      <c r="BL11" s="3" t="s">
        <v>189</v>
      </c>
      <c r="BM11" s="3" t="s">
        <v>189</v>
      </c>
      <c r="BN11" s="3" t="s">
        <v>189</v>
      </c>
      <c r="BO11" s="3" t="s">
        <v>189</v>
      </c>
      <c r="BP11" s="3" t="s">
        <v>189</v>
      </c>
      <c r="BQ11" s="3" t="s">
        <v>189</v>
      </c>
      <c r="BR11" t="s">
        <v>210</v>
      </c>
      <c r="BS11" s="3" t="s">
        <v>189</v>
      </c>
      <c r="BT11" s="8">
        <v>-34.01</v>
      </c>
      <c r="BU11" t="s">
        <v>176</v>
      </c>
      <c r="BV11" s="3" t="s">
        <v>189</v>
      </c>
      <c r="BW11" s="3" t="s">
        <v>189</v>
      </c>
      <c r="BX11" s="3" t="s">
        <v>189</v>
      </c>
      <c r="BY11">
        <v>4.2</v>
      </c>
      <c r="BZ11" s="3" t="s">
        <v>189</v>
      </c>
      <c r="CA11" s="3" t="s">
        <v>189</v>
      </c>
      <c r="CB11" s="3" t="s">
        <v>189</v>
      </c>
      <c r="CC11" s="3" t="s">
        <v>189</v>
      </c>
      <c r="CD11" s="3" t="s">
        <v>189</v>
      </c>
      <c r="CE11" s="3" t="s">
        <v>189</v>
      </c>
      <c r="CF11" s="3" t="s">
        <v>201</v>
      </c>
      <c r="CG11">
        <v>35</v>
      </c>
      <c r="CH11" s="3" t="s">
        <v>189</v>
      </c>
      <c r="CI11" s="3" t="s">
        <v>189</v>
      </c>
      <c r="CJ11" s="1" t="s">
        <v>177</v>
      </c>
      <c r="CK11">
        <v>0.95</v>
      </c>
      <c r="CL11">
        <v>0.15</v>
      </c>
      <c r="CM11">
        <v>0.15</v>
      </c>
      <c r="CN11" s="3" t="s">
        <v>203</v>
      </c>
      <c r="CO11" t="s">
        <v>202</v>
      </c>
      <c r="CP11" s="3" t="s">
        <v>189</v>
      </c>
      <c r="CQ11" s="3" t="s">
        <v>189</v>
      </c>
      <c r="CR11" s="8">
        <v>14.058491200000002</v>
      </c>
      <c r="CS11" s="3" t="s">
        <v>189</v>
      </c>
      <c r="CT11" s="3" t="s">
        <v>189</v>
      </c>
      <c r="CU11" s="3" t="s">
        <v>189</v>
      </c>
      <c r="CV11" t="s">
        <v>212</v>
      </c>
      <c r="CW11" s="3" t="s">
        <v>189</v>
      </c>
      <c r="CX11" s="3" t="s">
        <v>189</v>
      </c>
      <c r="CY11" s="3" t="s">
        <v>189</v>
      </c>
      <c r="CZ11" s="3" t="s">
        <v>189</v>
      </c>
      <c r="DA11" s="3" t="s">
        <v>189</v>
      </c>
      <c r="DB11" s="3" t="s">
        <v>189</v>
      </c>
      <c r="DC11" s="3" t="s">
        <v>189</v>
      </c>
      <c r="DD11" s="3" t="s">
        <v>189</v>
      </c>
      <c r="DE11" s="3" t="s">
        <v>189</v>
      </c>
      <c r="DF11" s="3" t="s">
        <v>189</v>
      </c>
      <c r="DG11" s="3" t="s">
        <v>189</v>
      </c>
      <c r="DH11" s="3" t="s">
        <v>189</v>
      </c>
      <c r="DI11" s="3" t="s">
        <v>189</v>
      </c>
      <c r="DJ11" s="3" t="s">
        <v>189</v>
      </c>
      <c r="DK11" s="3" t="s">
        <v>189</v>
      </c>
      <c r="DL11" s="3" t="s">
        <v>189</v>
      </c>
      <c r="DM11" s="3" t="s">
        <v>189</v>
      </c>
      <c r="DN11" s="3" t="s">
        <v>189</v>
      </c>
      <c r="DO11" s="3" t="s">
        <v>189</v>
      </c>
      <c r="DP11" s="3" t="s">
        <v>189</v>
      </c>
      <c r="DQ11" s="3" t="s">
        <v>189</v>
      </c>
      <c r="DR11" s="3" t="s">
        <v>189</v>
      </c>
      <c r="DS11" s="3" t="s">
        <v>189</v>
      </c>
      <c r="DT11" s="3" t="s">
        <v>189</v>
      </c>
      <c r="DU11" s="3" t="s">
        <v>189</v>
      </c>
      <c r="DV11" s="3" t="s">
        <v>189</v>
      </c>
      <c r="DW11" s="3" t="s">
        <v>189</v>
      </c>
      <c r="DX11" s="3" t="s">
        <v>189</v>
      </c>
      <c r="DY11" s="3" t="s">
        <v>189</v>
      </c>
      <c r="DZ11" s="3" t="s">
        <v>189</v>
      </c>
      <c r="EA11" s="3" t="s">
        <v>189</v>
      </c>
      <c r="EB11" s="3" t="s">
        <v>189</v>
      </c>
      <c r="EC11" s="3" t="s">
        <v>189</v>
      </c>
      <c r="ED11" s="3" t="s">
        <v>189</v>
      </c>
      <c r="EE11" s="3" t="s">
        <v>189</v>
      </c>
      <c r="EF11" s="3" t="s">
        <v>189</v>
      </c>
      <c r="EG11" s="3" t="s">
        <v>189</v>
      </c>
      <c r="EH11" s="3" t="s">
        <v>189</v>
      </c>
      <c r="EI11" s="3" t="s">
        <v>189</v>
      </c>
      <c r="EJ11" s="3" t="s">
        <v>189</v>
      </c>
      <c r="EK11" s="3" t="s">
        <v>189</v>
      </c>
      <c r="EL11" s="3" t="s">
        <v>189</v>
      </c>
      <c r="EM11" s="3" t="s">
        <v>189</v>
      </c>
      <c r="EN11" s="3" t="s">
        <v>189</v>
      </c>
      <c r="EO11" s="3" t="s">
        <v>189</v>
      </c>
      <c r="EP11" s="3" t="s">
        <v>189</v>
      </c>
      <c r="EQ11" s="3" t="s">
        <v>189</v>
      </c>
      <c r="ER11" s="3" t="s">
        <v>189</v>
      </c>
      <c r="ES11" s="3" t="s">
        <v>189</v>
      </c>
      <c r="ET11" s="3" t="s">
        <v>189</v>
      </c>
      <c r="EU11" s="3" t="s">
        <v>189</v>
      </c>
      <c r="EV11" t="s">
        <v>205</v>
      </c>
      <c r="EW11">
        <v>25</v>
      </c>
      <c r="EX11" s="7">
        <v>19.246470431437899</v>
      </c>
      <c r="EY11" s="3">
        <v>0.37702246499704728</v>
      </c>
      <c r="EZ11" s="3">
        <v>0.37704290003359375</v>
      </c>
      <c r="FA11" s="3" t="s">
        <v>232</v>
      </c>
      <c r="FB11" s="3" t="s">
        <v>233</v>
      </c>
      <c r="FC11" s="3" t="s">
        <v>189</v>
      </c>
      <c r="FD11" s="3" t="s">
        <v>189</v>
      </c>
      <c r="FE11" s="3" t="s">
        <v>189</v>
      </c>
      <c r="FF11" s="3" t="s">
        <v>189</v>
      </c>
      <c r="FG11" s="3" t="s">
        <v>189</v>
      </c>
      <c r="FH11">
        <v>910.80510844957075</v>
      </c>
      <c r="FI11">
        <v>221.88689199041278</v>
      </c>
      <c r="FJ11">
        <v>221.88689199041278</v>
      </c>
      <c r="FK11" s="3" t="s">
        <v>203</v>
      </c>
      <c r="FL11" s="10" t="s">
        <v>211</v>
      </c>
      <c r="FM11" s="3" t="s">
        <v>206</v>
      </c>
      <c r="FT11" s="3" t="s">
        <v>188</v>
      </c>
      <c r="FU11" s="3" t="s">
        <v>207</v>
      </c>
      <c r="FV11" s="29" t="s">
        <v>273</v>
      </c>
      <c r="FW11" s="7" t="s">
        <v>189</v>
      </c>
      <c r="FX11" s="30" t="s">
        <v>307</v>
      </c>
      <c r="FY11" s="3" t="s">
        <v>204</v>
      </c>
    </row>
    <row r="12" spans="1:181" x14ac:dyDescent="0.15">
      <c r="A12" s="3" t="s">
        <v>248</v>
      </c>
      <c r="B12" s="3" t="s">
        <v>182</v>
      </c>
      <c r="C12">
        <v>2005</v>
      </c>
      <c r="D12" s="9" t="str">
        <f t="shared" si="0"/>
        <v>10.1126/science.1110063</v>
      </c>
      <c r="E12" s="9">
        <f t="shared" si="1"/>
        <v>32150.778210116732</v>
      </c>
      <c r="F12" s="9" t="str">
        <f t="shared" si="2"/>
        <v>NA</v>
      </c>
      <c r="G12" s="9" t="str">
        <f t="shared" si="3"/>
        <v>NA</v>
      </c>
      <c r="H12" s="9">
        <f t="shared" si="4"/>
        <v>1319.9946097097911</v>
      </c>
      <c r="I12" s="9">
        <f t="shared" si="5"/>
        <v>358.12212321611969</v>
      </c>
      <c r="J12" s="9">
        <f t="shared" si="6"/>
        <v>358.12212321611969</v>
      </c>
      <c r="K12" s="2" t="s">
        <v>183</v>
      </c>
      <c r="L12" s="3" t="s">
        <v>184</v>
      </c>
      <c r="M12" s="2" t="s">
        <v>249</v>
      </c>
      <c r="N12" s="2" t="s">
        <v>185</v>
      </c>
      <c r="O12" s="4">
        <v>513</v>
      </c>
      <c r="P12" t="s">
        <v>178</v>
      </c>
      <c r="Q12" s="5">
        <v>31</v>
      </c>
      <c r="R12" s="2" t="s">
        <v>189</v>
      </c>
      <c r="S12" s="2" t="s">
        <v>189</v>
      </c>
      <c r="T12" s="5">
        <v>1</v>
      </c>
      <c r="U12" s="5">
        <v>9</v>
      </c>
      <c r="V12" s="6">
        <v>14</v>
      </c>
      <c r="W12" s="3" t="s">
        <v>189</v>
      </c>
      <c r="X12" s="3" t="s">
        <v>189</v>
      </c>
      <c r="Y12" s="3" t="s">
        <v>189</v>
      </c>
      <c r="Z12" s="7">
        <v>351.11500000000001</v>
      </c>
      <c r="AA12" s="3" t="s">
        <v>189</v>
      </c>
      <c r="AB12">
        <v>32150.778210116732</v>
      </c>
      <c r="AC12" s="3" t="s">
        <v>189</v>
      </c>
      <c r="AD12" s="3" t="s">
        <v>189</v>
      </c>
      <c r="AE12" s="3" t="s">
        <v>189</v>
      </c>
      <c r="AF12" s="3" t="s">
        <v>191</v>
      </c>
      <c r="AG12" s="3" t="s">
        <v>190</v>
      </c>
      <c r="AH12" s="3" t="s">
        <v>189</v>
      </c>
      <c r="AI12" s="3" t="s">
        <v>189</v>
      </c>
      <c r="AJ12" s="3" t="s">
        <v>189</v>
      </c>
      <c r="AK12" s="3" t="s">
        <v>189</v>
      </c>
      <c r="AL12" s="3" t="s">
        <v>189</v>
      </c>
      <c r="AM12" s="3" t="s">
        <v>189</v>
      </c>
      <c r="AN12" s="3" t="s">
        <v>189</v>
      </c>
      <c r="AO12" s="3" t="s">
        <v>189</v>
      </c>
      <c r="AP12" s="3" t="s">
        <v>189</v>
      </c>
      <c r="AQ12" s="3" t="s">
        <v>189</v>
      </c>
      <c r="AR12" s="3" t="s">
        <v>189</v>
      </c>
      <c r="AS12" s="3" t="s">
        <v>189</v>
      </c>
      <c r="AT12" s="3" t="s">
        <v>189</v>
      </c>
      <c r="AU12" s="3" t="s">
        <v>189</v>
      </c>
      <c r="AV12" s="3" t="s">
        <v>189</v>
      </c>
      <c r="AW12" s="3" t="s">
        <v>189</v>
      </c>
      <c r="AX12" s="3" t="s">
        <v>189</v>
      </c>
      <c r="AY12" s="3" t="s">
        <v>189</v>
      </c>
      <c r="AZ12" s="3" t="s">
        <v>189</v>
      </c>
      <c r="BA12" s="3" t="s">
        <v>189</v>
      </c>
      <c r="BB12" s="3" t="s">
        <v>189</v>
      </c>
      <c r="BC12" s="3" t="s">
        <v>189</v>
      </c>
      <c r="BD12" s="3" t="s">
        <v>189</v>
      </c>
      <c r="BE12" s="3" t="s">
        <v>189</v>
      </c>
      <c r="BF12" t="s">
        <v>198</v>
      </c>
      <c r="BG12" t="s">
        <v>197</v>
      </c>
      <c r="BH12" s="3" t="s">
        <v>189</v>
      </c>
      <c r="BI12" s="3" t="s">
        <v>189</v>
      </c>
      <c r="BJ12" s="3" t="s">
        <v>189</v>
      </c>
      <c r="BK12" s="3" t="s">
        <v>189</v>
      </c>
      <c r="BL12" s="3" t="s">
        <v>189</v>
      </c>
      <c r="BM12" s="3" t="s">
        <v>189</v>
      </c>
      <c r="BN12" s="3" t="s">
        <v>189</v>
      </c>
      <c r="BO12" s="3" t="s">
        <v>189</v>
      </c>
      <c r="BP12" s="3" t="s">
        <v>189</v>
      </c>
      <c r="BQ12" s="3" t="s">
        <v>189</v>
      </c>
      <c r="BR12" t="s">
        <v>210</v>
      </c>
      <c r="BS12" s="3" t="s">
        <v>189</v>
      </c>
      <c r="BT12" s="8">
        <v>-33.49</v>
      </c>
      <c r="BU12" t="s">
        <v>176</v>
      </c>
      <c r="BV12" s="3" t="s">
        <v>189</v>
      </c>
      <c r="BW12" s="3" t="s">
        <v>189</v>
      </c>
      <c r="BX12" s="3" t="s">
        <v>189</v>
      </c>
      <c r="BY12">
        <v>4.2</v>
      </c>
      <c r="BZ12" s="3" t="s">
        <v>189</v>
      </c>
      <c r="CA12" s="3" t="s">
        <v>189</v>
      </c>
      <c r="CB12" s="3" t="s">
        <v>189</v>
      </c>
      <c r="CC12" s="3" t="s">
        <v>189</v>
      </c>
      <c r="CD12" s="3" t="s">
        <v>189</v>
      </c>
      <c r="CE12" s="3" t="s">
        <v>189</v>
      </c>
      <c r="CF12" s="3" t="s">
        <v>201</v>
      </c>
      <c r="CG12">
        <v>35</v>
      </c>
      <c r="CH12" s="3" t="s">
        <v>189</v>
      </c>
      <c r="CI12" s="3" t="s">
        <v>189</v>
      </c>
      <c r="CJ12" s="1" t="s">
        <v>177</v>
      </c>
      <c r="CK12">
        <v>0.95</v>
      </c>
      <c r="CL12">
        <v>0.15</v>
      </c>
      <c r="CM12">
        <v>0.15</v>
      </c>
      <c r="CN12" s="3" t="s">
        <v>203</v>
      </c>
      <c r="CO12" t="s">
        <v>202</v>
      </c>
      <c r="CP12" s="3" t="s">
        <v>189</v>
      </c>
      <c r="CQ12" s="3" t="s">
        <v>189</v>
      </c>
      <c r="CR12" s="8">
        <v>13.902588800000004</v>
      </c>
      <c r="CS12" s="3" t="s">
        <v>189</v>
      </c>
      <c r="CT12" s="3" t="s">
        <v>189</v>
      </c>
      <c r="CU12" s="3" t="s">
        <v>189</v>
      </c>
      <c r="CV12" t="s">
        <v>212</v>
      </c>
      <c r="CW12" s="3" t="s">
        <v>189</v>
      </c>
      <c r="CX12" s="3" t="s">
        <v>189</v>
      </c>
      <c r="CY12" s="3" t="s">
        <v>189</v>
      </c>
      <c r="CZ12" s="3" t="s">
        <v>189</v>
      </c>
      <c r="DA12" s="3" t="s">
        <v>189</v>
      </c>
      <c r="DB12" s="3" t="s">
        <v>189</v>
      </c>
      <c r="DC12" s="3" t="s">
        <v>189</v>
      </c>
      <c r="DD12" s="3" t="s">
        <v>189</v>
      </c>
      <c r="DE12" s="3" t="s">
        <v>189</v>
      </c>
      <c r="DF12" s="3" t="s">
        <v>189</v>
      </c>
      <c r="DG12" s="3" t="s">
        <v>189</v>
      </c>
      <c r="DH12" s="3" t="s">
        <v>189</v>
      </c>
      <c r="DI12" s="3" t="s">
        <v>189</v>
      </c>
      <c r="DJ12" s="3" t="s">
        <v>189</v>
      </c>
      <c r="DK12" s="3" t="s">
        <v>189</v>
      </c>
      <c r="DL12" s="3" t="s">
        <v>189</v>
      </c>
      <c r="DM12" s="3" t="s">
        <v>189</v>
      </c>
      <c r="DN12" s="3" t="s">
        <v>189</v>
      </c>
      <c r="DO12" s="3" t="s">
        <v>189</v>
      </c>
      <c r="DP12" s="3" t="s">
        <v>189</v>
      </c>
      <c r="DQ12" s="3" t="s">
        <v>189</v>
      </c>
      <c r="DR12" s="3" t="s">
        <v>189</v>
      </c>
      <c r="DS12" s="3" t="s">
        <v>189</v>
      </c>
      <c r="DT12" s="3" t="s">
        <v>189</v>
      </c>
      <c r="DU12" s="3" t="s">
        <v>189</v>
      </c>
      <c r="DV12" s="3" t="s">
        <v>189</v>
      </c>
      <c r="DW12" s="3" t="s">
        <v>189</v>
      </c>
      <c r="DX12" s="3" t="s">
        <v>189</v>
      </c>
      <c r="DY12" s="3" t="s">
        <v>189</v>
      </c>
      <c r="DZ12" s="3" t="s">
        <v>189</v>
      </c>
      <c r="EA12" s="3" t="s">
        <v>189</v>
      </c>
      <c r="EB12" s="3" t="s">
        <v>189</v>
      </c>
      <c r="EC12" s="3" t="s">
        <v>189</v>
      </c>
      <c r="ED12" s="3" t="s">
        <v>189</v>
      </c>
      <c r="EE12" s="3" t="s">
        <v>189</v>
      </c>
      <c r="EF12" s="3" t="s">
        <v>189</v>
      </c>
      <c r="EG12" s="3" t="s">
        <v>189</v>
      </c>
      <c r="EH12" s="3" t="s">
        <v>189</v>
      </c>
      <c r="EI12" s="3" t="s">
        <v>189</v>
      </c>
      <c r="EJ12" s="3" t="s">
        <v>189</v>
      </c>
      <c r="EK12" s="3" t="s">
        <v>189</v>
      </c>
      <c r="EL12" s="3" t="s">
        <v>189</v>
      </c>
      <c r="EM12" s="3" t="s">
        <v>189</v>
      </c>
      <c r="EN12" s="3" t="s">
        <v>189</v>
      </c>
      <c r="EO12" s="3" t="s">
        <v>189</v>
      </c>
      <c r="EP12" s="3" t="s">
        <v>189</v>
      </c>
      <c r="EQ12" s="3" t="s">
        <v>189</v>
      </c>
      <c r="ER12" s="3" t="s">
        <v>189</v>
      </c>
      <c r="ES12" s="3" t="s">
        <v>189</v>
      </c>
      <c r="ET12" s="3" t="s">
        <v>189</v>
      </c>
      <c r="EU12" s="3" t="s">
        <v>189</v>
      </c>
      <c r="EV12" t="s">
        <v>205</v>
      </c>
      <c r="EW12">
        <v>25</v>
      </c>
      <c r="EX12" s="7">
        <v>21.012102543518154</v>
      </c>
      <c r="EY12" s="3">
        <v>0.37768482024458194</v>
      </c>
      <c r="EZ12" s="3">
        <v>0.37770582838559008</v>
      </c>
      <c r="FA12" s="3" t="s">
        <v>232</v>
      </c>
      <c r="FB12" s="3" t="s">
        <v>233</v>
      </c>
      <c r="FC12" s="3" t="s">
        <v>189</v>
      </c>
      <c r="FD12" s="3" t="s">
        <v>189</v>
      </c>
      <c r="FE12" s="3" t="s">
        <v>189</v>
      </c>
      <c r="FF12" s="3" t="s">
        <v>189</v>
      </c>
      <c r="FG12" s="3" t="s">
        <v>189</v>
      </c>
      <c r="FH12">
        <v>1319.9946097097911</v>
      </c>
      <c r="FI12">
        <v>358.12212321611969</v>
      </c>
      <c r="FJ12">
        <v>358.12212321611969</v>
      </c>
      <c r="FK12" s="3" t="s">
        <v>203</v>
      </c>
      <c r="FL12" s="10" t="s">
        <v>211</v>
      </c>
      <c r="FM12" s="3" t="s">
        <v>206</v>
      </c>
      <c r="FT12" s="3" t="s">
        <v>188</v>
      </c>
      <c r="FU12" s="3" t="s">
        <v>207</v>
      </c>
      <c r="FV12" s="29" t="s">
        <v>274</v>
      </c>
      <c r="FW12" s="7" t="s">
        <v>189</v>
      </c>
      <c r="FX12" s="30" t="s">
        <v>189</v>
      </c>
      <c r="FY12" s="3" t="s">
        <v>204</v>
      </c>
    </row>
    <row r="13" spans="1:181" x14ac:dyDescent="0.15">
      <c r="A13" s="3" t="s">
        <v>248</v>
      </c>
      <c r="B13" s="3" t="s">
        <v>182</v>
      </c>
      <c r="C13">
        <v>2005</v>
      </c>
      <c r="D13" s="9" t="str">
        <f t="shared" si="0"/>
        <v>10.1126/science.1110063</v>
      </c>
      <c r="E13" s="9">
        <f t="shared" si="1"/>
        <v>32946.498054474709</v>
      </c>
      <c r="F13" s="9" t="str">
        <f t="shared" si="2"/>
        <v>NA</v>
      </c>
      <c r="G13" s="9" t="str">
        <f t="shared" si="3"/>
        <v>NA</v>
      </c>
      <c r="H13" s="9">
        <f t="shared" si="4"/>
        <v>943.75346805615732</v>
      </c>
      <c r="I13" s="9">
        <f t="shared" si="5"/>
        <v>245.7287766094571</v>
      </c>
      <c r="J13" s="9">
        <f t="shared" si="6"/>
        <v>245.7287766094571</v>
      </c>
      <c r="K13" s="2" t="s">
        <v>183</v>
      </c>
      <c r="L13" s="3" t="s">
        <v>184</v>
      </c>
      <c r="M13" s="2" t="s">
        <v>249</v>
      </c>
      <c r="N13" s="2" t="s">
        <v>185</v>
      </c>
      <c r="O13" s="4">
        <v>513</v>
      </c>
      <c r="P13" t="s">
        <v>178</v>
      </c>
      <c r="Q13" s="5">
        <v>33</v>
      </c>
      <c r="R13" s="2" t="s">
        <v>189</v>
      </c>
      <c r="S13" s="2" t="s">
        <v>189</v>
      </c>
      <c r="T13" s="5">
        <v>2</v>
      </c>
      <c r="U13" s="5">
        <v>4</v>
      </c>
      <c r="V13" s="6">
        <v>9</v>
      </c>
      <c r="W13" s="3" t="s">
        <v>189</v>
      </c>
      <c r="X13" s="3" t="s">
        <v>189</v>
      </c>
      <c r="Y13" s="3" t="s">
        <v>189</v>
      </c>
      <c r="Z13" s="7">
        <v>371.565</v>
      </c>
      <c r="AA13" s="3" t="s">
        <v>189</v>
      </c>
      <c r="AB13">
        <v>32946.498054474709</v>
      </c>
      <c r="AC13" s="3" t="s">
        <v>189</v>
      </c>
      <c r="AD13" s="3" t="s">
        <v>189</v>
      </c>
      <c r="AE13" s="3" t="s">
        <v>189</v>
      </c>
      <c r="AF13" s="3" t="s">
        <v>191</v>
      </c>
      <c r="AG13" s="3" t="s">
        <v>190</v>
      </c>
      <c r="AH13" s="3" t="s">
        <v>189</v>
      </c>
      <c r="AI13" s="3" t="s">
        <v>189</v>
      </c>
      <c r="AJ13" s="3" t="s">
        <v>189</v>
      </c>
      <c r="AK13" s="3" t="s">
        <v>189</v>
      </c>
      <c r="AL13" s="3" t="s">
        <v>189</v>
      </c>
      <c r="AM13" s="3" t="s">
        <v>189</v>
      </c>
      <c r="AN13" s="3" t="s">
        <v>189</v>
      </c>
      <c r="AO13" s="3" t="s">
        <v>189</v>
      </c>
      <c r="AP13" s="3" t="s">
        <v>189</v>
      </c>
      <c r="AQ13" s="3" t="s">
        <v>189</v>
      </c>
      <c r="AR13" s="3" t="s">
        <v>189</v>
      </c>
      <c r="AS13" s="3" t="s">
        <v>189</v>
      </c>
      <c r="AT13" s="3" t="s">
        <v>189</v>
      </c>
      <c r="AU13" s="3" t="s">
        <v>189</v>
      </c>
      <c r="AV13" s="3" t="s">
        <v>189</v>
      </c>
      <c r="AW13" s="3" t="s">
        <v>189</v>
      </c>
      <c r="AX13" s="3" t="s">
        <v>189</v>
      </c>
      <c r="AY13" s="3" t="s">
        <v>189</v>
      </c>
      <c r="AZ13" s="3" t="s">
        <v>189</v>
      </c>
      <c r="BA13" s="3" t="s">
        <v>189</v>
      </c>
      <c r="BB13" s="3" t="s">
        <v>189</v>
      </c>
      <c r="BC13" s="3" t="s">
        <v>189</v>
      </c>
      <c r="BD13" s="3" t="s">
        <v>189</v>
      </c>
      <c r="BE13" s="3" t="s">
        <v>189</v>
      </c>
      <c r="BF13" t="s">
        <v>198</v>
      </c>
      <c r="BG13" t="s">
        <v>197</v>
      </c>
      <c r="BH13" s="3" t="s">
        <v>189</v>
      </c>
      <c r="BI13" s="3" t="s">
        <v>189</v>
      </c>
      <c r="BJ13" s="3" t="s">
        <v>189</v>
      </c>
      <c r="BK13" s="3" t="s">
        <v>189</v>
      </c>
      <c r="BL13" s="3" t="s">
        <v>189</v>
      </c>
      <c r="BM13" s="3" t="s">
        <v>189</v>
      </c>
      <c r="BN13" s="3" t="s">
        <v>189</v>
      </c>
      <c r="BO13" s="3" t="s">
        <v>189</v>
      </c>
      <c r="BP13" s="3" t="s">
        <v>189</v>
      </c>
      <c r="BQ13" s="3" t="s">
        <v>189</v>
      </c>
      <c r="BR13" t="s">
        <v>210</v>
      </c>
      <c r="BS13" s="3" t="s">
        <v>189</v>
      </c>
      <c r="BT13" s="8">
        <v>-34.093000000000004</v>
      </c>
      <c r="BU13" t="s">
        <v>176</v>
      </c>
      <c r="BV13" s="3" t="s">
        <v>189</v>
      </c>
      <c r="BW13" s="3" t="s">
        <v>189</v>
      </c>
      <c r="BX13" s="3" t="s">
        <v>189</v>
      </c>
      <c r="BY13">
        <v>4.2</v>
      </c>
      <c r="BZ13" s="3" t="s">
        <v>189</v>
      </c>
      <c r="CA13" s="3" t="s">
        <v>189</v>
      </c>
      <c r="CB13" s="3" t="s">
        <v>189</v>
      </c>
      <c r="CC13" s="3" t="s">
        <v>189</v>
      </c>
      <c r="CD13" s="3" t="s">
        <v>189</v>
      </c>
      <c r="CE13" s="3" t="s">
        <v>189</v>
      </c>
      <c r="CF13" s="3" t="s">
        <v>201</v>
      </c>
      <c r="CG13">
        <v>35</v>
      </c>
      <c r="CH13" s="3" t="s">
        <v>189</v>
      </c>
      <c r="CI13" s="3" t="s">
        <v>189</v>
      </c>
      <c r="CJ13" s="1" t="s">
        <v>177</v>
      </c>
      <c r="CK13">
        <v>0.95</v>
      </c>
      <c r="CL13">
        <v>0.15</v>
      </c>
      <c r="CM13">
        <v>0.15</v>
      </c>
      <c r="CN13" s="3" t="s">
        <v>203</v>
      </c>
      <c r="CO13" t="s">
        <v>202</v>
      </c>
      <c r="CP13" s="3" t="s">
        <v>189</v>
      </c>
      <c r="CQ13" s="3" t="s">
        <v>189</v>
      </c>
      <c r="CR13" s="8">
        <v>10.101595200000002</v>
      </c>
      <c r="CS13" s="3" t="s">
        <v>189</v>
      </c>
      <c r="CT13" s="3" t="s">
        <v>189</v>
      </c>
      <c r="CU13" s="3" t="s">
        <v>189</v>
      </c>
      <c r="CV13" t="s">
        <v>212</v>
      </c>
      <c r="CW13" s="3" t="s">
        <v>189</v>
      </c>
      <c r="CX13" s="3" t="s">
        <v>189</v>
      </c>
      <c r="CY13" s="3" t="s">
        <v>189</v>
      </c>
      <c r="CZ13" s="3" t="s">
        <v>189</v>
      </c>
      <c r="DA13" s="3" t="s">
        <v>189</v>
      </c>
      <c r="DB13" s="3" t="s">
        <v>189</v>
      </c>
      <c r="DC13" s="3" t="s">
        <v>189</v>
      </c>
      <c r="DD13" s="3" t="s">
        <v>189</v>
      </c>
      <c r="DE13" s="3" t="s">
        <v>189</v>
      </c>
      <c r="DF13" s="3" t="s">
        <v>189</v>
      </c>
      <c r="DG13" s="3" t="s">
        <v>189</v>
      </c>
      <c r="DH13" s="3" t="s">
        <v>189</v>
      </c>
      <c r="DI13" s="3" t="s">
        <v>189</v>
      </c>
      <c r="DJ13" s="3" t="s">
        <v>189</v>
      </c>
      <c r="DK13" s="3" t="s">
        <v>189</v>
      </c>
      <c r="DL13" s="3" t="s">
        <v>189</v>
      </c>
      <c r="DM13" s="3" t="s">
        <v>189</v>
      </c>
      <c r="DN13" s="3" t="s">
        <v>189</v>
      </c>
      <c r="DO13" s="3" t="s">
        <v>189</v>
      </c>
      <c r="DP13" s="3" t="s">
        <v>189</v>
      </c>
      <c r="DQ13" s="3" t="s">
        <v>189</v>
      </c>
      <c r="DR13" s="3" t="s">
        <v>189</v>
      </c>
      <c r="DS13" s="3" t="s">
        <v>189</v>
      </c>
      <c r="DT13" s="3" t="s">
        <v>189</v>
      </c>
      <c r="DU13" s="3" t="s">
        <v>189</v>
      </c>
      <c r="DV13" s="3" t="s">
        <v>189</v>
      </c>
      <c r="DW13" s="3" t="s">
        <v>189</v>
      </c>
      <c r="DX13" s="3" t="s">
        <v>189</v>
      </c>
      <c r="DY13" s="3" t="s">
        <v>189</v>
      </c>
      <c r="DZ13" s="3" t="s">
        <v>189</v>
      </c>
      <c r="EA13" s="3" t="s">
        <v>189</v>
      </c>
      <c r="EB13" s="3" t="s">
        <v>189</v>
      </c>
      <c r="EC13" s="3" t="s">
        <v>189</v>
      </c>
      <c r="ED13" s="3" t="s">
        <v>189</v>
      </c>
      <c r="EE13" s="3" t="s">
        <v>189</v>
      </c>
      <c r="EF13" s="3" t="s">
        <v>189</v>
      </c>
      <c r="EG13" s="3" t="s">
        <v>189</v>
      </c>
      <c r="EH13" s="3" t="s">
        <v>189</v>
      </c>
      <c r="EI13" s="3" t="s">
        <v>189</v>
      </c>
      <c r="EJ13" s="3" t="s">
        <v>189</v>
      </c>
      <c r="EK13" s="3" t="s">
        <v>189</v>
      </c>
      <c r="EL13" s="3" t="s">
        <v>189</v>
      </c>
      <c r="EM13" s="3" t="s">
        <v>189</v>
      </c>
      <c r="EN13" s="3" t="s">
        <v>189</v>
      </c>
      <c r="EO13" s="3" t="s">
        <v>189</v>
      </c>
      <c r="EP13" s="3" t="s">
        <v>189</v>
      </c>
      <c r="EQ13" s="3" t="s">
        <v>189</v>
      </c>
      <c r="ER13" s="3" t="s">
        <v>189</v>
      </c>
      <c r="ES13" s="3" t="s">
        <v>189</v>
      </c>
      <c r="ET13" s="3" t="s">
        <v>189</v>
      </c>
      <c r="EU13" s="3" t="s">
        <v>189</v>
      </c>
      <c r="EV13" t="s">
        <v>205</v>
      </c>
      <c r="EW13">
        <v>25</v>
      </c>
      <c r="EX13" s="7">
        <v>20.082948868239249</v>
      </c>
      <c r="EY13" s="3">
        <v>0.37754621691732382</v>
      </c>
      <c r="EZ13" s="3">
        <v>0.37757901145907624</v>
      </c>
      <c r="FA13" s="3" t="s">
        <v>232</v>
      </c>
      <c r="FB13" s="3" t="s">
        <v>233</v>
      </c>
      <c r="FC13" s="3" t="s">
        <v>189</v>
      </c>
      <c r="FD13" s="3" t="s">
        <v>189</v>
      </c>
      <c r="FE13" s="3" t="s">
        <v>189</v>
      </c>
      <c r="FF13" s="3" t="s">
        <v>189</v>
      </c>
      <c r="FG13" s="3" t="s">
        <v>189</v>
      </c>
      <c r="FH13">
        <v>943.75346805615732</v>
      </c>
      <c r="FI13">
        <v>245.7287766094571</v>
      </c>
      <c r="FJ13">
        <v>245.7287766094571</v>
      </c>
      <c r="FK13" s="3" t="s">
        <v>203</v>
      </c>
      <c r="FL13" s="10" t="s">
        <v>211</v>
      </c>
      <c r="FM13" s="3" t="s">
        <v>206</v>
      </c>
      <c r="FT13" s="3" t="s">
        <v>188</v>
      </c>
      <c r="FU13" s="3" t="s">
        <v>207</v>
      </c>
      <c r="FV13" s="29" t="s">
        <v>275</v>
      </c>
      <c r="FW13" s="7" t="s">
        <v>189</v>
      </c>
      <c r="FX13" s="30" t="s">
        <v>189</v>
      </c>
      <c r="FY13" s="3" t="s">
        <v>204</v>
      </c>
    </row>
    <row r="14" spans="1:181" x14ac:dyDescent="0.15">
      <c r="A14" s="3" t="s">
        <v>248</v>
      </c>
      <c r="B14" s="3" t="s">
        <v>182</v>
      </c>
      <c r="C14">
        <v>2005</v>
      </c>
      <c r="D14" s="9" t="str">
        <f t="shared" si="0"/>
        <v>10.1126/science.1110063</v>
      </c>
      <c r="E14" s="9">
        <f t="shared" si="1"/>
        <v>33110.311284046693</v>
      </c>
      <c r="F14" s="9" t="str">
        <f t="shared" si="2"/>
        <v>NA</v>
      </c>
      <c r="G14" s="9" t="str">
        <f t="shared" si="3"/>
        <v>NA</v>
      </c>
      <c r="H14" s="9">
        <f t="shared" si="4"/>
        <v>1406.8139233542552</v>
      </c>
      <c r="I14" s="9">
        <f t="shared" si="5"/>
        <v>387.99434956129562</v>
      </c>
      <c r="J14" s="9">
        <f t="shared" si="6"/>
        <v>387.99434956129562</v>
      </c>
      <c r="K14" s="2" t="s">
        <v>183</v>
      </c>
      <c r="L14" s="3" t="s">
        <v>184</v>
      </c>
      <c r="M14" s="2" t="s">
        <v>249</v>
      </c>
      <c r="N14" s="2" t="s">
        <v>185</v>
      </c>
      <c r="O14" s="4">
        <v>513</v>
      </c>
      <c r="P14" t="s">
        <v>178</v>
      </c>
      <c r="Q14" s="5">
        <v>33</v>
      </c>
      <c r="R14" s="2" t="s">
        <v>189</v>
      </c>
      <c r="S14" s="2" t="s">
        <v>189</v>
      </c>
      <c r="T14" s="5">
        <v>4</v>
      </c>
      <c r="U14" s="5">
        <v>125</v>
      </c>
      <c r="V14" s="6">
        <v>130</v>
      </c>
      <c r="W14" s="3" t="s">
        <v>189</v>
      </c>
      <c r="X14" s="3" t="s">
        <v>189</v>
      </c>
      <c r="Y14" s="3" t="s">
        <v>189</v>
      </c>
      <c r="Z14" s="7">
        <v>375.77499999999998</v>
      </c>
      <c r="AA14" s="3" t="s">
        <v>189</v>
      </c>
      <c r="AB14">
        <v>33110.311284046693</v>
      </c>
      <c r="AC14" s="3" t="s">
        <v>189</v>
      </c>
      <c r="AD14" s="3" t="s">
        <v>189</v>
      </c>
      <c r="AE14" s="3" t="s">
        <v>189</v>
      </c>
      <c r="AF14" s="3" t="s">
        <v>191</v>
      </c>
      <c r="AG14" s="3" t="s">
        <v>190</v>
      </c>
      <c r="AH14" s="3" t="s">
        <v>189</v>
      </c>
      <c r="AI14" s="3" t="s">
        <v>189</v>
      </c>
      <c r="AJ14" s="3" t="s">
        <v>189</v>
      </c>
      <c r="AK14" s="3" t="s">
        <v>189</v>
      </c>
      <c r="AL14" s="3" t="s">
        <v>189</v>
      </c>
      <c r="AM14" s="3" t="s">
        <v>189</v>
      </c>
      <c r="AN14" s="3" t="s">
        <v>189</v>
      </c>
      <c r="AO14" s="3" t="s">
        <v>189</v>
      </c>
      <c r="AP14" s="3" t="s">
        <v>189</v>
      </c>
      <c r="AQ14" s="3" t="s">
        <v>189</v>
      </c>
      <c r="AR14" s="3" t="s">
        <v>189</v>
      </c>
      <c r="AS14" s="3" t="s">
        <v>189</v>
      </c>
      <c r="AT14" s="3" t="s">
        <v>189</v>
      </c>
      <c r="AU14" s="3" t="s">
        <v>189</v>
      </c>
      <c r="AV14" s="3" t="s">
        <v>189</v>
      </c>
      <c r="AW14" s="3" t="s">
        <v>189</v>
      </c>
      <c r="AX14" s="3" t="s">
        <v>189</v>
      </c>
      <c r="AY14" s="3" t="s">
        <v>189</v>
      </c>
      <c r="AZ14" s="3" t="s">
        <v>189</v>
      </c>
      <c r="BA14" s="3" t="s">
        <v>189</v>
      </c>
      <c r="BB14" s="3" t="s">
        <v>189</v>
      </c>
      <c r="BC14" s="3" t="s">
        <v>189</v>
      </c>
      <c r="BD14" s="3" t="s">
        <v>189</v>
      </c>
      <c r="BE14" s="3" t="s">
        <v>189</v>
      </c>
      <c r="BF14" t="s">
        <v>198</v>
      </c>
      <c r="BG14" t="s">
        <v>197</v>
      </c>
      <c r="BH14" s="3" t="s">
        <v>189</v>
      </c>
      <c r="BI14" s="3" t="s">
        <v>189</v>
      </c>
      <c r="BJ14" s="3" t="s">
        <v>189</v>
      </c>
      <c r="BK14" s="3" t="s">
        <v>189</v>
      </c>
      <c r="BL14" s="3" t="s">
        <v>189</v>
      </c>
      <c r="BM14" s="3" t="s">
        <v>189</v>
      </c>
      <c r="BN14" s="3" t="s">
        <v>189</v>
      </c>
      <c r="BO14" s="3" t="s">
        <v>189</v>
      </c>
      <c r="BP14" s="3" t="s">
        <v>189</v>
      </c>
      <c r="BQ14" s="3" t="s">
        <v>189</v>
      </c>
      <c r="BR14" t="s">
        <v>210</v>
      </c>
      <c r="BS14" s="3" t="s">
        <v>189</v>
      </c>
      <c r="BT14" s="8">
        <v>-33.7395</v>
      </c>
      <c r="BU14" t="s">
        <v>176</v>
      </c>
      <c r="BV14" s="3" t="s">
        <v>189</v>
      </c>
      <c r="BW14" s="3" t="s">
        <v>189</v>
      </c>
      <c r="BX14" s="3" t="s">
        <v>189</v>
      </c>
      <c r="BY14">
        <v>4.2</v>
      </c>
      <c r="BZ14" s="3" t="s">
        <v>189</v>
      </c>
      <c r="CA14" s="3" t="s">
        <v>189</v>
      </c>
      <c r="CB14" s="3" t="s">
        <v>189</v>
      </c>
      <c r="CC14" s="3" t="s">
        <v>189</v>
      </c>
      <c r="CD14" s="3" t="s">
        <v>189</v>
      </c>
      <c r="CE14" s="3" t="s">
        <v>189</v>
      </c>
      <c r="CF14" s="3" t="s">
        <v>201</v>
      </c>
      <c r="CG14">
        <v>35</v>
      </c>
      <c r="CH14" s="3" t="s">
        <v>189</v>
      </c>
      <c r="CI14" s="3" t="s">
        <v>189</v>
      </c>
      <c r="CJ14" s="1" t="s">
        <v>177</v>
      </c>
      <c r="CK14">
        <v>0.95</v>
      </c>
      <c r="CL14">
        <v>0.15</v>
      </c>
      <c r="CM14">
        <v>0.15</v>
      </c>
      <c r="CN14" s="3" t="s">
        <v>203</v>
      </c>
      <c r="CO14" t="s">
        <v>202</v>
      </c>
      <c r="CP14" s="3" t="s">
        <v>189</v>
      </c>
      <c r="CQ14" s="3" t="s">
        <v>189</v>
      </c>
      <c r="CR14" s="8">
        <v>14.169320000000001</v>
      </c>
      <c r="CS14" s="3" t="s">
        <v>189</v>
      </c>
      <c r="CT14" s="3" t="s">
        <v>189</v>
      </c>
      <c r="CU14" s="3" t="s">
        <v>189</v>
      </c>
      <c r="CV14" t="s">
        <v>212</v>
      </c>
      <c r="CW14" s="3" t="s">
        <v>189</v>
      </c>
      <c r="CX14" s="3" t="s">
        <v>189</v>
      </c>
      <c r="CY14" s="3" t="s">
        <v>189</v>
      </c>
      <c r="CZ14" s="3" t="s">
        <v>189</v>
      </c>
      <c r="DA14" s="3" t="s">
        <v>189</v>
      </c>
      <c r="DB14" s="3" t="s">
        <v>189</v>
      </c>
      <c r="DC14" s="3" t="s">
        <v>189</v>
      </c>
      <c r="DD14" s="3" t="s">
        <v>189</v>
      </c>
      <c r="DE14" s="3" t="s">
        <v>189</v>
      </c>
      <c r="DF14" s="3" t="s">
        <v>189</v>
      </c>
      <c r="DG14" s="3" t="s">
        <v>189</v>
      </c>
      <c r="DH14" s="3" t="s">
        <v>189</v>
      </c>
      <c r="DI14" s="3" t="s">
        <v>189</v>
      </c>
      <c r="DJ14" s="3" t="s">
        <v>189</v>
      </c>
      <c r="DK14" s="3" t="s">
        <v>189</v>
      </c>
      <c r="DL14" s="3" t="s">
        <v>189</v>
      </c>
      <c r="DM14" s="3" t="s">
        <v>189</v>
      </c>
      <c r="DN14" s="3" t="s">
        <v>189</v>
      </c>
      <c r="DO14" s="3" t="s">
        <v>189</v>
      </c>
      <c r="DP14" s="3" t="s">
        <v>189</v>
      </c>
      <c r="DQ14" s="3" t="s">
        <v>189</v>
      </c>
      <c r="DR14" s="3" t="s">
        <v>189</v>
      </c>
      <c r="DS14" s="3" t="s">
        <v>189</v>
      </c>
      <c r="DT14" s="3" t="s">
        <v>189</v>
      </c>
      <c r="DU14" s="3" t="s">
        <v>189</v>
      </c>
      <c r="DV14" s="3" t="s">
        <v>189</v>
      </c>
      <c r="DW14" s="3" t="s">
        <v>189</v>
      </c>
      <c r="DX14" s="3" t="s">
        <v>189</v>
      </c>
      <c r="DY14" s="3" t="s">
        <v>189</v>
      </c>
      <c r="DZ14" s="3" t="s">
        <v>189</v>
      </c>
      <c r="EA14" s="3" t="s">
        <v>189</v>
      </c>
      <c r="EB14" s="3" t="s">
        <v>189</v>
      </c>
      <c r="EC14" s="3" t="s">
        <v>189</v>
      </c>
      <c r="ED14" s="3" t="s">
        <v>189</v>
      </c>
      <c r="EE14" s="3" t="s">
        <v>189</v>
      </c>
      <c r="EF14" s="3" t="s">
        <v>189</v>
      </c>
      <c r="EG14" s="3" t="s">
        <v>189</v>
      </c>
      <c r="EH14" s="3" t="s">
        <v>189</v>
      </c>
      <c r="EI14" s="3" t="s">
        <v>189</v>
      </c>
      <c r="EJ14" s="3" t="s">
        <v>189</v>
      </c>
      <c r="EK14" s="3" t="s">
        <v>189</v>
      </c>
      <c r="EL14" s="3" t="s">
        <v>189</v>
      </c>
      <c r="EM14" s="3" t="s">
        <v>189</v>
      </c>
      <c r="EN14" s="3" t="s">
        <v>189</v>
      </c>
      <c r="EO14" s="3" t="s">
        <v>189</v>
      </c>
      <c r="EP14" s="3" t="s">
        <v>189</v>
      </c>
      <c r="EQ14" s="3" t="s">
        <v>189</v>
      </c>
      <c r="ER14" s="3" t="s">
        <v>189</v>
      </c>
      <c r="ES14" s="3" t="s">
        <v>189</v>
      </c>
      <c r="ET14" s="3" t="s">
        <v>189</v>
      </c>
      <c r="EU14" s="3" t="s">
        <v>189</v>
      </c>
      <c r="EV14" t="s">
        <v>205</v>
      </c>
      <c r="EW14">
        <v>25</v>
      </c>
      <c r="EX14" s="7">
        <v>21.220361778170769</v>
      </c>
      <c r="EY14" s="3">
        <v>0.37774800156986998</v>
      </c>
      <c r="EZ14" s="3">
        <v>0.37776820766466201</v>
      </c>
      <c r="FA14" s="3" t="s">
        <v>232</v>
      </c>
      <c r="FB14" s="3" t="s">
        <v>233</v>
      </c>
      <c r="FC14" s="3" t="s">
        <v>189</v>
      </c>
      <c r="FD14" s="3" t="s">
        <v>189</v>
      </c>
      <c r="FE14" s="3" t="s">
        <v>189</v>
      </c>
      <c r="FF14" s="3" t="s">
        <v>189</v>
      </c>
      <c r="FG14" s="3" t="s">
        <v>189</v>
      </c>
      <c r="FH14">
        <v>1406.8139233542552</v>
      </c>
      <c r="FI14">
        <v>387.99434956129562</v>
      </c>
      <c r="FJ14">
        <v>387.99434956129562</v>
      </c>
      <c r="FK14" s="3" t="s">
        <v>203</v>
      </c>
      <c r="FL14" s="10" t="s">
        <v>211</v>
      </c>
      <c r="FM14" s="3" t="s">
        <v>206</v>
      </c>
      <c r="FT14" s="3" t="s">
        <v>188</v>
      </c>
      <c r="FU14" s="3" t="s">
        <v>207</v>
      </c>
      <c r="FV14" s="29" t="s">
        <v>276</v>
      </c>
      <c r="FW14" s="7" t="s">
        <v>189</v>
      </c>
      <c r="FX14" s="30" t="s">
        <v>189</v>
      </c>
      <c r="FY14" s="3" t="s">
        <v>204</v>
      </c>
    </row>
    <row r="15" spans="1:181" x14ac:dyDescent="0.15">
      <c r="A15" s="3" t="s">
        <v>248</v>
      </c>
      <c r="B15" s="3" t="s">
        <v>182</v>
      </c>
      <c r="C15">
        <v>2005</v>
      </c>
      <c r="D15" s="9" t="str">
        <f t="shared" si="0"/>
        <v>10.1126/science.1110063</v>
      </c>
      <c r="E15" s="9">
        <f t="shared" si="1"/>
        <v>24737.605932203391</v>
      </c>
      <c r="F15" s="9" t="str">
        <f t="shared" si="2"/>
        <v>NA</v>
      </c>
      <c r="G15" s="9" t="str">
        <f t="shared" si="3"/>
        <v>NA</v>
      </c>
      <c r="H15" s="9">
        <f t="shared" si="4"/>
        <v>536.75921416484562</v>
      </c>
      <c r="I15" s="9">
        <f t="shared" si="5"/>
        <v>123.55408296423229</v>
      </c>
      <c r="J15" s="9">
        <f t="shared" si="6"/>
        <v>123.55408296423229</v>
      </c>
      <c r="K15" s="2" t="s">
        <v>183</v>
      </c>
      <c r="L15" s="3" t="s">
        <v>184</v>
      </c>
      <c r="M15" s="2" t="s">
        <v>249</v>
      </c>
      <c r="N15" s="2" t="s">
        <v>185</v>
      </c>
      <c r="O15" s="4">
        <v>516</v>
      </c>
      <c r="P15" t="s">
        <v>188</v>
      </c>
      <c r="Q15" s="5">
        <v>10</v>
      </c>
      <c r="R15" s="2" t="s">
        <v>189</v>
      </c>
      <c r="S15" s="2" t="s">
        <v>189</v>
      </c>
      <c r="T15" s="5">
        <v>1</v>
      </c>
      <c r="U15" s="5">
        <v>53</v>
      </c>
      <c r="V15" s="6">
        <v>59.5</v>
      </c>
      <c r="W15" s="3" t="s">
        <v>189</v>
      </c>
      <c r="X15" s="3" t="s">
        <v>189</v>
      </c>
      <c r="Y15" s="3" t="s">
        <v>189</v>
      </c>
      <c r="Z15" s="7">
        <v>255.16249999999999</v>
      </c>
      <c r="AA15" s="3" t="s">
        <v>189</v>
      </c>
      <c r="AB15">
        <v>24737.605932203391</v>
      </c>
      <c r="AC15" s="3" t="s">
        <v>189</v>
      </c>
      <c r="AD15" s="3" t="s">
        <v>189</v>
      </c>
      <c r="AE15" s="3" t="s">
        <v>189</v>
      </c>
      <c r="AF15" s="3" t="s">
        <v>191</v>
      </c>
      <c r="AG15" s="3" t="s">
        <v>190</v>
      </c>
      <c r="AH15" s="3" t="s">
        <v>189</v>
      </c>
      <c r="AI15" s="3" t="s">
        <v>189</v>
      </c>
      <c r="AJ15" s="3" t="s">
        <v>189</v>
      </c>
      <c r="AK15" s="3" t="s">
        <v>189</v>
      </c>
      <c r="AL15" s="3" t="s">
        <v>189</v>
      </c>
      <c r="AM15" s="3" t="s">
        <v>189</v>
      </c>
      <c r="AN15" s="3" t="s">
        <v>189</v>
      </c>
      <c r="AO15" s="3" t="s">
        <v>189</v>
      </c>
      <c r="AP15" s="3" t="s">
        <v>189</v>
      </c>
      <c r="AQ15" s="3" t="s">
        <v>189</v>
      </c>
      <c r="AR15" s="3" t="s">
        <v>189</v>
      </c>
      <c r="AS15" s="3" t="s">
        <v>189</v>
      </c>
      <c r="AT15" s="3" t="s">
        <v>189</v>
      </c>
      <c r="AU15" s="3" t="s">
        <v>189</v>
      </c>
      <c r="AV15" s="3" t="s">
        <v>189</v>
      </c>
      <c r="AW15" s="3" t="s">
        <v>189</v>
      </c>
      <c r="AX15" s="3" t="s">
        <v>189</v>
      </c>
      <c r="AY15" s="3" t="s">
        <v>189</v>
      </c>
      <c r="AZ15" s="3" t="s">
        <v>189</v>
      </c>
      <c r="BA15" s="3" t="s">
        <v>189</v>
      </c>
      <c r="BB15" s="3" t="s">
        <v>189</v>
      </c>
      <c r="BC15" s="3" t="s">
        <v>189</v>
      </c>
      <c r="BD15" s="3" t="s">
        <v>189</v>
      </c>
      <c r="BE15" s="3" t="s">
        <v>189</v>
      </c>
      <c r="BF15" t="s">
        <v>194</v>
      </c>
      <c r="BG15" t="s">
        <v>195</v>
      </c>
      <c r="BH15">
        <v>0.5</v>
      </c>
      <c r="BI15" s="3" t="s">
        <v>189</v>
      </c>
      <c r="BJ15" s="3" t="s">
        <v>189</v>
      </c>
      <c r="BK15" s="3" t="s">
        <v>189</v>
      </c>
      <c r="BL15" s="3" t="s">
        <v>189</v>
      </c>
      <c r="BM15" s="3" t="s">
        <v>189</v>
      </c>
      <c r="BN15" s="3" t="s">
        <v>189</v>
      </c>
      <c r="BO15" s="3" t="s">
        <v>189</v>
      </c>
      <c r="BP15" s="3" t="s">
        <v>189</v>
      </c>
      <c r="BQ15" s="3" t="s">
        <v>189</v>
      </c>
      <c r="BR15" t="s">
        <v>210</v>
      </c>
      <c r="BS15" s="3" t="s">
        <v>189</v>
      </c>
      <c r="BT15" s="8">
        <v>-29.607500000000002</v>
      </c>
      <c r="BU15" t="s">
        <v>176</v>
      </c>
      <c r="BV15" s="3" t="s">
        <v>189</v>
      </c>
      <c r="BW15" s="3" t="s">
        <v>189</v>
      </c>
      <c r="BX15" s="3" t="s">
        <v>189</v>
      </c>
      <c r="BY15">
        <v>4.2</v>
      </c>
      <c r="BZ15" s="3" t="s">
        <v>189</v>
      </c>
      <c r="CA15" s="3" t="s">
        <v>189</v>
      </c>
      <c r="CB15" s="3" t="s">
        <v>189</v>
      </c>
      <c r="CC15" s="3" t="s">
        <v>189</v>
      </c>
      <c r="CD15" s="3" t="s">
        <v>189</v>
      </c>
      <c r="CE15" s="3" t="s">
        <v>189</v>
      </c>
      <c r="CF15" s="3" t="s">
        <v>201</v>
      </c>
      <c r="CG15">
        <v>35</v>
      </c>
      <c r="CH15" s="3" t="s">
        <v>189</v>
      </c>
      <c r="CI15" s="3" t="s">
        <v>189</v>
      </c>
      <c r="CJ15" s="1" t="s">
        <v>177</v>
      </c>
      <c r="CK15">
        <v>0.3</v>
      </c>
      <c r="CL15">
        <v>0.1</v>
      </c>
      <c r="CM15">
        <v>0.1</v>
      </c>
      <c r="CN15" s="3" t="s">
        <v>203</v>
      </c>
      <c r="CO15" t="s">
        <v>202</v>
      </c>
      <c r="CP15" s="3" t="s">
        <v>189</v>
      </c>
      <c r="CQ15" s="3" t="s">
        <v>189</v>
      </c>
      <c r="CR15" s="8">
        <v>20.575381890909092</v>
      </c>
      <c r="CS15" s="3" t="s">
        <v>189</v>
      </c>
      <c r="CT15" s="3" t="s">
        <v>189</v>
      </c>
      <c r="CU15" s="3" t="s">
        <v>189</v>
      </c>
      <c r="CV15" t="s">
        <v>212</v>
      </c>
      <c r="CW15" s="3" t="s">
        <v>189</v>
      </c>
      <c r="CX15" s="3" t="s">
        <v>189</v>
      </c>
      <c r="CY15" s="3" t="s">
        <v>189</v>
      </c>
      <c r="CZ15" s="3" t="s">
        <v>189</v>
      </c>
      <c r="DA15" s="3" t="s">
        <v>189</v>
      </c>
      <c r="DB15" s="3" t="s">
        <v>189</v>
      </c>
      <c r="DC15" s="3" t="s">
        <v>189</v>
      </c>
      <c r="DD15" s="3" t="s">
        <v>189</v>
      </c>
      <c r="DE15" s="3" t="s">
        <v>189</v>
      </c>
      <c r="DF15" s="3" t="s">
        <v>189</v>
      </c>
      <c r="DG15" s="3" t="s">
        <v>189</v>
      </c>
      <c r="DH15" s="3" t="s">
        <v>189</v>
      </c>
      <c r="DI15" s="3" t="s">
        <v>189</v>
      </c>
      <c r="DJ15" s="3" t="s">
        <v>189</v>
      </c>
      <c r="DK15" s="3" t="s">
        <v>189</v>
      </c>
      <c r="DL15" s="3" t="s">
        <v>189</v>
      </c>
      <c r="DM15" s="3" t="s">
        <v>189</v>
      </c>
      <c r="DN15" s="3" t="s">
        <v>189</v>
      </c>
      <c r="DO15" s="3" t="s">
        <v>189</v>
      </c>
      <c r="DP15" s="3" t="s">
        <v>189</v>
      </c>
      <c r="DQ15" s="3" t="s">
        <v>189</v>
      </c>
      <c r="DR15" s="3" t="s">
        <v>189</v>
      </c>
      <c r="DS15" s="3" t="s">
        <v>189</v>
      </c>
      <c r="DT15" s="3" t="s">
        <v>189</v>
      </c>
      <c r="DU15" s="3" t="s">
        <v>189</v>
      </c>
      <c r="DV15" s="3" t="s">
        <v>189</v>
      </c>
      <c r="DW15" s="3" t="s">
        <v>189</v>
      </c>
      <c r="DX15" s="3" t="s">
        <v>189</v>
      </c>
      <c r="DY15" s="3" t="s">
        <v>189</v>
      </c>
      <c r="DZ15" s="3" t="s">
        <v>189</v>
      </c>
      <c r="EA15" s="3" t="s">
        <v>189</v>
      </c>
      <c r="EB15" s="3" t="s">
        <v>189</v>
      </c>
      <c r="EC15" s="3" t="s">
        <v>189</v>
      </c>
      <c r="ED15" s="3" t="s">
        <v>189</v>
      </c>
      <c r="EE15" s="3" t="s">
        <v>189</v>
      </c>
      <c r="EF15" s="3" t="s">
        <v>189</v>
      </c>
      <c r="EG15" s="3" t="s">
        <v>189</v>
      </c>
      <c r="EH15" s="3" t="s">
        <v>189</v>
      </c>
      <c r="EI15" s="3" t="s">
        <v>189</v>
      </c>
      <c r="EJ15" s="3" t="s">
        <v>189</v>
      </c>
      <c r="EK15" s="3" t="s">
        <v>189</v>
      </c>
      <c r="EL15" s="3" t="s">
        <v>189</v>
      </c>
      <c r="EM15" s="3" t="s">
        <v>189</v>
      </c>
      <c r="EN15" s="3" t="s">
        <v>189</v>
      </c>
      <c r="EO15" s="3" t="s">
        <v>189</v>
      </c>
      <c r="EP15" s="3" t="s">
        <v>189</v>
      </c>
      <c r="EQ15" s="3" t="s">
        <v>189</v>
      </c>
      <c r="ER15" s="3" t="s">
        <v>189</v>
      </c>
      <c r="ES15" s="3" t="s">
        <v>189</v>
      </c>
      <c r="ET15" s="3" t="s">
        <v>189</v>
      </c>
      <c r="EU15" s="3" t="s">
        <v>189</v>
      </c>
      <c r="EV15" t="s">
        <v>205</v>
      </c>
      <c r="EW15">
        <v>25</v>
      </c>
      <c r="EX15" s="7">
        <v>17.861753724154774</v>
      </c>
      <c r="EY15" s="3">
        <v>0.3761946551394928</v>
      </c>
      <c r="EZ15" s="3">
        <v>0.37619634407093372</v>
      </c>
      <c r="FA15" s="3" t="s">
        <v>232</v>
      </c>
      <c r="FB15" s="3" t="s">
        <v>233</v>
      </c>
      <c r="FC15" s="3" t="s">
        <v>189</v>
      </c>
      <c r="FD15" s="3" t="s">
        <v>189</v>
      </c>
      <c r="FE15" s="3" t="s">
        <v>189</v>
      </c>
      <c r="FF15" s="3" t="s">
        <v>189</v>
      </c>
      <c r="FG15" s="3" t="s">
        <v>189</v>
      </c>
      <c r="FH15">
        <v>536.75921416484562</v>
      </c>
      <c r="FI15">
        <v>123.55408296423229</v>
      </c>
      <c r="FJ15">
        <v>123.55408296423229</v>
      </c>
      <c r="FK15" s="3" t="s">
        <v>203</v>
      </c>
      <c r="FL15" s="10" t="s">
        <v>211</v>
      </c>
      <c r="FM15" s="3" t="s">
        <v>206</v>
      </c>
      <c r="FT15" s="3" t="s">
        <v>188</v>
      </c>
      <c r="FU15" s="3" t="s">
        <v>207</v>
      </c>
      <c r="FV15" s="29" t="s">
        <v>277</v>
      </c>
      <c r="FW15" s="7" t="s">
        <v>189</v>
      </c>
      <c r="FX15" s="30" t="s">
        <v>308</v>
      </c>
      <c r="FY15" s="3" t="s">
        <v>204</v>
      </c>
    </row>
    <row r="16" spans="1:181" x14ac:dyDescent="0.15">
      <c r="A16" s="3" t="s">
        <v>248</v>
      </c>
      <c r="B16" s="3" t="s">
        <v>182</v>
      </c>
      <c r="C16">
        <v>2005</v>
      </c>
      <c r="D16" s="9" t="str">
        <f t="shared" si="0"/>
        <v>10.1126/science.1110063</v>
      </c>
      <c r="E16" s="9">
        <f t="shared" si="1"/>
        <v>24745.31476997579</v>
      </c>
      <c r="F16" s="9" t="str">
        <f t="shared" si="2"/>
        <v>NA</v>
      </c>
      <c r="G16" s="9" t="str">
        <f t="shared" si="3"/>
        <v>NA</v>
      </c>
      <c r="H16" s="9">
        <f t="shared" si="4"/>
        <v>859.52212124486073</v>
      </c>
      <c r="I16" s="9">
        <f t="shared" si="5"/>
        <v>225.1019911955957</v>
      </c>
      <c r="J16" s="9">
        <f t="shared" si="6"/>
        <v>225.1019911955957</v>
      </c>
      <c r="K16" s="2" t="s">
        <v>183</v>
      </c>
      <c r="L16" s="3" t="s">
        <v>184</v>
      </c>
      <c r="M16" s="2" t="s">
        <v>249</v>
      </c>
      <c r="N16" s="2" t="s">
        <v>185</v>
      </c>
      <c r="O16" s="4">
        <v>516</v>
      </c>
      <c r="P16" t="s">
        <v>188</v>
      </c>
      <c r="Q16" s="5">
        <v>10</v>
      </c>
      <c r="R16" s="2" t="s">
        <v>189</v>
      </c>
      <c r="S16" s="2" t="s">
        <v>189</v>
      </c>
      <c r="T16" s="5">
        <v>1</v>
      </c>
      <c r="U16" s="5">
        <v>124</v>
      </c>
      <c r="V16" s="6">
        <v>130</v>
      </c>
      <c r="W16" s="3" t="s">
        <v>189</v>
      </c>
      <c r="X16" s="3" t="s">
        <v>189</v>
      </c>
      <c r="Y16" s="3" t="s">
        <v>189</v>
      </c>
      <c r="Z16" s="7">
        <v>255.87</v>
      </c>
      <c r="AA16" s="3" t="s">
        <v>189</v>
      </c>
      <c r="AB16">
        <v>24745.31476997579</v>
      </c>
      <c r="AC16" s="3" t="s">
        <v>189</v>
      </c>
      <c r="AD16" s="3" t="s">
        <v>189</v>
      </c>
      <c r="AE16" s="3" t="s">
        <v>189</v>
      </c>
      <c r="AF16" s="3" t="s">
        <v>191</v>
      </c>
      <c r="AG16" s="3" t="s">
        <v>190</v>
      </c>
      <c r="AH16" s="3" t="s">
        <v>189</v>
      </c>
      <c r="AI16" s="3" t="s">
        <v>189</v>
      </c>
      <c r="AJ16" s="3" t="s">
        <v>189</v>
      </c>
      <c r="AK16" s="3" t="s">
        <v>189</v>
      </c>
      <c r="AL16" s="3" t="s">
        <v>189</v>
      </c>
      <c r="AM16" s="3" t="s">
        <v>189</v>
      </c>
      <c r="AN16" s="3" t="s">
        <v>189</v>
      </c>
      <c r="AO16" s="3" t="s">
        <v>189</v>
      </c>
      <c r="AP16" s="3" t="s">
        <v>189</v>
      </c>
      <c r="AQ16" s="3" t="s">
        <v>189</v>
      </c>
      <c r="AR16" s="3" t="s">
        <v>189</v>
      </c>
      <c r="AS16" s="3" t="s">
        <v>189</v>
      </c>
      <c r="AT16" s="3" t="s">
        <v>189</v>
      </c>
      <c r="AU16" s="3" t="s">
        <v>189</v>
      </c>
      <c r="AV16" s="3" t="s">
        <v>189</v>
      </c>
      <c r="AW16" s="3" t="s">
        <v>189</v>
      </c>
      <c r="AX16" s="3" t="s">
        <v>189</v>
      </c>
      <c r="AY16" s="3" t="s">
        <v>189</v>
      </c>
      <c r="AZ16" s="3" t="s">
        <v>189</v>
      </c>
      <c r="BA16" s="3" t="s">
        <v>189</v>
      </c>
      <c r="BB16" s="3" t="s">
        <v>189</v>
      </c>
      <c r="BC16" s="3" t="s">
        <v>189</v>
      </c>
      <c r="BD16" s="3" t="s">
        <v>189</v>
      </c>
      <c r="BE16" s="3" t="s">
        <v>189</v>
      </c>
      <c r="BF16" t="s">
        <v>194</v>
      </c>
      <c r="BG16" t="s">
        <v>195</v>
      </c>
      <c r="BH16">
        <v>0.5</v>
      </c>
      <c r="BI16" s="3" t="s">
        <v>189</v>
      </c>
      <c r="BJ16" s="3" t="s">
        <v>189</v>
      </c>
      <c r="BK16" s="3" t="s">
        <v>189</v>
      </c>
      <c r="BL16" s="3" t="s">
        <v>189</v>
      </c>
      <c r="BM16" s="3" t="s">
        <v>189</v>
      </c>
      <c r="BN16" s="3" t="s">
        <v>189</v>
      </c>
      <c r="BO16" s="3" t="s">
        <v>189</v>
      </c>
      <c r="BP16" s="3" t="s">
        <v>189</v>
      </c>
      <c r="BQ16" s="3" t="s">
        <v>189</v>
      </c>
      <c r="BR16" t="s">
        <v>210</v>
      </c>
      <c r="BS16" s="3" t="s">
        <v>189</v>
      </c>
      <c r="BT16" s="8">
        <v>-32.24</v>
      </c>
      <c r="BU16" t="s">
        <v>176</v>
      </c>
      <c r="BV16" s="3" t="s">
        <v>189</v>
      </c>
      <c r="BW16" s="3" t="s">
        <v>189</v>
      </c>
      <c r="BX16" s="3" t="s">
        <v>189</v>
      </c>
      <c r="BY16">
        <v>4.2</v>
      </c>
      <c r="BZ16" s="3" t="s">
        <v>189</v>
      </c>
      <c r="CA16" s="3" t="s">
        <v>189</v>
      </c>
      <c r="CB16" s="3" t="s">
        <v>189</v>
      </c>
      <c r="CC16" s="3" t="s">
        <v>189</v>
      </c>
      <c r="CD16" s="3" t="s">
        <v>189</v>
      </c>
      <c r="CE16" s="3" t="s">
        <v>189</v>
      </c>
      <c r="CF16" s="3" t="s">
        <v>201</v>
      </c>
      <c r="CG16">
        <v>35</v>
      </c>
      <c r="CH16" s="3" t="s">
        <v>189</v>
      </c>
      <c r="CI16" s="3" t="s">
        <v>189</v>
      </c>
      <c r="CJ16" s="1" t="s">
        <v>177</v>
      </c>
      <c r="CK16">
        <v>0.3</v>
      </c>
      <c r="CL16">
        <v>0.1</v>
      </c>
      <c r="CM16">
        <v>0.1</v>
      </c>
      <c r="CN16" s="3" t="s">
        <v>203</v>
      </c>
      <c r="CO16" t="s">
        <v>202</v>
      </c>
      <c r="CP16" s="3" t="s">
        <v>189</v>
      </c>
      <c r="CQ16" s="3" t="s">
        <v>189</v>
      </c>
      <c r="CR16" s="8">
        <v>19.907839890909091</v>
      </c>
      <c r="CS16" s="3" t="s">
        <v>189</v>
      </c>
      <c r="CT16" s="3" t="s">
        <v>189</v>
      </c>
      <c r="CU16" s="3" t="s">
        <v>189</v>
      </c>
      <c r="CV16" t="s">
        <v>212</v>
      </c>
      <c r="CW16" s="3" t="s">
        <v>189</v>
      </c>
      <c r="CX16" s="3" t="s">
        <v>189</v>
      </c>
      <c r="CY16" s="3" t="s">
        <v>189</v>
      </c>
      <c r="CZ16" s="3" t="s">
        <v>189</v>
      </c>
      <c r="DA16" s="3" t="s">
        <v>189</v>
      </c>
      <c r="DB16" s="3" t="s">
        <v>189</v>
      </c>
      <c r="DC16" s="3" t="s">
        <v>189</v>
      </c>
      <c r="DD16" s="3" t="s">
        <v>189</v>
      </c>
      <c r="DE16" s="3" t="s">
        <v>189</v>
      </c>
      <c r="DF16" s="3" t="s">
        <v>189</v>
      </c>
      <c r="DG16" s="3" t="s">
        <v>189</v>
      </c>
      <c r="DH16" s="3" t="s">
        <v>189</v>
      </c>
      <c r="DI16" s="3" t="s">
        <v>189</v>
      </c>
      <c r="DJ16" s="3" t="s">
        <v>189</v>
      </c>
      <c r="DK16" s="3" t="s">
        <v>189</v>
      </c>
      <c r="DL16" s="3" t="s">
        <v>189</v>
      </c>
      <c r="DM16" s="3" t="s">
        <v>189</v>
      </c>
      <c r="DN16" s="3" t="s">
        <v>189</v>
      </c>
      <c r="DO16" s="3" t="s">
        <v>189</v>
      </c>
      <c r="DP16" s="3" t="s">
        <v>189</v>
      </c>
      <c r="DQ16" s="3" t="s">
        <v>189</v>
      </c>
      <c r="DR16" s="3" t="s">
        <v>189</v>
      </c>
      <c r="DS16" s="3" t="s">
        <v>189</v>
      </c>
      <c r="DT16" s="3" t="s">
        <v>189</v>
      </c>
      <c r="DU16" s="3" t="s">
        <v>189</v>
      </c>
      <c r="DV16" s="3" t="s">
        <v>189</v>
      </c>
      <c r="DW16" s="3" t="s">
        <v>189</v>
      </c>
      <c r="DX16" s="3" t="s">
        <v>189</v>
      </c>
      <c r="DY16" s="3" t="s">
        <v>189</v>
      </c>
      <c r="DZ16" s="3" t="s">
        <v>189</v>
      </c>
      <c r="EA16" s="3" t="s">
        <v>189</v>
      </c>
      <c r="EB16" s="3" t="s">
        <v>189</v>
      </c>
      <c r="EC16" s="3" t="s">
        <v>189</v>
      </c>
      <c r="ED16" s="3" t="s">
        <v>189</v>
      </c>
      <c r="EE16" s="3" t="s">
        <v>189</v>
      </c>
      <c r="EF16" s="3" t="s">
        <v>189</v>
      </c>
      <c r="EG16" s="3" t="s">
        <v>189</v>
      </c>
      <c r="EH16" s="3" t="s">
        <v>189</v>
      </c>
      <c r="EI16" s="3" t="s">
        <v>189</v>
      </c>
      <c r="EJ16" s="3" t="s">
        <v>189</v>
      </c>
      <c r="EK16" s="3" t="s">
        <v>189</v>
      </c>
      <c r="EL16" s="3" t="s">
        <v>189</v>
      </c>
      <c r="EM16" s="3" t="s">
        <v>189</v>
      </c>
      <c r="EN16" s="3" t="s">
        <v>189</v>
      </c>
      <c r="EO16" s="3" t="s">
        <v>189</v>
      </c>
      <c r="EP16" s="3" t="s">
        <v>189</v>
      </c>
      <c r="EQ16" s="3" t="s">
        <v>189</v>
      </c>
      <c r="ER16" s="3" t="s">
        <v>189</v>
      </c>
      <c r="ES16" s="3" t="s">
        <v>189</v>
      </c>
      <c r="ET16" s="3" t="s">
        <v>189</v>
      </c>
      <c r="EU16" s="3" t="s">
        <v>189</v>
      </c>
      <c r="EV16" t="s">
        <v>205</v>
      </c>
      <c r="EW16">
        <v>25</v>
      </c>
      <c r="EX16" s="7">
        <v>20.577147656253516</v>
      </c>
      <c r="EY16" s="3">
        <v>0.37722893111058298</v>
      </c>
      <c r="EZ16" s="3">
        <v>0.37723247845122998</v>
      </c>
      <c r="FA16" s="3" t="s">
        <v>232</v>
      </c>
      <c r="FB16" s="3" t="s">
        <v>233</v>
      </c>
      <c r="FC16" s="3" t="s">
        <v>189</v>
      </c>
      <c r="FD16" s="3" t="s">
        <v>189</v>
      </c>
      <c r="FE16" s="3" t="s">
        <v>189</v>
      </c>
      <c r="FF16" s="3" t="s">
        <v>189</v>
      </c>
      <c r="FG16" s="3" t="s">
        <v>189</v>
      </c>
      <c r="FH16">
        <v>859.52212124486073</v>
      </c>
      <c r="FI16">
        <v>225.1019911955957</v>
      </c>
      <c r="FJ16">
        <v>225.1019911955957</v>
      </c>
      <c r="FK16" s="3" t="s">
        <v>203</v>
      </c>
      <c r="FL16" s="10" t="s">
        <v>211</v>
      </c>
      <c r="FM16" s="3" t="s">
        <v>206</v>
      </c>
      <c r="FT16" s="3" t="s">
        <v>188</v>
      </c>
      <c r="FU16" s="3" t="s">
        <v>207</v>
      </c>
      <c r="FV16" s="29" t="s">
        <v>278</v>
      </c>
      <c r="FW16" s="7" t="s">
        <v>189</v>
      </c>
      <c r="FX16" s="30" t="s">
        <v>309</v>
      </c>
      <c r="FY16" s="3" t="s">
        <v>204</v>
      </c>
    </row>
    <row r="17" spans="1:181" x14ac:dyDescent="0.15">
      <c r="A17" s="3" t="s">
        <v>248</v>
      </c>
      <c r="B17" s="3" t="s">
        <v>182</v>
      </c>
      <c r="C17">
        <v>2005</v>
      </c>
      <c r="D17" s="9" t="str">
        <f t="shared" si="0"/>
        <v>10.1126/science.1110063</v>
      </c>
      <c r="E17" s="9">
        <f t="shared" si="1"/>
        <v>25134.44102112676</v>
      </c>
      <c r="F17" s="9" t="str">
        <f t="shared" si="2"/>
        <v>NA</v>
      </c>
      <c r="G17" s="9" t="str">
        <f t="shared" si="3"/>
        <v>NA</v>
      </c>
      <c r="H17" s="9">
        <f t="shared" si="4"/>
        <v>673.60126485072385</v>
      </c>
      <c r="I17" s="9">
        <f t="shared" si="5"/>
        <v>164.0772209051911</v>
      </c>
      <c r="J17" s="9">
        <f t="shared" si="6"/>
        <v>164.0772209051911</v>
      </c>
      <c r="K17" s="2" t="s">
        <v>183</v>
      </c>
      <c r="L17" s="3" t="s">
        <v>184</v>
      </c>
      <c r="M17" s="2" t="s">
        <v>249</v>
      </c>
      <c r="N17" s="2" t="s">
        <v>185</v>
      </c>
      <c r="O17" s="4">
        <v>516</v>
      </c>
      <c r="P17" t="s">
        <v>188</v>
      </c>
      <c r="Q17" s="5">
        <v>11</v>
      </c>
      <c r="R17" s="2" t="s">
        <v>189</v>
      </c>
      <c r="S17" s="2" t="s">
        <v>189</v>
      </c>
      <c r="T17" s="5">
        <v>1</v>
      </c>
      <c r="U17" s="5">
        <v>25.5</v>
      </c>
      <c r="V17" s="6">
        <v>31</v>
      </c>
      <c r="W17" s="3" t="s">
        <v>189</v>
      </c>
      <c r="X17" s="3" t="s">
        <v>189</v>
      </c>
      <c r="Y17" s="3" t="s">
        <v>189</v>
      </c>
      <c r="Z17" s="7">
        <v>264.38749999999999</v>
      </c>
      <c r="AA17" s="3" t="s">
        <v>189</v>
      </c>
      <c r="AB17">
        <v>25134.44102112676</v>
      </c>
      <c r="AC17" s="3" t="s">
        <v>189</v>
      </c>
      <c r="AD17" s="3" t="s">
        <v>189</v>
      </c>
      <c r="AE17" s="3" t="s">
        <v>189</v>
      </c>
      <c r="AF17" s="3" t="s">
        <v>191</v>
      </c>
      <c r="AG17" s="3" t="s">
        <v>190</v>
      </c>
      <c r="AH17" s="3" t="s">
        <v>189</v>
      </c>
      <c r="AI17" s="3" t="s">
        <v>189</v>
      </c>
      <c r="AJ17" s="3" t="s">
        <v>189</v>
      </c>
      <c r="AK17" s="3" t="s">
        <v>189</v>
      </c>
      <c r="AL17" s="3" t="s">
        <v>189</v>
      </c>
      <c r="AM17" s="3" t="s">
        <v>189</v>
      </c>
      <c r="AN17" s="3" t="s">
        <v>189</v>
      </c>
      <c r="AO17" s="3" t="s">
        <v>189</v>
      </c>
      <c r="AP17" s="3" t="s">
        <v>189</v>
      </c>
      <c r="AQ17" s="3" t="s">
        <v>189</v>
      </c>
      <c r="AR17" s="3" t="s">
        <v>189</v>
      </c>
      <c r="AS17" s="3" t="s">
        <v>189</v>
      </c>
      <c r="AT17" s="3" t="s">
        <v>189</v>
      </c>
      <c r="AU17" s="3" t="s">
        <v>189</v>
      </c>
      <c r="AV17" s="3" t="s">
        <v>189</v>
      </c>
      <c r="AW17" s="3" t="s">
        <v>189</v>
      </c>
      <c r="AX17" s="3" t="s">
        <v>189</v>
      </c>
      <c r="AY17" s="3" t="s">
        <v>189</v>
      </c>
      <c r="AZ17" s="3" t="s">
        <v>189</v>
      </c>
      <c r="BA17" s="3" t="s">
        <v>189</v>
      </c>
      <c r="BB17" s="3" t="s">
        <v>189</v>
      </c>
      <c r="BC17" s="3" t="s">
        <v>189</v>
      </c>
      <c r="BD17" s="3" t="s">
        <v>189</v>
      </c>
      <c r="BE17" s="3" t="s">
        <v>189</v>
      </c>
      <c r="BF17" t="s">
        <v>194</v>
      </c>
      <c r="BG17" t="s">
        <v>195</v>
      </c>
      <c r="BH17">
        <v>0.5</v>
      </c>
      <c r="BI17" s="3" t="s">
        <v>189</v>
      </c>
      <c r="BJ17" s="3" t="s">
        <v>189</v>
      </c>
      <c r="BK17" s="3" t="s">
        <v>189</v>
      </c>
      <c r="BL17" s="3" t="s">
        <v>189</v>
      </c>
      <c r="BM17" s="3" t="s">
        <v>189</v>
      </c>
      <c r="BN17" s="3" t="s">
        <v>189</v>
      </c>
      <c r="BO17" s="3" t="s">
        <v>189</v>
      </c>
      <c r="BP17" s="3" t="s">
        <v>189</v>
      </c>
      <c r="BQ17" s="3" t="s">
        <v>189</v>
      </c>
      <c r="BR17" t="s">
        <v>210</v>
      </c>
      <c r="BS17" s="3" t="s">
        <v>189</v>
      </c>
      <c r="BT17" s="8">
        <v>-31.24</v>
      </c>
      <c r="BU17" t="s">
        <v>176</v>
      </c>
      <c r="BV17" s="3" t="s">
        <v>189</v>
      </c>
      <c r="BW17" s="3" t="s">
        <v>189</v>
      </c>
      <c r="BX17" s="3" t="s">
        <v>189</v>
      </c>
      <c r="BY17">
        <v>4.2</v>
      </c>
      <c r="BZ17" s="3" t="s">
        <v>189</v>
      </c>
      <c r="CA17" s="3" t="s">
        <v>189</v>
      </c>
      <c r="CB17" s="3" t="s">
        <v>189</v>
      </c>
      <c r="CC17" s="3" t="s">
        <v>189</v>
      </c>
      <c r="CD17" s="3" t="s">
        <v>189</v>
      </c>
      <c r="CE17" s="3" t="s">
        <v>189</v>
      </c>
      <c r="CF17" s="3" t="s">
        <v>201</v>
      </c>
      <c r="CG17">
        <v>35</v>
      </c>
      <c r="CH17" s="3" t="s">
        <v>189</v>
      </c>
      <c r="CI17" s="3" t="s">
        <v>189</v>
      </c>
      <c r="CJ17" s="1" t="s">
        <v>177</v>
      </c>
      <c r="CK17">
        <v>0.3</v>
      </c>
      <c r="CL17">
        <v>0.1</v>
      </c>
      <c r="CM17">
        <v>0.1</v>
      </c>
      <c r="CN17" s="3" t="s">
        <v>203</v>
      </c>
      <c r="CO17" t="s">
        <v>202</v>
      </c>
      <c r="CP17" s="3" t="s">
        <v>189</v>
      </c>
      <c r="CQ17" s="3" t="s">
        <v>189</v>
      </c>
      <c r="CR17" s="8">
        <v>20.308213890909091</v>
      </c>
      <c r="CS17" s="3" t="s">
        <v>189</v>
      </c>
      <c r="CT17" s="3" t="s">
        <v>189</v>
      </c>
      <c r="CU17" s="3" t="s">
        <v>189</v>
      </c>
      <c r="CV17" t="s">
        <v>212</v>
      </c>
      <c r="CW17" s="3" t="s">
        <v>189</v>
      </c>
      <c r="CX17" s="3" t="s">
        <v>189</v>
      </c>
      <c r="CY17" s="3" t="s">
        <v>189</v>
      </c>
      <c r="CZ17" s="3" t="s">
        <v>189</v>
      </c>
      <c r="DA17" s="3" t="s">
        <v>189</v>
      </c>
      <c r="DB17" s="3" t="s">
        <v>189</v>
      </c>
      <c r="DC17" s="3" t="s">
        <v>189</v>
      </c>
      <c r="DD17" s="3" t="s">
        <v>189</v>
      </c>
      <c r="DE17" s="3" t="s">
        <v>189</v>
      </c>
      <c r="DF17" s="3" t="s">
        <v>189</v>
      </c>
      <c r="DG17" s="3" t="s">
        <v>189</v>
      </c>
      <c r="DH17" s="3" t="s">
        <v>189</v>
      </c>
      <c r="DI17" s="3" t="s">
        <v>189</v>
      </c>
      <c r="DJ17" s="3" t="s">
        <v>189</v>
      </c>
      <c r="DK17" s="3" t="s">
        <v>189</v>
      </c>
      <c r="DL17" s="3" t="s">
        <v>189</v>
      </c>
      <c r="DM17" s="3" t="s">
        <v>189</v>
      </c>
      <c r="DN17" s="3" t="s">
        <v>189</v>
      </c>
      <c r="DO17" s="3" t="s">
        <v>189</v>
      </c>
      <c r="DP17" s="3" t="s">
        <v>189</v>
      </c>
      <c r="DQ17" s="3" t="s">
        <v>189</v>
      </c>
      <c r="DR17" s="3" t="s">
        <v>189</v>
      </c>
      <c r="DS17" s="3" t="s">
        <v>189</v>
      </c>
      <c r="DT17" s="3" t="s">
        <v>189</v>
      </c>
      <c r="DU17" s="3" t="s">
        <v>189</v>
      </c>
      <c r="DV17" s="3" t="s">
        <v>189</v>
      </c>
      <c r="DW17" s="3" t="s">
        <v>189</v>
      </c>
      <c r="DX17" s="3" t="s">
        <v>189</v>
      </c>
      <c r="DY17" s="3" t="s">
        <v>189</v>
      </c>
      <c r="DZ17" s="3" t="s">
        <v>189</v>
      </c>
      <c r="EA17" s="3" t="s">
        <v>189</v>
      </c>
      <c r="EB17" s="3" t="s">
        <v>189</v>
      </c>
      <c r="EC17" s="3" t="s">
        <v>189</v>
      </c>
      <c r="ED17" s="3" t="s">
        <v>189</v>
      </c>
      <c r="EE17" s="3" t="s">
        <v>189</v>
      </c>
      <c r="EF17" s="3" t="s">
        <v>189</v>
      </c>
      <c r="EG17" s="3" t="s">
        <v>189</v>
      </c>
      <c r="EH17" s="3" t="s">
        <v>189</v>
      </c>
      <c r="EI17" s="3" t="s">
        <v>189</v>
      </c>
      <c r="EJ17" s="3" t="s">
        <v>189</v>
      </c>
      <c r="EK17" s="3" t="s">
        <v>189</v>
      </c>
      <c r="EL17" s="3" t="s">
        <v>189</v>
      </c>
      <c r="EM17" s="3" t="s">
        <v>189</v>
      </c>
      <c r="EN17" s="3" t="s">
        <v>189</v>
      </c>
      <c r="EO17" s="3" t="s">
        <v>189</v>
      </c>
      <c r="EP17" s="3" t="s">
        <v>189</v>
      </c>
      <c r="EQ17" s="3" t="s">
        <v>189</v>
      </c>
      <c r="ER17" s="3" t="s">
        <v>189</v>
      </c>
      <c r="ES17" s="3" t="s">
        <v>189</v>
      </c>
      <c r="ET17" s="3" t="s">
        <v>189</v>
      </c>
      <c r="EU17" s="3" t="s">
        <v>189</v>
      </c>
      <c r="EV17" t="s">
        <v>205</v>
      </c>
      <c r="EW17">
        <v>25</v>
      </c>
      <c r="EX17" s="7">
        <v>19.329844803909204</v>
      </c>
      <c r="EY17" s="3">
        <v>0.37674946837484669</v>
      </c>
      <c r="EZ17" s="3">
        <v>0.37675189882824611</v>
      </c>
      <c r="FA17" s="3" t="s">
        <v>232</v>
      </c>
      <c r="FB17" s="3" t="s">
        <v>233</v>
      </c>
      <c r="FC17" s="3" t="s">
        <v>189</v>
      </c>
      <c r="FD17" s="3" t="s">
        <v>189</v>
      </c>
      <c r="FE17" s="3" t="s">
        <v>189</v>
      </c>
      <c r="FF17" s="3" t="s">
        <v>189</v>
      </c>
      <c r="FG17" s="3" t="s">
        <v>189</v>
      </c>
      <c r="FH17">
        <v>673.60126485072385</v>
      </c>
      <c r="FI17">
        <v>164.0772209051911</v>
      </c>
      <c r="FJ17">
        <v>164.0772209051911</v>
      </c>
      <c r="FK17" s="3" t="s">
        <v>203</v>
      </c>
      <c r="FL17" s="10" t="s">
        <v>211</v>
      </c>
      <c r="FM17" s="3" t="s">
        <v>206</v>
      </c>
      <c r="FT17" s="3" t="s">
        <v>188</v>
      </c>
      <c r="FU17" s="3" t="s">
        <v>207</v>
      </c>
      <c r="FV17" s="29" t="s">
        <v>279</v>
      </c>
      <c r="FW17" s="7" t="s">
        <v>189</v>
      </c>
      <c r="FX17" s="30" t="s">
        <v>310</v>
      </c>
      <c r="FY17" s="3" t="s">
        <v>204</v>
      </c>
    </row>
    <row r="18" spans="1:181" x14ac:dyDescent="0.15">
      <c r="A18" s="3" t="s">
        <v>248</v>
      </c>
      <c r="B18" s="3" t="s">
        <v>182</v>
      </c>
      <c r="C18">
        <v>2005</v>
      </c>
      <c r="D18" s="9" t="str">
        <f t="shared" si="0"/>
        <v>10.1126/science.1110063</v>
      </c>
      <c r="E18" s="9">
        <f t="shared" si="1"/>
        <v>25196.117957746479</v>
      </c>
      <c r="F18" s="9" t="str">
        <f t="shared" si="2"/>
        <v>NA</v>
      </c>
      <c r="G18" s="9" t="str">
        <f t="shared" si="3"/>
        <v>NA</v>
      </c>
      <c r="H18" s="9">
        <f t="shared" si="4"/>
        <v>402.20243000141579</v>
      </c>
      <c r="I18" s="9">
        <f t="shared" si="5"/>
        <v>86.113155960234224</v>
      </c>
      <c r="J18" s="9">
        <f t="shared" si="6"/>
        <v>86.113155960234224</v>
      </c>
      <c r="K18" s="2" t="s">
        <v>183</v>
      </c>
      <c r="L18" s="3" t="s">
        <v>184</v>
      </c>
      <c r="M18" s="2" t="s">
        <v>249</v>
      </c>
      <c r="N18" s="2" t="s">
        <v>185</v>
      </c>
      <c r="O18" s="4">
        <v>516</v>
      </c>
      <c r="P18" t="s">
        <v>188</v>
      </c>
      <c r="Q18" s="5">
        <v>11</v>
      </c>
      <c r="R18" s="2" t="s">
        <v>189</v>
      </c>
      <c r="S18" s="2" t="s">
        <v>189</v>
      </c>
      <c r="T18" s="5">
        <v>2</v>
      </c>
      <c r="U18" s="5">
        <v>6</v>
      </c>
      <c r="V18" s="6">
        <v>11</v>
      </c>
      <c r="W18" s="3" t="s">
        <v>189</v>
      </c>
      <c r="X18" s="3" t="s">
        <v>189</v>
      </c>
      <c r="Y18" s="3" t="s">
        <v>189</v>
      </c>
      <c r="Z18" s="7">
        <v>265.685</v>
      </c>
      <c r="AA18" s="3" t="s">
        <v>189</v>
      </c>
      <c r="AB18">
        <v>25196.117957746479</v>
      </c>
      <c r="AC18" s="3" t="s">
        <v>189</v>
      </c>
      <c r="AD18" s="3" t="s">
        <v>189</v>
      </c>
      <c r="AE18" s="3" t="s">
        <v>189</v>
      </c>
      <c r="AF18" s="3" t="s">
        <v>191</v>
      </c>
      <c r="AG18" s="3" t="s">
        <v>190</v>
      </c>
      <c r="AH18" s="3" t="s">
        <v>189</v>
      </c>
      <c r="AI18" s="3" t="s">
        <v>189</v>
      </c>
      <c r="AJ18" s="3" t="s">
        <v>189</v>
      </c>
      <c r="AK18" s="3" t="s">
        <v>189</v>
      </c>
      <c r="AL18" s="3" t="s">
        <v>189</v>
      </c>
      <c r="AM18" s="3" t="s">
        <v>189</v>
      </c>
      <c r="AN18" s="3" t="s">
        <v>189</v>
      </c>
      <c r="AO18" s="3" t="s">
        <v>189</v>
      </c>
      <c r="AP18" s="3" t="s">
        <v>189</v>
      </c>
      <c r="AQ18" s="3" t="s">
        <v>189</v>
      </c>
      <c r="AR18" s="3" t="s">
        <v>189</v>
      </c>
      <c r="AS18" s="3" t="s">
        <v>189</v>
      </c>
      <c r="AT18" s="3" t="s">
        <v>189</v>
      </c>
      <c r="AU18" s="3" t="s">
        <v>189</v>
      </c>
      <c r="AV18" s="3" t="s">
        <v>189</v>
      </c>
      <c r="AW18" s="3" t="s">
        <v>189</v>
      </c>
      <c r="AX18" s="3" t="s">
        <v>189</v>
      </c>
      <c r="AY18" s="3" t="s">
        <v>189</v>
      </c>
      <c r="AZ18" s="3" t="s">
        <v>189</v>
      </c>
      <c r="BA18" s="3" t="s">
        <v>189</v>
      </c>
      <c r="BB18" s="3" t="s">
        <v>189</v>
      </c>
      <c r="BC18" s="3" t="s">
        <v>189</v>
      </c>
      <c r="BD18" s="3" t="s">
        <v>189</v>
      </c>
      <c r="BE18" s="3" t="s">
        <v>189</v>
      </c>
      <c r="BF18" t="s">
        <v>194</v>
      </c>
      <c r="BG18" t="s">
        <v>195</v>
      </c>
      <c r="BH18">
        <v>0.5</v>
      </c>
      <c r="BI18" s="3" t="s">
        <v>189</v>
      </c>
      <c r="BJ18" s="3" t="s">
        <v>189</v>
      </c>
      <c r="BK18" s="3" t="s">
        <v>189</v>
      </c>
      <c r="BL18" s="3" t="s">
        <v>189</v>
      </c>
      <c r="BM18" s="3" t="s">
        <v>189</v>
      </c>
      <c r="BN18" s="3" t="s">
        <v>189</v>
      </c>
      <c r="BO18" s="3" t="s">
        <v>189</v>
      </c>
      <c r="BP18" s="3" t="s">
        <v>189</v>
      </c>
      <c r="BQ18" s="3" t="s">
        <v>189</v>
      </c>
      <c r="BR18" t="s">
        <v>210</v>
      </c>
      <c r="BS18" s="3" t="s">
        <v>189</v>
      </c>
      <c r="BT18" s="8">
        <v>-27.072000000000003</v>
      </c>
      <c r="BU18" t="s">
        <v>176</v>
      </c>
      <c r="BV18" s="3" t="s">
        <v>189</v>
      </c>
      <c r="BW18" s="3" t="s">
        <v>189</v>
      </c>
      <c r="BX18" s="3" t="s">
        <v>189</v>
      </c>
      <c r="BY18">
        <v>4.2</v>
      </c>
      <c r="BZ18" s="3" t="s">
        <v>189</v>
      </c>
      <c r="CA18" s="3" t="s">
        <v>189</v>
      </c>
      <c r="CB18" s="3" t="s">
        <v>189</v>
      </c>
      <c r="CC18" s="3" t="s">
        <v>189</v>
      </c>
      <c r="CD18" s="3" t="s">
        <v>189</v>
      </c>
      <c r="CE18" s="3" t="s">
        <v>189</v>
      </c>
      <c r="CF18" s="3" t="s">
        <v>201</v>
      </c>
      <c r="CG18">
        <v>35</v>
      </c>
      <c r="CH18" s="3" t="s">
        <v>189</v>
      </c>
      <c r="CI18" s="3" t="s">
        <v>189</v>
      </c>
      <c r="CJ18" s="1" t="s">
        <v>177</v>
      </c>
      <c r="CK18">
        <v>0.3</v>
      </c>
      <c r="CL18">
        <v>0.1</v>
      </c>
      <c r="CM18">
        <v>0.1</v>
      </c>
      <c r="CN18" s="3" t="s">
        <v>203</v>
      </c>
      <c r="CO18" t="s">
        <v>202</v>
      </c>
      <c r="CP18" s="3" t="s">
        <v>189</v>
      </c>
      <c r="CQ18" s="3" t="s">
        <v>189</v>
      </c>
      <c r="CR18" s="8">
        <v>22.048409490909091</v>
      </c>
      <c r="CS18" s="3" t="s">
        <v>189</v>
      </c>
      <c r="CT18" s="3" t="s">
        <v>189</v>
      </c>
      <c r="CU18" s="3" t="s">
        <v>189</v>
      </c>
      <c r="CV18" t="s">
        <v>212</v>
      </c>
      <c r="CW18" s="3" t="s">
        <v>189</v>
      </c>
      <c r="CX18" s="3" t="s">
        <v>189</v>
      </c>
      <c r="CY18" s="3" t="s">
        <v>189</v>
      </c>
      <c r="CZ18" s="3" t="s">
        <v>189</v>
      </c>
      <c r="DA18" s="3" t="s">
        <v>189</v>
      </c>
      <c r="DB18" s="3" t="s">
        <v>189</v>
      </c>
      <c r="DC18" s="3" t="s">
        <v>189</v>
      </c>
      <c r="DD18" s="3" t="s">
        <v>189</v>
      </c>
      <c r="DE18" s="3" t="s">
        <v>189</v>
      </c>
      <c r="DF18" s="3" t="s">
        <v>189</v>
      </c>
      <c r="DG18" s="3" t="s">
        <v>189</v>
      </c>
      <c r="DH18" s="3" t="s">
        <v>189</v>
      </c>
      <c r="DI18" s="3" t="s">
        <v>189</v>
      </c>
      <c r="DJ18" s="3" t="s">
        <v>189</v>
      </c>
      <c r="DK18" s="3" t="s">
        <v>189</v>
      </c>
      <c r="DL18" s="3" t="s">
        <v>189</v>
      </c>
      <c r="DM18" s="3" t="s">
        <v>189</v>
      </c>
      <c r="DN18" s="3" t="s">
        <v>189</v>
      </c>
      <c r="DO18" s="3" t="s">
        <v>189</v>
      </c>
      <c r="DP18" s="3" t="s">
        <v>189</v>
      </c>
      <c r="DQ18" s="3" t="s">
        <v>189</v>
      </c>
      <c r="DR18" s="3" t="s">
        <v>189</v>
      </c>
      <c r="DS18" s="3" t="s">
        <v>189</v>
      </c>
      <c r="DT18" s="3" t="s">
        <v>189</v>
      </c>
      <c r="DU18" s="3" t="s">
        <v>189</v>
      </c>
      <c r="DV18" s="3" t="s">
        <v>189</v>
      </c>
      <c r="DW18" s="3" t="s">
        <v>189</v>
      </c>
      <c r="DX18" s="3" t="s">
        <v>189</v>
      </c>
      <c r="DY18" s="3" t="s">
        <v>189</v>
      </c>
      <c r="DZ18" s="3" t="s">
        <v>189</v>
      </c>
      <c r="EA18" s="3" t="s">
        <v>189</v>
      </c>
      <c r="EB18" s="3" t="s">
        <v>189</v>
      </c>
      <c r="EC18" s="3" t="s">
        <v>189</v>
      </c>
      <c r="ED18" s="3" t="s">
        <v>189</v>
      </c>
      <c r="EE18" s="3" t="s">
        <v>189</v>
      </c>
      <c r="EF18" s="3" t="s">
        <v>189</v>
      </c>
      <c r="EG18" s="3" t="s">
        <v>189</v>
      </c>
      <c r="EH18" s="3" t="s">
        <v>189</v>
      </c>
      <c r="EI18" s="3" t="s">
        <v>189</v>
      </c>
      <c r="EJ18" s="3" t="s">
        <v>189</v>
      </c>
      <c r="EK18" s="3" t="s">
        <v>189</v>
      </c>
      <c r="EL18" s="3" t="s">
        <v>189</v>
      </c>
      <c r="EM18" s="3" t="s">
        <v>189</v>
      </c>
      <c r="EN18" s="3" t="s">
        <v>189</v>
      </c>
      <c r="EO18" s="3" t="s">
        <v>189</v>
      </c>
      <c r="EP18" s="3" t="s">
        <v>189</v>
      </c>
      <c r="EQ18" s="3" t="s">
        <v>189</v>
      </c>
      <c r="ER18" s="3" t="s">
        <v>189</v>
      </c>
      <c r="ES18" s="3" t="s">
        <v>189</v>
      </c>
      <c r="ET18" s="3" t="s">
        <v>189</v>
      </c>
      <c r="EU18" s="3" t="s">
        <v>189</v>
      </c>
      <c r="EV18" t="s">
        <v>205</v>
      </c>
      <c r="EW18">
        <v>25</v>
      </c>
      <c r="EX18" s="7">
        <v>15.130014610527986</v>
      </c>
      <c r="EY18" s="3">
        <v>0.37511910288112738</v>
      </c>
      <c r="EZ18" s="3">
        <v>0.37511677600909898</v>
      </c>
      <c r="FA18" s="3" t="s">
        <v>232</v>
      </c>
      <c r="FB18" s="3" t="s">
        <v>233</v>
      </c>
      <c r="FC18" s="3" t="s">
        <v>189</v>
      </c>
      <c r="FD18" s="3" t="s">
        <v>189</v>
      </c>
      <c r="FE18" s="3" t="s">
        <v>189</v>
      </c>
      <c r="FF18" s="3" t="s">
        <v>189</v>
      </c>
      <c r="FG18" s="3" t="s">
        <v>189</v>
      </c>
      <c r="FH18">
        <v>402.20243000141579</v>
      </c>
      <c r="FI18">
        <v>86.113155960234224</v>
      </c>
      <c r="FJ18">
        <v>86.113155960234224</v>
      </c>
      <c r="FK18" s="3" t="s">
        <v>203</v>
      </c>
      <c r="FL18" s="10" t="s">
        <v>211</v>
      </c>
      <c r="FM18" s="3" t="s">
        <v>206</v>
      </c>
      <c r="FT18" s="3" t="s">
        <v>188</v>
      </c>
      <c r="FU18" s="3" t="s">
        <v>207</v>
      </c>
      <c r="FV18" s="29" t="s">
        <v>280</v>
      </c>
      <c r="FW18" s="7" t="s">
        <v>189</v>
      </c>
      <c r="FX18" s="30" t="s">
        <v>311</v>
      </c>
      <c r="FY18" s="3" t="s">
        <v>204</v>
      </c>
    </row>
    <row r="19" spans="1:181" x14ac:dyDescent="0.15">
      <c r="A19" s="3" t="s">
        <v>248</v>
      </c>
      <c r="B19" s="3" t="s">
        <v>182</v>
      </c>
      <c r="C19">
        <v>2005</v>
      </c>
      <c r="D19" s="9" t="str">
        <f t="shared" si="0"/>
        <v>10.1126/science.1110063</v>
      </c>
      <c r="E19" s="9">
        <f t="shared" si="1"/>
        <v>25286.434859154931</v>
      </c>
      <c r="F19" s="9" t="str">
        <f t="shared" si="2"/>
        <v>NA</v>
      </c>
      <c r="G19" s="9" t="str">
        <f t="shared" si="3"/>
        <v>NA</v>
      </c>
      <c r="H19" s="9">
        <f t="shared" si="4"/>
        <v>411.62304986842764</v>
      </c>
      <c r="I19" s="9">
        <f t="shared" si="5"/>
        <v>88.877988405793815</v>
      </c>
      <c r="J19" s="9">
        <f t="shared" si="6"/>
        <v>88.877988405793815</v>
      </c>
      <c r="K19" s="2" t="s">
        <v>183</v>
      </c>
      <c r="L19" s="3" t="s">
        <v>184</v>
      </c>
      <c r="M19" s="2" t="s">
        <v>249</v>
      </c>
      <c r="N19" s="2" t="s">
        <v>185</v>
      </c>
      <c r="O19" s="4">
        <v>516</v>
      </c>
      <c r="P19" t="s">
        <v>188</v>
      </c>
      <c r="Q19" s="5">
        <v>11</v>
      </c>
      <c r="R19" s="2" t="s">
        <v>189</v>
      </c>
      <c r="S19" s="2" t="s">
        <v>189</v>
      </c>
      <c r="T19" s="5">
        <v>3</v>
      </c>
      <c r="U19" s="5">
        <v>46</v>
      </c>
      <c r="V19" s="6">
        <v>51</v>
      </c>
      <c r="W19" s="3" t="s">
        <v>189</v>
      </c>
      <c r="X19" s="3" t="s">
        <v>189</v>
      </c>
      <c r="Y19" s="3" t="s">
        <v>189</v>
      </c>
      <c r="Z19" s="7">
        <v>267.58499999999998</v>
      </c>
      <c r="AA19" s="3" t="s">
        <v>189</v>
      </c>
      <c r="AB19">
        <v>25286.434859154931</v>
      </c>
      <c r="AC19" s="3" t="s">
        <v>189</v>
      </c>
      <c r="AD19" s="3" t="s">
        <v>189</v>
      </c>
      <c r="AE19" s="3" t="s">
        <v>189</v>
      </c>
      <c r="AF19" s="3" t="s">
        <v>191</v>
      </c>
      <c r="AG19" s="3" t="s">
        <v>190</v>
      </c>
      <c r="AH19" s="3" t="s">
        <v>189</v>
      </c>
      <c r="AI19" s="3" t="s">
        <v>189</v>
      </c>
      <c r="AJ19" s="3" t="s">
        <v>189</v>
      </c>
      <c r="AK19" s="3" t="s">
        <v>189</v>
      </c>
      <c r="AL19" s="3" t="s">
        <v>189</v>
      </c>
      <c r="AM19" s="3" t="s">
        <v>189</v>
      </c>
      <c r="AN19" s="3" t="s">
        <v>189</v>
      </c>
      <c r="AO19" s="3" t="s">
        <v>189</v>
      </c>
      <c r="AP19" s="3" t="s">
        <v>189</v>
      </c>
      <c r="AQ19" s="3" t="s">
        <v>189</v>
      </c>
      <c r="AR19" s="3" t="s">
        <v>189</v>
      </c>
      <c r="AS19" s="3" t="s">
        <v>189</v>
      </c>
      <c r="AT19" s="3" t="s">
        <v>189</v>
      </c>
      <c r="AU19" s="3" t="s">
        <v>189</v>
      </c>
      <c r="AV19" s="3" t="s">
        <v>189</v>
      </c>
      <c r="AW19" s="3" t="s">
        <v>189</v>
      </c>
      <c r="AX19" s="3" t="s">
        <v>189</v>
      </c>
      <c r="AY19" s="3" t="s">
        <v>189</v>
      </c>
      <c r="AZ19" s="3" t="s">
        <v>189</v>
      </c>
      <c r="BA19" s="3" t="s">
        <v>189</v>
      </c>
      <c r="BB19" s="3" t="s">
        <v>189</v>
      </c>
      <c r="BC19" s="3" t="s">
        <v>189</v>
      </c>
      <c r="BD19" s="3" t="s">
        <v>189</v>
      </c>
      <c r="BE19" s="3" t="s">
        <v>189</v>
      </c>
      <c r="BF19" t="s">
        <v>194</v>
      </c>
      <c r="BG19" t="s">
        <v>195</v>
      </c>
      <c r="BH19">
        <v>0.5</v>
      </c>
      <c r="BI19" s="3" t="s">
        <v>189</v>
      </c>
      <c r="BJ19" s="3" t="s">
        <v>189</v>
      </c>
      <c r="BK19" s="3" t="s">
        <v>189</v>
      </c>
      <c r="BL19" s="3" t="s">
        <v>189</v>
      </c>
      <c r="BM19" s="3" t="s">
        <v>189</v>
      </c>
      <c r="BN19" s="3" t="s">
        <v>189</v>
      </c>
      <c r="BO19" s="3" t="s">
        <v>189</v>
      </c>
      <c r="BP19" s="3" t="s">
        <v>189</v>
      </c>
      <c r="BQ19" s="3" t="s">
        <v>189</v>
      </c>
      <c r="BR19" t="s">
        <v>210</v>
      </c>
      <c r="BS19" s="3" t="s">
        <v>189</v>
      </c>
      <c r="BT19" s="8">
        <v>-27.218000000000004</v>
      </c>
      <c r="BU19" t="s">
        <v>176</v>
      </c>
      <c r="BV19" s="3" t="s">
        <v>189</v>
      </c>
      <c r="BW19" s="3" t="s">
        <v>189</v>
      </c>
      <c r="BX19" s="3" t="s">
        <v>189</v>
      </c>
      <c r="BY19">
        <v>4.2</v>
      </c>
      <c r="BZ19" s="3" t="s">
        <v>189</v>
      </c>
      <c r="CA19" s="3" t="s">
        <v>189</v>
      </c>
      <c r="CB19" s="3" t="s">
        <v>189</v>
      </c>
      <c r="CC19" s="3" t="s">
        <v>189</v>
      </c>
      <c r="CD19" s="3" t="s">
        <v>189</v>
      </c>
      <c r="CE19" s="3" t="s">
        <v>189</v>
      </c>
      <c r="CF19" s="3" t="s">
        <v>201</v>
      </c>
      <c r="CG19">
        <v>35</v>
      </c>
      <c r="CH19" s="3" t="s">
        <v>189</v>
      </c>
      <c r="CI19" s="3" t="s">
        <v>189</v>
      </c>
      <c r="CJ19" s="1" t="s">
        <v>177</v>
      </c>
      <c r="CK19">
        <v>0.3</v>
      </c>
      <c r="CL19">
        <v>0.1</v>
      </c>
      <c r="CM19">
        <v>0.1</v>
      </c>
      <c r="CN19" s="3" t="s">
        <v>203</v>
      </c>
      <c r="CO19" t="s">
        <v>202</v>
      </c>
      <c r="CP19" s="3" t="s">
        <v>189</v>
      </c>
      <c r="CQ19" s="3" t="s">
        <v>189</v>
      </c>
      <c r="CR19" s="8">
        <v>21.646069890909093</v>
      </c>
      <c r="CS19" s="3" t="s">
        <v>189</v>
      </c>
      <c r="CT19" s="3" t="s">
        <v>189</v>
      </c>
      <c r="CU19" s="3" t="s">
        <v>189</v>
      </c>
      <c r="CV19" t="s">
        <v>212</v>
      </c>
      <c r="CW19" s="3" t="s">
        <v>189</v>
      </c>
      <c r="CX19" s="3" t="s">
        <v>189</v>
      </c>
      <c r="CY19" s="3" t="s">
        <v>189</v>
      </c>
      <c r="CZ19" s="3" t="s">
        <v>189</v>
      </c>
      <c r="DA19" s="3" t="s">
        <v>189</v>
      </c>
      <c r="DB19" s="3" t="s">
        <v>189</v>
      </c>
      <c r="DC19" s="3" t="s">
        <v>189</v>
      </c>
      <c r="DD19" s="3" t="s">
        <v>189</v>
      </c>
      <c r="DE19" s="3" t="s">
        <v>189</v>
      </c>
      <c r="DF19" s="3" t="s">
        <v>189</v>
      </c>
      <c r="DG19" s="3" t="s">
        <v>189</v>
      </c>
      <c r="DH19" s="3" t="s">
        <v>189</v>
      </c>
      <c r="DI19" s="3" t="s">
        <v>189</v>
      </c>
      <c r="DJ19" s="3" t="s">
        <v>189</v>
      </c>
      <c r="DK19" s="3" t="s">
        <v>189</v>
      </c>
      <c r="DL19" s="3" t="s">
        <v>189</v>
      </c>
      <c r="DM19" s="3" t="s">
        <v>189</v>
      </c>
      <c r="DN19" s="3" t="s">
        <v>189</v>
      </c>
      <c r="DO19" s="3" t="s">
        <v>189</v>
      </c>
      <c r="DP19" s="3" t="s">
        <v>189</v>
      </c>
      <c r="DQ19" s="3" t="s">
        <v>189</v>
      </c>
      <c r="DR19" s="3" t="s">
        <v>189</v>
      </c>
      <c r="DS19" s="3" t="s">
        <v>189</v>
      </c>
      <c r="DT19" s="3" t="s">
        <v>189</v>
      </c>
      <c r="DU19" s="3" t="s">
        <v>189</v>
      </c>
      <c r="DV19" s="3" t="s">
        <v>189</v>
      </c>
      <c r="DW19" s="3" t="s">
        <v>189</v>
      </c>
      <c r="DX19" s="3" t="s">
        <v>189</v>
      </c>
      <c r="DY19" s="3" t="s">
        <v>189</v>
      </c>
      <c r="DZ19" s="3" t="s">
        <v>189</v>
      </c>
      <c r="EA19" s="3" t="s">
        <v>189</v>
      </c>
      <c r="EB19" s="3" t="s">
        <v>189</v>
      </c>
      <c r="EC19" s="3" t="s">
        <v>189</v>
      </c>
      <c r="ED19" s="3" t="s">
        <v>189</v>
      </c>
      <c r="EE19" s="3" t="s">
        <v>189</v>
      </c>
      <c r="EF19" s="3" t="s">
        <v>189</v>
      </c>
      <c r="EG19" s="3" t="s">
        <v>189</v>
      </c>
      <c r="EH19" s="3" t="s">
        <v>189</v>
      </c>
      <c r="EI19" s="3" t="s">
        <v>189</v>
      </c>
      <c r="EJ19" s="3" t="s">
        <v>189</v>
      </c>
      <c r="EK19" s="3" t="s">
        <v>189</v>
      </c>
      <c r="EL19" s="3" t="s">
        <v>189</v>
      </c>
      <c r="EM19" s="3" t="s">
        <v>189</v>
      </c>
      <c r="EN19" s="3" t="s">
        <v>189</v>
      </c>
      <c r="EO19" s="3" t="s">
        <v>189</v>
      </c>
      <c r="EP19" s="3" t="s">
        <v>189</v>
      </c>
      <c r="EQ19" s="3" t="s">
        <v>189</v>
      </c>
      <c r="ER19" s="3" t="s">
        <v>189</v>
      </c>
      <c r="ES19" s="3" t="s">
        <v>189</v>
      </c>
      <c r="ET19" s="3" t="s">
        <v>189</v>
      </c>
      <c r="EU19" s="3" t="s">
        <v>189</v>
      </c>
      <c r="EV19" t="s">
        <v>205</v>
      </c>
      <c r="EW19">
        <v>25</v>
      </c>
      <c r="EX19" s="7">
        <v>15.454931119378568</v>
      </c>
      <c r="EY19" s="3">
        <v>0.37525698594587098</v>
      </c>
      <c r="EZ19" s="3">
        <v>0.37525574648866744</v>
      </c>
      <c r="FA19" s="3" t="s">
        <v>232</v>
      </c>
      <c r="FB19" s="3" t="s">
        <v>233</v>
      </c>
      <c r="FC19" s="3" t="s">
        <v>189</v>
      </c>
      <c r="FD19" s="3" t="s">
        <v>189</v>
      </c>
      <c r="FE19" s="3" t="s">
        <v>189</v>
      </c>
      <c r="FF19" s="3" t="s">
        <v>189</v>
      </c>
      <c r="FG19" s="3" t="s">
        <v>189</v>
      </c>
      <c r="FH19">
        <v>411.62304986842764</v>
      </c>
      <c r="FI19">
        <v>88.877988405793815</v>
      </c>
      <c r="FJ19">
        <v>88.877988405793815</v>
      </c>
      <c r="FK19" s="3" t="s">
        <v>203</v>
      </c>
      <c r="FL19" s="10" t="s">
        <v>211</v>
      </c>
      <c r="FM19" s="3" t="s">
        <v>206</v>
      </c>
      <c r="FT19" s="3" t="s">
        <v>188</v>
      </c>
      <c r="FU19" s="3" t="s">
        <v>207</v>
      </c>
      <c r="FV19" s="29" t="s">
        <v>281</v>
      </c>
      <c r="FW19" s="7" t="s">
        <v>189</v>
      </c>
      <c r="FX19" s="30" t="s">
        <v>312</v>
      </c>
      <c r="FY19" s="3" t="s">
        <v>204</v>
      </c>
    </row>
    <row r="20" spans="1:181" x14ac:dyDescent="0.15">
      <c r="A20" s="3" t="s">
        <v>248</v>
      </c>
      <c r="B20" s="3" t="s">
        <v>182</v>
      </c>
      <c r="C20">
        <v>2005</v>
      </c>
      <c r="D20" s="9" t="str">
        <f t="shared" si="0"/>
        <v>10.1126/science.1110063</v>
      </c>
      <c r="E20" s="9">
        <f t="shared" si="1"/>
        <v>26047.711267605635</v>
      </c>
      <c r="F20" s="9" t="str">
        <f t="shared" si="2"/>
        <v>NA</v>
      </c>
      <c r="G20" s="9" t="str">
        <f t="shared" si="3"/>
        <v>NA</v>
      </c>
      <c r="H20" s="9">
        <f t="shared" si="4"/>
        <v>502.02592432907136</v>
      </c>
      <c r="I20" s="9">
        <f t="shared" si="5"/>
        <v>113.28514913660024</v>
      </c>
      <c r="J20" s="9">
        <f t="shared" si="6"/>
        <v>113.28514913660024</v>
      </c>
      <c r="K20" s="2" t="s">
        <v>183</v>
      </c>
      <c r="L20" s="3" t="s">
        <v>184</v>
      </c>
      <c r="M20" s="2" t="s">
        <v>249</v>
      </c>
      <c r="N20" s="2" t="s">
        <v>185</v>
      </c>
      <c r="O20" s="4">
        <v>516</v>
      </c>
      <c r="P20" t="s">
        <v>188</v>
      </c>
      <c r="Q20" s="5">
        <v>13</v>
      </c>
      <c r="R20" s="2" t="s">
        <v>189</v>
      </c>
      <c r="S20" s="2" t="s">
        <v>189</v>
      </c>
      <c r="T20" s="5">
        <v>1</v>
      </c>
      <c r="U20" s="5">
        <v>47</v>
      </c>
      <c r="V20" s="6">
        <v>53</v>
      </c>
      <c r="W20" s="3" t="s">
        <v>189</v>
      </c>
      <c r="X20" s="3" t="s">
        <v>189</v>
      </c>
      <c r="Y20" s="3" t="s">
        <v>189</v>
      </c>
      <c r="Z20" s="7">
        <v>283.60000000000002</v>
      </c>
      <c r="AA20" s="3" t="s">
        <v>189</v>
      </c>
      <c r="AB20">
        <v>26047.711267605635</v>
      </c>
      <c r="AC20" s="3" t="s">
        <v>189</v>
      </c>
      <c r="AD20" s="3" t="s">
        <v>189</v>
      </c>
      <c r="AE20" s="3" t="s">
        <v>189</v>
      </c>
      <c r="AF20" s="3" t="s">
        <v>191</v>
      </c>
      <c r="AG20" s="3" t="s">
        <v>190</v>
      </c>
      <c r="AH20" s="3" t="s">
        <v>189</v>
      </c>
      <c r="AI20" s="3" t="s">
        <v>189</v>
      </c>
      <c r="AJ20" s="3" t="s">
        <v>189</v>
      </c>
      <c r="AK20" s="3" t="s">
        <v>189</v>
      </c>
      <c r="AL20" s="3" t="s">
        <v>189</v>
      </c>
      <c r="AM20" s="3" t="s">
        <v>189</v>
      </c>
      <c r="AN20" s="3" t="s">
        <v>189</v>
      </c>
      <c r="AO20" s="3" t="s">
        <v>189</v>
      </c>
      <c r="AP20" s="3" t="s">
        <v>189</v>
      </c>
      <c r="AQ20" s="3" t="s">
        <v>189</v>
      </c>
      <c r="AR20" s="3" t="s">
        <v>189</v>
      </c>
      <c r="AS20" s="3" t="s">
        <v>189</v>
      </c>
      <c r="AT20" s="3" t="s">
        <v>189</v>
      </c>
      <c r="AU20" s="3" t="s">
        <v>189</v>
      </c>
      <c r="AV20" s="3" t="s">
        <v>189</v>
      </c>
      <c r="AW20" s="3" t="s">
        <v>189</v>
      </c>
      <c r="AX20" s="3" t="s">
        <v>189</v>
      </c>
      <c r="AY20" s="3" t="s">
        <v>189</v>
      </c>
      <c r="AZ20" s="3" t="s">
        <v>189</v>
      </c>
      <c r="BA20" s="3" t="s">
        <v>189</v>
      </c>
      <c r="BB20" s="3" t="s">
        <v>189</v>
      </c>
      <c r="BC20" s="3" t="s">
        <v>189</v>
      </c>
      <c r="BD20" s="3" t="s">
        <v>189</v>
      </c>
      <c r="BE20" s="3" t="s">
        <v>189</v>
      </c>
      <c r="BF20" t="s">
        <v>194</v>
      </c>
      <c r="BG20" t="s">
        <v>195</v>
      </c>
      <c r="BH20">
        <v>0.5</v>
      </c>
      <c r="BI20" s="3" t="s">
        <v>189</v>
      </c>
      <c r="BJ20" s="3" t="s">
        <v>189</v>
      </c>
      <c r="BK20" s="3" t="s">
        <v>189</v>
      </c>
      <c r="BL20" s="3" t="s">
        <v>189</v>
      </c>
      <c r="BM20" s="3" t="s">
        <v>189</v>
      </c>
      <c r="BN20" s="3" t="s">
        <v>189</v>
      </c>
      <c r="BO20" s="3" t="s">
        <v>189</v>
      </c>
      <c r="BP20" s="3" t="s">
        <v>189</v>
      </c>
      <c r="BQ20" s="3" t="s">
        <v>189</v>
      </c>
      <c r="BR20" t="s">
        <v>210</v>
      </c>
      <c r="BS20" s="3" t="s">
        <v>189</v>
      </c>
      <c r="BT20" s="8">
        <v>-29.51</v>
      </c>
      <c r="BU20" t="s">
        <v>176</v>
      </c>
      <c r="BV20" s="3" t="s">
        <v>189</v>
      </c>
      <c r="BW20" s="3" t="s">
        <v>189</v>
      </c>
      <c r="BX20" s="3" t="s">
        <v>189</v>
      </c>
      <c r="BY20">
        <v>4.2</v>
      </c>
      <c r="BZ20" s="3" t="s">
        <v>189</v>
      </c>
      <c r="CA20" s="3" t="s">
        <v>189</v>
      </c>
      <c r="CB20" s="3" t="s">
        <v>189</v>
      </c>
      <c r="CC20" s="3" t="s">
        <v>189</v>
      </c>
      <c r="CD20" s="3" t="s">
        <v>189</v>
      </c>
      <c r="CE20" s="3" t="s">
        <v>189</v>
      </c>
      <c r="CF20" s="3" t="s">
        <v>201</v>
      </c>
      <c r="CG20">
        <v>35</v>
      </c>
      <c r="CH20" s="3" t="s">
        <v>189</v>
      </c>
      <c r="CI20" s="3" t="s">
        <v>189</v>
      </c>
      <c r="CJ20" s="1" t="s">
        <v>177</v>
      </c>
      <c r="CK20">
        <v>0.3</v>
      </c>
      <c r="CL20">
        <v>0.1</v>
      </c>
      <c r="CM20">
        <v>0.1</v>
      </c>
      <c r="CN20" s="3" t="s">
        <v>203</v>
      </c>
      <c r="CO20" t="s">
        <v>202</v>
      </c>
      <c r="CP20" s="3" t="s">
        <v>189</v>
      </c>
      <c r="CQ20" s="3" t="s">
        <v>189</v>
      </c>
      <c r="CR20" s="8">
        <v>21.06571349090909</v>
      </c>
      <c r="CS20" s="3" t="s">
        <v>189</v>
      </c>
      <c r="CT20" s="3" t="s">
        <v>189</v>
      </c>
      <c r="CU20" s="3" t="s">
        <v>189</v>
      </c>
      <c r="CV20" t="s">
        <v>212</v>
      </c>
      <c r="CW20" s="3" t="s">
        <v>189</v>
      </c>
      <c r="CX20" s="3" t="s">
        <v>189</v>
      </c>
      <c r="CY20" s="3" t="s">
        <v>189</v>
      </c>
      <c r="CZ20" s="3" t="s">
        <v>189</v>
      </c>
      <c r="DA20" s="3" t="s">
        <v>189</v>
      </c>
      <c r="DB20" s="3" t="s">
        <v>189</v>
      </c>
      <c r="DC20" s="3" t="s">
        <v>189</v>
      </c>
      <c r="DD20" s="3" t="s">
        <v>189</v>
      </c>
      <c r="DE20" s="3" t="s">
        <v>189</v>
      </c>
      <c r="DF20" s="3" t="s">
        <v>189</v>
      </c>
      <c r="DG20" s="3" t="s">
        <v>189</v>
      </c>
      <c r="DH20" s="3" t="s">
        <v>189</v>
      </c>
      <c r="DI20" s="3" t="s">
        <v>189</v>
      </c>
      <c r="DJ20" s="3" t="s">
        <v>189</v>
      </c>
      <c r="DK20" s="3" t="s">
        <v>189</v>
      </c>
      <c r="DL20" s="3" t="s">
        <v>189</v>
      </c>
      <c r="DM20" s="3" t="s">
        <v>189</v>
      </c>
      <c r="DN20" s="3" t="s">
        <v>189</v>
      </c>
      <c r="DO20" s="3" t="s">
        <v>189</v>
      </c>
      <c r="DP20" s="3" t="s">
        <v>189</v>
      </c>
      <c r="DQ20" s="3" t="s">
        <v>189</v>
      </c>
      <c r="DR20" s="3" t="s">
        <v>189</v>
      </c>
      <c r="DS20" s="3" t="s">
        <v>189</v>
      </c>
      <c r="DT20" s="3" t="s">
        <v>189</v>
      </c>
      <c r="DU20" s="3" t="s">
        <v>189</v>
      </c>
      <c r="DV20" s="3" t="s">
        <v>189</v>
      </c>
      <c r="DW20" s="3" t="s">
        <v>189</v>
      </c>
      <c r="DX20" s="3" t="s">
        <v>189</v>
      </c>
      <c r="DY20" s="3" t="s">
        <v>189</v>
      </c>
      <c r="DZ20" s="3" t="s">
        <v>189</v>
      </c>
      <c r="EA20" s="3" t="s">
        <v>189</v>
      </c>
      <c r="EB20" s="3" t="s">
        <v>189</v>
      </c>
      <c r="EC20" s="3" t="s">
        <v>189</v>
      </c>
      <c r="ED20" s="3" t="s">
        <v>189</v>
      </c>
      <c r="EE20" s="3" t="s">
        <v>189</v>
      </c>
      <c r="EF20" s="3" t="s">
        <v>189</v>
      </c>
      <c r="EG20" s="3" t="s">
        <v>189</v>
      </c>
      <c r="EH20" s="3" t="s">
        <v>189</v>
      </c>
      <c r="EI20" s="3" t="s">
        <v>189</v>
      </c>
      <c r="EJ20" s="3" t="s">
        <v>189</v>
      </c>
      <c r="EK20" s="3" t="s">
        <v>189</v>
      </c>
      <c r="EL20" s="3" t="s">
        <v>189</v>
      </c>
      <c r="EM20" s="3" t="s">
        <v>189</v>
      </c>
      <c r="EN20" s="3" t="s">
        <v>189</v>
      </c>
      <c r="EO20" s="3" t="s">
        <v>189</v>
      </c>
      <c r="EP20" s="3" t="s">
        <v>189</v>
      </c>
      <c r="EQ20" s="3" t="s">
        <v>189</v>
      </c>
      <c r="ER20" s="3" t="s">
        <v>189</v>
      </c>
      <c r="ES20" s="3" t="s">
        <v>189</v>
      </c>
      <c r="ET20" s="3" t="s">
        <v>189</v>
      </c>
      <c r="EU20" s="3" t="s">
        <v>189</v>
      </c>
      <c r="EV20" t="s">
        <v>205</v>
      </c>
      <c r="EW20">
        <v>25</v>
      </c>
      <c r="EX20" s="7">
        <v>17.275013466891753</v>
      </c>
      <c r="EY20" s="3">
        <v>0.3759555927165259</v>
      </c>
      <c r="EZ20" s="3">
        <v>0.37595593381523074</v>
      </c>
      <c r="FA20" s="3" t="s">
        <v>232</v>
      </c>
      <c r="FB20" s="3" t="s">
        <v>233</v>
      </c>
      <c r="FC20" s="3" t="s">
        <v>189</v>
      </c>
      <c r="FD20" s="3" t="s">
        <v>189</v>
      </c>
      <c r="FE20" s="3" t="s">
        <v>189</v>
      </c>
      <c r="FF20" s="3" t="s">
        <v>189</v>
      </c>
      <c r="FG20" s="3" t="s">
        <v>189</v>
      </c>
      <c r="FH20">
        <v>502.02592432907136</v>
      </c>
      <c r="FI20">
        <v>113.28514913660024</v>
      </c>
      <c r="FJ20">
        <v>113.28514913660024</v>
      </c>
      <c r="FK20" s="3" t="s">
        <v>203</v>
      </c>
      <c r="FL20" s="10" t="s">
        <v>211</v>
      </c>
      <c r="FM20" s="3" t="s">
        <v>206</v>
      </c>
      <c r="FT20" s="3" t="s">
        <v>188</v>
      </c>
      <c r="FU20" s="3" t="s">
        <v>207</v>
      </c>
      <c r="FV20" s="29" t="s">
        <v>282</v>
      </c>
      <c r="FW20" s="7" t="s">
        <v>189</v>
      </c>
      <c r="FX20" s="30" t="s">
        <v>313</v>
      </c>
      <c r="FY20" s="3" t="s">
        <v>204</v>
      </c>
    </row>
    <row r="21" spans="1:181" x14ac:dyDescent="0.15">
      <c r="A21" s="3" t="s">
        <v>248</v>
      </c>
      <c r="B21" s="3" t="s">
        <v>182</v>
      </c>
      <c r="C21">
        <v>2005</v>
      </c>
      <c r="D21" s="9" t="str">
        <f t="shared" si="0"/>
        <v>10.1126/science.1110063</v>
      </c>
      <c r="E21" s="9">
        <f t="shared" si="1"/>
        <v>26102.963765541743</v>
      </c>
      <c r="F21" s="9" t="str">
        <f t="shared" si="2"/>
        <v>NA</v>
      </c>
      <c r="G21" s="9" t="str">
        <f t="shared" si="3"/>
        <v>NA</v>
      </c>
      <c r="H21" s="9">
        <f t="shared" si="4"/>
        <v>466.83596192658729</v>
      </c>
      <c r="I21" s="9">
        <f t="shared" si="5"/>
        <v>103.4081091685523</v>
      </c>
      <c r="J21" s="9">
        <f t="shared" si="6"/>
        <v>103.4081091685523</v>
      </c>
      <c r="K21" s="2" t="s">
        <v>183</v>
      </c>
      <c r="L21" s="3" t="s">
        <v>184</v>
      </c>
      <c r="M21" s="2" t="s">
        <v>249</v>
      </c>
      <c r="N21" s="2" t="s">
        <v>185</v>
      </c>
      <c r="O21" s="4">
        <v>516</v>
      </c>
      <c r="P21" t="s">
        <v>188</v>
      </c>
      <c r="Q21" s="5">
        <v>13</v>
      </c>
      <c r="R21" s="2" t="s">
        <v>189</v>
      </c>
      <c r="S21" s="2" t="s">
        <v>189</v>
      </c>
      <c r="T21" s="5">
        <v>2</v>
      </c>
      <c r="U21" s="5">
        <v>25</v>
      </c>
      <c r="V21" s="6">
        <v>31</v>
      </c>
      <c r="W21" s="3" t="s">
        <v>189</v>
      </c>
      <c r="X21" s="3" t="s">
        <v>189</v>
      </c>
      <c r="Y21" s="3" t="s">
        <v>189</v>
      </c>
      <c r="Z21" s="7">
        <v>284.88</v>
      </c>
      <c r="AA21" s="3" t="s">
        <v>189</v>
      </c>
      <c r="AB21">
        <v>26102.963765541743</v>
      </c>
      <c r="AC21" s="3" t="s">
        <v>189</v>
      </c>
      <c r="AD21" s="3" t="s">
        <v>189</v>
      </c>
      <c r="AE21" s="3" t="s">
        <v>189</v>
      </c>
      <c r="AF21" s="3" t="s">
        <v>191</v>
      </c>
      <c r="AG21" s="3" t="s">
        <v>190</v>
      </c>
      <c r="AH21" s="3" t="s">
        <v>189</v>
      </c>
      <c r="AI21" s="3" t="s">
        <v>189</v>
      </c>
      <c r="AJ21" s="3" t="s">
        <v>189</v>
      </c>
      <c r="AK21" s="3" t="s">
        <v>189</v>
      </c>
      <c r="AL21" s="3" t="s">
        <v>189</v>
      </c>
      <c r="AM21" s="3" t="s">
        <v>189</v>
      </c>
      <c r="AN21" s="3" t="s">
        <v>189</v>
      </c>
      <c r="AO21" s="3" t="s">
        <v>189</v>
      </c>
      <c r="AP21" s="3" t="s">
        <v>189</v>
      </c>
      <c r="AQ21" s="3" t="s">
        <v>189</v>
      </c>
      <c r="AR21" s="3" t="s">
        <v>189</v>
      </c>
      <c r="AS21" s="3" t="s">
        <v>189</v>
      </c>
      <c r="AT21" s="3" t="s">
        <v>189</v>
      </c>
      <c r="AU21" s="3" t="s">
        <v>189</v>
      </c>
      <c r="AV21" s="3" t="s">
        <v>189</v>
      </c>
      <c r="AW21" s="3" t="s">
        <v>189</v>
      </c>
      <c r="AX21" s="3" t="s">
        <v>189</v>
      </c>
      <c r="AY21" s="3" t="s">
        <v>189</v>
      </c>
      <c r="AZ21" s="3" t="s">
        <v>189</v>
      </c>
      <c r="BA21" s="3" t="s">
        <v>189</v>
      </c>
      <c r="BB21" s="3" t="s">
        <v>189</v>
      </c>
      <c r="BC21" s="3" t="s">
        <v>189</v>
      </c>
      <c r="BD21" s="3" t="s">
        <v>189</v>
      </c>
      <c r="BE21" s="3" t="s">
        <v>189</v>
      </c>
      <c r="BF21" t="s">
        <v>194</v>
      </c>
      <c r="BG21" t="s">
        <v>195</v>
      </c>
      <c r="BH21">
        <v>0.5</v>
      </c>
      <c r="BI21" s="3" t="s">
        <v>189</v>
      </c>
      <c r="BJ21" s="3" t="s">
        <v>189</v>
      </c>
      <c r="BK21" s="3" t="s">
        <v>189</v>
      </c>
      <c r="BL21" s="3" t="s">
        <v>189</v>
      </c>
      <c r="BM21" s="3" t="s">
        <v>189</v>
      </c>
      <c r="BN21" s="3" t="s">
        <v>189</v>
      </c>
      <c r="BO21" s="3" t="s">
        <v>189</v>
      </c>
      <c r="BP21" s="3" t="s">
        <v>189</v>
      </c>
      <c r="BQ21" s="3" t="s">
        <v>189</v>
      </c>
      <c r="BR21" t="s">
        <v>210</v>
      </c>
      <c r="BS21" s="3" t="s">
        <v>189</v>
      </c>
      <c r="BT21" s="8">
        <v>-28.905000000000001</v>
      </c>
      <c r="BU21" t="s">
        <v>176</v>
      </c>
      <c r="BV21" s="3" t="s">
        <v>189</v>
      </c>
      <c r="BW21" s="3" t="s">
        <v>189</v>
      </c>
      <c r="BX21" s="3" t="s">
        <v>189</v>
      </c>
      <c r="BY21">
        <v>4.2</v>
      </c>
      <c r="BZ21" s="3" t="s">
        <v>189</v>
      </c>
      <c r="CA21" s="3" t="s">
        <v>189</v>
      </c>
      <c r="CB21" s="3" t="s">
        <v>189</v>
      </c>
      <c r="CC21" s="3" t="s">
        <v>189</v>
      </c>
      <c r="CD21" s="3" t="s">
        <v>189</v>
      </c>
      <c r="CE21" s="3" t="s">
        <v>189</v>
      </c>
      <c r="CF21" s="3" t="s">
        <v>201</v>
      </c>
      <c r="CG21">
        <v>35</v>
      </c>
      <c r="CH21" s="3" t="s">
        <v>189</v>
      </c>
      <c r="CI21" s="3" t="s">
        <v>189</v>
      </c>
      <c r="CJ21" s="1" t="s">
        <v>177</v>
      </c>
      <c r="CK21">
        <v>0.3</v>
      </c>
      <c r="CL21">
        <v>0.1</v>
      </c>
      <c r="CM21">
        <v>0.1</v>
      </c>
      <c r="CN21" s="3" t="s">
        <v>203</v>
      </c>
      <c r="CO21" t="s">
        <v>202</v>
      </c>
      <c r="CP21" s="3" t="s">
        <v>189</v>
      </c>
      <c r="CQ21" s="3" t="s">
        <v>189</v>
      </c>
      <c r="CR21" s="8">
        <v>21.422743890909089</v>
      </c>
      <c r="CS21" s="3" t="s">
        <v>189</v>
      </c>
      <c r="CT21" s="3" t="s">
        <v>189</v>
      </c>
      <c r="CU21" s="3" t="s">
        <v>189</v>
      </c>
      <c r="CV21" t="s">
        <v>212</v>
      </c>
      <c r="CW21" s="3" t="s">
        <v>189</v>
      </c>
      <c r="CX21" s="3" t="s">
        <v>189</v>
      </c>
      <c r="CY21" s="3" t="s">
        <v>189</v>
      </c>
      <c r="CZ21" s="3" t="s">
        <v>189</v>
      </c>
      <c r="DA21" s="3" t="s">
        <v>189</v>
      </c>
      <c r="DB21" s="3" t="s">
        <v>189</v>
      </c>
      <c r="DC21" s="3" t="s">
        <v>189</v>
      </c>
      <c r="DD21" s="3" t="s">
        <v>189</v>
      </c>
      <c r="DE21" s="3" t="s">
        <v>189</v>
      </c>
      <c r="DF21" s="3" t="s">
        <v>189</v>
      </c>
      <c r="DG21" s="3" t="s">
        <v>189</v>
      </c>
      <c r="DH21" s="3" t="s">
        <v>189</v>
      </c>
      <c r="DI21" s="3" t="s">
        <v>189</v>
      </c>
      <c r="DJ21" s="3" t="s">
        <v>189</v>
      </c>
      <c r="DK21" s="3" t="s">
        <v>189</v>
      </c>
      <c r="DL21" s="3" t="s">
        <v>189</v>
      </c>
      <c r="DM21" s="3" t="s">
        <v>189</v>
      </c>
      <c r="DN21" s="3" t="s">
        <v>189</v>
      </c>
      <c r="DO21" s="3" t="s">
        <v>189</v>
      </c>
      <c r="DP21" s="3" t="s">
        <v>189</v>
      </c>
      <c r="DQ21" s="3" t="s">
        <v>189</v>
      </c>
      <c r="DR21" s="3" t="s">
        <v>189</v>
      </c>
      <c r="DS21" s="3" t="s">
        <v>189</v>
      </c>
      <c r="DT21" s="3" t="s">
        <v>189</v>
      </c>
      <c r="DU21" s="3" t="s">
        <v>189</v>
      </c>
      <c r="DV21" s="3" t="s">
        <v>189</v>
      </c>
      <c r="DW21" s="3" t="s">
        <v>189</v>
      </c>
      <c r="DX21" s="3" t="s">
        <v>189</v>
      </c>
      <c r="DY21" s="3" t="s">
        <v>189</v>
      </c>
      <c r="DZ21" s="3" t="s">
        <v>189</v>
      </c>
      <c r="EA21" s="3" t="s">
        <v>189</v>
      </c>
      <c r="EB21" s="3" t="s">
        <v>189</v>
      </c>
      <c r="EC21" s="3" t="s">
        <v>189</v>
      </c>
      <c r="ED21" s="3" t="s">
        <v>189</v>
      </c>
      <c r="EE21" s="3" t="s">
        <v>189</v>
      </c>
      <c r="EF21" s="3" t="s">
        <v>189</v>
      </c>
      <c r="EG21" s="3" t="s">
        <v>189</v>
      </c>
      <c r="EH21" s="3" t="s">
        <v>189</v>
      </c>
      <c r="EI21" s="3" t="s">
        <v>189</v>
      </c>
      <c r="EJ21" s="3" t="s">
        <v>189</v>
      </c>
      <c r="EK21" s="3" t="s">
        <v>189</v>
      </c>
      <c r="EL21" s="3" t="s">
        <v>189</v>
      </c>
      <c r="EM21" s="3" t="s">
        <v>189</v>
      </c>
      <c r="EN21" s="3" t="s">
        <v>189</v>
      </c>
      <c r="EO21" s="3" t="s">
        <v>189</v>
      </c>
      <c r="EP21" s="3" t="s">
        <v>189</v>
      </c>
      <c r="EQ21" s="3" t="s">
        <v>189</v>
      </c>
      <c r="ER21" s="3" t="s">
        <v>189</v>
      </c>
      <c r="ES21" s="3" t="s">
        <v>189</v>
      </c>
      <c r="ET21" s="3" t="s">
        <v>189</v>
      </c>
      <c r="EU21" s="3" t="s">
        <v>189</v>
      </c>
      <c r="EV21" t="s">
        <v>205</v>
      </c>
      <c r="EW21">
        <v>25</v>
      </c>
      <c r="EX21" s="7">
        <v>16.621639036722648</v>
      </c>
      <c r="EY21" s="3">
        <v>0.37569810169890516</v>
      </c>
      <c r="EZ21" s="3">
        <v>0.37569746804178195</v>
      </c>
      <c r="FA21" s="3" t="s">
        <v>232</v>
      </c>
      <c r="FB21" s="3" t="s">
        <v>233</v>
      </c>
      <c r="FC21" s="3" t="s">
        <v>189</v>
      </c>
      <c r="FD21" s="3" t="s">
        <v>189</v>
      </c>
      <c r="FE21" s="3" t="s">
        <v>189</v>
      </c>
      <c r="FF21" s="3" t="s">
        <v>189</v>
      </c>
      <c r="FG21" s="3" t="s">
        <v>189</v>
      </c>
      <c r="FH21">
        <v>466.83596192658729</v>
      </c>
      <c r="FI21">
        <v>103.4081091685523</v>
      </c>
      <c r="FJ21">
        <v>103.4081091685523</v>
      </c>
      <c r="FK21" s="3" t="s">
        <v>203</v>
      </c>
      <c r="FL21" s="10" t="s">
        <v>211</v>
      </c>
      <c r="FM21" s="3" t="s">
        <v>206</v>
      </c>
      <c r="FT21" s="3" t="s">
        <v>188</v>
      </c>
      <c r="FU21" s="3" t="s">
        <v>207</v>
      </c>
      <c r="FV21" s="29" t="s">
        <v>283</v>
      </c>
      <c r="FW21" s="7" t="s">
        <v>189</v>
      </c>
      <c r="FX21" s="30" t="s">
        <v>314</v>
      </c>
      <c r="FY21" s="3" t="s">
        <v>204</v>
      </c>
    </row>
    <row r="22" spans="1:181" x14ac:dyDescent="0.15">
      <c r="A22" s="3" t="s">
        <v>248</v>
      </c>
      <c r="B22" s="3" t="s">
        <v>182</v>
      </c>
      <c r="C22">
        <v>2005</v>
      </c>
      <c r="D22" s="9" t="str">
        <f t="shared" si="0"/>
        <v>10.1126/science.1110063</v>
      </c>
      <c r="E22" s="9">
        <f t="shared" si="1"/>
        <v>26127.991119005328</v>
      </c>
      <c r="F22" s="9" t="str">
        <f t="shared" si="2"/>
        <v>NA</v>
      </c>
      <c r="G22" s="9" t="str">
        <f t="shared" si="3"/>
        <v>NA</v>
      </c>
      <c r="H22" s="9">
        <f t="shared" si="4"/>
        <v>450.33254306734034</v>
      </c>
      <c r="I22" s="9">
        <f t="shared" si="5"/>
        <v>101.29603215928887</v>
      </c>
      <c r="J22" s="9">
        <f t="shared" si="6"/>
        <v>101.29603215928887</v>
      </c>
      <c r="K22" s="2" t="s">
        <v>183</v>
      </c>
      <c r="L22" s="3" t="s">
        <v>184</v>
      </c>
      <c r="M22" s="2" t="s">
        <v>249</v>
      </c>
      <c r="N22" s="2" t="s">
        <v>185</v>
      </c>
      <c r="O22" s="4">
        <v>516</v>
      </c>
      <c r="P22" t="s">
        <v>188</v>
      </c>
      <c r="Q22" s="5">
        <v>13</v>
      </c>
      <c r="R22" s="2" t="s">
        <v>189</v>
      </c>
      <c r="S22" s="2" t="s">
        <v>189</v>
      </c>
      <c r="T22" s="5">
        <v>3</v>
      </c>
      <c r="U22" s="5">
        <v>27</v>
      </c>
      <c r="V22" s="6">
        <v>33</v>
      </c>
      <c r="W22" s="3" t="s">
        <v>189</v>
      </c>
      <c r="X22" s="3" t="s">
        <v>189</v>
      </c>
      <c r="Y22" s="3" t="s">
        <v>189</v>
      </c>
      <c r="Z22" s="7">
        <v>286.39999999999998</v>
      </c>
      <c r="AA22" s="3" t="s">
        <v>189</v>
      </c>
      <c r="AB22">
        <v>26127.991119005328</v>
      </c>
      <c r="AC22" s="3" t="s">
        <v>189</v>
      </c>
      <c r="AD22" s="3" t="s">
        <v>189</v>
      </c>
      <c r="AE22" s="3" t="s">
        <v>189</v>
      </c>
      <c r="AF22" s="3" t="s">
        <v>191</v>
      </c>
      <c r="AG22" s="3" t="s">
        <v>190</v>
      </c>
      <c r="AH22" s="3" t="s">
        <v>189</v>
      </c>
      <c r="AI22" s="3" t="s">
        <v>189</v>
      </c>
      <c r="AJ22" s="3" t="s">
        <v>189</v>
      </c>
      <c r="AK22" s="3" t="s">
        <v>189</v>
      </c>
      <c r="AL22" s="3" t="s">
        <v>189</v>
      </c>
      <c r="AM22" s="3" t="s">
        <v>189</v>
      </c>
      <c r="AN22" s="3" t="s">
        <v>189</v>
      </c>
      <c r="AO22" s="3" t="s">
        <v>189</v>
      </c>
      <c r="AP22" s="3" t="s">
        <v>189</v>
      </c>
      <c r="AQ22" s="3" t="s">
        <v>189</v>
      </c>
      <c r="AR22" s="3" t="s">
        <v>189</v>
      </c>
      <c r="AS22" s="3" t="s">
        <v>189</v>
      </c>
      <c r="AT22" s="3" t="s">
        <v>189</v>
      </c>
      <c r="AU22" s="3" t="s">
        <v>189</v>
      </c>
      <c r="AV22" s="3" t="s">
        <v>189</v>
      </c>
      <c r="AW22" s="3" t="s">
        <v>189</v>
      </c>
      <c r="AX22" s="3" t="s">
        <v>189</v>
      </c>
      <c r="AY22" s="3" t="s">
        <v>189</v>
      </c>
      <c r="AZ22" s="3" t="s">
        <v>189</v>
      </c>
      <c r="BA22" s="3" t="s">
        <v>189</v>
      </c>
      <c r="BB22" s="3" t="s">
        <v>189</v>
      </c>
      <c r="BC22" s="3" t="s">
        <v>189</v>
      </c>
      <c r="BD22" s="3" t="s">
        <v>189</v>
      </c>
      <c r="BE22" s="3" t="s">
        <v>189</v>
      </c>
      <c r="BF22" t="s">
        <v>194</v>
      </c>
      <c r="BG22" t="s">
        <v>195</v>
      </c>
      <c r="BH22">
        <v>0.5</v>
      </c>
      <c r="BI22" s="3" t="s">
        <v>189</v>
      </c>
      <c r="BJ22" s="3" t="s">
        <v>189</v>
      </c>
      <c r="BK22" s="3" t="s">
        <v>189</v>
      </c>
      <c r="BL22" s="3" t="s">
        <v>189</v>
      </c>
      <c r="BM22" s="3" t="s">
        <v>189</v>
      </c>
      <c r="BN22" s="3" t="s">
        <v>189</v>
      </c>
      <c r="BO22" s="3" t="s">
        <v>189</v>
      </c>
      <c r="BP22" s="3" t="s">
        <v>189</v>
      </c>
      <c r="BQ22" s="3" t="s">
        <v>189</v>
      </c>
      <c r="BR22" t="s">
        <v>210</v>
      </c>
      <c r="BS22" s="3" t="s">
        <v>189</v>
      </c>
      <c r="BT22" s="8">
        <v>-29.07</v>
      </c>
      <c r="BU22" t="s">
        <v>176</v>
      </c>
      <c r="BV22" s="3" t="s">
        <v>189</v>
      </c>
      <c r="BW22" s="3" t="s">
        <v>189</v>
      </c>
      <c r="BX22" s="3" t="s">
        <v>189</v>
      </c>
      <c r="BY22">
        <v>4.2</v>
      </c>
      <c r="BZ22" s="3" t="s">
        <v>189</v>
      </c>
      <c r="CA22" s="3" t="s">
        <v>189</v>
      </c>
      <c r="CB22" s="3" t="s">
        <v>189</v>
      </c>
      <c r="CC22" s="3" t="s">
        <v>189</v>
      </c>
      <c r="CD22" s="3" t="s">
        <v>189</v>
      </c>
      <c r="CE22" s="3" t="s">
        <v>189</v>
      </c>
      <c r="CF22" s="3" t="s">
        <v>201</v>
      </c>
      <c r="CG22">
        <v>35</v>
      </c>
      <c r="CH22" s="3" t="s">
        <v>189</v>
      </c>
      <c r="CI22" s="3" t="s">
        <v>189</v>
      </c>
      <c r="CJ22" s="1" t="s">
        <v>177</v>
      </c>
      <c r="CK22">
        <v>0.3</v>
      </c>
      <c r="CL22">
        <v>0.1</v>
      </c>
      <c r="CM22">
        <v>0.1</v>
      </c>
      <c r="CN22" s="3" t="s">
        <v>203</v>
      </c>
      <c r="CO22" t="s">
        <v>202</v>
      </c>
      <c r="CP22" s="3" t="s">
        <v>189</v>
      </c>
      <c r="CQ22" s="3" t="s">
        <v>189</v>
      </c>
      <c r="CR22" s="8">
        <v>19.507919490909092</v>
      </c>
      <c r="CS22" s="3" t="s">
        <v>189</v>
      </c>
      <c r="CT22" s="3" t="s">
        <v>189</v>
      </c>
      <c r="CU22" s="3" t="s">
        <v>189</v>
      </c>
      <c r="CV22" t="s">
        <v>212</v>
      </c>
      <c r="CW22" s="3" t="s">
        <v>189</v>
      </c>
      <c r="CX22" s="3" t="s">
        <v>189</v>
      </c>
      <c r="CY22" s="3" t="s">
        <v>189</v>
      </c>
      <c r="CZ22" s="3" t="s">
        <v>189</v>
      </c>
      <c r="DA22" s="3" t="s">
        <v>189</v>
      </c>
      <c r="DB22" s="3" t="s">
        <v>189</v>
      </c>
      <c r="DC22" s="3" t="s">
        <v>189</v>
      </c>
      <c r="DD22" s="3" t="s">
        <v>189</v>
      </c>
      <c r="DE22" s="3" t="s">
        <v>189</v>
      </c>
      <c r="DF22" s="3" t="s">
        <v>189</v>
      </c>
      <c r="DG22" s="3" t="s">
        <v>189</v>
      </c>
      <c r="DH22" s="3" t="s">
        <v>189</v>
      </c>
      <c r="DI22" s="3" t="s">
        <v>189</v>
      </c>
      <c r="DJ22" s="3" t="s">
        <v>189</v>
      </c>
      <c r="DK22" s="3" t="s">
        <v>189</v>
      </c>
      <c r="DL22" s="3" t="s">
        <v>189</v>
      </c>
      <c r="DM22" s="3" t="s">
        <v>189</v>
      </c>
      <c r="DN22" s="3" t="s">
        <v>189</v>
      </c>
      <c r="DO22" s="3" t="s">
        <v>189</v>
      </c>
      <c r="DP22" s="3" t="s">
        <v>189</v>
      </c>
      <c r="DQ22" s="3" t="s">
        <v>189</v>
      </c>
      <c r="DR22" s="3" t="s">
        <v>189</v>
      </c>
      <c r="DS22" s="3" t="s">
        <v>189</v>
      </c>
      <c r="DT22" s="3" t="s">
        <v>189</v>
      </c>
      <c r="DU22" s="3" t="s">
        <v>189</v>
      </c>
      <c r="DV22" s="3" t="s">
        <v>189</v>
      </c>
      <c r="DW22" s="3" t="s">
        <v>189</v>
      </c>
      <c r="DX22" s="3" t="s">
        <v>189</v>
      </c>
      <c r="DY22" s="3" t="s">
        <v>189</v>
      </c>
      <c r="DZ22" s="3" t="s">
        <v>189</v>
      </c>
      <c r="EA22" s="3" t="s">
        <v>189</v>
      </c>
      <c r="EB22" s="3" t="s">
        <v>189</v>
      </c>
      <c r="EC22" s="3" t="s">
        <v>189</v>
      </c>
      <c r="ED22" s="3" t="s">
        <v>189</v>
      </c>
      <c r="EE22" s="3" t="s">
        <v>189</v>
      </c>
      <c r="EF22" s="3" t="s">
        <v>189</v>
      </c>
      <c r="EG22" s="3" t="s">
        <v>189</v>
      </c>
      <c r="EH22" s="3" t="s">
        <v>189</v>
      </c>
      <c r="EI22" s="3" t="s">
        <v>189</v>
      </c>
      <c r="EJ22" s="3" t="s">
        <v>189</v>
      </c>
      <c r="EK22" s="3" t="s">
        <v>189</v>
      </c>
      <c r="EL22" s="3" t="s">
        <v>189</v>
      </c>
      <c r="EM22" s="3" t="s">
        <v>189</v>
      </c>
      <c r="EN22" s="3" t="s">
        <v>189</v>
      </c>
      <c r="EO22" s="3" t="s">
        <v>189</v>
      </c>
      <c r="EP22" s="3" t="s">
        <v>189</v>
      </c>
      <c r="EQ22" s="3" t="s">
        <v>189</v>
      </c>
      <c r="ER22" s="3" t="s">
        <v>189</v>
      </c>
      <c r="ES22" s="3" t="s">
        <v>189</v>
      </c>
      <c r="ET22" s="3" t="s">
        <v>189</v>
      </c>
      <c r="EU22" s="3" t="s">
        <v>189</v>
      </c>
      <c r="EV22" t="s">
        <v>205</v>
      </c>
      <c r="EW22">
        <v>25</v>
      </c>
      <c r="EX22" s="7">
        <v>16.752957021839876</v>
      </c>
      <c r="EY22" s="3">
        <v>0.37583393223394879</v>
      </c>
      <c r="EZ22" s="3">
        <v>0.37583858073486454</v>
      </c>
      <c r="FA22" s="3" t="s">
        <v>232</v>
      </c>
      <c r="FB22" s="3" t="s">
        <v>233</v>
      </c>
      <c r="FC22" s="3" t="s">
        <v>189</v>
      </c>
      <c r="FD22" s="3" t="s">
        <v>189</v>
      </c>
      <c r="FE22" s="3" t="s">
        <v>189</v>
      </c>
      <c r="FF22" s="3" t="s">
        <v>189</v>
      </c>
      <c r="FG22" s="3" t="s">
        <v>189</v>
      </c>
      <c r="FH22">
        <v>450.33254306734034</v>
      </c>
      <c r="FI22">
        <v>101.29603215928887</v>
      </c>
      <c r="FJ22">
        <v>101.29603215928887</v>
      </c>
      <c r="FK22" s="3" t="s">
        <v>203</v>
      </c>
      <c r="FL22" s="10" t="s">
        <v>211</v>
      </c>
      <c r="FM22" s="3" t="s">
        <v>206</v>
      </c>
      <c r="FT22" s="3" t="s">
        <v>188</v>
      </c>
      <c r="FU22" s="3" t="s">
        <v>207</v>
      </c>
      <c r="FV22" s="29" t="s">
        <v>284</v>
      </c>
      <c r="FW22" s="7" t="s">
        <v>189</v>
      </c>
      <c r="FX22" s="30" t="s">
        <v>315</v>
      </c>
      <c r="FY22" s="3" t="s">
        <v>204</v>
      </c>
    </row>
    <row r="23" spans="1:181" x14ac:dyDescent="0.15">
      <c r="A23" s="3" t="s">
        <v>248</v>
      </c>
      <c r="B23" s="3" t="s">
        <v>182</v>
      </c>
      <c r="C23">
        <v>2005</v>
      </c>
      <c r="D23" s="9" t="str">
        <f t="shared" si="0"/>
        <v>10.1126/science.1110063</v>
      </c>
      <c r="E23" s="9">
        <f t="shared" si="1"/>
        <v>26514.103907637658</v>
      </c>
      <c r="F23" s="9" t="str">
        <f t="shared" si="2"/>
        <v>NA</v>
      </c>
      <c r="G23" s="9" t="str">
        <f t="shared" si="3"/>
        <v>NA</v>
      </c>
      <c r="H23" s="9">
        <f t="shared" si="4"/>
        <v>412.54097630910644</v>
      </c>
      <c r="I23" s="9">
        <f t="shared" si="5"/>
        <v>90.374313894545594</v>
      </c>
      <c r="J23" s="9">
        <f t="shared" si="6"/>
        <v>90.374313894545594</v>
      </c>
      <c r="K23" s="2" t="s">
        <v>183</v>
      </c>
      <c r="L23" s="3" t="s">
        <v>184</v>
      </c>
      <c r="M23" s="2" t="s">
        <v>249</v>
      </c>
      <c r="N23" s="2" t="s">
        <v>185</v>
      </c>
      <c r="O23" s="4">
        <v>516</v>
      </c>
      <c r="P23" t="s">
        <v>188</v>
      </c>
      <c r="Q23" s="5">
        <v>15</v>
      </c>
      <c r="R23" s="2" t="s">
        <v>189</v>
      </c>
      <c r="S23" s="2" t="s">
        <v>189</v>
      </c>
      <c r="T23" s="5">
        <v>6</v>
      </c>
      <c r="U23" s="5">
        <v>22</v>
      </c>
      <c r="V23" s="6">
        <v>28</v>
      </c>
      <c r="W23" s="3" t="s">
        <v>189</v>
      </c>
      <c r="X23" s="3" t="s">
        <v>189</v>
      </c>
      <c r="Y23" s="3" t="s">
        <v>189</v>
      </c>
      <c r="Z23" s="7">
        <v>309.85000000000002</v>
      </c>
      <c r="AA23" s="3" t="s">
        <v>189</v>
      </c>
      <c r="AB23">
        <v>26514.103907637658</v>
      </c>
      <c r="AC23" s="3" t="s">
        <v>189</v>
      </c>
      <c r="AD23" s="3" t="s">
        <v>189</v>
      </c>
      <c r="AE23" s="3" t="s">
        <v>189</v>
      </c>
      <c r="AF23" s="3" t="s">
        <v>191</v>
      </c>
      <c r="AG23" s="3" t="s">
        <v>190</v>
      </c>
      <c r="AH23" s="3" t="s">
        <v>189</v>
      </c>
      <c r="AI23" s="3" t="s">
        <v>189</v>
      </c>
      <c r="AJ23" s="3" t="s">
        <v>189</v>
      </c>
      <c r="AK23" s="3" t="s">
        <v>189</v>
      </c>
      <c r="AL23" s="3" t="s">
        <v>189</v>
      </c>
      <c r="AM23" s="3" t="s">
        <v>189</v>
      </c>
      <c r="AN23" s="3" t="s">
        <v>189</v>
      </c>
      <c r="AO23" s="3" t="s">
        <v>189</v>
      </c>
      <c r="AP23" s="3" t="s">
        <v>189</v>
      </c>
      <c r="AQ23" s="3" t="s">
        <v>189</v>
      </c>
      <c r="AR23" s="3" t="s">
        <v>189</v>
      </c>
      <c r="AS23" s="3" t="s">
        <v>189</v>
      </c>
      <c r="AT23" s="3" t="s">
        <v>189</v>
      </c>
      <c r="AU23" s="3" t="s">
        <v>189</v>
      </c>
      <c r="AV23" s="3" t="s">
        <v>189</v>
      </c>
      <c r="AW23" s="3" t="s">
        <v>189</v>
      </c>
      <c r="AX23" s="3" t="s">
        <v>189</v>
      </c>
      <c r="AY23" s="3" t="s">
        <v>189</v>
      </c>
      <c r="AZ23" s="3" t="s">
        <v>189</v>
      </c>
      <c r="BA23" s="3" t="s">
        <v>189</v>
      </c>
      <c r="BB23" s="3" t="s">
        <v>189</v>
      </c>
      <c r="BC23" s="3" t="s">
        <v>189</v>
      </c>
      <c r="BD23" s="3" t="s">
        <v>189</v>
      </c>
      <c r="BE23" s="3" t="s">
        <v>189</v>
      </c>
      <c r="BF23" t="s">
        <v>194</v>
      </c>
      <c r="BG23" t="s">
        <v>195</v>
      </c>
      <c r="BH23">
        <v>0.5</v>
      </c>
      <c r="BI23" s="3" t="s">
        <v>189</v>
      </c>
      <c r="BJ23" s="3" t="s">
        <v>189</v>
      </c>
      <c r="BK23" s="3" t="s">
        <v>189</v>
      </c>
      <c r="BL23" s="3" t="s">
        <v>189</v>
      </c>
      <c r="BM23" s="3" t="s">
        <v>189</v>
      </c>
      <c r="BN23" s="3" t="s">
        <v>189</v>
      </c>
      <c r="BO23" s="3" t="s">
        <v>189</v>
      </c>
      <c r="BP23" s="3" t="s">
        <v>189</v>
      </c>
      <c r="BQ23" s="3" t="s">
        <v>189</v>
      </c>
      <c r="BR23" t="s">
        <v>210</v>
      </c>
      <c r="BS23" s="3" t="s">
        <v>189</v>
      </c>
      <c r="BT23" s="8">
        <v>-27.9285</v>
      </c>
      <c r="BU23" t="s">
        <v>176</v>
      </c>
      <c r="BV23" s="3" t="s">
        <v>189</v>
      </c>
      <c r="BW23" s="3" t="s">
        <v>189</v>
      </c>
      <c r="BX23" s="3" t="s">
        <v>189</v>
      </c>
      <c r="BY23">
        <v>4.2</v>
      </c>
      <c r="BZ23" s="3" t="s">
        <v>189</v>
      </c>
      <c r="CA23" s="3" t="s">
        <v>189</v>
      </c>
      <c r="CB23" s="3" t="s">
        <v>189</v>
      </c>
      <c r="CC23" s="3" t="s">
        <v>189</v>
      </c>
      <c r="CD23" s="3" t="s">
        <v>189</v>
      </c>
      <c r="CE23" s="3" t="s">
        <v>189</v>
      </c>
      <c r="CF23" s="3" t="s">
        <v>201</v>
      </c>
      <c r="CG23">
        <v>35</v>
      </c>
      <c r="CH23" s="3" t="s">
        <v>189</v>
      </c>
      <c r="CI23" s="3" t="s">
        <v>189</v>
      </c>
      <c r="CJ23" s="1" t="s">
        <v>177</v>
      </c>
      <c r="CK23">
        <v>0.3</v>
      </c>
      <c r="CL23">
        <v>0.1</v>
      </c>
      <c r="CM23">
        <v>0.1</v>
      </c>
      <c r="CN23" s="3" t="s">
        <v>203</v>
      </c>
      <c r="CO23" t="s">
        <v>202</v>
      </c>
      <c r="CP23" s="3" t="s">
        <v>189</v>
      </c>
      <c r="CQ23" s="3" t="s">
        <v>189</v>
      </c>
      <c r="CR23" s="8">
        <v>20.397247490909091</v>
      </c>
      <c r="CS23" s="3" t="s">
        <v>189</v>
      </c>
      <c r="CT23" s="3" t="s">
        <v>189</v>
      </c>
      <c r="CU23" s="3" t="s">
        <v>189</v>
      </c>
      <c r="CV23" t="s">
        <v>212</v>
      </c>
      <c r="CW23" s="3" t="s">
        <v>189</v>
      </c>
      <c r="CX23" s="3" t="s">
        <v>189</v>
      </c>
      <c r="CY23" s="3" t="s">
        <v>189</v>
      </c>
      <c r="CZ23" s="3" t="s">
        <v>189</v>
      </c>
      <c r="DA23" s="3" t="s">
        <v>189</v>
      </c>
      <c r="DB23" s="3" t="s">
        <v>189</v>
      </c>
      <c r="DC23" s="3" t="s">
        <v>189</v>
      </c>
      <c r="DD23" s="3" t="s">
        <v>189</v>
      </c>
      <c r="DE23" s="3" t="s">
        <v>189</v>
      </c>
      <c r="DF23" s="3" t="s">
        <v>189</v>
      </c>
      <c r="DG23" s="3" t="s">
        <v>189</v>
      </c>
      <c r="DH23" s="3" t="s">
        <v>189</v>
      </c>
      <c r="DI23" s="3" t="s">
        <v>189</v>
      </c>
      <c r="DJ23" s="3" t="s">
        <v>189</v>
      </c>
      <c r="DK23" s="3" t="s">
        <v>189</v>
      </c>
      <c r="DL23" s="3" t="s">
        <v>189</v>
      </c>
      <c r="DM23" s="3" t="s">
        <v>189</v>
      </c>
      <c r="DN23" s="3" t="s">
        <v>189</v>
      </c>
      <c r="DO23" s="3" t="s">
        <v>189</v>
      </c>
      <c r="DP23" s="3" t="s">
        <v>189</v>
      </c>
      <c r="DQ23" s="3" t="s">
        <v>189</v>
      </c>
      <c r="DR23" s="3" t="s">
        <v>189</v>
      </c>
      <c r="DS23" s="3" t="s">
        <v>189</v>
      </c>
      <c r="DT23" s="3" t="s">
        <v>189</v>
      </c>
      <c r="DU23" s="3" t="s">
        <v>189</v>
      </c>
      <c r="DV23" s="3" t="s">
        <v>189</v>
      </c>
      <c r="DW23" s="3" t="s">
        <v>189</v>
      </c>
      <c r="DX23" s="3" t="s">
        <v>189</v>
      </c>
      <c r="DY23" s="3" t="s">
        <v>189</v>
      </c>
      <c r="DZ23" s="3" t="s">
        <v>189</v>
      </c>
      <c r="EA23" s="3" t="s">
        <v>189</v>
      </c>
      <c r="EB23" s="3" t="s">
        <v>189</v>
      </c>
      <c r="EC23" s="3" t="s">
        <v>189</v>
      </c>
      <c r="ED23" s="3" t="s">
        <v>189</v>
      </c>
      <c r="EE23" s="3" t="s">
        <v>189</v>
      </c>
      <c r="EF23" s="3" t="s">
        <v>189</v>
      </c>
      <c r="EG23" s="3" t="s">
        <v>189</v>
      </c>
      <c r="EH23" s="3" t="s">
        <v>189</v>
      </c>
      <c r="EI23" s="3" t="s">
        <v>189</v>
      </c>
      <c r="EJ23" s="3" t="s">
        <v>189</v>
      </c>
      <c r="EK23" s="3" t="s">
        <v>189</v>
      </c>
      <c r="EL23" s="3" t="s">
        <v>189</v>
      </c>
      <c r="EM23" s="3" t="s">
        <v>189</v>
      </c>
      <c r="EN23" s="3" t="s">
        <v>189</v>
      </c>
      <c r="EO23" s="3" t="s">
        <v>189</v>
      </c>
      <c r="EP23" s="3" t="s">
        <v>189</v>
      </c>
      <c r="EQ23" s="3" t="s">
        <v>189</v>
      </c>
      <c r="ER23" s="3" t="s">
        <v>189</v>
      </c>
      <c r="ES23" s="3" t="s">
        <v>189</v>
      </c>
      <c r="ET23" s="3" t="s">
        <v>189</v>
      </c>
      <c r="EU23" s="3" t="s">
        <v>189</v>
      </c>
      <c r="EV23" t="s">
        <v>205</v>
      </c>
      <c r="EW23">
        <v>25</v>
      </c>
      <c r="EX23" s="7">
        <v>15.787165363187361</v>
      </c>
      <c r="EY23" s="3">
        <v>0.37543601175382868</v>
      </c>
      <c r="EZ23" s="3">
        <v>0.37543818802321383</v>
      </c>
      <c r="FA23" s="3" t="s">
        <v>232</v>
      </c>
      <c r="FB23" s="3" t="s">
        <v>233</v>
      </c>
      <c r="FC23" s="3" t="s">
        <v>189</v>
      </c>
      <c r="FD23" s="3" t="s">
        <v>189</v>
      </c>
      <c r="FE23" s="3" t="s">
        <v>189</v>
      </c>
      <c r="FF23" s="3" t="s">
        <v>189</v>
      </c>
      <c r="FG23" s="3" t="s">
        <v>189</v>
      </c>
      <c r="FH23">
        <v>412.54097630910644</v>
      </c>
      <c r="FI23">
        <v>90.374313894545594</v>
      </c>
      <c r="FJ23">
        <v>90.374313894545594</v>
      </c>
      <c r="FK23" s="3" t="s">
        <v>203</v>
      </c>
      <c r="FL23" s="10" t="s">
        <v>211</v>
      </c>
      <c r="FM23" s="3" t="s">
        <v>206</v>
      </c>
      <c r="FT23" s="3" t="s">
        <v>188</v>
      </c>
      <c r="FU23" s="3" t="s">
        <v>207</v>
      </c>
      <c r="FV23" s="29" t="s">
        <v>285</v>
      </c>
      <c r="FW23" s="7" t="s">
        <v>189</v>
      </c>
      <c r="FX23" s="30" t="s">
        <v>316</v>
      </c>
      <c r="FY23" s="3" t="s">
        <v>204</v>
      </c>
    </row>
    <row r="24" spans="1:181" x14ac:dyDescent="0.15">
      <c r="A24" s="3" t="s">
        <v>248</v>
      </c>
      <c r="B24" s="3" t="s">
        <v>182</v>
      </c>
      <c r="C24">
        <v>2005</v>
      </c>
      <c r="D24" s="9" t="str">
        <f t="shared" si="0"/>
        <v>10.1126/science.1110063</v>
      </c>
      <c r="E24" s="9">
        <f t="shared" si="1"/>
        <v>28563.383045525901</v>
      </c>
      <c r="F24" s="9" t="str">
        <f t="shared" si="2"/>
        <v>NA</v>
      </c>
      <c r="G24" s="9" t="str">
        <f t="shared" si="3"/>
        <v>NA</v>
      </c>
      <c r="H24" s="9">
        <f t="shared" si="4"/>
        <v>496.51199266666288</v>
      </c>
      <c r="I24" s="9">
        <f t="shared" si="5"/>
        <v>113.15256193353116</v>
      </c>
      <c r="J24" s="9">
        <f t="shared" si="6"/>
        <v>113.15256193353116</v>
      </c>
      <c r="K24" s="2" t="s">
        <v>183</v>
      </c>
      <c r="L24" s="3" t="s">
        <v>184</v>
      </c>
      <c r="M24" s="2" t="s">
        <v>249</v>
      </c>
      <c r="N24" s="2" t="s">
        <v>185</v>
      </c>
      <c r="O24" s="4">
        <v>516</v>
      </c>
      <c r="P24" t="s">
        <v>188</v>
      </c>
      <c r="Q24" s="5">
        <v>23</v>
      </c>
      <c r="R24" s="2" t="s">
        <v>189</v>
      </c>
      <c r="S24" s="2" t="s">
        <v>189</v>
      </c>
      <c r="T24" s="5">
        <v>1</v>
      </c>
      <c r="U24" s="5">
        <v>26</v>
      </c>
      <c r="V24" s="6">
        <v>32</v>
      </c>
      <c r="W24" s="3" t="s">
        <v>189</v>
      </c>
      <c r="X24" s="3" t="s">
        <v>189</v>
      </c>
      <c r="Y24" s="3" t="s">
        <v>189</v>
      </c>
      <c r="Z24" s="7">
        <v>378.39</v>
      </c>
      <c r="AA24" s="3" t="s">
        <v>189</v>
      </c>
      <c r="AB24">
        <v>28563.383045525901</v>
      </c>
      <c r="AC24" s="3" t="s">
        <v>189</v>
      </c>
      <c r="AD24" s="3" t="s">
        <v>189</v>
      </c>
      <c r="AE24" s="3" t="s">
        <v>189</v>
      </c>
      <c r="AF24" s="3" t="s">
        <v>191</v>
      </c>
      <c r="AG24" s="3" t="s">
        <v>190</v>
      </c>
      <c r="AH24" s="3" t="s">
        <v>189</v>
      </c>
      <c r="AI24" s="3" t="s">
        <v>189</v>
      </c>
      <c r="AJ24" s="3" t="s">
        <v>189</v>
      </c>
      <c r="AK24" s="3" t="s">
        <v>189</v>
      </c>
      <c r="AL24" s="3" t="s">
        <v>189</v>
      </c>
      <c r="AM24" s="3" t="s">
        <v>189</v>
      </c>
      <c r="AN24" s="3" t="s">
        <v>189</v>
      </c>
      <c r="AO24" s="3" t="s">
        <v>189</v>
      </c>
      <c r="AP24" s="3" t="s">
        <v>189</v>
      </c>
      <c r="AQ24" s="3" t="s">
        <v>189</v>
      </c>
      <c r="AR24" s="3" t="s">
        <v>189</v>
      </c>
      <c r="AS24" s="3" t="s">
        <v>189</v>
      </c>
      <c r="AT24" s="3" t="s">
        <v>189</v>
      </c>
      <c r="AU24" s="3" t="s">
        <v>189</v>
      </c>
      <c r="AV24" s="3" t="s">
        <v>189</v>
      </c>
      <c r="AW24" s="3" t="s">
        <v>189</v>
      </c>
      <c r="AX24" s="3" t="s">
        <v>189</v>
      </c>
      <c r="AY24" s="3" t="s">
        <v>189</v>
      </c>
      <c r="AZ24" s="3" t="s">
        <v>189</v>
      </c>
      <c r="BA24" s="3" t="s">
        <v>189</v>
      </c>
      <c r="BB24" s="3" t="s">
        <v>189</v>
      </c>
      <c r="BC24" s="3" t="s">
        <v>189</v>
      </c>
      <c r="BD24" s="3" t="s">
        <v>189</v>
      </c>
      <c r="BE24" s="3" t="s">
        <v>189</v>
      </c>
      <c r="BF24" t="s">
        <v>194</v>
      </c>
      <c r="BG24" t="s">
        <v>195</v>
      </c>
      <c r="BH24">
        <v>0.5</v>
      </c>
      <c r="BI24" s="3" t="s">
        <v>189</v>
      </c>
      <c r="BJ24" s="3" t="s">
        <v>189</v>
      </c>
      <c r="BK24" s="3" t="s">
        <v>189</v>
      </c>
      <c r="BL24" s="3" t="s">
        <v>189</v>
      </c>
      <c r="BM24" s="3" t="s">
        <v>189</v>
      </c>
      <c r="BN24" s="3" t="s">
        <v>189</v>
      </c>
      <c r="BO24" s="3" t="s">
        <v>189</v>
      </c>
      <c r="BP24" s="3" t="s">
        <v>189</v>
      </c>
      <c r="BQ24" s="3" t="s">
        <v>189</v>
      </c>
      <c r="BR24" t="s">
        <v>210</v>
      </c>
      <c r="BS24" s="3" t="s">
        <v>189</v>
      </c>
      <c r="BT24" s="8">
        <v>-29.695499999999999</v>
      </c>
      <c r="BU24" t="s">
        <v>176</v>
      </c>
      <c r="BV24" s="3" t="s">
        <v>189</v>
      </c>
      <c r="BW24" s="3" t="s">
        <v>189</v>
      </c>
      <c r="BX24" s="3" t="s">
        <v>189</v>
      </c>
      <c r="BY24">
        <v>4.2</v>
      </c>
      <c r="BZ24" s="3" t="s">
        <v>189</v>
      </c>
      <c r="CA24" s="3" t="s">
        <v>189</v>
      </c>
      <c r="CB24" s="3" t="s">
        <v>189</v>
      </c>
      <c r="CC24" s="3" t="s">
        <v>189</v>
      </c>
      <c r="CD24" s="3" t="s">
        <v>189</v>
      </c>
      <c r="CE24" s="3" t="s">
        <v>189</v>
      </c>
      <c r="CF24" s="3" t="s">
        <v>201</v>
      </c>
      <c r="CG24">
        <v>35</v>
      </c>
      <c r="CH24" s="3" t="s">
        <v>189</v>
      </c>
      <c r="CI24" s="3" t="s">
        <v>189</v>
      </c>
      <c r="CJ24" s="1" t="s">
        <v>177</v>
      </c>
      <c r="CK24">
        <v>0.3</v>
      </c>
      <c r="CL24">
        <v>0.1</v>
      </c>
      <c r="CM24">
        <v>0.1</v>
      </c>
      <c r="CN24" s="3" t="s">
        <v>203</v>
      </c>
      <c r="CO24" t="s">
        <v>202</v>
      </c>
      <c r="CP24" s="3" t="s">
        <v>189</v>
      </c>
      <c r="CQ24" s="3" t="s">
        <v>189</v>
      </c>
      <c r="CR24" s="8">
        <v>20.04124749090909</v>
      </c>
      <c r="CS24" s="3" t="s">
        <v>189</v>
      </c>
      <c r="CT24" s="3" t="s">
        <v>189</v>
      </c>
      <c r="CU24" s="3" t="s">
        <v>189</v>
      </c>
      <c r="CV24" t="s">
        <v>212</v>
      </c>
      <c r="CW24" s="3" t="s">
        <v>189</v>
      </c>
      <c r="CX24" s="3" t="s">
        <v>189</v>
      </c>
      <c r="CY24" s="3" t="s">
        <v>189</v>
      </c>
      <c r="CZ24" s="3" t="s">
        <v>189</v>
      </c>
      <c r="DA24" s="3" t="s">
        <v>189</v>
      </c>
      <c r="DB24" s="3" t="s">
        <v>189</v>
      </c>
      <c r="DC24" s="3" t="s">
        <v>189</v>
      </c>
      <c r="DD24" s="3" t="s">
        <v>189</v>
      </c>
      <c r="DE24" s="3" t="s">
        <v>189</v>
      </c>
      <c r="DF24" s="3" t="s">
        <v>189</v>
      </c>
      <c r="DG24" s="3" t="s">
        <v>189</v>
      </c>
      <c r="DH24" s="3" t="s">
        <v>189</v>
      </c>
      <c r="DI24" s="3" t="s">
        <v>189</v>
      </c>
      <c r="DJ24" s="3" t="s">
        <v>189</v>
      </c>
      <c r="DK24" s="3" t="s">
        <v>189</v>
      </c>
      <c r="DL24" s="3" t="s">
        <v>189</v>
      </c>
      <c r="DM24" s="3" t="s">
        <v>189</v>
      </c>
      <c r="DN24" s="3" t="s">
        <v>189</v>
      </c>
      <c r="DO24" s="3" t="s">
        <v>189</v>
      </c>
      <c r="DP24" s="3" t="s">
        <v>189</v>
      </c>
      <c r="DQ24" s="3" t="s">
        <v>189</v>
      </c>
      <c r="DR24" s="3" t="s">
        <v>189</v>
      </c>
      <c r="DS24" s="3" t="s">
        <v>189</v>
      </c>
      <c r="DT24" s="3" t="s">
        <v>189</v>
      </c>
      <c r="DU24" s="3" t="s">
        <v>189</v>
      </c>
      <c r="DV24" s="3" t="s">
        <v>189</v>
      </c>
      <c r="DW24" s="3" t="s">
        <v>189</v>
      </c>
      <c r="DX24" s="3" t="s">
        <v>189</v>
      </c>
      <c r="DY24" s="3" t="s">
        <v>189</v>
      </c>
      <c r="DZ24" s="3" t="s">
        <v>189</v>
      </c>
      <c r="EA24" s="3" t="s">
        <v>189</v>
      </c>
      <c r="EB24" s="3" t="s">
        <v>189</v>
      </c>
      <c r="EC24" s="3" t="s">
        <v>189</v>
      </c>
      <c r="ED24" s="3" t="s">
        <v>189</v>
      </c>
      <c r="EE24" s="3" t="s">
        <v>189</v>
      </c>
      <c r="EF24" s="3" t="s">
        <v>189</v>
      </c>
      <c r="EG24" s="3" t="s">
        <v>189</v>
      </c>
      <c r="EH24" s="3" t="s">
        <v>189</v>
      </c>
      <c r="EI24" s="3" t="s">
        <v>189</v>
      </c>
      <c r="EJ24" s="3" t="s">
        <v>189</v>
      </c>
      <c r="EK24" s="3" t="s">
        <v>189</v>
      </c>
      <c r="EL24" s="3" t="s">
        <v>189</v>
      </c>
      <c r="EM24" s="3" t="s">
        <v>189</v>
      </c>
      <c r="EN24" s="3" t="s">
        <v>189</v>
      </c>
      <c r="EO24" s="3" t="s">
        <v>189</v>
      </c>
      <c r="EP24" s="3" t="s">
        <v>189</v>
      </c>
      <c r="EQ24" s="3" t="s">
        <v>189</v>
      </c>
      <c r="ER24" s="3" t="s">
        <v>189</v>
      </c>
      <c r="ES24" s="3" t="s">
        <v>189</v>
      </c>
      <c r="ET24" s="3" t="s">
        <v>189</v>
      </c>
      <c r="EU24" s="3" t="s">
        <v>189</v>
      </c>
      <c r="EV24" t="s">
        <v>205</v>
      </c>
      <c r="EW24">
        <v>25</v>
      </c>
      <c r="EX24" s="7">
        <v>17.401362229875872</v>
      </c>
      <c r="EY24" s="3">
        <v>0.37604894133802702</v>
      </c>
      <c r="EZ24" s="3">
        <v>0.37605210696778357</v>
      </c>
      <c r="FA24" s="3" t="s">
        <v>232</v>
      </c>
      <c r="FB24" s="3" t="s">
        <v>233</v>
      </c>
      <c r="FC24" s="3" t="s">
        <v>189</v>
      </c>
      <c r="FD24" s="3" t="s">
        <v>189</v>
      </c>
      <c r="FE24" s="3" t="s">
        <v>189</v>
      </c>
      <c r="FF24" s="3" t="s">
        <v>189</v>
      </c>
      <c r="FG24" s="3" t="s">
        <v>189</v>
      </c>
      <c r="FH24">
        <v>496.51199266666288</v>
      </c>
      <c r="FI24">
        <v>113.15256193353116</v>
      </c>
      <c r="FJ24">
        <v>113.15256193353116</v>
      </c>
      <c r="FK24" s="3" t="s">
        <v>203</v>
      </c>
      <c r="FL24" s="10" t="s">
        <v>211</v>
      </c>
      <c r="FM24" s="3" t="s">
        <v>206</v>
      </c>
      <c r="FT24" s="3" t="s">
        <v>188</v>
      </c>
      <c r="FU24" s="3" t="s">
        <v>207</v>
      </c>
      <c r="FV24" s="29" t="s">
        <v>286</v>
      </c>
      <c r="FW24" s="7" t="s">
        <v>189</v>
      </c>
      <c r="FX24" s="30" t="s">
        <v>317</v>
      </c>
      <c r="FY24" s="3" t="s">
        <v>204</v>
      </c>
    </row>
    <row r="25" spans="1:181" x14ac:dyDescent="0.15">
      <c r="A25" s="3" t="s">
        <v>248</v>
      </c>
      <c r="B25" s="3" t="s">
        <v>182</v>
      </c>
      <c r="C25">
        <v>2005</v>
      </c>
      <c r="D25" s="9" t="str">
        <f t="shared" si="0"/>
        <v>10.1126/science.1110063</v>
      </c>
      <c r="E25" s="9">
        <f t="shared" si="1"/>
        <v>28936.420722135008</v>
      </c>
      <c r="F25" s="9" t="str">
        <f t="shared" si="2"/>
        <v>NA</v>
      </c>
      <c r="G25" s="9" t="str">
        <f t="shared" si="3"/>
        <v>NA</v>
      </c>
      <c r="H25" s="9">
        <f t="shared" si="4"/>
        <v>589.22892821286405</v>
      </c>
      <c r="I25" s="9">
        <f t="shared" si="5"/>
        <v>139.24716790936861</v>
      </c>
      <c r="J25" s="9">
        <f t="shared" si="6"/>
        <v>139.24716790936861</v>
      </c>
      <c r="K25" s="2" t="s">
        <v>183</v>
      </c>
      <c r="L25" s="3" t="s">
        <v>184</v>
      </c>
      <c r="M25" s="2" t="s">
        <v>249</v>
      </c>
      <c r="N25" s="2" t="s">
        <v>185</v>
      </c>
      <c r="O25" s="4">
        <v>516</v>
      </c>
      <c r="P25" t="s">
        <v>188</v>
      </c>
      <c r="Q25" s="5">
        <v>24</v>
      </c>
      <c r="R25" s="2" t="s">
        <v>189</v>
      </c>
      <c r="S25" s="2" t="s">
        <v>189</v>
      </c>
      <c r="T25" s="5">
        <v>1</v>
      </c>
      <c r="U25" s="5">
        <v>27</v>
      </c>
      <c r="V25" s="6">
        <v>32</v>
      </c>
      <c r="W25" s="3" t="s">
        <v>189</v>
      </c>
      <c r="X25" s="3" t="s">
        <v>189</v>
      </c>
      <c r="Y25" s="3" t="s">
        <v>189</v>
      </c>
      <c r="Z25" s="7">
        <v>387.89499999999998</v>
      </c>
      <c r="AA25" s="3" t="s">
        <v>189</v>
      </c>
      <c r="AB25">
        <v>28936.420722135008</v>
      </c>
      <c r="AC25" s="3" t="s">
        <v>189</v>
      </c>
      <c r="AD25" s="3" t="s">
        <v>189</v>
      </c>
      <c r="AE25" s="3" t="s">
        <v>189</v>
      </c>
      <c r="AF25" s="3" t="s">
        <v>191</v>
      </c>
      <c r="AG25" s="3" t="s">
        <v>190</v>
      </c>
      <c r="AH25" s="3" t="s">
        <v>189</v>
      </c>
      <c r="AI25" s="3" t="s">
        <v>189</v>
      </c>
      <c r="AJ25" s="3" t="s">
        <v>189</v>
      </c>
      <c r="AK25" s="3" t="s">
        <v>189</v>
      </c>
      <c r="AL25" s="3" t="s">
        <v>189</v>
      </c>
      <c r="AM25" s="3" t="s">
        <v>189</v>
      </c>
      <c r="AN25" s="3" t="s">
        <v>189</v>
      </c>
      <c r="AO25" s="3" t="s">
        <v>189</v>
      </c>
      <c r="AP25" s="3" t="s">
        <v>189</v>
      </c>
      <c r="AQ25" s="3" t="s">
        <v>189</v>
      </c>
      <c r="AR25" s="3" t="s">
        <v>189</v>
      </c>
      <c r="AS25" s="3" t="s">
        <v>189</v>
      </c>
      <c r="AT25" s="3" t="s">
        <v>189</v>
      </c>
      <c r="AU25" s="3" t="s">
        <v>189</v>
      </c>
      <c r="AV25" s="3" t="s">
        <v>189</v>
      </c>
      <c r="AW25" s="3" t="s">
        <v>189</v>
      </c>
      <c r="AX25" s="3" t="s">
        <v>189</v>
      </c>
      <c r="AY25" s="3" t="s">
        <v>189</v>
      </c>
      <c r="AZ25" s="3" t="s">
        <v>189</v>
      </c>
      <c r="BA25" s="3" t="s">
        <v>189</v>
      </c>
      <c r="BB25" s="3" t="s">
        <v>189</v>
      </c>
      <c r="BC25" s="3" t="s">
        <v>189</v>
      </c>
      <c r="BD25" s="3" t="s">
        <v>189</v>
      </c>
      <c r="BE25" s="3" t="s">
        <v>189</v>
      </c>
      <c r="BF25" t="s">
        <v>194</v>
      </c>
      <c r="BG25" t="s">
        <v>195</v>
      </c>
      <c r="BH25">
        <v>0.5</v>
      </c>
      <c r="BI25" s="3" t="s">
        <v>189</v>
      </c>
      <c r="BJ25" s="3" t="s">
        <v>189</v>
      </c>
      <c r="BK25" s="3" t="s">
        <v>189</v>
      </c>
      <c r="BL25" s="3" t="s">
        <v>189</v>
      </c>
      <c r="BM25" s="3" t="s">
        <v>189</v>
      </c>
      <c r="BN25" s="3" t="s">
        <v>189</v>
      </c>
      <c r="BO25" s="3" t="s">
        <v>189</v>
      </c>
      <c r="BP25" s="3" t="s">
        <v>189</v>
      </c>
      <c r="BQ25" s="3" t="s">
        <v>189</v>
      </c>
      <c r="BR25" t="s">
        <v>210</v>
      </c>
      <c r="BS25" s="3" t="s">
        <v>189</v>
      </c>
      <c r="BT25" s="8">
        <v>-30.824999999999999</v>
      </c>
      <c r="BU25" t="s">
        <v>176</v>
      </c>
      <c r="BV25" s="3" t="s">
        <v>189</v>
      </c>
      <c r="BW25" s="3" t="s">
        <v>189</v>
      </c>
      <c r="BX25" s="3" t="s">
        <v>189</v>
      </c>
      <c r="BY25">
        <v>4.2</v>
      </c>
      <c r="BZ25" s="3" t="s">
        <v>189</v>
      </c>
      <c r="CA25" s="3" t="s">
        <v>189</v>
      </c>
      <c r="CB25" s="3" t="s">
        <v>189</v>
      </c>
      <c r="CC25" s="3" t="s">
        <v>189</v>
      </c>
      <c r="CD25" s="3" t="s">
        <v>189</v>
      </c>
      <c r="CE25" s="3" t="s">
        <v>189</v>
      </c>
      <c r="CF25" s="3" t="s">
        <v>201</v>
      </c>
      <c r="CG25">
        <v>35</v>
      </c>
      <c r="CH25" s="3" t="s">
        <v>189</v>
      </c>
      <c r="CI25" s="3" t="s">
        <v>189</v>
      </c>
      <c r="CJ25" s="1" t="s">
        <v>177</v>
      </c>
      <c r="CK25">
        <v>0.3</v>
      </c>
      <c r="CL25">
        <v>0.1</v>
      </c>
      <c r="CM25">
        <v>0.1</v>
      </c>
      <c r="CN25" s="3" t="s">
        <v>203</v>
      </c>
      <c r="CO25" t="s">
        <v>202</v>
      </c>
      <c r="CP25" s="3" t="s">
        <v>189</v>
      </c>
      <c r="CQ25" s="3" t="s">
        <v>189</v>
      </c>
      <c r="CR25" s="8">
        <v>20.130213890909094</v>
      </c>
      <c r="CS25" s="3" t="s">
        <v>189</v>
      </c>
      <c r="CT25" s="3" t="s">
        <v>189</v>
      </c>
      <c r="CU25" s="3" t="s">
        <v>189</v>
      </c>
      <c r="CV25" t="s">
        <v>212</v>
      </c>
      <c r="CW25" s="3" t="s">
        <v>189</v>
      </c>
      <c r="CX25" s="3" t="s">
        <v>189</v>
      </c>
      <c r="CY25" s="3" t="s">
        <v>189</v>
      </c>
      <c r="CZ25" s="3" t="s">
        <v>189</v>
      </c>
      <c r="DA25" s="3" t="s">
        <v>189</v>
      </c>
      <c r="DB25" s="3" t="s">
        <v>189</v>
      </c>
      <c r="DC25" s="3" t="s">
        <v>189</v>
      </c>
      <c r="DD25" s="3" t="s">
        <v>189</v>
      </c>
      <c r="DE25" s="3" t="s">
        <v>189</v>
      </c>
      <c r="DF25" s="3" t="s">
        <v>189</v>
      </c>
      <c r="DG25" s="3" t="s">
        <v>189</v>
      </c>
      <c r="DH25" s="3" t="s">
        <v>189</v>
      </c>
      <c r="DI25" s="3" t="s">
        <v>189</v>
      </c>
      <c r="DJ25" s="3" t="s">
        <v>189</v>
      </c>
      <c r="DK25" s="3" t="s">
        <v>189</v>
      </c>
      <c r="DL25" s="3" t="s">
        <v>189</v>
      </c>
      <c r="DM25" s="3" t="s">
        <v>189</v>
      </c>
      <c r="DN25" s="3" t="s">
        <v>189</v>
      </c>
      <c r="DO25" s="3" t="s">
        <v>189</v>
      </c>
      <c r="DP25" s="3" t="s">
        <v>189</v>
      </c>
      <c r="DQ25" s="3" t="s">
        <v>189</v>
      </c>
      <c r="DR25" s="3" t="s">
        <v>189</v>
      </c>
      <c r="DS25" s="3" t="s">
        <v>189</v>
      </c>
      <c r="DT25" s="3" t="s">
        <v>189</v>
      </c>
      <c r="DU25" s="3" t="s">
        <v>189</v>
      </c>
      <c r="DV25" s="3" t="s">
        <v>189</v>
      </c>
      <c r="DW25" s="3" t="s">
        <v>189</v>
      </c>
      <c r="DX25" s="3" t="s">
        <v>189</v>
      </c>
      <c r="DY25" s="3" t="s">
        <v>189</v>
      </c>
      <c r="DZ25" s="3" t="s">
        <v>189</v>
      </c>
      <c r="EA25" s="3" t="s">
        <v>189</v>
      </c>
      <c r="EB25" s="3" t="s">
        <v>189</v>
      </c>
      <c r="EC25" s="3" t="s">
        <v>189</v>
      </c>
      <c r="ED25" s="3" t="s">
        <v>189</v>
      </c>
      <c r="EE25" s="3" t="s">
        <v>189</v>
      </c>
      <c r="EF25" s="3" t="s">
        <v>189</v>
      </c>
      <c r="EG25" s="3" t="s">
        <v>189</v>
      </c>
      <c r="EH25" s="3" t="s">
        <v>189</v>
      </c>
      <c r="EI25" s="3" t="s">
        <v>189</v>
      </c>
      <c r="EJ25" s="3" t="s">
        <v>189</v>
      </c>
      <c r="EK25" s="3" t="s">
        <v>189</v>
      </c>
      <c r="EL25" s="3" t="s">
        <v>189</v>
      </c>
      <c r="EM25" s="3" t="s">
        <v>189</v>
      </c>
      <c r="EN25" s="3" t="s">
        <v>189</v>
      </c>
      <c r="EO25" s="3" t="s">
        <v>189</v>
      </c>
      <c r="EP25" s="3" t="s">
        <v>189</v>
      </c>
      <c r="EQ25" s="3" t="s">
        <v>189</v>
      </c>
      <c r="ER25" s="3" t="s">
        <v>189</v>
      </c>
      <c r="ES25" s="3" t="s">
        <v>189</v>
      </c>
      <c r="ET25" s="3" t="s">
        <v>189</v>
      </c>
      <c r="EU25" s="3" t="s">
        <v>189</v>
      </c>
      <c r="EV25" t="s">
        <v>205</v>
      </c>
      <c r="EW25">
        <v>25</v>
      </c>
      <c r="EX25" s="7">
        <v>18.564824178773698</v>
      </c>
      <c r="EY25" s="3">
        <v>0.37647488256586925</v>
      </c>
      <c r="EZ25" s="3">
        <v>0.37647780471017356</v>
      </c>
      <c r="FA25" s="3" t="s">
        <v>232</v>
      </c>
      <c r="FB25" s="3" t="s">
        <v>233</v>
      </c>
      <c r="FC25" s="3" t="s">
        <v>189</v>
      </c>
      <c r="FD25" s="3" t="s">
        <v>189</v>
      </c>
      <c r="FE25" s="3" t="s">
        <v>189</v>
      </c>
      <c r="FF25" s="3" t="s">
        <v>189</v>
      </c>
      <c r="FG25" s="3" t="s">
        <v>189</v>
      </c>
      <c r="FH25">
        <v>589.22892821286405</v>
      </c>
      <c r="FI25">
        <v>139.24716790936861</v>
      </c>
      <c r="FJ25">
        <v>139.24716790936861</v>
      </c>
      <c r="FK25" s="3" t="s">
        <v>203</v>
      </c>
      <c r="FL25" s="10" t="s">
        <v>211</v>
      </c>
      <c r="FM25" s="3" t="s">
        <v>206</v>
      </c>
      <c r="FT25" s="3" t="s">
        <v>188</v>
      </c>
      <c r="FU25" s="3" t="s">
        <v>207</v>
      </c>
      <c r="FV25" s="29" t="s">
        <v>287</v>
      </c>
      <c r="FW25" s="7" t="s">
        <v>189</v>
      </c>
      <c r="FX25" s="30" t="s">
        <v>318</v>
      </c>
      <c r="FY25" s="3" t="s">
        <v>204</v>
      </c>
    </row>
    <row r="26" spans="1:181" x14ac:dyDescent="0.15">
      <c r="A26" s="3" t="s">
        <v>248</v>
      </c>
      <c r="B26" s="3" t="s">
        <v>182</v>
      </c>
      <c r="C26">
        <v>2005</v>
      </c>
      <c r="D26" s="9" t="str">
        <f t="shared" si="0"/>
        <v>10.1126/science.1110063</v>
      </c>
      <c r="E26" s="9">
        <f t="shared" si="1"/>
        <v>30033.231692076981</v>
      </c>
      <c r="F26" s="9" t="str">
        <f t="shared" si="2"/>
        <v>NA</v>
      </c>
      <c r="G26" s="9" t="str">
        <f t="shared" si="3"/>
        <v>NA</v>
      </c>
      <c r="H26" s="9">
        <f t="shared" si="4"/>
        <v>570.29083946517153</v>
      </c>
      <c r="I26" s="9">
        <f t="shared" si="5"/>
        <v>132.39041403934061</v>
      </c>
      <c r="J26" s="9">
        <f t="shared" si="6"/>
        <v>132.39041403934061</v>
      </c>
      <c r="K26" s="2" t="s">
        <v>183</v>
      </c>
      <c r="L26" s="3" t="s">
        <v>184</v>
      </c>
      <c r="M26" s="2" t="s">
        <v>249</v>
      </c>
      <c r="N26" s="2" t="s">
        <v>185</v>
      </c>
      <c r="O26" s="4">
        <v>516</v>
      </c>
      <c r="P26" t="s">
        <v>188</v>
      </c>
      <c r="Q26" s="5">
        <v>27</v>
      </c>
      <c r="R26" s="2" t="s">
        <v>189</v>
      </c>
      <c r="S26" s="2" t="s">
        <v>189</v>
      </c>
      <c r="T26" s="5">
        <v>1</v>
      </c>
      <c r="U26" s="5">
        <v>25</v>
      </c>
      <c r="V26" s="6">
        <v>31</v>
      </c>
      <c r="W26" s="3" t="s">
        <v>189</v>
      </c>
      <c r="X26" s="3" t="s">
        <v>189</v>
      </c>
      <c r="Y26" s="3" t="s">
        <v>189</v>
      </c>
      <c r="Z26" s="7">
        <v>416.38</v>
      </c>
      <c r="AA26" s="3" t="s">
        <v>189</v>
      </c>
      <c r="AB26">
        <v>30033.231692076981</v>
      </c>
      <c r="AC26" s="3" t="s">
        <v>189</v>
      </c>
      <c r="AD26" s="3" t="s">
        <v>189</v>
      </c>
      <c r="AE26" s="3" t="s">
        <v>189</v>
      </c>
      <c r="AF26" s="3" t="s">
        <v>191</v>
      </c>
      <c r="AG26" s="3" t="s">
        <v>190</v>
      </c>
      <c r="AH26" s="3" t="s">
        <v>189</v>
      </c>
      <c r="AI26" s="3" t="s">
        <v>189</v>
      </c>
      <c r="AJ26" s="3" t="s">
        <v>189</v>
      </c>
      <c r="AK26" s="3" t="s">
        <v>189</v>
      </c>
      <c r="AL26" s="3" t="s">
        <v>189</v>
      </c>
      <c r="AM26" s="3" t="s">
        <v>189</v>
      </c>
      <c r="AN26" s="3" t="s">
        <v>189</v>
      </c>
      <c r="AO26" s="3" t="s">
        <v>189</v>
      </c>
      <c r="AP26" s="3" t="s">
        <v>189</v>
      </c>
      <c r="AQ26" s="3" t="s">
        <v>189</v>
      </c>
      <c r="AR26" s="3" t="s">
        <v>189</v>
      </c>
      <c r="AS26" s="3" t="s">
        <v>189</v>
      </c>
      <c r="AT26" s="3" t="s">
        <v>189</v>
      </c>
      <c r="AU26" s="3" t="s">
        <v>189</v>
      </c>
      <c r="AV26" s="3" t="s">
        <v>189</v>
      </c>
      <c r="AW26" s="3" t="s">
        <v>189</v>
      </c>
      <c r="AX26" s="3" t="s">
        <v>189</v>
      </c>
      <c r="AY26" s="3" t="s">
        <v>189</v>
      </c>
      <c r="AZ26" s="3" t="s">
        <v>189</v>
      </c>
      <c r="BA26" s="3" t="s">
        <v>189</v>
      </c>
      <c r="BB26" s="3" t="s">
        <v>189</v>
      </c>
      <c r="BC26" s="3" t="s">
        <v>189</v>
      </c>
      <c r="BD26" s="3" t="s">
        <v>189</v>
      </c>
      <c r="BE26" s="3" t="s">
        <v>189</v>
      </c>
      <c r="BF26" t="s">
        <v>194</v>
      </c>
      <c r="BG26" t="s">
        <v>195</v>
      </c>
      <c r="BH26">
        <v>0.5</v>
      </c>
      <c r="BI26" s="3" t="s">
        <v>189</v>
      </c>
      <c r="BJ26" s="3" t="s">
        <v>189</v>
      </c>
      <c r="BK26" s="3" t="s">
        <v>189</v>
      </c>
      <c r="BL26" s="3" t="s">
        <v>189</v>
      </c>
      <c r="BM26" s="3" t="s">
        <v>189</v>
      </c>
      <c r="BN26" s="3" t="s">
        <v>189</v>
      </c>
      <c r="BO26" s="3" t="s">
        <v>189</v>
      </c>
      <c r="BP26" s="3" t="s">
        <v>189</v>
      </c>
      <c r="BQ26" s="3" t="s">
        <v>189</v>
      </c>
      <c r="BR26" t="s">
        <v>210</v>
      </c>
      <c r="BS26" s="3" t="s">
        <v>189</v>
      </c>
      <c r="BT26" s="8">
        <v>-29.927499999999998</v>
      </c>
      <c r="BU26" t="s">
        <v>176</v>
      </c>
      <c r="BV26" s="3" t="s">
        <v>189</v>
      </c>
      <c r="BW26" s="3" t="s">
        <v>189</v>
      </c>
      <c r="BX26" s="3" t="s">
        <v>189</v>
      </c>
      <c r="BY26">
        <v>4.2</v>
      </c>
      <c r="BZ26" s="3" t="s">
        <v>189</v>
      </c>
      <c r="CA26" s="3" t="s">
        <v>189</v>
      </c>
      <c r="CB26" s="3" t="s">
        <v>189</v>
      </c>
      <c r="CC26" s="3" t="s">
        <v>189</v>
      </c>
      <c r="CD26" s="3" t="s">
        <v>189</v>
      </c>
      <c r="CE26" s="3" t="s">
        <v>189</v>
      </c>
      <c r="CF26" s="3" t="s">
        <v>201</v>
      </c>
      <c r="CG26">
        <v>35</v>
      </c>
      <c r="CH26" s="3" t="s">
        <v>189</v>
      </c>
      <c r="CI26" s="3" t="s">
        <v>189</v>
      </c>
      <c r="CJ26" s="1" t="s">
        <v>177</v>
      </c>
      <c r="CK26">
        <v>0.3</v>
      </c>
      <c r="CL26">
        <v>0.1</v>
      </c>
      <c r="CM26">
        <v>0.1</v>
      </c>
      <c r="CN26" s="3" t="s">
        <v>203</v>
      </c>
      <c r="CO26" t="s">
        <v>202</v>
      </c>
      <c r="CP26" s="3" t="s">
        <v>189</v>
      </c>
      <c r="CQ26" s="3" t="s">
        <v>189</v>
      </c>
      <c r="CR26" s="8">
        <v>20.976511890909091</v>
      </c>
      <c r="CS26" s="3" t="s">
        <v>189</v>
      </c>
      <c r="CT26" s="3" t="s">
        <v>189</v>
      </c>
      <c r="CU26" s="3" t="s">
        <v>189</v>
      </c>
      <c r="CV26" t="s">
        <v>212</v>
      </c>
      <c r="CW26" s="3" t="s">
        <v>189</v>
      </c>
      <c r="CX26" s="3" t="s">
        <v>189</v>
      </c>
      <c r="CY26" s="3" t="s">
        <v>189</v>
      </c>
      <c r="CZ26" s="3" t="s">
        <v>189</v>
      </c>
      <c r="DA26" s="3" t="s">
        <v>189</v>
      </c>
      <c r="DB26" s="3" t="s">
        <v>189</v>
      </c>
      <c r="DC26" s="3" t="s">
        <v>189</v>
      </c>
      <c r="DD26" s="3" t="s">
        <v>189</v>
      </c>
      <c r="DE26" s="3" t="s">
        <v>189</v>
      </c>
      <c r="DF26" s="3" t="s">
        <v>189</v>
      </c>
      <c r="DG26" s="3" t="s">
        <v>189</v>
      </c>
      <c r="DH26" s="3" t="s">
        <v>189</v>
      </c>
      <c r="DI26" s="3" t="s">
        <v>189</v>
      </c>
      <c r="DJ26" s="3" t="s">
        <v>189</v>
      </c>
      <c r="DK26" s="3" t="s">
        <v>189</v>
      </c>
      <c r="DL26" s="3" t="s">
        <v>189</v>
      </c>
      <c r="DM26" s="3" t="s">
        <v>189</v>
      </c>
      <c r="DN26" s="3" t="s">
        <v>189</v>
      </c>
      <c r="DO26" s="3" t="s">
        <v>189</v>
      </c>
      <c r="DP26" s="3" t="s">
        <v>189</v>
      </c>
      <c r="DQ26" s="3" t="s">
        <v>189</v>
      </c>
      <c r="DR26" s="3" t="s">
        <v>189</v>
      </c>
      <c r="DS26" s="3" t="s">
        <v>189</v>
      </c>
      <c r="DT26" s="3" t="s">
        <v>189</v>
      </c>
      <c r="DU26" s="3" t="s">
        <v>189</v>
      </c>
      <c r="DV26" s="3" t="s">
        <v>189</v>
      </c>
      <c r="DW26" s="3" t="s">
        <v>189</v>
      </c>
      <c r="DX26" s="3" t="s">
        <v>189</v>
      </c>
      <c r="DY26" s="3" t="s">
        <v>189</v>
      </c>
      <c r="DZ26" s="3" t="s">
        <v>189</v>
      </c>
      <c r="EA26" s="3" t="s">
        <v>189</v>
      </c>
      <c r="EB26" s="3" t="s">
        <v>189</v>
      </c>
      <c r="EC26" s="3" t="s">
        <v>189</v>
      </c>
      <c r="ED26" s="3" t="s">
        <v>189</v>
      </c>
      <c r="EE26" s="3" t="s">
        <v>189</v>
      </c>
      <c r="EF26" s="3" t="s">
        <v>189</v>
      </c>
      <c r="EG26" s="3" t="s">
        <v>189</v>
      </c>
      <c r="EH26" s="3" t="s">
        <v>189</v>
      </c>
      <c r="EI26" s="3" t="s">
        <v>189</v>
      </c>
      <c r="EJ26" s="3" t="s">
        <v>189</v>
      </c>
      <c r="EK26" s="3" t="s">
        <v>189</v>
      </c>
      <c r="EL26" s="3" t="s">
        <v>189</v>
      </c>
      <c r="EM26" s="3" t="s">
        <v>189</v>
      </c>
      <c r="EN26" s="3" t="s">
        <v>189</v>
      </c>
      <c r="EO26" s="3" t="s">
        <v>189</v>
      </c>
      <c r="EP26" s="3" t="s">
        <v>189</v>
      </c>
      <c r="EQ26" s="3" t="s">
        <v>189</v>
      </c>
      <c r="ER26" s="3" t="s">
        <v>189</v>
      </c>
      <c r="ES26" s="3" t="s">
        <v>189</v>
      </c>
      <c r="ET26" s="3" t="s">
        <v>189</v>
      </c>
      <c r="EU26" s="3" t="s">
        <v>189</v>
      </c>
      <c r="EV26" t="s">
        <v>205</v>
      </c>
      <c r="EW26">
        <v>25</v>
      </c>
      <c r="EX26" s="7">
        <v>18.203176058521287</v>
      </c>
      <c r="EY26" s="3">
        <v>0.37630264231425059</v>
      </c>
      <c r="EZ26" s="3">
        <v>0.37630322831150309</v>
      </c>
      <c r="FA26" s="3" t="s">
        <v>232</v>
      </c>
      <c r="FB26" s="3" t="s">
        <v>233</v>
      </c>
      <c r="FC26" s="3" t="s">
        <v>189</v>
      </c>
      <c r="FD26" s="3" t="s">
        <v>189</v>
      </c>
      <c r="FE26" s="3" t="s">
        <v>189</v>
      </c>
      <c r="FF26" s="3" t="s">
        <v>189</v>
      </c>
      <c r="FG26" s="3" t="s">
        <v>189</v>
      </c>
      <c r="FH26">
        <v>570.29083946517153</v>
      </c>
      <c r="FI26">
        <v>132.39041403934061</v>
      </c>
      <c r="FJ26">
        <v>132.39041403934061</v>
      </c>
      <c r="FK26" s="3" t="s">
        <v>203</v>
      </c>
      <c r="FL26" s="10" t="s">
        <v>211</v>
      </c>
      <c r="FM26" s="3" t="s">
        <v>206</v>
      </c>
      <c r="FT26" s="3" t="s">
        <v>188</v>
      </c>
      <c r="FU26" s="3" t="s">
        <v>207</v>
      </c>
      <c r="FV26" s="29" t="s">
        <v>288</v>
      </c>
      <c r="FW26" s="7" t="s">
        <v>189</v>
      </c>
      <c r="FX26" s="30" t="s">
        <v>319</v>
      </c>
      <c r="FY26" s="3" t="s">
        <v>204</v>
      </c>
    </row>
    <row r="27" spans="1:181" x14ac:dyDescent="0.15">
      <c r="A27" s="3" t="s">
        <v>248</v>
      </c>
      <c r="B27" s="3" t="s">
        <v>182</v>
      </c>
      <c r="C27">
        <v>2005</v>
      </c>
      <c r="D27" s="9" t="str">
        <f t="shared" si="0"/>
        <v>10.1126/science.1110063</v>
      </c>
      <c r="E27" s="9">
        <f t="shared" si="1"/>
        <v>30064.543864033993</v>
      </c>
      <c r="F27" s="9" t="str">
        <f t="shared" si="2"/>
        <v>NA</v>
      </c>
      <c r="G27" s="9" t="str">
        <f t="shared" si="3"/>
        <v>NA</v>
      </c>
      <c r="H27" s="9">
        <f t="shared" si="4"/>
        <v>429.10142973894057</v>
      </c>
      <c r="I27" s="9">
        <f t="shared" si="5"/>
        <v>93.193962570201677</v>
      </c>
      <c r="J27" s="9">
        <f t="shared" si="6"/>
        <v>93.193962570201677</v>
      </c>
      <c r="K27" s="2" t="s">
        <v>183</v>
      </c>
      <c r="L27" s="3" t="s">
        <v>184</v>
      </c>
      <c r="M27" s="2" t="s">
        <v>249</v>
      </c>
      <c r="N27" s="2" t="s">
        <v>185</v>
      </c>
      <c r="O27" s="4">
        <v>516</v>
      </c>
      <c r="P27" t="s">
        <v>188</v>
      </c>
      <c r="Q27" s="5">
        <v>27</v>
      </c>
      <c r="R27" s="2" t="s">
        <v>189</v>
      </c>
      <c r="S27" s="2" t="s">
        <v>189</v>
      </c>
      <c r="T27" s="5">
        <v>2</v>
      </c>
      <c r="U27" s="5">
        <v>6</v>
      </c>
      <c r="V27" s="6">
        <v>11</v>
      </c>
      <c r="W27" s="3" t="s">
        <v>189</v>
      </c>
      <c r="X27" s="3" t="s">
        <v>189</v>
      </c>
      <c r="Y27" s="3" t="s">
        <v>189</v>
      </c>
      <c r="Z27" s="7">
        <v>417.685</v>
      </c>
      <c r="AA27" s="3" t="s">
        <v>189</v>
      </c>
      <c r="AB27">
        <v>30064.543864033993</v>
      </c>
      <c r="AC27" s="3" t="s">
        <v>189</v>
      </c>
      <c r="AD27" s="3" t="s">
        <v>189</v>
      </c>
      <c r="AE27" s="3" t="s">
        <v>189</v>
      </c>
      <c r="AF27" s="3" t="s">
        <v>191</v>
      </c>
      <c r="AG27" s="3" t="s">
        <v>190</v>
      </c>
      <c r="AH27" s="3" t="s">
        <v>189</v>
      </c>
      <c r="AI27" s="3" t="s">
        <v>189</v>
      </c>
      <c r="AJ27" s="3" t="s">
        <v>189</v>
      </c>
      <c r="AK27" s="3" t="s">
        <v>189</v>
      </c>
      <c r="AL27" s="3" t="s">
        <v>189</v>
      </c>
      <c r="AM27" s="3" t="s">
        <v>189</v>
      </c>
      <c r="AN27" s="3" t="s">
        <v>189</v>
      </c>
      <c r="AO27" s="3" t="s">
        <v>189</v>
      </c>
      <c r="AP27" s="3" t="s">
        <v>189</v>
      </c>
      <c r="AQ27" s="3" t="s">
        <v>189</v>
      </c>
      <c r="AR27" s="3" t="s">
        <v>189</v>
      </c>
      <c r="AS27" s="3" t="s">
        <v>189</v>
      </c>
      <c r="AT27" s="3" t="s">
        <v>189</v>
      </c>
      <c r="AU27" s="3" t="s">
        <v>189</v>
      </c>
      <c r="AV27" s="3" t="s">
        <v>189</v>
      </c>
      <c r="AW27" s="3" t="s">
        <v>189</v>
      </c>
      <c r="AX27" s="3" t="s">
        <v>189</v>
      </c>
      <c r="AY27" s="3" t="s">
        <v>189</v>
      </c>
      <c r="AZ27" s="3" t="s">
        <v>189</v>
      </c>
      <c r="BA27" s="3" t="s">
        <v>189</v>
      </c>
      <c r="BB27" s="3" t="s">
        <v>189</v>
      </c>
      <c r="BC27" s="3" t="s">
        <v>189</v>
      </c>
      <c r="BD27" s="3" t="s">
        <v>189</v>
      </c>
      <c r="BE27" s="3" t="s">
        <v>189</v>
      </c>
      <c r="BF27" t="s">
        <v>194</v>
      </c>
      <c r="BG27" t="s">
        <v>195</v>
      </c>
      <c r="BH27">
        <v>0.5</v>
      </c>
      <c r="BI27" s="3" t="s">
        <v>189</v>
      </c>
      <c r="BJ27" s="3" t="s">
        <v>189</v>
      </c>
      <c r="BK27" s="3" t="s">
        <v>189</v>
      </c>
      <c r="BL27" s="3" t="s">
        <v>189</v>
      </c>
      <c r="BM27" s="3" t="s">
        <v>189</v>
      </c>
      <c r="BN27" s="3" t="s">
        <v>189</v>
      </c>
      <c r="BO27" s="3" t="s">
        <v>189</v>
      </c>
      <c r="BP27" s="3" t="s">
        <v>189</v>
      </c>
      <c r="BQ27" s="3" t="s">
        <v>189</v>
      </c>
      <c r="BR27" t="s">
        <v>210</v>
      </c>
      <c r="BS27" s="3" t="s">
        <v>189</v>
      </c>
      <c r="BT27" s="8">
        <v>-27.704500000000003</v>
      </c>
      <c r="BU27" t="s">
        <v>176</v>
      </c>
      <c r="BV27" s="3" t="s">
        <v>189</v>
      </c>
      <c r="BW27" s="3" t="s">
        <v>189</v>
      </c>
      <c r="BX27" s="3" t="s">
        <v>189</v>
      </c>
      <c r="BY27">
        <v>4.2</v>
      </c>
      <c r="BZ27" s="3" t="s">
        <v>189</v>
      </c>
      <c r="CA27" s="3" t="s">
        <v>189</v>
      </c>
      <c r="CB27" s="3" t="s">
        <v>189</v>
      </c>
      <c r="CC27" s="3" t="s">
        <v>189</v>
      </c>
      <c r="CD27" s="3" t="s">
        <v>189</v>
      </c>
      <c r="CE27" s="3" t="s">
        <v>189</v>
      </c>
      <c r="CF27" s="3" t="s">
        <v>201</v>
      </c>
      <c r="CG27">
        <v>35</v>
      </c>
      <c r="CH27" s="3" t="s">
        <v>189</v>
      </c>
      <c r="CI27" s="3" t="s">
        <v>189</v>
      </c>
      <c r="CJ27" s="1" t="s">
        <v>177</v>
      </c>
      <c r="CK27">
        <v>0.3</v>
      </c>
      <c r="CL27">
        <v>0.1</v>
      </c>
      <c r="CM27">
        <v>0.1</v>
      </c>
      <c r="CN27" s="3" t="s">
        <v>203</v>
      </c>
      <c r="CO27" t="s">
        <v>202</v>
      </c>
      <c r="CP27" s="3" t="s">
        <v>189</v>
      </c>
      <c r="CQ27" s="3" t="s">
        <v>189</v>
      </c>
      <c r="CR27" s="8">
        <v>21.780132690909092</v>
      </c>
      <c r="CS27" s="3" t="s">
        <v>189</v>
      </c>
      <c r="CT27" s="3" t="s">
        <v>189</v>
      </c>
      <c r="CU27" s="3" t="s">
        <v>189</v>
      </c>
      <c r="CV27" t="s">
        <v>212</v>
      </c>
      <c r="CW27" s="3" t="s">
        <v>189</v>
      </c>
      <c r="CX27" s="3" t="s">
        <v>189</v>
      </c>
      <c r="CY27" s="3" t="s">
        <v>189</v>
      </c>
      <c r="CZ27" s="3" t="s">
        <v>189</v>
      </c>
      <c r="DA27" s="3" t="s">
        <v>189</v>
      </c>
      <c r="DB27" s="3" t="s">
        <v>189</v>
      </c>
      <c r="DC27" s="3" t="s">
        <v>189</v>
      </c>
      <c r="DD27" s="3" t="s">
        <v>189</v>
      </c>
      <c r="DE27" s="3" t="s">
        <v>189</v>
      </c>
      <c r="DF27" s="3" t="s">
        <v>189</v>
      </c>
      <c r="DG27" s="3" t="s">
        <v>189</v>
      </c>
      <c r="DH27" s="3" t="s">
        <v>189</v>
      </c>
      <c r="DI27" s="3" t="s">
        <v>189</v>
      </c>
      <c r="DJ27" s="3" t="s">
        <v>189</v>
      </c>
      <c r="DK27" s="3" t="s">
        <v>189</v>
      </c>
      <c r="DL27" s="3" t="s">
        <v>189</v>
      </c>
      <c r="DM27" s="3" t="s">
        <v>189</v>
      </c>
      <c r="DN27" s="3" t="s">
        <v>189</v>
      </c>
      <c r="DO27" s="3" t="s">
        <v>189</v>
      </c>
      <c r="DP27" s="3" t="s">
        <v>189</v>
      </c>
      <c r="DQ27" s="3" t="s">
        <v>189</v>
      </c>
      <c r="DR27" s="3" t="s">
        <v>189</v>
      </c>
      <c r="DS27" s="3" t="s">
        <v>189</v>
      </c>
      <c r="DT27" s="3" t="s">
        <v>189</v>
      </c>
      <c r="DU27" s="3" t="s">
        <v>189</v>
      </c>
      <c r="DV27" s="3" t="s">
        <v>189</v>
      </c>
      <c r="DW27" s="3" t="s">
        <v>189</v>
      </c>
      <c r="DX27" s="3" t="s">
        <v>189</v>
      </c>
      <c r="DY27" s="3" t="s">
        <v>189</v>
      </c>
      <c r="DZ27" s="3" t="s">
        <v>189</v>
      </c>
      <c r="EA27" s="3" t="s">
        <v>189</v>
      </c>
      <c r="EB27" s="3" t="s">
        <v>189</v>
      </c>
      <c r="EC27" s="3" t="s">
        <v>189</v>
      </c>
      <c r="ED27" s="3" t="s">
        <v>189</v>
      </c>
      <c r="EE27" s="3" t="s">
        <v>189</v>
      </c>
      <c r="EF27" s="3" t="s">
        <v>189</v>
      </c>
      <c r="EG27" s="3" t="s">
        <v>189</v>
      </c>
      <c r="EH27" s="3" t="s">
        <v>189</v>
      </c>
      <c r="EI27" s="3" t="s">
        <v>189</v>
      </c>
      <c r="EJ27" s="3" t="s">
        <v>189</v>
      </c>
      <c r="EK27" s="3" t="s">
        <v>189</v>
      </c>
      <c r="EL27" s="3" t="s">
        <v>189</v>
      </c>
      <c r="EM27" s="3" t="s">
        <v>189</v>
      </c>
      <c r="EN27" s="3" t="s">
        <v>189</v>
      </c>
      <c r="EO27" s="3" t="s">
        <v>189</v>
      </c>
      <c r="EP27" s="3" t="s">
        <v>189</v>
      </c>
      <c r="EQ27" s="3" t="s">
        <v>189</v>
      </c>
      <c r="ER27" s="3" t="s">
        <v>189</v>
      </c>
      <c r="ES27" s="3" t="s">
        <v>189</v>
      </c>
      <c r="ET27" s="3" t="s">
        <v>189</v>
      </c>
      <c r="EU27" s="3" t="s">
        <v>189</v>
      </c>
      <c r="EV27" t="s">
        <v>205</v>
      </c>
      <c r="EW27">
        <v>25</v>
      </c>
      <c r="EX27" s="7">
        <v>15.807492474563034</v>
      </c>
      <c r="EY27" s="3">
        <v>0.375381318449719</v>
      </c>
      <c r="EZ27" s="3">
        <v>0.3753797152032945</v>
      </c>
      <c r="FA27" s="3" t="s">
        <v>232</v>
      </c>
      <c r="FB27" s="3" t="s">
        <v>233</v>
      </c>
      <c r="FC27" s="3" t="s">
        <v>189</v>
      </c>
      <c r="FD27" s="3" t="s">
        <v>189</v>
      </c>
      <c r="FE27" s="3" t="s">
        <v>189</v>
      </c>
      <c r="FF27" s="3" t="s">
        <v>189</v>
      </c>
      <c r="FG27" s="3" t="s">
        <v>189</v>
      </c>
      <c r="FH27">
        <v>429.10142973894057</v>
      </c>
      <c r="FI27">
        <v>93.193962570201677</v>
      </c>
      <c r="FJ27">
        <v>93.193962570201677</v>
      </c>
      <c r="FK27" s="3" t="s">
        <v>203</v>
      </c>
      <c r="FL27" s="10" t="s">
        <v>211</v>
      </c>
      <c r="FM27" s="3" t="s">
        <v>206</v>
      </c>
      <c r="FT27" s="3" t="s">
        <v>188</v>
      </c>
      <c r="FU27" s="3" t="s">
        <v>207</v>
      </c>
      <c r="FV27" s="29" t="s">
        <v>289</v>
      </c>
      <c r="FW27" s="7" t="s">
        <v>189</v>
      </c>
      <c r="FX27" s="30" t="s">
        <v>320</v>
      </c>
      <c r="FY27" s="3" t="s">
        <v>204</v>
      </c>
    </row>
    <row r="28" spans="1:181" x14ac:dyDescent="0.15">
      <c r="A28" s="3" t="s">
        <v>248</v>
      </c>
      <c r="B28" s="3" t="s">
        <v>182</v>
      </c>
      <c r="C28">
        <v>2005</v>
      </c>
      <c r="D28" s="9" t="str">
        <f t="shared" si="0"/>
        <v>10.1126/science.1110063</v>
      </c>
      <c r="E28" s="9">
        <f t="shared" si="1"/>
        <v>30165.19870032492</v>
      </c>
      <c r="F28" s="9" t="str">
        <f t="shared" si="2"/>
        <v>NA</v>
      </c>
      <c r="G28" s="9" t="str">
        <f t="shared" si="3"/>
        <v>NA</v>
      </c>
      <c r="H28" s="9">
        <f t="shared" si="4"/>
        <v>601.10682832337466</v>
      </c>
      <c r="I28" s="9">
        <f t="shared" si="5"/>
        <v>139.09722181984955</v>
      </c>
      <c r="J28" s="9">
        <f t="shared" si="6"/>
        <v>139.09722181984955</v>
      </c>
      <c r="K28" s="2" t="s">
        <v>183</v>
      </c>
      <c r="L28" s="3" t="s">
        <v>184</v>
      </c>
      <c r="M28" s="2" t="s">
        <v>249</v>
      </c>
      <c r="N28" s="2" t="s">
        <v>185</v>
      </c>
      <c r="O28" s="4">
        <v>516</v>
      </c>
      <c r="P28" t="s">
        <v>188</v>
      </c>
      <c r="Q28" s="5">
        <v>27</v>
      </c>
      <c r="R28" s="2" t="s">
        <v>189</v>
      </c>
      <c r="S28" s="2" t="s">
        <v>189</v>
      </c>
      <c r="T28" s="5">
        <v>4</v>
      </c>
      <c r="U28" s="5">
        <v>125</v>
      </c>
      <c r="V28" s="6">
        <v>131</v>
      </c>
      <c r="W28" s="3" t="s">
        <v>189</v>
      </c>
      <c r="X28" s="3" t="s">
        <v>189</v>
      </c>
      <c r="Y28" s="3" t="s">
        <v>189</v>
      </c>
      <c r="Z28" s="7">
        <v>421.88</v>
      </c>
      <c r="AA28" s="3" t="s">
        <v>189</v>
      </c>
      <c r="AB28">
        <v>30165.19870032492</v>
      </c>
      <c r="AC28" s="3" t="s">
        <v>189</v>
      </c>
      <c r="AD28" s="3" t="s">
        <v>189</v>
      </c>
      <c r="AE28" s="3" t="s">
        <v>189</v>
      </c>
      <c r="AF28" s="3" t="s">
        <v>191</v>
      </c>
      <c r="AG28" s="3" t="s">
        <v>190</v>
      </c>
      <c r="AH28" s="3" t="s">
        <v>189</v>
      </c>
      <c r="AI28" s="3" t="s">
        <v>189</v>
      </c>
      <c r="AJ28" s="3" t="s">
        <v>189</v>
      </c>
      <c r="AK28" s="3" t="s">
        <v>189</v>
      </c>
      <c r="AL28" s="3" t="s">
        <v>189</v>
      </c>
      <c r="AM28" s="3" t="s">
        <v>189</v>
      </c>
      <c r="AN28" s="3" t="s">
        <v>189</v>
      </c>
      <c r="AO28" s="3" t="s">
        <v>189</v>
      </c>
      <c r="AP28" s="3" t="s">
        <v>189</v>
      </c>
      <c r="AQ28" s="3" t="s">
        <v>189</v>
      </c>
      <c r="AR28" s="3" t="s">
        <v>189</v>
      </c>
      <c r="AS28" s="3" t="s">
        <v>189</v>
      </c>
      <c r="AT28" s="3" t="s">
        <v>189</v>
      </c>
      <c r="AU28" s="3" t="s">
        <v>189</v>
      </c>
      <c r="AV28" s="3" t="s">
        <v>189</v>
      </c>
      <c r="AW28" s="3" t="s">
        <v>189</v>
      </c>
      <c r="AX28" s="3" t="s">
        <v>189</v>
      </c>
      <c r="AY28" s="3" t="s">
        <v>189</v>
      </c>
      <c r="AZ28" s="3" t="s">
        <v>189</v>
      </c>
      <c r="BA28" s="3" t="s">
        <v>189</v>
      </c>
      <c r="BB28" s="3" t="s">
        <v>189</v>
      </c>
      <c r="BC28" s="3" t="s">
        <v>189</v>
      </c>
      <c r="BD28" s="3" t="s">
        <v>189</v>
      </c>
      <c r="BE28" s="3" t="s">
        <v>189</v>
      </c>
      <c r="BF28" t="s">
        <v>194</v>
      </c>
      <c r="BG28" t="s">
        <v>195</v>
      </c>
      <c r="BH28">
        <v>0.5</v>
      </c>
      <c r="BI28" s="3" t="s">
        <v>189</v>
      </c>
      <c r="BJ28" s="3" t="s">
        <v>189</v>
      </c>
      <c r="BK28" s="3" t="s">
        <v>189</v>
      </c>
      <c r="BL28" s="3" t="s">
        <v>189</v>
      </c>
      <c r="BM28" s="3" t="s">
        <v>189</v>
      </c>
      <c r="BN28" s="3" t="s">
        <v>189</v>
      </c>
      <c r="BO28" s="3" t="s">
        <v>189</v>
      </c>
      <c r="BP28" s="3" t="s">
        <v>189</v>
      </c>
      <c r="BQ28" s="3" t="s">
        <v>189</v>
      </c>
      <c r="BR28" t="s">
        <v>210</v>
      </c>
      <c r="BS28" s="3" t="s">
        <v>189</v>
      </c>
      <c r="BT28" s="8">
        <v>-30.163499999999999</v>
      </c>
      <c r="BU28" t="s">
        <v>176</v>
      </c>
      <c r="BV28" s="3" t="s">
        <v>189</v>
      </c>
      <c r="BW28" s="3" t="s">
        <v>189</v>
      </c>
      <c r="BX28" s="3" t="s">
        <v>189</v>
      </c>
      <c r="BY28">
        <v>4.2</v>
      </c>
      <c r="BZ28" s="3" t="s">
        <v>189</v>
      </c>
      <c r="CA28" s="3" t="s">
        <v>189</v>
      </c>
      <c r="CB28" s="3" t="s">
        <v>189</v>
      </c>
      <c r="CC28" s="3" t="s">
        <v>189</v>
      </c>
      <c r="CD28" s="3" t="s">
        <v>189</v>
      </c>
      <c r="CE28" s="3" t="s">
        <v>189</v>
      </c>
      <c r="CF28" s="3" t="s">
        <v>201</v>
      </c>
      <c r="CG28">
        <v>35</v>
      </c>
      <c r="CH28" s="3" t="s">
        <v>189</v>
      </c>
      <c r="CI28" s="3" t="s">
        <v>189</v>
      </c>
      <c r="CJ28" s="1" t="s">
        <v>177</v>
      </c>
      <c r="CK28">
        <v>0.3</v>
      </c>
      <c r="CL28">
        <v>0.1</v>
      </c>
      <c r="CM28">
        <v>0.1</v>
      </c>
      <c r="CN28" s="3" t="s">
        <v>203</v>
      </c>
      <c r="CO28" t="s">
        <v>202</v>
      </c>
      <c r="CP28" s="3" t="s">
        <v>189</v>
      </c>
      <c r="CQ28" s="3" t="s">
        <v>189</v>
      </c>
      <c r="CR28" s="8">
        <v>22.227372690909093</v>
      </c>
      <c r="CS28" s="3" t="s">
        <v>189</v>
      </c>
      <c r="CT28" s="3" t="s">
        <v>189</v>
      </c>
      <c r="CU28" s="3" t="s">
        <v>189</v>
      </c>
      <c r="CV28" t="s">
        <v>212</v>
      </c>
      <c r="CW28" s="3" t="s">
        <v>189</v>
      </c>
      <c r="CX28" s="3" t="s">
        <v>189</v>
      </c>
      <c r="CY28" s="3" t="s">
        <v>189</v>
      </c>
      <c r="CZ28" s="3" t="s">
        <v>189</v>
      </c>
      <c r="DA28" s="3" t="s">
        <v>189</v>
      </c>
      <c r="DB28" s="3" t="s">
        <v>189</v>
      </c>
      <c r="DC28" s="3" t="s">
        <v>189</v>
      </c>
      <c r="DD28" s="3" t="s">
        <v>189</v>
      </c>
      <c r="DE28" s="3" t="s">
        <v>189</v>
      </c>
      <c r="DF28" s="3" t="s">
        <v>189</v>
      </c>
      <c r="DG28" s="3" t="s">
        <v>189</v>
      </c>
      <c r="DH28" s="3" t="s">
        <v>189</v>
      </c>
      <c r="DI28" s="3" t="s">
        <v>189</v>
      </c>
      <c r="DJ28" s="3" t="s">
        <v>189</v>
      </c>
      <c r="DK28" s="3" t="s">
        <v>189</v>
      </c>
      <c r="DL28" s="3" t="s">
        <v>189</v>
      </c>
      <c r="DM28" s="3" t="s">
        <v>189</v>
      </c>
      <c r="DN28" s="3" t="s">
        <v>189</v>
      </c>
      <c r="DO28" s="3" t="s">
        <v>189</v>
      </c>
      <c r="DP28" s="3" t="s">
        <v>189</v>
      </c>
      <c r="DQ28" s="3" t="s">
        <v>189</v>
      </c>
      <c r="DR28" s="3" t="s">
        <v>189</v>
      </c>
      <c r="DS28" s="3" t="s">
        <v>189</v>
      </c>
      <c r="DT28" s="3" t="s">
        <v>189</v>
      </c>
      <c r="DU28" s="3" t="s">
        <v>189</v>
      </c>
      <c r="DV28" s="3" t="s">
        <v>189</v>
      </c>
      <c r="DW28" s="3" t="s">
        <v>189</v>
      </c>
      <c r="DX28" s="3" t="s">
        <v>189</v>
      </c>
      <c r="DY28" s="3" t="s">
        <v>189</v>
      </c>
      <c r="DZ28" s="3" t="s">
        <v>189</v>
      </c>
      <c r="EA28" s="3" t="s">
        <v>189</v>
      </c>
      <c r="EB28" s="3" t="s">
        <v>189</v>
      </c>
      <c r="EC28" s="3" t="s">
        <v>189</v>
      </c>
      <c r="ED28" s="3" t="s">
        <v>189</v>
      </c>
      <c r="EE28" s="3" t="s">
        <v>189</v>
      </c>
      <c r="EF28" s="3" t="s">
        <v>189</v>
      </c>
      <c r="EG28" s="3" t="s">
        <v>189</v>
      </c>
      <c r="EH28" s="3" t="s">
        <v>189</v>
      </c>
      <c r="EI28" s="3" t="s">
        <v>189</v>
      </c>
      <c r="EJ28" s="3" t="s">
        <v>189</v>
      </c>
      <c r="EK28" s="3" t="s">
        <v>189</v>
      </c>
      <c r="EL28" s="3" t="s">
        <v>189</v>
      </c>
      <c r="EM28" s="3" t="s">
        <v>189</v>
      </c>
      <c r="EN28" s="3" t="s">
        <v>189</v>
      </c>
      <c r="EO28" s="3" t="s">
        <v>189</v>
      </c>
      <c r="EP28" s="3" t="s">
        <v>189</v>
      </c>
      <c r="EQ28" s="3" t="s">
        <v>189</v>
      </c>
      <c r="ER28" s="3" t="s">
        <v>189</v>
      </c>
      <c r="ES28" s="3" t="s">
        <v>189</v>
      </c>
      <c r="ET28" s="3" t="s">
        <v>189</v>
      </c>
      <c r="EU28" s="3" t="s">
        <v>189</v>
      </c>
      <c r="EV28" t="s">
        <v>205</v>
      </c>
      <c r="EW28">
        <v>25</v>
      </c>
      <c r="EX28" s="7">
        <v>18.331613528365096</v>
      </c>
      <c r="EY28" s="3">
        <v>0.37629428267860376</v>
      </c>
      <c r="EZ28" s="3">
        <v>0.37629146495321208</v>
      </c>
      <c r="FA28" s="3" t="s">
        <v>232</v>
      </c>
      <c r="FB28" s="3" t="s">
        <v>233</v>
      </c>
      <c r="FC28" s="3" t="s">
        <v>189</v>
      </c>
      <c r="FD28" s="3" t="s">
        <v>189</v>
      </c>
      <c r="FE28" s="3" t="s">
        <v>189</v>
      </c>
      <c r="FF28" s="3" t="s">
        <v>189</v>
      </c>
      <c r="FG28" s="3" t="s">
        <v>189</v>
      </c>
      <c r="FH28">
        <v>601.10682832337466</v>
      </c>
      <c r="FI28">
        <v>139.09722181984955</v>
      </c>
      <c r="FJ28">
        <v>139.09722181984955</v>
      </c>
      <c r="FK28" s="3" t="s">
        <v>203</v>
      </c>
      <c r="FL28" s="10" t="s">
        <v>211</v>
      </c>
      <c r="FM28" s="3" t="s">
        <v>206</v>
      </c>
      <c r="FT28" s="3" t="s">
        <v>188</v>
      </c>
      <c r="FU28" s="3" t="s">
        <v>207</v>
      </c>
      <c r="FV28" s="29" t="s">
        <v>290</v>
      </c>
      <c r="FW28" s="7" t="s">
        <v>189</v>
      </c>
      <c r="FX28" s="30" t="s">
        <v>321</v>
      </c>
      <c r="FY28" s="3" t="s">
        <v>204</v>
      </c>
    </row>
    <row r="29" spans="1:181" x14ac:dyDescent="0.15">
      <c r="A29" s="3" t="s">
        <v>248</v>
      </c>
      <c r="B29" s="3" t="s">
        <v>182</v>
      </c>
      <c r="C29">
        <v>2005</v>
      </c>
      <c r="D29" s="9" t="str">
        <f t="shared" si="0"/>
        <v>10.1126/science.1110063</v>
      </c>
      <c r="E29" s="9">
        <f t="shared" si="1"/>
        <v>30177.195701074728</v>
      </c>
      <c r="F29" s="9" t="str">
        <f t="shared" si="2"/>
        <v>NA</v>
      </c>
      <c r="G29" s="9" t="str">
        <f t="shared" si="3"/>
        <v>NA</v>
      </c>
      <c r="H29" s="9">
        <f t="shared" si="4"/>
        <v>657.9632934501285</v>
      </c>
      <c r="I29" s="9">
        <f t="shared" si="5"/>
        <v>155.20453094055188</v>
      </c>
      <c r="J29" s="9">
        <f t="shared" si="6"/>
        <v>155.20453094055188</v>
      </c>
      <c r="K29" s="2" t="s">
        <v>183</v>
      </c>
      <c r="L29" s="3" t="s">
        <v>184</v>
      </c>
      <c r="M29" s="2" t="s">
        <v>249</v>
      </c>
      <c r="N29" s="2" t="s">
        <v>185</v>
      </c>
      <c r="O29" s="4">
        <v>516</v>
      </c>
      <c r="P29" t="s">
        <v>188</v>
      </c>
      <c r="Q29" s="5">
        <v>27</v>
      </c>
      <c r="R29" s="2" t="s">
        <v>189</v>
      </c>
      <c r="S29" s="2" t="s">
        <v>189</v>
      </c>
      <c r="T29" s="5">
        <v>5</v>
      </c>
      <c r="U29" s="5">
        <v>25</v>
      </c>
      <c r="V29" s="6">
        <v>31</v>
      </c>
      <c r="W29" s="3" t="s">
        <v>189</v>
      </c>
      <c r="X29" s="3" t="s">
        <v>189</v>
      </c>
      <c r="Y29" s="3" t="s">
        <v>189</v>
      </c>
      <c r="Z29" s="7">
        <v>422.38</v>
      </c>
      <c r="AA29" s="3" t="s">
        <v>189</v>
      </c>
      <c r="AB29">
        <v>30177.195701074728</v>
      </c>
      <c r="AC29" s="3" t="s">
        <v>189</v>
      </c>
      <c r="AD29" s="3" t="s">
        <v>189</v>
      </c>
      <c r="AE29" s="3" t="s">
        <v>189</v>
      </c>
      <c r="AF29" s="3" t="s">
        <v>191</v>
      </c>
      <c r="AG29" s="3" t="s">
        <v>190</v>
      </c>
      <c r="AH29" s="3" t="s">
        <v>189</v>
      </c>
      <c r="AI29" s="3" t="s">
        <v>189</v>
      </c>
      <c r="AJ29" s="3" t="s">
        <v>189</v>
      </c>
      <c r="AK29" s="3" t="s">
        <v>189</v>
      </c>
      <c r="AL29" s="3" t="s">
        <v>189</v>
      </c>
      <c r="AM29" s="3" t="s">
        <v>189</v>
      </c>
      <c r="AN29" s="3" t="s">
        <v>189</v>
      </c>
      <c r="AO29" s="3" t="s">
        <v>189</v>
      </c>
      <c r="AP29" s="3" t="s">
        <v>189</v>
      </c>
      <c r="AQ29" s="3" t="s">
        <v>189</v>
      </c>
      <c r="AR29" s="3" t="s">
        <v>189</v>
      </c>
      <c r="AS29" s="3" t="s">
        <v>189</v>
      </c>
      <c r="AT29" s="3" t="s">
        <v>189</v>
      </c>
      <c r="AU29" s="3" t="s">
        <v>189</v>
      </c>
      <c r="AV29" s="3" t="s">
        <v>189</v>
      </c>
      <c r="AW29" s="3" t="s">
        <v>189</v>
      </c>
      <c r="AX29" s="3" t="s">
        <v>189</v>
      </c>
      <c r="AY29" s="3" t="s">
        <v>189</v>
      </c>
      <c r="AZ29" s="3" t="s">
        <v>189</v>
      </c>
      <c r="BA29" s="3" t="s">
        <v>189</v>
      </c>
      <c r="BB29" s="3" t="s">
        <v>189</v>
      </c>
      <c r="BC29" s="3" t="s">
        <v>189</v>
      </c>
      <c r="BD29" s="3" t="s">
        <v>189</v>
      </c>
      <c r="BE29" s="3" t="s">
        <v>189</v>
      </c>
      <c r="BF29" t="s">
        <v>194</v>
      </c>
      <c r="BG29" t="s">
        <v>195</v>
      </c>
      <c r="BH29">
        <v>0.5</v>
      </c>
      <c r="BI29" s="3" t="s">
        <v>189</v>
      </c>
      <c r="BJ29" s="3" t="s">
        <v>189</v>
      </c>
      <c r="BK29" s="3" t="s">
        <v>189</v>
      </c>
      <c r="BL29" s="3" t="s">
        <v>189</v>
      </c>
      <c r="BM29" s="3" t="s">
        <v>189</v>
      </c>
      <c r="BN29" s="3" t="s">
        <v>189</v>
      </c>
      <c r="BO29" s="3" t="s">
        <v>189</v>
      </c>
      <c r="BP29" s="3" t="s">
        <v>189</v>
      </c>
      <c r="BQ29" s="3" t="s">
        <v>189</v>
      </c>
      <c r="BR29" t="s">
        <v>210</v>
      </c>
      <c r="BS29" s="3" t="s">
        <v>189</v>
      </c>
      <c r="BT29" s="8">
        <v>-30.474499999999999</v>
      </c>
      <c r="BU29" t="s">
        <v>176</v>
      </c>
      <c r="BV29" s="3" t="s">
        <v>189</v>
      </c>
      <c r="BW29" s="3" t="s">
        <v>189</v>
      </c>
      <c r="BX29" s="3" t="s">
        <v>189</v>
      </c>
      <c r="BY29">
        <v>4.2</v>
      </c>
      <c r="BZ29" s="3" t="s">
        <v>189</v>
      </c>
      <c r="CA29" s="3" t="s">
        <v>189</v>
      </c>
      <c r="CB29" s="3" t="s">
        <v>189</v>
      </c>
      <c r="CC29" s="3" t="s">
        <v>189</v>
      </c>
      <c r="CD29" s="3" t="s">
        <v>189</v>
      </c>
      <c r="CE29" s="3" t="s">
        <v>189</v>
      </c>
      <c r="CF29" s="3" t="s">
        <v>201</v>
      </c>
      <c r="CG29">
        <v>35</v>
      </c>
      <c r="CH29" s="3" t="s">
        <v>189</v>
      </c>
      <c r="CI29" s="3" t="s">
        <v>189</v>
      </c>
      <c r="CJ29" s="1" t="s">
        <v>177</v>
      </c>
      <c r="CK29">
        <v>0.3</v>
      </c>
      <c r="CL29">
        <v>0.1</v>
      </c>
      <c r="CM29">
        <v>0.1</v>
      </c>
      <c r="CN29" s="3" t="s">
        <v>203</v>
      </c>
      <c r="CO29" t="s">
        <v>202</v>
      </c>
      <c r="CP29" s="3" t="s">
        <v>189</v>
      </c>
      <c r="CQ29" s="3" t="s">
        <v>189</v>
      </c>
      <c r="CR29" s="8">
        <v>22.40642549090909</v>
      </c>
      <c r="CS29" s="3" t="s">
        <v>189</v>
      </c>
      <c r="CT29" s="3" t="s">
        <v>189</v>
      </c>
      <c r="CU29" s="3" t="s">
        <v>189</v>
      </c>
      <c r="CV29" t="s">
        <v>212</v>
      </c>
      <c r="CW29" s="3" t="s">
        <v>189</v>
      </c>
      <c r="CX29" s="3" t="s">
        <v>189</v>
      </c>
      <c r="CY29" s="3" t="s">
        <v>189</v>
      </c>
      <c r="CZ29" s="3" t="s">
        <v>189</v>
      </c>
      <c r="DA29" s="3" t="s">
        <v>189</v>
      </c>
      <c r="DB29" s="3" t="s">
        <v>189</v>
      </c>
      <c r="DC29" s="3" t="s">
        <v>189</v>
      </c>
      <c r="DD29" s="3" t="s">
        <v>189</v>
      </c>
      <c r="DE29" s="3" t="s">
        <v>189</v>
      </c>
      <c r="DF29" s="3" t="s">
        <v>189</v>
      </c>
      <c r="DG29" s="3" t="s">
        <v>189</v>
      </c>
      <c r="DH29" s="3" t="s">
        <v>189</v>
      </c>
      <c r="DI29" s="3" t="s">
        <v>189</v>
      </c>
      <c r="DJ29" s="3" t="s">
        <v>189</v>
      </c>
      <c r="DK29" s="3" t="s">
        <v>189</v>
      </c>
      <c r="DL29" s="3" t="s">
        <v>189</v>
      </c>
      <c r="DM29" s="3" t="s">
        <v>189</v>
      </c>
      <c r="DN29" s="3" t="s">
        <v>189</v>
      </c>
      <c r="DO29" s="3" t="s">
        <v>189</v>
      </c>
      <c r="DP29" s="3" t="s">
        <v>189</v>
      </c>
      <c r="DQ29" s="3" t="s">
        <v>189</v>
      </c>
      <c r="DR29" s="3" t="s">
        <v>189</v>
      </c>
      <c r="DS29" s="3" t="s">
        <v>189</v>
      </c>
      <c r="DT29" s="3" t="s">
        <v>189</v>
      </c>
      <c r="DU29" s="3" t="s">
        <v>189</v>
      </c>
      <c r="DV29" s="3" t="s">
        <v>189</v>
      </c>
      <c r="DW29" s="3" t="s">
        <v>189</v>
      </c>
      <c r="DX29" s="3" t="s">
        <v>189</v>
      </c>
      <c r="DY29" s="3" t="s">
        <v>189</v>
      </c>
      <c r="DZ29" s="3" t="s">
        <v>189</v>
      </c>
      <c r="EA29" s="3" t="s">
        <v>189</v>
      </c>
      <c r="EB29" s="3" t="s">
        <v>189</v>
      </c>
      <c r="EC29" s="3" t="s">
        <v>189</v>
      </c>
      <c r="ED29" s="3" t="s">
        <v>189</v>
      </c>
      <c r="EE29" s="3" t="s">
        <v>189</v>
      </c>
      <c r="EF29" s="3" t="s">
        <v>189</v>
      </c>
      <c r="EG29" s="3" t="s">
        <v>189</v>
      </c>
      <c r="EH29" s="3" t="s">
        <v>189</v>
      </c>
      <c r="EI29" s="3" t="s">
        <v>189</v>
      </c>
      <c r="EJ29" s="3" t="s">
        <v>189</v>
      </c>
      <c r="EK29" s="3" t="s">
        <v>189</v>
      </c>
      <c r="EL29" s="3" t="s">
        <v>189</v>
      </c>
      <c r="EM29" s="3" t="s">
        <v>189</v>
      </c>
      <c r="EN29" s="3" t="s">
        <v>189</v>
      </c>
      <c r="EO29" s="3" t="s">
        <v>189</v>
      </c>
      <c r="EP29" s="3" t="s">
        <v>189</v>
      </c>
      <c r="EQ29" s="3" t="s">
        <v>189</v>
      </c>
      <c r="ER29" s="3" t="s">
        <v>189</v>
      </c>
      <c r="ES29" s="3" t="s">
        <v>189</v>
      </c>
      <c r="ET29" s="3" t="s">
        <v>189</v>
      </c>
      <c r="EU29" s="3" t="s">
        <v>189</v>
      </c>
      <c r="EV29" t="s">
        <v>205</v>
      </c>
      <c r="EW29">
        <v>25</v>
      </c>
      <c r="EX29" s="7">
        <v>18.870203949665544</v>
      </c>
      <c r="EY29" s="3">
        <v>0.37648542222678927</v>
      </c>
      <c r="EZ29" s="3">
        <v>0.37648212014973836</v>
      </c>
      <c r="FA29" s="3" t="s">
        <v>232</v>
      </c>
      <c r="FB29" s="3" t="s">
        <v>233</v>
      </c>
      <c r="FC29" s="3" t="s">
        <v>189</v>
      </c>
      <c r="FD29" s="3" t="s">
        <v>189</v>
      </c>
      <c r="FE29" s="3" t="s">
        <v>189</v>
      </c>
      <c r="FF29" s="3" t="s">
        <v>189</v>
      </c>
      <c r="FG29" s="3" t="s">
        <v>189</v>
      </c>
      <c r="FH29">
        <v>657.9632934501285</v>
      </c>
      <c r="FI29">
        <v>155.20453094055188</v>
      </c>
      <c r="FJ29">
        <v>155.20453094055188</v>
      </c>
      <c r="FK29" s="3" t="s">
        <v>203</v>
      </c>
      <c r="FL29" s="10" t="s">
        <v>211</v>
      </c>
      <c r="FM29" s="3" t="s">
        <v>206</v>
      </c>
      <c r="FT29" s="3" t="s">
        <v>188</v>
      </c>
      <c r="FU29" s="3" t="s">
        <v>207</v>
      </c>
      <c r="FV29" s="29" t="s">
        <v>291</v>
      </c>
      <c r="FW29" s="7" t="s">
        <v>189</v>
      </c>
      <c r="FX29" s="30" t="s">
        <v>322</v>
      </c>
      <c r="FY29" s="3" t="s">
        <v>204</v>
      </c>
    </row>
    <row r="30" spans="1:181" x14ac:dyDescent="0.15">
      <c r="A30" s="3" t="s">
        <v>248</v>
      </c>
      <c r="B30" s="3" t="s">
        <v>182</v>
      </c>
      <c r="C30">
        <v>2005</v>
      </c>
      <c r="D30" s="9" t="str">
        <f t="shared" si="0"/>
        <v>10.1126/science.1110063</v>
      </c>
      <c r="E30" s="9">
        <f t="shared" si="1"/>
        <v>30606.346666666668</v>
      </c>
      <c r="F30" s="9" t="str">
        <f t="shared" si="2"/>
        <v>NA</v>
      </c>
      <c r="G30" s="9" t="str">
        <f t="shared" si="3"/>
        <v>NA</v>
      </c>
      <c r="H30" s="9">
        <f t="shared" si="4"/>
        <v>628.07595978085828</v>
      </c>
      <c r="I30" s="9">
        <f t="shared" si="5"/>
        <v>146.5113615749575</v>
      </c>
      <c r="J30" s="9">
        <f t="shared" si="6"/>
        <v>146.5113615749575</v>
      </c>
      <c r="K30" s="2" t="s">
        <v>183</v>
      </c>
      <c r="L30" s="3" t="s">
        <v>184</v>
      </c>
      <c r="M30" s="2" t="s">
        <v>249</v>
      </c>
      <c r="N30" s="2" t="s">
        <v>185</v>
      </c>
      <c r="O30" s="4">
        <v>516</v>
      </c>
      <c r="P30" t="s">
        <v>188</v>
      </c>
      <c r="Q30" s="5">
        <v>29</v>
      </c>
      <c r="R30" s="2" t="s">
        <v>189</v>
      </c>
      <c r="S30" s="2" t="s">
        <v>189</v>
      </c>
      <c r="T30" s="5">
        <v>3</v>
      </c>
      <c r="U30" s="5">
        <v>99</v>
      </c>
      <c r="V30" s="6">
        <v>105</v>
      </c>
      <c r="W30" s="3" t="s">
        <v>189</v>
      </c>
      <c r="X30" s="3" t="s">
        <v>189</v>
      </c>
      <c r="Y30" s="3" t="s">
        <v>189</v>
      </c>
      <c r="Z30" s="7">
        <v>439.12</v>
      </c>
      <c r="AA30" s="3" t="s">
        <v>189</v>
      </c>
      <c r="AB30">
        <v>30606.346666666668</v>
      </c>
      <c r="AC30" s="3" t="s">
        <v>189</v>
      </c>
      <c r="AD30" s="3" t="s">
        <v>189</v>
      </c>
      <c r="AE30" s="3" t="s">
        <v>189</v>
      </c>
      <c r="AF30" s="3" t="s">
        <v>191</v>
      </c>
      <c r="AG30" s="3" t="s">
        <v>190</v>
      </c>
      <c r="AH30" s="3" t="s">
        <v>189</v>
      </c>
      <c r="AI30" s="3" t="s">
        <v>189</v>
      </c>
      <c r="AJ30" s="3" t="s">
        <v>189</v>
      </c>
      <c r="AK30" s="3" t="s">
        <v>189</v>
      </c>
      <c r="AL30" s="3" t="s">
        <v>189</v>
      </c>
      <c r="AM30" s="3" t="s">
        <v>189</v>
      </c>
      <c r="AN30" s="3" t="s">
        <v>189</v>
      </c>
      <c r="AO30" s="3" t="s">
        <v>189</v>
      </c>
      <c r="AP30" s="3" t="s">
        <v>189</v>
      </c>
      <c r="AQ30" s="3" t="s">
        <v>189</v>
      </c>
      <c r="AR30" s="3" t="s">
        <v>189</v>
      </c>
      <c r="AS30" s="3" t="s">
        <v>189</v>
      </c>
      <c r="AT30" s="3" t="s">
        <v>189</v>
      </c>
      <c r="AU30" s="3" t="s">
        <v>189</v>
      </c>
      <c r="AV30" s="3" t="s">
        <v>189</v>
      </c>
      <c r="AW30" s="3" t="s">
        <v>189</v>
      </c>
      <c r="AX30" s="3" t="s">
        <v>189</v>
      </c>
      <c r="AY30" s="3" t="s">
        <v>189</v>
      </c>
      <c r="AZ30" s="3" t="s">
        <v>189</v>
      </c>
      <c r="BA30" s="3" t="s">
        <v>189</v>
      </c>
      <c r="BB30" s="3" t="s">
        <v>189</v>
      </c>
      <c r="BC30" s="3" t="s">
        <v>189</v>
      </c>
      <c r="BD30" s="3" t="s">
        <v>189</v>
      </c>
      <c r="BE30" s="3" t="s">
        <v>189</v>
      </c>
      <c r="BF30" t="s">
        <v>194</v>
      </c>
      <c r="BG30" t="s">
        <v>195</v>
      </c>
      <c r="BH30">
        <v>0.5</v>
      </c>
      <c r="BI30" s="3" t="s">
        <v>189</v>
      </c>
      <c r="BJ30" s="3" t="s">
        <v>189</v>
      </c>
      <c r="BK30" s="3" t="s">
        <v>189</v>
      </c>
      <c r="BL30" s="3" t="s">
        <v>189</v>
      </c>
      <c r="BM30" s="3" t="s">
        <v>189</v>
      </c>
      <c r="BN30" s="3" t="s">
        <v>189</v>
      </c>
      <c r="BO30" s="3" t="s">
        <v>189</v>
      </c>
      <c r="BP30" s="3" t="s">
        <v>189</v>
      </c>
      <c r="BQ30" s="3" t="s">
        <v>189</v>
      </c>
      <c r="BR30" t="s">
        <v>210</v>
      </c>
      <c r="BS30" s="3" t="s">
        <v>189</v>
      </c>
      <c r="BT30" s="8">
        <v>-30.154000000000003</v>
      </c>
      <c r="BU30" t="s">
        <v>176</v>
      </c>
      <c r="BV30" s="3" t="s">
        <v>189</v>
      </c>
      <c r="BW30" s="3" t="s">
        <v>189</v>
      </c>
      <c r="BX30" s="3" t="s">
        <v>189</v>
      </c>
      <c r="BY30">
        <v>4.2</v>
      </c>
      <c r="BZ30" s="3" t="s">
        <v>189</v>
      </c>
      <c r="CA30" s="3" t="s">
        <v>189</v>
      </c>
      <c r="CB30" s="3" t="s">
        <v>189</v>
      </c>
      <c r="CC30" s="3" t="s">
        <v>189</v>
      </c>
      <c r="CD30" s="3" t="s">
        <v>189</v>
      </c>
      <c r="CE30" s="3" t="s">
        <v>189</v>
      </c>
      <c r="CF30" s="3" t="s">
        <v>201</v>
      </c>
      <c r="CG30">
        <v>35</v>
      </c>
      <c r="CH30" s="3" t="s">
        <v>189</v>
      </c>
      <c r="CI30" s="3" t="s">
        <v>189</v>
      </c>
      <c r="CJ30" s="1" t="s">
        <v>177</v>
      </c>
      <c r="CK30">
        <v>0.3</v>
      </c>
      <c r="CL30">
        <v>0.1</v>
      </c>
      <c r="CM30">
        <v>0.1</v>
      </c>
      <c r="CN30" s="3" t="s">
        <v>203</v>
      </c>
      <c r="CO30" t="s">
        <v>202</v>
      </c>
      <c r="CP30" s="3" t="s">
        <v>189</v>
      </c>
      <c r="CQ30" s="3" t="s">
        <v>189</v>
      </c>
      <c r="CR30" s="8">
        <v>22.40642549090909</v>
      </c>
      <c r="CS30" s="3" t="s">
        <v>189</v>
      </c>
      <c r="CT30" s="3" t="s">
        <v>189</v>
      </c>
      <c r="CU30" s="3" t="s">
        <v>189</v>
      </c>
      <c r="CV30" t="s">
        <v>212</v>
      </c>
      <c r="CW30" s="3" t="s">
        <v>189</v>
      </c>
      <c r="CX30" s="3" t="s">
        <v>189</v>
      </c>
      <c r="CY30" s="3" t="s">
        <v>189</v>
      </c>
      <c r="CZ30" s="3" t="s">
        <v>189</v>
      </c>
      <c r="DA30" s="3" t="s">
        <v>189</v>
      </c>
      <c r="DB30" s="3" t="s">
        <v>189</v>
      </c>
      <c r="DC30" s="3" t="s">
        <v>189</v>
      </c>
      <c r="DD30" s="3" t="s">
        <v>189</v>
      </c>
      <c r="DE30" s="3" t="s">
        <v>189</v>
      </c>
      <c r="DF30" s="3" t="s">
        <v>189</v>
      </c>
      <c r="DG30" s="3" t="s">
        <v>189</v>
      </c>
      <c r="DH30" s="3" t="s">
        <v>189</v>
      </c>
      <c r="DI30" s="3" t="s">
        <v>189</v>
      </c>
      <c r="DJ30" s="3" t="s">
        <v>189</v>
      </c>
      <c r="DK30" s="3" t="s">
        <v>189</v>
      </c>
      <c r="DL30" s="3" t="s">
        <v>189</v>
      </c>
      <c r="DM30" s="3" t="s">
        <v>189</v>
      </c>
      <c r="DN30" s="3" t="s">
        <v>189</v>
      </c>
      <c r="DO30" s="3" t="s">
        <v>189</v>
      </c>
      <c r="DP30" s="3" t="s">
        <v>189</v>
      </c>
      <c r="DQ30" s="3" t="s">
        <v>189</v>
      </c>
      <c r="DR30" s="3" t="s">
        <v>189</v>
      </c>
      <c r="DS30" s="3" t="s">
        <v>189</v>
      </c>
      <c r="DT30" s="3" t="s">
        <v>189</v>
      </c>
      <c r="DU30" s="3" t="s">
        <v>189</v>
      </c>
      <c r="DV30" s="3" t="s">
        <v>189</v>
      </c>
      <c r="DW30" s="3" t="s">
        <v>189</v>
      </c>
      <c r="DX30" s="3" t="s">
        <v>189</v>
      </c>
      <c r="DY30" s="3" t="s">
        <v>189</v>
      </c>
      <c r="DZ30" s="3" t="s">
        <v>189</v>
      </c>
      <c r="EA30" s="3" t="s">
        <v>189</v>
      </c>
      <c r="EB30" s="3" t="s">
        <v>189</v>
      </c>
      <c r="EC30" s="3" t="s">
        <v>189</v>
      </c>
      <c r="ED30" s="3" t="s">
        <v>189</v>
      </c>
      <c r="EE30" s="3" t="s">
        <v>189</v>
      </c>
      <c r="EF30" s="3" t="s">
        <v>189</v>
      </c>
      <c r="EG30" s="3" t="s">
        <v>189</v>
      </c>
      <c r="EH30" s="3" t="s">
        <v>189</v>
      </c>
      <c r="EI30" s="3" t="s">
        <v>189</v>
      </c>
      <c r="EJ30" s="3" t="s">
        <v>189</v>
      </c>
      <c r="EK30" s="3" t="s">
        <v>189</v>
      </c>
      <c r="EL30" s="3" t="s">
        <v>189</v>
      </c>
      <c r="EM30" s="3" t="s">
        <v>189</v>
      </c>
      <c r="EN30" s="3" t="s">
        <v>189</v>
      </c>
      <c r="EO30" s="3" t="s">
        <v>189</v>
      </c>
      <c r="EP30" s="3" t="s">
        <v>189</v>
      </c>
      <c r="EQ30" s="3" t="s">
        <v>189</v>
      </c>
      <c r="ER30" s="3" t="s">
        <v>189</v>
      </c>
      <c r="ES30" s="3" t="s">
        <v>189</v>
      </c>
      <c r="ET30" s="3" t="s">
        <v>189</v>
      </c>
      <c r="EU30" s="3" t="s">
        <v>189</v>
      </c>
      <c r="EV30" t="s">
        <v>205</v>
      </c>
      <c r="EW30">
        <v>25</v>
      </c>
      <c r="EX30" s="7">
        <v>18.583749958973826</v>
      </c>
      <c r="EY30" s="3">
        <v>0.37637957385516785</v>
      </c>
      <c r="EZ30" s="3">
        <v>0.37637627270692064</v>
      </c>
      <c r="FA30" s="3" t="s">
        <v>232</v>
      </c>
      <c r="FB30" s="3" t="s">
        <v>233</v>
      </c>
      <c r="FC30" s="3" t="s">
        <v>189</v>
      </c>
      <c r="FD30" s="3" t="s">
        <v>189</v>
      </c>
      <c r="FE30" s="3" t="s">
        <v>189</v>
      </c>
      <c r="FF30" s="3" t="s">
        <v>189</v>
      </c>
      <c r="FG30" s="3" t="s">
        <v>189</v>
      </c>
      <c r="FH30">
        <v>628.07595978085828</v>
      </c>
      <c r="FI30">
        <v>146.5113615749575</v>
      </c>
      <c r="FJ30">
        <v>146.5113615749575</v>
      </c>
      <c r="FK30" s="3" t="s">
        <v>203</v>
      </c>
      <c r="FL30" s="10" t="s">
        <v>211</v>
      </c>
      <c r="FM30" s="3" t="s">
        <v>206</v>
      </c>
      <c r="FT30" s="3" t="s">
        <v>188</v>
      </c>
      <c r="FU30" s="3" t="s">
        <v>207</v>
      </c>
      <c r="FV30" s="29" t="s">
        <v>292</v>
      </c>
      <c r="FW30" s="7" t="s">
        <v>189</v>
      </c>
      <c r="FX30" s="30" t="s">
        <v>323</v>
      </c>
      <c r="FY30" s="3" t="s">
        <v>204</v>
      </c>
    </row>
    <row r="31" spans="1:181" x14ac:dyDescent="0.15">
      <c r="A31" s="3" t="s">
        <v>248</v>
      </c>
      <c r="B31" s="3" t="s">
        <v>182</v>
      </c>
      <c r="C31">
        <v>2005</v>
      </c>
      <c r="D31" s="9" t="str">
        <f t="shared" si="0"/>
        <v>10.1126/science.1110063</v>
      </c>
      <c r="E31" s="9">
        <f t="shared" si="1"/>
        <v>32708.301886792455</v>
      </c>
      <c r="F31" s="9" t="str">
        <f t="shared" si="2"/>
        <v>NA</v>
      </c>
      <c r="G31" s="9" t="str">
        <f t="shared" si="3"/>
        <v>NA</v>
      </c>
      <c r="H31" s="9">
        <f t="shared" si="4"/>
        <v>971.84312678060587</v>
      </c>
      <c r="I31" s="9">
        <f t="shared" si="5"/>
        <v>256.40762973984329</v>
      </c>
      <c r="J31" s="9">
        <f t="shared" si="6"/>
        <v>256.40762973984329</v>
      </c>
      <c r="K31" s="2" t="s">
        <v>183</v>
      </c>
      <c r="L31" s="3" t="s">
        <v>184</v>
      </c>
      <c r="M31" s="2" t="s">
        <v>249</v>
      </c>
      <c r="N31" s="2" t="s">
        <v>185</v>
      </c>
      <c r="O31" s="4">
        <v>516</v>
      </c>
      <c r="P31" t="s">
        <v>188</v>
      </c>
      <c r="Q31" s="5">
        <v>34</v>
      </c>
      <c r="R31" s="2" t="s">
        <v>189</v>
      </c>
      <c r="S31" s="2" t="s">
        <v>189</v>
      </c>
      <c r="T31" s="5">
        <v>1</v>
      </c>
      <c r="U31" s="5">
        <v>72</v>
      </c>
      <c r="V31" s="6">
        <v>78</v>
      </c>
      <c r="W31" s="3" t="s">
        <v>189</v>
      </c>
      <c r="X31" s="3" t="s">
        <v>189</v>
      </c>
      <c r="Y31" s="3" t="s">
        <v>189</v>
      </c>
      <c r="Z31" s="7">
        <v>483.35</v>
      </c>
      <c r="AA31" s="3" t="s">
        <v>189</v>
      </c>
      <c r="AB31">
        <v>32708.301886792455</v>
      </c>
      <c r="AC31" s="3" t="s">
        <v>189</v>
      </c>
      <c r="AD31" s="3" t="s">
        <v>189</v>
      </c>
      <c r="AE31" s="3" t="s">
        <v>189</v>
      </c>
      <c r="AF31" s="3" t="s">
        <v>191</v>
      </c>
      <c r="AG31" s="3" t="s">
        <v>190</v>
      </c>
      <c r="AH31" s="3" t="s">
        <v>189</v>
      </c>
      <c r="AI31" s="3" t="s">
        <v>189</v>
      </c>
      <c r="AJ31" s="3" t="s">
        <v>189</v>
      </c>
      <c r="AK31" s="3" t="s">
        <v>189</v>
      </c>
      <c r="AL31" s="3" t="s">
        <v>189</v>
      </c>
      <c r="AM31" s="3" t="s">
        <v>189</v>
      </c>
      <c r="AN31" s="3" t="s">
        <v>189</v>
      </c>
      <c r="AO31" s="3" t="s">
        <v>189</v>
      </c>
      <c r="AP31" s="3" t="s">
        <v>189</v>
      </c>
      <c r="AQ31" s="3" t="s">
        <v>189</v>
      </c>
      <c r="AR31" s="3" t="s">
        <v>189</v>
      </c>
      <c r="AS31" s="3" t="s">
        <v>189</v>
      </c>
      <c r="AT31" s="3" t="s">
        <v>189</v>
      </c>
      <c r="AU31" s="3" t="s">
        <v>189</v>
      </c>
      <c r="AV31" s="3" t="s">
        <v>189</v>
      </c>
      <c r="AW31" s="3" t="s">
        <v>189</v>
      </c>
      <c r="AX31" s="3" t="s">
        <v>189</v>
      </c>
      <c r="AY31" s="3" t="s">
        <v>189</v>
      </c>
      <c r="AZ31" s="3" t="s">
        <v>189</v>
      </c>
      <c r="BA31" s="3" t="s">
        <v>189</v>
      </c>
      <c r="BB31" s="3" t="s">
        <v>189</v>
      </c>
      <c r="BC31" s="3" t="s">
        <v>189</v>
      </c>
      <c r="BD31" s="3" t="s">
        <v>189</v>
      </c>
      <c r="BE31" s="3" t="s">
        <v>189</v>
      </c>
      <c r="BF31" t="s">
        <v>194</v>
      </c>
      <c r="BG31" t="s">
        <v>195</v>
      </c>
      <c r="BH31">
        <v>0.5</v>
      </c>
      <c r="BI31" s="3" t="s">
        <v>189</v>
      </c>
      <c r="BJ31" s="3" t="s">
        <v>189</v>
      </c>
      <c r="BK31" s="3" t="s">
        <v>189</v>
      </c>
      <c r="BL31" s="3" t="s">
        <v>189</v>
      </c>
      <c r="BM31" s="3" t="s">
        <v>189</v>
      </c>
      <c r="BN31" s="3" t="s">
        <v>189</v>
      </c>
      <c r="BO31" s="3" t="s">
        <v>189</v>
      </c>
      <c r="BP31" s="3" t="s">
        <v>189</v>
      </c>
      <c r="BQ31" s="3" t="s">
        <v>189</v>
      </c>
      <c r="BR31" t="s">
        <v>210</v>
      </c>
      <c r="BS31" s="3" t="s">
        <v>189</v>
      </c>
      <c r="BT31" s="8">
        <v>-32.406199999999998</v>
      </c>
      <c r="BU31" t="s">
        <v>176</v>
      </c>
      <c r="BV31" s="3" t="s">
        <v>189</v>
      </c>
      <c r="BW31" s="3" t="s">
        <v>189</v>
      </c>
      <c r="BX31" s="3" t="s">
        <v>189</v>
      </c>
      <c r="BY31">
        <v>4.2</v>
      </c>
      <c r="BZ31" s="3" t="s">
        <v>189</v>
      </c>
      <c r="CA31" s="3" t="s">
        <v>189</v>
      </c>
      <c r="CB31" s="3" t="s">
        <v>189</v>
      </c>
      <c r="CC31" s="3" t="s">
        <v>189</v>
      </c>
      <c r="CD31" s="3" t="s">
        <v>189</v>
      </c>
      <c r="CE31" s="3" t="s">
        <v>189</v>
      </c>
      <c r="CF31" s="3" t="s">
        <v>201</v>
      </c>
      <c r="CG31">
        <v>35</v>
      </c>
      <c r="CH31" s="3" t="s">
        <v>189</v>
      </c>
      <c r="CI31" s="3" t="s">
        <v>189</v>
      </c>
      <c r="CJ31" s="1" t="s">
        <v>177</v>
      </c>
      <c r="CK31">
        <v>0.3</v>
      </c>
      <c r="CL31">
        <v>0.1</v>
      </c>
      <c r="CM31">
        <v>0.1</v>
      </c>
      <c r="CN31" s="3" t="s">
        <v>203</v>
      </c>
      <c r="CO31" t="s">
        <v>202</v>
      </c>
      <c r="CP31" s="3" t="s">
        <v>189</v>
      </c>
      <c r="CQ31" s="3" t="s">
        <v>189</v>
      </c>
      <c r="CR31" s="8">
        <v>22.13787989090909</v>
      </c>
      <c r="CS31" s="3" t="s">
        <v>189</v>
      </c>
      <c r="CT31" s="3" t="s">
        <v>189</v>
      </c>
      <c r="CU31" s="3" t="s">
        <v>189</v>
      </c>
      <c r="CV31" t="s">
        <v>212</v>
      </c>
      <c r="CW31" s="3" t="s">
        <v>189</v>
      </c>
      <c r="CX31" s="3" t="s">
        <v>189</v>
      </c>
      <c r="CY31" s="3" t="s">
        <v>189</v>
      </c>
      <c r="CZ31" s="3" t="s">
        <v>189</v>
      </c>
      <c r="DA31" s="3" t="s">
        <v>189</v>
      </c>
      <c r="DB31" s="3" t="s">
        <v>189</v>
      </c>
      <c r="DC31" s="3" t="s">
        <v>189</v>
      </c>
      <c r="DD31" s="3" t="s">
        <v>189</v>
      </c>
      <c r="DE31" s="3" t="s">
        <v>189</v>
      </c>
      <c r="DF31" s="3" t="s">
        <v>189</v>
      </c>
      <c r="DG31" s="3" t="s">
        <v>189</v>
      </c>
      <c r="DH31" s="3" t="s">
        <v>189</v>
      </c>
      <c r="DI31" s="3" t="s">
        <v>189</v>
      </c>
      <c r="DJ31" s="3" t="s">
        <v>189</v>
      </c>
      <c r="DK31" s="3" t="s">
        <v>189</v>
      </c>
      <c r="DL31" s="3" t="s">
        <v>189</v>
      </c>
      <c r="DM31" s="3" t="s">
        <v>189</v>
      </c>
      <c r="DN31" s="3" t="s">
        <v>189</v>
      </c>
      <c r="DO31" s="3" t="s">
        <v>189</v>
      </c>
      <c r="DP31" s="3" t="s">
        <v>189</v>
      </c>
      <c r="DQ31" s="3" t="s">
        <v>189</v>
      </c>
      <c r="DR31" s="3" t="s">
        <v>189</v>
      </c>
      <c r="DS31" s="3" t="s">
        <v>189</v>
      </c>
      <c r="DT31" s="3" t="s">
        <v>189</v>
      </c>
      <c r="DU31" s="3" t="s">
        <v>189</v>
      </c>
      <c r="DV31" s="3" t="s">
        <v>189</v>
      </c>
      <c r="DW31" s="3" t="s">
        <v>189</v>
      </c>
      <c r="DX31" s="3" t="s">
        <v>189</v>
      </c>
      <c r="DY31" s="3" t="s">
        <v>189</v>
      </c>
      <c r="DZ31" s="3" t="s">
        <v>189</v>
      </c>
      <c r="EA31" s="3" t="s">
        <v>189</v>
      </c>
      <c r="EB31" s="3" t="s">
        <v>189</v>
      </c>
      <c r="EC31" s="3" t="s">
        <v>189</v>
      </c>
      <c r="ED31" s="3" t="s">
        <v>189</v>
      </c>
      <c r="EE31" s="3" t="s">
        <v>189</v>
      </c>
      <c r="EF31" s="3" t="s">
        <v>189</v>
      </c>
      <c r="EG31" s="3" t="s">
        <v>189</v>
      </c>
      <c r="EH31" s="3" t="s">
        <v>189</v>
      </c>
      <c r="EI31" s="3" t="s">
        <v>189</v>
      </c>
      <c r="EJ31" s="3" t="s">
        <v>189</v>
      </c>
      <c r="EK31" s="3" t="s">
        <v>189</v>
      </c>
      <c r="EL31" s="3" t="s">
        <v>189</v>
      </c>
      <c r="EM31" s="3" t="s">
        <v>189</v>
      </c>
      <c r="EN31" s="3" t="s">
        <v>189</v>
      </c>
      <c r="EO31" s="3" t="s">
        <v>189</v>
      </c>
      <c r="EP31" s="3" t="s">
        <v>189</v>
      </c>
      <c r="EQ31" s="3" t="s">
        <v>189</v>
      </c>
      <c r="ER31" s="3" t="s">
        <v>189</v>
      </c>
      <c r="ES31" s="3" t="s">
        <v>189</v>
      </c>
      <c r="ET31" s="3" t="s">
        <v>189</v>
      </c>
      <c r="EU31" s="3" t="s">
        <v>189</v>
      </c>
      <c r="EV31" t="s">
        <v>205</v>
      </c>
      <c r="EW31">
        <v>25</v>
      </c>
      <c r="EX31" s="7">
        <v>20.839380406184162</v>
      </c>
      <c r="EY31" s="3">
        <v>0.37722491082225673</v>
      </c>
      <c r="EZ31" s="3">
        <v>0.37722232839621128</v>
      </c>
      <c r="FA31" s="3" t="s">
        <v>232</v>
      </c>
      <c r="FB31" s="3" t="s">
        <v>233</v>
      </c>
      <c r="FC31" s="3" t="s">
        <v>189</v>
      </c>
      <c r="FD31" s="3" t="s">
        <v>189</v>
      </c>
      <c r="FE31" s="3" t="s">
        <v>189</v>
      </c>
      <c r="FF31" s="3" t="s">
        <v>189</v>
      </c>
      <c r="FG31" s="3" t="s">
        <v>189</v>
      </c>
      <c r="FH31">
        <v>971.84312678060587</v>
      </c>
      <c r="FI31">
        <v>256.40762973984329</v>
      </c>
      <c r="FJ31">
        <v>256.40762973984329</v>
      </c>
      <c r="FK31" s="3" t="s">
        <v>203</v>
      </c>
      <c r="FL31" s="10" t="s">
        <v>211</v>
      </c>
      <c r="FM31" s="3" t="s">
        <v>206</v>
      </c>
      <c r="FT31" s="3" t="s">
        <v>188</v>
      </c>
      <c r="FU31" s="3" t="s">
        <v>207</v>
      </c>
      <c r="FV31" s="29" t="s">
        <v>293</v>
      </c>
      <c r="FW31" s="7" t="s">
        <v>189</v>
      </c>
      <c r="FX31" s="30" t="s">
        <v>324</v>
      </c>
      <c r="FY31" s="3" t="s">
        <v>204</v>
      </c>
    </row>
    <row r="32" spans="1:181" x14ac:dyDescent="0.15">
      <c r="A32" s="3" t="s">
        <v>248</v>
      </c>
      <c r="B32" s="3" t="s">
        <v>182</v>
      </c>
      <c r="C32">
        <v>2005</v>
      </c>
      <c r="D32" s="9" t="str">
        <f t="shared" si="0"/>
        <v>10.1126/science.1110063</v>
      </c>
      <c r="E32" s="9">
        <f t="shared" si="1"/>
        <v>34106.325581395344</v>
      </c>
      <c r="F32" s="9" t="str">
        <f t="shared" si="2"/>
        <v>NA</v>
      </c>
      <c r="G32" s="9" t="str">
        <f t="shared" si="3"/>
        <v>NA</v>
      </c>
      <c r="H32" s="9">
        <f t="shared" si="4"/>
        <v>1242.9182581938435</v>
      </c>
      <c r="I32" s="9">
        <f t="shared" si="5"/>
        <v>325.49209076180136</v>
      </c>
      <c r="J32" s="9">
        <f t="shared" si="6"/>
        <v>325.49209076180136</v>
      </c>
      <c r="K32" s="2" t="s">
        <v>183</v>
      </c>
      <c r="L32" s="3" t="s">
        <v>184</v>
      </c>
      <c r="M32" s="2" t="s">
        <v>249</v>
      </c>
      <c r="N32" s="2" t="s">
        <v>185</v>
      </c>
      <c r="O32" s="4">
        <v>612</v>
      </c>
      <c r="P32" t="s">
        <v>187</v>
      </c>
      <c r="Q32" s="5">
        <v>17</v>
      </c>
      <c r="R32" s="2" t="s">
        <v>189</v>
      </c>
      <c r="S32" s="2" t="s">
        <v>189</v>
      </c>
      <c r="T32" s="5">
        <v>6</v>
      </c>
      <c r="U32" s="5">
        <v>23</v>
      </c>
      <c r="V32" s="6">
        <v>29</v>
      </c>
      <c r="W32" s="3" t="s">
        <v>189</v>
      </c>
      <c r="X32" s="3" t="s">
        <v>189</v>
      </c>
      <c r="Y32" s="3" t="s">
        <v>189</v>
      </c>
      <c r="Z32" s="7">
        <v>143.96</v>
      </c>
      <c r="AA32" s="3" t="s">
        <v>189</v>
      </c>
      <c r="AB32">
        <v>34106.325581395344</v>
      </c>
      <c r="AC32" s="3" t="s">
        <v>189</v>
      </c>
      <c r="AD32" s="3" t="s">
        <v>189</v>
      </c>
      <c r="AE32" s="3" t="s">
        <v>189</v>
      </c>
      <c r="AF32" s="3" t="s">
        <v>191</v>
      </c>
      <c r="AG32" s="3" t="s">
        <v>190</v>
      </c>
      <c r="AH32" s="3" t="s">
        <v>189</v>
      </c>
      <c r="AI32" s="3" t="s">
        <v>189</v>
      </c>
      <c r="AJ32" s="3" t="s">
        <v>189</v>
      </c>
      <c r="AK32" s="3" t="s">
        <v>189</v>
      </c>
      <c r="AL32" s="3" t="s">
        <v>189</v>
      </c>
      <c r="AM32" s="3" t="s">
        <v>189</v>
      </c>
      <c r="AN32" s="3" t="s">
        <v>189</v>
      </c>
      <c r="AO32" s="3" t="s">
        <v>189</v>
      </c>
      <c r="AP32" s="3" t="s">
        <v>189</v>
      </c>
      <c r="AQ32" s="3" t="s">
        <v>189</v>
      </c>
      <c r="AR32" s="3" t="s">
        <v>189</v>
      </c>
      <c r="AS32" s="3" t="s">
        <v>189</v>
      </c>
      <c r="AT32" s="3" t="s">
        <v>189</v>
      </c>
      <c r="AU32" s="3" t="s">
        <v>189</v>
      </c>
      <c r="AV32" s="3" t="s">
        <v>189</v>
      </c>
      <c r="AW32" s="3" t="s">
        <v>189</v>
      </c>
      <c r="AX32" s="3" t="s">
        <v>189</v>
      </c>
      <c r="AY32" s="3" t="s">
        <v>189</v>
      </c>
      <c r="AZ32" s="3" t="s">
        <v>189</v>
      </c>
      <c r="BA32" s="3" t="s">
        <v>189</v>
      </c>
      <c r="BB32" s="3" t="s">
        <v>189</v>
      </c>
      <c r="BC32" s="3" t="s">
        <v>189</v>
      </c>
      <c r="BD32" s="3" t="s">
        <v>189</v>
      </c>
      <c r="BE32" s="3" t="s">
        <v>189</v>
      </c>
      <c r="BF32" t="s">
        <v>199</v>
      </c>
      <c r="BG32" t="s">
        <v>197</v>
      </c>
      <c r="BH32" s="3" t="s">
        <v>189</v>
      </c>
      <c r="BI32" s="3" t="s">
        <v>189</v>
      </c>
      <c r="BJ32" s="3" t="s">
        <v>189</v>
      </c>
      <c r="BK32" s="3" t="s">
        <v>189</v>
      </c>
      <c r="BL32" s="3" t="s">
        <v>189</v>
      </c>
      <c r="BM32" s="3" t="s">
        <v>189</v>
      </c>
      <c r="BN32" s="3" t="s">
        <v>189</v>
      </c>
      <c r="BO32" s="3" t="s">
        <v>189</v>
      </c>
      <c r="BP32" s="3" t="s">
        <v>189</v>
      </c>
      <c r="BQ32" s="3" t="s">
        <v>189</v>
      </c>
      <c r="BR32" t="s">
        <v>210</v>
      </c>
      <c r="BS32" s="3" t="s">
        <v>200</v>
      </c>
      <c r="BT32" s="8">
        <v>-31.803000000000001</v>
      </c>
      <c r="BU32" t="s">
        <v>176</v>
      </c>
      <c r="BV32" s="3" t="s">
        <v>189</v>
      </c>
      <c r="BW32" s="3" t="s">
        <v>189</v>
      </c>
      <c r="BX32" s="3" t="s">
        <v>189</v>
      </c>
      <c r="BY32">
        <v>4.2</v>
      </c>
      <c r="BZ32" s="3" t="s">
        <v>189</v>
      </c>
      <c r="CA32" s="3" t="s">
        <v>189</v>
      </c>
      <c r="CB32" s="3" t="s">
        <v>189</v>
      </c>
      <c r="CC32" s="3" t="s">
        <v>189</v>
      </c>
      <c r="CD32" s="3" t="s">
        <v>189</v>
      </c>
      <c r="CE32" s="3" t="s">
        <v>189</v>
      </c>
      <c r="CF32" s="3" t="s">
        <v>201</v>
      </c>
      <c r="CG32">
        <v>35</v>
      </c>
      <c r="CH32" s="3" t="s">
        <v>189</v>
      </c>
      <c r="CI32" s="3" t="s">
        <v>189</v>
      </c>
      <c r="CJ32" s="1" t="s">
        <v>177</v>
      </c>
      <c r="CK32">
        <v>0.4</v>
      </c>
      <c r="CL32">
        <v>0.1</v>
      </c>
      <c r="CM32">
        <v>0.1</v>
      </c>
      <c r="CN32" s="3" t="s">
        <v>203</v>
      </c>
      <c r="CO32" t="s">
        <v>202</v>
      </c>
      <c r="CP32" s="3" t="s">
        <v>189</v>
      </c>
      <c r="CQ32" s="3" t="s">
        <v>189</v>
      </c>
      <c r="CR32" s="8">
        <v>24.0429788</v>
      </c>
      <c r="CS32" s="3" t="s">
        <v>189</v>
      </c>
      <c r="CT32" s="3" t="s">
        <v>189</v>
      </c>
      <c r="CU32" s="3" t="s">
        <v>189</v>
      </c>
      <c r="CV32" t="s">
        <v>212</v>
      </c>
      <c r="CW32" s="3" t="s">
        <v>189</v>
      </c>
      <c r="CX32" s="3" t="s">
        <v>189</v>
      </c>
      <c r="CY32" s="3" t="s">
        <v>189</v>
      </c>
      <c r="CZ32" s="3" t="s">
        <v>189</v>
      </c>
      <c r="DA32" s="3" t="s">
        <v>189</v>
      </c>
      <c r="DB32" s="3" t="s">
        <v>189</v>
      </c>
      <c r="DC32" s="3" t="s">
        <v>189</v>
      </c>
      <c r="DD32" s="3" t="s">
        <v>189</v>
      </c>
      <c r="DE32" s="3" t="s">
        <v>189</v>
      </c>
      <c r="DF32" s="3" t="s">
        <v>189</v>
      </c>
      <c r="DG32" s="3" t="s">
        <v>189</v>
      </c>
      <c r="DH32" s="3" t="s">
        <v>189</v>
      </c>
      <c r="DI32" s="3" t="s">
        <v>189</v>
      </c>
      <c r="DJ32" s="3" t="s">
        <v>189</v>
      </c>
      <c r="DK32" s="3" t="s">
        <v>189</v>
      </c>
      <c r="DL32" s="3" t="s">
        <v>189</v>
      </c>
      <c r="DM32" s="3" t="s">
        <v>189</v>
      </c>
      <c r="DN32" s="3" t="s">
        <v>189</v>
      </c>
      <c r="DO32" s="3" t="s">
        <v>189</v>
      </c>
      <c r="DP32" s="3" t="s">
        <v>189</v>
      </c>
      <c r="DQ32" s="3" t="s">
        <v>189</v>
      </c>
      <c r="DR32" s="3" t="s">
        <v>189</v>
      </c>
      <c r="DS32" s="3" t="s">
        <v>189</v>
      </c>
      <c r="DT32" s="3" t="s">
        <v>189</v>
      </c>
      <c r="DU32" s="3" t="s">
        <v>189</v>
      </c>
      <c r="DV32" s="3" t="s">
        <v>189</v>
      </c>
      <c r="DW32" s="3" t="s">
        <v>189</v>
      </c>
      <c r="DX32" s="3" t="s">
        <v>189</v>
      </c>
      <c r="DY32" s="3" t="s">
        <v>189</v>
      </c>
      <c r="DZ32" s="3" t="s">
        <v>189</v>
      </c>
      <c r="EA32" s="3" t="s">
        <v>189</v>
      </c>
      <c r="EB32" s="3" t="s">
        <v>189</v>
      </c>
      <c r="EC32" s="3" t="s">
        <v>189</v>
      </c>
      <c r="ED32" s="3" t="s">
        <v>189</v>
      </c>
      <c r="EE32" s="3" t="s">
        <v>189</v>
      </c>
      <c r="EF32" s="3" t="s">
        <v>189</v>
      </c>
      <c r="EG32" s="3" t="s">
        <v>189</v>
      </c>
      <c r="EH32" s="3" t="s">
        <v>189</v>
      </c>
      <c r="EI32" s="3" t="s">
        <v>189</v>
      </c>
      <c r="EJ32" s="3" t="s">
        <v>189</v>
      </c>
      <c r="EK32" s="3" t="s">
        <v>189</v>
      </c>
      <c r="EL32" s="3" t="s">
        <v>189</v>
      </c>
      <c r="EM32" s="3" t="s">
        <v>189</v>
      </c>
      <c r="EN32" s="3" t="s">
        <v>189</v>
      </c>
      <c r="EO32" s="3" t="s">
        <v>189</v>
      </c>
      <c r="EP32" s="3" t="s">
        <v>189</v>
      </c>
      <c r="EQ32" s="3" t="s">
        <v>189</v>
      </c>
      <c r="ER32" s="3" t="s">
        <v>189</v>
      </c>
      <c r="ES32" s="3" t="s">
        <v>189</v>
      </c>
      <c r="ET32" s="3" t="s">
        <v>189</v>
      </c>
      <c r="EU32" s="3" t="s">
        <v>189</v>
      </c>
      <c r="EV32" t="s">
        <v>205</v>
      </c>
      <c r="EW32">
        <v>25</v>
      </c>
      <c r="EX32" s="7">
        <v>21.236958047674783</v>
      </c>
      <c r="EY32" s="3">
        <v>0.3772890900539636</v>
      </c>
      <c r="EZ32" s="3">
        <v>0.37728140959303502</v>
      </c>
      <c r="FA32" s="3" t="s">
        <v>232</v>
      </c>
      <c r="FB32" s="3" t="s">
        <v>233</v>
      </c>
      <c r="FC32" s="3" t="s">
        <v>189</v>
      </c>
      <c r="FD32" s="3" t="s">
        <v>189</v>
      </c>
      <c r="FE32" s="3" t="s">
        <v>189</v>
      </c>
      <c r="FF32" s="3" t="s">
        <v>189</v>
      </c>
      <c r="FG32" s="3" t="s">
        <v>189</v>
      </c>
      <c r="FH32">
        <v>1242.9182581938435</v>
      </c>
      <c r="FI32">
        <v>325.49209076180136</v>
      </c>
      <c r="FJ32">
        <v>325.49209076180136</v>
      </c>
      <c r="FK32" s="3" t="s">
        <v>203</v>
      </c>
      <c r="FL32" s="10" t="s">
        <v>211</v>
      </c>
      <c r="FM32" s="3" t="s">
        <v>206</v>
      </c>
      <c r="FT32" s="3" t="s">
        <v>188</v>
      </c>
      <c r="FU32" s="3" t="s">
        <v>207</v>
      </c>
      <c r="FV32" s="29" t="s">
        <v>294</v>
      </c>
      <c r="FW32" s="7" t="s">
        <v>189</v>
      </c>
      <c r="FX32" s="30" t="s">
        <v>325</v>
      </c>
      <c r="FY32" s="3" t="s">
        <v>204</v>
      </c>
    </row>
    <row r="33" spans="1:181" x14ac:dyDescent="0.15">
      <c r="A33" s="3" t="s">
        <v>248</v>
      </c>
      <c r="B33" s="3" t="s">
        <v>182</v>
      </c>
      <c r="C33">
        <v>2005</v>
      </c>
      <c r="D33" s="9" t="str">
        <f t="shared" si="0"/>
        <v>10.1126/science.1110063</v>
      </c>
      <c r="E33" s="9">
        <f t="shared" si="1"/>
        <v>34367.162790697665</v>
      </c>
      <c r="F33" s="9" t="str">
        <f t="shared" si="2"/>
        <v>NA</v>
      </c>
      <c r="G33" s="9" t="str">
        <f t="shared" si="3"/>
        <v>NA</v>
      </c>
      <c r="H33" s="9">
        <f t="shared" si="4"/>
        <v>1018.7891188532233</v>
      </c>
      <c r="I33" s="9">
        <f t="shared" si="5"/>
        <v>249.3809185689895</v>
      </c>
      <c r="J33" s="9">
        <f t="shared" si="6"/>
        <v>249.3809185689895</v>
      </c>
      <c r="K33" s="2" t="s">
        <v>183</v>
      </c>
      <c r="L33" s="3" t="s">
        <v>184</v>
      </c>
      <c r="M33" s="2" t="s">
        <v>249</v>
      </c>
      <c r="N33" s="2" t="s">
        <v>185</v>
      </c>
      <c r="O33" s="4">
        <v>612</v>
      </c>
      <c r="P33" t="s">
        <v>187</v>
      </c>
      <c r="Q33" s="5">
        <v>18</v>
      </c>
      <c r="R33" s="2" t="s">
        <v>189</v>
      </c>
      <c r="S33" s="2" t="s">
        <v>189</v>
      </c>
      <c r="T33" s="5">
        <v>2</v>
      </c>
      <c r="U33" s="5">
        <v>24</v>
      </c>
      <c r="V33" s="6">
        <v>29</v>
      </c>
      <c r="W33" s="3" t="s">
        <v>189</v>
      </c>
      <c r="X33" s="3" t="s">
        <v>189</v>
      </c>
      <c r="Y33" s="3" t="s">
        <v>189</v>
      </c>
      <c r="Z33" s="7">
        <v>147.465</v>
      </c>
      <c r="AA33" s="3" t="s">
        <v>189</v>
      </c>
      <c r="AB33">
        <v>34367.162790697665</v>
      </c>
      <c r="AC33" s="3" t="s">
        <v>189</v>
      </c>
      <c r="AD33" s="3" t="s">
        <v>189</v>
      </c>
      <c r="AE33" s="3" t="s">
        <v>189</v>
      </c>
      <c r="AF33" s="3" t="s">
        <v>191</v>
      </c>
      <c r="AG33" s="3" t="s">
        <v>190</v>
      </c>
      <c r="AH33" s="3" t="s">
        <v>189</v>
      </c>
      <c r="AI33" s="3" t="s">
        <v>189</v>
      </c>
      <c r="AJ33" s="3" t="s">
        <v>189</v>
      </c>
      <c r="AK33" s="3" t="s">
        <v>189</v>
      </c>
      <c r="AL33" s="3" t="s">
        <v>189</v>
      </c>
      <c r="AM33" s="3" t="s">
        <v>189</v>
      </c>
      <c r="AN33" s="3" t="s">
        <v>189</v>
      </c>
      <c r="AO33" s="3" t="s">
        <v>189</v>
      </c>
      <c r="AP33" s="3" t="s">
        <v>189</v>
      </c>
      <c r="AQ33" s="3" t="s">
        <v>189</v>
      </c>
      <c r="AR33" s="3" t="s">
        <v>189</v>
      </c>
      <c r="AS33" s="3" t="s">
        <v>189</v>
      </c>
      <c r="AT33" s="3" t="s">
        <v>189</v>
      </c>
      <c r="AU33" s="3" t="s">
        <v>189</v>
      </c>
      <c r="AV33" s="3" t="s">
        <v>189</v>
      </c>
      <c r="AW33" s="3" t="s">
        <v>189</v>
      </c>
      <c r="AX33" s="3" t="s">
        <v>189</v>
      </c>
      <c r="AY33" s="3" t="s">
        <v>189</v>
      </c>
      <c r="AZ33" s="3" t="s">
        <v>189</v>
      </c>
      <c r="BA33" s="3" t="s">
        <v>189</v>
      </c>
      <c r="BB33" s="3" t="s">
        <v>189</v>
      </c>
      <c r="BC33" s="3" t="s">
        <v>189</v>
      </c>
      <c r="BD33" s="3" t="s">
        <v>189</v>
      </c>
      <c r="BE33" s="3" t="s">
        <v>189</v>
      </c>
      <c r="BF33" t="s">
        <v>199</v>
      </c>
      <c r="BG33" t="s">
        <v>197</v>
      </c>
      <c r="BH33" s="3" t="s">
        <v>189</v>
      </c>
      <c r="BI33" s="3" t="s">
        <v>189</v>
      </c>
      <c r="BJ33" s="3" t="s">
        <v>189</v>
      </c>
      <c r="BK33" s="3" t="s">
        <v>189</v>
      </c>
      <c r="BL33" s="3" t="s">
        <v>189</v>
      </c>
      <c r="BM33" s="3" t="s">
        <v>189</v>
      </c>
      <c r="BN33" s="3" t="s">
        <v>189</v>
      </c>
      <c r="BO33" s="3" t="s">
        <v>189</v>
      </c>
      <c r="BP33" s="3" t="s">
        <v>189</v>
      </c>
      <c r="BQ33" s="3" t="s">
        <v>189</v>
      </c>
      <c r="BR33" t="s">
        <v>210</v>
      </c>
      <c r="BS33" s="3" t="s">
        <v>200</v>
      </c>
      <c r="BT33" s="8">
        <v>-31.515500000000003</v>
      </c>
      <c r="BU33" t="s">
        <v>176</v>
      </c>
      <c r="BV33" s="3" t="s">
        <v>189</v>
      </c>
      <c r="BW33" s="3" t="s">
        <v>189</v>
      </c>
      <c r="BX33" s="3" t="s">
        <v>189</v>
      </c>
      <c r="BY33">
        <v>4.2</v>
      </c>
      <c r="BZ33" s="3" t="s">
        <v>189</v>
      </c>
      <c r="CA33" s="3" t="s">
        <v>189</v>
      </c>
      <c r="CB33" s="3" t="s">
        <v>189</v>
      </c>
      <c r="CC33" s="3" t="s">
        <v>189</v>
      </c>
      <c r="CD33" s="3" t="s">
        <v>189</v>
      </c>
      <c r="CE33" s="3" t="s">
        <v>189</v>
      </c>
      <c r="CF33" s="3" t="s">
        <v>201</v>
      </c>
      <c r="CG33">
        <v>35</v>
      </c>
      <c r="CH33" s="3" t="s">
        <v>189</v>
      </c>
      <c r="CI33" s="3" t="s">
        <v>189</v>
      </c>
      <c r="CJ33" s="1" t="s">
        <v>177</v>
      </c>
      <c r="CK33">
        <v>0.4</v>
      </c>
      <c r="CL33">
        <v>0.1</v>
      </c>
      <c r="CM33">
        <v>0.1</v>
      </c>
      <c r="CN33" s="3" t="s">
        <v>203</v>
      </c>
      <c r="CO33" t="s">
        <v>202</v>
      </c>
      <c r="CP33" s="3" t="s">
        <v>189</v>
      </c>
      <c r="CQ33" s="3" t="s">
        <v>189</v>
      </c>
      <c r="CR33" s="8">
        <v>24.180099200000001</v>
      </c>
      <c r="CS33" s="3" t="s">
        <v>189</v>
      </c>
      <c r="CT33" s="3" t="s">
        <v>189</v>
      </c>
      <c r="CU33" s="3" t="s">
        <v>189</v>
      </c>
      <c r="CV33" t="s">
        <v>212</v>
      </c>
      <c r="CW33" s="3" t="s">
        <v>189</v>
      </c>
      <c r="CX33" s="3" t="s">
        <v>189</v>
      </c>
      <c r="CY33" s="3" t="s">
        <v>189</v>
      </c>
      <c r="CZ33" s="3" t="s">
        <v>189</v>
      </c>
      <c r="DA33" s="3" t="s">
        <v>189</v>
      </c>
      <c r="DB33" s="3" t="s">
        <v>189</v>
      </c>
      <c r="DC33" s="3" t="s">
        <v>189</v>
      </c>
      <c r="DD33" s="3" t="s">
        <v>189</v>
      </c>
      <c r="DE33" s="3" t="s">
        <v>189</v>
      </c>
      <c r="DF33" s="3" t="s">
        <v>189</v>
      </c>
      <c r="DG33" s="3" t="s">
        <v>189</v>
      </c>
      <c r="DH33" s="3" t="s">
        <v>189</v>
      </c>
      <c r="DI33" s="3" t="s">
        <v>189</v>
      </c>
      <c r="DJ33" s="3" t="s">
        <v>189</v>
      </c>
      <c r="DK33" s="3" t="s">
        <v>189</v>
      </c>
      <c r="DL33" s="3" t="s">
        <v>189</v>
      </c>
      <c r="DM33" s="3" t="s">
        <v>189</v>
      </c>
      <c r="DN33" s="3" t="s">
        <v>189</v>
      </c>
      <c r="DO33" s="3" t="s">
        <v>189</v>
      </c>
      <c r="DP33" s="3" t="s">
        <v>189</v>
      </c>
      <c r="DQ33" s="3" t="s">
        <v>189</v>
      </c>
      <c r="DR33" s="3" t="s">
        <v>189</v>
      </c>
      <c r="DS33" s="3" t="s">
        <v>189</v>
      </c>
      <c r="DT33" s="3" t="s">
        <v>189</v>
      </c>
      <c r="DU33" s="3" t="s">
        <v>189</v>
      </c>
      <c r="DV33" s="3" t="s">
        <v>189</v>
      </c>
      <c r="DW33" s="3" t="s">
        <v>189</v>
      </c>
      <c r="DX33" s="3" t="s">
        <v>189</v>
      </c>
      <c r="DY33" s="3" t="s">
        <v>189</v>
      </c>
      <c r="DZ33" s="3" t="s">
        <v>189</v>
      </c>
      <c r="EA33" s="3" t="s">
        <v>189</v>
      </c>
      <c r="EB33" s="3" t="s">
        <v>189</v>
      </c>
      <c r="EC33" s="3" t="s">
        <v>189</v>
      </c>
      <c r="ED33" s="3" t="s">
        <v>189</v>
      </c>
      <c r="EE33" s="3" t="s">
        <v>189</v>
      </c>
      <c r="EF33" s="3" t="s">
        <v>189</v>
      </c>
      <c r="EG33" s="3" t="s">
        <v>189</v>
      </c>
      <c r="EH33" s="3" t="s">
        <v>189</v>
      </c>
      <c r="EI33" s="3" t="s">
        <v>189</v>
      </c>
      <c r="EJ33" s="3" t="s">
        <v>189</v>
      </c>
      <c r="EK33" s="3" t="s">
        <v>189</v>
      </c>
      <c r="EL33" s="3" t="s">
        <v>189</v>
      </c>
      <c r="EM33" s="3" t="s">
        <v>189</v>
      </c>
      <c r="EN33" s="3" t="s">
        <v>189</v>
      </c>
      <c r="EO33" s="3" t="s">
        <v>189</v>
      </c>
      <c r="EP33" s="3" t="s">
        <v>189</v>
      </c>
      <c r="EQ33" s="3" t="s">
        <v>189</v>
      </c>
      <c r="ER33" s="3" t="s">
        <v>189</v>
      </c>
      <c r="ES33" s="3" t="s">
        <v>189</v>
      </c>
      <c r="ET33" s="3" t="s">
        <v>189</v>
      </c>
      <c r="EU33" s="3" t="s">
        <v>189</v>
      </c>
      <c r="EV33" t="s">
        <v>205</v>
      </c>
      <c r="EW33">
        <v>25</v>
      </c>
      <c r="EX33" s="7">
        <v>20.421736175328718</v>
      </c>
      <c r="EY33" s="3">
        <v>0.37698208493375418</v>
      </c>
      <c r="EZ33" s="3">
        <v>0.37697404897185294</v>
      </c>
      <c r="FA33" s="3" t="s">
        <v>232</v>
      </c>
      <c r="FB33" s="3" t="s">
        <v>233</v>
      </c>
      <c r="FC33" s="3" t="s">
        <v>189</v>
      </c>
      <c r="FD33" s="3" t="s">
        <v>189</v>
      </c>
      <c r="FE33" s="3" t="s">
        <v>189</v>
      </c>
      <c r="FF33" s="3" t="s">
        <v>189</v>
      </c>
      <c r="FG33" s="3" t="s">
        <v>189</v>
      </c>
      <c r="FH33">
        <v>1018.7891188532233</v>
      </c>
      <c r="FI33">
        <v>249.3809185689895</v>
      </c>
      <c r="FJ33">
        <v>249.3809185689895</v>
      </c>
      <c r="FK33" s="3" t="s">
        <v>203</v>
      </c>
      <c r="FL33" s="10" t="s">
        <v>211</v>
      </c>
      <c r="FM33" s="3" t="s">
        <v>206</v>
      </c>
      <c r="FT33" s="3" t="s">
        <v>188</v>
      </c>
      <c r="FU33" s="3" t="s">
        <v>207</v>
      </c>
      <c r="FV33" s="29" t="s">
        <v>295</v>
      </c>
      <c r="FW33" s="7" t="s">
        <v>189</v>
      </c>
      <c r="FX33" s="30" t="s">
        <v>326</v>
      </c>
      <c r="FY33" s="3" t="s">
        <v>204</v>
      </c>
    </row>
    <row r="34" spans="1:181" x14ac:dyDescent="0.15">
      <c r="A34" s="3" t="s">
        <v>248</v>
      </c>
      <c r="B34" s="3" t="s">
        <v>182</v>
      </c>
      <c r="C34">
        <v>2005</v>
      </c>
      <c r="D34" s="9" t="str">
        <f t="shared" si="0"/>
        <v>10.1126/science.1110063</v>
      </c>
      <c r="E34" s="9">
        <f t="shared" si="1"/>
        <v>34814.046511627879</v>
      </c>
      <c r="F34" s="9" t="str">
        <f t="shared" si="2"/>
        <v>NA</v>
      </c>
      <c r="G34" s="9" t="str">
        <f t="shared" si="3"/>
        <v>NA</v>
      </c>
      <c r="H34" s="9">
        <f t="shared" si="4"/>
        <v>1019.5795449423873</v>
      </c>
      <c r="I34" s="9">
        <f t="shared" si="5"/>
        <v>250.86803170187898</v>
      </c>
      <c r="J34" s="9">
        <f t="shared" si="6"/>
        <v>250.86803170187898</v>
      </c>
      <c r="K34" s="2" t="s">
        <v>183</v>
      </c>
      <c r="L34" s="3" t="s">
        <v>184</v>
      </c>
      <c r="M34" s="2" t="s">
        <v>249</v>
      </c>
      <c r="N34" s="2" t="s">
        <v>185</v>
      </c>
      <c r="O34" s="4">
        <v>612</v>
      </c>
      <c r="P34" t="s">
        <v>187</v>
      </c>
      <c r="Q34" s="5">
        <v>18</v>
      </c>
      <c r="R34" s="2" t="s">
        <v>189</v>
      </c>
      <c r="S34" s="2" t="s">
        <v>189</v>
      </c>
      <c r="T34" s="5">
        <v>6</v>
      </c>
      <c r="U34" s="5">
        <v>24</v>
      </c>
      <c r="V34" s="6">
        <v>30</v>
      </c>
      <c r="W34" s="3" t="s">
        <v>189</v>
      </c>
      <c r="X34" s="3" t="s">
        <v>189</v>
      </c>
      <c r="Y34" s="3" t="s">
        <v>189</v>
      </c>
      <c r="Z34" s="7">
        <v>153.47</v>
      </c>
      <c r="AA34" s="3" t="s">
        <v>189</v>
      </c>
      <c r="AB34">
        <v>34814.046511627879</v>
      </c>
      <c r="AC34" s="3" t="s">
        <v>189</v>
      </c>
      <c r="AD34" s="3" t="s">
        <v>189</v>
      </c>
      <c r="AE34" s="3" t="s">
        <v>189</v>
      </c>
      <c r="AF34" s="3" t="s">
        <v>191</v>
      </c>
      <c r="AG34" s="3" t="s">
        <v>190</v>
      </c>
      <c r="AH34" s="3" t="s">
        <v>189</v>
      </c>
      <c r="AI34" s="3" t="s">
        <v>189</v>
      </c>
      <c r="AJ34" s="3" t="s">
        <v>189</v>
      </c>
      <c r="AK34" s="3" t="s">
        <v>189</v>
      </c>
      <c r="AL34" s="3" t="s">
        <v>189</v>
      </c>
      <c r="AM34" s="3" t="s">
        <v>189</v>
      </c>
      <c r="AN34" s="3" t="s">
        <v>189</v>
      </c>
      <c r="AO34" s="3" t="s">
        <v>189</v>
      </c>
      <c r="AP34" s="3" t="s">
        <v>189</v>
      </c>
      <c r="AQ34" s="3" t="s">
        <v>189</v>
      </c>
      <c r="AR34" s="3" t="s">
        <v>189</v>
      </c>
      <c r="AS34" s="3" t="s">
        <v>189</v>
      </c>
      <c r="AT34" s="3" t="s">
        <v>189</v>
      </c>
      <c r="AU34" s="3" t="s">
        <v>189</v>
      </c>
      <c r="AV34" s="3" t="s">
        <v>189</v>
      </c>
      <c r="AW34" s="3" t="s">
        <v>189</v>
      </c>
      <c r="AX34" s="3" t="s">
        <v>189</v>
      </c>
      <c r="AY34" s="3" t="s">
        <v>189</v>
      </c>
      <c r="AZ34" s="3" t="s">
        <v>189</v>
      </c>
      <c r="BA34" s="3" t="s">
        <v>189</v>
      </c>
      <c r="BB34" s="3" t="s">
        <v>189</v>
      </c>
      <c r="BC34" s="3" t="s">
        <v>189</v>
      </c>
      <c r="BD34" s="3" t="s">
        <v>189</v>
      </c>
      <c r="BE34" s="3" t="s">
        <v>189</v>
      </c>
      <c r="BF34" t="s">
        <v>199</v>
      </c>
      <c r="BG34" t="s">
        <v>197</v>
      </c>
      <c r="BH34" s="3" t="s">
        <v>189</v>
      </c>
      <c r="BI34" s="3" t="s">
        <v>189</v>
      </c>
      <c r="BJ34" s="3" t="s">
        <v>189</v>
      </c>
      <c r="BK34" s="3" t="s">
        <v>189</v>
      </c>
      <c r="BL34" s="3" t="s">
        <v>189</v>
      </c>
      <c r="BM34" s="3" t="s">
        <v>189</v>
      </c>
      <c r="BN34" s="3" t="s">
        <v>189</v>
      </c>
      <c r="BO34" s="3" t="s">
        <v>189</v>
      </c>
      <c r="BP34" s="3" t="s">
        <v>189</v>
      </c>
      <c r="BQ34" s="3" t="s">
        <v>189</v>
      </c>
      <c r="BR34" t="s">
        <v>210</v>
      </c>
      <c r="BS34" s="3" t="s">
        <v>200</v>
      </c>
      <c r="BT34" s="8">
        <v>-31.485500000000002</v>
      </c>
      <c r="BU34" t="s">
        <v>176</v>
      </c>
      <c r="BV34" s="3" t="s">
        <v>189</v>
      </c>
      <c r="BW34" s="3" t="s">
        <v>189</v>
      </c>
      <c r="BX34" s="3" t="s">
        <v>189</v>
      </c>
      <c r="BY34">
        <v>4.2</v>
      </c>
      <c r="BZ34" s="3" t="s">
        <v>189</v>
      </c>
      <c r="CA34" s="3" t="s">
        <v>189</v>
      </c>
      <c r="CB34" s="3" t="s">
        <v>189</v>
      </c>
      <c r="CC34" s="3" t="s">
        <v>189</v>
      </c>
      <c r="CD34" s="3" t="s">
        <v>189</v>
      </c>
      <c r="CE34" s="3" t="s">
        <v>189</v>
      </c>
      <c r="CF34" s="3" t="s">
        <v>201</v>
      </c>
      <c r="CG34">
        <v>35</v>
      </c>
      <c r="CH34" s="3" t="s">
        <v>189</v>
      </c>
      <c r="CI34" s="3" t="s">
        <v>189</v>
      </c>
      <c r="CJ34" s="1" t="s">
        <v>177</v>
      </c>
      <c r="CK34">
        <v>0.4</v>
      </c>
      <c r="CL34">
        <v>0.1</v>
      </c>
      <c r="CM34">
        <v>0.1</v>
      </c>
      <c r="CN34" s="3" t="s">
        <v>203</v>
      </c>
      <c r="CO34" t="s">
        <v>202</v>
      </c>
      <c r="CP34" s="3" t="s">
        <v>189</v>
      </c>
      <c r="CQ34" s="3" t="s">
        <v>189</v>
      </c>
      <c r="CR34" s="8">
        <v>23.814556800000002</v>
      </c>
      <c r="CS34" s="3" t="s">
        <v>189</v>
      </c>
      <c r="CT34" s="3" t="s">
        <v>189</v>
      </c>
      <c r="CU34" s="3" t="s">
        <v>189</v>
      </c>
      <c r="CV34" t="s">
        <v>212</v>
      </c>
      <c r="CW34" s="3" t="s">
        <v>189</v>
      </c>
      <c r="CX34" s="3" t="s">
        <v>189</v>
      </c>
      <c r="CY34" s="3" t="s">
        <v>189</v>
      </c>
      <c r="CZ34" s="3" t="s">
        <v>189</v>
      </c>
      <c r="DA34" s="3" t="s">
        <v>189</v>
      </c>
      <c r="DB34" s="3" t="s">
        <v>189</v>
      </c>
      <c r="DC34" s="3" t="s">
        <v>189</v>
      </c>
      <c r="DD34" s="3" t="s">
        <v>189</v>
      </c>
      <c r="DE34" s="3" t="s">
        <v>189</v>
      </c>
      <c r="DF34" s="3" t="s">
        <v>189</v>
      </c>
      <c r="DG34" s="3" t="s">
        <v>189</v>
      </c>
      <c r="DH34" s="3" t="s">
        <v>189</v>
      </c>
      <c r="DI34" s="3" t="s">
        <v>189</v>
      </c>
      <c r="DJ34" s="3" t="s">
        <v>189</v>
      </c>
      <c r="DK34" s="3" t="s">
        <v>189</v>
      </c>
      <c r="DL34" s="3" t="s">
        <v>189</v>
      </c>
      <c r="DM34" s="3" t="s">
        <v>189</v>
      </c>
      <c r="DN34" s="3" t="s">
        <v>189</v>
      </c>
      <c r="DO34" s="3" t="s">
        <v>189</v>
      </c>
      <c r="DP34" s="3" t="s">
        <v>189</v>
      </c>
      <c r="DQ34" s="3" t="s">
        <v>189</v>
      </c>
      <c r="DR34" s="3" t="s">
        <v>189</v>
      </c>
      <c r="DS34" s="3" t="s">
        <v>189</v>
      </c>
      <c r="DT34" s="3" t="s">
        <v>189</v>
      </c>
      <c r="DU34" s="3" t="s">
        <v>189</v>
      </c>
      <c r="DV34" s="3" t="s">
        <v>189</v>
      </c>
      <c r="DW34" s="3" t="s">
        <v>189</v>
      </c>
      <c r="DX34" s="3" t="s">
        <v>189</v>
      </c>
      <c r="DY34" s="3" t="s">
        <v>189</v>
      </c>
      <c r="DZ34" s="3" t="s">
        <v>189</v>
      </c>
      <c r="EA34" s="3" t="s">
        <v>189</v>
      </c>
      <c r="EB34" s="3" t="s">
        <v>189</v>
      </c>
      <c r="EC34" s="3" t="s">
        <v>189</v>
      </c>
      <c r="ED34" s="3" t="s">
        <v>189</v>
      </c>
      <c r="EE34" s="3" t="s">
        <v>189</v>
      </c>
      <c r="EF34" s="3" t="s">
        <v>189</v>
      </c>
      <c r="EG34" s="3" t="s">
        <v>189</v>
      </c>
      <c r="EH34" s="3" t="s">
        <v>189</v>
      </c>
      <c r="EI34" s="3" t="s">
        <v>189</v>
      </c>
      <c r="EJ34" s="3" t="s">
        <v>189</v>
      </c>
      <c r="EK34" s="3" t="s">
        <v>189</v>
      </c>
      <c r="EL34" s="3" t="s">
        <v>189</v>
      </c>
      <c r="EM34" s="3" t="s">
        <v>189</v>
      </c>
      <c r="EN34" s="3" t="s">
        <v>189</v>
      </c>
      <c r="EO34" s="3" t="s">
        <v>189</v>
      </c>
      <c r="EP34" s="3" t="s">
        <v>189</v>
      </c>
      <c r="EQ34" s="3" t="s">
        <v>189</v>
      </c>
      <c r="ER34" s="3" t="s">
        <v>189</v>
      </c>
      <c r="ES34" s="3" t="s">
        <v>189</v>
      </c>
      <c r="ET34" s="3" t="s">
        <v>189</v>
      </c>
      <c r="EU34" s="3" t="s">
        <v>189</v>
      </c>
      <c r="EV34" t="s">
        <v>205</v>
      </c>
      <c r="EW34">
        <v>25</v>
      </c>
      <c r="EX34" s="7">
        <v>20.313661857481733</v>
      </c>
      <c r="EY34" s="3">
        <v>0.52968560907063278</v>
      </c>
      <c r="EZ34" s="3">
        <v>0.22433558342682502</v>
      </c>
      <c r="FA34" s="3" t="s">
        <v>232</v>
      </c>
      <c r="FB34" s="3" t="s">
        <v>233</v>
      </c>
      <c r="FC34" s="3" t="s">
        <v>189</v>
      </c>
      <c r="FD34" s="3" t="s">
        <v>189</v>
      </c>
      <c r="FE34" s="3" t="s">
        <v>189</v>
      </c>
      <c r="FF34" s="3" t="s">
        <v>189</v>
      </c>
      <c r="FG34" s="3" t="s">
        <v>189</v>
      </c>
      <c r="FH34">
        <v>1019.5795449423873</v>
      </c>
      <c r="FI34">
        <v>250.86803170187898</v>
      </c>
      <c r="FJ34">
        <v>250.86803170187898</v>
      </c>
      <c r="FK34" s="3" t="s">
        <v>203</v>
      </c>
      <c r="FL34" s="10" t="s">
        <v>211</v>
      </c>
      <c r="FM34" s="3" t="s">
        <v>206</v>
      </c>
      <c r="FT34" s="3" t="s">
        <v>188</v>
      </c>
      <c r="FU34" s="3" t="s">
        <v>207</v>
      </c>
      <c r="FV34" s="29" t="s">
        <v>296</v>
      </c>
      <c r="FW34" s="7" t="s">
        <v>189</v>
      </c>
      <c r="FX34" s="30" t="s">
        <v>327</v>
      </c>
      <c r="FY34" s="3" t="s">
        <v>204</v>
      </c>
    </row>
    <row r="35" spans="1:181" x14ac:dyDescent="0.15">
      <c r="A35" s="3" t="s">
        <v>248</v>
      </c>
      <c r="B35" s="3" t="s">
        <v>182</v>
      </c>
      <c r="C35">
        <v>2005</v>
      </c>
      <c r="D35" s="9" t="str">
        <f t="shared" si="0"/>
        <v>10.1126/science.1110063</v>
      </c>
      <c r="E35" s="9">
        <f t="shared" si="1"/>
        <v>35185.023255813947</v>
      </c>
      <c r="F35" s="9" t="str">
        <f t="shared" si="2"/>
        <v>NA</v>
      </c>
      <c r="G35" s="9" t="str">
        <f t="shared" si="3"/>
        <v>NA</v>
      </c>
      <c r="H35" s="9">
        <f t="shared" si="4"/>
        <v>797.01702589604838</v>
      </c>
      <c r="I35" s="9">
        <f t="shared" si="5"/>
        <v>179.64509241304825</v>
      </c>
      <c r="J35" s="9">
        <f t="shared" si="6"/>
        <v>179.64509241304825</v>
      </c>
      <c r="K35" s="2" t="s">
        <v>183</v>
      </c>
      <c r="L35" s="3" t="s">
        <v>184</v>
      </c>
      <c r="M35" s="2" t="s">
        <v>249</v>
      </c>
      <c r="N35" s="2" t="s">
        <v>185</v>
      </c>
      <c r="O35" s="4">
        <v>612</v>
      </c>
      <c r="P35" t="s">
        <v>187</v>
      </c>
      <c r="Q35" s="5">
        <v>19</v>
      </c>
      <c r="R35" s="2" t="s">
        <v>189</v>
      </c>
      <c r="S35" s="2" t="s">
        <v>189</v>
      </c>
      <c r="T35" s="5">
        <v>3</v>
      </c>
      <c r="U35" s="5">
        <v>23</v>
      </c>
      <c r="V35" s="6">
        <v>28</v>
      </c>
      <c r="W35" s="3" t="s">
        <v>189</v>
      </c>
      <c r="X35" s="3" t="s">
        <v>189</v>
      </c>
      <c r="Y35" s="3" t="s">
        <v>189</v>
      </c>
      <c r="Z35" s="7">
        <v>158.45500000000001</v>
      </c>
      <c r="AA35" s="3" t="s">
        <v>189</v>
      </c>
      <c r="AB35">
        <v>35185.023255813947</v>
      </c>
      <c r="AC35" s="3" t="s">
        <v>189</v>
      </c>
      <c r="AD35" s="3" t="s">
        <v>189</v>
      </c>
      <c r="AE35" s="3" t="s">
        <v>189</v>
      </c>
      <c r="AF35" s="3" t="s">
        <v>191</v>
      </c>
      <c r="AG35" s="3" t="s">
        <v>190</v>
      </c>
      <c r="AH35" s="3" t="s">
        <v>189</v>
      </c>
      <c r="AI35" s="3" t="s">
        <v>189</v>
      </c>
      <c r="AJ35" s="3" t="s">
        <v>189</v>
      </c>
      <c r="AK35" s="3" t="s">
        <v>189</v>
      </c>
      <c r="AL35" s="3" t="s">
        <v>189</v>
      </c>
      <c r="AM35" s="3" t="s">
        <v>189</v>
      </c>
      <c r="AN35" s="3" t="s">
        <v>189</v>
      </c>
      <c r="AO35" s="3" t="s">
        <v>189</v>
      </c>
      <c r="AP35" s="3" t="s">
        <v>189</v>
      </c>
      <c r="AQ35" s="3" t="s">
        <v>189</v>
      </c>
      <c r="AR35" s="3" t="s">
        <v>189</v>
      </c>
      <c r="AS35" s="3" t="s">
        <v>189</v>
      </c>
      <c r="AT35" s="3" t="s">
        <v>189</v>
      </c>
      <c r="AU35" s="3" t="s">
        <v>189</v>
      </c>
      <c r="AV35" s="3" t="s">
        <v>189</v>
      </c>
      <c r="AW35" s="3" t="s">
        <v>189</v>
      </c>
      <c r="AX35" s="3" t="s">
        <v>189</v>
      </c>
      <c r="AY35" s="3" t="s">
        <v>189</v>
      </c>
      <c r="AZ35" s="3" t="s">
        <v>189</v>
      </c>
      <c r="BA35" s="3" t="s">
        <v>189</v>
      </c>
      <c r="BB35" s="3" t="s">
        <v>189</v>
      </c>
      <c r="BC35" s="3" t="s">
        <v>189</v>
      </c>
      <c r="BD35" s="3" t="s">
        <v>189</v>
      </c>
      <c r="BE35" s="3" t="s">
        <v>189</v>
      </c>
      <c r="BF35" t="s">
        <v>199</v>
      </c>
      <c r="BG35" t="s">
        <v>197</v>
      </c>
      <c r="BH35" s="3" t="s">
        <v>189</v>
      </c>
      <c r="BI35" s="3" t="s">
        <v>189</v>
      </c>
      <c r="BJ35" s="3" t="s">
        <v>189</v>
      </c>
      <c r="BK35" s="3" t="s">
        <v>189</v>
      </c>
      <c r="BL35" s="3" t="s">
        <v>189</v>
      </c>
      <c r="BM35" s="3" t="s">
        <v>189</v>
      </c>
      <c r="BN35" s="3" t="s">
        <v>189</v>
      </c>
      <c r="BO35" s="3" t="s">
        <v>189</v>
      </c>
      <c r="BP35" s="3" t="s">
        <v>189</v>
      </c>
      <c r="BQ35" s="3" t="s">
        <v>189</v>
      </c>
      <c r="BR35" t="s">
        <v>210</v>
      </c>
      <c r="BS35" s="3" t="s">
        <v>200</v>
      </c>
      <c r="BT35" s="8">
        <v>-30.032000000000004</v>
      </c>
      <c r="BU35" t="s">
        <v>176</v>
      </c>
      <c r="BV35" s="3" t="s">
        <v>189</v>
      </c>
      <c r="BW35" s="3" t="s">
        <v>189</v>
      </c>
      <c r="BX35" s="3" t="s">
        <v>189</v>
      </c>
      <c r="BY35">
        <v>4.2</v>
      </c>
      <c r="BZ35" s="3" t="s">
        <v>189</v>
      </c>
      <c r="CA35" s="3" t="s">
        <v>189</v>
      </c>
      <c r="CB35" s="3" t="s">
        <v>189</v>
      </c>
      <c r="CC35" s="3" t="s">
        <v>189</v>
      </c>
      <c r="CD35" s="3" t="s">
        <v>189</v>
      </c>
      <c r="CE35" s="3" t="s">
        <v>189</v>
      </c>
      <c r="CF35" s="3" t="s">
        <v>201</v>
      </c>
      <c r="CG35">
        <v>35</v>
      </c>
      <c r="CH35" s="3" t="s">
        <v>189</v>
      </c>
      <c r="CI35" s="3" t="s">
        <v>189</v>
      </c>
      <c r="CJ35" s="1" t="s">
        <v>177</v>
      </c>
      <c r="CK35">
        <v>0.4</v>
      </c>
      <c r="CL35">
        <v>0.1</v>
      </c>
      <c r="CM35">
        <v>0.1</v>
      </c>
      <c r="CN35" s="3" t="s">
        <v>203</v>
      </c>
      <c r="CO35" t="s">
        <v>202</v>
      </c>
      <c r="CP35" s="3" t="s">
        <v>189</v>
      </c>
      <c r="CQ35" s="3" t="s">
        <v>189</v>
      </c>
      <c r="CR35" s="8">
        <v>25.095523200000002</v>
      </c>
      <c r="CS35" s="3" t="s">
        <v>189</v>
      </c>
      <c r="CT35" s="3" t="s">
        <v>189</v>
      </c>
      <c r="CU35" s="3" t="s">
        <v>189</v>
      </c>
      <c r="CV35" t="s">
        <v>212</v>
      </c>
      <c r="CW35" s="3" t="s">
        <v>189</v>
      </c>
      <c r="CX35" s="3" t="s">
        <v>189</v>
      </c>
      <c r="CY35" s="3" t="s">
        <v>189</v>
      </c>
      <c r="CZ35" s="3" t="s">
        <v>189</v>
      </c>
      <c r="DA35" s="3" t="s">
        <v>189</v>
      </c>
      <c r="DB35" s="3" t="s">
        <v>189</v>
      </c>
      <c r="DC35" s="3" t="s">
        <v>189</v>
      </c>
      <c r="DD35" s="3" t="s">
        <v>189</v>
      </c>
      <c r="DE35" s="3" t="s">
        <v>189</v>
      </c>
      <c r="DF35" s="3" t="s">
        <v>189</v>
      </c>
      <c r="DG35" s="3" t="s">
        <v>189</v>
      </c>
      <c r="DH35" s="3" t="s">
        <v>189</v>
      </c>
      <c r="DI35" s="3" t="s">
        <v>189</v>
      </c>
      <c r="DJ35" s="3" t="s">
        <v>189</v>
      </c>
      <c r="DK35" s="3" t="s">
        <v>189</v>
      </c>
      <c r="DL35" s="3" t="s">
        <v>189</v>
      </c>
      <c r="DM35" s="3" t="s">
        <v>189</v>
      </c>
      <c r="DN35" s="3" t="s">
        <v>189</v>
      </c>
      <c r="DO35" s="3" t="s">
        <v>189</v>
      </c>
      <c r="DP35" s="3" t="s">
        <v>189</v>
      </c>
      <c r="DQ35" s="3" t="s">
        <v>189</v>
      </c>
      <c r="DR35" s="3" t="s">
        <v>189</v>
      </c>
      <c r="DS35" s="3" t="s">
        <v>189</v>
      </c>
      <c r="DT35" s="3" t="s">
        <v>189</v>
      </c>
      <c r="DU35" s="3" t="s">
        <v>189</v>
      </c>
      <c r="DV35" s="3" t="s">
        <v>189</v>
      </c>
      <c r="DW35" s="3" t="s">
        <v>189</v>
      </c>
      <c r="DX35" s="3" t="s">
        <v>189</v>
      </c>
      <c r="DY35" s="3" t="s">
        <v>189</v>
      </c>
      <c r="DZ35" s="3" t="s">
        <v>189</v>
      </c>
      <c r="EA35" s="3" t="s">
        <v>189</v>
      </c>
      <c r="EB35" s="3" t="s">
        <v>189</v>
      </c>
      <c r="EC35" s="3" t="s">
        <v>189</v>
      </c>
      <c r="ED35" s="3" t="s">
        <v>189</v>
      </c>
      <c r="EE35" s="3" t="s">
        <v>189</v>
      </c>
      <c r="EF35" s="3" t="s">
        <v>189</v>
      </c>
      <c r="EG35" s="3" t="s">
        <v>189</v>
      </c>
      <c r="EH35" s="3" t="s">
        <v>189</v>
      </c>
      <c r="EI35" s="3" t="s">
        <v>189</v>
      </c>
      <c r="EJ35" s="3" t="s">
        <v>189</v>
      </c>
      <c r="EK35" s="3" t="s">
        <v>189</v>
      </c>
      <c r="EL35" s="3" t="s">
        <v>189</v>
      </c>
      <c r="EM35" s="3" t="s">
        <v>189</v>
      </c>
      <c r="EN35" s="3" t="s">
        <v>189</v>
      </c>
      <c r="EO35" s="3" t="s">
        <v>189</v>
      </c>
      <c r="EP35" s="3" t="s">
        <v>189</v>
      </c>
      <c r="EQ35" s="3" t="s">
        <v>189</v>
      </c>
      <c r="ER35" s="3" t="s">
        <v>189</v>
      </c>
      <c r="ES35" s="3" t="s">
        <v>189</v>
      </c>
      <c r="ET35" s="3" t="s">
        <v>189</v>
      </c>
      <c r="EU35" s="3" t="s">
        <v>189</v>
      </c>
      <c r="EV35" t="s">
        <v>205</v>
      </c>
      <c r="EW35">
        <v>25</v>
      </c>
      <c r="EX35" s="7">
        <v>19.04707743777978</v>
      </c>
      <c r="EY35" s="3">
        <v>0.37643580401769228</v>
      </c>
      <c r="EZ35" s="3">
        <v>0.37642538453441787</v>
      </c>
      <c r="FA35" s="3" t="s">
        <v>232</v>
      </c>
      <c r="FB35" s="3" t="s">
        <v>233</v>
      </c>
      <c r="FC35" s="3" t="s">
        <v>189</v>
      </c>
      <c r="FD35" s="3" t="s">
        <v>189</v>
      </c>
      <c r="FE35" s="3" t="s">
        <v>189</v>
      </c>
      <c r="FF35" s="3" t="s">
        <v>189</v>
      </c>
      <c r="FG35" s="3" t="s">
        <v>189</v>
      </c>
      <c r="FH35">
        <v>797.01702589604838</v>
      </c>
      <c r="FI35">
        <v>179.64509241304825</v>
      </c>
      <c r="FJ35">
        <v>179.64509241304825</v>
      </c>
      <c r="FK35" s="3" t="s">
        <v>203</v>
      </c>
      <c r="FL35" s="10" t="s">
        <v>211</v>
      </c>
      <c r="FM35" s="3" t="s">
        <v>206</v>
      </c>
      <c r="FT35" s="3" t="s">
        <v>188</v>
      </c>
      <c r="FU35" s="3" t="s">
        <v>207</v>
      </c>
      <c r="FV35" s="29" t="s">
        <v>297</v>
      </c>
      <c r="FW35" s="7" t="s">
        <v>189</v>
      </c>
      <c r="FX35" s="30" t="s">
        <v>328</v>
      </c>
      <c r="FY35" s="3" t="s">
        <v>204</v>
      </c>
    </row>
    <row r="36" spans="1:181" x14ac:dyDescent="0.15">
      <c r="A36" s="3" t="s">
        <v>248</v>
      </c>
      <c r="B36" s="3" t="s">
        <v>182</v>
      </c>
      <c r="C36">
        <v>2005</v>
      </c>
      <c r="D36" s="9" t="str">
        <f t="shared" si="0"/>
        <v>10.1126/science.1110063</v>
      </c>
      <c r="E36" s="9">
        <f t="shared" si="1"/>
        <v>35408.291725105191</v>
      </c>
      <c r="F36" s="9" t="str">
        <f t="shared" si="2"/>
        <v>NA</v>
      </c>
      <c r="G36" s="9" t="str">
        <f t="shared" si="3"/>
        <v>NA</v>
      </c>
      <c r="H36" s="9">
        <f t="shared" si="4"/>
        <v>886.92405195707443</v>
      </c>
      <c r="I36" s="9">
        <f t="shared" si="5"/>
        <v>214.30761616008067</v>
      </c>
      <c r="J36" s="9">
        <f t="shared" si="6"/>
        <v>214.30761616008067</v>
      </c>
      <c r="K36" s="2" t="s">
        <v>183</v>
      </c>
      <c r="L36" s="3" t="s">
        <v>184</v>
      </c>
      <c r="M36" s="2" t="s">
        <v>249</v>
      </c>
      <c r="N36" s="2" t="s">
        <v>185</v>
      </c>
      <c r="O36" s="4">
        <v>612</v>
      </c>
      <c r="P36" t="s">
        <v>187</v>
      </c>
      <c r="Q36" s="5">
        <v>19</v>
      </c>
      <c r="R36" s="2" t="s">
        <v>189</v>
      </c>
      <c r="S36" s="2" t="s">
        <v>189</v>
      </c>
      <c r="T36" s="5">
        <v>5</v>
      </c>
      <c r="U36" s="5">
        <v>23</v>
      </c>
      <c r="V36" s="6">
        <v>28</v>
      </c>
      <c r="W36" s="3" t="s">
        <v>189</v>
      </c>
      <c r="X36" s="3" t="s">
        <v>189</v>
      </c>
      <c r="Y36" s="3" t="s">
        <v>189</v>
      </c>
      <c r="Z36" s="7">
        <v>161.45500000000001</v>
      </c>
      <c r="AA36" s="3" t="s">
        <v>189</v>
      </c>
      <c r="AB36">
        <v>35408.291725105191</v>
      </c>
      <c r="AC36" s="3" t="s">
        <v>189</v>
      </c>
      <c r="AD36" s="3" t="s">
        <v>189</v>
      </c>
      <c r="AE36" s="3" t="s">
        <v>189</v>
      </c>
      <c r="AF36" s="3" t="s">
        <v>191</v>
      </c>
      <c r="AG36" s="3" t="s">
        <v>190</v>
      </c>
      <c r="AH36" s="3" t="s">
        <v>189</v>
      </c>
      <c r="AI36" s="3" t="s">
        <v>189</v>
      </c>
      <c r="AJ36" s="3" t="s">
        <v>189</v>
      </c>
      <c r="AK36" s="3" t="s">
        <v>189</v>
      </c>
      <c r="AL36" s="3" t="s">
        <v>189</v>
      </c>
      <c r="AM36" s="3" t="s">
        <v>189</v>
      </c>
      <c r="AN36" s="3" t="s">
        <v>189</v>
      </c>
      <c r="AO36" s="3" t="s">
        <v>189</v>
      </c>
      <c r="AP36" s="3" t="s">
        <v>189</v>
      </c>
      <c r="AQ36" s="3" t="s">
        <v>189</v>
      </c>
      <c r="AR36" s="3" t="s">
        <v>189</v>
      </c>
      <c r="AS36" s="3" t="s">
        <v>189</v>
      </c>
      <c r="AT36" s="3" t="s">
        <v>189</v>
      </c>
      <c r="AU36" s="3" t="s">
        <v>189</v>
      </c>
      <c r="AV36" s="3" t="s">
        <v>189</v>
      </c>
      <c r="AW36" s="3" t="s">
        <v>189</v>
      </c>
      <c r="AX36" s="3" t="s">
        <v>189</v>
      </c>
      <c r="AY36" s="3" t="s">
        <v>189</v>
      </c>
      <c r="AZ36" s="3" t="s">
        <v>189</v>
      </c>
      <c r="BA36" s="3" t="s">
        <v>189</v>
      </c>
      <c r="BB36" s="3" t="s">
        <v>189</v>
      </c>
      <c r="BC36" s="3" t="s">
        <v>189</v>
      </c>
      <c r="BD36" s="3" t="s">
        <v>189</v>
      </c>
      <c r="BE36" s="3" t="s">
        <v>189</v>
      </c>
      <c r="BF36" t="s">
        <v>199</v>
      </c>
      <c r="BG36" t="s">
        <v>197</v>
      </c>
      <c r="BH36" s="3" t="s">
        <v>189</v>
      </c>
      <c r="BI36" s="3" t="s">
        <v>189</v>
      </c>
      <c r="BJ36" s="3" t="s">
        <v>189</v>
      </c>
      <c r="BK36" s="3" t="s">
        <v>189</v>
      </c>
      <c r="BL36" s="3" t="s">
        <v>189</v>
      </c>
      <c r="BM36" s="3" t="s">
        <v>189</v>
      </c>
      <c r="BN36" s="3" t="s">
        <v>189</v>
      </c>
      <c r="BO36" s="3" t="s">
        <v>189</v>
      </c>
      <c r="BP36" s="3" t="s">
        <v>189</v>
      </c>
      <c r="BQ36" s="3" t="s">
        <v>189</v>
      </c>
      <c r="BR36" t="s">
        <v>210</v>
      </c>
      <c r="BS36" s="3" t="s">
        <v>200</v>
      </c>
      <c r="BT36" s="8">
        <v>-31.287500000000001</v>
      </c>
      <c r="BU36" t="s">
        <v>176</v>
      </c>
      <c r="BV36" s="3" t="s">
        <v>189</v>
      </c>
      <c r="BW36" s="3" t="s">
        <v>189</v>
      </c>
      <c r="BX36" s="3" t="s">
        <v>189</v>
      </c>
      <c r="BY36">
        <v>4.2</v>
      </c>
      <c r="BZ36" s="3" t="s">
        <v>189</v>
      </c>
      <c r="CA36" s="3" t="s">
        <v>189</v>
      </c>
      <c r="CB36" s="3" t="s">
        <v>189</v>
      </c>
      <c r="CC36" s="3" t="s">
        <v>189</v>
      </c>
      <c r="CD36" s="3" t="s">
        <v>189</v>
      </c>
      <c r="CE36" s="3" t="s">
        <v>189</v>
      </c>
      <c r="CF36" s="3" t="s">
        <v>201</v>
      </c>
      <c r="CG36">
        <v>35</v>
      </c>
      <c r="CH36" s="3" t="s">
        <v>189</v>
      </c>
      <c r="CI36" s="3" t="s">
        <v>189</v>
      </c>
      <c r="CJ36" s="1" t="s">
        <v>177</v>
      </c>
      <c r="CK36">
        <v>0.4</v>
      </c>
      <c r="CL36">
        <v>0.1</v>
      </c>
      <c r="CM36">
        <v>0.1</v>
      </c>
      <c r="CN36" s="3" t="s">
        <v>203</v>
      </c>
      <c r="CO36" t="s">
        <v>202</v>
      </c>
      <c r="CP36" s="3" t="s">
        <v>189</v>
      </c>
      <c r="CQ36" s="3" t="s">
        <v>189</v>
      </c>
      <c r="CR36" s="8">
        <v>22.037669999999999</v>
      </c>
      <c r="CS36" s="3" t="s">
        <v>189</v>
      </c>
      <c r="CT36" s="3" t="s">
        <v>189</v>
      </c>
      <c r="CU36" s="3" t="s">
        <v>189</v>
      </c>
      <c r="CV36" t="s">
        <v>212</v>
      </c>
      <c r="CW36" s="3" t="s">
        <v>189</v>
      </c>
      <c r="CX36" s="3" t="s">
        <v>189</v>
      </c>
      <c r="CY36" s="3" t="s">
        <v>189</v>
      </c>
      <c r="CZ36" s="3" t="s">
        <v>189</v>
      </c>
      <c r="DA36" s="3" t="s">
        <v>189</v>
      </c>
      <c r="DB36" s="3" t="s">
        <v>189</v>
      </c>
      <c r="DC36" s="3" t="s">
        <v>189</v>
      </c>
      <c r="DD36" s="3" t="s">
        <v>189</v>
      </c>
      <c r="DE36" s="3" t="s">
        <v>189</v>
      </c>
      <c r="DF36" s="3" t="s">
        <v>189</v>
      </c>
      <c r="DG36" s="3" t="s">
        <v>189</v>
      </c>
      <c r="DH36" s="3" t="s">
        <v>189</v>
      </c>
      <c r="DI36" s="3" t="s">
        <v>189</v>
      </c>
      <c r="DJ36" s="3" t="s">
        <v>189</v>
      </c>
      <c r="DK36" s="3" t="s">
        <v>189</v>
      </c>
      <c r="DL36" s="3" t="s">
        <v>189</v>
      </c>
      <c r="DM36" s="3" t="s">
        <v>189</v>
      </c>
      <c r="DN36" s="3" t="s">
        <v>189</v>
      </c>
      <c r="DO36" s="3" t="s">
        <v>189</v>
      </c>
      <c r="DP36" s="3" t="s">
        <v>189</v>
      </c>
      <c r="DQ36" s="3" t="s">
        <v>189</v>
      </c>
      <c r="DR36" s="3" t="s">
        <v>189</v>
      </c>
      <c r="DS36" s="3" t="s">
        <v>189</v>
      </c>
      <c r="DT36" s="3" t="s">
        <v>189</v>
      </c>
      <c r="DU36" s="3" t="s">
        <v>189</v>
      </c>
      <c r="DV36" s="3" t="s">
        <v>189</v>
      </c>
      <c r="DW36" s="3" t="s">
        <v>189</v>
      </c>
      <c r="DX36" s="3" t="s">
        <v>189</v>
      </c>
      <c r="DY36" s="3" t="s">
        <v>189</v>
      </c>
      <c r="DZ36" s="3" t="s">
        <v>189</v>
      </c>
      <c r="EA36" s="3" t="s">
        <v>189</v>
      </c>
      <c r="EB36" s="3" t="s">
        <v>189</v>
      </c>
      <c r="EC36" s="3" t="s">
        <v>189</v>
      </c>
      <c r="ED36" s="3" t="s">
        <v>189</v>
      </c>
      <c r="EE36" s="3" t="s">
        <v>189</v>
      </c>
      <c r="EF36" s="3" t="s">
        <v>189</v>
      </c>
      <c r="EG36" s="3" t="s">
        <v>189</v>
      </c>
      <c r="EH36" s="3" t="s">
        <v>189</v>
      </c>
      <c r="EI36" s="3" t="s">
        <v>189</v>
      </c>
      <c r="EJ36" s="3" t="s">
        <v>189</v>
      </c>
      <c r="EK36" s="3" t="s">
        <v>189</v>
      </c>
      <c r="EL36" s="3" t="s">
        <v>189</v>
      </c>
      <c r="EM36" s="3" t="s">
        <v>189</v>
      </c>
      <c r="EN36" s="3" t="s">
        <v>189</v>
      </c>
      <c r="EO36" s="3" t="s">
        <v>189</v>
      </c>
      <c r="EP36" s="3" t="s">
        <v>189</v>
      </c>
      <c r="EQ36" s="3" t="s">
        <v>189</v>
      </c>
      <c r="ER36" s="3" t="s">
        <v>189</v>
      </c>
      <c r="ES36" s="3" t="s">
        <v>189</v>
      </c>
      <c r="ET36" s="3" t="s">
        <v>189</v>
      </c>
      <c r="EU36" s="3" t="s">
        <v>189</v>
      </c>
      <c r="EV36" t="s">
        <v>205</v>
      </c>
      <c r="EW36">
        <v>25</v>
      </c>
      <c r="EX36" s="7">
        <v>20.034500786197064</v>
      </c>
      <c r="EY36" s="3">
        <v>0.37693192436516298</v>
      </c>
      <c r="EZ36" s="3">
        <v>0.37692961535174163</v>
      </c>
      <c r="FA36" s="3" t="s">
        <v>232</v>
      </c>
      <c r="FB36" s="3" t="s">
        <v>233</v>
      </c>
      <c r="FC36" s="3" t="s">
        <v>189</v>
      </c>
      <c r="FD36" s="3" t="s">
        <v>189</v>
      </c>
      <c r="FE36" s="3" t="s">
        <v>189</v>
      </c>
      <c r="FF36" s="3" t="s">
        <v>189</v>
      </c>
      <c r="FG36" s="3" t="s">
        <v>189</v>
      </c>
      <c r="FH36">
        <v>886.92405195707443</v>
      </c>
      <c r="FI36">
        <v>214.30761616008067</v>
      </c>
      <c r="FJ36">
        <v>214.30761616008067</v>
      </c>
      <c r="FK36" s="3" t="s">
        <v>203</v>
      </c>
      <c r="FL36" s="10" t="s">
        <v>211</v>
      </c>
      <c r="FM36" s="3" t="s">
        <v>206</v>
      </c>
      <c r="FT36" s="3" t="s">
        <v>188</v>
      </c>
      <c r="FU36" s="3" t="s">
        <v>207</v>
      </c>
      <c r="FV36" s="29" t="s">
        <v>298</v>
      </c>
      <c r="FW36" s="7" t="s">
        <v>189</v>
      </c>
      <c r="FX36" s="30" t="s">
        <v>329</v>
      </c>
      <c r="FY36" s="3" t="s">
        <v>204</v>
      </c>
    </row>
    <row r="37" spans="1:181" x14ac:dyDescent="0.15">
      <c r="A37" s="3" t="s">
        <v>248</v>
      </c>
      <c r="B37" s="3" t="s">
        <v>182</v>
      </c>
      <c r="C37">
        <v>2005</v>
      </c>
      <c r="D37" s="9" t="str">
        <f t="shared" si="0"/>
        <v>10.1126/science.1110063</v>
      </c>
      <c r="E37" s="9">
        <f t="shared" si="1"/>
        <v>35787.870967741939</v>
      </c>
      <c r="F37" s="9" t="str">
        <f t="shared" si="2"/>
        <v>NA</v>
      </c>
      <c r="G37" s="9" t="str">
        <f t="shared" si="3"/>
        <v>NA</v>
      </c>
      <c r="H37" s="9">
        <f t="shared" si="4"/>
        <v>1095.1946918921935</v>
      </c>
      <c r="I37" s="9">
        <f t="shared" si="5"/>
        <v>269.94009508150748</v>
      </c>
      <c r="J37" s="9">
        <f t="shared" si="6"/>
        <v>269.94009508150748</v>
      </c>
      <c r="K37" s="2" t="s">
        <v>183</v>
      </c>
      <c r="L37" s="3" t="s">
        <v>184</v>
      </c>
      <c r="M37" s="2" t="s">
        <v>249</v>
      </c>
      <c r="N37" s="2" t="s">
        <v>185</v>
      </c>
      <c r="O37" s="4">
        <v>612</v>
      </c>
      <c r="P37" t="s">
        <v>187</v>
      </c>
      <c r="Q37" s="5">
        <v>20</v>
      </c>
      <c r="R37" s="2" t="s">
        <v>189</v>
      </c>
      <c r="S37" s="2" t="s">
        <v>189</v>
      </c>
      <c r="T37" s="5">
        <v>2</v>
      </c>
      <c r="U37" s="5">
        <v>33</v>
      </c>
      <c r="V37" s="6">
        <v>38</v>
      </c>
      <c r="W37" s="3" t="s">
        <v>189</v>
      </c>
      <c r="X37" s="3" t="s">
        <v>189</v>
      </c>
      <c r="Y37" s="3" t="s">
        <v>189</v>
      </c>
      <c r="Z37" s="7">
        <v>166.55500000000001</v>
      </c>
      <c r="AA37" s="3" t="s">
        <v>189</v>
      </c>
      <c r="AB37">
        <v>35787.870967741939</v>
      </c>
      <c r="AC37" s="3" t="s">
        <v>189</v>
      </c>
      <c r="AD37" s="3" t="s">
        <v>189</v>
      </c>
      <c r="AE37" s="3" t="s">
        <v>189</v>
      </c>
      <c r="AF37" s="3" t="s">
        <v>191</v>
      </c>
      <c r="AG37" s="3" t="s">
        <v>190</v>
      </c>
      <c r="AH37" s="3" t="s">
        <v>189</v>
      </c>
      <c r="AI37" s="3" t="s">
        <v>189</v>
      </c>
      <c r="AJ37" s="3" t="s">
        <v>189</v>
      </c>
      <c r="AK37" s="3" t="s">
        <v>189</v>
      </c>
      <c r="AL37" s="3" t="s">
        <v>189</v>
      </c>
      <c r="AM37" s="3" t="s">
        <v>189</v>
      </c>
      <c r="AN37" s="3" t="s">
        <v>189</v>
      </c>
      <c r="AO37" s="3" t="s">
        <v>189</v>
      </c>
      <c r="AP37" s="3" t="s">
        <v>189</v>
      </c>
      <c r="AQ37" s="3" t="s">
        <v>189</v>
      </c>
      <c r="AR37" s="3" t="s">
        <v>189</v>
      </c>
      <c r="AS37" s="3" t="s">
        <v>189</v>
      </c>
      <c r="AT37" s="3" t="s">
        <v>189</v>
      </c>
      <c r="AU37" s="3" t="s">
        <v>189</v>
      </c>
      <c r="AV37" s="3" t="s">
        <v>189</v>
      </c>
      <c r="AW37" s="3" t="s">
        <v>189</v>
      </c>
      <c r="AX37" s="3" t="s">
        <v>189</v>
      </c>
      <c r="AY37" s="3" t="s">
        <v>189</v>
      </c>
      <c r="AZ37" s="3" t="s">
        <v>189</v>
      </c>
      <c r="BA37" s="3" t="s">
        <v>189</v>
      </c>
      <c r="BB37" s="3" t="s">
        <v>189</v>
      </c>
      <c r="BC37" s="3" t="s">
        <v>189</v>
      </c>
      <c r="BD37" s="3" t="s">
        <v>189</v>
      </c>
      <c r="BE37" s="3" t="s">
        <v>189</v>
      </c>
      <c r="BF37" t="s">
        <v>199</v>
      </c>
      <c r="BG37" t="s">
        <v>197</v>
      </c>
      <c r="BH37" s="3" t="s">
        <v>189</v>
      </c>
      <c r="BI37" s="3" t="s">
        <v>189</v>
      </c>
      <c r="BJ37" s="3" t="s">
        <v>189</v>
      </c>
      <c r="BK37" s="3" t="s">
        <v>189</v>
      </c>
      <c r="BL37" s="3" t="s">
        <v>189</v>
      </c>
      <c r="BM37" s="3" t="s">
        <v>189</v>
      </c>
      <c r="BN37" s="3" t="s">
        <v>189</v>
      </c>
      <c r="BO37" s="3" t="s">
        <v>189</v>
      </c>
      <c r="BP37" s="3" t="s">
        <v>189</v>
      </c>
      <c r="BQ37" s="3" t="s">
        <v>189</v>
      </c>
      <c r="BR37" t="s">
        <v>210</v>
      </c>
      <c r="BS37" s="3" t="s">
        <v>200</v>
      </c>
      <c r="BT37" s="8">
        <v>-31.182500000000001</v>
      </c>
      <c r="BU37" t="s">
        <v>176</v>
      </c>
      <c r="BV37" s="3" t="s">
        <v>189</v>
      </c>
      <c r="BW37" s="3" t="s">
        <v>189</v>
      </c>
      <c r="BX37" s="3" t="s">
        <v>189</v>
      </c>
      <c r="BY37">
        <v>4.2</v>
      </c>
      <c r="BZ37" s="3" t="s">
        <v>189</v>
      </c>
      <c r="CA37" s="3" t="s">
        <v>189</v>
      </c>
      <c r="CB37" s="3" t="s">
        <v>189</v>
      </c>
      <c r="CC37" s="3" t="s">
        <v>189</v>
      </c>
      <c r="CD37" s="3" t="s">
        <v>189</v>
      </c>
      <c r="CE37" s="3" t="s">
        <v>189</v>
      </c>
      <c r="CF37" s="3" t="s">
        <v>201</v>
      </c>
      <c r="CG37">
        <v>35</v>
      </c>
      <c r="CH37" s="3" t="s">
        <v>189</v>
      </c>
      <c r="CI37" s="3" t="s">
        <v>189</v>
      </c>
      <c r="CJ37" s="1" t="s">
        <v>177</v>
      </c>
      <c r="CK37">
        <v>0.4</v>
      </c>
      <c r="CL37">
        <v>0.1</v>
      </c>
      <c r="CM37">
        <v>0.1</v>
      </c>
      <c r="CN37" s="3" t="s">
        <v>203</v>
      </c>
      <c r="CO37" t="s">
        <v>202</v>
      </c>
      <c r="CP37" s="3" t="s">
        <v>189</v>
      </c>
      <c r="CQ37" s="3" t="s">
        <v>189</v>
      </c>
      <c r="CR37" s="8">
        <v>25.370587200000003</v>
      </c>
      <c r="CS37" s="3" t="s">
        <v>189</v>
      </c>
      <c r="CT37" s="3" t="s">
        <v>189</v>
      </c>
      <c r="CU37" s="3" t="s">
        <v>189</v>
      </c>
      <c r="CV37" t="s">
        <v>212</v>
      </c>
      <c r="CW37" s="3" t="s">
        <v>189</v>
      </c>
      <c r="CX37" s="3" t="s">
        <v>189</v>
      </c>
      <c r="CY37" s="3" t="s">
        <v>189</v>
      </c>
      <c r="CZ37" s="3" t="s">
        <v>189</v>
      </c>
      <c r="DA37" s="3" t="s">
        <v>189</v>
      </c>
      <c r="DB37" s="3" t="s">
        <v>189</v>
      </c>
      <c r="DC37" s="3" t="s">
        <v>189</v>
      </c>
      <c r="DD37" s="3" t="s">
        <v>189</v>
      </c>
      <c r="DE37" s="3" t="s">
        <v>189</v>
      </c>
      <c r="DF37" s="3" t="s">
        <v>189</v>
      </c>
      <c r="DG37" s="3" t="s">
        <v>189</v>
      </c>
      <c r="DH37" s="3" t="s">
        <v>189</v>
      </c>
      <c r="DI37" s="3" t="s">
        <v>189</v>
      </c>
      <c r="DJ37" s="3" t="s">
        <v>189</v>
      </c>
      <c r="DK37" s="3" t="s">
        <v>189</v>
      </c>
      <c r="DL37" s="3" t="s">
        <v>189</v>
      </c>
      <c r="DM37" s="3" t="s">
        <v>189</v>
      </c>
      <c r="DN37" s="3" t="s">
        <v>189</v>
      </c>
      <c r="DO37" s="3" t="s">
        <v>189</v>
      </c>
      <c r="DP37" s="3" t="s">
        <v>189</v>
      </c>
      <c r="DQ37" s="3" t="s">
        <v>189</v>
      </c>
      <c r="DR37" s="3" t="s">
        <v>189</v>
      </c>
      <c r="DS37" s="3" t="s">
        <v>189</v>
      </c>
      <c r="DT37" s="3" t="s">
        <v>189</v>
      </c>
      <c r="DU37" s="3" t="s">
        <v>189</v>
      </c>
      <c r="DV37" s="3" t="s">
        <v>189</v>
      </c>
      <c r="DW37" s="3" t="s">
        <v>189</v>
      </c>
      <c r="DX37" s="3" t="s">
        <v>189</v>
      </c>
      <c r="DY37" s="3" t="s">
        <v>189</v>
      </c>
      <c r="DZ37" s="3" t="s">
        <v>189</v>
      </c>
      <c r="EA37" s="3" t="s">
        <v>189</v>
      </c>
      <c r="EB37" s="3" t="s">
        <v>189</v>
      </c>
      <c r="EC37" s="3" t="s">
        <v>189</v>
      </c>
      <c r="ED37" s="3" t="s">
        <v>189</v>
      </c>
      <c r="EE37" s="3" t="s">
        <v>189</v>
      </c>
      <c r="EF37" s="3" t="s">
        <v>189</v>
      </c>
      <c r="EG37" s="3" t="s">
        <v>189</v>
      </c>
      <c r="EH37" s="3" t="s">
        <v>189</v>
      </c>
      <c r="EI37" s="3" t="s">
        <v>189</v>
      </c>
      <c r="EJ37" s="3" t="s">
        <v>189</v>
      </c>
      <c r="EK37" s="3" t="s">
        <v>189</v>
      </c>
      <c r="EL37" s="3" t="s">
        <v>189</v>
      </c>
      <c r="EM37" s="3" t="s">
        <v>189</v>
      </c>
      <c r="EN37" s="3" t="s">
        <v>189</v>
      </c>
      <c r="EO37" s="3" t="s">
        <v>189</v>
      </c>
      <c r="EP37" s="3" t="s">
        <v>189</v>
      </c>
      <c r="EQ37" s="3" t="s">
        <v>189</v>
      </c>
      <c r="ER37" s="3" t="s">
        <v>189</v>
      </c>
      <c r="ES37" s="3" t="s">
        <v>189</v>
      </c>
      <c r="ET37" s="3" t="s">
        <v>189</v>
      </c>
      <c r="EU37" s="3" t="s">
        <v>189</v>
      </c>
      <c r="EV37" t="s">
        <v>205</v>
      </c>
      <c r="EW37">
        <v>25</v>
      </c>
      <c r="EX37" s="7">
        <v>20.607264472696897</v>
      </c>
      <c r="EY37" s="3">
        <v>0.37700071314250394</v>
      </c>
      <c r="EZ37" s="3">
        <v>0.376989562793419</v>
      </c>
      <c r="FA37" s="3" t="s">
        <v>232</v>
      </c>
      <c r="FB37" s="3" t="s">
        <v>233</v>
      </c>
      <c r="FC37" s="3" t="s">
        <v>189</v>
      </c>
      <c r="FD37" s="3" t="s">
        <v>189</v>
      </c>
      <c r="FE37" s="3" t="s">
        <v>189</v>
      </c>
      <c r="FF37" s="3" t="s">
        <v>189</v>
      </c>
      <c r="FG37" s="3" t="s">
        <v>189</v>
      </c>
      <c r="FH37">
        <v>1095.1946918921935</v>
      </c>
      <c r="FI37">
        <v>269.94009508150748</v>
      </c>
      <c r="FJ37">
        <v>269.94009508150748</v>
      </c>
      <c r="FK37" s="3" t="s">
        <v>203</v>
      </c>
      <c r="FL37" s="10" t="s">
        <v>211</v>
      </c>
      <c r="FM37" s="3" t="s">
        <v>206</v>
      </c>
      <c r="FT37" s="3" t="s">
        <v>188</v>
      </c>
      <c r="FU37" s="3" t="s">
        <v>207</v>
      </c>
      <c r="FV37" s="29" t="s">
        <v>299</v>
      </c>
      <c r="FW37" s="7" t="s">
        <v>189</v>
      </c>
      <c r="FX37" s="30" t="s">
        <v>330</v>
      </c>
      <c r="FY37" s="3" t="s">
        <v>204</v>
      </c>
    </row>
    <row r="38" spans="1:181" x14ac:dyDescent="0.15">
      <c r="A38" s="3" t="s">
        <v>248</v>
      </c>
      <c r="B38" s="3" t="s">
        <v>182</v>
      </c>
      <c r="C38">
        <v>2005</v>
      </c>
      <c r="D38" s="9" t="str">
        <f t="shared" si="0"/>
        <v>10.1126/science.1110063</v>
      </c>
      <c r="E38" s="9">
        <f t="shared" si="1"/>
        <v>36001.4773258532</v>
      </c>
      <c r="F38" s="9" t="str">
        <f t="shared" si="2"/>
        <v>NA</v>
      </c>
      <c r="G38" s="9" t="str">
        <f t="shared" si="3"/>
        <v>NA</v>
      </c>
      <c r="H38" s="9">
        <f t="shared" si="4"/>
        <v>866.16082634489237</v>
      </c>
      <c r="I38" s="9">
        <f t="shared" si="5"/>
        <v>208.11273158789629</v>
      </c>
      <c r="J38" s="9">
        <f t="shared" si="6"/>
        <v>208.11273158789629</v>
      </c>
      <c r="K38" s="2" t="s">
        <v>183</v>
      </c>
      <c r="L38" s="3" t="s">
        <v>184</v>
      </c>
      <c r="M38" s="2" t="s">
        <v>249</v>
      </c>
      <c r="N38" s="2" t="s">
        <v>185</v>
      </c>
      <c r="O38" s="4">
        <v>612</v>
      </c>
      <c r="P38" t="s">
        <v>187</v>
      </c>
      <c r="Q38" s="5">
        <v>20</v>
      </c>
      <c r="R38" s="2" t="s">
        <v>189</v>
      </c>
      <c r="S38" s="2" t="s">
        <v>189</v>
      </c>
      <c r="T38" s="5">
        <v>4</v>
      </c>
      <c r="U38" s="5">
        <v>20</v>
      </c>
      <c r="V38" s="6">
        <v>25</v>
      </c>
      <c r="W38" s="3" t="s">
        <v>189</v>
      </c>
      <c r="X38" s="3" t="s">
        <v>189</v>
      </c>
      <c r="Y38" s="3" t="s">
        <v>189</v>
      </c>
      <c r="Z38" s="7">
        <v>169.42500000000001</v>
      </c>
      <c r="AA38" s="3" t="s">
        <v>189</v>
      </c>
      <c r="AB38">
        <v>36001.4773258532</v>
      </c>
      <c r="AC38" s="3" t="s">
        <v>189</v>
      </c>
      <c r="AD38" s="3" t="s">
        <v>189</v>
      </c>
      <c r="AE38" s="3" t="s">
        <v>189</v>
      </c>
      <c r="AF38" s="3" t="s">
        <v>191</v>
      </c>
      <c r="AG38" s="3" t="s">
        <v>190</v>
      </c>
      <c r="AH38" s="3" t="s">
        <v>189</v>
      </c>
      <c r="AI38" s="3" t="s">
        <v>189</v>
      </c>
      <c r="AJ38" s="3" t="s">
        <v>189</v>
      </c>
      <c r="AK38" s="3" t="s">
        <v>189</v>
      </c>
      <c r="AL38" s="3" t="s">
        <v>189</v>
      </c>
      <c r="AM38" s="3" t="s">
        <v>189</v>
      </c>
      <c r="AN38" s="3" t="s">
        <v>189</v>
      </c>
      <c r="AO38" s="3" t="s">
        <v>189</v>
      </c>
      <c r="AP38" s="3" t="s">
        <v>189</v>
      </c>
      <c r="AQ38" s="3" t="s">
        <v>189</v>
      </c>
      <c r="AR38" s="3" t="s">
        <v>189</v>
      </c>
      <c r="AS38" s="3" t="s">
        <v>189</v>
      </c>
      <c r="AT38" s="3" t="s">
        <v>189</v>
      </c>
      <c r="AU38" s="3" t="s">
        <v>189</v>
      </c>
      <c r="AV38" s="3" t="s">
        <v>189</v>
      </c>
      <c r="AW38" s="3" t="s">
        <v>189</v>
      </c>
      <c r="AX38" s="3" t="s">
        <v>189</v>
      </c>
      <c r="AY38" s="3" t="s">
        <v>189</v>
      </c>
      <c r="AZ38" s="3" t="s">
        <v>189</v>
      </c>
      <c r="BA38" s="3" t="s">
        <v>189</v>
      </c>
      <c r="BB38" s="3" t="s">
        <v>189</v>
      </c>
      <c r="BC38" s="3" t="s">
        <v>189</v>
      </c>
      <c r="BD38" s="3" t="s">
        <v>189</v>
      </c>
      <c r="BE38" s="3" t="s">
        <v>189</v>
      </c>
      <c r="BF38" t="s">
        <v>199</v>
      </c>
      <c r="BG38" t="s">
        <v>197</v>
      </c>
      <c r="BH38" s="3" t="s">
        <v>189</v>
      </c>
      <c r="BI38" s="3" t="s">
        <v>189</v>
      </c>
      <c r="BJ38" s="3" t="s">
        <v>189</v>
      </c>
      <c r="BK38" s="3" t="s">
        <v>189</v>
      </c>
      <c r="BL38" s="3" t="s">
        <v>189</v>
      </c>
      <c r="BM38" s="3" t="s">
        <v>189</v>
      </c>
      <c r="BN38" s="3" t="s">
        <v>189</v>
      </c>
      <c r="BO38" s="3" t="s">
        <v>189</v>
      </c>
      <c r="BP38" s="3" t="s">
        <v>189</v>
      </c>
      <c r="BQ38" s="3" t="s">
        <v>189</v>
      </c>
      <c r="BR38" t="s">
        <v>210</v>
      </c>
      <c r="BS38" s="3" t="s">
        <v>200</v>
      </c>
      <c r="BT38" s="8">
        <v>-31.79</v>
      </c>
      <c r="BU38" t="s">
        <v>176</v>
      </c>
      <c r="BV38" s="3" t="s">
        <v>189</v>
      </c>
      <c r="BW38" s="3" t="s">
        <v>189</v>
      </c>
      <c r="BX38" s="3" t="s">
        <v>189</v>
      </c>
      <c r="BY38">
        <v>4.2</v>
      </c>
      <c r="BZ38" s="3" t="s">
        <v>189</v>
      </c>
      <c r="CA38" s="3" t="s">
        <v>189</v>
      </c>
      <c r="CB38" s="3" t="s">
        <v>189</v>
      </c>
      <c r="CC38" s="3" t="s">
        <v>189</v>
      </c>
      <c r="CD38" s="3" t="s">
        <v>189</v>
      </c>
      <c r="CE38" s="3" t="s">
        <v>189</v>
      </c>
      <c r="CF38" s="3" t="s">
        <v>201</v>
      </c>
      <c r="CG38">
        <v>35</v>
      </c>
      <c r="CH38" s="3" t="s">
        <v>189</v>
      </c>
      <c r="CI38" s="3" t="s">
        <v>189</v>
      </c>
      <c r="CJ38" s="1" t="s">
        <v>177</v>
      </c>
      <c r="CK38">
        <v>0.4</v>
      </c>
      <c r="CL38">
        <v>0.1</v>
      </c>
      <c r="CM38">
        <v>0.1</v>
      </c>
      <c r="CN38" s="3" t="s">
        <v>203</v>
      </c>
      <c r="CO38" t="s">
        <v>202</v>
      </c>
      <c r="CP38" s="3" t="s">
        <v>189</v>
      </c>
      <c r="CQ38" s="3" t="s">
        <v>189</v>
      </c>
      <c r="CR38" s="8">
        <v>21.9467772</v>
      </c>
      <c r="CS38" s="3" t="s">
        <v>189</v>
      </c>
      <c r="CT38" s="3" t="s">
        <v>189</v>
      </c>
      <c r="CU38" s="3" t="s">
        <v>189</v>
      </c>
      <c r="CV38" t="s">
        <v>212</v>
      </c>
      <c r="CW38" s="3" t="s">
        <v>189</v>
      </c>
      <c r="CX38" s="3" t="s">
        <v>189</v>
      </c>
      <c r="CY38" s="3" t="s">
        <v>189</v>
      </c>
      <c r="CZ38" s="3" t="s">
        <v>189</v>
      </c>
      <c r="DA38" s="3" t="s">
        <v>189</v>
      </c>
      <c r="DB38" s="3" t="s">
        <v>189</v>
      </c>
      <c r="DC38" s="3" t="s">
        <v>189</v>
      </c>
      <c r="DD38" s="3" t="s">
        <v>189</v>
      </c>
      <c r="DE38" s="3" t="s">
        <v>189</v>
      </c>
      <c r="DF38" s="3" t="s">
        <v>189</v>
      </c>
      <c r="DG38" s="3" t="s">
        <v>189</v>
      </c>
      <c r="DH38" s="3" t="s">
        <v>189</v>
      </c>
      <c r="DI38" s="3" t="s">
        <v>189</v>
      </c>
      <c r="DJ38" s="3" t="s">
        <v>189</v>
      </c>
      <c r="DK38" s="3" t="s">
        <v>189</v>
      </c>
      <c r="DL38" s="3" t="s">
        <v>189</v>
      </c>
      <c r="DM38" s="3" t="s">
        <v>189</v>
      </c>
      <c r="DN38" s="3" t="s">
        <v>189</v>
      </c>
      <c r="DO38" s="3" t="s">
        <v>189</v>
      </c>
      <c r="DP38" s="3" t="s">
        <v>189</v>
      </c>
      <c r="DQ38" s="3" t="s">
        <v>189</v>
      </c>
      <c r="DR38" s="3" t="s">
        <v>189</v>
      </c>
      <c r="DS38" s="3" t="s">
        <v>189</v>
      </c>
      <c r="DT38" s="3" t="s">
        <v>189</v>
      </c>
      <c r="DU38" s="3" t="s">
        <v>189</v>
      </c>
      <c r="DV38" s="3" t="s">
        <v>189</v>
      </c>
      <c r="DW38" s="3" t="s">
        <v>189</v>
      </c>
      <c r="DX38" s="3" t="s">
        <v>189</v>
      </c>
      <c r="DY38" s="3" t="s">
        <v>189</v>
      </c>
      <c r="DZ38" s="3" t="s">
        <v>189</v>
      </c>
      <c r="EA38" s="3" t="s">
        <v>189</v>
      </c>
      <c r="EB38" s="3" t="s">
        <v>189</v>
      </c>
      <c r="EC38" s="3" t="s">
        <v>189</v>
      </c>
      <c r="ED38" s="3" t="s">
        <v>189</v>
      </c>
      <c r="EE38" s="3" t="s">
        <v>189</v>
      </c>
      <c r="EF38" s="3" t="s">
        <v>189</v>
      </c>
      <c r="EG38" s="3" t="s">
        <v>189</v>
      </c>
      <c r="EH38" s="3" t="s">
        <v>189</v>
      </c>
      <c r="EI38" s="3" t="s">
        <v>189</v>
      </c>
      <c r="EJ38" s="3" t="s">
        <v>189</v>
      </c>
      <c r="EK38" s="3" t="s">
        <v>189</v>
      </c>
      <c r="EL38" s="3" t="s">
        <v>189</v>
      </c>
      <c r="EM38" s="3" t="s">
        <v>189</v>
      </c>
      <c r="EN38" s="3" t="s">
        <v>189</v>
      </c>
      <c r="EO38" s="3" t="s">
        <v>189</v>
      </c>
      <c r="EP38" s="3" t="s">
        <v>189</v>
      </c>
      <c r="EQ38" s="3" t="s">
        <v>189</v>
      </c>
      <c r="ER38" s="3" t="s">
        <v>189</v>
      </c>
      <c r="ES38" s="3" t="s">
        <v>189</v>
      </c>
      <c r="ET38" s="3" t="s">
        <v>189</v>
      </c>
      <c r="EU38" s="3" t="s">
        <v>189</v>
      </c>
      <c r="EV38" t="s">
        <v>205</v>
      </c>
      <c r="EW38">
        <v>25</v>
      </c>
      <c r="EX38" s="7">
        <v>19.930171266444585</v>
      </c>
      <c r="EY38" s="3">
        <v>0.37689740263347105</v>
      </c>
      <c r="EZ38" s="3">
        <v>0.37689534029006211</v>
      </c>
      <c r="FA38" s="3" t="s">
        <v>232</v>
      </c>
      <c r="FB38" s="3" t="s">
        <v>233</v>
      </c>
      <c r="FC38" s="3" t="s">
        <v>189</v>
      </c>
      <c r="FD38" s="3" t="s">
        <v>189</v>
      </c>
      <c r="FE38" s="3" t="s">
        <v>189</v>
      </c>
      <c r="FF38" s="3" t="s">
        <v>189</v>
      </c>
      <c r="FG38" s="3" t="s">
        <v>189</v>
      </c>
      <c r="FH38">
        <v>866.16082634489237</v>
      </c>
      <c r="FI38">
        <v>208.11273158789629</v>
      </c>
      <c r="FJ38">
        <v>208.11273158789629</v>
      </c>
      <c r="FK38" s="3" t="s">
        <v>203</v>
      </c>
      <c r="FL38" s="10" t="s">
        <v>211</v>
      </c>
      <c r="FM38" s="3" t="s">
        <v>206</v>
      </c>
      <c r="FT38" s="3" t="s">
        <v>188</v>
      </c>
      <c r="FU38" s="3" t="s">
        <v>207</v>
      </c>
      <c r="FV38" s="29" t="s">
        <v>300</v>
      </c>
      <c r="FW38" s="7" t="s">
        <v>189</v>
      </c>
      <c r="FX38" s="30" t="s">
        <v>331</v>
      </c>
      <c r="FY38" s="3" t="s">
        <v>204</v>
      </c>
    </row>
    <row r="39" spans="1:181" x14ac:dyDescent="0.15">
      <c r="A39" s="3" t="s">
        <v>248</v>
      </c>
      <c r="B39" s="3" t="s">
        <v>182</v>
      </c>
      <c r="C39">
        <v>2005</v>
      </c>
      <c r="D39" s="9" t="str">
        <f t="shared" si="0"/>
        <v>10.1126/science.1110063</v>
      </c>
      <c r="E39" s="9">
        <f t="shared" si="1"/>
        <v>42531.035672414975</v>
      </c>
      <c r="F39" s="9" t="str">
        <f t="shared" si="2"/>
        <v>NA</v>
      </c>
      <c r="G39" s="9" t="str">
        <f t="shared" si="3"/>
        <v>NA</v>
      </c>
      <c r="H39" s="9">
        <f t="shared" si="4"/>
        <v>1088.9119096730128</v>
      </c>
      <c r="I39" s="9">
        <f t="shared" si="5"/>
        <v>244.1453227584534</v>
      </c>
      <c r="J39" s="9">
        <f t="shared" si="6"/>
        <v>244.1453227584534</v>
      </c>
      <c r="K39" s="2" t="s">
        <v>183</v>
      </c>
      <c r="L39" s="3" t="s">
        <v>184</v>
      </c>
      <c r="M39" s="2" t="s">
        <v>249</v>
      </c>
      <c r="N39" s="2" t="s">
        <v>185</v>
      </c>
      <c r="O39" s="4">
        <v>612</v>
      </c>
      <c r="P39" t="s">
        <v>187</v>
      </c>
      <c r="Q39" s="5">
        <v>23</v>
      </c>
      <c r="R39" s="2" t="s">
        <v>189</v>
      </c>
      <c r="S39" s="2" t="s">
        <v>189</v>
      </c>
      <c r="T39" s="5">
        <v>3</v>
      </c>
      <c r="U39" s="5">
        <v>24</v>
      </c>
      <c r="V39" s="6">
        <v>29</v>
      </c>
      <c r="W39" s="3" t="s">
        <v>189</v>
      </c>
      <c r="X39" s="3" t="s">
        <v>189</v>
      </c>
      <c r="Y39" s="3" t="s">
        <v>189</v>
      </c>
      <c r="Z39" s="7">
        <v>197.065</v>
      </c>
      <c r="AA39" s="3" t="s">
        <v>189</v>
      </c>
      <c r="AB39">
        <v>42531.035672414975</v>
      </c>
      <c r="AC39" s="3" t="s">
        <v>189</v>
      </c>
      <c r="AD39" s="3" t="s">
        <v>189</v>
      </c>
      <c r="AE39" s="3" t="s">
        <v>189</v>
      </c>
      <c r="AF39" s="3" t="s">
        <v>191</v>
      </c>
      <c r="AG39" s="3" t="s">
        <v>190</v>
      </c>
      <c r="AH39" s="3" t="s">
        <v>189</v>
      </c>
      <c r="AI39" s="3" t="s">
        <v>189</v>
      </c>
      <c r="AJ39" s="3" t="s">
        <v>189</v>
      </c>
      <c r="AK39" s="3" t="s">
        <v>189</v>
      </c>
      <c r="AL39" s="3" t="s">
        <v>189</v>
      </c>
      <c r="AM39" s="3" t="s">
        <v>189</v>
      </c>
      <c r="AN39" s="3" t="s">
        <v>189</v>
      </c>
      <c r="AO39" s="3" t="s">
        <v>189</v>
      </c>
      <c r="AP39" s="3" t="s">
        <v>189</v>
      </c>
      <c r="AQ39" s="3" t="s">
        <v>189</v>
      </c>
      <c r="AR39" s="3" t="s">
        <v>189</v>
      </c>
      <c r="AS39" s="3" t="s">
        <v>189</v>
      </c>
      <c r="AT39" s="3" t="s">
        <v>189</v>
      </c>
      <c r="AU39" s="3" t="s">
        <v>189</v>
      </c>
      <c r="AV39" s="3" t="s">
        <v>189</v>
      </c>
      <c r="AW39" s="3" t="s">
        <v>189</v>
      </c>
      <c r="AX39" s="3" t="s">
        <v>189</v>
      </c>
      <c r="AY39" s="3" t="s">
        <v>189</v>
      </c>
      <c r="AZ39" s="3" t="s">
        <v>189</v>
      </c>
      <c r="BA39" s="3" t="s">
        <v>189</v>
      </c>
      <c r="BB39" s="3" t="s">
        <v>189</v>
      </c>
      <c r="BC39" s="3" t="s">
        <v>189</v>
      </c>
      <c r="BD39" s="3" t="s">
        <v>189</v>
      </c>
      <c r="BE39" s="3" t="s">
        <v>189</v>
      </c>
      <c r="BF39" t="s">
        <v>199</v>
      </c>
      <c r="BG39" t="s">
        <v>197</v>
      </c>
      <c r="BH39" s="3" t="s">
        <v>189</v>
      </c>
      <c r="BI39" s="3" t="s">
        <v>189</v>
      </c>
      <c r="BJ39" s="3" t="s">
        <v>189</v>
      </c>
      <c r="BK39" s="3" t="s">
        <v>189</v>
      </c>
      <c r="BL39" s="3" t="s">
        <v>189</v>
      </c>
      <c r="BM39" s="3" t="s">
        <v>189</v>
      </c>
      <c r="BN39" s="3" t="s">
        <v>189</v>
      </c>
      <c r="BO39" s="3" t="s">
        <v>189</v>
      </c>
      <c r="BP39" s="3" t="s">
        <v>189</v>
      </c>
      <c r="BQ39" s="3" t="s">
        <v>189</v>
      </c>
      <c r="BR39" t="s">
        <v>210</v>
      </c>
      <c r="BS39" s="3" t="s">
        <v>200</v>
      </c>
      <c r="BT39" s="8">
        <v>-31.374500000000001</v>
      </c>
      <c r="BU39" t="s">
        <v>176</v>
      </c>
      <c r="BV39" s="3" t="s">
        <v>189</v>
      </c>
      <c r="BW39" s="3" t="s">
        <v>189</v>
      </c>
      <c r="BX39" s="3" t="s">
        <v>189</v>
      </c>
      <c r="BY39">
        <v>4.2</v>
      </c>
      <c r="BZ39" s="3" t="s">
        <v>189</v>
      </c>
      <c r="CA39" s="3" t="s">
        <v>189</v>
      </c>
      <c r="CB39" s="3" t="s">
        <v>189</v>
      </c>
      <c r="CC39" s="3" t="s">
        <v>189</v>
      </c>
      <c r="CD39" s="3" t="s">
        <v>189</v>
      </c>
      <c r="CE39" s="3" t="s">
        <v>189</v>
      </c>
      <c r="CF39" s="3" t="s">
        <v>201</v>
      </c>
      <c r="CG39">
        <v>35</v>
      </c>
      <c r="CH39" s="3" t="s">
        <v>189</v>
      </c>
      <c r="CI39" s="3" t="s">
        <v>189</v>
      </c>
      <c r="CJ39" s="1" t="s">
        <v>177</v>
      </c>
      <c r="CK39">
        <v>0.4</v>
      </c>
      <c r="CL39">
        <v>0.1</v>
      </c>
      <c r="CM39">
        <v>0.1</v>
      </c>
      <c r="CN39" s="3" t="s">
        <v>203</v>
      </c>
      <c r="CO39" t="s">
        <v>202</v>
      </c>
      <c r="CP39" s="3" t="s">
        <v>189</v>
      </c>
      <c r="CQ39" s="3" t="s">
        <v>189</v>
      </c>
      <c r="CR39" s="8">
        <v>24.591762800000001</v>
      </c>
      <c r="CS39" s="3" t="s">
        <v>189</v>
      </c>
      <c r="CT39" s="3" t="s">
        <v>189</v>
      </c>
      <c r="CU39" s="3" t="s">
        <v>189</v>
      </c>
      <c r="CV39" t="s">
        <v>212</v>
      </c>
      <c r="CW39" s="3" t="s">
        <v>189</v>
      </c>
      <c r="CX39" s="3" t="s">
        <v>189</v>
      </c>
      <c r="CY39" s="3" t="s">
        <v>189</v>
      </c>
      <c r="CZ39" s="3" t="s">
        <v>189</v>
      </c>
      <c r="DA39" s="3" t="s">
        <v>189</v>
      </c>
      <c r="DB39" s="3" t="s">
        <v>189</v>
      </c>
      <c r="DC39" s="3" t="s">
        <v>189</v>
      </c>
      <c r="DD39" s="3" t="s">
        <v>189</v>
      </c>
      <c r="DE39" s="3" t="s">
        <v>189</v>
      </c>
      <c r="DF39" s="3" t="s">
        <v>189</v>
      </c>
      <c r="DG39" s="3" t="s">
        <v>189</v>
      </c>
      <c r="DH39" s="3" t="s">
        <v>189</v>
      </c>
      <c r="DI39" s="3" t="s">
        <v>189</v>
      </c>
      <c r="DJ39" s="3" t="s">
        <v>189</v>
      </c>
      <c r="DK39" s="3" t="s">
        <v>189</v>
      </c>
      <c r="DL39" s="3" t="s">
        <v>189</v>
      </c>
      <c r="DM39" s="3" t="s">
        <v>189</v>
      </c>
      <c r="DN39" s="3" t="s">
        <v>189</v>
      </c>
      <c r="DO39" s="3" t="s">
        <v>189</v>
      </c>
      <c r="DP39" s="3" t="s">
        <v>189</v>
      </c>
      <c r="DQ39" s="3" t="s">
        <v>189</v>
      </c>
      <c r="DR39" s="3" t="s">
        <v>189</v>
      </c>
      <c r="DS39" s="3" t="s">
        <v>189</v>
      </c>
      <c r="DT39" s="3" t="s">
        <v>189</v>
      </c>
      <c r="DU39" s="3" t="s">
        <v>189</v>
      </c>
      <c r="DV39" s="3" t="s">
        <v>189</v>
      </c>
      <c r="DW39" s="3" t="s">
        <v>189</v>
      </c>
      <c r="DX39" s="3" t="s">
        <v>189</v>
      </c>
      <c r="DY39" s="3" t="s">
        <v>189</v>
      </c>
      <c r="DZ39" s="3" t="s">
        <v>189</v>
      </c>
      <c r="EA39" s="3" t="s">
        <v>189</v>
      </c>
      <c r="EB39" s="3" t="s">
        <v>189</v>
      </c>
      <c r="EC39" s="3" t="s">
        <v>189</v>
      </c>
      <c r="ED39" s="3" t="s">
        <v>189</v>
      </c>
      <c r="EE39" s="3" t="s">
        <v>189</v>
      </c>
      <c r="EF39" s="3" t="s">
        <v>189</v>
      </c>
      <c r="EG39" s="3" t="s">
        <v>189</v>
      </c>
      <c r="EH39" s="3" t="s">
        <v>189</v>
      </c>
      <c r="EI39" s="3" t="s">
        <v>189</v>
      </c>
      <c r="EJ39" s="3" t="s">
        <v>189</v>
      </c>
      <c r="EK39" s="3" t="s">
        <v>189</v>
      </c>
      <c r="EL39" s="3" t="s">
        <v>189</v>
      </c>
      <c r="EM39" s="3" t="s">
        <v>189</v>
      </c>
      <c r="EN39" s="3" t="s">
        <v>189</v>
      </c>
      <c r="EO39" s="3" t="s">
        <v>189</v>
      </c>
      <c r="EP39" s="3" t="s">
        <v>189</v>
      </c>
      <c r="EQ39" s="3" t="s">
        <v>189</v>
      </c>
      <c r="ER39" s="3" t="s">
        <v>189</v>
      </c>
      <c r="ES39" s="3" t="s">
        <v>189</v>
      </c>
      <c r="ET39" s="3" t="s">
        <v>189</v>
      </c>
      <c r="EU39" s="3" t="s">
        <v>189</v>
      </c>
      <c r="EV39" t="s">
        <v>205</v>
      </c>
      <c r="EW39">
        <v>25</v>
      </c>
      <c r="EX39" s="7">
        <v>20.813457596142726</v>
      </c>
      <c r="EY39" s="3">
        <v>0.37710939962676093</v>
      </c>
      <c r="EZ39" s="3">
        <v>0.37710027839743532</v>
      </c>
      <c r="FA39" s="3" t="s">
        <v>232</v>
      </c>
      <c r="FB39" s="3" t="s">
        <v>233</v>
      </c>
      <c r="FC39" s="3" t="s">
        <v>189</v>
      </c>
      <c r="FD39" s="3" t="s">
        <v>189</v>
      </c>
      <c r="FE39" s="3" t="s">
        <v>189</v>
      </c>
      <c r="FF39" s="3" t="s">
        <v>189</v>
      </c>
      <c r="FG39" s="3" t="s">
        <v>189</v>
      </c>
      <c r="FH39">
        <v>1088.9119096730128</v>
      </c>
      <c r="FI39">
        <v>244.1453227584534</v>
      </c>
      <c r="FJ39">
        <v>244.1453227584534</v>
      </c>
      <c r="FK39" s="3" t="s">
        <v>203</v>
      </c>
      <c r="FL39" s="10" t="s">
        <v>211</v>
      </c>
      <c r="FM39" s="3" t="s">
        <v>206</v>
      </c>
      <c r="FT39" s="3" t="s">
        <v>188</v>
      </c>
      <c r="FU39" s="3" t="s">
        <v>207</v>
      </c>
      <c r="FV39" s="29" t="s">
        <v>301</v>
      </c>
      <c r="FW39" s="7" t="s">
        <v>189</v>
      </c>
      <c r="FX39" s="30" t="s">
        <v>332</v>
      </c>
      <c r="FY39" s="3" t="s">
        <v>204</v>
      </c>
    </row>
    <row r="40" spans="1:181" x14ac:dyDescent="0.15">
      <c r="A40" s="3" t="s">
        <v>248</v>
      </c>
      <c r="B40" s="3" t="s">
        <v>182</v>
      </c>
      <c r="C40">
        <v>2005</v>
      </c>
      <c r="D40" s="9" t="str">
        <f t="shared" si="0"/>
        <v>10.1126/science.1110063</v>
      </c>
      <c r="E40" s="9">
        <f t="shared" si="1"/>
        <v>42651.013448299367</v>
      </c>
      <c r="F40" s="9" t="str">
        <f t="shared" si="2"/>
        <v>NA</v>
      </c>
      <c r="G40" s="9" t="str">
        <f t="shared" si="3"/>
        <v>NA</v>
      </c>
      <c r="H40" s="9">
        <f t="shared" si="4"/>
        <v>1698.9882621440911</v>
      </c>
      <c r="I40" s="9">
        <f t="shared" si="5"/>
        <v>496.73552463069018</v>
      </c>
      <c r="J40" s="9">
        <f t="shared" si="6"/>
        <v>496.73552463069018</v>
      </c>
      <c r="K40" s="2" t="s">
        <v>183</v>
      </c>
      <c r="L40" s="3" t="s">
        <v>184</v>
      </c>
      <c r="M40" s="2" t="s">
        <v>249</v>
      </c>
      <c r="N40" s="2" t="s">
        <v>185</v>
      </c>
      <c r="O40" s="4">
        <v>612</v>
      </c>
      <c r="P40" t="s">
        <v>187</v>
      </c>
      <c r="Q40" s="5">
        <v>23</v>
      </c>
      <c r="R40" s="2" t="s">
        <v>189</v>
      </c>
      <c r="S40" s="2" t="s">
        <v>189</v>
      </c>
      <c r="T40" s="5">
        <v>6</v>
      </c>
      <c r="U40" s="5">
        <v>14</v>
      </c>
      <c r="V40" s="6">
        <v>20</v>
      </c>
      <c r="W40" s="3" t="s">
        <v>189</v>
      </c>
      <c r="X40" s="3" t="s">
        <v>189</v>
      </c>
      <c r="Y40" s="3" t="s">
        <v>189</v>
      </c>
      <c r="Z40" s="7">
        <v>201.47</v>
      </c>
      <c r="AA40" s="3" t="s">
        <v>189</v>
      </c>
      <c r="AB40">
        <v>42651.013448299367</v>
      </c>
      <c r="AC40" s="3" t="s">
        <v>189</v>
      </c>
      <c r="AD40" s="3" t="s">
        <v>189</v>
      </c>
      <c r="AE40" s="3" t="s">
        <v>189</v>
      </c>
      <c r="AF40" s="3" t="s">
        <v>191</v>
      </c>
      <c r="AG40" s="3" t="s">
        <v>190</v>
      </c>
      <c r="AH40" s="3" t="s">
        <v>189</v>
      </c>
      <c r="AI40" s="3" t="s">
        <v>189</v>
      </c>
      <c r="AJ40" s="3" t="s">
        <v>189</v>
      </c>
      <c r="AK40" s="3" t="s">
        <v>189</v>
      </c>
      <c r="AL40" s="3" t="s">
        <v>189</v>
      </c>
      <c r="AM40" s="3" t="s">
        <v>189</v>
      </c>
      <c r="AN40" s="3" t="s">
        <v>189</v>
      </c>
      <c r="AO40" s="3" t="s">
        <v>189</v>
      </c>
      <c r="AP40" s="3" t="s">
        <v>189</v>
      </c>
      <c r="AQ40" s="3" t="s">
        <v>189</v>
      </c>
      <c r="AR40" s="3" t="s">
        <v>189</v>
      </c>
      <c r="AS40" s="3" t="s">
        <v>189</v>
      </c>
      <c r="AT40" s="3" t="s">
        <v>189</v>
      </c>
      <c r="AU40" s="3" t="s">
        <v>189</v>
      </c>
      <c r="AV40" s="3" t="s">
        <v>189</v>
      </c>
      <c r="AW40" s="3" t="s">
        <v>189</v>
      </c>
      <c r="AX40" s="3" t="s">
        <v>189</v>
      </c>
      <c r="AY40" s="3" t="s">
        <v>189</v>
      </c>
      <c r="AZ40" s="3" t="s">
        <v>189</v>
      </c>
      <c r="BA40" s="3" t="s">
        <v>189</v>
      </c>
      <c r="BB40" s="3" t="s">
        <v>189</v>
      </c>
      <c r="BC40" s="3" t="s">
        <v>189</v>
      </c>
      <c r="BD40" s="3" t="s">
        <v>189</v>
      </c>
      <c r="BE40" s="3" t="s">
        <v>189</v>
      </c>
      <c r="BF40" t="s">
        <v>199</v>
      </c>
      <c r="BG40" t="s">
        <v>197</v>
      </c>
      <c r="BH40" s="3" t="s">
        <v>189</v>
      </c>
      <c r="BI40" s="3" t="s">
        <v>189</v>
      </c>
      <c r="BJ40" s="3" t="s">
        <v>189</v>
      </c>
      <c r="BK40" s="3" t="s">
        <v>189</v>
      </c>
      <c r="BL40" s="3" t="s">
        <v>189</v>
      </c>
      <c r="BM40" s="3" t="s">
        <v>189</v>
      </c>
      <c r="BN40" s="3" t="s">
        <v>189</v>
      </c>
      <c r="BO40" s="3" t="s">
        <v>189</v>
      </c>
      <c r="BP40" s="3" t="s">
        <v>189</v>
      </c>
      <c r="BQ40" s="3" t="s">
        <v>189</v>
      </c>
      <c r="BR40" t="s">
        <v>210</v>
      </c>
      <c r="BS40" s="3" t="s">
        <v>200</v>
      </c>
      <c r="BT40" s="8">
        <v>-32.4985</v>
      </c>
      <c r="BU40" t="s">
        <v>176</v>
      </c>
      <c r="BV40" s="3" t="s">
        <v>189</v>
      </c>
      <c r="BW40" s="3" t="s">
        <v>189</v>
      </c>
      <c r="BX40" s="3" t="s">
        <v>189</v>
      </c>
      <c r="BY40">
        <v>4.2</v>
      </c>
      <c r="BZ40" s="3" t="s">
        <v>189</v>
      </c>
      <c r="CA40" s="3" t="s">
        <v>189</v>
      </c>
      <c r="CB40" s="3" t="s">
        <v>189</v>
      </c>
      <c r="CC40" s="3" t="s">
        <v>189</v>
      </c>
      <c r="CD40" s="3" t="s">
        <v>189</v>
      </c>
      <c r="CE40" s="3" t="s">
        <v>189</v>
      </c>
      <c r="CF40" s="3" t="s">
        <v>201</v>
      </c>
      <c r="CG40">
        <v>35</v>
      </c>
      <c r="CH40" s="3" t="s">
        <v>189</v>
      </c>
      <c r="CI40" s="3" t="s">
        <v>189</v>
      </c>
      <c r="CJ40" s="1" t="s">
        <v>177</v>
      </c>
      <c r="CK40">
        <v>0.4</v>
      </c>
      <c r="CL40">
        <v>0.1</v>
      </c>
      <c r="CM40">
        <v>0.1</v>
      </c>
      <c r="CN40" s="3" t="s">
        <v>203</v>
      </c>
      <c r="CO40" t="s">
        <v>202</v>
      </c>
      <c r="CP40" s="3" t="s">
        <v>189</v>
      </c>
      <c r="CQ40" s="3" t="s">
        <v>189</v>
      </c>
      <c r="CR40" s="8">
        <v>23.814556800000002</v>
      </c>
      <c r="CS40" s="3" t="s">
        <v>189</v>
      </c>
      <c r="CT40" s="3" t="s">
        <v>189</v>
      </c>
      <c r="CU40" s="3" t="s">
        <v>189</v>
      </c>
      <c r="CV40" t="s">
        <v>212</v>
      </c>
      <c r="CW40" s="3" t="s">
        <v>189</v>
      </c>
      <c r="CX40" s="3" t="s">
        <v>189</v>
      </c>
      <c r="CY40" s="3" t="s">
        <v>189</v>
      </c>
      <c r="CZ40" s="3" t="s">
        <v>189</v>
      </c>
      <c r="DA40" s="3" t="s">
        <v>189</v>
      </c>
      <c r="DB40" s="3" t="s">
        <v>189</v>
      </c>
      <c r="DC40" s="3" t="s">
        <v>189</v>
      </c>
      <c r="DD40" s="3" t="s">
        <v>189</v>
      </c>
      <c r="DE40" s="3" t="s">
        <v>189</v>
      </c>
      <c r="DF40" s="3" t="s">
        <v>189</v>
      </c>
      <c r="DG40" s="3" t="s">
        <v>189</v>
      </c>
      <c r="DH40" s="3" t="s">
        <v>189</v>
      </c>
      <c r="DI40" s="3" t="s">
        <v>189</v>
      </c>
      <c r="DJ40" s="3" t="s">
        <v>189</v>
      </c>
      <c r="DK40" s="3" t="s">
        <v>189</v>
      </c>
      <c r="DL40" s="3" t="s">
        <v>189</v>
      </c>
      <c r="DM40" s="3" t="s">
        <v>189</v>
      </c>
      <c r="DN40" s="3" t="s">
        <v>189</v>
      </c>
      <c r="DO40" s="3" t="s">
        <v>189</v>
      </c>
      <c r="DP40" s="3" t="s">
        <v>189</v>
      </c>
      <c r="DQ40" s="3" t="s">
        <v>189</v>
      </c>
      <c r="DR40" s="3" t="s">
        <v>189</v>
      </c>
      <c r="DS40" s="3" t="s">
        <v>189</v>
      </c>
      <c r="DT40" s="3" t="s">
        <v>189</v>
      </c>
      <c r="DU40" s="3" t="s">
        <v>189</v>
      </c>
      <c r="DV40" s="3" t="s">
        <v>189</v>
      </c>
      <c r="DW40" s="3" t="s">
        <v>189</v>
      </c>
      <c r="DX40" s="3" t="s">
        <v>189</v>
      </c>
      <c r="DY40" s="3" t="s">
        <v>189</v>
      </c>
      <c r="DZ40" s="3" t="s">
        <v>189</v>
      </c>
      <c r="EA40" s="3" t="s">
        <v>189</v>
      </c>
      <c r="EB40" s="3" t="s">
        <v>189</v>
      </c>
      <c r="EC40" s="3" t="s">
        <v>189</v>
      </c>
      <c r="ED40" s="3" t="s">
        <v>189</v>
      </c>
      <c r="EE40" s="3" t="s">
        <v>189</v>
      </c>
      <c r="EF40" s="3" t="s">
        <v>189</v>
      </c>
      <c r="EG40" s="3" t="s">
        <v>189</v>
      </c>
      <c r="EH40" s="3" t="s">
        <v>189</v>
      </c>
      <c r="EI40" s="3" t="s">
        <v>189</v>
      </c>
      <c r="EJ40" s="3" t="s">
        <v>189</v>
      </c>
      <c r="EK40" s="3" t="s">
        <v>189</v>
      </c>
      <c r="EL40" s="3" t="s">
        <v>189</v>
      </c>
      <c r="EM40" s="3" t="s">
        <v>189</v>
      </c>
      <c r="EN40" s="3" t="s">
        <v>189</v>
      </c>
      <c r="EO40" s="3" t="s">
        <v>189</v>
      </c>
      <c r="EP40" s="3" t="s">
        <v>189</v>
      </c>
      <c r="EQ40" s="3" t="s">
        <v>189</v>
      </c>
      <c r="ER40" s="3" t="s">
        <v>189</v>
      </c>
      <c r="ES40" s="3" t="s">
        <v>189</v>
      </c>
      <c r="ET40" s="3" t="s">
        <v>189</v>
      </c>
      <c r="EU40" s="3" t="s">
        <v>189</v>
      </c>
      <c r="EV40" t="s">
        <v>205</v>
      </c>
      <c r="EW40">
        <v>25</v>
      </c>
      <c r="EX40" s="7">
        <v>22.237813046344314</v>
      </c>
      <c r="EY40" s="3">
        <v>0.37766860974430472</v>
      </c>
      <c r="EZ40" s="3">
        <v>0.37766152671392561</v>
      </c>
      <c r="FA40" s="3" t="s">
        <v>232</v>
      </c>
      <c r="FB40" s="3" t="s">
        <v>233</v>
      </c>
      <c r="FC40" s="3" t="s">
        <v>189</v>
      </c>
      <c r="FD40" s="3" t="s">
        <v>189</v>
      </c>
      <c r="FE40" s="3" t="s">
        <v>189</v>
      </c>
      <c r="FF40" s="3" t="s">
        <v>189</v>
      </c>
      <c r="FG40" s="3" t="s">
        <v>189</v>
      </c>
      <c r="FH40">
        <v>1698.9882621440911</v>
      </c>
      <c r="FI40">
        <v>496.73552463069018</v>
      </c>
      <c r="FJ40">
        <v>496.73552463069018</v>
      </c>
      <c r="FK40" s="3" t="s">
        <v>203</v>
      </c>
      <c r="FL40" s="10" t="s">
        <v>211</v>
      </c>
      <c r="FM40" s="3" t="s">
        <v>206</v>
      </c>
      <c r="FT40" s="3" t="s">
        <v>188</v>
      </c>
      <c r="FU40" s="3" t="s">
        <v>207</v>
      </c>
      <c r="FV40" s="29" t="s">
        <v>302</v>
      </c>
      <c r="FW40" s="7" t="s">
        <v>189</v>
      </c>
      <c r="FX40" s="30" t="s">
        <v>333</v>
      </c>
      <c r="FY40" s="3" t="s">
        <v>204</v>
      </c>
    </row>
    <row r="41" spans="1:181" x14ac:dyDescent="0.15">
      <c r="A41" s="3" t="s">
        <v>248</v>
      </c>
      <c r="B41" s="3" t="s">
        <v>182</v>
      </c>
      <c r="C41">
        <v>2005</v>
      </c>
      <c r="D41" s="9" t="str">
        <f t="shared" si="0"/>
        <v>10.1126/science.1110063</v>
      </c>
      <c r="E41" s="9">
        <f t="shared" si="1"/>
        <v>43152.305381364597</v>
      </c>
      <c r="F41" s="9" t="str">
        <f t="shared" si="2"/>
        <v>NA</v>
      </c>
      <c r="G41" s="9" t="str">
        <f t="shared" si="3"/>
        <v>NA</v>
      </c>
      <c r="H41" s="9">
        <f t="shared" si="4"/>
        <v>1184.3025519725834</v>
      </c>
      <c r="I41" s="9">
        <f t="shared" si="5"/>
        <v>311.33835677360253</v>
      </c>
      <c r="J41" s="9">
        <f t="shared" si="6"/>
        <v>311.33835677360253</v>
      </c>
      <c r="K41" s="2" t="s">
        <v>183</v>
      </c>
      <c r="L41" s="3" t="s">
        <v>184</v>
      </c>
      <c r="M41" s="2" t="s">
        <v>249</v>
      </c>
      <c r="N41" s="2" t="s">
        <v>185</v>
      </c>
      <c r="O41" s="4">
        <v>612</v>
      </c>
      <c r="P41" t="s">
        <v>187</v>
      </c>
      <c r="Q41" s="5">
        <v>25</v>
      </c>
      <c r="R41" s="2" t="s">
        <v>189</v>
      </c>
      <c r="S41" s="2" t="s">
        <v>189</v>
      </c>
      <c r="T41" s="5">
        <v>5</v>
      </c>
      <c r="U41" s="5">
        <v>125</v>
      </c>
      <c r="V41" s="6">
        <v>130</v>
      </c>
      <c r="W41" s="3" t="s">
        <v>189</v>
      </c>
      <c r="X41" s="3" t="s">
        <v>189</v>
      </c>
      <c r="Y41" s="3" t="s">
        <v>189</v>
      </c>
      <c r="Z41" s="7">
        <v>219.875</v>
      </c>
      <c r="AA41" s="3" t="s">
        <v>189</v>
      </c>
      <c r="AB41">
        <v>43152.305381364597</v>
      </c>
      <c r="AC41" s="3" t="s">
        <v>189</v>
      </c>
      <c r="AD41" s="3" t="s">
        <v>189</v>
      </c>
      <c r="AE41" s="3" t="s">
        <v>189</v>
      </c>
      <c r="AF41" s="3" t="s">
        <v>191</v>
      </c>
      <c r="AG41" s="3" t="s">
        <v>190</v>
      </c>
      <c r="AH41" s="3" t="s">
        <v>189</v>
      </c>
      <c r="AI41" s="3" t="s">
        <v>189</v>
      </c>
      <c r="AJ41" s="3" t="s">
        <v>189</v>
      </c>
      <c r="AK41" s="3" t="s">
        <v>189</v>
      </c>
      <c r="AL41" s="3" t="s">
        <v>189</v>
      </c>
      <c r="AM41" s="3" t="s">
        <v>189</v>
      </c>
      <c r="AN41" s="3" t="s">
        <v>189</v>
      </c>
      <c r="AO41" s="3" t="s">
        <v>189</v>
      </c>
      <c r="AP41" s="3" t="s">
        <v>189</v>
      </c>
      <c r="AQ41" s="3" t="s">
        <v>189</v>
      </c>
      <c r="AR41" s="3" t="s">
        <v>189</v>
      </c>
      <c r="AS41" s="3" t="s">
        <v>189</v>
      </c>
      <c r="AT41" s="3" t="s">
        <v>189</v>
      </c>
      <c r="AU41" s="3" t="s">
        <v>189</v>
      </c>
      <c r="AV41" s="3" t="s">
        <v>189</v>
      </c>
      <c r="AW41" s="3" t="s">
        <v>189</v>
      </c>
      <c r="AX41" s="3" t="s">
        <v>189</v>
      </c>
      <c r="AY41" s="3" t="s">
        <v>189</v>
      </c>
      <c r="AZ41" s="3" t="s">
        <v>189</v>
      </c>
      <c r="BA41" s="3" t="s">
        <v>189</v>
      </c>
      <c r="BB41" s="3" t="s">
        <v>189</v>
      </c>
      <c r="BC41" s="3" t="s">
        <v>189</v>
      </c>
      <c r="BD41" s="3" t="s">
        <v>189</v>
      </c>
      <c r="BE41" s="3" t="s">
        <v>189</v>
      </c>
      <c r="BF41" t="s">
        <v>199</v>
      </c>
      <c r="BG41" t="s">
        <v>197</v>
      </c>
      <c r="BH41" s="3" t="s">
        <v>189</v>
      </c>
      <c r="BI41" s="3" t="s">
        <v>189</v>
      </c>
      <c r="BJ41" s="3" t="s">
        <v>189</v>
      </c>
      <c r="BK41" s="3" t="s">
        <v>189</v>
      </c>
      <c r="BL41" s="3" t="s">
        <v>189</v>
      </c>
      <c r="BM41" s="3" t="s">
        <v>189</v>
      </c>
      <c r="BN41" s="3" t="s">
        <v>189</v>
      </c>
      <c r="BO41" s="3" t="s">
        <v>189</v>
      </c>
      <c r="BP41" s="3" t="s">
        <v>189</v>
      </c>
      <c r="BQ41" s="3" t="s">
        <v>189</v>
      </c>
      <c r="BR41" t="s">
        <v>210</v>
      </c>
      <c r="BS41" s="3" t="s">
        <v>200</v>
      </c>
      <c r="BT41" s="8">
        <v>-32.981999999999999</v>
      </c>
      <c r="BU41" t="s">
        <v>176</v>
      </c>
      <c r="BV41" s="3" t="s">
        <v>189</v>
      </c>
      <c r="BW41" s="3" t="s">
        <v>189</v>
      </c>
      <c r="BX41" s="3" t="s">
        <v>189</v>
      </c>
      <c r="BY41">
        <v>4.2</v>
      </c>
      <c r="BZ41" s="3" t="s">
        <v>189</v>
      </c>
      <c r="CA41" s="3" t="s">
        <v>189</v>
      </c>
      <c r="CB41" s="3" t="s">
        <v>189</v>
      </c>
      <c r="CC41" s="3" t="s">
        <v>189</v>
      </c>
      <c r="CD41" s="3" t="s">
        <v>189</v>
      </c>
      <c r="CE41" s="3" t="s">
        <v>189</v>
      </c>
      <c r="CF41" s="3" t="s">
        <v>201</v>
      </c>
      <c r="CG41">
        <v>35</v>
      </c>
      <c r="CH41" s="3" t="s">
        <v>189</v>
      </c>
      <c r="CI41" s="3" t="s">
        <v>189</v>
      </c>
      <c r="CJ41" s="1" t="s">
        <v>177</v>
      </c>
      <c r="CK41">
        <v>0.4</v>
      </c>
      <c r="CL41">
        <v>0.1</v>
      </c>
      <c r="CM41">
        <v>0.1</v>
      </c>
      <c r="CN41" s="3" t="s">
        <v>203</v>
      </c>
      <c r="CO41" t="s">
        <v>202</v>
      </c>
      <c r="CP41" s="3" t="s">
        <v>189</v>
      </c>
      <c r="CQ41" s="3" t="s">
        <v>189</v>
      </c>
      <c r="CR41" s="8">
        <v>22.5834972</v>
      </c>
      <c r="CS41" s="3" t="s">
        <v>189</v>
      </c>
      <c r="CT41" s="3" t="s">
        <v>189</v>
      </c>
      <c r="CU41" s="3" t="s">
        <v>189</v>
      </c>
      <c r="CV41" t="s">
        <v>212</v>
      </c>
      <c r="CW41" s="3" t="s">
        <v>189</v>
      </c>
      <c r="CX41" s="3" t="s">
        <v>189</v>
      </c>
      <c r="CY41" s="3" t="s">
        <v>189</v>
      </c>
      <c r="CZ41" s="3" t="s">
        <v>189</v>
      </c>
      <c r="DA41" s="3" t="s">
        <v>189</v>
      </c>
      <c r="DB41" s="3" t="s">
        <v>189</v>
      </c>
      <c r="DC41" s="3" t="s">
        <v>189</v>
      </c>
      <c r="DD41" s="3" t="s">
        <v>189</v>
      </c>
      <c r="DE41" s="3" t="s">
        <v>189</v>
      </c>
      <c r="DF41" s="3" t="s">
        <v>189</v>
      </c>
      <c r="DG41" s="3" t="s">
        <v>189</v>
      </c>
      <c r="DH41" s="3" t="s">
        <v>189</v>
      </c>
      <c r="DI41" s="3" t="s">
        <v>189</v>
      </c>
      <c r="DJ41" s="3" t="s">
        <v>189</v>
      </c>
      <c r="DK41" s="3" t="s">
        <v>189</v>
      </c>
      <c r="DL41" s="3" t="s">
        <v>189</v>
      </c>
      <c r="DM41" s="3" t="s">
        <v>189</v>
      </c>
      <c r="DN41" s="3" t="s">
        <v>189</v>
      </c>
      <c r="DO41" s="3" t="s">
        <v>189</v>
      </c>
      <c r="DP41" s="3" t="s">
        <v>189</v>
      </c>
      <c r="DQ41" s="3" t="s">
        <v>189</v>
      </c>
      <c r="DR41" s="3" t="s">
        <v>189</v>
      </c>
      <c r="DS41" s="3" t="s">
        <v>189</v>
      </c>
      <c r="DT41" s="3" t="s">
        <v>189</v>
      </c>
      <c r="DU41" s="3" t="s">
        <v>189</v>
      </c>
      <c r="DV41" s="3" t="s">
        <v>189</v>
      </c>
      <c r="DW41" s="3" t="s">
        <v>189</v>
      </c>
      <c r="DX41" s="3" t="s">
        <v>189</v>
      </c>
      <c r="DY41" s="3" t="s">
        <v>189</v>
      </c>
      <c r="DZ41" s="3" t="s">
        <v>189</v>
      </c>
      <c r="EA41" s="3" t="s">
        <v>189</v>
      </c>
      <c r="EB41" s="3" t="s">
        <v>189</v>
      </c>
      <c r="EC41" s="3" t="s">
        <v>189</v>
      </c>
      <c r="ED41" s="3" t="s">
        <v>189</v>
      </c>
      <c r="EE41" s="3" t="s">
        <v>189</v>
      </c>
      <c r="EF41" s="3" t="s">
        <v>189</v>
      </c>
      <c r="EG41" s="3" t="s">
        <v>189</v>
      </c>
      <c r="EH41" s="3" t="s">
        <v>189</v>
      </c>
      <c r="EI41" s="3" t="s">
        <v>189</v>
      </c>
      <c r="EJ41" s="3" t="s">
        <v>189</v>
      </c>
      <c r="EK41" s="3" t="s">
        <v>189</v>
      </c>
      <c r="EL41" s="3" t="s">
        <v>189</v>
      </c>
      <c r="EM41" s="3" t="s">
        <v>189</v>
      </c>
      <c r="EN41" s="3" t="s">
        <v>189</v>
      </c>
      <c r="EO41" s="3" t="s">
        <v>189</v>
      </c>
      <c r="EP41" s="3" t="s">
        <v>189</v>
      </c>
      <c r="EQ41" s="3" t="s">
        <v>189</v>
      </c>
      <c r="ER41" s="3" t="s">
        <v>189</v>
      </c>
      <c r="ES41" s="3" t="s">
        <v>189</v>
      </c>
      <c r="ET41" s="3" t="s">
        <v>189</v>
      </c>
      <c r="EU41" s="3" t="s">
        <v>189</v>
      </c>
      <c r="EV41" t="s">
        <v>205</v>
      </c>
      <c r="EW41">
        <v>25</v>
      </c>
      <c r="EX41" s="7">
        <v>21.197524273332657</v>
      </c>
      <c r="EY41" s="3">
        <v>0.37733761347946526</v>
      </c>
      <c r="EZ41" s="3">
        <v>0.37733382638305457</v>
      </c>
      <c r="FA41" s="3" t="s">
        <v>232</v>
      </c>
      <c r="FB41" s="3" t="s">
        <v>233</v>
      </c>
      <c r="FC41" s="3" t="s">
        <v>189</v>
      </c>
      <c r="FD41" s="3" t="s">
        <v>189</v>
      </c>
      <c r="FE41" s="3" t="s">
        <v>189</v>
      </c>
      <c r="FF41" s="3" t="s">
        <v>189</v>
      </c>
      <c r="FG41" s="3" t="s">
        <v>189</v>
      </c>
      <c r="FH41">
        <v>1184.3025519725834</v>
      </c>
      <c r="FI41">
        <v>311.33835677360253</v>
      </c>
      <c r="FJ41">
        <v>311.33835677360253</v>
      </c>
      <c r="FK41" s="3" t="s">
        <v>203</v>
      </c>
      <c r="FL41" s="10" t="s">
        <v>211</v>
      </c>
      <c r="FM41" s="3" t="s">
        <v>206</v>
      </c>
      <c r="FT41" s="3" t="s">
        <v>188</v>
      </c>
      <c r="FU41" s="3" t="s">
        <v>207</v>
      </c>
      <c r="FV41" s="29" t="s">
        <v>303</v>
      </c>
      <c r="FW41" s="7" t="s">
        <v>189</v>
      </c>
      <c r="FX41" s="30" t="s">
        <v>334</v>
      </c>
      <c r="FY41" s="3" t="s">
        <v>204</v>
      </c>
    </row>
    <row r="42" spans="1:181" x14ac:dyDescent="0.15">
      <c r="A42" s="3" t="s">
        <v>248</v>
      </c>
      <c r="B42" s="3" t="s">
        <v>182</v>
      </c>
      <c r="C42">
        <v>2005</v>
      </c>
      <c r="D42" s="9" t="str">
        <f t="shared" si="0"/>
        <v>10.1126/science.1110063</v>
      </c>
      <c r="E42" s="9">
        <f t="shared" si="1"/>
        <v>44461.030042260238</v>
      </c>
      <c r="F42" s="9" t="str">
        <f t="shared" si="2"/>
        <v>NA</v>
      </c>
      <c r="G42" s="9" t="str">
        <f t="shared" si="3"/>
        <v>NA</v>
      </c>
      <c r="H42" s="9">
        <f t="shared" si="4"/>
        <v>1338.8548283914206</v>
      </c>
      <c r="I42" s="9">
        <f t="shared" si="5"/>
        <v>352.22552616929261</v>
      </c>
      <c r="J42" s="9">
        <f t="shared" si="6"/>
        <v>352.22552616929261</v>
      </c>
      <c r="K42" s="2" t="s">
        <v>183</v>
      </c>
      <c r="L42" s="3" t="s">
        <v>184</v>
      </c>
      <c r="M42" s="2" t="s">
        <v>249</v>
      </c>
      <c r="N42" s="2" t="s">
        <v>185</v>
      </c>
      <c r="O42" s="4">
        <v>612</v>
      </c>
      <c r="P42" t="s">
        <v>187</v>
      </c>
      <c r="Q42" s="5">
        <v>30</v>
      </c>
      <c r="R42" s="2" t="s">
        <v>189</v>
      </c>
      <c r="S42" s="2" t="s">
        <v>189</v>
      </c>
      <c r="T42" s="5">
        <v>5</v>
      </c>
      <c r="U42" s="5">
        <v>130</v>
      </c>
      <c r="V42" s="6">
        <v>135</v>
      </c>
      <c r="W42" s="3" t="s">
        <v>189</v>
      </c>
      <c r="X42" s="3" t="s">
        <v>189</v>
      </c>
      <c r="Y42" s="3" t="s">
        <v>189</v>
      </c>
      <c r="Z42" s="7">
        <v>267.92500000000001</v>
      </c>
      <c r="AA42" s="3" t="s">
        <v>189</v>
      </c>
      <c r="AB42">
        <v>44461.030042260238</v>
      </c>
      <c r="AC42" s="3" t="s">
        <v>189</v>
      </c>
      <c r="AD42" s="3" t="s">
        <v>189</v>
      </c>
      <c r="AE42" s="3" t="s">
        <v>189</v>
      </c>
      <c r="AF42" s="3" t="s">
        <v>191</v>
      </c>
      <c r="AG42" s="3" t="s">
        <v>190</v>
      </c>
      <c r="AH42" s="3" t="s">
        <v>189</v>
      </c>
      <c r="AI42" s="3" t="s">
        <v>189</v>
      </c>
      <c r="AJ42" s="3" t="s">
        <v>189</v>
      </c>
      <c r="AK42" s="3" t="s">
        <v>189</v>
      </c>
      <c r="AL42" s="3" t="s">
        <v>189</v>
      </c>
      <c r="AM42" s="3" t="s">
        <v>189</v>
      </c>
      <c r="AN42" s="3" t="s">
        <v>189</v>
      </c>
      <c r="AO42" s="3" t="s">
        <v>189</v>
      </c>
      <c r="AP42" s="3" t="s">
        <v>189</v>
      </c>
      <c r="AQ42" s="3" t="s">
        <v>189</v>
      </c>
      <c r="AR42" s="3" t="s">
        <v>189</v>
      </c>
      <c r="AS42" s="3" t="s">
        <v>189</v>
      </c>
      <c r="AT42" s="3" t="s">
        <v>189</v>
      </c>
      <c r="AU42" s="3" t="s">
        <v>189</v>
      </c>
      <c r="AV42" s="3" t="s">
        <v>189</v>
      </c>
      <c r="AW42" s="3" t="s">
        <v>189</v>
      </c>
      <c r="AX42" s="3" t="s">
        <v>189</v>
      </c>
      <c r="AY42" s="3" t="s">
        <v>189</v>
      </c>
      <c r="AZ42" s="3" t="s">
        <v>189</v>
      </c>
      <c r="BA42" s="3" t="s">
        <v>189</v>
      </c>
      <c r="BB42" s="3" t="s">
        <v>189</v>
      </c>
      <c r="BC42" s="3" t="s">
        <v>189</v>
      </c>
      <c r="BD42" s="3" t="s">
        <v>189</v>
      </c>
      <c r="BE42" s="3" t="s">
        <v>189</v>
      </c>
      <c r="BF42" t="s">
        <v>199</v>
      </c>
      <c r="BG42" t="s">
        <v>197</v>
      </c>
      <c r="BH42" s="3" t="s">
        <v>189</v>
      </c>
      <c r="BI42" s="3" t="s">
        <v>189</v>
      </c>
      <c r="BJ42" s="3" t="s">
        <v>189</v>
      </c>
      <c r="BK42" s="3" t="s">
        <v>189</v>
      </c>
      <c r="BL42" s="3" t="s">
        <v>189</v>
      </c>
      <c r="BM42" s="3" t="s">
        <v>189</v>
      </c>
      <c r="BN42" s="3" t="s">
        <v>189</v>
      </c>
      <c r="BO42" s="3" t="s">
        <v>189</v>
      </c>
      <c r="BP42" s="3" t="s">
        <v>189</v>
      </c>
      <c r="BQ42" s="3" t="s">
        <v>189</v>
      </c>
      <c r="BR42" t="s">
        <v>210</v>
      </c>
      <c r="BS42" s="3" t="s">
        <v>200</v>
      </c>
      <c r="BT42" s="8">
        <v>-31.911000000000001</v>
      </c>
      <c r="BU42" t="s">
        <v>176</v>
      </c>
      <c r="BV42" s="3" t="s">
        <v>189</v>
      </c>
      <c r="BW42" s="3" t="s">
        <v>189</v>
      </c>
      <c r="BX42" s="3" t="s">
        <v>189</v>
      </c>
      <c r="BY42">
        <v>4.2</v>
      </c>
      <c r="BZ42" s="3" t="s">
        <v>189</v>
      </c>
      <c r="CA42" s="3" t="s">
        <v>189</v>
      </c>
      <c r="CB42" s="3" t="s">
        <v>189</v>
      </c>
      <c r="CC42" s="3" t="s">
        <v>189</v>
      </c>
      <c r="CD42" s="3" t="s">
        <v>189</v>
      </c>
      <c r="CE42" s="3" t="s">
        <v>189</v>
      </c>
      <c r="CF42" s="3" t="s">
        <v>201</v>
      </c>
      <c r="CG42">
        <v>35</v>
      </c>
      <c r="CH42" s="3" t="s">
        <v>189</v>
      </c>
      <c r="CI42" s="3" t="s">
        <v>189</v>
      </c>
      <c r="CJ42" s="1" t="s">
        <v>177</v>
      </c>
      <c r="CK42">
        <v>0.4</v>
      </c>
      <c r="CL42">
        <v>0.1</v>
      </c>
      <c r="CM42">
        <v>0.1</v>
      </c>
      <c r="CN42" s="3" t="s">
        <v>203</v>
      </c>
      <c r="CO42" t="s">
        <v>202</v>
      </c>
      <c r="CP42" s="3" t="s">
        <v>189</v>
      </c>
      <c r="CQ42" s="3" t="s">
        <v>189</v>
      </c>
      <c r="CR42" s="8">
        <v>25.599961199999999</v>
      </c>
      <c r="CS42" s="3" t="s">
        <v>189</v>
      </c>
      <c r="CT42" s="3" t="s">
        <v>189</v>
      </c>
      <c r="CU42" s="3" t="s">
        <v>189</v>
      </c>
      <c r="CV42" t="s">
        <v>212</v>
      </c>
      <c r="CW42" s="3" t="s">
        <v>189</v>
      </c>
      <c r="CX42" s="3" t="s">
        <v>189</v>
      </c>
      <c r="CY42" s="3" t="s">
        <v>189</v>
      </c>
      <c r="CZ42" s="3" t="s">
        <v>189</v>
      </c>
      <c r="DA42" s="3" t="s">
        <v>189</v>
      </c>
      <c r="DB42" s="3" t="s">
        <v>189</v>
      </c>
      <c r="DC42" s="3" t="s">
        <v>189</v>
      </c>
      <c r="DD42" s="3" t="s">
        <v>189</v>
      </c>
      <c r="DE42" s="3" t="s">
        <v>189</v>
      </c>
      <c r="DF42" s="3" t="s">
        <v>189</v>
      </c>
      <c r="DG42" s="3" t="s">
        <v>189</v>
      </c>
      <c r="DH42" s="3" t="s">
        <v>189</v>
      </c>
      <c r="DI42" s="3" t="s">
        <v>189</v>
      </c>
      <c r="DJ42" s="3" t="s">
        <v>189</v>
      </c>
      <c r="DK42" s="3" t="s">
        <v>189</v>
      </c>
      <c r="DL42" s="3" t="s">
        <v>189</v>
      </c>
      <c r="DM42" s="3" t="s">
        <v>189</v>
      </c>
      <c r="DN42" s="3" t="s">
        <v>189</v>
      </c>
      <c r="DO42" s="3" t="s">
        <v>189</v>
      </c>
      <c r="DP42" s="3" t="s">
        <v>189</v>
      </c>
      <c r="DQ42" s="3" t="s">
        <v>189</v>
      </c>
      <c r="DR42" s="3" t="s">
        <v>189</v>
      </c>
      <c r="DS42" s="3" t="s">
        <v>189</v>
      </c>
      <c r="DT42" s="3" t="s">
        <v>189</v>
      </c>
      <c r="DU42" s="3" t="s">
        <v>189</v>
      </c>
      <c r="DV42" s="3" t="s">
        <v>189</v>
      </c>
      <c r="DW42" s="3" t="s">
        <v>189</v>
      </c>
      <c r="DX42" s="3" t="s">
        <v>189</v>
      </c>
      <c r="DY42" s="3" t="s">
        <v>189</v>
      </c>
      <c r="DZ42" s="3" t="s">
        <v>189</v>
      </c>
      <c r="EA42" s="3" t="s">
        <v>189</v>
      </c>
      <c r="EB42" s="3" t="s">
        <v>189</v>
      </c>
      <c r="EC42" s="3" t="s">
        <v>189</v>
      </c>
      <c r="ED42" s="3" t="s">
        <v>189</v>
      </c>
      <c r="EE42" s="3" t="s">
        <v>189</v>
      </c>
      <c r="EF42" s="3" t="s">
        <v>189</v>
      </c>
      <c r="EG42" s="3" t="s">
        <v>189</v>
      </c>
      <c r="EH42" s="3" t="s">
        <v>189</v>
      </c>
      <c r="EI42" s="3" t="s">
        <v>189</v>
      </c>
      <c r="EJ42" s="3" t="s">
        <v>189</v>
      </c>
      <c r="EK42" s="3" t="s">
        <v>189</v>
      </c>
      <c r="EL42" s="3" t="s">
        <v>189</v>
      </c>
      <c r="EM42" s="3" t="s">
        <v>189</v>
      </c>
      <c r="EN42" s="3" t="s">
        <v>189</v>
      </c>
      <c r="EO42" s="3" t="s">
        <v>189</v>
      </c>
      <c r="EP42" s="3" t="s">
        <v>189</v>
      </c>
      <c r="EQ42" s="3" t="s">
        <v>189</v>
      </c>
      <c r="ER42" s="3" t="s">
        <v>189</v>
      </c>
      <c r="ES42" s="3" t="s">
        <v>189</v>
      </c>
      <c r="ET42" s="3" t="s">
        <v>189</v>
      </c>
      <c r="EU42" s="3" t="s">
        <v>189</v>
      </c>
      <c r="EV42" t="s">
        <v>205</v>
      </c>
      <c r="EW42">
        <v>25</v>
      </c>
      <c r="EX42" s="7">
        <v>21.363391848729041</v>
      </c>
      <c r="EY42">
        <v>0.37727053451219561</v>
      </c>
      <c r="EZ42">
        <v>0.37725878127692525</v>
      </c>
      <c r="FA42" s="3" t="s">
        <v>232</v>
      </c>
      <c r="FB42" s="3" t="s">
        <v>233</v>
      </c>
      <c r="FC42" s="3" t="s">
        <v>189</v>
      </c>
      <c r="FD42" s="3" t="s">
        <v>189</v>
      </c>
      <c r="FE42" s="3" t="s">
        <v>189</v>
      </c>
      <c r="FF42" s="3" t="s">
        <v>189</v>
      </c>
      <c r="FG42" s="3" t="s">
        <v>189</v>
      </c>
      <c r="FH42">
        <v>1338.8548283914206</v>
      </c>
      <c r="FI42">
        <v>352.22552616929261</v>
      </c>
      <c r="FJ42">
        <v>352.22552616929261</v>
      </c>
      <c r="FK42" s="3" t="s">
        <v>203</v>
      </c>
      <c r="FL42" s="10" t="s">
        <v>211</v>
      </c>
      <c r="FM42" s="3" t="s">
        <v>206</v>
      </c>
      <c r="FT42" s="3" t="s">
        <v>188</v>
      </c>
      <c r="FU42" s="3" t="s">
        <v>207</v>
      </c>
      <c r="FV42" s="29" t="s">
        <v>304</v>
      </c>
      <c r="FW42" s="7" t="s">
        <v>189</v>
      </c>
      <c r="FX42" s="30" t="s">
        <v>335</v>
      </c>
      <c r="FY42" s="3" t="s">
        <v>204</v>
      </c>
    </row>
    <row r="43" spans="1:181" x14ac:dyDescent="0.15">
      <c r="K43" s="2"/>
      <c r="L43" s="3"/>
      <c r="M43" s="1"/>
      <c r="N43" s="2"/>
      <c r="FX43" s="31"/>
    </row>
    <row r="44" spans="1:181" x14ac:dyDescent="0.15">
      <c r="K44" s="2"/>
      <c r="L44" s="3"/>
      <c r="M44" s="1"/>
      <c r="N44" s="2"/>
      <c r="FX44" s="31"/>
    </row>
  </sheetData>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7"/>
  <sheetViews>
    <sheetView tabSelected="1" workbookViewId="0">
      <selection activeCell="C11" sqref="A1:D182"/>
    </sheetView>
  </sheetViews>
  <sheetFormatPr baseColWidth="10" defaultColWidth="8.83203125" defaultRowHeight="13" x14ac:dyDescent="0.15"/>
  <cols>
    <col min="1" max="1" width="25.6640625" customWidth="1"/>
    <col min="2" max="2" width="5.1640625" bestFit="1" customWidth="1"/>
    <col min="3" max="3" width="45.6640625" bestFit="1" customWidth="1"/>
    <col min="4" max="4" width="52.6640625" customWidth="1"/>
    <col min="5" max="5" width="133.6640625" customWidth="1"/>
    <col min="6" max="6" width="45.6640625" customWidth="1"/>
  </cols>
  <sheetData>
    <row r="1" spans="1:6" x14ac:dyDescent="0.15">
      <c r="A1" s="11" t="s">
        <v>33</v>
      </c>
      <c r="B1" s="11" t="s">
        <v>214</v>
      </c>
      <c r="C1" s="11" t="s">
        <v>215</v>
      </c>
      <c r="D1" s="11" t="s">
        <v>165</v>
      </c>
      <c r="E1" s="1"/>
      <c r="F1" s="1"/>
    </row>
    <row r="2" spans="1:6" x14ac:dyDescent="0.15">
      <c r="A2" s="11" t="s">
        <v>4</v>
      </c>
      <c r="B2" s="3">
        <v>1</v>
      </c>
      <c r="C2" s="22" t="s">
        <v>0</v>
      </c>
      <c r="D2" s="11" t="s">
        <v>166</v>
      </c>
      <c r="E2" s="2"/>
      <c r="F2" s="2"/>
    </row>
    <row r="3" spans="1:6" ht="14" x14ac:dyDescent="0.15">
      <c r="A3" s="11" t="s">
        <v>4</v>
      </c>
      <c r="B3" s="3">
        <v>2</v>
      </c>
      <c r="C3" s="23" t="s">
        <v>1</v>
      </c>
      <c r="D3" s="11" t="s">
        <v>166</v>
      </c>
      <c r="E3" s="2"/>
      <c r="F3" s="2"/>
    </row>
    <row r="4" spans="1:6" ht="14" x14ac:dyDescent="0.15">
      <c r="A4" s="11" t="s">
        <v>4</v>
      </c>
      <c r="B4" s="3">
        <v>3</v>
      </c>
      <c r="C4" s="23" t="s">
        <v>2</v>
      </c>
      <c r="D4" s="11" t="s">
        <v>166</v>
      </c>
      <c r="E4" s="2"/>
      <c r="F4" s="2"/>
    </row>
    <row r="5" spans="1:6" x14ac:dyDescent="0.15">
      <c r="A5" s="11" t="s">
        <v>4</v>
      </c>
      <c r="B5" s="3">
        <v>4</v>
      </c>
      <c r="C5" s="22" t="s">
        <v>3</v>
      </c>
      <c r="D5" s="11" t="s">
        <v>166</v>
      </c>
      <c r="E5" s="2"/>
      <c r="F5" s="2"/>
    </row>
    <row r="6" spans="1:6" x14ac:dyDescent="0.15">
      <c r="A6" s="11" t="s">
        <v>4</v>
      </c>
      <c r="B6" s="3">
        <v>5</v>
      </c>
      <c r="C6" s="22" t="s">
        <v>234</v>
      </c>
      <c r="D6" s="11" t="s">
        <v>166</v>
      </c>
      <c r="E6" s="2"/>
      <c r="F6" s="2"/>
    </row>
    <row r="7" spans="1:6" ht="14" x14ac:dyDescent="0.15">
      <c r="A7" s="11" t="s">
        <v>4</v>
      </c>
      <c r="B7" s="3">
        <v>6</v>
      </c>
      <c r="C7" s="24" t="s">
        <v>235</v>
      </c>
      <c r="D7" s="11" t="s">
        <v>166</v>
      </c>
      <c r="E7" s="1"/>
      <c r="F7" s="1"/>
    </row>
    <row r="8" spans="1:6" ht="14" x14ac:dyDescent="0.15">
      <c r="A8" s="11" t="s">
        <v>4</v>
      </c>
      <c r="B8" s="3">
        <v>7</v>
      </c>
      <c r="C8" s="24" t="s">
        <v>236</v>
      </c>
      <c r="D8" s="11" t="s">
        <v>166</v>
      </c>
      <c r="E8" s="1"/>
      <c r="F8" s="1"/>
    </row>
    <row r="9" spans="1:6" ht="14" x14ac:dyDescent="0.15">
      <c r="A9" s="11" t="s">
        <v>4</v>
      </c>
      <c r="B9" s="3">
        <v>8</v>
      </c>
      <c r="C9" s="23" t="s">
        <v>237</v>
      </c>
      <c r="D9" s="11" t="s">
        <v>166</v>
      </c>
      <c r="E9" s="1"/>
      <c r="F9" s="1"/>
    </row>
    <row r="10" spans="1:6" ht="14" x14ac:dyDescent="0.15">
      <c r="A10" s="11" t="s">
        <v>4</v>
      </c>
      <c r="B10" s="3">
        <v>9</v>
      </c>
      <c r="C10" s="24" t="s">
        <v>238</v>
      </c>
      <c r="D10" s="11" t="s">
        <v>166</v>
      </c>
      <c r="E10" s="1"/>
      <c r="F10" s="1"/>
    </row>
    <row r="11" spans="1:6" ht="14" x14ac:dyDescent="0.15">
      <c r="A11" s="11" t="s">
        <v>4</v>
      </c>
      <c r="B11" s="3">
        <v>10</v>
      </c>
      <c r="C11" s="24" t="s">
        <v>250</v>
      </c>
      <c r="D11" s="11" t="s">
        <v>166</v>
      </c>
      <c r="E11" s="1"/>
      <c r="F11" s="1"/>
    </row>
    <row r="12" spans="1:6" x14ac:dyDescent="0.15">
      <c r="A12" s="11" t="s">
        <v>5</v>
      </c>
      <c r="B12" s="3">
        <v>11</v>
      </c>
      <c r="C12" s="11" t="s">
        <v>26</v>
      </c>
      <c r="D12" s="3"/>
      <c r="E12" s="1"/>
      <c r="F12" s="1"/>
    </row>
    <row r="13" spans="1:6" x14ac:dyDescent="0.15">
      <c r="A13" s="11" t="s">
        <v>5</v>
      </c>
      <c r="B13" s="3">
        <v>12</v>
      </c>
      <c r="C13" s="11" t="s">
        <v>27</v>
      </c>
      <c r="D13" s="3"/>
      <c r="E13" s="1"/>
      <c r="F13" s="1"/>
    </row>
    <row r="14" spans="1:6" x14ac:dyDescent="0.15">
      <c r="A14" s="11" t="s">
        <v>5</v>
      </c>
      <c r="B14" s="3">
        <v>13</v>
      </c>
      <c r="C14" s="11" t="s">
        <v>257</v>
      </c>
      <c r="D14" s="11" t="s">
        <v>216</v>
      </c>
      <c r="E14" s="1"/>
      <c r="F14" s="1"/>
    </row>
    <row r="15" spans="1:6" x14ac:dyDescent="0.15">
      <c r="A15" s="11" t="s">
        <v>5</v>
      </c>
      <c r="B15" s="3">
        <v>14</v>
      </c>
      <c r="C15" s="11" t="s">
        <v>256</v>
      </c>
      <c r="D15" s="11" t="s">
        <v>167</v>
      </c>
      <c r="E15" s="1"/>
      <c r="F15" s="1"/>
    </row>
    <row r="16" spans="1:6" x14ac:dyDescent="0.15">
      <c r="A16" s="11" t="s">
        <v>6</v>
      </c>
      <c r="B16" s="3">
        <v>15</v>
      </c>
      <c r="C16" s="11" t="s">
        <v>28</v>
      </c>
      <c r="D16" s="11" t="s">
        <v>168</v>
      </c>
      <c r="E16" s="1"/>
      <c r="F16" s="1"/>
    </row>
    <row r="17" spans="1:5" x14ac:dyDescent="0.15">
      <c r="A17" s="11" t="s">
        <v>6</v>
      </c>
      <c r="B17" s="3">
        <v>16</v>
      </c>
      <c r="C17" s="11" t="s">
        <v>29</v>
      </c>
      <c r="D17" s="3"/>
      <c r="E17" s="1"/>
    </row>
    <row r="18" spans="1:5" x14ac:dyDescent="0.15">
      <c r="A18" s="11" t="s">
        <v>6</v>
      </c>
      <c r="B18" s="3">
        <v>17</v>
      </c>
      <c r="C18" s="11" t="s">
        <v>30</v>
      </c>
      <c r="D18" s="3"/>
    </row>
    <row r="19" spans="1:5" x14ac:dyDescent="0.15">
      <c r="A19" s="11" t="s">
        <v>6</v>
      </c>
      <c r="B19" s="3">
        <v>18</v>
      </c>
      <c r="C19" s="11" t="s">
        <v>31</v>
      </c>
      <c r="D19" s="3"/>
    </row>
    <row r="20" spans="1:5" x14ac:dyDescent="0.15">
      <c r="A20" s="11" t="s">
        <v>6</v>
      </c>
      <c r="B20" s="3">
        <v>19</v>
      </c>
      <c r="C20" s="11" t="s">
        <v>32</v>
      </c>
      <c r="D20" s="11" t="s">
        <v>169</v>
      </c>
    </row>
    <row r="21" spans="1:5" x14ac:dyDescent="0.15">
      <c r="A21" s="11" t="s">
        <v>6</v>
      </c>
      <c r="B21" s="3">
        <v>20</v>
      </c>
      <c r="C21" s="11" t="s">
        <v>33</v>
      </c>
      <c r="D21" s="3"/>
    </row>
    <row r="22" spans="1:5" x14ac:dyDescent="0.15">
      <c r="A22" s="11" t="s">
        <v>6</v>
      </c>
      <c r="B22" s="3">
        <v>21</v>
      </c>
      <c r="C22" s="11" t="s">
        <v>217</v>
      </c>
      <c r="D22" s="3"/>
    </row>
    <row r="23" spans="1:5" x14ac:dyDescent="0.15">
      <c r="A23" s="11" t="s">
        <v>6</v>
      </c>
      <c r="B23" s="3">
        <v>22</v>
      </c>
      <c r="C23" s="11" t="s">
        <v>243</v>
      </c>
      <c r="D23" s="3"/>
      <c r="E23" s="1"/>
    </row>
    <row r="24" spans="1:5" x14ac:dyDescent="0.15">
      <c r="A24" s="11" t="s">
        <v>6</v>
      </c>
      <c r="B24" s="3">
        <v>23</v>
      </c>
      <c r="C24" s="11" t="s">
        <v>34</v>
      </c>
      <c r="D24" s="3"/>
      <c r="E24" s="1"/>
    </row>
    <row r="25" spans="1:5" x14ac:dyDescent="0.15">
      <c r="A25" s="11" t="s">
        <v>6</v>
      </c>
      <c r="B25" s="3">
        <v>24</v>
      </c>
      <c r="C25" s="11" t="s">
        <v>35</v>
      </c>
      <c r="D25" s="3"/>
      <c r="E25" s="1"/>
    </row>
    <row r="26" spans="1:5" x14ac:dyDescent="0.15">
      <c r="A26" s="11" t="s">
        <v>6</v>
      </c>
      <c r="B26" s="3">
        <v>25</v>
      </c>
      <c r="C26" s="11" t="s">
        <v>36</v>
      </c>
      <c r="D26" s="3"/>
      <c r="E26" s="1"/>
    </row>
    <row r="27" spans="1:5" x14ac:dyDescent="0.15">
      <c r="A27" s="11" t="s">
        <v>6</v>
      </c>
      <c r="B27" s="3">
        <v>26</v>
      </c>
      <c r="C27" s="11" t="s">
        <v>37</v>
      </c>
      <c r="D27" s="3"/>
    </row>
    <row r="28" spans="1:5" x14ac:dyDescent="0.15">
      <c r="A28" s="11" t="s">
        <v>6</v>
      </c>
      <c r="B28" s="3">
        <v>27</v>
      </c>
      <c r="C28" s="11" t="s">
        <v>38</v>
      </c>
      <c r="D28" s="11" t="s">
        <v>170</v>
      </c>
    </row>
    <row r="29" spans="1:5" x14ac:dyDescent="0.15">
      <c r="A29" s="11" t="s">
        <v>7</v>
      </c>
      <c r="B29" s="3">
        <v>28</v>
      </c>
      <c r="C29" s="11" t="s">
        <v>39</v>
      </c>
      <c r="D29" s="3"/>
    </row>
    <row r="30" spans="1:5" x14ac:dyDescent="0.15">
      <c r="A30" s="11" t="s">
        <v>7</v>
      </c>
      <c r="B30" s="3">
        <v>29</v>
      </c>
      <c r="C30" s="11" t="s">
        <v>21</v>
      </c>
      <c r="D30" s="3"/>
      <c r="E30" s="1"/>
    </row>
    <row r="31" spans="1:5" x14ac:dyDescent="0.15">
      <c r="A31" s="11" t="s">
        <v>7</v>
      </c>
      <c r="B31" s="3">
        <v>30</v>
      </c>
      <c r="C31" s="11" t="s">
        <v>22</v>
      </c>
      <c r="D31" s="3"/>
    </row>
    <row r="32" spans="1:5" x14ac:dyDescent="0.15">
      <c r="A32" s="11" t="s">
        <v>7</v>
      </c>
      <c r="B32" s="3">
        <v>31</v>
      </c>
      <c r="C32" s="11" t="s">
        <v>40</v>
      </c>
      <c r="D32" s="11" t="s">
        <v>171</v>
      </c>
    </row>
    <row r="33" spans="1:5" x14ac:dyDescent="0.15">
      <c r="A33" s="11" t="s">
        <v>7</v>
      </c>
      <c r="B33" s="3">
        <v>32</v>
      </c>
      <c r="C33" s="11" t="s">
        <v>41</v>
      </c>
      <c r="D33" s="3"/>
    </row>
    <row r="34" spans="1:5" x14ac:dyDescent="0.15">
      <c r="A34" s="11" t="s">
        <v>7</v>
      </c>
      <c r="B34" s="3">
        <v>33</v>
      </c>
      <c r="C34" s="11" t="s">
        <v>42</v>
      </c>
      <c r="D34" s="3" t="s">
        <v>218</v>
      </c>
    </row>
    <row r="35" spans="1:5" x14ac:dyDescent="0.15">
      <c r="A35" s="11" t="s">
        <v>8</v>
      </c>
      <c r="B35" s="3">
        <v>34</v>
      </c>
      <c r="C35" s="11" t="s">
        <v>258</v>
      </c>
      <c r="D35" s="11" t="s">
        <v>259</v>
      </c>
    </row>
    <row r="36" spans="1:5" x14ac:dyDescent="0.15">
      <c r="A36" s="11" t="s">
        <v>8</v>
      </c>
      <c r="B36" s="3">
        <v>35</v>
      </c>
      <c r="C36" s="11" t="s">
        <v>260</v>
      </c>
      <c r="D36" s="11" t="s">
        <v>261</v>
      </c>
    </row>
    <row r="37" spans="1:5" x14ac:dyDescent="0.15">
      <c r="A37" s="11" t="s">
        <v>8</v>
      </c>
      <c r="B37" s="3">
        <v>36</v>
      </c>
      <c r="C37" s="11" t="s">
        <v>43</v>
      </c>
      <c r="D37" s="11" t="s">
        <v>172</v>
      </c>
    </row>
    <row r="38" spans="1:5" x14ac:dyDescent="0.15">
      <c r="A38" s="11" t="s">
        <v>8</v>
      </c>
      <c r="B38" s="3">
        <v>37</v>
      </c>
      <c r="C38" s="11" t="s">
        <v>262</v>
      </c>
      <c r="D38" s="3"/>
      <c r="E38" s="1"/>
    </row>
    <row r="39" spans="1:5" x14ac:dyDescent="0.15">
      <c r="A39" s="11" t="s">
        <v>8</v>
      </c>
      <c r="B39" s="3">
        <v>38</v>
      </c>
      <c r="C39" s="11" t="s">
        <v>263</v>
      </c>
      <c r="D39" s="3"/>
    </row>
    <row r="40" spans="1:5" x14ac:dyDescent="0.15">
      <c r="A40" s="11" t="s">
        <v>8</v>
      </c>
      <c r="B40" s="3">
        <v>39</v>
      </c>
      <c r="C40" s="11" t="s">
        <v>44</v>
      </c>
      <c r="D40" s="11" t="s">
        <v>172</v>
      </c>
    </row>
    <row r="41" spans="1:5" x14ac:dyDescent="0.15">
      <c r="A41" s="11" t="s">
        <v>8</v>
      </c>
      <c r="B41" s="3">
        <v>40</v>
      </c>
      <c r="C41" s="11" t="s">
        <v>45</v>
      </c>
      <c r="D41" s="3"/>
    </row>
    <row r="42" spans="1:5" x14ac:dyDescent="0.15">
      <c r="A42" s="11" t="s">
        <v>8</v>
      </c>
      <c r="B42" s="3">
        <v>41</v>
      </c>
      <c r="C42" s="11" t="s">
        <v>46</v>
      </c>
      <c r="D42" s="3" t="s">
        <v>219</v>
      </c>
      <c r="E42" s="1"/>
    </row>
    <row r="43" spans="1:5" x14ac:dyDescent="0.15">
      <c r="A43" s="11" t="s">
        <v>9</v>
      </c>
      <c r="B43" s="3">
        <v>42</v>
      </c>
      <c r="C43" s="11" t="s">
        <v>9</v>
      </c>
      <c r="D43" s="3"/>
    </row>
    <row r="44" spans="1:5" x14ac:dyDescent="0.15">
      <c r="A44" s="11" t="s">
        <v>9</v>
      </c>
      <c r="B44" s="3">
        <v>43</v>
      </c>
      <c r="C44" s="11" t="s">
        <v>47</v>
      </c>
      <c r="D44" s="3"/>
    </row>
    <row r="45" spans="1:5" x14ac:dyDescent="0.15">
      <c r="A45" s="11" t="s">
        <v>9</v>
      </c>
      <c r="B45" s="3">
        <v>44</v>
      </c>
      <c r="C45" s="11" t="s">
        <v>48</v>
      </c>
      <c r="D45" s="3"/>
      <c r="E45" s="1"/>
    </row>
    <row r="46" spans="1:5" x14ac:dyDescent="0.15">
      <c r="A46" s="11" t="s">
        <v>9</v>
      </c>
      <c r="B46" s="3">
        <v>45</v>
      </c>
      <c r="C46" s="11" t="s">
        <v>49</v>
      </c>
      <c r="D46" s="3"/>
      <c r="E46" s="1"/>
    </row>
    <row r="47" spans="1:5" x14ac:dyDescent="0.15">
      <c r="A47" s="11" t="s">
        <v>9</v>
      </c>
      <c r="B47" s="3">
        <v>46</v>
      </c>
      <c r="C47" s="11" t="s">
        <v>50</v>
      </c>
      <c r="D47" s="3"/>
      <c r="E47" s="1"/>
    </row>
    <row r="48" spans="1:5" x14ac:dyDescent="0.15">
      <c r="A48" s="11" t="s">
        <v>9</v>
      </c>
      <c r="B48" s="3">
        <v>47</v>
      </c>
      <c r="C48" s="11" t="s">
        <v>51</v>
      </c>
      <c r="D48" s="3"/>
    </row>
    <row r="49" spans="1:5" x14ac:dyDescent="0.15">
      <c r="A49" s="11" t="s">
        <v>9</v>
      </c>
      <c r="B49" s="3">
        <v>48</v>
      </c>
      <c r="C49" s="11" t="s">
        <v>52</v>
      </c>
      <c r="D49" s="3"/>
    </row>
    <row r="50" spans="1:5" x14ac:dyDescent="0.15">
      <c r="A50" s="11" t="s">
        <v>9</v>
      </c>
      <c r="B50" s="3">
        <v>49</v>
      </c>
      <c r="C50" s="11" t="s">
        <v>53</v>
      </c>
      <c r="D50" s="3"/>
      <c r="E50" s="1"/>
    </row>
    <row r="51" spans="1:5" x14ac:dyDescent="0.15">
      <c r="A51" s="11" t="s">
        <v>10</v>
      </c>
      <c r="B51" s="3">
        <v>50</v>
      </c>
      <c r="C51" s="11" t="s">
        <v>54</v>
      </c>
      <c r="D51" s="3"/>
    </row>
    <row r="52" spans="1:5" x14ac:dyDescent="0.15">
      <c r="A52" s="11" t="s">
        <v>10</v>
      </c>
      <c r="B52" s="3">
        <v>51</v>
      </c>
      <c r="C52" s="11" t="s">
        <v>55</v>
      </c>
      <c r="D52" s="3"/>
    </row>
    <row r="53" spans="1:5" x14ac:dyDescent="0.15">
      <c r="A53" s="11" t="s">
        <v>10</v>
      </c>
      <c r="B53" s="3">
        <v>52</v>
      </c>
      <c r="C53" s="11" t="s">
        <v>56</v>
      </c>
      <c r="D53" s="11" t="s">
        <v>171</v>
      </c>
    </row>
    <row r="54" spans="1:5" x14ac:dyDescent="0.15">
      <c r="A54" s="11" t="s">
        <v>10</v>
      </c>
      <c r="B54" s="3">
        <v>53</v>
      </c>
      <c r="C54" s="11" t="s">
        <v>57</v>
      </c>
      <c r="D54" s="11" t="s">
        <v>173</v>
      </c>
    </row>
    <row r="55" spans="1:5" x14ac:dyDescent="0.15">
      <c r="A55" s="11" t="s">
        <v>10</v>
      </c>
      <c r="B55" s="3">
        <v>54</v>
      </c>
      <c r="C55" s="11" t="s">
        <v>58</v>
      </c>
      <c r="D55" s="3"/>
    </row>
    <row r="56" spans="1:5" x14ac:dyDescent="0.15">
      <c r="A56" s="11" t="s">
        <v>10</v>
      </c>
      <c r="B56" s="3">
        <v>55</v>
      </c>
      <c r="C56" s="11" t="s">
        <v>59</v>
      </c>
      <c r="D56" s="3"/>
    </row>
    <row r="57" spans="1:5" x14ac:dyDescent="0.15">
      <c r="A57" s="11" t="s">
        <v>10</v>
      </c>
      <c r="B57" s="3">
        <v>56</v>
      </c>
      <c r="C57" s="11" t="s">
        <v>60</v>
      </c>
      <c r="D57" s="11" t="s">
        <v>171</v>
      </c>
    </row>
    <row r="58" spans="1:5" x14ac:dyDescent="0.15">
      <c r="A58" s="11" t="s">
        <v>10</v>
      </c>
      <c r="B58" s="3">
        <v>57</v>
      </c>
      <c r="C58" s="11" t="s">
        <v>61</v>
      </c>
      <c r="D58" s="11" t="s">
        <v>173</v>
      </c>
    </row>
    <row r="59" spans="1:5" x14ac:dyDescent="0.15">
      <c r="A59" s="11" t="s">
        <v>10</v>
      </c>
      <c r="B59" s="3">
        <v>58</v>
      </c>
      <c r="C59" s="11" t="s">
        <v>62</v>
      </c>
      <c r="D59" s="11" t="s">
        <v>174</v>
      </c>
    </row>
    <row r="60" spans="1:5" x14ac:dyDescent="0.15">
      <c r="A60" s="11" t="s">
        <v>10</v>
      </c>
      <c r="B60" s="3">
        <v>59</v>
      </c>
      <c r="C60" s="11" t="s">
        <v>63</v>
      </c>
      <c r="D60" s="11" t="s">
        <v>175</v>
      </c>
    </row>
    <row r="61" spans="1:5" x14ac:dyDescent="0.15">
      <c r="A61" s="11" t="s">
        <v>10</v>
      </c>
      <c r="B61" s="3">
        <v>60</v>
      </c>
      <c r="C61" s="11" t="s">
        <v>64</v>
      </c>
      <c r="D61" s="3"/>
    </row>
    <row r="62" spans="1:5" x14ac:dyDescent="0.15">
      <c r="A62" s="11" t="s">
        <v>10</v>
      </c>
      <c r="B62" s="3">
        <v>61</v>
      </c>
      <c r="C62" s="11" t="s">
        <v>65</v>
      </c>
      <c r="D62" s="3"/>
    </row>
    <row r="63" spans="1:5" x14ac:dyDescent="0.15">
      <c r="A63" s="11" t="s">
        <v>10</v>
      </c>
      <c r="B63" s="3">
        <v>62</v>
      </c>
      <c r="C63" s="11" t="s">
        <v>66</v>
      </c>
      <c r="D63" s="3"/>
      <c r="E63" s="1"/>
    </row>
    <row r="64" spans="1:5" x14ac:dyDescent="0.15">
      <c r="A64" s="11" t="s">
        <v>10</v>
      </c>
      <c r="B64" s="3">
        <v>63</v>
      </c>
      <c r="C64" s="11" t="s">
        <v>67</v>
      </c>
      <c r="D64" s="11" t="s">
        <v>171</v>
      </c>
      <c r="E64" s="1"/>
    </row>
    <row r="65" spans="1:5" x14ac:dyDescent="0.15">
      <c r="A65" s="11" t="s">
        <v>10</v>
      </c>
      <c r="B65" s="3">
        <v>64</v>
      </c>
      <c r="C65" s="11" t="s">
        <v>68</v>
      </c>
      <c r="D65" s="3"/>
    </row>
    <row r="66" spans="1:5" x14ac:dyDescent="0.15">
      <c r="A66" s="11" t="s">
        <v>10</v>
      </c>
      <c r="B66" s="3">
        <v>65</v>
      </c>
      <c r="C66" s="11" t="s">
        <v>69</v>
      </c>
      <c r="D66" s="3"/>
    </row>
    <row r="67" spans="1:5" x14ac:dyDescent="0.15">
      <c r="A67" s="11" t="s">
        <v>10</v>
      </c>
      <c r="B67" s="3">
        <v>66</v>
      </c>
      <c r="C67" s="11" t="s">
        <v>70</v>
      </c>
      <c r="D67" s="3"/>
      <c r="E67" s="1"/>
    </row>
    <row r="68" spans="1:5" x14ac:dyDescent="0.15">
      <c r="A68" s="11" t="s">
        <v>10</v>
      </c>
      <c r="B68" s="3">
        <v>67</v>
      </c>
      <c r="C68" s="11" t="s">
        <v>71</v>
      </c>
      <c r="D68" s="3"/>
      <c r="E68" s="1"/>
    </row>
    <row r="69" spans="1:5" x14ac:dyDescent="0.15">
      <c r="A69" s="11" t="s">
        <v>10</v>
      </c>
      <c r="B69" s="3">
        <v>68</v>
      </c>
      <c r="C69" s="11" t="s">
        <v>241</v>
      </c>
      <c r="D69" s="3"/>
      <c r="E69" s="1"/>
    </row>
    <row r="70" spans="1:5" x14ac:dyDescent="0.15">
      <c r="A70" s="11" t="s">
        <v>10</v>
      </c>
      <c r="B70" s="3">
        <v>69</v>
      </c>
      <c r="C70" s="11" t="s">
        <v>242</v>
      </c>
      <c r="D70" s="3"/>
      <c r="E70" s="1"/>
    </row>
    <row r="71" spans="1:5" x14ac:dyDescent="0.15">
      <c r="A71" s="11" t="s">
        <v>10</v>
      </c>
      <c r="B71" s="3">
        <v>70</v>
      </c>
      <c r="C71" s="11" t="s">
        <v>72</v>
      </c>
      <c r="D71" s="3"/>
    </row>
    <row r="72" spans="1:5" x14ac:dyDescent="0.15">
      <c r="A72" s="11" t="s">
        <v>10</v>
      </c>
      <c r="B72" s="3">
        <v>71</v>
      </c>
      <c r="C72" s="11" t="s">
        <v>73</v>
      </c>
      <c r="D72" s="3"/>
    </row>
    <row r="73" spans="1:5" x14ac:dyDescent="0.15">
      <c r="A73" s="11" t="s">
        <v>11</v>
      </c>
      <c r="B73" s="3">
        <v>72</v>
      </c>
      <c r="C73" s="11" t="s">
        <v>74</v>
      </c>
      <c r="D73" s="3"/>
    </row>
    <row r="74" spans="1:5" x14ac:dyDescent="0.15">
      <c r="A74" s="11" t="s">
        <v>11</v>
      </c>
      <c r="B74" s="3">
        <v>73</v>
      </c>
      <c r="C74" s="11" t="s">
        <v>75</v>
      </c>
      <c r="D74" s="3" t="s">
        <v>220</v>
      </c>
      <c r="E74" s="1"/>
    </row>
    <row r="75" spans="1:5" x14ac:dyDescent="0.15">
      <c r="A75" s="11" t="s">
        <v>11</v>
      </c>
      <c r="B75" s="3">
        <v>74</v>
      </c>
      <c r="C75" s="11" t="s">
        <v>76</v>
      </c>
      <c r="D75" s="3"/>
    </row>
    <row r="76" spans="1:5" x14ac:dyDescent="0.15">
      <c r="A76" s="11" t="s">
        <v>11</v>
      </c>
      <c r="B76" s="3">
        <v>75</v>
      </c>
      <c r="C76" s="11" t="s">
        <v>179</v>
      </c>
      <c r="D76" s="3"/>
    </row>
    <row r="77" spans="1:5" x14ac:dyDescent="0.15">
      <c r="A77" s="11" t="s">
        <v>11</v>
      </c>
      <c r="B77" s="3">
        <v>76</v>
      </c>
      <c r="C77" s="11" t="s">
        <v>77</v>
      </c>
      <c r="D77" s="11" t="s">
        <v>171</v>
      </c>
    </row>
    <row r="78" spans="1:5" x14ac:dyDescent="0.15">
      <c r="A78" s="11" t="s">
        <v>11</v>
      </c>
      <c r="B78" s="3">
        <v>77</v>
      </c>
      <c r="C78" s="11" t="s">
        <v>78</v>
      </c>
      <c r="D78" s="3"/>
    </row>
    <row r="79" spans="1:5" x14ac:dyDescent="0.15">
      <c r="A79" s="11" t="s">
        <v>11</v>
      </c>
      <c r="B79" s="3">
        <v>78</v>
      </c>
      <c r="C79" s="11" t="s">
        <v>79</v>
      </c>
      <c r="D79" s="3"/>
    </row>
    <row r="80" spans="1:5" x14ac:dyDescent="0.15">
      <c r="A80" s="11" t="s">
        <v>11</v>
      </c>
      <c r="B80" s="3">
        <v>79</v>
      </c>
      <c r="C80" s="11" t="s">
        <v>80</v>
      </c>
      <c r="D80" s="11" t="s">
        <v>171</v>
      </c>
    </row>
    <row r="81" spans="1:6" x14ac:dyDescent="0.15">
      <c r="A81" s="11" t="s">
        <v>11</v>
      </c>
      <c r="B81" s="3">
        <v>80</v>
      </c>
      <c r="C81" s="11" t="s">
        <v>81</v>
      </c>
      <c r="D81" s="3"/>
    </row>
    <row r="82" spans="1:6" x14ac:dyDescent="0.15">
      <c r="A82" s="11" t="s">
        <v>11</v>
      </c>
      <c r="B82" s="3">
        <v>81</v>
      </c>
      <c r="C82" s="11" t="s">
        <v>82</v>
      </c>
      <c r="D82" s="3"/>
      <c r="E82" s="2"/>
    </row>
    <row r="83" spans="1:6" x14ac:dyDescent="0.15">
      <c r="A83" s="11" t="s">
        <v>11</v>
      </c>
      <c r="B83" s="3">
        <v>82</v>
      </c>
      <c r="C83" s="11" t="s">
        <v>83</v>
      </c>
      <c r="D83" s="11" t="s">
        <v>171</v>
      </c>
    </row>
    <row r="84" spans="1:6" x14ac:dyDescent="0.15">
      <c r="A84" s="11" t="s">
        <v>11</v>
      </c>
      <c r="B84" s="3">
        <v>83</v>
      </c>
      <c r="C84" s="11" t="s">
        <v>84</v>
      </c>
      <c r="D84" s="3"/>
    </row>
    <row r="85" spans="1:6" x14ac:dyDescent="0.15">
      <c r="A85" s="11" t="s">
        <v>11</v>
      </c>
      <c r="B85" s="3">
        <v>84</v>
      </c>
      <c r="C85" s="11" t="s">
        <v>85</v>
      </c>
      <c r="D85" s="3"/>
      <c r="E85" s="1"/>
    </row>
    <row r="86" spans="1:6" x14ac:dyDescent="0.15">
      <c r="A86" s="11" t="s">
        <v>12</v>
      </c>
      <c r="B86" s="3">
        <v>85</v>
      </c>
      <c r="C86" s="11" t="s">
        <v>86</v>
      </c>
      <c r="D86" s="3"/>
    </row>
    <row r="87" spans="1:6" x14ac:dyDescent="0.15">
      <c r="A87" s="11" t="s">
        <v>12</v>
      </c>
      <c r="B87" s="3">
        <v>86</v>
      </c>
      <c r="C87" s="11" t="s">
        <v>87</v>
      </c>
      <c r="D87" s="3"/>
    </row>
    <row r="88" spans="1:6" x14ac:dyDescent="0.15">
      <c r="A88" s="11" t="s">
        <v>12</v>
      </c>
      <c r="B88" s="3">
        <v>87</v>
      </c>
      <c r="C88" s="11" t="s">
        <v>88</v>
      </c>
      <c r="D88" s="3"/>
      <c r="E88" s="1"/>
    </row>
    <row r="89" spans="1:6" x14ac:dyDescent="0.15">
      <c r="A89" s="11" t="s">
        <v>12</v>
      </c>
      <c r="B89" s="3">
        <v>88</v>
      </c>
      <c r="C89" s="11" t="s">
        <v>89</v>
      </c>
      <c r="D89" s="3"/>
    </row>
    <row r="90" spans="1:6" x14ac:dyDescent="0.15">
      <c r="A90" s="11" t="s">
        <v>12</v>
      </c>
      <c r="B90" s="3">
        <v>89</v>
      </c>
      <c r="C90" s="11" t="s">
        <v>90</v>
      </c>
      <c r="D90" s="3"/>
    </row>
    <row r="91" spans="1:6" x14ac:dyDescent="0.15">
      <c r="A91" s="11" t="s">
        <v>12</v>
      </c>
      <c r="B91" s="3">
        <v>90</v>
      </c>
      <c r="C91" s="11" t="s">
        <v>192</v>
      </c>
      <c r="D91" s="3"/>
      <c r="E91" s="1"/>
    </row>
    <row r="92" spans="1:6" x14ac:dyDescent="0.15">
      <c r="A92" s="11" t="s">
        <v>12</v>
      </c>
      <c r="B92" s="3">
        <v>91</v>
      </c>
      <c r="C92" s="11" t="s">
        <v>193</v>
      </c>
      <c r="D92" s="3"/>
      <c r="F92" s="1"/>
    </row>
    <row r="93" spans="1:6" x14ac:dyDescent="0.15">
      <c r="A93" s="11" t="s">
        <v>12</v>
      </c>
      <c r="B93" s="3">
        <v>92</v>
      </c>
      <c r="C93" s="11" t="s">
        <v>91</v>
      </c>
      <c r="D93" s="11" t="s">
        <v>171</v>
      </c>
      <c r="F93" s="1"/>
    </row>
    <row r="94" spans="1:6" x14ac:dyDescent="0.15">
      <c r="A94" s="11" t="s">
        <v>12</v>
      </c>
      <c r="B94" s="3">
        <v>93</v>
      </c>
      <c r="C94" s="11" t="s">
        <v>92</v>
      </c>
      <c r="D94" s="3"/>
      <c r="E94" s="1"/>
      <c r="F94" s="1"/>
    </row>
    <row r="95" spans="1:6" x14ac:dyDescent="0.15">
      <c r="A95" s="11" t="s">
        <v>12</v>
      </c>
      <c r="B95" s="3">
        <v>94</v>
      </c>
      <c r="C95" s="11" t="s">
        <v>93</v>
      </c>
      <c r="D95" s="11"/>
    </row>
    <row r="96" spans="1:6" x14ac:dyDescent="0.15">
      <c r="A96" s="11" t="s">
        <v>12</v>
      </c>
      <c r="B96" s="3">
        <v>95</v>
      </c>
      <c r="C96" s="11" t="s">
        <v>94</v>
      </c>
      <c r="D96" s="3"/>
    </row>
    <row r="97" spans="1:5" x14ac:dyDescent="0.15">
      <c r="A97" s="11" t="s">
        <v>13</v>
      </c>
      <c r="B97" s="3">
        <v>96</v>
      </c>
      <c r="C97" s="11" t="s">
        <v>95</v>
      </c>
      <c r="D97" s="11" t="s">
        <v>221</v>
      </c>
    </row>
    <row r="98" spans="1:5" x14ac:dyDescent="0.15">
      <c r="A98" s="11" t="s">
        <v>13</v>
      </c>
      <c r="B98" s="3">
        <v>97</v>
      </c>
      <c r="C98" s="11" t="s">
        <v>96</v>
      </c>
      <c r="D98" s="3"/>
    </row>
    <row r="99" spans="1:5" x14ac:dyDescent="0.15">
      <c r="A99" s="11" t="s">
        <v>13</v>
      </c>
      <c r="B99" s="3">
        <v>98</v>
      </c>
      <c r="C99" s="11" t="s">
        <v>97</v>
      </c>
      <c r="D99" s="3"/>
    </row>
    <row r="100" spans="1:5" x14ac:dyDescent="0.15">
      <c r="A100" s="11" t="s">
        <v>13</v>
      </c>
      <c r="B100" s="3">
        <v>99</v>
      </c>
      <c r="C100" s="11" t="s">
        <v>98</v>
      </c>
      <c r="D100" s="11" t="s">
        <v>171</v>
      </c>
    </row>
    <row r="101" spans="1:5" x14ac:dyDescent="0.15">
      <c r="A101" s="11" t="s">
        <v>13</v>
      </c>
      <c r="B101" s="3">
        <v>100</v>
      </c>
      <c r="C101" s="11" t="s">
        <v>99</v>
      </c>
      <c r="D101" s="3"/>
    </row>
    <row r="102" spans="1:5" x14ac:dyDescent="0.15">
      <c r="A102" s="11" t="s">
        <v>13</v>
      </c>
      <c r="B102" s="3">
        <v>101</v>
      </c>
      <c r="C102" s="11" t="s">
        <v>100</v>
      </c>
      <c r="D102" s="11"/>
    </row>
    <row r="103" spans="1:5" x14ac:dyDescent="0.15">
      <c r="A103" s="11" t="s">
        <v>13</v>
      </c>
      <c r="B103" s="3">
        <v>102</v>
      </c>
      <c r="C103" s="11" t="s">
        <v>101</v>
      </c>
      <c r="D103" s="11"/>
    </row>
    <row r="104" spans="1:5" x14ac:dyDescent="0.15">
      <c r="A104" s="11" t="s">
        <v>13</v>
      </c>
      <c r="B104" s="3">
        <v>103</v>
      </c>
      <c r="C104" s="11" t="s">
        <v>102</v>
      </c>
      <c r="D104" s="3"/>
      <c r="E104" s="1"/>
    </row>
    <row r="105" spans="1:5" x14ac:dyDescent="0.15">
      <c r="A105" s="11" t="s">
        <v>13</v>
      </c>
      <c r="B105" s="3">
        <v>104</v>
      </c>
      <c r="C105" s="11" t="s">
        <v>103</v>
      </c>
      <c r="D105" s="3"/>
    </row>
    <row r="106" spans="1:5" x14ac:dyDescent="0.15">
      <c r="A106" s="11" t="s">
        <v>13</v>
      </c>
      <c r="B106" s="3">
        <v>105</v>
      </c>
      <c r="C106" s="11" t="s">
        <v>104</v>
      </c>
      <c r="D106" s="3"/>
      <c r="E106" s="1"/>
    </row>
    <row r="107" spans="1:5" x14ac:dyDescent="0.15">
      <c r="A107" s="11" t="s">
        <v>13</v>
      </c>
      <c r="B107" s="3">
        <v>106</v>
      </c>
      <c r="C107" s="11" t="s">
        <v>105</v>
      </c>
      <c r="D107" s="3"/>
    </row>
    <row r="108" spans="1:5" x14ac:dyDescent="0.15">
      <c r="A108" s="11" t="s">
        <v>13</v>
      </c>
      <c r="B108" s="3">
        <v>107</v>
      </c>
      <c r="C108" s="11" t="s">
        <v>106</v>
      </c>
      <c r="D108" s="3"/>
      <c r="E108" s="1"/>
    </row>
    <row r="109" spans="1:5" x14ac:dyDescent="0.15">
      <c r="A109" s="11" t="s">
        <v>13</v>
      </c>
      <c r="B109" s="3">
        <v>108</v>
      </c>
      <c r="C109" s="11" t="s">
        <v>107</v>
      </c>
      <c r="D109" s="3" t="s">
        <v>222</v>
      </c>
    </row>
    <row r="110" spans="1:5" x14ac:dyDescent="0.15">
      <c r="A110" s="11" t="s">
        <v>13</v>
      </c>
      <c r="B110" s="3">
        <v>109</v>
      </c>
      <c r="C110" s="11" t="s">
        <v>108</v>
      </c>
      <c r="D110" s="3"/>
    </row>
    <row r="111" spans="1:5" x14ac:dyDescent="0.15">
      <c r="A111" s="11" t="s">
        <v>13</v>
      </c>
      <c r="B111" s="3">
        <v>110</v>
      </c>
      <c r="C111" s="11" t="s">
        <v>109</v>
      </c>
      <c r="D111" s="3"/>
      <c r="E111" s="1"/>
    </row>
    <row r="112" spans="1:5" x14ac:dyDescent="0.15">
      <c r="A112" s="11" t="s">
        <v>13</v>
      </c>
      <c r="B112" s="3">
        <v>111</v>
      </c>
      <c r="C112" s="11" t="s">
        <v>110</v>
      </c>
      <c r="D112" s="3"/>
    </row>
    <row r="113" spans="1:5" x14ac:dyDescent="0.15">
      <c r="A113" s="11" t="s">
        <v>13</v>
      </c>
      <c r="B113" s="3">
        <v>112</v>
      </c>
      <c r="C113" s="11" t="s">
        <v>111</v>
      </c>
      <c r="D113" s="11" t="s">
        <v>171</v>
      </c>
      <c r="E113" s="1"/>
    </row>
    <row r="114" spans="1:5" x14ac:dyDescent="0.15">
      <c r="A114" s="11" t="s">
        <v>13</v>
      </c>
      <c r="B114" s="3">
        <v>113</v>
      </c>
      <c r="C114" s="11" t="s">
        <v>112</v>
      </c>
      <c r="D114" s="3"/>
      <c r="E114" s="1"/>
    </row>
    <row r="115" spans="1:5" x14ac:dyDescent="0.15">
      <c r="A115" s="11" t="s">
        <v>13</v>
      </c>
      <c r="B115" s="3">
        <v>114</v>
      </c>
      <c r="C115" s="11" t="s">
        <v>113</v>
      </c>
      <c r="D115" s="3"/>
    </row>
    <row r="116" spans="1:5" x14ac:dyDescent="0.15">
      <c r="A116" s="11" t="s">
        <v>13</v>
      </c>
      <c r="B116" s="3">
        <v>115</v>
      </c>
      <c r="C116" s="11" t="s">
        <v>114</v>
      </c>
      <c r="D116" s="3"/>
    </row>
    <row r="117" spans="1:5" x14ac:dyDescent="0.15">
      <c r="A117" s="11" t="s">
        <v>13</v>
      </c>
      <c r="B117" s="3">
        <v>116</v>
      </c>
      <c r="C117" s="11" t="s">
        <v>115</v>
      </c>
      <c r="D117" s="11" t="s">
        <v>171</v>
      </c>
    </row>
    <row r="118" spans="1:5" x14ac:dyDescent="0.15">
      <c r="A118" s="11" t="s">
        <v>13</v>
      </c>
      <c r="B118" s="3">
        <v>117</v>
      </c>
      <c r="C118" s="11" t="s">
        <v>116</v>
      </c>
      <c r="D118" s="3"/>
    </row>
    <row r="119" spans="1:5" x14ac:dyDescent="0.15">
      <c r="A119" s="11" t="s">
        <v>14</v>
      </c>
      <c r="B119" s="3">
        <v>118</v>
      </c>
      <c r="C119" s="11" t="s">
        <v>14</v>
      </c>
      <c r="D119" s="3"/>
    </row>
    <row r="120" spans="1:5" x14ac:dyDescent="0.15">
      <c r="A120" s="11" t="s">
        <v>14</v>
      </c>
      <c r="B120" s="3">
        <v>119</v>
      </c>
      <c r="C120" s="11" t="s">
        <v>117</v>
      </c>
      <c r="D120" s="3"/>
    </row>
    <row r="121" spans="1:5" x14ac:dyDescent="0.15">
      <c r="A121" s="11" t="s">
        <v>14</v>
      </c>
      <c r="B121" s="3">
        <v>120</v>
      </c>
      <c r="C121" s="11" t="s">
        <v>118</v>
      </c>
      <c r="D121" s="3"/>
    </row>
    <row r="122" spans="1:5" x14ac:dyDescent="0.15">
      <c r="A122" s="11" t="s">
        <v>14</v>
      </c>
      <c r="B122" s="3">
        <v>121</v>
      </c>
      <c r="C122" s="11" t="s">
        <v>119</v>
      </c>
      <c r="D122" s="3"/>
    </row>
    <row r="123" spans="1:5" x14ac:dyDescent="0.15">
      <c r="A123" s="11" t="s">
        <v>14</v>
      </c>
      <c r="B123" s="3">
        <v>122</v>
      </c>
      <c r="C123" s="11" t="s">
        <v>120</v>
      </c>
      <c r="D123" s="3" t="s">
        <v>223</v>
      </c>
    </row>
    <row r="124" spans="1:5" x14ac:dyDescent="0.15">
      <c r="A124" s="11" t="s">
        <v>15</v>
      </c>
      <c r="B124" s="3">
        <v>123</v>
      </c>
      <c r="C124" s="11" t="s">
        <v>121</v>
      </c>
      <c r="D124" s="3"/>
      <c r="E124" s="1"/>
    </row>
    <row r="125" spans="1:5" x14ac:dyDescent="0.15">
      <c r="A125" s="11" t="s">
        <v>15</v>
      </c>
      <c r="B125" s="3">
        <v>124</v>
      </c>
      <c r="C125" s="11" t="s">
        <v>122</v>
      </c>
      <c r="D125" s="3"/>
    </row>
    <row r="126" spans="1:5" x14ac:dyDescent="0.15">
      <c r="A126" s="11" t="s">
        <v>15</v>
      </c>
      <c r="B126" s="3">
        <v>125</v>
      </c>
      <c r="C126" s="11" t="s">
        <v>123</v>
      </c>
      <c r="D126" s="3"/>
    </row>
    <row r="127" spans="1:5" x14ac:dyDescent="0.15">
      <c r="A127" s="11" t="s">
        <v>15</v>
      </c>
      <c r="B127" s="3">
        <v>126</v>
      </c>
      <c r="C127" s="11" t="s">
        <v>124</v>
      </c>
      <c r="D127" s="3"/>
    </row>
    <row r="128" spans="1:5" x14ac:dyDescent="0.15">
      <c r="A128" s="11" t="s">
        <v>15</v>
      </c>
      <c r="B128" s="3">
        <v>127</v>
      </c>
      <c r="C128" s="11" t="s">
        <v>125</v>
      </c>
      <c r="D128" s="3"/>
      <c r="E128" s="1"/>
    </row>
    <row r="129" spans="1:5" x14ac:dyDescent="0.15">
      <c r="A129" s="11" t="s">
        <v>15</v>
      </c>
      <c r="B129" s="3">
        <v>128</v>
      </c>
      <c r="C129" s="11" t="s">
        <v>126</v>
      </c>
      <c r="D129" s="3"/>
    </row>
    <row r="130" spans="1:5" x14ac:dyDescent="0.15">
      <c r="A130" s="11" t="s">
        <v>15</v>
      </c>
      <c r="B130" s="3">
        <v>129</v>
      </c>
      <c r="C130" s="11" t="s">
        <v>127</v>
      </c>
      <c r="D130" s="3"/>
    </row>
    <row r="131" spans="1:5" x14ac:dyDescent="0.15">
      <c r="A131" s="11" t="s">
        <v>15</v>
      </c>
      <c r="B131" s="3">
        <v>130</v>
      </c>
      <c r="C131" s="11" t="s">
        <v>128</v>
      </c>
      <c r="D131" s="3"/>
    </row>
    <row r="132" spans="1:5" x14ac:dyDescent="0.15">
      <c r="A132" s="11" t="s">
        <v>15</v>
      </c>
      <c r="B132" s="3">
        <v>131</v>
      </c>
      <c r="C132" s="11" t="s">
        <v>129</v>
      </c>
      <c r="D132" s="3"/>
    </row>
    <row r="133" spans="1:5" x14ac:dyDescent="0.15">
      <c r="A133" s="11" t="s">
        <v>15</v>
      </c>
      <c r="B133" s="3">
        <v>132</v>
      </c>
      <c r="C133" s="11" t="s">
        <v>130</v>
      </c>
      <c r="D133" s="11"/>
    </row>
    <row r="134" spans="1:5" x14ac:dyDescent="0.15">
      <c r="A134" s="11" t="s">
        <v>15</v>
      </c>
      <c r="B134" s="3">
        <v>133</v>
      </c>
      <c r="C134" s="11" t="s">
        <v>131</v>
      </c>
      <c r="D134" s="3"/>
    </row>
    <row r="135" spans="1:5" x14ac:dyDescent="0.15">
      <c r="A135" s="11" t="s">
        <v>16</v>
      </c>
      <c r="B135" s="3">
        <v>134</v>
      </c>
      <c r="C135" s="11" t="s">
        <v>132</v>
      </c>
      <c r="D135" s="3"/>
    </row>
    <row r="136" spans="1:5" x14ac:dyDescent="0.15">
      <c r="A136" s="11" t="s">
        <v>16</v>
      </c>
      <c r="B136" s="3">
        <v>135</v>
      </c>
      <c r="C136" s="11" t="s">
        <v>133</v>
      </c>
      <c r="D136" s="3"/>
    </row>
    <row r="137" spans="1:5" x14ac:dyDescent="0.15">
      <c r="A137" s="11" t="s">
        <v>16</v>
      </c>
      <c r="B137" s="3">
        <v>136</v>
      </c>
      <c r="C137" s="11" t="s">
        <v>134</v>
      </c>
      <c r="D137" s="3"/>
    </row>
    <row r="138" spans="1:5" x14ac:dyDescent="0.15">
      <c r="A138" s="11" t="s">
        <v>16</v>
      </c>
      <c r="B138" s="3">
        <v>137</v>
      </c>
      <c r="C138" s="11" t="s">
        <v>135</v>
      </c>
      <c r="D138" s="3"/>
    </row>
    <row r="139" spans="1:5" x14ac:dyDescent="0.15">
      <c r="A139" s="11" t="s">
        <v>16</v>
      </c>
      <c r="B139" s="3">
        <v>138</v>
      </c>
      <c r="C139" s="11" t="s">
        <v>136</v>
      </c>
      <c r="D139" s="3"/>
    </row>
    <row r="140" spans="1:5" x14ac:dyDescent="0.15">
      <c r="A140" s="11" t="s">
        <v>16</v>
      </c>
      <c r="B140" s="3">
        <v>139</v>
      </c>
      <c r="C140" s="11" t="s">
        <v>137</v>
      </c>
      <c r="D140" s="3"/>
    </row>
    <row r="141" spans="1:5" x14ac:dyDescent="0.15">
      <c r="A141" s="11" t="s">
        <v>16</v>
      </c>
      <c r="B141" s="3">
        <v>140</v>
      </c>
      <c r="C141" s="11" t="s">
        <v>138</v>
      </c>
      <c r="D141" s="3"/>
    </row>
    <row r="142" spans="1:5" x14ac:dyDescent="0.15">
      <c r="A142" s="11" t="s">
        <v>16</v>
      </c>
      <c r="B142" s="3">
        <v>141</v>
      </c>
      <c r="C142" s="11" t="s">
        <v>139</v>
      </c>
      <c r="D142" s="3"/>
    </row>
    <row r="143" spans="1:5" x14ac:dyDescent="0.15">
      <c r="A143" s="11" t="s">
        <v>17</v>
      </c>
      <c r="B143" s="3">
        <v>142</v>
      </c>
      <c r="C143" s="11" t="s">
        <v>140</v>
      </c>
      <c r="D143" s="3"/>
    </row>
    <row r="144" spans="1:5" x14ac:dyDescent="0.15">
      <c r="A144" s="11" t="s">
        <v>17</v>
      </c>
      <c r="B144" s="3">
        <v>143</v>
      </c>
      <c r="C144" s="11" t="s">
        <v>141</v>
      </c>
      <c r="D144" s="3"/>
      <c r="E144" s="1"/>
    </row>
    <row r="145" spans="1:4" x14ac:dyDescent="0.15">
      <c r="A145" s="11" t="s">
        <v>17</v>
      </c>
      <c r="B145" s="3">
        <v>144</v>
      </c>
      <c r="C145" s="11" t="s">
        <v>142</v>
      </c>
      <c r="D145" s="3"/>
    </row>
    <row r="146" spans="1:4" x14ac:dyDescent="0.15">
      <c r="A146" s="11" t="s">
        <v>17</v>
      </c>
      <c r="B146" s="3">
        <v>145</v>
      </c>
      <c r="C146" s="11" t="s">
        <v>143</v>
      </c>
      <c r="D146" s="3"/>
    </row>
    <row r="147" spans="1:4" x14ac:dyDescent="0.15">
      <c r="A147" s="11" t="s">
        <v>17</v>
      </c>
      <c r="B147" s="3">
        <v>146</v>
      </c>
      <c r="C147" s="11" t="s">
        <v>144</v>
      </c>
      <c r="D147" s="3"/>
    </row>
    <row r="148" spans="1:4" x14ac:dyDescent="0.15">
      <c r="A148" s="11" t="s">
        <v>17</v>
      </c>
      <c r="B148" s="3">
        <v>147</v>
      </c>
      <c r="C148" s="11" t="s">
        <v>145</v>
      </c>
      <c r="D148" s="3"/>
    </row>
    <row r="149" spans="1:4" x14ac:dyDescent="0.15">
      <c r="A149" s="11" t="s">
        <v>16</v>
      </c>
      <c r="B149" s="3">
        <v>148</v>
      </c>
      <c r="C149" s="11" t="s">
        <v>16</v>
      </c>
      <c r="D149" s="3"/>
    </row>
    <row r="150" spans="1:4" x14ac:dyDescent="0.15">
      <c r="A150" s="11" t="s">
        <v>16</v>
      </c>
      <c r="B150" s="3">
        <v>149</v>
      </c>
      <c r="C150" s="11" t="s">
        <v>146</v>
      </c>
      <c r="D150" s="3"/>
    </row>
    <row r="151" spans="1:4" x14ac:dyDescent="0.15">
      <c r="A151" s="11" t="s">
        <v>16</v>
      </c>
      <c r="B151" s="3">
        <v>150</v>
      </c>
      <c r="C151" s="11" t="s">
        <v>147</v>
      </c>
      <c r="D151" s="3"/>
    </row>
    <row r="152" spans="1:4" x14ac:dyDescent="0.15">
      <c r="A152" s="11" t="s">
        <v>16</v>
      </c>
      <c r="B152" s="3">
        <v>151</v>
      </c>
      <c r="C152" s="11" t="s">
        <v>148</v>
      </c>
      <c r="D152" s="11" t="s">
        <v>171</v>
      </c>
    </row>
    <row r="153" spans="1:4" x14ac:dyDescent="0.15">
      <c r="A153" s="11" t="s">
        <v>16</v>
      </c>
      <c r="B153" s="3">
        <v>152</v>
      </c>
      <c r="C153" s="11" t="s">
        <v>149</v>
      </c>
      <c r="D153" s="3"/>
    </row>
    <row r="154" spans="1:4" x14ac:dyDescent="0.15">
      <c r="A154" s="11" t="s">
        <v>18</v>
      </c>
      <c r="B154" s="3">
        <v>153</v>
      </c>
      <c r="C154" s="11" t="s">
        <v>150</v>
      </c>
      <c r="D154" s="11" t="s">
        <v>224</v>
      </c>
    </row>
    <row r="155" spans="1:4" x14ac:dyDescent="0.15">
      <c r="A155" s="11" t="s">
        <v>18</v>
      </c>
      <c r="B155" s="3">
        <v>154</v>
      </c>
      <c r="C155" s="11" t="s">
        <v>244</v>
      </c>
      <c r="D155" s="3"/>
    </row>
    <row r="156" spans="1:4" x14ac:dyDescent="0.15">
      <c r="A156" s="11" t="s">
        <v>18</v>
      </c>
      <c r="B156" s="3">
        <v>155</v>
      </c>
      <c r="C156" s="11" t="s">
        <v>245</v>
      </c>
      <c r="D156" s="3"/>
    </row>
    <row r="157" spans="1:4" x14ac:dyDescent="0.15">
      <c r="A157" s="11" t="s">
        <v>18</v>
      </c>
      <c r="B157" s="3">
        <v>156</v>
      </c>
      <c r="C157" s="11" t="s">
        <v>246</v>
      </c>
      <c r="D157" s="3"/>
    </row>
    <row r="158" spans="1:4" x14ac:dyDescent="0.15">
      <c r="A158" s="11" t="s">
        <v>18</v>
      </c>
      <c r="B158" s="3">
        <v>157</v>
      </c>
      <c r="C158" s="11" t="s">
        <v>247</v>
      </c>
      <c r="D158" s="3"/>
    </row>
    <row r="159" spans="1:4" x14ac:dyDescent="0.15">
      <c r="A159" s="11" t="s">
        <v>18</v>
      </c>
      <c r="B159" s="3">
        <v>158</v>
      </c>
      <c r="C159" s="11" t="s">
        <v>151</v>
      </c>
      <c r="D159" s="3"/>
    </row>
    <row r="160" spans="1:4" x14ac:dyDescent="0.15">
      <c r="A160" s="11" t="s">
        <v>19</v>
      </c>
      <c r="B160" s="3">
        <v>159</v>
      </c>
      <c r="C160" s="11" t="s">
        <v>152</v>
      </c>
      <c r="D160" s="3"/>
    </row>
    <row r="161" spans="1:5" x14ac:dyDescent="0.15">
      <c r="A161" s="11" t="s">
        <v>19</v>
      </c>
      <c r="B161" s="3">
        <v>160</v>
      </c>
      <c r="C161" s="11" t="s">
        <v>153</v>
      </c>
      <c r="D161" s="3"/>
    </row>
    <row r="162" spans="1:5" x14ac:dyDescent="0.15">
      <c r="A162" s="11" t="s">
        <v>19</v>
      </c>
      <c r="B162" s="3">
        <v>161</v>
      </c>
      <c r="C162" s="11" t="s">
        <v>154</v>
      </c>
      <c r="D162" s="3"/>
    </row>
    <row r="163" spans="1:5" x14ac:dyDescent="0.15">
      <c r="A163" s="11" t="s">
        <v>19</v>
      </c>
      <c r="B163" s="3">
        <v>162</v>
      </c>
      <c r="C163" s="11" t="s">
        <v>155</v>
      </c>
      <c r="D163" s="11" t="s">
        <v>171</v>
      </c>
      <c r="E163" s="1"/>
    </row>
    <row r="164" spans="1:5" x14ac:dyDescent="0.15">
      <c r="A164" s="11" t="s">
        <v>19</v>
      </c>
      <c r="B164" s="3">
        <v>163</v>
      </c>
      <c r="C164" s="11" t="s">
        <v>156</v>
      </c>
      <c r="D164" s="3" t="s">
        <v>225</v>
      </c>
    </row>
    <row r="165" spans="1:5" x14ac:dyDescent="0.15">
      <c r="A165" s="11" t="s">
        <v>19</v>
      </c>
      <c r="B165" s="3">
        <v>164</v>
      </c>
      <c r="C165" s="11" t="s">
        <v>23</v>
      </c>
      <c r="D165" s="3"/>
      <c r="E165" s="1"/>
    </row>
    <row r="166" spans="1:5" x14ac:dyDescent="0.15">
      <c r="A166" s="11" t="s">
        <v>19</v>
      </c>
      <c r="B166" s="3">
        <v>165</v>
      </c>
      <c r="C166" s="11" t="s">
        <v>24</v>
      </c>
      <c r="D166" s="3"/>
    </row>
    <row r="167" spans="1:5" x14ac:dyDescent="0.15">
      <c r="A167" s="11" t="s">
        <v>19</v>
      </c>
      <c r="B167" s="3">
        <v>166</v>
      </c>
      <c r="C167" s="11" t="s">
        <v>25</v>
      </c>
      <c r="D167" s="3"/>
    </row>
    <row r="168" spans="1:5" x14ac:dyDescent="0.15">
      <c r="A168" s="11" t="s">
        <v>19</v>
      </c>
      <c r="B168" s="3">
        <v>167</v>
      </c>
      <c r="C168" s="11" t="s">
        <v>157</v>
      </c>
      <c r="D168" s="11" t="s">
        <v>171</v>
      </c>
    </row>
    <row r="169" spans="1:5" x14ac:dyDescent="0.15">
      <c r="A169" s="11" t="s">
        <v>19</v>
      </c>
      <c r="B169" s="3">
        <v>168</v>
      </c>
      <c r="C169" s="11" t="s">
        <v>158</v>
      </c>
      <c r="D169" s="3" t="s">
        <v>226</v>
      </c>
    </row>
    <row r="170" spans="1:5" x14ac:dyDescent="0.15">
      <c r="A170" s="11" t="s">
        <v>19</v>
      </c>
      <c r="B170" s="3">
        <v>169</v>
      </c>
      <c r="C170" s="11" t="s">
        <v>159</v>
      </c>
      <c r="D170" s="3"/>
    </row>
    <row r="171" spans="1:5" x14ac:dyDescent="0.15">
      <c r="A171" s="11" t="s">
        <v>20</v>
      </c>
      <c r="B171" s="3">
        <v>170</v>
      </c>
      <c r="C171" s="11" t="s">
        <v>20</v>
      </c>
      <c r="D171" s="3"/>
    </row>
    <row r="172" spans="1:5" x14ac:dyDescent="0.15">
      <c r="A172" s="11" t="s">
        <v>20</v>
      </c>
      <c r="B172" s="3">
        <v>171</v>
      </c>
      <c r="C172" s="11" t="s">
        <v>160</v>
      </c>
      <c r="D172" s="3"/>
    </row>
    <row r="173" spans="1:5" x14ac:dyDescent="0.15">
      <c r="A173" s="11" t="s">
        <v>20</v>
      </c>
      <c r="B173" s="3">
        <v>172</v>
      </c>
      <c r="C173" s="11" t="s">
        <v>161</v>
      </c>
      <c r="D173" s="3"/>
      <c r="E173" s="1"/>
    </row>
    <row r="174" spans="1:5" x14ac:dyDescent="0.15">
      <c r="A174" s="11" t="s">
        <v>20</v>
      </c>
      <c r="B174" s="3">
        <v>173</v>
      </c>
      <c r="C174" s="11" t="s">
        <v>162</v>
      </c>
      <c r="D174" s="3"/>
    </row>
    <row r="175" spans="1:5" x14ac:dyDescent="0.15">
      <c r="A175" s="11" t="s">
        <v>20</v>
      </c>
      <c r="B175" s="3">
        <v>174</v>
      </c>
      <c r="C175" s="11" t="s">
        <v>163</v>
      </c>
      <c r="D175" s="3"/>
    </row>
    <row r="176" spans="1:5" x14ac:dyDescent="0.15">
      <c r="A176" s="11" t="s">
        <v>20</v>
      </c>
      <c r="B176" s="3">
        <v>175</v>
      </c>
      <c r="C176" s="11" t="s">
        <v>164</v>
      </c>
      <c r="D176" s="3"/>
    </row>
    <row r="177" spans="1:5" x14ac:dyDescent="0.15">
      <c r="A177" s="11" t="s">
        <v>227</v>
      </c>
      <c r="B177" s="3">
        <v>176</v>
      </c>
      <c r="C177" s="3" t="s">
        <v>180</v>
      </c>
      <c r="D177" s="3" t="s">
        <v>228</v>
      </c>
    </row>
    <row r="178" spans="1:5" x14ac:dyDescent="0.15">
      <c r="A178" s="11" t="s">
        <v>227</v>
      </c>
      <c r="B178" s="3">
        <v>177</v>
      </c>
      <c r="C178" s="3" t="s">
        <v>181</v>
      </c>
      <c r="D178" s="3" t="s">
        <v>229</v>
      </c>
      <c r="E178" s="1"/>
    </row>
    <row r="179" spans="1:5" x14ac:dyDescent="0.15">
      <c r="A179" s="11" t="s">
        <v>227</v>
      </c>
      <c r="B179" s="3">
        <v>178</v>
      </c>
      <c r="C179" s="11" t="s">
        <v>264</v>
      </c>
      <c r="D179" s="11" t="s">
        <v>265</v>
      </c>
    </row>
    <row r="180" spans="1:5" x14ac:dyDescent="0.15">
      <c r="A180" s="11" t="s">
        <v>227</v>
      </c>
      <c r="B180" s="3">
        <v>179</v>
      </c>
      <c r="C180" s="3" t="s">
        <v>208</v>
      </c>
      <c r="D180" s="3" t="s">
        <v>230</v>
      </c>
    </row>
    <row r="181" spans="1:5" x14ac:dyDescent="0.15">
      <c r="A181" s="11" t="s">
        <v>227</v>
      </c>
      <c r="B181" s="3">
        <v>180</v>
      </c>
      <c r="C181" s="3" t="s">
        <v>209</v>
      </c>
      <c r="D181" s="3" t="s">
        <v>231</v>
      </c>
    </row>
    <row r="182" spans="1:5" x14ac:dyDescent="0.15">
      <c r="A182" s="11" t="s">
        <v>227</v>
      </c>
      <c r="B182" s="3">
        <v>181</v>
      </c>
      <c r="C182" s="3" t="s">
        <v>213</v>
      </c>
      <c r="D182" s="3"/>
    </row>
    <row r="183" spans="1:5" x14ac:dyDescent="0.15">
      <c r="A183" s="11"/>
      <c r="B183" s="12"/>
      <c r="C183" s="3"/>
      <c r="D183" s="3"/>
    </row>
    <row r="184" spans="1:5" x14ac:dyDescent="0.15">
      <c r="A184" s="11"/>
      <c r="B184" s="12"/>
      <c r="C184" s="3"/>
      <c r="D184" s="3"/>
    </row>
    <row r="185" spans="1:5" x14ac:dyDescent="0.15">
      <c r="A185" s="11"/>
      <c r="B185" s="12"/>
      <c r="C185" s="3"/>
      <c r="D185" s="3"/>
    </row>
    <row r="186" spans="1:5" x14ac:dyDescent="0.15">
      <c r="A186" s="11"/>
      <c r="B186" s="12"/>
      <c r="C186" s="3"/>
      <c r="D186" s="3"/>
    </row>
    <row r="187" spans="1:5" x14ac:dyDescent="0.15">
      <c r="A187" s="11"/>
      <c r="B187" s="12"/>
      <c r="C187" s="3"/>
      <c r="D187" s="3"/>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Columns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Bärbel Hönisch</cp:lastModifiedBy>
  <dcterms:created xsi:type="dcterms:W3CDTF">2019-04-17T15:42:50Z</dcterms:created>
  <dcterms:modified xsi:type="dcterms:W3CDTF">2020-07-08T22:32:04Z</dcterms:modified>
</cp:coreProperties>
</file>