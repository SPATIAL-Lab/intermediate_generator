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5"/>
  <workbookPr defaultThemeVersion="166925"/>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64C626E2-7FBE-8C4B-ACDD-F4E7550BB68D}" xr6:coauthVersionLast="36" xr6:coauthVersionMax="45" xr10:uidLastSave="{00000000-0000-0000-0000-000000000000}"/>
  <bookViews>
    <workbookView xWindow="1960" yWindow="920" windowWidth="26840" windowHeight="15540" activeTab="1" xr2:uid="{3D28D97B-0E79-E441-BC68-6A7C692B4EBB}"/>
  </bookViews>
  <sheets>
    <sheet name="Data" sheetId="1" r:id="rId1"/>
    <sheet name="Columns" sheetId="2" r:id="rId2"/>
    <sheet name="PANGAEA-pCO2"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 i="1" l="1"/>
  <c r="I10" i="1"/>
  <c r="H10" i="1"/>
  <c r="G10" i="1"/>
  <c r="F10" i="1"/>
  <c r="E10" i="1"/>
  <c r="D10" i="1"/>
  <c r="J9" i="1"/>
  <c r="I9" i="1"/>
  <c r="H9" i="1"/>
  <c r="G9" i="1"/>
  <c r="F9" i="1"/>
  <c r="E9" i="1"/>
  <c r="D9" i="1"/>
  <c r="J8" i="1"/>
  <c r="I8" i="1"/>
  <c r="H8" i="1"/>
  <c r="G8" i="1"/>
  <c r="F8" i="1"/>
  <c r="E8" i="1"/>
  <c r="D8" i="1"/>
  <c r="J7" i="1"/>
  <c r="I7" i="1"/>
  <c r="H7" i="1"/>
  <c r="G7" i="1"/>
  <c r="F7" i="1"/>
  <c r="E7" i="1"/>
  <c r="D7" i="1"/>
  <c r="J6" i="1"/>
  <c r="I6" i="1"/>
  <c r="H6" i="1"/>
  <c r="G6" i="1"/>
  <c r="F6" i="1"/>
  <c r="E6" i="1"/>
  <c r="D6" i="1"/>
  <c r="J5" i="1"/>
  <c r="I5" i="1"/>
  <c r="H5" i="1"/>
  <c r="G5" i="1"/>
  <c r="F5" i="1"/>
  <c r="E5" i="1"/>
  <c r="D5" i="1"/>
  <c r="J4" i="1"/>
  <c r="I4" i="1"/>
  <c r="H4" i="1"/>
  <c r="G4" i="1"/>
  <c r="F4" i="1"/>
  <c r="E4" i="1"/>
  <c r="D4" i="1"/>
</calcChain>
</file>

<file path=xl/sharedStrings.xml><?xml version="1.0" encoding="utf-8"?>
<sst xmlns="http://schemas.openxmlformats.org/spreadsheetml/2006/main" count="1693" uniqueCount="352">
  <si>
    <t>proxy</t>
  </si>
  <si>
    <t>first_author_last_name</t>
  </si>
  <si>
    <t>publication_year</t>
  </si>
  <si>
    <t>name_of_individual_entering_data</t>
  </si>
  <si>
    <t>contact_email_of_individual_entering_data</t>
  </si>
  <si>
    <t>doi</t>
  </si>
  <si>
    <t>site</t>
  </si>
  <si>
    <t>hole</t>
  </si>
  <si>
    <t>core</t>
  </si>
  <si>
    <t>tool</t>
  </si>
  <si>
    <t>half</t>
  </si>
  <si>
    <t>section</t>
  </si>
  <si>
    <t>interval_depth_top_cm</t>
  </si>
  <si>
    <t>full_sample_name_in_source</t>
  </si>
  <si>
    <t>depth_top_m</t>
  </si>
  <si>
    <t>depth_bottom_m</t>
  </si>
  <si>
    <t>depth_mid_m</t>
  </si>
  <si>
    <t>depth_scale</t>
  </si>
  <si>
    <t>age_ka_bp</t>
  </si>
  <si>
    <t>age_uncertainty_pos_ka</t>
  </si>
  <si>
    <t>age_uncertainty_neg_ka</t>
  </si>
  <si>
    <t>age_uncertainty_distribution</t>
  </si>
  <si>
    <t>age_model_reference</t>
  </si>
  <si>
    <t>age_model_notes</t>
  </si>
  <si>
    <t>site_depth</t>
  </si>
  <si>
    <t>site_paleodepth</t>
  </si>
  <si>
    <t>site_paleolocation_reference</t>
  </si>
  <si>
    <t>site_flags_explanation</t>
  </si>
  <si>
    <t>lithology</t>
  </si>
  <si>
    <t>sediment_CaCO3_percent</t>
  </si>
  <si>
    <t>sediment_opal_percent</t>
  </si>
  <si>
    <t>sediment_organic_carbon_percent</t>
  </si>
  <si>
    <t>sediment_composition_methods</t>
  </si>
  <si>
    <t>sediment_composition_notes</t>
  </si>
  <si>
    <t>sediment_composition_references</t>
  </si>
  <si>
    <t>sediment_composition_flags_explanation</t>
  </si>
  <si>
    <t>CaCO3_d13C_permil</t>
  </si>
  <si>
    <t>CaCO3_d13C_uncertainty_permil</t>
  </si>
  <si>
    <t>CaCO3_d13C_uncertainty_type</t>
  </si>
  <si>
    <t>CaCO3_d13C_uncertainty_n</t>
  </si>
  <si>
    <t>CaCO3_d18O_permil</t>
  </si>
  <si>
    <t>CaCO3_d18O_uncertainty_permil</t>
  </si>
  <si>
    <t>CaCO3_d18O_uncertainty_type</t>
  </si>
  <si>
    <t>CaCO3_d18O_uncertainty_n</t>
  </si>
  <si>
    <t>CaCO3_taxon_name</t>
  </si>
  <si>
    <t>CaCO3_size_fraction_range_um</t>
  </si>
  <si>
    <t>CaCO3_vital_effect_permil</t>
  </si>
  <si>
    <t>DIC_d13C_permil</t>
  </si>
  <si>
    <t>DIC_d13C_uncertainty_permil</t>
  </si>
  <si>
    <t>DIC_d13C_uncertainty_type</t>
  </si>
  <si>
    <t>CO2g_d13C_permil</t>
  </si>
  <si>
    <t>CO2g_d13C_uncertainty_permil</t>
  </si>
  <si>
    <t>CO2g_d13C_uncertainty_type</t>
  </si>
  <si>
    <t>CO2aq_d13C_permil</t>
  </si>
  <si>
    <t>CO2aq_d13C_equation_method</t>
  </si>
  <si>
    <t>CO2aq_d13C_flags_explanation</t>
  </si>
  <si>
    <t>organic_d13C_measured_permil</t>
  </si>
  <si>
    <t>organic_d13C_material_name</t>
  </si>
  <si>
    <t>organic_d13C_measured_uncertainty_permil</t>
  </si>
  <si>
    <t>organic_d13C_measured_uncertainty_n</t>
  </si>
  <si>
    <t>organic_d13C_measured_uncertainty_type</t>
  </si>
  <si>
    <t>organic_d13C_biomass_offset_epsilon_permil</t>
  </si>
  <si>
    <t>organic_d13C_biomass_offset_uncertainty_permil</t>
  </si>
  <si>
    <t>organic_d13C_biomass_offset_uncertainty_type</t>
  </si>
  <si>
    <t>organic_d13C_biomass_permil</t>
  </si>
  <si>
    <t>organic_d13C_biomass_uncertainty_permil</t>
  </si>
  <si>
    <t>organic_d13C_biomass_uncertainty_type</t>
  </si>
  <si>
    <t>organic_d13C_organic_method</t>
  </si>
  <si>
    <t>organic_d13C_organic_flags_explanation</t>
  </si>
  <si>
    <t>salinity_psu</t>
  </si>
  <si>
    <t>salinity_psu_uncertainty_permil</t>
  </si>
  <si>
    <t>salinity_psu_uncertainty_type</t>
  </si>
  <si>
    <t>salinity_method</t>
  </si>
  <si>
    <t>phosphate_umol_kg</t>
  </si>
  <si>
    <t>phosphate_umol_kg_uncertainty_pos</t>
  </si>
  <si>
    <t>phosphate_umol_kg_uncertainty_neg</t>
  </si>
  <si>
    <t>phosphate_unertainty_type</t>
  </si>
  <si>
    <t>phosphate_reference</t>
  </si>
  <si>
    <t>nitrate_umol_kg</t>
  </si>
  <si>
    <t>nitrate_reference</t>
  </si>
  <si>
    <t>SST_degC</t>
  </si>
  <si>
    <t>SST_degC_uncertainty_pos</t>
  </si>
  <si>
    <t>SST_degC_uncertainty_neg</t>
  </si>
  <si>
    <t>SST_degC_uncertainty_type</t>
  </si>
  <si>
    <t>SST_degC_source</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</si>
  <si>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</si>
  <si>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</si>
  <si>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</si>
  <si>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</si>
  <si>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</si>
  <si>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</si>
  <si>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</si>
  <si>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</si>
  <si>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</si>
  <si>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</si>
  <si>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</si>
  <si>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</si>
  <si>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</si>
  <si>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</si>
  <si>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</si>
  <si>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</si>
  <si>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</si>
  <si>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alkenone_concentration</t>
  </si>
  <si>
    <t>alkenone_concentration_MK374_conc</t>
  </si>
  <si>
    <t>alkenone_concentration_MK373_conc</t>
  </si>
  <si>
    <t>alkenone_concentration_MK372_conc</t>
  </si>
  <si>
    <t>alkenone_concentration_flags_explanation</t>
  </si>
  <si>
    <t>VSA_volume_surface_area_ratio</t>
  </si>
  <si>
    <t>VSA_volume_surface_area_ratio_uncertainty_pos</t>
  </si>
  <si>
    <t>VSA_volume_surface_area_ratio_uncertainty_neg</t>
  </si>
  <si>
    <t>VSA_volume_surface_area_ratio_uncertainty_type</t>
  </si>
  <si>
    <t>VSA_method</t>
  </si>
  <si>
    <t>VSA_lith_size_um</t>
  </si>
  <si>
    <t>VSA_lith_size_uncertainty_pos_um</t>
  </si>
  <si>
    <t>VSA_lith_size_uncertainty_neg_um</t>
  </si>
  <si>
    <t>VSA_lith_size_uncertainty_type</t>
  </si>
  <si>
    <t>VSA_cell_radius_um</t>
  </si>
  <si>
    <t>VSA_cell_radius_method</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</si>
  <si>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</si>
  <si>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</si>
  <si>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</si>
  <si>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</si>
  <si>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</si>
  <si>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</si>
  <si>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</si>
  <si>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</si>
  <si>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growth_rate_mu</t>
  </si>
  <si>
    <t>growth_rate_mu_uncertainty_pos</t>
  </si>
  <si>
    <t>growth_rate_mu_uncertainty_neg</t>
  </si>
  <si>
    <t>growth_rate_mu_uncertainty_type</t>
  </si>
  <si>
    <t>growth_rate_method</t>
  </si>
  <si>
    <t>growth_rate_flags_explanation</t>
  </si>
  <si>
    <t>bfac</t>
  </si>
  <si>
    <t>bfac_uncertainty_pos</t>
  </si>
  <si>
    <t>bfac_uncertainty_neg</t>
  </si>
  <si>
    <t>bfac_uncertainty_type</t>
  </si>
  <si>
    <t>bfac_equation_method</t>
  </si>
  <si>
    <t>epsilon_f_permil</t>
  </si>
  <si>
    <t>epsilon_p_flags_explanation</t>
  </si>
  <si>
    <t>CO2aq_umol_liter</t>
  </si>
  <si>
    <t>CO2aq_uncertainty_pos_umol_liter</t>
  </si>
  <si>
    <t>CO2aq_uncertainty_neg_umol_liter</t>
  </si>
  <si>
    <t>CO2aq_uncertainty_type</t>
  </si>
  <si>
    <t>CO2aq_equation_method</t>
  </si>
  <si>
    <t>pCO2_uatm</t>
  </si>
  <si>
    <t>pCO2_uncertainty_pos_uatm</t>
  </si>
  <si>
    <t>pCO2_uncertainty_neg_uatm</t>
  </si>
  <si>
    <t>pCO2_uncertainty_type</t>
  </si>
  <si>
    <t>pCO2_equation_method</t>
  </si>
  <si>
    <t>pCO2_flags_explanation</t>
  </si>
  <si>
    <t>extra_data</t>
  </si>
  <si>
    <t>mixed_layer_depth</t>
  </si>
  <si>
    <t>photoperiod_hours</t>
  </si>
  <si>
    <t>TCO2_umol_kg</t>
  </si>
  <si>
    <t>alkalinity_ueq_kg</t>
  </si>
  <si>
    <t>silicate_ion</t>
  </si>
  <si>
    <t>include_TF</t>
  </si>
  <si>
    <t>include_explanation</t>
  </si>
  <si>
    <t>include_parent_unique_id</t>
  </si>
  <si>
    <t>include_child_unique_id</t>
  </si>
  <si>
    <t>compilation_notes</t>
  </si>
  <si>
    <t>Mejia</t>
  </si>
  <si>
    <t>Sam Phelps</t>
  </si>
  <si>
    <t>sphelps@ldeo.columbia.edu</t>
  </si>
  <si>
    <t>Mejia, Luz Maria; Mendez-Vicente, Ana; Abrevaya, Lorena; Lawrence, Kira T; Ladlow, Caroline; Bolton, Clara T; Cacho, Isabel; Stoll, Heather M (2017): A diatom record of CO 2 decline since the late Miocene. Earth and Planetary Science Letters, 479, 18-33, https://doi.org/10.1016/j.epsl.2017.08.034</t>
  </si>
  <si>
    <t>10.1016/j.epsl.2017.08.034</t>
  </si>
  <si>
    <t>B</t>
  </si>
  <si>
    <t>H</t>
  </si>
  <si>
    <t>NA</t>
  </si>
  <si>
    <t>138-846B-4H-1,103-105</t>
  </si>
  <si>
    <t>mcd</t>
  </si>
  <si>
    <t>Lisiecki and Raymo, 2005; Shackleton 1995</t>
  </si>
  <si>
    <t>upwelling</t>
  </si>
  <si>
    <t>"alternating nannofossil carbonate and siliceous ooze composed of diatoms and radiolarians (Psias et al., 1995)" (p. 19)</t>
  </si>
  <si>
    <t>Table A1; also see Farrell et al. (1995)</t>
  </si>
  <si>
    <t>1std</t>
  </si>
  <si>
    <t>N. dutertrei/N. acostaensis</t>
  </si>
  <si>
    <t>200-300</t>
  </si>
  <si>
    <t>d13C_CO2aq = d13C_DIC + 23.644 - (9701.5/Tk), where "Tk" is temperature in Kelvin</t>
  </si>
  <si>
    <t>Based on Stoll et al. (2017), who cite Rost et al. (2002).</t>
  </si>
  <si>
    <t>pennate_diatom_frustule_bound_OM</t>
  </si>
  <si>
    <t>Assume no offset between frustule-bound organic matter and bulk biomass</t>
  </si>
  <si>
    <t>alkenone unsaturation</t>
  </si>
  <si>
    <t>Müller et al., 1998</t>
  </si>
  <si>
    <t>nmol/g; C37total</t>
  </si>
  <si>
    <r>
      <t xml:space="preserve">Several pCO2 estimates are provided, and absolute values are dependent on the choice of </t>
    </r>
    <r>
      <rPr>
        <i/>
        <sz val="10"/>
        <rFont val="Arial"/>
        <family val="2"/>
      </rPr>
      <t>b</t>
    </r>
    <r>
      <rPr>
        <sz val="10"/>
        <rFont val="Arial"/>
        <family val="2"/>
      </rPr>
      <t xml:space="preserve"> or assumptions about HCO3 uptake. Because this site is in an upwelling region (EEP), we do not select a pCO2 history, and instead report only the geochemical data.</t>
    </r>
  </si>
  <si>
    <t>F</t>
  </si>
  <si>
    <t>This site is in the Eastern Equatorial Pacific upwelling region.</t>
  </si>
  <si>
    <t>138-846B-15H-4,103-105</t>
  </si>
  <si>
    <t>138-846B-22H-5,103-105</t>
  </si>
  <si>
    <t>X</t>
  </si>
  <si>
    <t>138-846B-29X-1,103-105</t>
  </si>
  <si>
    <t>138-846B-31X-1,79-81</t>
  </si>
  <si>
    <r>
      <t xml:space="preserve">N. dutertrei/N. acostaensis equivalent; estimated from </t>
    </r>
    <r>
      <rPr>
        <i/>
        <sz val="12"/>
        <color theme="1"/>
        <rFont val="Calibri"/>
        <family val="2"/>
        <scheme val="minor"/>
      </rPr>
      <t>G</t>
    </r>
    <r>
      <rPr>
        <sz val="12"/>
        <color theme="1"/>
        <rFont val="Calibri"/>
        <family val="2"/>
        <scheme val="minor"/>
      </rPr>
      <t>. sacculifer measurement and constant offset assumption.</t>
    </r>
  </si>
  <si>
    <t>138-846B-34X-2,125-127</t>
  </si>
  <si>
    <t>138-846B-38X-1,98-100</t>
  </si>
  <si>
    <t>/* DATA DESCRIPTION:</t>
  </si>
  <si>
    <t>Citation:</t>
  </si>
  <si>
    <t xml:space="preserve">Mej√≠a, Luz Mar√≠a; Mendez-Vicente, Ana; Abrevaya, Lorena; Lawrence, Kira T; Ladlow, Caroline; Bolton, Clara T; Cacho, Isabel; Stoll, Heather M (2017): epsilon-p and pCO2 estimations for ODP Hole 138-846B. PANGAEA, https://doi.org/10.1594/PANGAEA.881943, </t>
  </si>
  <si>
    <t>In supplement to: Mej√≠a, LM et al. (2017): A diatom record of CO 2 decline since the late Miocene. Earth and Planetary Science Letters, 479, 18-33, https://doi.org/10.1016/j.epsl.2017.08.034</t>
  </si>
  <si>
    <t>Related to:</t>
  </si>
  <si>
    <t>Herbert, Timothy D; Lawrence, Kira T; Tzanova, Alexandrina; Peterson, Laura C; Caballero-Gill, Rocio P; Kelly, Christopher S (2016): Late Miocene global cooling and the rise of modern ecosystems. Nature Geoscience, 9(11), 843-847, https://doi.org/10.1038/ngeo2813</t>
  </si>
  <si>
    <t>Lawrence, Kira T; Liu, Zhonghui; Herbert, Timothy D (2006): Evolution of the Eastern Tropical Pacific Through Plio-Pleistocene Glaciation. Science, 312(5770), 79-83, https://doi.org/10.1126/science.1120395</t>
  </si>
  <si>
    <t>Project(s):</t>
  </si>
  <si>
    <t>Ocean Drilling Program (ODP) (URI: http://www-odp.tamu.edu/)</t>
  </si>
  <si>
    <t>Coverage:</t>
  </si>
  <si>
    <t>LATITUDE: -3.094930 * LONGITUDE: -90.817960</t>
  </si>
  <si>
    <t>DATE/TIME START: 1991-05-21T17:00:00 * DATE/TIME END: 1991-05-24T06:08:00</t>
  </si>
  <si>
    <t>MINIMUM ELEVATION: -3295.8 m * MAXIMUM ELEVATION: -3295.8 m</t>
  </si>
  <si>
    <t>Event(s):</t>
  </si>
  <si>
    <t>138-846B * LATITUDE: -3.094930 * LONGITUDE: -90.817960 * DATE/TIME START: 1991-05-21T17:00:00 * DATE/TIME END: 1991-05-24T06:08:00 * ELEVATION: -3295.8 m * Penetration: 422.4 m * Recovery: 373.44 m * LOCATION: South Pacific Ocean * CAMPAIGN: Leg138 (URI: https://doi.org/10.2973/odp.proc.ir.138.1992) * BASIS: Joides Resolution (URI: http://www-odp.tamu.edu/resolutn.html) * DEVICE: Drilling/drill rig (DRILL) * COMMENT: 45 cores; 422.4 m cored; 0 m drilled; 88.4 % recovery</t>
  </si>
  <si>
    <t>Comment:</t>
  </si>
  <si>
    <t>In the publication Mej√≠a et al. (2017), for the calculation of diatom epsilon-p and pCO2 at 0.82 and 3.99 Ma we used the Uk'37 SST from the study of Lawrence et al. (2006), which used the Prahl et al. (1988) calibration. For the rest of the record, epsilon p and pCO2 data were calculated using the Uk'37 SST record calibrated using M√ºller et al. (1998) from the study of Herbert et al. (2016) and adapted to our age model (Shackleton et al., 1995).</t>
  </si>
  <si>
    <t xml:space="preserve">For all samples, including those at 0.82 and 3.99 Ma, the epsilon p and pCO2 data shown here are calculated using the Uk'37 SST calibration of M√ºller et al. (1998) from the study of Herbert et al. (2016), adapted to our age model (Shackleton et al., 1995). Changing the calibration used for the first two samples from Prahl et al. (1988) to M√ºller et al. (1998) (SST values taken from Herbert et al., (2016)), results in pCO2 estimates of up to 5.1 ppm higher than that reported in Mej√≠a et al. (2017). </t>
  </si>
  <si>
    <t xml:space="preserve">The use of the M√ºller et al. (1998) calibration for the Uk'37 SST of the youngest sample would entail insignificant changes in the b* required to obtain a pCO2 of 229 ppmv (from 97, pCO2 of 233 ppmv to 95.5, pCO2 of 229 ppmv). This is not propagated through the remaining calculations because the reproducibility of the ice core pCO2 records is within this range of pCO2 variation (¬±3 ppmv). </t>
  </si>
  <si>
    <t>Data of the post 5 Ma alkenone concentrations were taken from the study of Lawrence et al. (2006). Data of Pre 5 Ma alkenone concentrations shown here are adapted to the age model of our diatom samples (Shackleton et al., 1995). The full record can be found in spreadsheet "Pre 5Ma alkenone and SST record".</t>
  </si>
  <si>
    <t>Parameter(s):</t>
  </si>
  <si>
    <t>AGE [ka BP] (Age) * GEOCODE * PI: Mej√≠a, Luz Mar√≠a (https://orcid.org/0000-0001-6958-0531, luz.mejia@erdw.ethz.ch)</t>
  </si>
  <si>
    <t>Diatoms, pennales purity [%] (Pennales purity) * PI: Mej√≠a, Luz Mar√≠a (https://orcid.org/0000-0001-6958-0531, luz.mejia@erdw.ethz.ch)</t>
  </si>
  <si>
    <t>Diatoms, biomass as carbon [%] (Diatom C) * PI: Mej√≠a, Luz Mar√≠a (https://orcid.org/0000-0001-6958-0531, luz.mejia@erdw.ethz.ch) * COMMENT: pennales</t>
  </si>
  <si>
    <t>Œ¥13C, diatom-bound organic matter [‚Ä∞ PDB] (Œ¥13C DB) * PI: Mej√≠a, Luz Mar√≠a (https://orcid.org/0000-0001-6958-0531, luz.mejia@erdw.ethz.ch) * COMMENT: pennales</t>
  </si>
  <si>
    <t>Isotopic fractionation, during photosynthis [‚Ä∞] (epsilon p) * PI: Mej√≠a, Luz Mar√≠a (https://orcid.org/0000-0001-6958-0531, luz.mejia@erdw.ethz.ch)</t>
  </si>
  <si>
    <t>Neogloboquadrina sp., Œ¥13C [‚Ä∞ PDB] (Neogloboquadrina sp. Œ¥13C) * PI: Mej√≠a, Luz Mar√≠a (https://orcid.org/0000-0001-6958-0531, luz.mejia@erdw.ethz.ch)</t>
  </si>
  <si>
    <t>Neogloboquadrina sp., Œ¥18O [‚Ä∞ PDB] (Neogloboquadrina sp. Œ¥18O) * PI: Mej√≠a, Luz Mar√≠a (https://orcid.org/0000-0001-6958-0531, luz.mejia@erdw.ethz.ch)</t>
  </si>
  <si>
    <t>Globigerinoides sacculifer, Œ¥13C [‚Ä∞ PDB] (G. sacculifer Œ¥13C) * PI: Mej√≠a, Luz Mar√≠a (https://orcid.org/0000-0001-6958-0531, luz.mejia@erdw.ethz.ch)</t>
  </si>
  <si>
    <t>Globigerinoides sacculifer, Œ¥18O [‚Ä∞ PDB] (G. sacculifer Œ¥18O) * PI: Mej√≠a, Luz Mar√≠a (https://orcid.org/0000-0001-6958-0531, luz.mejia@erdw.ethz.ch)</t>
  </si>
  <si>
    <t>Coccoliths, Sr/Ca ratio [mmol/mol] (Cocco Sr/Ca) * PI: Mej√≠a, Luz Mar√≠a (https://orcid.org/0000-0001-6958-0531, luz.mejia@erdw.ethz.ch)</t>
  </si>
  <si>
    <t>Alkenone [nmol/g] (Alkenone) * PI: Mej√≠a, Luz Mar√≠a (https://orcid.org/0000-0001-6958-0531, luz.mejia@erdw.ethz.ch)</t>
  </si>
  <si>
    <t>Sea surface temperature, annual mean [¬∞C] (SST (1-12)) * PI: Mej√≠a, Luz Mar√≠a (https://orcid.org/0000-0001-6958-0531, luz.mejia@erdw.ethz.ch) * METHOD: Calculated from UK'37 (M√ºller et al, 1998) (URI: https://doi.org/10.1016/S0016-7037(98)00097-0) * COMMENT: Herbert et al. (2016)</t>
  </si>
  <si>
    <t>Coefficient (Coeff) * PI: Mej√≠a, Luz Mar√≠a (https://orcid.org/0000-0001-6958-0531, luz.mejia@erdw.ethz.ch) * COMMENT: b* constant</t>
  </si>
  <si>
    <t>Coefficient (Coeff) * PI: Mej√≠a, Luz Mar√≠a (https://orcid.org/0000-0001-6958-0531, luz.mejia@erdw.ethz.ch) * COMMENT: b* opal content</t>
  </si>
  <si>
    <t>Coefficient (Coeff) * PI: Mej√≠a, Luz Mar√≠a (https://orcid.org/0000-0001-6958-0531, luz.mejia@erdw.ethz.ch) * COMMENT: b* Alkenone concentration</t>
  </si>
  <si>
    <t>Coefficient (Coeff) * PI: Mej√≠a, Luz Mar√≠a (https://orcid.org/0000-0001-6958-0531, luz.mejia@erdw.ethz.ch) * COMMENT: b* Sr/Ca cocco</t>
  </si>
  <si>
    <t>Carbon dioxide, partial pressure [ppmv] (pCO2) * PI: Mej√≠a, Luz Mar√≠a (https://orcid.org/0000-0001-6958-0531, luz.mejia@erdw.ethz.ch) * COMMENT: b* constant; diffusive model</t>
  </si>
  <si>
    <t>Carbon dioxide, partial pressure [ppmv] (pCO2) * PI: Mej√≠a, Luz Mar√≠a (https://orcid.org/0000-0001-6958-0531, luz.mejia@erdw.ethz.ch) * COMMENT: b* opal content; diffusive model</t>
  </si>
  <si>
    <t>Carbon dioxide, partial pressure [ppmv] (pCO2) * PI: Mej√≠a, Luz Mar√≠a (https://orcid.org/0000-0001-6958-0531, luz.mejia@erdw.ethz.ch) * COMMENT: b* alkenone concentration; diffusive model</t>
  </si>
  <si>
    <t>Carbon dioxide, partial pressure [ppmv] (pCO2) * PI: Mej√≠a, Luz Mar√≠a (https://orcid.org/0000-0001-6958-0531, luz.mejia@erdw.ethz.ch) * COMMENT: b* Sr/Ca cocco; diffusive model</t>
  </si>
  <si>
    <t>Carbon dioxide, partial pressure [ppmv] (pCO2) * PI: Mej√≠a, Luz Mar√≠a (https://orcid.org/0000-0001-6958-0531, luz.mejia@erdw.ethz.ch) * COMMENT: ¬µ = 1.7 d-1; HCO3- uptake</t>
  </si>
  <si>
    <t>Carbon dioxide, partial pressure [ppmv] (pCO2) * PI: Mej√≠a, Luz Mar√≠a (https://orcid.org/0000-0001-6958-0531, luz.mejia@erdw.ethz.ch) * COMMENT: ¬µ = 1 d-1; HCO3- uptake</t>
  </si>
  <si>
    <t>Carbon dioxide, partial pressure [ppmv] (pCO2) * PI: Mej√≠a, Luz Mar√≠a (https://orcid.org/0000-0001-6958-0531, luz.mejia@erdw.ethz.ch) * COMMENT: ¬µ = 0.5 d-1; HCO3- uptake</t>
  </si>
  <si>
    <t>Carbon dioxide, partial pressure [ppmv] (pCO2) * PI: Mej√≠a, Luz Mar√≠a (https://orcid.org/0000-0001-6958-0531, luz.mejia@erdw.ethz.ch) * COMMENT: ¬µ = 0.5-0.85 d-1; HCO3- uptake</t>
  </si>
  <si>
    <t>Comment (Comment) * PI: Mej√≠a, Luz Mar√≠a (https://orcid.org/0000-0001-6958-0531, luz.mejia@erdw.ethz.ch)</t>
  </si>
  <si>
    <t>License:</t>
  </si>
  <si>
    <t>Creative Commons Attribution 3.0 Unported (CC-BY-3.0)</t>
  </si>
  <si>
    <t>Size:</t>
  </si>
  <si>
    <t>159 data points</t>
  </si>
  <si>
    <t>*/</t>
  </si>
  <si>
    <t>Age [ka BP]</t>
  </si>
  <si>
    <t>Pennales purity [%]</t>
  </si>
  <si>
    <t>Diatom C [%]</t>
  </si>
  <si>
    <t>Œ¥13C DB [‚Ä∞ PDB]</t>
  </si>
  <si>
    <t>epsilon p [‚Ä∞]</t>
  </si>
  <si>
    <t>Neogloboquadrina sp. Œ¥13C [‚Ä∞ PDB]</t>
  </si>
  <si>
    <t>Neogloboquadrina sp. Œ¥18O [‚Ä∞ PDB]</t>
  </si>
  <si>
    <t>G. sacculifer Œ¥13C [‚Ä∞ PDB]</t>
  </si>
  <si>
    <t>G. sacculifer Œ¥18O [‚Ä∞ PDB]</t>
  </si>
  <si>
    <t>Cocco Sr/Ca [mmol/mol]</t>
  </si>
  <si>
    <t>Alkenone [nmol/g]</t>
  </si>
  <si>
    <t>SST (1-12) [¬∞C]</t>
  </si>
  <si>
    <t>Coeff (b* constant)</t>
  </si>
  <si>
    <t>Coeff (b* opal content)</t>
  </si>
  <si>
    <t>Coeff (b* Alkenone concentration)</t>
  </si>
  <si>
    <t>Coeff (b* Sr/Ca cocco)</t>
  </si>
  <si>
    <t>pCO2 [ppmv] (b* constant; diffusive model)</t>
  </si>
  <si>
    <t>pCO2 [ppmv] (b* opal content; diffusive model)</t>
  </si>
  <si>
    <t>pCO2 [ppmv] (b* alkenone concentration; di...)</t>
  </si>
  <si>
    <t>pCO2 [ppmv] (b* Sr/Ca cocco; diffusive model)</t>
  </si>
  <si>
    <t>pCO2 [ppmv] (¬µ = 1.7 d-1; HCO3- uptake)</t>
  </si>
  <si>
    <t>pCO2 [ppmv] (¬µ = 1 d-1; HCO3- uptake)</t>
  </si>
  <si>
    <t>pCO2 [ppmv] (¬µ = 0.5 d-1; HCO3- uptake)</t>
  </si>
  <si>
    <t>pCO2 [ppmv] (¬µ = 0.5-0.85 d-1; HCO3- uptake)</t>
  </si>
  <si>
    <t>Comment</t>
  </si>
  <si>
    <t>corrected d13C for pennate impurites, d13C Neogloboquadrina denote calculated values using measured d13C values from Globigerinoides sacculifer and assuming a similar foraminifer gradient compared to adjacent samples</t>
  </si>
  <si>
    <t>order</t>
  </si>
  <si>
    <t>variable_name</t>
  </si>
  <si>
    <t>description</t>
  </si>
  <si>
    <t>summary</t>
  </si>
  <si>
    <t>copy from data table</t>
  </si>
  <si>
    <t>info</t>
  </si>
  <si>
    <t>preferably MLA</t>
  </si>
  <si>
    <t>doi as e.g. "10.1002/palo.20015"</t>
  </si>
  <si>
    <t>sample</t>
  </si>
  <si>
    <t>ODP-type information.  For other sediment cores, try to fit into these categories and put sample name into full_sample_name_in_source</t>
  </si>
  <si>
    <t>W or A for work or archive</t>
  </si>
  <si>
    <t>for ODP, mbsf, mcd, etc.</t>
  </si>
  <si>
    <t>age</t>
  </si>
  <si>
    <t>1sem, 2sem, 1std, 2std, uniform, etc.  sem and std are gaussian</t>
  </si>
  <si>
    <t>describe timescale used, what the age model is based on.</t>
  </si>
  <si>
    <t>location</t>
  </si>
  <si>
    <t>water depth in meters</t>
  </si>
  <si>
    <t>if site is an upwelling location, note here</t>
  </si>
  <si>
    <t>isotopes_DIC</t>
  </si>
  <si>
    <t>number of measurements going into uncertainty</t>
  </si>
  <si>
    <t>taxon name or "bulk"</t>
  </si>
  <si>
    <t>e.g. 350-400, &lt;63 etc.</t>
  </si>
  <si>
    <t>isotopes_biomass</t>
  </si>
  <si>
    <t>e.g. Mk37_2</t>
  </si>
  <si>
    <t>seawater_chemistry</t>
  </si>
  <si>
    <t>temperature</t>
  </si>
  <si>
    <t>copy the temperature data used for the calculation here</t>
  </si>
  <si>
    <t>e.g. TEX86, MgCa</t>
  </si>
  <si>
    <t>put units here; e.g. "ng/g dry wt"</t>
  </si>
  <si>
    <t>cell_size</t>
  </si>
  <si>
    <t>growth_rate</t>
  </si>
  <si>
    <t>epsilon_p</t>
  </si>
  <si>
    <t>epsilon_f value used to calculate CO2aq from epsilon_p and b</t>
  </si>
  <si>
    <t>pCO2</t>
  </si>
  <si>
    <t>typically Ep = Ef - b/CO2 for conventional alkenone method</t>
  </si>
  <si>
    <t>typically pCO2 = CO2 / K0</t>
  </si>
  <si>
    <t>notes</t>
  </si>
  <si>
    <t>T or F for whether to include this sample</t>
  </si>
  <si>
    <t>explanation for exclusion</t>
  </si>
  <si>
    <t>unique sample ID for the "parent" of this sample, in the event this study includes recalculated or republished data</t>
  </si>
  <si>
    <t>unique sample ID for the "child" of this sample, in the event subsequent studies recalculate or republish data</t>
  </si>
  <si>
    <t>age_ka</t>
  </si>
  <si>
    <t>Age_uncertainty_pos_ka</t>
  </si>
  <si>
    <t>Age_uncertainty_neg_ka</t>
  </si>
  <si>
    <t>CO2_ppm</t>
  </si>
  <si>
    <t>CO2_uncertainty_pos_ppm</t>
  </si>
  <si>
    <t>Basic Info</t>
  </si>
  <si>
    <t>REFERENCE AND CONTACT INFORMATION</t>
  </si>
  <si>
    <t>CO2aq_d13C_uncertainty_permil</t>
  </si>
  <si>
    <t>CO2aq_d13C_uncertainty_type</t>
  </si>
  <si>
    <t>interval_depth_bot_cm</t>
  </si>
  <si>
    <t>epsilon_p_permil</t>
  </si>
  <si>
    <t>epsilon_p_uncertainty_pos_permil</t>
  </si>
  <si>
    <t>epsilon_p_uncertainty_neg_permil</t>
  </si>
  <si>
    <t>epsilon_p_uncertainty_type</t>
  </si>
  <si>
    <t>phytoplankton</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</si>
  <si>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</si>
  <si>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</si>
  <si>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</si>
  <si>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</si>
  <si>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</si>
  <si>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</si>
  <si>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doi link to reference</t>
  </si>
  <si>
    <t>reference of the data product</t>
  </si>
  <si>
    <t>site_latitude</t>
  </si>
  <si>
    <t>decimal degrees (south negative)</t>
  </si>
  <si>
    <t>site_longitude</t>
  </si>
  <si>
    <t>decimal degrees (west negative)</t>
  </si>
  <si>
    <t>site_paleolatitude</t>
  </si>
  <si>
    <t>site_paleolongitude</t>
  </si>
  <si>
    <t>unique_id</t>
  </si>
  <si>
    <t>phytoplankton_Mejia_2017_1</t>
  </si>
  <si>
    <t>phytoplankton_Mejia_2017_2</t>
  </si>
  <si>
    <t>phytoplankton_Mejia_2017_3</t>
  </si>
  <si>
    <t>phytoplankton_Mejia_2017_4</t>
  </si>
  <si>
    <t>phytoplankton_Mejia_2017_5</t>
  </si>
  <si>
    <t>phytoplankton_Mejia_2017_6</t>
  </si>
  <si>
    <t>phytoplankton_Mejia_2017_7</t>
  </si>
  <si>
    <t>&lt;proxy&gt;_&lt;first_author_last_name&gt;_&lt;publication_year&gt;_&lt;row&gt;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</si>
</sst>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sz val="10"/>
      <name val="Arial"/>
      <family val="2"/>
    </font>
    <font>
      <sz val="12"/>
      <color rgb="FF000000"/>
      <name val="Calibri"/>
      <family val="2"/>
      <scheme val="minor"/>
    </font>
    <font>
      <i/>
      <sz val="10"/>
      <name val="Arial"/>
      <family val="2"/>
    </font>
    <font>
      <i/>
      <sz val="12"/>
      <color theme="1"/>
      <name val="Calibri"/>
      <family val="2"/>
      <scheme val="minor"/>
    </font>
    <font>
      <b/>
      <sz val="10"/>
      <name val="Arial"/>
      <family val="2"/>
    </font>
    <font>
      <b/>
      <sz val="12"/>
      <name val="Calibri"/>
      <family val="2"/>
      <scheme val="minor"/>
    </font>
    <font>
      <sz val="10"/>
      <color theme="1"/>
      <name val="Arial"/>
      <family val="2"/>
    </font>
    <font>
      <sz val="1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hair">
        <color auto="1"/>
      </left>
      <right style="hair">
        <color auto="1"/>
      </right>
      <top/>
      <bottom style="thin">
        <color auto="1"/>
      </bottom>
      <diagonal/>
    </border>
    <border>
      <left/>
      <right/>
      <top/>
      <bottom style="thin">
        <color auto="1"/>
      </bottom>
      <diagonal/>
    </border>
  </borders>
  <cellStyleXfs count="2">
    <xf numFmtId="0" fontId="0" fillId="0" borderId="0"/>
    <xf numFmtId="0" fontId="1" fillId="0" borderId="0"/>
  </cellStyleXfs>
  <cellXfs count="26">
    <xf numFmtId="0" fontId="0" fillId="0" borderId="0" xfId="0"/>
    <xf numFmtId="49" fontId="1" fillId="0" borderId="0" xfId="0" applyNumberFormat="1" applyFont="1" applyAlignment="1">
      <alignment wrapText="1"/>
    </xf>
    <xf numFmtId="0" fontId="1" fillId="0" borderId="0" xfId="0" applyFont="1" applyAlignment="1">
      <alignment wrapText="1"/>
    </xf>
    <xf numFmtId="49" fontId="0" fillId="0" borderId="0" xfId="0" applyNumberFormat="1"/>
    <xf numFmtId="49" fontId="1" fillId="0" borderId="0" xfId="0" applyNumberFormat="1" applyFont="1"/>
    <xf numFmtId="0" fontId="1" fillId="0" borderId="0" xfId="0" applyFont="1"/>
    <xf numFmtId="49" fontId="2" fillId="0" borderId="0" xfId="0" applyNumberFormat="1" applyFont="1"/>
    <xf numFmtId="0" fontId="1" fillId="0" borderId="0" xfId="0" applyFont="1" applyAlignment="1">
      <alignment horizontal="center"/>
    </xf>
    <xf numFmtId="0" fontId="2" fillId="0" borderId="0" xfId="0" applyFont="1"/>
    <xf numFmtId="0" fontId="1" fillId="0" borderId="0" xfId="1"/>
    <xf numFmtId="0" fontId="0" fillId="0" borderId="1" xfId="0" applyBorder="1"/>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0" fontId="5" fillId="0" borderId="4" xfId="0" applyFont="1" applyBorder="1"/>
    <xf numFmtId="0" fontId="6" fillId="0" borderId="0" xfId="0" applyFont="1" applyBorder="1"/>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0" fontId="7" fillId="2" borderId="5" xfId="0" applyFont="1" applyFill="1" applyBorder="1" applyAlignment="1">
      <alignment horizontal="center" wrapText="1"/>
    </xf>
    <xf numFmtId="0" fontId="8" fillId="0" borderId="6" xfId="0" applyFont="1" applyFill="1" applyBorder="1" applyAlignment="1">
      <alignment horizontal="center" vertical="center" wrapText="1"/>
    </xf>
    <xf numFmtId="49" fontId="8" fillId="0" borderId="0" xfId="0" applyNumberFormat="1" applyFont="1" applyAlignment="1">
      <alignment wrapText="1"/>
    </xf>
    <xf numFmtId="0" fontId="0" fillId="0" borderId="0" xfId="0" applyAlignment="1">
      <alignment horizontal="left"/>
    </xf>
  </cellXfs>
  <cellStyles count="2">
    <cellStyle name="Normal" xfId="0" builtinId="0"/>
    <cellStyle name="Normal 2" xfId="1" xr:uid="{ECFD7A43-821F-EE42-8151-B14B0B3B5B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D1ED-E14E-CD4D-8967-FECEAE7EDCF3}">
  <dimension ref="A1:FY10"/>
  <sheetViews>
    <sheetView topLeftCell="FP1" workbookViewId="0">
      <selection activeCell="FV3" sqref="FV3:FV10"/>
    </sheetView>
  </sheetViews>
  <sheetFormatPr baseColWidth="10" defaultRowHeight="16"/>
  <sheetData>
    <row r="1" spans="1:181">
      <c r="A1" s="17" t="s">
        <v>319</v>
      </c>
      <c r="K1" s="18" t="s">
        <v>320</v>
      </c>
    </row>
    <row r="3" spans="1:181" ht="90">
      <c r="A3" s="10" t="s">
        <v>0</v>
      </c>
      <c r="B3" s="11" t="s">
        <v>1</v>
      </c>
      <c r="C3" s="11" t="s">
        <v>2</v>
      </c>
      <c r="D3" s="12" t="s">
        <v>5</v>
      </c>
      <c r="E3" s="12" t="s">
        <v>314</v>
      </c>
      <c r="F3" s="13" t="s">
        <v>315</v>
      </c>
      <c r="G3" s="13" t="s">
        <v>316</v>
      </c>
      <c r="H3" s="14" t="s">
        <v>317</v>
      </c>
      <c r="I3" s="15" t="s">
        <v>318</v>
      </c>
      <c r="J3" s="16" t="s">
        <v>329</v>
      </c>
      <c r="K3" s="1" t="s">
        <v>3</v>
      </c>
      <c r="L3" s="1" t="s">
        <v>4</v>
      </c>
      <c r="M3" s="22" t="s">
        <v>330</v>
      </c>
      <c r="N3" s="1" t="s">
        <v>335</v>
      </c>
      <c r="O3" s="1" t="s">
        <v>6</v>
      </c>
      <c r="P3" s="1" t="s">
        <v>7</v>
      </c>
      <c r="Q3" s="1" t="s">
        <v>8</v>
      </c>
      <c r="R3" s="1" t="s">
        <v>9</v>
      </c>
      <c r="S3" s="1" t="s">
        <v>10</v>
      </c>
      <c r="T3" s="1" t="s">
        <v>11</v>
      </c>
      <c r="U3" s="1" t="s">
        <v>12</v>
      </c>
      <c r="V3" s="1" t="s">
        <v>323</v>
      </c>
      <c r="W3" s="1" t="s">
        <v>13</v>
      </c>
      <c r="X3" s="1" t="s">
        <v>14</v>
      </c>
      <c r="Y3" s="1" t="s">
        <v>15</v>
      </c>
      <c r="Z3" s="1" t="s">
        <v>16</v>
      </c>
      <c r="AA3" s="1" t="s">
        <v>17</v>
      </c>
      <c r="AB3" s="1" t="s">
        <v>18</v>
      </c>
      <c r="AC3" s="1" t="s">
        <v>19</v>
      </c>
      <c r="AD3" s="1" t="s">
        <v>20</v>
      </c>
      <c r="AE3" s="1" t="s">
        <v>21</v>
      </c>
      <c r="AF3" s="1" t="s">
        <v>22</v>
      </c>
      <c r="AG3" s="1" t="s">
        <v>23</v>
      </c>
      <c r="AH3" s="23" t="s">
        <v>331</v>
      </c>
      <c r="AI3" s="23" t="s">
        <v>332</v>
      </c>
      <c r="AJ3" s="24" t="s">
        <v>24</v>
      </c>
      <c r="AK3" s="23" t="s">
        <v>333</v>
      </c>
      <c r="AL3" s="23" t="s">
        <v>334</v>
      </c>
      <c r="AM3" s="1" t="s">
        <v>25</v>
      </c>
      <c r="AN3" s="1" t="s">
        <v>26</v>
      </c>
      <c r="AO3" s="1" t="s">
        <v>27</v>
      </c>
      <c r="AP3" s="1" t="s">
        <v>28</v>
      </c>
      <c r="AQ3" s="1" t="s">
        <v>29</v>
      </c>
      <c r="AR3" s="1" t="s">
        <v>30</v>
      </c>
      <c r="AS3" s="1" t="s">
        <v>31</v>
      </c>
      <c r="AT3" s="1" t="s">
        <v>32</v>
      </c>
      <c r="AU3" s="1" t="s">
        <v>33</v>
      </c>
      <c r="AV3" s="1" t="s">
        <v>34</v>
      </c>
      <c r="AW3" s="1" t="s">
        <v>35</v>
      </c>
      <c r="AX3" s="1" t="s">
        <v>36</v>
      </c>
      <c r="AY3" s="1" t="s">
        <v>37</v>
      </c>
      <c r="AZ3" s="1" t="s">
        <v>38</v>
      </c>
      <c r="BA3" s="1" t="s">
        <v>39</v>
      </c>
      <c r="BB3" s="1" t="s">
        <v>40</v>
      </c>
      <c r="BC3" s="1" t="s">
        <v>41</v>
      </c>
      <c r="BD3" s="1" t="s">
        <v>42</v>
      </c>
      <c r="BE3" s="1" t="s">
        <v>43</v>
      </c>
      <c r="BF3" s="1" t="s">
        <v>44</v>
      </c>
      <c r="BG3" s="1" t="s">
        <v>45</v>
      </c>
      <c r="BH3" s="1" t="s">
        <v>46</v>
      </c>
      <c r="BI3" s="1" t="s">
        <v>47</v>
      </c>
      <c r="BJ3" s="1" t="s">
        <v>48</v>
      </c>
      <c r="BK3" s="1" t="s">
        <v>49</v>
      </c>
      <c r="BL3" s="1" t="s">
        <v>50</v>
      </c>
      <c r="BM3" s="1" t="s">
        <v>51</v>
      </c>
      <c r="BN3" s="1" t="s">
        <v>52</v>
      </c>
      <c r="BO3" s="1" t="s">
        <v>53</v>
      </c>
      <c r="BP3" s="1" t="s">
        <v>321</v>
      </c>
      <c r="BQ3" s="1" t="s">
        <v>322</v>
      </c>
      <c r="BR3" s="1" t="s">
        <v>54</v>
      </c>
      <c r="BS3" s="1" t="s">
        <v>55</v>
      </c>
      <c r="BT3" s="1" t="s">
        <v>56</v>
      </c>
      <c r="BU3" s="1" t="s">
        <v>57</v>
      </c>
      <c r="BV3" s="1" t="s">
        <v>58</v>
      </c>
      <c r="BW3" s="1" t="s">
        <v>59</v>
      </c>
      <c r="BX3" s="1" t="s">
        <v>60</v>
      </c>
      <c r="BY3" s="1" t="s">
        <v>61</v>
      </c>
      <c r="BZ3" s="1" t="s">
        <v>62</v>
      </c>
      <c r="CA3" s="1" t="s">
        <v>63</v>
      </c>
      <c r="CB3" s="1" t="s">
        <v>64</v>
      </c>
      <c r="CC3" s="1" t="s">
        <v>65</v>
      </c>
      <c r="CD3" s="1" t="s">
        <v>66</v>
      </c>
      <c r="CE3" s="1" t="s">
        <v>67</v>
      </c>
      <c r="CF3" s="1" t="s">
        <v>68</v>
      </c>
      <c r="CG3" s="1" t="s">
        <v>69</v>
      </c>
      <c r="CH3" s="1" t="s">
        <v>70</v>
      </c>
      <c r="CI3" s="1" t="s">
        <v>71</v>
      </c>
      <c r="CJ3" s="1" t="s">
        <v>72</v>
      </c>
      <c r="CK3" s="1" t="s">
        <v>73</v>
      </c>
      <c r="CL3" s="1" t="s">
        <v>74</v>
      </c>
      <c r="CM3" s="1" t="s">
        <v>75</v>
      </c>
      <c r="CN3" s="1" t="s">
        <v>76</v>
      </c>
      <c r="CO3" s="1" t="s">
        <v>77</v>
      </c>
      <c r="CP3" s="1" t="s">
        <v>78</v>
      </c>
      <c r="CQ3" s="1" t="s">
        <v>79</v>
      </c>
      <c r="CR3" s="1" t="s">
        <v>80</v>
      </c>
      <c r="CS3" s="1" t="s">
        <v>81</v>
      </c>
      <c r="CT3" s="1" t="s">
        <v>82</v>
      </c>
      <c r="CU3" s="1" t="s">
        <v>83</v>
      </c>
      <c r="CV3" s="1" t="s">
        <v>84</v>
      </c>
      <c r="CW3" s="1" t="s">
        <v>85</v>
      </c>
      <c r="CX3" s="1" t="s">
        <v>86</v>
      </c>
      <c r="CY3" s="1" t="s">
        <v>87</v>
      </c>
      <c r="CZ3" s="1" t="s">
        <v>88</v>
      </c>
      <c r="DA3" s="1" t="s">
        <v>89</v>
      </c>
      <c r="DB3" s="1" t="s">
        <v>90</v>
      </c>
      <c r="DC3" s="1" t="s">
        <v>91</v>
      </c>
      <c r="DD3" s="1" t="s">
        <v>92</v>
      </c>
      <c r="DE3" s="1" t="s">
        <v>93</v>
      </c>
      <c r="DF3" s="1" t="s">
        <v>94</v>
      </c>
      <c r="DG3" s="1" t="s">
        <v>95</v>
      </c>
      <c r="DH3" s="1" t="s">
        <v>96</v>
      </c>
      <c r="DI3" s="1" t="s">
        <v>97</v>
      </c>
      <c r="DJ3" s="1" t="s">
        <v>98</v>
      </c>
      <c r="DK3" s="1" t="s">
        <v>99</v>
      </c>
      <c r="DL3" s="1" t="s">
        <v>100</v>
      </c>
      <c r="DM3" s="1" t="s">
        <v>101</v>
      </c>
      <c r="DN3" s="1" t="s">
        <v>102</v>
      </c>
      <c r="DO3" s="1" t="s">
        <v>103</v>
      </c>
      <c r="DP3" s="1" t="s">
        <v>104</v>
      </c>
      <c r="DQ3" s="1" t="s">
        <v>105</v>
      </c>
      <c r="DR3" s="1" t="s">
        <v>106</v>
      </c>
      <c r="DS3" s="1" t="s">
        <v>107</v>
      </c>
      <c r="DT3" s="1" t="s">
        <v>108</v>
      </c>
      <c r="DU3" s="1" t="s">
        <v>109</v>
      </c>
      <c r="DV3" s="1" t="s">
        <v>110</v>
      </c>
      <c r="DW3" s="1" t="s">
        <v>111</v>
      </c>
      <c r="DX3" s="1" t="s">
        <v>112</v>
      </c>
      <c r="DY3" s="1" t="s">
        <v>113</v>
      </c>
      <c r="DZ3" s="1" t="s">
        <v>114</v>
      </c>
      <c r="EA3" s="1" t="s">
        <v>115</v>
      </c>
      <c r="EB3" s="1" t="s">
        <v>116</v>
      </c>
      <c r="EC3" s="1" t="s">
        <v>117</v>
      </c>
      <c r="ED3" s="1" t="s">
        <v>118</v>
      </c>
      <c r="EE3" s="1" t="s">
        <v>119</v>
      </c>
      <c r="EF3" s="1" t="s">
        <v>120</v>
      </c>
      <c r="EG3" s="1" t="s">
        <v>121</v>
      </c>
      <c r="EH3" s="1" t="s">
        <v>122</v>
      </c>
      <c r="EI3" s="1" t="s">
        <v>123</v>
      </c>
      <c r="EJ3" s="1" t="s">
        <v>124</v>
      </c>
      <c r="EK3" s="1" t="s">
        <v>125</v>
      </c>
      <c r="EL3" s="1" t="s">
        <v>126</v>
      </c>
      <c r="EM3" s="1" t="s">
        <v>127</v>
      </c>
      <c r="EN3" s="1" t="s">
        <v>128</v>
      </c>
      <c r="EO3" s="1" t="s">
        <v>129</v>
      </c>
      <c r="EP3" s="1" t="s">
        <v>130</v>
      </c>
      <c r="EQ3" s="1" t="s">
        <v>131</v>
      </c>
      <c r="ER3" s="1" t="s">
        <v>132</v>
      </c>
      <c r="ES3" s="1" t="s">
        <v>133</v>
      </c>
      <c r="ET3" s="1" t="s">
        <v>134</v>
      </c>
      <c r="EU3" s="1" t="s">
        <v>135</v>
      </c>
      <c r="EV3" s="1" t="s">
        <v>136</v>
      </c>
      <c r="EW3" s="1" t="s">
        <v>137</v>
      </c>
      <c r="EX3" s="1" t="s">
        <v>324</v>
      </c>
      <c r="EY3" s="1" t="s">
        <v>325</v>
      </c>
      <c r="EZ3" s="1" t="s">
        <v>326</v>
      </c>
      <c r="FA3" s="1" t="s">
        <v>327</v>
      </c>
      <c r="FB3" s="1" t="s">
        <v>138</v>
      </c>
      <c r="FC3" s="1" t="s">
        <v>139</v>
      </c>
      <c r="FD3" s="1" t="s">
        <v>140</v>
      </c>
      <c r="FE3" s="1" t="s">
        <v>141</v>
      </c>
      <c r="FF3" s="1" t="s">
        <v>142</v>
      </c>
      <c r="FG3" s="1" t="s">
        <v>143</v>
      </c>
      <c r="FH3" s="1" t="s">
        <v>144</v>
      </c>
      <c r="FI3" s="1" t="s">
        <v>145</v>
      </c>
      <c r="FJ3" s="1" t="s">
        <v>146</v>
      </c>
      <c r="FK3" s="1" t="s">
        <v>147</v>
      </c>
      <c r="FL3" s="1" t="s">
        <v>148</v>
      </c>
      <c r="FM3" s="1" t="s">
        <v>149</v>
      </c>
      <c r="FN3" s="1" t="s">
        <v>150</v>
      </c>
      <c r="FO3" s="1" t="s">
        <v>151</v>
      </c>
      <c r="FP3" s="1" t="s">
        <v>152</v>
      </c>
      <c r="FQ3" s="1" t="s">
        <v>153</v>
      </c>
      <c r="FR3" s="1" t="s">
        <v>154</v>
      </c>
      <c r="FS3" s="1" t="s">
        <v>155</v>
      </c>
      <c r="FT3" s="2" t="s">
        <v>156</v>
      </c>
      <c r="FU3" s="2" t="s">
        <v>157</v>
      </c>
      <c r="FV3" s="1" t="s">
        <v>343</v>
      </c>
      <c r="FW3" s="2" t="s">
        <v>158</v>
      </c>
      <c r="FX3" s="2" t="s">
        <v>159</v>
      </c>
      <c r="FY3" s="2" t="s">
        <v>160</v>
      </c>
    </row>
    <row r="4" spans="1:181">
      <c r="A4" t="s">
        <v>328</v>
      </c>
      <c r="B4" t="s">
        <v>161</v>
      </c>
      <c r="C4">
        <v>2017</v>
      </c>
      <c r="D4" s="3" t="str">
        <f>N4</f>
        <v>10.1016/j.epsl.2017.08.034</v>
      </c>
      <c r="E4" s="3">
        <f>AB4</f>
        <v>820</v>
      </c>
      <c r="F4" s="3" t="str">
        <f>AC4</f>
        <v>NA</v>
      </c>
      <c r="G4" s="3" t="str">
        <f>AD4</f>
        <v>NA</v>
      </c>
      <c r="H4" s="3" t="str">
        <f>FH4</f>
        <v>NA</v>
      </c>
      <c r="I4" s="3" t="str">
        <f>FI4</f>
        <v>NA</v>
      </c>
      <c r="J4" s="3" t="str">
        <f>FJ4</f>
        <v>NA</v>
      </c>
      <c r="K4" t="s">
        <v>162</v>
      </c>
      <c r="L4" t="s">
        <v>163</v>
      </c>
      <c r="M4" t="s">
        <v>164</v>
      </c>
      <c r="N4" t="s">
        <v>165</v>
      </c>
      <c r="O4">
        <v>846</v>
      </c>
      <c r="P4" t="s">
        <v>166</v>
      </c>
      <c r="Q4">
        <v>4</v>
      </c>
      <c r="R4" t="s">
        <v>167</v>
      </c>
      <c r="S4" t="s">
        <v>168</v>
      </c>
      <c r="T4">
        <v>1</v>
      </c>
      <c r="U4">
        <v>103</v>
      </c>
      <c r="V4">
        <v>105</v>
      </c>
      <c r="W4" t="s">
        <v>169</v>
      </c>
      <c r="X4">
        <v>30.18</v>
      </c>
      <c r="Y4">
        <v>30.200000000000003</v>
      </c>
      <c r="Z4">
        <v>30.19</v>
      </c>
      <c r="AA4" s="3" t="s">
        <v>170</v>
      </c>
      <c r="AB4">
        <v>820</v>
      </c>
      <c r="AC4" s="3" t="s">
        <v>168</v>
      </c>
      <c r="AD4" s="3" t="s">
        <v>168</v>
      </c>
      <c r="AE4" s="3" t="s">
        <v>168</v>
      </c>
      <c r="AF4" s="3" t="s">
        <v>168</v>
      </c>
      <c r="AG4" t="s">
        <v>171</v>
      </c>
      <c r="AH4">
        <v>-3.0949300000000002</v>
      </c>
      <c r="AI4">
        <v>-90.817959999999999</v>
      </c>
      <c r="AJ4">
        <v>-3925.8</v>
      </c>
      <c r="AK4" s="3" t="s">
        <v>168</v>
      </c>
      <c r="AL4" s="3" t="s">
        <v>168</v>
      </c>
      <c r="AM4" s="3" t="s">
        <v>168</v>
      </c>
      <c r="AN4" s="3" t="s">
        <v>168</v>
      </c>
      <c r="AO4" s="3" t="s">
        <v>172</v>
      </c>
      <c r="AP4" t="s">
        <v>173</v>
      </c>
      <c r="AQ4" s="3" t="s">
        <v>168</v>
      </c>
      <c r="AR4">
        <v>34.25</v>
      </c>
      <c r="AS4" s="3" t="s">
        <v>168</v>
      </c>
      <c r="AT4" s="3" t="s">
        <v>168</v>
      </c>
      <c r="AU4" s="3" t="s">
        <v>168</v>
      </c>
      <c r="AV4" t="s">
        <v>174</v>
      </c>
      <c r="AW4" s="3" t="s">
        <v>168</v>
      </c>
      <c r="AX4">
        <v>1.1299999999999999</v>
      </c>
      <c r="AY4">
        <v>0.05</v>
      </c>
      <c r="AZ4" s="3" t="s">
        <v>175</v>
      </c>
      <c r="BA4" s="3" t="s">
        <v>168</v>
      </c>
      <c r="BB4">
        <v>1.19</v>
      </c>
      <c r="BC4">
        <v>0.06</v>
      </c>
      <c r="BD4" s="3" t="s">
        <v>175</v>
      </c>
      <c r="BE4" s="3" t="s">
        <v>168</v>
      </c>
      <c r="BF4" s="3" t="s">
        <v>176</v>
      </c>
      <c r="BG4" s="3" t="s">
        <v>177</v>
      </c>
      <c r="BH4">
        <v>-1.5</v>
      </c>
      <c r="BI4" t="s">
        <v>168</v>
      </c>
      <c r="BJ4" s="3" t="s">
        <v>168</v>
      </c>
      <c r="BK4" s="3" t="s">
        <v>168</v>
      </c>
      <c r="BL4" s="3" t="s">
        <v>168</v>
      </c>
      <c r="BM4" s="3" t="s">
        <v>168</v>
      </c>
      <c r="BN4" s="3" t="s">
        <v>168</v>
      </c>
      <c r="BO4" s="3" t="s">
        <v>168</v>
      </c>
      <c r="BP4" s="3" t="s">
        <v>168</v>
      </c>
      <c r="BQ4" s="3" t="s">
        <v>168</v>
      </c>
      <c r="BR4" s="3" t="s">
        <v>178</v>
      </c>
      <c r="BS4" s="4" t="s">
        <v>179</v>
      </c>
      <c r="BT4">
        <v>-20.49</v>
      </c>
      <c r="BU4" s="3" t="s">
        <v>180</v>
      </c>
      <c r="BV4">
        <v>0.4</v>
      </c>
      <c r="BW4" s="5" t="s">
        <v>168</v>
      </c>
      <c r="BX4" t="s">
        <v>175</v>
      </c>
      <c r="BY4">
        <v>0</v>
      </c>
      <c r="BZ4" s="6" t="s">
        <v>168</v>
      </c>
      <c r="CA4" s="6" t="s">
        <v>168</v>
      </c>
      <c r="CB4">
        <v>-20.49</v>
      </c>
      <c r="CC4">
        <v>0.4</v>
      </c>
      <c r="CD4" s="5" t="s">
        <v>168</v>
      </c>
      <c r="CE4" s="3" t="s">
        <v>168</v>
      </c>
      <c r="CF4" s="3" t="s">
        <v>181</v>
      </c>
      <c r="CG4" t="s">
        <v>168</v>
      </c>
      <c r="CH4" s="3" t="s">
        <v>168</v>
      </c>
      <c r="CI4" s="3" t="s">
        <v>168</v>
      </c>
      <c r="CJ4" s="3" t="s">
        <v>168</v>
      </c>
      <c r="CK4" s="3" t="s">
        <v>168</v>
      </c>
      <c r="CL4" s="3" t="s">
        <v>168</v>
      </c>
      <c r="CM4" s="3" t="s">
        <v>168</v>
      </c>
      <c r="CN4" s="3" t="s">
        <v>168</v>
      </c>
      <c r="CO4" s="3" t="s">
        <v>168</v>
      </c>
      <c r="CP4" s="3" t="s">
        <v>168</v>
      </c>
      <c r="CQ4" s="3" t="s">
        <v>168</v>
      </c>
      <c r="CR4">
        <v>22.62</v>
      </c>
      <c r="CS4" s="3" t="s">
        <v>168</v>
      </c>
      <c r="CT4" s="3" t="s">
        <v>168</v>
      </c>
      <c r="CU4" s="3" t="s">
        <v>168</v>
      </c>
      <c r="CV4" s="3" t="s">
        <v>182</v>
      </c>
      <c r="CW4" s="3" t="s">
        <v>168</v>
      </c>
      <c r="CX4" s="3" t="s">
        <v>168</v>
      </c>
      <c r="CY4">
        <v>22.62</v>
      </c>
      <c r="CZ4" s="3" t="s">
        <v>168</v>
      </c>
      <c r="DA4" s="3" t="s">
        <v>168</v>
      </c>
      <c r="DB4" s="3" t="s">
        <v>168</v>
      </c>
      <c r="DC4" s="3" t="s">
        <v>183</v>
      </c>
      <c r="DD4" s="3" t="s">
        <v>168</v>
      </c>
      <c r="DE4" s="3" t="s">
        <v>168</v>
      </c>
      <c r="DF4" s="3" t="s">
        <v>168</v>
      </c>
      <c r="DG4" s="3" t="s">
        <v>168</v>
      </c>
      <c r="DH4" s="3" t="s">
        <v>168</v>
      </c>
      <c r="DI4" s="3" t="s">
        <v>168</v>
      </c>
      <c r="DJ4" s="3" t="s">
        <v>168</v>
      </c>
      <c r="DK4" s="3" t="s">
        <v>168</v>
      </c>
      <c r="DL4" s="3" t="s">
        <v>168</v>
      </c>
      <c r="DM4" s="3" t="s">
        <v>168</v>
      </c>
      <c r="DN4">
        <v>6.11</v>
      </c>
      <c r="DO4" s="3" t="s">
        <v>168</v>
      </c>
      <c r="DP4" s="3" t="s">
        <v>168</v>
      </c>
      <c r="DQ4" s="3" t="s">
        <v>168</v>
      </c>
      <c r="DR4" s="3" t="s">
        <v>184</v>
      </c>
      <c r="DS4" s="3" t="s">
        <v>168</v>
      </c>
      <c r="DT4" s="3" t="s">
        <v>168</v>
      </c>
      <c r="DU4" s="3" t="s">
        <v>168</v>
      </c>
      <c r="DV4" s="3" t="s">
        <v>168</v>
      </c>
      <c r="DW4" s="3" t="s">
        <v>168</v>
      </c>
      <c r="DX4" s="3" t="s">
        <v>168</v>
      </c>
      <c r="DY4" s="3" t="s">
        <v>168</v>
      </c>
      <c r="DZ4" s="3" t="s">
        <v>168</v>
      </c>
      <c r="EA4" s="3" t="s">
        <v>168</v>
      </c>
      <c r="EB4" s="3" t="s">
        <v>168</v>
      </c>
      <c r="EC4" s="3" t="s">
        <v>168</v>
      </c>
      <c r="ED4" s="3" t="s">
        <v>168</v>
      </c>
      <c r="EE4" s="3" t="s">
        <v>168</v>
      </c>
      <c r="EF4" s="3" t="s">
        <v>168</v>
      </c>
      <c r="EG4" s="3" t="s">
        <v>168</v>
      </c>
      <c r="EH4" s="3" t="s">
        <v>168</v>
      </c>
      <c r="EI4" s="3" t="s">
        <v>168</v>
      </c>
      <c r="EJ4" s="3" t="s">
        <v>168</v>
      </c>
      <c r="EK4" s="3" t="s">
        <v>168</v>
      </c>
      <c r="EL4" s="3" t="s">
        <v>168</v>
      </c>
      <c r="EM4" s="3" t="s">
        <v>168</v>
      </c>
      <c r="EN4" s="3" t="s">
        <v>168</v>
      </c>
      <c r="EO4" s="3" t="s">
        <v>168</v>
      </c>
      <c r="EP4" s="3" t="s">
        <v>168</v>
      </c>
      <c r="EQ4" s="3" t="s">
        <v>168</v>
      </c>
      <c r="ER4" t="s">
        <v>168</v>
      </c>
      <c r="ES4" s="3" t="s">
        <v>168</v>
      </c>
      <c r="ET4" s="3" t="s">
        <v>168</v>
      </c>
      <c r="EU4" s="3" t="s">
        <v>168</v>
      </c>
      <c r="EV4" s="4" t="s">
        <v>168</v>
      </c>
      <c r="EW4">
        <v>25</v>
      </c>
      <c r="EX4">
        <v>11.19</v>
      </c>
      <c r="EY4" t="s">
        <v>168</v>
      </c>
      <c r="EZ4" t="s">
        <v>168</v>
      </c>
      <c r="FA4" t="s">
        <v>168</v>
      </c>
      <c r="FB4" s="3" t="s">
        <v>168</v>
      </c>
      <c r="FC4" s="3" t="s">
        <v>168</v>
      </c>
      <c r="FD4" s="3" t="s">
        <v>168</v>
      </c>
      <c r="FE4" s="3" t="s">
        <v>168</v>
      </c>
      <c r="FF4" s="3" t="s">
        <v>168</v>
      </c>
      <c r="FG4" s="3" t="s">
        <v>168</v>
      </c>
      <c r="FH4" s="3" t="s">
        <v>168</v>
      </c>
      <c r="FI4" s="3" t="s">
        <v>168</v>
      </c>
      <c r="FJ4" s="3" t="s">
        <v>168</v>
      </c>
      <c r="FK4" s="3" t="s">
        <v>168</v>
      </c>
      <c r="FL4" s="3" t="s">
        <v>168</v>
      </c>
      <c r="FM4" s="4" t="s">
        <v>185</v>
      </c>
      <c r="FN4" s="3" t="s">
        <v>168</v>
      </c>
      <c r="FO4" s="3" t="s">
        <v>168</v>
      </c>
      <c r="FP4" s="3" t="s">
        <v>168</v>
      </c>
      <c r="FQ4" s="3" t="s">
        <v>168</v>
      </c>
      <c r="FR4" s="3" t="s">
        <v>168</v>
      </c>
      <c r="FS4" s="3" t="s">
        <v>168</v>
      </c>
      <c r="FT4" s="7" t="s">
        <v>186</v>
      </c>
      <c r="FU4" s="7" t="s">
        <v>187</v>
      </c>
      <c r="FV4" s="25" t="s">
        <v>344</v>
      </c>
      <c r="FW4" s="7" t="s">
        <v>168</v>
      </c>
      <c r="FX4" s="7" t="s">
        <v>168</v>
      </c>
      <c r="FY4" s="4" t="s">
        <v>185</v>
      </c>
    </row>
    <row r="5" spans="1:181">
      <c r="A5" t="s">
        <v>328</v>
      </c>
      <c r="B5" t="s">
        <v>161</v>
      </c>
      <c r="C5">
        <v>2017</v>
      </c>
      <c r="D5" s="3" t="str">
        <f t="shared" ref="D5:D10" si="0">N5</f>
        <v>10.1016/j.epsl.2017.08.034</v>
      </c>
      <c r="E5" s="3">
        <f t="shared" ref="E5:G10" si="1">AB5</f>
        <v>3990</v>
      </c>
      <c r="F5" s="3" t="str">
        <f t="shared" si="1"/>
        <v>NA</v>
      </c>
      <c r="G5" s="3" t="str">
        <f t="shared" si="1"/>
        <v>NA</v>
      </c>
      <c r="H5" s="3" t="str">
        <f t="shared" ref="H5:J10" si="2">FH5</f>
        <v>NA</v>
      </c>
      <c r="I5" s="3" t="str">
        <f t="shared" si="2"/>
        <v>NA</v>
      </c>
      <c r="J5" s="3" t="str">
        <f t="shared" si="2"/>
        <v>NA</v>
      </c>
      <c r="K5" t="s">
        <v>162</v>
      </c>
      <c r="L5" t="s">
        <v>163</v>
      </c>
      <c r="M5" t="s">
        <v>164</v>
      </c>
      <c r="N5" t="s">
        <v>165</v>
      </c>
      <c r="O5">
        <v>846</v>
      </c>
      <c r="P5" t="s">
        <v>166</v>
      </c>
      <c r="Q5">
        <v>15</v>
      </c>
      <c r="R5" t="s">
        <v>167</v>
      </c>
      <c r="S5" t="s">
        <v>168</v>
      </c>
      <c r="T5">
        <v>4</v>
      </c>
      <c r="U5">
        <v>103</v>
      </c>
      <c r="V5">
        <v>105</v>
      </c>
      <c r="W5" t="s">
        <v>188</v>
      </c>
      <c r="X5">
        <v>155.73000000000002</v>
      </c>
      <c r="Y5">
        <v>155.75</v>
      </c>
      <c r="Z5">
        <v>155.74</v>
      </c>
      <c r="AA5" s="3" t="s">
        <v>170</v>
      </c>
      <c r="AB5">
        <v>3990</v>
      </c>
      <c r="AC5" s="3" t="s">
        <v>168</v>
      </c>
      <c r="AD5" s="3" t="s">
        <v>168</v>
      </c>
      <c r="AE5" s="3" t="s">
        <v>168</v>
      </c>
      <c r="AF5" s="3" t="s">
        <v>168</v>
      </c>
      <c r="AG5" t="s">
        <v>171</v>
      </c>
      <c r="AH5">
        <v>-3.0949300000000002</v>
      </c>
      <c r="AI5">
        <v>-90.817959999999999</v>
      </c>
      <c r="AJ5">
        <v>-3925.8</v>
      </c>
      <c r="AK5" s="3" t="s">
        <v>168</v>
      </c>
      <c r="AL5" s="3" t="s">
        <v>168</v>
      </c>
      <c r="AM5" s="3" t="s">
        <v>168</v>
      </c>
      <c r="AN5" s="3" t="s">
        <v>168</v>
      </c>
      <c r="AO5" s="3" t="s">
        <v>172</v>
      </c>
      <c r="AP5" t="s">
        <v>173</v>
      </c>
      <c r="AQ5" s="3" t="s">
        <v>168</v>
      </c>
      <c r="AR5">
        <v>37.99</v>
      </c>
      <c r="AS5" s="3" t="s">
        <v>168</v>
      </c>
      <c r="AT5" s="3" t="s">
        <v>168</v>
      </c>
      <c r="AU5" s="3" t="s">
        <v>168</v>
      </c>
      <c r="AV5" t="s">
        <v>174</v>
      </c>
      <c r="AW5" s="3" t="s">
        <v>168</v>
      </c>
      <c r="AX5">
        <v>0.47</v>
      </c>
      <c r="AY5">
        <v>0.05</v>
      </c>
      <c r="AZ5" s="3" t="s">
        <v>175</v>
      </c>
      <c r="BA5" s="3" t="s">
        <v>168</v>
      </c>
      <c r="BB5">
        <v>0.23</v>
      </c>
      <c r="BC5">
        <v>0.06</v>
      </c>
      <c r="BD5" s="3" t="s">
        <v>175</v>
      </c>
      <c r="BE5" s="3" t="s">
        <v>168</v>
      </c>
      <c r="BF5" s="3" t="s">
        <v>176</v>
      </c>
      <c r="BG5" s="3" t="s">
        <v>177</v>
      </c>
      <c r="BH5">
        <v>-1.5</v>
      </c>
      <c r="BI5" t="s">
        <v>168</v>
      </c>
      <c r="BJ5" s="3" t="s">
        <v>168</v>
      </c>
      <c r="BK5" s="3" t="s">
        <v>168</v>
      </c>
      <c r="BL5" s="3" t="s">
        <v>168</v>
      </c>
      <c r="BM5" s="3" t="s">
        <v>168</v>
      </c>
      <c r="BN5" s="3" t="s">
        <v>168</v>
      </c>
      <c r="BO5" s="3" t="s">
        <v>168</v>
      </c>
      <c r="BP5" s="3" t="s">
        <v>168</v>
      </c>
      <c r="BQ5" s="3" t="s">
        <v>168</v>
      </c>
      <c r="BR5" s="3" t="s">
        <v>178</v>
      </c>
      <c r="BS5" s="4" t="s">
        <v>179</v>
      </c>
      <c r="BT5">
        <v>-20.02</v>
      </c>
      <c r="BU5" s="3" t="s">
        <v>180</v>
      </c>
      <c r="BV5">
        <v>0.4</v>
      </c>
      <c r="BW5" s="5" t="s">
        <v>168</v>
      </c>
      <c r="BX5" t="s">
        <v>175</v>
      </c>
      <c r="BY5">
        <v>0</v>
      </c>
      <c r="BZ5" s="6" t="s">
        <v>168</v>
      </c>
      <c r="CA5" s="6" t="s">
        <v>168</v>
      </c>
      <c r="CB5">
        <v>-20.02</v>
      </c>
      <c r="CC5">
        <v>0.4</v>
      </c>
      <c r="CD5" s="5" t="s">
        <v>168</v>
      </c>
      <c r="CE5" s="3" t="s">
        <v>168</v>
      </c>
      <c r="CF5" s="3" t="s">
        <v>181</v>
      </c>
      <c r="CG5" t="s">
        <v>168</v>
      </c>
      <c r="CH5" s="3" t="s">
        <v>168</v>
      </c>
      <c r="CI5" s="3" t="s">
        <v>168</v>
      </c>
      <c r="CJ5" s="3" t="s">
        <v>168</v>
      </c>
      <c r="CK5" s="3" t="s">
        <v>168</v>
      </c>
      <c r="CL5" s="3" t="s">
        <v>168</v>
      </c>
      <c r="CM5" s="3" t="s">
        <v>168</v>
      </c>
      <c r="CN5" s="3" t="s">
        <v>168</v>
      </c>
      <c r="CO5" s="3" t="s">
        <v>168</v>
      </c>
      <c r="CP5" s="3" t="s">
        <v>168</v>
      </c>
      <c r="CQ5" s="3" t="s">
        <v>168</v>
      </c>
      <c r="CR5">
        <v>26.02</v>
      </c>
      <c r="CS5" s="3" t="s">
        <v>168</v>
      </c>
      <c r="CT5" s="3" t="s">
        <v>168</v>
      </c>
      <c r="CU5" s="3" t="s">
        <v>168</v>
      </c>
      <c r="CV5" s="3" t="s">
        <v>182</v>
      </c>
      <c r="CW5" s="3" t="s">
        <v>168</v>
      </c>
      <c r="CX5" s="3" t="s">
        <v>168</v>
      </c>
      <c r="CY5">
        <v>26.02</v>
      </c>
      <c r="CZ5" s="3" t="s">
        <v>168</v>
      </c>
      <c r="DA5" s="3" t="s">
        <v>168</v>
      </c>
      <c r="DB5" s="3" t="s">
        <v>168</v>
      </c>
      <c r="DC5" s="3" t="s">
        <v>183</v>
      </c>
      <c r="DD5" s="3" t="s">
        <v>168</v>
      </c>
      <c r="DE5" s="3" t="s">
        <v>168</v>
      </c>
      <c r="DF5" s="3" t="s">
        <v>168</v>
      </c>
      <c r="DG5" s="3" t="s">
        <v>168</v>
      </c>
      <c r="DH5" s="3" t="s">
        <v>168</v>
      </c>
      <c r="DI5" s="3" t="s">
        <v>168</v>
      </c>
      <c r="DJ5" s="3" t="s">
        <v>168</v>
      </c>
      <c r="DK5" s="3" t="s">
        <v>168</v>
      </c>
      <c r="DL5" s="3" t="s">
        <v>168</v>
      </c>
      <c r="DM5" s="3" t="s">
        <v>168</v>
      </c>
      <c r="DN5">
        <v>4.5599999999999996</v>
      </c>
      <c r="DO5" s="3" t="s">
        <v>168</v>
      </c>
      <c r="DP5" s="3" t="s">
        <v>168</v>
      </c>
      <c r="DQ5" s="3" t="s">
        <v>168</v>
      </c>
      <c r="DR5" s="3" t="s">
        <v>184</v>
      </c>
      <c r="DS5" s="3" t="s">
        <v>168</v>
      </c>
      <c r="DT5" s="3" t="s">
        <v>168</v>
      </c>
      <c r="DU5" s="3" t="s">
        <v>168</v>
      </c>
      <c r="DV5" s="3" t="s">
        <v>168</v>
      </c>
      <c r="DW5" s="3" t="s">
        <v>168</v>
      </c>
      <c r="DX5" s="3" t="s">
        <v>168</v>
      </c>
      <c r="DY5" s="3" t="s">
        <v>168</v>
      </c>
      <c r="DZ5" s="3" t="s">
        <v>168</v>
      </c>
      <c r="EA5" s="3" t="s">
        <v>168</v>
      </c>
      <c r="EB5" s="3" t="s">
        <v>168</v>
      </c>
      <c r="EC5" s="3" t="s">
        <v>168</v>
      </c>
      <c r="ED5" s="3" t="s">
        <v>168</v>
      </c>
      <c r="EE5" s="3" t="s">
        <v>168</v>
      </c>
      <c r="EF5" s="3" t="s">
        <v>168</v>
      </c>
      <c r="EG5" s="3" t="s">
        <v>168</v>
      </c>
      <c r="EH5" s="3" t="s">
        <v>168</v>
      </c>
      <c r="EI5" s="3" t="s">
        <v>168</v>
      </c>
      <c r="EJ5" s="3" t="s">
        <v>168</v>
      </c>
      <c r="EK5" s="3" t="s">
        <v>168</v>
      </c>
      <c r="EL5" s="3" t="s">
        <v>168</v>
      </c>
      <c r="EM5" s="3" t="s">
        <v>168</v>
      </c>
      <c r="EN5" s="3" t="s">
        <v>168</v>
      </c>
      <c r="EO5" s="3" t="s">
        <v>168</v>
      </c>
      <c r="EP5" s="3" t="s">
        <v>168</v>
      </c>
      <c r="EQ5" s="3" t="s">
        <v>168</v>
      </c>
      <c r="ER5" t="s">
        <v>168</v>
      </c>
      <c r="ES5" s="3" t="s">
        <v>168</v>
      </c>
      <c r="ET5" s="3" t="s">
        <v>168</v>
      </c>
      <c r="EU5" s="3" t="s">
        <v>168</v>
      </c>
      <c r="EV5" s="4" t="s">
        <v>168</v>
      </c>
      <c r="EW5">
        <v>25</v>
      </c>
      <c r="EX5">
        <v>10.41</v>
      </c>
      <c r="EY5" t="s">
        <v>168</v>
      </c>
      <c r="EZ5" t="s">
        <v>168</v>
      </c>
      <c r="FA5" t="s">
        <v>168</v>
      </c>
      <c r="FB5" s="3" t="s">
        <v>168</v>
      </c>
      <c r="FC5" s="3" t="s">
        <v>168</v>
      </c>
      <c r="FD5" s="3" t="s">
        <v>168</v>
      </c>
      <c r="FE5" s="3" t="s">
        <v>168</v>
      </c>
      <c r="FF5" s="3" t="s">
        <v>168</v>
      </c>
      <c r="FG5" s="3" t="s">
        <v>168</v>
      </c>
      <c r="FH5" s="3" t="s">
        <v>168</v>
      </c>
      <c r="FI5" s="3" t="s">
        <v>168</v>
      </c>
      <c r="FJ5" s="3" t="s">
        <v>168</v>
      </c>
      <c r="FK5" s="3" t="s">
        <v>168</v>
      </c>
      <c r="FL5" s="3" t="s">
        <v>168</v>
      </c>
      <c r="FM5" s="4" t="s">
        <v>185</v>
      </c>
      <c r="FN5" s="3" t="s">
        <v>168</v>
      </c>
      <c r="FO5" s="3" t="s">
        <v>168</v>
      </c>
      <c r="FP5" s="3" t="s">
        <v>168</v>
      </c>
      <c r="FQ5" s="3" t="s">
        <v>168</v>
      </c>
      <c r="FR5" s="3" t="s">
        <v>168</v>
      </c>
      <c r="FS5" s="3" t="s">
        <v>168</v>
      </c>
      <c r="FT5" s="7" t="s">
        <v>186</v>
      </c>
      <c r="FU5" s="7" t="s">
        <v>187</v>
      </c>
      <c r="FV5" s="25" t="s">
        <v>345</v>
      </c>
      <c r="FW5" s="7" t="s">
        <v>168</v>
      </c>
      <c r="FX5" s="7" t="s">
        <v>168</v>
      </c>
      <c r="FY5" s="4" t="s">
        <v>185</v>
      </c>
    </row>
    <row r="6" spans="1:181">
      <c r="A6" t="s">
        <v>328</v>
      </c>
      <c r="B6" t="s">
        <v>161</v>
      </c>
      <c r="C6">
        <v>2017</v>
      </c>
      <c r="D6" s="3" t="str">
        <f t="shared" si="0"/>
        <v>10.1016/j.epsl.2017.08.034</v>
      </c>
      <c r="E6" s="3">
        <f t="shared" si="1"/>
        <v>5810</v>
      </c>
      <c r="F6" s="3" t="str">
        <f t="shared" si="1"/>
        <v>NA</v>
      </c>
      <c r="G6" s="3" t="str">
        <f t="shared" si="1"/>
        <v>NA</v>
      </c>
      <c r="H6" s="3" t="str">
        <f t="shared" si="2"/>
        <v>NA</v>
      </c>
      <c r="I6" s="3" t="str">
        <f t="shared" si="2"/>
        <v>NA</v>
      </c>
      <c r="J6" s="3" t="str">
        <f t="shared" si="2"/>
        <v>NA</v>
      </c>
      <c r="K6" t="s">
        <v>162</v>
      </c>
      <c r="L6" t="s">
        <v>163</v>
      </c>
      <c r="M6" t="s">
        <v>164</v>
      </c>
      <c r="N6" t="s">
        <v>165</v>
      </c>
      <c r="O6">
        <v>846</v>
      </c>
      <c r="P6" t="s">
        <v>166</v>
      </c>
      <c r="Q6">
        <v>22</v>
      </c>
      <c r="R6" t="s">
        <v>167</v>
      </c>
      <c r="S6" t="s">
        <v>168</v>
      </c>
      <c r="T6">
        <v>5</v>
      </c>
      <c r="U6">
        <v>103</v>
      </c>
      <c r="V6">
        <v>105</v>
      </c>
      <c r="W6" t="s">
        <v>189</v>
      </c>
      <c r="X6">
        <v>234.48000000000002</v>
      </c>
      <c r="Y6">
        <v>234.5</v>
      </c>
      <c r="Z6">
        <v>234.49</v>
      </c>
      <c r="AA6" s="3" t="s">
        <v>170</v>
      </c>
      <c r="AB6">
        <v>5810</v>
      </c>
      <c r="AC6" s="3" t="s">
        <v>168</v>
      </c>
      <c r="AD6" s="3" t="s">
        <v>168</v>
      </c>
      <c r="AE6" s="3" t="s">
        <v>168</v>
      </c>
      <c r="AF6" s="3" t="s">
        <v>168</v>
      </c>
      <c r="AG6" t="s">
        <v>171</v>
      </c>
      <c r="AH6">
        <v>-3.0949300000000002</v>
      </c>
      <c r="AI6">
        <v>-90.817959999999999</v>
      </c>
      <c r="AJ6">
        <v>-3925.8</v>
      </c>
      <c r="AK6" s="3" t="s">
        <v>168</v>
      </c>
      <c r="AL6" s="3" t="s">
        <v>168</v>
      </c>
      <c r="AM6" s="3" t="s">
        <v>168</v>
      </c>
      <c r="AN6" s="3" t="s">
        <v>168</v>
      </c>
      <c r="AO6" s="3" t="s">
        <v>172</v>
      </c>
      <c r="AP6" t="s">
        <v>173</v>
      </c>
      <c r="AQ6" s="3" t="s">
        <v>168</v>
      </c>
      <c r="AR6">
        <v>29.45</v>
      </c>
      <c r="AS6" s="3" t="s">
        <v>168</v>
      </c>
      <c r="AT6" s="3" t="s">
        <v>168</v>
      </c>
      <c r="AU6" s="3" t="s">
        <v>168</v>
      </c>
      <c r="AV6" t="s">
        <v>174</v>
      </c>
      <c r="AW6" s="3" t="s">
        <v>168</v>
      </c>
      <c r="AX6">
        <v>0.12</v>
      </c>
      <c r="AY6">
        <v>0.05</v>
      </c>
      <c r="AZ6" s="3" t="s">
        <v>175</v>
      </c>
      <c r="BA6" s="3" t="s">
        <v>168</v>
      </c>
      <c r="BB6">
        <v>-0.78</v>
      </c>
      <c r="BC6">
        <v>0.06</v>
      </c>
      <c r="BD6" s="3" t="s">
        <v>175</v>
      </c>
      <c r="BE6" s="3" t="s">
        <v>168</v>
      </c>
      <c r="BF6" s="3" t="s">
        <v>176</v>
      </c>
      <c r="BG6" s="3" t="s">
        <v>177</v>
      </c>
      <c r="BH6">
        <v>-1.5</v>
      </c>
      <c r="BI6" t="s">
        <v>168</v>
      </c>
      <c r="BJ6" s="3" t="s">
        <v>168</v>
      </c>
      <c r="BK6" s="3" t="s">
        <v>168</v>
      </c>
      <c r="BL6" s="3" t="s">
        <v>168</v>
      </c>
      <c r="BM6" s="3" t="s">
        <v>168</v>
      </c>
      <c r="BN6" s="3" t="s">
        <v>168</v>
      </c>
      <c r="BO6" s="3" t="s">
        <v>168</v>
      </c>
      <c r="BP6" s="3" t="s">
        <v>168</v>
      </c>
      <c r="BQ6" s="3" t="s">
        <v>168</v>
      </c>
      <c r="BR6" s="3" t="s">
        <v>178</v>
      </c>
      <c r="BS6" s="4" t="s">
        <v>179</v>
      </c>
      <c r="BT6">
        <v>-21.58</v>
      </c>
      <c r="BU6" s="3" t="s">
        <v>180</v>
      </c>
      <c r="BV6">
        <v>0.4</v>
      </c>
      <c r="BW6" s="5" t="s">
        <v>168</v>
      </c>
      <c r="BX6" t="s">
        <v>175</v>
      </c>
      <c r="BY6">
        <v>0</v>
      </c>
      <c r="BZ6" s="6" t="s">
        <v>168</v>
      </c>
      <c r="CA6" s="6" t="s">
        <v>168</v>
      </c>
      <c r="CB6">
        <v>-21.58</v>
      </c>
      <c r="CC6">
        <v>0.4</v>
      </c>
      <c r="CD6" s="5" t="s">
        <v>168</v>
      </c>
      <c r="CE6" s="3" t="s">
        <v>168</v>
      </c>
      <c r="CF6" s="3" t="s">
        <v>181</v>
      </c>
      <c r="CG6" t="s">
        <v>168</v>
      </c>
      <c r="CH6" s="3" t="s">
        <v>168</v>
      </c>
      <c r="CI6" s="3" t="s">
        <v>168</v>
      </c>
      <c r="CJ6" s="3" t="s">
        <v>168</v>
      </c>
      <c r="CK6" s="3" t="s">
        <v>168</v>
      </c>
      <c r="CL6" s="3" t="s">
        <v>168</v>
      </c>
      <c r="CM6" s="3" t="s">
        <v>168</v>
      </c>
      <c r="CN6" s="3" t="s">
        <v>168</v>
      </c>
      <c r="CO6" s="3" t="s">
        <v>168</v>
      </c>
      <c r="CP6" s="3" t="s">
        <v>168</v>
      </c>
      <c r="CQ6" s="3" t="s">
        <v>168</v>
      </c>
      <c r="CR6">
        <v>26.57</v>
      </c>
      <c r="CS6" s="3" t="s">
        <v>168</v>
      </c>
      <c r="CT6" s="3" t="s">
        <v>168</v>
      </c>
      <c r="CU6" s="3" t="s">
        <v>168</v>
      </c>
      <c r="CV6" s="3" t="s">
        <v>182</v>
      </c>
      <c r="CW6" s="3" t="s">
        <v>168</v>
      </c>
      <c r="CX6" s="3" t="s">
        <v>168</v>
      </c>
      <c r="CY6">
        <v>26.57</v>
      </c>
      <c r="CZ6" s="3" t="s">
        <v>168</v>
      </c>
      <c r="DA6" s="3" t="s">
        <v>168</v>
      </c>
      <c r="DB6" s="3" t="s">
        <v>168</v>
      </c>
      <c r="DC6" s="3" t="s">
        <v>183</v>
      </c>
      <c r="DD6" s="3" t="s">
        <v>168</v>
      </c>
      <c r="DE6" s="3" t="s">
        <v>168</v>
      </c>
      <c r="DF6" s="3" t="s">
        <v>168</v>
      </c>
      <c r="DG6" s="3" t="s">
        <v>168</v>
      </c>
      <c r="DH6" s="3" t="s">
        <v>168</v>
      </c>
      <c r="DI6" s="3" t="s">
        <v>168</v>
      </c>
      <c r="DJ6" s="3" t="s">
        <v>168</v>
      </c>
      <c r="DK6" s="3" t="s">
        <v>168</v>
      </c>
      <c r="DL6" s="3" t="s">
        <v>168</v>
      </c>
      <c r="DM6" s="3" t="s">
        <v>168</v>
      </c>
      <c r="DN6">
        <v>4.6500000000000004</v>
      </c>
      <c r="DO6" s="3" t="s">
        <v>168</v>
      </c>
      <c r="DP6" s="3" t="s">
        <v>168</v>
      </c>
      <c r="DQ6" s="3" t="s">
        <v>168</v>
      </c>
      <c r="DR6" s="3" t="s">
        <v>184</v>
      </c>
      <c r="DS6" s="3" t="s">
        <v>168</v>
      </c>
      <c r="DT6" s="3" t="s">
        <v>168</v>
      </c>
      <c r="DU6" s="3" t="s">
        <v>168</v>
      </c>
      <c r="DV6" s="3" t="s">
        <v>168</v>
      </c>
      <c r="DW6" s="3" t="s">
        <v>168</v>
      </c>
      <c r="DX6" s="3" t="s">
        <v>168</v>
      </c>
      <c r="DY6" s="3" t="s">
        <v>168</v>
      </c>
      <c r="DZ6" s="3" t="s">
        <v>168</v>
      </c>
      <c r="EA6" s="3" t="s">
        <v>168</v>
      </c>
      <c r="EB6" s="3" t="s">
        <v>168</v>
      </c>
      <c r="EC6" s="3" t="s">
        <v>168</v>
      </c>
      <c r="ED6" s="3" t="s">
        <v>168</v>
      </c>
      <c r="EE6" s="3" t="s">
        <v>168</v>
      </c>
      <c r="EF6" s="3" t="s">
        <v>168</v>
      </c>
      <c r="EG6" s="3" t="s">
        <v>168</v>
      </c>
      <c r="EH6" s="3" t="s">
        <v>168</v>
      </c>
      <c r="EI6" s="3" t="s">
        <v>168</v>
      </c>
      <c r="EJ6" s="3" t="s">
        <v>168</v>
      </c>
      <c r="EK6" s="3" t="s">
        <v>168</v>
      </c>
      <c r="EL6" s="3" t="s">
        <v>168</v>
      </c>
      <c r="EM6" s="3" t="s">
        <v>168</v>
      </c>
      <c r="EN6" s="3" t="s">
        <v>168</v>
      </c>
      <c r="EO6" s="3" t="s">
        <v>168</v>
      </c>
      <c r="EP6" s="3" t="s">
        <v>168</v>
      </c>
      <c r="EQ6" s="3" t="s">
        <v>168</v>
      </c>
      <c r="ER6" t="s">
        <v>168</v>
      </c>
      <c r="ES6" s="3" t="s">
        <v>168</v>
      </c>
      <c r="ET6" s="3" t="s">
        <v>168</v>
      </c>
      <c r="EU6" s="3" t="s">
        <v>168</v>
      </c>
      <c r="EV6" s="4" t="s">
        <v>168</v>
      </c>
      <c r="EW6">
        <v>25</v>
      </c>
      <c r="EX6">
        <v>11.74</v>
      </c>
      <c r="EY6" t="s">
        <v>168</v>
      </c>
      <c r="EZ6" t="s">
        <v>168</v>
      </c>
      <c r="FA6" t="s">
        <v>168</v>
      </c>
      <c r="FB6" s="3" t="s">
        <v>168</v>
      </c>
      <c r="FC6" s="3" t="s">
        <v>168</v>
      </c>
      <c r="FD6" s="3" t="s">
        <v>168</v>
      </c>
      <c r="FE6" s="3" t="s">
        <v>168</v>
      </c>
      <c r="FF6" s="3" t="s">
        <v>168</v>
      </c>
      <c r="FG6" s="3" t="s">
        <v>168</v>
      </c>
      <c r="FH6" s="3" t="s">
        <v>168</v>
      </c>
      <c r="FI6" s="3" t="s">
        <v>168</v>
      </c>
      <c r="FJ6" s="3" t="s">
        <v>168</v>
      </c>
      <c r="FK6" s="3" t="s">
        <v>168</v>
      </c>
      <c r="FL6" s="3" t="s">
        <v>168</v>
      </c>
      <c r="FM6" s="4" t="s">
        <v>185</v>
      </c>
      <c r="FN6" s="3" t="s">
        <v>168</v>
      </c>
      <c r="FO6" s="3" t="s">
        <v>168</v>
      </c>
      <c r="FP6" s="3" t="s">
        <v>168</v>
      </c>
      <c r="FQ6" s="3" t="s">
        <v>168</v>
      </c>
      <c r="FR6" s="3" t="s">
        <v>168</v>
      </c>
      <c r="FS6" s="3" t="s">
        <v>168</v>
      </c>
      <c r="FT6" s="7" t="s">
        <v>186</v>
      </c>
      <c r="FU6" s="7" t="s">
        <v>187</v>
      </c>
      <c r="FV6" s="25" t="s">
        <v>346</v>
      </c>
      <c r="FW6" s="7" t="s">
        <v>168</v>
      </c>
      <c r="FX6" s="7" t="s">
        <v>168</v>
      </c>
      <c r="FY6" s="4" t="s">
        <v>185</v>
      </c>
    </row>
    <row r="7" spans="1:181">
      <c r="A7" t="s">
        <v>328</v>
      </c>
      <c r="B7" t="s">
        <v>161</v>
      </c>
      <c r="C7">
        <v>2017</v>
      </c>
      <c r="D7" s="3" t="str">
        <f t="shared" si="0"/>
        <v>10.1016/j.epsl.2017.08.034</v>
      </c>
      <c r="E7" s="3">
        <f t="shared" si="1"/>
        <v>7660</v>
      </c>
      <c r="F7" s="3" t="str">
        <f t="shared" si="1"/>
        <v>NA</v>
      </c>
      <c r="G7" s="3" t="str">
        <f t="shared" si="1"/>
        <v>NA</v>
      </c>
      <c r="H7" s="3" t="str">
        <f t="shared" si="2"/>
        <v>NA</v>
      </c>
      <c r="I7" s="3" t="str">
        <f t="shared" si="2"/>
        <v>NA</v>
      </c>
      <c r="J7" s="3" t="str">
        <f t="shared" si="2"/>
        <v>NA</v>
      </c>
      <c r="K7" t="s">
        <v>162</v>
      </c>
      <c r="L7" t="s">
        <v>163</v>
      </c>
      <c r="M7" t="s">
        <v>164</v>
      </c>
      <c r="N7" t="s">
        <v>165</v>
      </c>
      <c r="O7">
        <v>846</v>
      </c>
      <c r="P7" t="s">
        <v>166</v>
      </c>
      <c r="Q7">
        <v>29</v>
      </c>
      <c r="R7" t="s">
        <v>190</v>
      </c>
      <c r="S7" t="s">
        <v>168</v>
      </c>
      <c r="T7">
        <v>1</v>
      </c>
      <c r="U7">
        <v>103</v>
      </c>
      <c r="V7">
        <v>105</v>
      </c>
      <c r="W7" t="s">
        <v>191</v>
      </c>
      <c r="X7">
        <v>300.33</v>
      </c>
      <c r="Y7">
        <v>300.34999999999997</v>
      </c>
      <c r="Z7">
        <v>300.33999999999997</v>
      </c>
      <c r="AA7" s="3" t="s">
        <v>170</v>
      </c>
      <c r="AB7">
        <v>7660</v>
      </c>
      <c r="AC7" s="3" t="s">
        <v>168</v>
      </c>
      <c r="AD7" s="3" t="s">
        <v>168</v>
      </c>
      <c r="AE7" s="3" t="s">
        <v>168</v>
      </c>
      <c r="AF7" s="3" t="s">
        <v>168</v>
      </c>
      <c r="AG7" t="s">
        <v>171</v>
      </c>
      <c r="AH7">
        <v>-3.0949300000000002</v>
      </c>
      <c r="AI7">
        <v>-90.817959999999999</v>
      </c>
      <c r="AJ7">
        <v>-3925.8</v>
      </c>
      <c r="AK7" s="3" t="s">
        <v>168</v>
      </c>
      <c r="AL7" s="3" t="s">
        <v>168</v>
      </c>
      <c r="AM7" s="3" t="s">
        <v>168</v>
      </c>
      <c r="AN7" s="3" t="s">
        <v>168</v>
      </c>
      <c r="AO7" s="3" t="s">
        <v>172</v>
      </c>
      <c r="AP7" t="s">
        <v>173</v>
      </c>
      <c r="AQ7" s="3" t="s">
        <v>168</v>
      </c>
      <c r="AR7">
        <v>42.72</v>
      </c>
      <c r="AS7" s="3" t="s">
        <v>168</v>
      </c>
      <c r="AT7" s="3" t="s">
        <v>168</v>
      </c>
      <c r="AU7" s="3" t="s">
        <v>168</v>
      </c>
      <c r="AV7" t="s">
        <v>174</v>
      </c>
      <c r="AW7" s="3" t="s">
        <v>168</v>
      </c>
      <c r="AX7">
        <v>1.18</v>
      </c>
      <c r="AY7">
        <v>0.05</v>
      </c>
      <c r="AZ7" s="3" t="s">
        <v>175</v>
      </c>
      <c r="BA7" s="3" t="s">
        <v>168</v>
      </c>
      <c r="BB7">
        <v>-1.1000000000000001</v>
      </c>
      <c r="BC7">
        <v>0.06</v>
      </c>
      <c r="BD7" s="3" t="s">
        <v>175</v>
      </c>
      <c r="BE7" s="3" t="s">
        <v>168</v>
      </c>
      <c r="BF7" s="3" t="s">
        <v>176</v>
      </c>
      <c r="BG7" s="3" t="s">
        <v>177</v>
      </c>
      <c r="BH7">
        <v>-1.5</v>
      </c>
      <c r="BI7" t="s">
        <v>168</v>
      </c>
      <c r="BJ7" s="3" t="s">
        <v>168</v>
      </c>
      <c r="BK7" s="3" t="s">
        <v>168</v>
      </c>
      <c r="BL7" s="3" t="s">
        <v>168</v>
      </c>
      <c r="BM7" s="3" t="s">
        <v>168</v>
      </c>
      <c r="BN7" s="3" t="s">
        <v>168</v>
      </c>
      <c r="BO7" s="3" t="s">
        <v>168</v>
      </c>
      <c r="BP7" s="3" t="s">
        <v>168</v>
      </c>
      <c r="BQ7" s="3" t="s">
        <v>168</v>
      </c>
      <c r="BR7" s="3" t="s">
        <v>178</v>
      </c>
      <c r="BS7" s="4" t="s">
        <v>179</v>
      </c>
      <c r="BT7">
        <v>-22.57</v>
      </c>
      <c r="BU7" s="3" t="s">
        <v>180</v>
      </c>
      <c r="BV7">
        <v>0.4</v>
      </c>
      <c r="BW7" s="5" t="s">
        <v>168</v>
      </c>
      <c r="BX7" t="s">
        <v>175</v>
      </c>
      <c r="BY7">
        <v>0</v>
      </c>
      <c r="BZ7" s="6" t="s">
        <v>168</v>
      </c>
      <c r="CA7" s="6" t="s">
        <v>168</v>
      </c>
      <c r="CB7">
        <v>-22.57</v>
      </c>
      <c r="CC7">
        <v>0.4</v>
      </c>
      <c r="CD7" s="5" t="s">
        <v>168</v>
      </c>
      <c r="CE7" s="3" t="s">
        <v>168</v>
      </c>
      <c r="CF7" s="3" t="s">
        <v>181</v>
      </c>
      <c r="CG7" t="s">
        <v>168</v>
      </c>
      <c r="CH7" s="3" t="s">
        <v>168</v>
      </c>
      <c r="CI7" s="3" t="s">
        <v>168</v>
      </c>
      <c r="CJ7" s="3" t="s">
        <v>168</v>
      </c>
      <c r="CK7" s="3" t="s">
        <v>168</v>
      </c>
      <c r="CL7" s="3" t="s">
        <v>168</v>
      </c>
      <c r="CM7" s="3" t="s">
        <v>168</v>
      </c>
      <c r="CN7" s="3" t="s">
        <v>168</v>
      </c>
      <c r="CO7" s="3" t="s">
        <v>168</v>
      </c>
      <c r="CP7" s="3" t="s">
        <v>168</v>
      </c>
      <c r="CQ7" s="3" t="s">
        <v>168</v>
      </c>
      <c r="CR7">
        <v>28.33</v>
      </c>
      <c r="CS7" s="3" t="s">
        <v>168</v>
      </c>
      <c r="CT7" s="3" t="s">
        <v>168</v>
      </c>
      <c r="CU7" s="3" t="s">
        <v>168</v>
      </c>
      <c r="CV7" s="3" t="s">
        <v>182</v>
      </c>
      <c r="CW7" s="3" t="s">
        <v>168</v>
      </c>
      <c r="CX7" s="3" t="s">
        <v>168</v>
      </c>
      <c r="CY7">
        <v>28.33</v>
      </c>
      <c r="CZ7" s="3" t="s">
        <v>168</v>
      </c>
      <c r="DA7" s="3" t="s">
        <v>168</v>
      </c>
      <c r="DB7" s="3" t="s">
        <v>168</v>
      </c>
      <c r="DC7" s="3" t="s">
        <v>183</v>
      </c>
      <c r="DD7" s="3" t="s">
        <v>168</v>
      </c>
      <c r="DE7" s="3" t="s">
        <v>168</v>
      </c>
      <c r="DF7" s="3" t="s">
        <v>168</v>
      </c>
      <c r="DG7" s="3" t="s">
        <v>168</v>
      </c>
      <c r="DH7" s="3" t="s">
        <v>168</v>
      </c>
      <c r="DI7" s="3" t="s">
        <v>168</v>
      </c>
      <c r="DJ7" s="3" t="s">
        <v>168</v>
      </c>
      <c r="DK7" s="3" t="s">
        <v>168</v>
      </c>
      <c r="DL7" s="3" t="s">
        <v>168</v>
      </c>
      <c r="DM7" s="3" t="s">
        <v>168</v>
      </c>
      <c r="DN7">
        <v>9.1199999999999992</v>
      </c>
      <c r="DO7" s="3" t="s">
        <v>168</v>
      </c>
      <c r="DP7" s="3" t="s">
        <v>168</v>
      </c>
      <c r="DQ7" s="3" t="s">
        <v>168</v>
      </c>
      <c r="DR7" s="3" t="s">
        <v>184</v>
      </c>
      <c r="DS7" s="3" t="s">
        <v>168</v>
      </c>
      <c r="DT7" s="3" t="s">
        <v>168</v>
      </c>
      <c r="DU7" s="3" t="s">
        <v>168</v>
      </c>
      <c r="DV7" s="3" t="s">
        <v>168</v>
      </c>
      <c r="DW7" s="3" t="s">
        <v>168</v>
      </c>
      <c r="DX7" s="3" t="s">
        <v>168</v>
      </c>
      <c r="DY7" s="3" t="s">
        <v>168</v>
      </c>
      <c r="DZ7" s="3" t="s">
        <v>168</v>
      </c>
      <c r="EA7" s="3" t="s">
        <v>168</v>
      </c>
      <c r="EB7" s="3" t="s">
        <v>168</v>
      </c>
      <c r="EC7" s="3" t="s">
        <v>168</v>
      </c>
      <c r="ED7" s="3" t="s">
        <v>168</v>
      </c>
      <c r="EE7" s="3" t="s">
        <v>168</v>
      </c>
      <c r="EF7" s="3" t="s">
        <v>168</v>
      </c>
      <c r="EG7" s="3" t="s">
        <v>168</v>
      </c>
      <c r="EH7" s="3" t="s">
        <v>168</v>
      </c>
      <c r="EI7" s="3" t="s">
        <v>168</v>
      </c>
      <c r="EJ7" s="3" t="s">
        <v>168</v>
      </c>
      <c r="EK7" s="3" t="s">
        <v>168</v>
      </c>
      <c r="EL7" s="3" t="s">
        <v>168</v>
      </c>
      <c r="EM7" s="3" t="s">
        <v>168</v>
      </c>
      <c r="EN7" s="3" t="s">
        <v>168</v>
      </c>
      <c r="EO7" s="3" t="s">
        <v>168</v>
      </c>
      <c r="EP7" s="3" t="s">
        <v>168</v>
      </c>
      <c r="EQ7" s="3" t="s">
        <v>168</v>
      </c>
      <c r="ER7" t="s">
        <v>168</v>
      </c>
      <c r="ES7" s="3" t="s">
        <v>168</v>
      </c>
      <c r="ET7" s="3" t="s">
        <v>168</v>
      </c>
      <c r="EU7" s="3" t="s">
        <v>168</v>
      </c>
      <c r="EV7" s="4" t="s">
        <v>168</v>
      </c>
      <c r="EW7">
        <v>25</v>
      </c>
      <c r="EX7">
        <v>14.03</v>
      </c>
      <c r="EY7" t="s">
        <v>168</v>
      </c>
      <c r="EZ7" t="s">
        <v>168</v>
      </c>
      <c r="FA7" t="s">
        <v>168</v>
      </c>
      <c r="FB7" s="3" t="s">
        <v>168</v>
      </c>
      <c r="FC7" s="3" t="s">
        <v>168</v>
      </c>
      <c r="FD7" s="3" t="s">
        <v>168</v>
      </c>
      <c r="FE7" s="3" t="s">
        <v>168</v>
      </c>
      <c r="FF7" s="3" t="s">
        <v>168</v>
      </c>
      <c r="FG7" s="3" t="s">
        <v>168</v>
      </c>
      <c r="FH7" s="3" t="s">
        <v>168</v>
      </c>
      <c r="FI7" s="3" t="s">
        <v>168</v>
      </c>
      <c r="FJ7" s="3" t="s">
        <v>168</v>
      </c>
      <c r="FK7" s="3" t="s">
        <v>168</v>
      </c>
      <c r="FL7" s="3" t="s">
        <v>168</v>
      </c>
      <c r="FM7" s="4" t="s">
        <v>185</v>
      </c>
      <c r="FN7" s="3" t="s">
        <v>168</v>
      </c>
      <c r="FO7" s="3" t="s">
        <v>168</v>
      </c>
      <c r="FP7" s="3" t="s">
        <v>168</v>
      </c>
      <c r="FQ7" s="3" t="s">
        <v>168</v>
      </c>
      <c r="FR7" s="3" t="s">
        <v>168</v>
      </c>
      <c r="FS7" s="3" t="s">
        <v>168</v>
      </c>
      <c r="FT7" s="7" t="s">
        <v>186</v>
      </c>
      <c r="FU7" s="7" t="s">
        <v>187</v>
      </c>
      <c r="FV7" s="25" t="s">
        <v>347</v>
      </c>
      <c r="FW7" s="7" t="s">
        <v>168</v>
      </c>
      <c r="FX7" s="7" t="s">
        <v>168</v>
      </c>
      <c r="FY7" s="4" t="s">
        <v>185</v>
      </c>
    </row>
    <row r="8" spans="1:181">
      <c r="A8" t="s">
        <v>328</v>
      </c>
      <c r="B8" t="s">
        <v>161</v>
      </c>
      <c r="C8">
        <v>2017</v>
      </c>
      <c r="D8" s="3" t="str">
        <f t="shared" si="0"/>
        <v>10.1016/j.epsl.2017.08.034</v>
      </c>
      <c r="E8" s="3">
        <f t="shared" si="1"/>
        <v>8860</v>
      </c>
      <c r="F8" s="3" t="str">
        <f t="shared" si="1"/>
        <v>NA</v>
      </c>
      <c r="G8" s="3" t="str">
        <f t="shared" si="1"/>
        <v>NA</v>
      </c>
      <c r="H8" s="3" t="str">
        <f t="shared" si="2"/>
        <v>NA</v>
      </c>
      <c r="I8" s="3" t="str">
        <f t="shared" si="2"/>
        <v>NA</v>
      </c>
      <c r="J8" s="3" t="str">
        <f t="shared" si="2"/>
        <v>NA</v>
      </c>
      <c r="K8" t="s">
        <v>162</v>
      </c>
      <c r="L8" t="s">
        <v>163</v>
      </c>
      <c r="M8" t="s">
        <v>164</v>
      </c>
      <c r="N8" t="s">
        <v>165</v>
      </c>
      <c r="O8">
        <v>846</v>
      </c>
      <c r="P8" t="s">
        <v>166</v>
      </c>
      <c r="Q8">
        <v>31</v>
      </c>
      <c r="R8" t="s">
        <v>190</v>
      </c>
      <c r="S8" t="s">
        <v>168</v>
      </c>
      <c r="T8">
        <v>1</v>
      </c>
      <c r="U8">
        <v>79</v>
      </c>
      <c r="V8">
        <v>87</v>
      </c>
      <c r="W8" t="s">
        <v>192</v>
      </c>
      <c r="X8">
        <v>319.37</v>
      </c>
      <c r="Y8">
        <v>319.42999999999995</v>
      </c>
      <c r="Z8">
        <v>319.39999999999998</v>
      </c>
      <c r="AA8" s="3" t="s">
        <v>170</v>
      </c>
      <c r="AB8">
        <v>8860</v>
      </c>
      <c r="AC8" s="3" t="s">
        <v>168</v>
      </c>
      <c r="AD8" s="3" t="s">
        <v>168</v>
      </c>
      <c r="AE8" s="3" t="s">
        <v>168</v>
      </c>
      <c r="AF8" s="3" t="s">
        <v>168</v>
      </c>
      <c r="AG8" t="s">
        <v>171</v>
      </c>
      <c r="AH8">
        <v>-3.0949300000000002</v>
      </c>
      <c r="AI8">
        <v>-90.817959999999999</v>
      </c>
      <c r="AJ8">
        <v>-3925.8</v>
      </c>
      <c r="AK8" s="3" t="s">
        <v>168</v>
      </c>
      <c r="AL8" s="3" t="s">
        <v>168</v>
      </c>
      <c r="AM8" s="3" t="s">
        <v>168</v>
      </c>
      <c r="AN8" s="3" t="s">
        <v>168</v>
      </c>
      <c r="AO8" s="3" t="s">
        <v>172</v>
      </c>
      <c r="AP8" t="s">
        <v>173</v>
      </c>
      <c r="AQ8" s="3" t="s">
        <v>168</v>
      </c>
      <c r="AR8">
        <v>40.61</v>
      </c>
      <c r="AS8" s="3" t="s">
        <v>168</v>
      </c>
      <c r="AT8" s="3" t="s">
        <v>168</v>
      </c>
      <c r="AU8" s="3" t="s">
        <v>168</v>
      </c>
      <c r="AV8" t="s">
        <v>174</v>
      </c>
      <c r="AW8" s="3" t="s">
        <v>168</v>
      </c>
      <c r="AX8">
        <v>0.59</v>
      </c>
      <c r="AY8">
        <v>0.05</v>
      </c>
      <c r="AZ8" s="3" t="s">
        <v>175</v>
      </c>
      <c r="BA8" s="3" t="s">
        <v>168</v>
      </c>
      <c r="BC8">
        <v>0.06</v>
      </c>
      <c r="BD8" s="3" t="s">
        <v>175</v>
      </c>
      <c r="BE8" s="3" t="s">
        <v>168</v>
      </c>
      <c r="BF8" s="3" t="s">
        <v>193</v>
      </c>
      <c r="BG8" s="3" t="s">
        <v>177</v>
      </c>
      <c r="BH8">
        <v>-1.5</v>
      </c>
      <c r="BI8" t="s">
        <v>168</v>
      </c>
      <c r="BJ8" s="3" t="s">
        <v>168</v>
      </c>
      <c r="BK8" s="3" t="s">
        <v>168</v>
      </c>
      <c r="BL8" s="3" t="s">
        <v>168</v>
      </c>
      <c r="BM8" s="3" t="s">
        <v>168</v>
      </c>
      <c r="BN8" s="3" t="s">
        <v>168</v>
      </c>
      <c r="BO8" s="3" t="s">
        <v>168</v>
      </c>
      <c r="BP8" s="3" t="s">
        <v>168</v>
      </c>
      <c r="BQ8" s="3" t="s">
        <v>168</v>
      </c>
      <c r="BR8" s="3" t="s">
        <v>178</v>
      </c>
      <c r="BS8" s="4" t="s">
        <v>179</v>
      </c>
      <c r="BT8">
        <v>-24.49</v>
      </c>
      <c r="BU8" s="3" t="s">
        <v>180</v>
      </c>
      <c r="BV8">
        <v>0.4</v>
      </c>
      <c r="BW8" s="5" t="s">
        <v>168</v>
      </c>
      <c r="BX8" t="s">
        <v>175</v>
      </c>
      <c r="BY8">
        <v>0</v>
      </c>
      <c r="BZ8" s="6" t="s">
        <v>168</v>
      </c>
      <c r="CA8" s="6" t="s">
        <v>168</v>
      </c>
      <c r="CB8">
        <v>-24.49</v>
      </c>
      <c r="CC8">
        <v>0.4</v>
      </c>
      <c r="CD8" s="5" t="s">
        <v>168</v>
      </c>
      <c r="CE8" s="3" t="s">
        <v>168</v>
      </c>
      <c r="CF8" s="3" t="s">
        <v>181</v>
      </c>
      <c r="CG8" t="s">
        <v>168</v>
      </c>
      <c r="CH8" s="3" t="s">
        <v>168</v>
      </c>
      <c r="CI8" s="3" t="s">
        <v>168</v>
      </c>
      <c r="CJ8" s="3" t="s">
        <v>168</v>
      </c>
      <c r="CK8" s="3" t="s">
        <v>168</v>
      </c>
      <c r="CL8" s="3" t="s">
        <v>168</v>
      </c>
      <c r="CM8" s="3" t="s">
        <v>168</v>
      </c>
      <c r="CN8" s="3" t="s">
        <v>168</v>
      </c>
      <c r="CO8" s="3" t="s">
        <v>168</v>
      </c>
      <c r="CP8" s="3" t="s">
        <v>168</v>
      </c>
      <c r="CQ8" s="3" t="s">
        <v>168</v>
      </c>
      <c r="CR8">
        <v>28.69</v>
      </c>
      <c r="CS8" s="3" t="s">
        <v>168</v>
      </c>
      <c r="CT8" s="3" t="s">
        <v>168</v>
      </c>
      <c r="CU8" s="3" t="s">
        <v>168</v>
      </c>
      <c r="CV8" s="3" t="s">
        <v>182</v>
      </c>
      <c r="CW8" s="3" t="s">
        <v>168</v>
      </c>
      <c r="CX8" s="3" t="s">
        <v>168</v>
      </c>
      <c r="CY8">
        <v>28.69</v>
      </c>
      <c r="CZ8" s="3" t="s">
        <v>168</v>
      </c>
      <c r="DA8" s="3" t="s">
        <v>168</v>
      </c>
      <c r="DB8" s="3" t="s">
        <v>168</v>
      </c>
      <c r="DC8" s="3" t="s">
        <v>183</v>
      </c>
      <c r="DD8" s="3" t="s">
        <v>168</v>
      </c>
      <c r="DE8" s="3" t="s">
        <v>168</v>
      </c>
      <c r="DF8" s="3" t="s">
        <v>168</v>
      </c>
      <c r="DG8" s="3" t="s">
        <v>168</v>
      </c>
      <c r="DH8" s="3" t="s">
        <v>168</v>
      </c>
      <c r="DI8" s="3" t="s">
        <v>168</v>
      </c>
      <c r="DJ8" s="3" t="s">
        <v>168</v>
      </c>
      <c r="DK8" s="3" t="s">
        <v>168</v>
      </c>
      <c r="DL8" s="3" t="s">
        <v>168</v>
      </c>
      <c r="DM8" s="3" t="s">
        <v>168</v>
      </c>
      <c r="DN8">
        <v>8.64</v>
      </c>
      <c r="DO8" s="3" t="s">
        <v>168</v>
      </c>
      <c r="DP8" s="3" t="s">
        <v>168</v>
      </c>
      <c r="DQ8" s="3" t="s">
        <v>168</v>
      </c>
      <c r="DR8" s="3" t="s">
        <v>184</v>
      </c>
      <c r="DS8" s="3" t="s">
        <v>168</v>
      </c>
      <c r="DT8" s="3" t="s">
        <v>168</v>
      </c>
      <c r="DU8" s="3" t="s">
        <v>168</v>
      </c>
      <c r="DV8" s="3" t="s">
        <v>168</v>
      </c>
      <c r="DW8" s="3" t="s">
        <v>168</v>
      </c>
      <c r="DX8" s="3" t="s">
        <v>168</v>
      </c>
      <c r="DY8" s="3" t="s">
        <v>168</v>
      </c>
      <c r="DZ8" s="3" t="s">
        <v>168</v>
      </c>
      <c r="EA8" s="3" t="s">
        <v>168</v>
      </c>
      <c r="EB8" s="3" t="s">
        <v>168</v>
      </c>
      <c r="EC8" s="3" t="s">
        <v>168</v>
      </c>
      <c r="ED8" s="3" t="s">
        <v>168</v>
      </c>
      <c r="EE8" s="3" t="s">
        <v>168</v>
      </c>
      <c r="EF8" s="3" t="s">
        <v>168</v>
      </c>
      <c r="EG8" s="3" t="s">
        <v>168</v>
      </c>
      <c r="EH8" s="3" t="s">
        <v>168</v>
      </c>
      <c r="EI8" s="3" t="s">
        <v>168</v>
      </c>
      <c r="EJ8" s="3" t="s">
        <v>168</v>
      </c>
      <c r="EK8" s="3" t="s">
        <v>168</v>
      </c>
      <c r="EL8" s="3" t="s">
        <v>168</v>
      </c>
      <c r="EM8" s="3" t="s">
        <v>168</v>
      </c>
      <c r="EN8" s="3" t="s">
        <v>168</v>
      </c>
      <c r="EO8" s="3" t="s">
        <v>168</v>
      </c>
      <c r="EP8" s="3" t="s">
        <v>168</v>
      </c>
      <c r="EQ8" s="3" t="s">
        <v>168</v>
      </c>
      <c r="ER8" t="s">
        <v>168</v>
      </c>
      <c r="ES8" s="3" t="s">
        <v>168</v>
      </c>
      <c r="ET8" s="3" t="s">
        <v>168</v>
      </c>
      <c r="EU8" s="3" t="s">
        <v>168</v>
      </c>
      <c r="EV8" s="4" t="s">
        <v>168</v>
      </c>
      <c r="EW8">
        <v>25</v>
      </c>
      <c r="EX8">
        <v>15.46</v>
      </c>
      <c r="EY8" t="s">
        <v>168</v>
      </c>
      <c r="EZ8" t="s">
        <v>168</v>
      </c>
      <c r="FA8" t="s">
        <v>168</v>
      </c>
      <c r="FB8" s="3" t="s">
        <v>168</v>
      </c>
      <c r="FC8" s="3" t="s">
        <v>168</v>
      </c>
      <c r="FD8" s="3" t="s">
        <v>168</v>
      </c>
      <c r="FE8" s="3" t="s">
        <v>168</v>
      </c>
      <c r="FF8" s="3" t="s">
        <v>168</v>
      </c>
      <c r="FG8" s="3" t="s">
        <v>168</v>
      </c>
      <c r="FH8" s="3" t="s">
        <v>168</v>
      </c>
      <c r="FI8" s="3" t="s">
        <v>168</v>
      </c>
      <c r="FJ8" s="3" t="s">
        <v>168</v>
      </c>
      <c r="FK8" s="3" t="s">
        <v>168</v>
      </c>
      <c r="FL8" s="3" t="s">
        <v>168</v>
      </c>
      <c r="FM8" s="4" t="s">
        <v>185</v>
      </c>
      <c r="FN8" s="3" t="s">
        <v>168</v>
      </c>
      <c r="FO8" s="3" t="s">
        <v>168</v>
      </c>
      <c r="FP8" s="3" t="s">
        <v>168</v>
      </c>
      <c r="FQ8" s="3" t="s">
        <v>168</v>
      </c>
      <c r="FR8" s="3" t="s">
        <v>168</v>
      </c>
      <c r="FS8" s="3" t="s">
        <v>168</v>
      </c>
      <c r="FT8" s="7" t="s">
        <v>186</v>
      </c>
      <c r="FU8" s="7" t="s">
        <v>187</v>
      </c>
      <c r="FV8" s="25" t="s">
        <v>348</v>
      </c>
      <c r="FW8" s="7" t="s">
        <v>168</v>
      </c>
      <c r="FX8" s="7" t="s">
        <v>168</v>
      </c>
      <c r="FY8" s="4" t="s">
        <v>185</v>
      </c>
    </row>
    <row r="9" spans="1:181">
      <c r="A9" t="s">
        <v>328</v>
      </c>
      <c r="B9" t="s">
        <v>161</v>
      </c>
      <c r="C9">
        <v>2017</v>
      </c>
      <c r="D9" s="3" t="str">
        <f t="shared" si="0"/>
        <v>10.1016/j.epsl.2017.08.034</v>
      </c>
      <c r="E9" s="3">
        <f t="shared" si="1"/>
        <v>10850</v>
      </c>
      <c r="F9" s="3" t="str">
        <f t="shared" si="1"/>
        <v>NA</v>
      </c>
      <c r="G9" s="3" t="str">
        <f t="shared" si="1"/>
        <v>NA</v>
      </c>
      <c r="H9" s="3" t="str">
        <f t="shared" si="2"/>
        <v>NA</v>
      </c>
      <c r="I9" s="3" t="str">
        <f t="shared" si="2"/>
        <v>NA</v>
      </c>
      <c r="J9" s="3" t="str">
        <f t="shared" si="2"/>
        <v>NA</v>
      </c>
      <c r="K9" t="s">
        <v>162</v>
      </c>
      <c r="L9" t="s">
        <v>163</v>
      </c>
      <c r="M9" t="s">
        <v>164</v>
      </c>
      <c r="N9" t="s">
        <v>165</v>
      </c>
      <c r="O9">
        <v>846</v>
      </c>
      <c r="P9" t="s">
        <v>166</v>
      </c>
      <c r="Q9">
        <v>34</v>
      </c>
      <c r="R9" t="s">
        <v>190</v>
      </c>
      <c r="S9" t="s">
        <v>168</v>
      </c>
      <c r="T9">
        <v>2</v>
      </c>
      <c r="U9">
        <v>125</v>
      </c>
      <c r="V9">
        <v>127</v>
      </c>
      <c r="W9" t="s">
        <v>194</v>
      </c>
      <c r="X9">
        <v>350.25</v>
      </c>
      <c r="Y9">
        <v>350.27</v>
      </c>
      <c r="Z9">
        <v>350.26</v>
      </c>
      <c r="AA9" s="3" t="s">
        <v>170</v>
      </c>
      <c r="AB9">
        <v>10850</v>
      </c>
      <c r="AC9" s="3" t="s">
        <v>168</v>
      </c>
      <c r="AD9" s="3" t="s">
        <v>168</v>
      </c>
      <c r="AE9" s="3" t="s">
        <v>168</v>
      </c>
      <c r="AF9" s="3" t="s">
        <v>168</v>
      </c>
      <c r="AG9" t="s">
        <v>171</v>
      </c>
      <c r="AH9">
        <v>-3.0949300000000002</v>
      </c>
      <c r="AI9">
        <v>-90.817959999999999</v>
      </c>
      <c r="AJ9">
        <v>-3925.8</v>
      </c>
      <c r="AK9" s="3" t="s">
        <v>168</v>
      </c>
      <c r="AL9" s="3" t="s">
        <v>168</v>
      </c>
      <c r="AM9" s="3" t="s">
        <v>168</v>
      </c>
      <c r="AN9" s="3" t="s">
        <v>168</v>
      </c>
      <c r="AO9" s="3" t="s">
        <v>172</v>
      </c>
      <c r="AP9" t="s">
        <v>173</v>
      </c>
      <c r="AQ9" s="3" t="s">
        <v>168</v>
      </c>
      <c r="AR9">
        <v>44.54</v>
      </c>
      <c r="AS9" s="3" t="s">
        <v>168</v>
      </c>
      <c r="AT9" s="3" t="s">
        <v>168</v>
      </c>
      <c r="AU9" s="3" t="s">
        <v>168</v>
      </c>
      <c r="AV9" t="s">
        <v>174</v>
      </c>
      <c r="AW9" s="3" t="s">
        <v>168</v>
      </c>
      <c r="AX9">
        <v>1.2</v>
      </c>
      <c r="AY9">
        <v>0.05</v>
      </c>
      <c r="AZ9" s="3" t="s">
        <v>175</v>
      </c>
      <c r="BA9" s="3" t="s">
        <v>168</v>
      </c>
      <c r="BB9">
        <v>-1.37</v>
      </c>
      <c r="BC9">
        <v>0.06</v>
      </c>
      <c r="BD9" s="3" t="s">
        <v>175</v>
      </c>
      <c r="BE9" s="3" t="s">
        <v>168</v>
      </c>
      <c r="BF9" s="3" t="s">
        <v>176</v>
      </c>
      <c r="BG9" s="3" t="s">
        <v>177</v>
      </c>
      <c r="BH9">
        <v>-1.5</v>
      </c>
      <c r="BI9" t="s">
        <v>168</v>
      </c>
      <c r="BJ9" s="3" t="s">
        <v>168</v>
      </c>
      <c r="BK9" s="3" t="s">
        <v>168</v>
      </c>
      <c r="BL9" s="3" t="s">
        <v>168</v>
      </c>
      <c r="BM9" s="3" t="s">
        <v>168</v>
      </c>
      <c r="BN9" s="3" t="s">
        <v>168</v>
      </c>
      <c r="BO9" s="3" t="s">
        <v>168</v>
      </c>
      <c r="BP9" s="3" t="s">
        <v>168</v>
      </c>
      <c r="BQ9" s="3" t="s">
        <v>168</v>
      </c>
      <c r="BR9" s="3" t="s">
        <v>178</v>
      </c>
      <c r="BS9" s="4" t="s">
        <v>179</v>
      </c>
      <c r="BT9">
        <v>-23.92</v>
      </c>
      <c r="BU9" s="3" t="s">
        <v>180</v>
      </c>
      <c r="BV9">
        <v>0.4</v>
      </c>
      <c r="BW9" s="5" t="s">
        <v>168</v>
      </c>
      <c r="BX9" t="s">
        <v>175</v>
      </c>
      <c r="BY9">
        <v>0</v>
      </c>
      <c r="BZ9" s="6" t="s">
        <v>168</v>
      </c>
      <c r="CA9" s="6" t="s">
        <v>168</v>
      </c>
      <c r="CB9">
        <v>-23.92</v>
      </c>
      <c r="CC9">
        <v>0.4</v>
      </c>
      <c r="CD9" s="5" t="s">
        <v>168</v>
      </c>
      <c r="CE9" s="3" t="s">
        <v>168</v>
      </c>
      <c r="CF9" s="3" t="s">
        <v>181</v>
      </c>
      <c r="CG9" t="s">
        <v>168</v>
      </c>
      <c r="CH9" s="3" t="s">
        <v>168</v>
      </c>
      <c r="CI9" s="3" t="s">
        <v>168</v>
      </c>
      <c r="CJ9" s="3" t="s">
        <v>168</v>
      </c>
      <c r="CK9" s="3" t="s">
        <v>168</v>
      </c>
      <c r="CL9" s="3" t="s">
        <v>168</v>
      </c>
      <c r="CM9" s="3" t="s">
        <v>168</v>
      </c>
      <c r="CN9" s="3" t="s">
        <v>168</v>
      </c>
      <c r="CO9" s="3" t="s">
        <v>168</v>
      </c>
      <c r="CP9" s="3" t="s">
        <v>168</v>
      </c>
      <c r="CQ9" s="3" t="s">
        <v>168</v>
      </c>
      <c r="CR9">
        <v>28.73</v>
      </c>
      <c r="CS9" s="3" t="s">
        <v>168</v>
      </c>
      <c r="CT9" s="3" t="s">
        <v>168</v>
      </c>
      <c r="CU9" s="3" t="s">
        <v>168</v>
      </c>
      <c r="CV9" s="3" t="s">
        <v>182</v>
      </c>
      <c r="CW9" s="3" t="s">
        <v>168</v>
      </c>
      <c r="CX9" s="3" t="s">
        <v>168</v>
      </c>
      <c r="CY9">
        <v>28.73</v>
      </c>
      <c r="CZ9" s="3" t="s">
        <v>168</v>
      </c>
      <c r="DA9" s="3" t="s">
        <v>168</v>
      </c>
      <c r="DB9" s="3" t="s">
        <v>168</v>
      </c>
      <c r="DC9" s="3" t="s">
        <v>183</v>
      </c>
      <c r="DD9" s="3" t="s">
        <v>168</v>
      </c>
      <c r="DE9" s="3" t="s">
        <v>168</v>
      </c>
      <c r="DF9" s="3" t="s">
        <v>168</v>
      </c>
      <c r="DG9" s="3" t="s">
        <v>168</v>
      </c>
      <c r="DH9" s="3" t="s">
        <v>168</v>
      </c>
      <c r="DI9" s="3" t="s">
        <v>168</v>
      </c>
      <c r="DJ9" s="3" t="s">
        <v>168</v>
      </c>
      <c r="DK9" s="3" t="s">
        <v>168</v>
      </c>
      <c r="DL9" s="3" t="s">
        <v>168</v>
      </c>
      <c r="DM9" s="3" t="s">
        <v>168</v>
      </c>
      <c r="DN9">
        <v>8.2100000000000009</v>
      </c>
      <c r="DO9" s="3" t="s">
        <v>168</v>
      </c>
      <c r="DP9" s="3" t="s">
        <v>168</v>
      </c>
      <c r="DQ9" s="3" t="s">
        <v>168</v>
      </c>
      <c r="DR9" s="3" t="s">
        <v>184</v>
      </c>
      <c r="DS9" s="3" t="s">
        <v>168</v>
      </c>
      <c r="DT9" s="3" t="s">
        <v>168</v>
      </c>
      <c r="DU9" s="3" t="s">
        <v>168</v>
      </c>
      <c r="DV9" s="3" t="s">
        <v>168</v>
      </c>
      <c r="DW9" s="3" t="s">
        <v>168</v>
      </c>
      <c r="DX9" s="3" t="s">
        <v>168</v>
      </c>
      <c r="DY9" s="3" t="s">
        <v>168</v>
      </c>
      <c r="DZ9" s="3" t="s">
        <v>168</v>
      </c>
      <c r="EA9" s="3" t="s">
        <v>168</v>
      </c>
      <c r="EB9" s="3" t="s">
        <v>168</v>
      </c>
      <c r="EC9" s="3" t="s">
        <v>168</v>
      </c>
      <c r="ED9" s="3" t="s">
        <v>168</v>
      </c>
      <c r="EE9" s="3" t="s">
        <v>168</v>
      </c>
      <c r="EF9" s="3" t="s">
        <v>168</v>
      </c>
      <c r="EG9" s="3" t="s">
        <v>168</v>
      </c>
      <c r="EH9" s="3" t="s">
        <v>168</v>
      </c>
      <c r="EI9" s="3" t="s">
        <v>168</v>
      </c>
      <c r="EJ9" s="3" t="s">
        <v>168</v>
      </c>
      <c r="EK9" s="3" t="s">
        <v>168</v>
      </c>
      <c r="EL9" s="3" t="s">
        <v>168</v>
      </c>
      <c r="EM9" s="3" t="s">
        <v>168</v>
      </c>
      <c r="EN9" s="3" t="s">
        <v>168</v>
      </c>
      <c r="EO9" s="3" t="s">
        <v>168</v>
      </c>
      <c r="EP9" s="3" t="s">
        <v>168</v>
      </c>
      <c r="EQ9" s="3" t="s">
        <v>168</v>
      </c>
      <c r="ER9" t="s">
        <v>168</v>
      </c>
      <c r="ES9" s="3" t="s">
        <v>168</v>
      </c>
      <c r="ET9" s="3" t="s">
        <v>168</v>
      </c>
      <c r="EU9" s="3" t="s">
        <v>168</v>
      </c>
      <c r="EV9" s="4" t="s">
        <v>168</v>
      </c>
      <c r="EW9">
        <v>25</v>
      </c>
      <c r="EX9">
        <v>15.49</v>
      </c>
      <c r="EY9" t="s">
        <v>168</v>
      </c>
      <c r="EZ9" t="s">
        <v>168</v>
      </c>
      <c r="FA9" t="s">
        <v>168</v>
      </c>
      <c r="FB9" s="3" t="s">
        <v>168</v>
      </c>
      <c r="FC9" s="3" t="s">
        <v>168</v>
      </c>
      <c r="FD9" s="3" t="s">
        <v>168</v>
      </c>
      <c r="FE9" s="3" t="s">
        <v>168</v>
      </c>
      <c r="FF9" s="3" t="s">
        <v>168</v>
      </c>
      <c r="FG9" s="3" t="s">
        <v>168</v>
      </c>
      <c r="FH9" s="3" t="s">
        <v>168</v>
      </c>
      <c r="FI9" s="3" t="s">
        <v>168</v>
      </c>
      <c r="FJ9" s="3" t="s">
        <v>168</v>
      </c>
      <c r="FK9" s="3" t="s">
        <v>168</v>
      </c>
      <c r="FL9" s="3" t="s">
        <v>168</v>
      </c>
      <c r="FM9" s="4" t="s">
        <v>185</v>
      </c>
      <c r="FN9" s="3" t="s">
        <v>168</v>
      </c>
      <c r="FO9" s="3" t="s">
        <v>168</v>
      </c>
      <c r="FP9" s="3" t="s">
        <v>168</v>
      </c>
      <c r="FQ9" s="3" t="s">
        <v>168</v>
      </c>
      <c r="FR9" s="3" t="s">
        <v>168</v>
      </c>
      <c r="FS9" s="3" t="s">
        <v>168</v>
      </c>
      <c r="FT9" s="7" t="s">
        <v>186</v>
      </c>
      <c r="FU9" s="7" t="s">
        <v>187</v>
      </c>
      <c r="FV9" s="25" t="s">
        <v>349</v>
      </c>
      <c r="FW9" s="7" t="s">
        <v>168</v>
      </c>
      <c r="FX9" s="7" t="s">
        <v>168</v>
      </c>
      <c r="FY9" s="4" t="s">
        <v>185</v>
      </c>
    </row>
    <row r="10" spans="1:181">
      <c r="A10" t="s">
        <v>328</v>
      </c>
      <c r="B10" t="s">
        <v>161</v>
      </c>
      <c r="C10">
        <v>2017</v>
      </c>
      <c r="D10" s="3" t="str">
        <f t="shared" si="0"/>
        <v>10.1016/j.epsl.2017.08.034</v>
      </c>
      <c r="E10" s="3">
        <f t="shared" si="1"/>
        <v>12890</v>
      </c>
      <c r="F10" s="3" t="str">
        <f t="shared" si="1"/>
        <v>NA</v>
      </c>
      <c r="G10" s="3" t="str">
        <f t="shared" si="1"/>
        <v>NA</v>
      </c>
      <c r="H10" s="3" t="str">
        <f t="shared" si="2"/>
        <v>NA</v>
      </c>
      <c r="I10" s="3" t="str">
        <f t="shared" si="2"/>
        <v>NA</v>
      </c>
      <c r="J10" s="3" t="str">
        <f t="shared" si="2"/>
        <v>NA</v>
      </c>
      <c r="K10" t="s">
        <v>162</v>
      </c>
      <c r="L10" t="s">
        <v>163</v>
      </c>
      <c r="M10" t="s">
        <v>164</v>
      </c>
      <c r="N10" t="s">
        <v>165</v>
      </c>
      <c r="O10">
        <v>846</v>
      </c>
      <c r="P10" t="s">
        <v>166</v>
      </c>
      <c r="Q10">
        <v>38</v>
      </c>
      <c r="R10" t="s">
        <v>190</v>
      </c>
      <c r="S10" t="s">
        <v>168</v>
      </c>
      <c r="T10">
        <v>1</v>
      </c>
      <c r="U10">
        <v>98</v>
      </c>
      <c r="V10">
        <v>100</v>
      </c>
      <c r="W10" t="s">
        <v>195</v>
      </c>
      <c r="X10">
        <v>387.08</v>
      </c>
      <c r="Y10">
        <v>387.09999999999997</v>
      </c>
      <c r="Z10">
        <v>387.09</v>
      </c>
      <c r="AA10" s="3" t="s">
        <v>170</v>
      </c>
      <c r="AB10">
        <v>12890</v>
      </c>
      <c r="AC10" s="3" t="s">
        <v>168</v>
      </c>
      <c r="AD10" s="3" t="s">
        <v>168</v>
      </c>
      <c r="AE10" s="3" t="s">
        <v>168</v>
      </c>
      <c r="AF10" s="3" t="s">
        <v>168</v>
      </c>
      <c r="AG10" t="s">
        <v>171</v>
      </c>
      <c r="AH10">
        <v>-3.0949300000000002</v>
      </c>
      <c r="AI10">
        <v>-90.817959999999999</v>
      </c>
      <c r="AJ10">
        <v>-3925.8</v>
      </c>
      <c r="AK10" s="3" t="s">
        <v>168</v>
      </c>
      <c r="AL10" s="3" t="s">
        <v>168</v>
      </c>
      <c r="AM10" s="3" t="s">
        <v>168</v>
      </c>
      <c r="AN10" s="3" t="s">
        <v>168</v>
      </c>
      <c r="AO10" s="3" t="s">
        <v>172</v>
      </c>
      <c r="AP10" t="s">
        <v>173</v>
      </c>
      <c r="AQ10" s="3" t="s">
        <v>168</v>
      </c>
      <c r="AR10">
        <v>16.22</v>
      </c>
      <c r="AS10" s="3" t="s">
        <v>168</v>
      </c>
      <c r="AT10" s="3" t="s">
        <v>168</v>
      </c>
      <c r="AU10" s="3" t="s">
        <v>168</v>
      </c>
      <c r="AV10" t="s">
        <v>174</v>
      </c>
      <c r="AW10" s="3" t="s">
        <v>168</v>
      </c>
      <c r="AX10">
        <v>1.61</v>
      </c>
      <c r="AY10">
        <v>0.05</v>
      </c>
      <c r="AZ10" s="3" t="s">
        <v>175</v>
      </c>
      <c r="BA10" s="3" t="s">
        <v>168</v>
      </c>
      <c r="BC10">
        <v>0.06</v>
      </c>
      <c r="BD10" s="3" t="s">
        <v>175</v>
      </c>
      <c r="BE10" s="3" t="s">
        <v>168</v>
      </c>
      <c r="BF10" s="3" t="s">
        <v>193</v>
      </c>
      <c r="BG10" s="3" t="s">
        <v>177</v>
      </c>
      <c r="BH10">
        <v>-1.5</v>
      </c>
      <c r="BI10" t="s">
        <v>168</v>
      </c>
      <c r="BJ10" s="3" t="s">
        <v>168</v>
      </c>
      <c r="BK10" s="3" t="s">
        <v>168</v>
      </c>
      <c r="BL10" s="3" t="s">
        <v>168</v>
      </c>
      <c r="BM10" s="3" t="s">
        <v>168</v>
      </c>
      <c r="BN10" s="3" t="s">
        <v>168</v>
      </c>
      <c r="BO10" s="3" t="s">
        <v>168</v>
      </c>
      <c r="BP10" s="3" t="s">
        <v>168</v>
      </c>
      <c r="BQ10" s="3" t="s">
        <v>168</v>
      </c>
      <c r="BR10" s="3" t="s">
        <v>178</v>
      </c>
      <c r="BS10" s="4" t="s">
        <v>179</v>
      </c>
      <c r="BT10">
        <v>-19.91</v>
      </c>
      <c r="BU10" s="3" t="s">
        <v>180</v>
      </c>
      <c r="BV10">
        <v>0.4</v>
      </c>
      <c r="BW10" s="5" t="s">
        <v>168</v>
      </c>
      <c r="BX10" t="s">
        <v>175</v>
      </c>
      <c r="BY10">
        <v>0</v>
      </c>
      <c r="BZ10" s="6" t="s">
        <v>168</v>
      </c>
      <c r="CA10" s="6" t="s">
        <v>168</v>
      </c>
      <c r="CB10">
        <v>-19.91</v>
      </c>
      <c r="CC10">
        <v>0.4</v>
      </c>
      <c r="CD10" s="5" t="s">
        <v>168</v>
      </c>
      <c r="CE10" s="3" t="s">
        <v>168</v>
      </c>
      <c r="CF10" s="3" t="s">
        <v>181</v>
      </c>
      <c r="CG10" t="s">
        <v>168</v>
      </c>
      <c r="CH10" s="3" t="s">
        <v>168</v>
      </c>
      <c r="CI10" s="3" t="s">
        <v>168</v>
      </c>
      <c r="CJ10" s="3" t="s">
        <v>168</v>
      </c>
      <c r="CK10" s="3" t="s">
        <v>168</v>
      </c>
      <c r="CL10" s="3" t="s">
        <v>168</v>
      </c>
      <c r="CM10" s="3" t="s">
        <v>168</v>
      </c>
      <c r="CN10" s="3" t="s">
        <v>168</v>
      </c>
      <c r="CO10" s="3" t="s">
        <v>168</v>
      </c>
      <c r="CP10" s="3" t="s">
        <v>168</v>
      </c>
      <c r="CQ10" s="3" t="s">
        <v>168</v>
      </c>
      <c r="CR10">
        <v>28.74</v>
      </c>
      <c r="CS10" s="3" t="s">
        <v>168</v>
      </c>
      <c r="CT10" s="3" t="s">
        <v>168</v>
      </c>
      <c r="CU10" s="3" t="s">
        <v>168</v>
      </c>
      <c r="CV10" s="3" t="s">
        <v>182</v>
      </c>
      <c r="CW10" s="3" t="s">
        <v>168</v>
      </c>
      <c r="CX10" s="3" t="s">
        <v>168</v>
      </c>
      <c r="CY10">
        <v>28.74</v>
      </c>
      <c r="CZ10" s="3" t="s">
        <v>168</v>
      </c>
      <c r="DA10" s="3" t="s">
        <v>168</v>
      </c>
      <c r="DB10" s="3" t="s">
        <v>168</v>
      </c>
      <c r="DC10" s="3" t="s">
        <v>183</v>
      </c>
      <c r="DD10" s="3" t="s">
        <v>168</v>
      </c>
      <c r="DE10" s="3" t="s">
        <v>168</v>
      </c>
      <c r="DF10" s="3" t="s">
        <v>168</v>
      </c>
      <c r="DG10" s="3" t="s">
        <v>168</v>
      </c>
      <c r="DH10" s="3" t="s">
        <v>168</v>
      </c>
      <c r="DI10" s="3" t="s">
        <v>168</v>
      </c>
      <c r="DJ10" s="3" t="s">
        <v>168</v>
      </c>
      <c r="DK10" s="3" t="s">
        <v>168</v>
      </c>
      <c r="DL10" s="3" t="s">
        <v>168</v>
      </c>
      <c r="DM10" s="3" t="s">
        <v>168</v>
      </c>
      <c r="DN10">
        <v>1.1100000000000001</v>
      </c>
      <c r="DO10" s="3" t="s">
        <v>168</v>
      </c>
      <c r="DP10" s="3" t="s">
        <v>168</v>
      </c>
      <c r="DQ10" s="3" t="s">
        <v>168</v>
      </c>
      <c r="DR10" s="3" t="s">
        <v>184</v>
      </c>
      <c r="DS10" s="3" t="s">
        <v>168</v>
      </c>
      <c r="DT10" s="3" t="s">
        <v>168</v>
      </c>
      <c r="DU10" s="3" t="s">
        <v>168</v>
      </c>
      <c r="DV10" s="3" t="s">
        <v>168</v>
      </c>
      <c r="DW10" s="3" t="s">
        <v>168</v>
      </c>
      <c r="DX10" s="3" t="s">
        <v>168</v>
      </c>
      <c r="DY10" s="3" t="s">
        <v>168</v>
      </c>
      <c r="DZ10" s="3" t="s">
        <v>168</v>
      </c>
      <c r="EA10" s="3" t="s">
        <v>168</v>
      </c>
      <c r="EB10" s="3" t="s">
        <v>168</v>
      </c>
      <c r="EC10" s="3" t="s">
        <v>168</v>
      </c>
      <c r="ED10" s="3" t="s">
        <v>168</v>
      </c>
      <c r="EE10" s="3" t="s">
        <v>168</v>
      </c>
      <c r="EF10" s="3" t="s">
        <v>168</v>
      </c>
      <c r="EG10" s="3" t="s">
        <v>168</v>
      </c>
      <c r="EH10" s="3" t="s">
        <v>168</v>
      </c>
      <c r="EI10" s="3" t="s">
        <v>168</v>
      </c>
      <c r="EJ10" s="3" t="s">
        <v>168</v>
      </c>
      <c r="EK10" s="3" t="s">
        <v>168</v>
      </c>
      <c r="EL10" s="3" t="s">
        <v>168</v>
      </c>
      <c r="EM10" s="3" t="s">
        <v>168</v>
      </c>
      <c r="EN10" s="3" t="s">
        <v>168</v>
      </c>
      <c r="EO10" s="3" t="s">
        <v>168</v>
      </c>
      <c r="EP10" s="3" t="s">
        <v>168</v>
      </c>
      <c r="EQ10" s="3" t="s">
        <v>168</v>
      </c>
      <c r="ER10" t="s">
        <v>168</v>
      </c>
      <c r="ES10" s="3" t="s">
        <v>168</v>
      </c>
      <c r="ET10" s="3" t="s">
        <v>168</v>
      </c>
      <c r="EU10" s="3" t="s">
        <v>168</v>
      </c>
      <c r="EV10" s="4" t="s">
        <v>168</v>
      </c>
      <c r="EW10">
        <v>25</v>
      </c>
      <c r="EX10">
        <v>11.76</v>
      </c>
      <c r="EY10" t="s">
        <v>168</v>
      </c>
      <c r="EZ10" t="s">
        <v>168</v>
      </c>
      <c r="FA10" t="s">
        <v>168</v>
      </c>
      <c r="FB10" s="3" t="s">
        <v>168</v>
      </c>
      <c r="FC10" s="3" t="s">
        <v>168</v>
      </c>
      <c r="FD10" s="3" t="s">
        <v>168</v>
      </c>
      <c r="FE10" s="3" t="s">
        <v>168</v>
      </c>
      <c r="FF10" s="3" t="s">
        <v>168</v>
      </c>
      <c r="FG10" s="3" t="s">
        <v>168</v>
      </c>
      <c r="FH10" s="3" t="s">
        <v>168</v>
      </c>
      <c r="FI10" s="3" t="s">
        <v>168</v>
      </c>
      <c r="FJ10" s="3" t="s">
        <v>168</v>
      </c>
      <c r="FK10" s="3" t="s">
        <v>168</v>
      </c>
      <c r="FL10" s="3" t="s">
        <v>168</v>
      </c>
      <c r="FM10" s="4" t="s">
        <v>185</v>
      </c>
      <c r="FN10" s="3" t="s">
        <v>168</v>
      </c>
      <c r="FO10" s="3" t="s">
        <v>168</v>
      </c>
      <c r="FP10" s="3" t="s">
        <v>168</v>
      </c>
      <c r="FQ10" s="3" t="s">
        <v>168</v>
      </c>
      <c r="FR10" s="3" t="s">
        <v>168</v>
      </c>
      <c r="FS10" s="3" t="s">
        <v>168</v>
      </c>
      <c r="FT10" s="7" t="s">
        <v>186</v>
      </c>
      <c r="FU10" s="7" t="s">
        <v>187</v>
      </c>
      <c r="FV10" s="25" t="s">
        <v>350</v>
      </c>
      <c r="FW10" s="7" t="s">
        <v>168</v>
      </c>
      <c r="FX10" s="7" t="s">
        <v>168</v>
      </c>
      <c r="FY10" s="4" t="s">
        <v>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349C-84C8-044E-8056-F832E2BDBB70}">
  <dimension ref="A1:D191"/>
  <sheetViews>
    <sheetView tabSelected="1" workbookViewId="0">
      <selection activeCell="C11" sqref="A1:D182"/>
    </sheetView>
  </sheetViews>
  <sheetFormatPr baseColWidth="10" defaultRowHeight="16"/>
  <cols>
    <col min="1" max="1" width="20" bestFit="1" customWidth="1"/>
    <col min="3" max="3" width="45.6640625" bestFit="1" customWidth="1"/>
  </cols>
  <sheetData>
    <row r="1" spans="1:4">
      <c r="A1" s="4" t="s">
        <v>11</v>
      </c>
      <c r="B1" s="4" t="s">
        <v>273</v>
      </c>
      <c r="C1" s="4" t="s">
        <v>274</v>
      </c>
      <c r="D1" s="4" t="s">
        <v>275</v>
      </c>
    </row>
    <row r="2" spans="1:4">
      <c r="A2" s="4" t="s">
        <v>276</v>
      </c>
      <c r="B2" s="5">
        <v>1</v>
      </c>
      <c r="C2" s="19" t="s">
        <v>0</v>
      </c>
      <c r="D2" s="4" t="s">
        <v>277</v>
      </c>
    </row>
    <row r="3" spans="1:4" ht="17">
      <c r="A3" s="4" t="s">
        <v>276</v>
      </c>
      <c r="B3" s="5">
        <v>2</v>
      </c>
      <c r="C3" s="20" t="s">
        <v>1</v>
      </c>
      <c r="D3" s="4" t="s">
        <v>277</v>
      </c>
    </row>
    <row r="4" spans="1:4" ht="17">
      <c r="A4" s="4" t="s">
        <v>276</v>
      </c>
      <c r="B4" s="5">
        <v>3</v>
      </c>
      <c r="C4" s="20" t="s">
        <v>2</v>
      </c>
      <c r="D4" s="4" t="s">
        <v>277</v>
      </c>
    </row>
    <row r="5" spans="1:4">
      <c r="A5" s="4" t="s">
        <v>276</v>
      </c>
      <c r="B5" s="5">
        <v>4</v>
      </c>
      <c r="C5" s="19" t="s">
        <v>5</v>
      </c>
      <c r="D5" s="4" t="s">
        <v>277</v>
      </c>
    </row>
    <row r="6" spans="1:4">
      <c r="A6" s="4" t="s">
        <v>276</v>
      </c>
      <c r="B6" s="5">
        <v>5</v>
      </c>
      <c r="C6" s="19" t="s">
        <v>314</v>
      </c>
      <c r="D6" s="4" t="s">
        <v>277</v>
      </c>
    </row>
    <row r="7" spans="1:4" ht="17">
      <c r="A7" s="4" t="s">
        <v>276</v>
      </c>
      <c r="B7" s="5">
        <v>6</v>
      </c>
      <c r="C7" s="21" t="s">
        <v>315</v>
      </c>
      <c r="D7" s="4" t="s">
        <v>277</v>
      </c>
    </row>
    <row r="8" spans="1:4" ht="17">
      <c r="A8" s="4" t="s">
        <v>276</v>
      </c>
      <c r="B8" s="5">
        <v>7</v>
      </c>
      <c r="C8" s="21" t="s">
        <v>316</v>
      </c>
      <c r="D8" s="4" t="s">
        <v>277</v>
      </c>
    </row>
    <row r="9" spans="1:4" ht="17">
      <c r="A9" s="4" t="s">
        <v>276</v>
      </c>
      <c r="B9" s="5">
        <v>8</v>
      </c>
      <c r="C9" s="20" t="s">
        <v>317</v>
      </c>
      <c r="D9" s="4" t="s">
        <v>277</v>
      </c>
    </row>
    <row r="10" spans="1:4" ht="17">
      <c r="A10" s="4" t="s">
        <v>276</v>
      </c>
      <c r="B10" s="5">
        <v>9</v>
      </c>
      <c r="C10" s="21" t="s">
        <v>318</v>
      </c>
      <c r="D10" s="4" t="s">
        <v>277</v>
      </c>
    </row>
    <row r="11" spans="1:4" ht="17">
      <c r="A11" s="4" t="s">
        <v>276</v>
      </c>
      <c r="B11" s="5">
        <v>10</v>
      </c>
      <c r="C11" s="21" t="s">
        <v>329</v>
      </c>
      <c r="D11" s="4" t="s">
        <v>277</v>
      </c>
    </row>
    <row r="12" spans="1:4">
      <c r="A12" s="4" t="s">
        <v>278</v>
      </c>
      <c r="B12" s="5">
        <v>11</v>
      </c>
      <c r="C12" s="4" t="s">
        <v>3</v>
      </c>
      <c r="D12" s="5"/>
    </row>
    <row r="13" spans="1:4">
      <c r="A13" s="4" t="s">
        <v>278</v>
      </c>
      <c r="B13" s="5">
        <v>12</v>
      </c>
      <c r="C13" s="4" t="s">
        <v>4</v>
      </c>
      <c r="D13" s="5"/>
    </row>
    <row r="14" spans="1:4">
      <c r="A14" s="4" t="s">
        <v>278</v>
      </c>
      <c r="B14" s="5">
        <v>13</v>
      </c>
      <c r="C14" s="4" t="s">
        <v>336</v>
      </c>
      <c r="D14" s="4" t="s">
        <v>279</v>
      </c>
    </row>
    <row r="15" spans="1:4">
      <c r="A15" s="4" t="s">
        <v>278</v>
      </c>
      <c r="B15" s="5">
        <v>14</v>
      </c>
      <c r="C15" s="4" t="s">
        <v>335</v>
      </c>
      <c r="D15" s="4" t="s">
        <v>280</v>
      </c>
    </row>
    <row r="16" spans="1:4">
      <c r="A16" s="4" t="s">
        <v>281</v>
      </c>
      <c r="B16" s="5">
        <v>15</v>
      </c>
      <c r="C16" s="4" t="s">
        <v>6</v>
      </c>
      <c r="D16" s="4" t="s">
        <v>282</v>
      </c>
    </row>
    <row r="17" spans="1:4">
      <c r="A17" s="4" t="s">
        <v>281</v>
      </c>
      <c r="B17" s="5">
        <v>16</v>
      </c>
      <c r="C17" s="4" t="s">
        <v>7</v>
      </c>
      <c r="D17" s="5"/>
    </row>
    <row r="18" spans="1:4">
      <c r="A18" s="4" t="s">
        <v>281</v>
      </c>
      <c r="B18" s="5">
        <v>17</v>
      </c>
      <c r="C18" s="4" t="s">
        <v>8</v>
      </c>
      <c r="D18" s="5"/>
    </row>
    <row r="19" spans="1:4">
      <c r="A19" s="4" t="s">
        <v>281</v>
      </c>
      <c r="B19" s="5">
        <v>18</v>
      </c>
      <c r="C19" s="4" t="s">
        <v>9</v>
      </c>
      <c r="D19" s="5"/>
    </row>
    <row r="20" spans="1:4">
      <c r="A20" s="4" t="s">
        <v>281</v>
      </c>
      <c r="B20" s="5">
        <v>19</v>
      </c>
      <c r="C20" s="4" t="s">
        <v>10</v>
      </c>
      <c r="D20" s="4" t="s">
        <v>283</v>
      </c>
    </row>
    <row r="21" spans="1:4">
      <c r="A21" s="4" t="s">
        <v>281</v>
      </c>
      <c r="B21" s="5">
        <v>20</v>
      </c>
      <c r="C21" s="4" t="s">
        <v>11</v>
      </c>
      <c r="D21" s="5"/>
    </row>
    <row r="22" spans="1:4">
      <c r="A22" s="4" t="s">
        <v>281</v>
      </c>
      <c r="B22" s="5">
        <v>21</v>
      </c>
      <c r="C22" s="4" t="s">
        <v>12</v>
      </c>
      <c r="D22" s="5"/>
    </row>
    <row r="23" spans="1:4">
      <c r="A23" s="4" t="s">
        <v>281</v>
      </c>
      <c r="B23" s="5">
        <v>22</v>
      </c>
      <c r="C23" s="4" t="s">
        <v>323</v>
      </c>
      <c r="D23" s="5"/>
    </row>
    <row r="24" spans="1:4">
      <c r="A24" s="4" t="s">
        <v>281</v>
      </c>
      <c r="B24" s="5">
        <v>23</v>
      </c>
      <c r="C24" s="4" t="s">
        <v>13</v>
      </c>
      <c r="D24" s="5"/>
    </row>
    <row r="25" spans="1:4">
      <c r="A25" s="4" t="s">
        <v>281</v>
      </c>
      <c r="B25" s="5">
        <v>24</v>
      </c>
      <c r="C25" s="4" t="s">
        <v>14</v>
      </c>
      <c r="D25" s="5"/>
    </row>
    <row r="26" spans="1:4">
      <c r="A26" s="4" t="s">
        <v>281</v>
      </c>
      <c r="B26" s="5">
        <v>25</v>
      </c>
      <c r="C26" s="4" t="s">
        <v>15</v>
      </c>
      <c r="D26" s="5"/>
    </row>
    <row r="27" spans="1:4">
      <c r="A27" s="4" t="s">
        <v>281</v>
      </c>
      <c r="B27" s="5">
        <v>26</v>
      </c>
      <c r="C27" s="4" t="s">
        <v>16</v>
      </c>
      <c r="D27" s="5"/>
    </row>
    <row r="28" spans="1:4">
      <c r="A28" s="4" t="s">
        <v>281</v>
      </c>
      <c r="B28" s="5">
        <v>27</v>
      </c>
      <c r="C28" s="4" t="s">
        <v>17</v>
      </c>
      <c r="D28" s="4" t="s">
        <v>284</v>
      </c>
    </row>
    <row r="29" spans="1:4">
      <c r="A29" s="4" t="s">
        <v>285</v>
      </c>
      <c r="B29" s="5">
        <v>28</v>
      </c>
      <c r="C29" s="4" t="s">
        <v>18</v>
      </c>
      <c r="D29" s="5"/>
    </row>
    <row r="30" spans="1:4">
      <c r="A30" s="4" t="s">
        <v>285</v>
      </c>
      <c r="B30" s="5">
        <v>29</v>
      </c>
      <c r="C30" s="4" t="s">
        <v>19</v>
      </c>
      <c r="D30" s="5"/>
    </row>
    <row r="31" spans="1:4">
      <c r="A31" s="4" t="s">
        <v>285</v>
      </c>
      <c r="B31" s="5">
        <v>30</v>
      </c>
      <c r="C31" s="4" t="s">
        <v>20</v>
      </c>
      <c r="D31" s="5"/>
    </row>
    <row r="32" spans="1:4">
      <c r="A32" s="4" t="s">
        <v>285</v>
      </c>
      <c r="B32" s="5">
        <v>31</v>
      </c>
      <c r="C32" s="4" t="s">
        <v>21</v>
      </c>
      <c r="D32" s="4" t="s">
        <v>286</v>
      </c>
    </row>
    <row r="33" spans="1:4">
      <c r="A33" s="4" t="s">
        <v>285</v>
      </c>
      <c r="B33" s="5">
        <v>32</v>
      </c>
      <c r="C33" s="4" t="s">
        <v>22</v>
      </c>
      <c r="D33" s="5"/>
    </row>
    <row r="34" spans="1:4">
      <c r="A34" s="4" t="s">
        <v>285</v>
      </c>
      <c r="B34" s="5">
        <v>33</v>
      </c>
      <c r="C34" s="4" t="s">
        <v>23</v>
      </c>
      <c r="D34" s="5" t="s">
        <v>287</v>
      </c>
    </row>
    <row r="35" spans="1:4">
      <c r="A35" s="4" t="s">
        <v>288</v>
      </c>
      <c r="B35" s="5">
        <v>34</v>
      </c>
      <c r="C35" s="4" t="s">
        <v>337</v>
      </c>
      <c r="D35" s="4" t="s">
        <v>338</v>
      </c>
    </row>
    <row r="36" spans="1:4">
      <c r="A36" s="4" t="s">
        <v>288</v>
      </c>
      <c r="B36" s="5">
        <v>35</v>
      </c>
      <c r="C36" s="4" t="s">
        <v>339</v>
      </c>
      <c r="D36" s="4" t="s">
        <v>340</v>
      </c>
    </row>
    <row r="37" spans="1:4">
      <c r="A37" s="4" t="s">
        <v>288</v>
      </c>
      <c r="B37" s="5">
        <v>36</v>
      </c>
      <c r="C37" s="4" t="s">
        <v>24</v>
      </c>
      <c r="D37" s="4" t="s">
        <v>289</v>
      </c>
    </row>
    <row r="38" spans="1:4">
      <c r="A38" s="4" t="s">
        <v>288</v>
      </c>
      <c r="B38" s="5">
        <v>37</v>
      </c>
      <c r="C38" s="4" t="s">
        <v>341</v>
      </c>
      <c r="D38" s="5"/>
    </row>
    <row r="39" spans="1:4">
      <c r="A39" s="4" t="s">
        <v>288</v>
      </c>
      <c r="B39" s="5">
        <v>38</v>
      </c>
      <c r="C39" s="4" t="s">
        <v>342</v>
      </c>
      <c r="D39" s="5"/>
    </row>
    <row r="40" spans="1:4">
      <c r="A40" s="4" t="s">
        <v>288</v>
      </c>
      <c r="B40" s="5">
        <v>39</v>
      </c>
      <c r="C40" s="4" t="s">
        <v>25</v>
      </c>
      <c r="D40" s="4" t="s">
        <v>289</v>
      </c>
    </row>
    <row r="41" spans="1:4">
      <c r="A41" s="4" t="s">
        <v>288</v>
      </c>
      <c r="B41" s="5">
        <v>40</v>
      </c>
      <c r="C41" s="4" t="s">
        <v>26</v>
      </c>
      <c r="D41" s="5"/>
    </row>
    <row r="42" spans="1:4">
      <c r="A42" s="4" t="s">
        <v>288</v>
      </c>
      <c r="B42" s="5">
        <v>41</v>
      </c>
      <c r="C42" s="4" t="s">
        <v>27</v>
      </c>
      <c r="D42" s="5" t="s">
        <v>290</v>
      </c>
    </row>
    <row r="43" spans="1:4">
      <c r="A43" s="4" t="s">
        <v>28</v>
      </c>
      <c r="B43" s="5">
        <v>42</v>
      </c>
      <c r="C43" s="4" t="s">
        <v>28</v>
      </c>
      <c r="D43" s="5"/>
    </row>
    <row r="44" spans="1:4">
      <c r="A44" s="4" t="s">
        <v>28</v>
      </c>
      <c r="B44" s="5">
        <v>43</v>
      </c>
      <c r="C44" s="4" t="s">
        <v>29</v>
      </c>
      <c r="D44" s="5"/>
    </row>
    <row r="45" spans="1:4">
      <c r="A45" s="4" t="s">
        <v>28</v>
      </c>
      <c r="B45" s="5">
        <v>44</v>
      </c>
      <c r="C45" s="4" t="s">
        <v>30</v>
      </c>
      <c r="D45" s="5"/>
    </row>
    <row r="46" spans="1:4">
      <c r="A46" s="4" t="s">
        <v>28</v>
      </c>
      <c r="B46" s="5">
        <v>45</v>
      </c>
      <c r="C46" s="4" t="s">
        <v>31</v>
      </c>
      <c r="D46" s="5"/>
    </row>
    <row r="47" spans="1:4">
      <c r="A47" s="4" t="s">
        <v>28</v>
      </c>
      <c r="B47" s="5">
        <v>46</v>
      </c>
      <c r="C47" s="4" t="s">
        <v>32</v>
      </c>
      <c r="D47" s="5"/>
    </row>
    <row r="48" spans="1:4">
      <c r="A48" s="4" t="s">
        <v>28</v>
      </c>
      <c r="B48" s="5">
        <v>47</v>
      </c>
      <c r="C48" s="4" t="s">
        <v>33</v>
      </c>
      <c r="D48" s="5"/>
    </row>
    <row r="49" spans="1:4">
      <c r="A49" s="4" t="s">
        <v>28</v>
      </c>
      <c r="B49" s="5">
        <v>48</v>
      </c>
      <c r="C49" s="4" t="s">
        <v>34</v>
      </c>
      <c r="D49" s="5"/>
    </row>
    <row r="50" spans="1:4">
      <c r="A50" s="4" t="s">
        <v>28</v>
      </c>
      <c r="B50" s="5">
        <v>49</v>
      </c>
      <c r="C50" s="4" t="s">
        <v>35</v>
      </c>
      <c r="D50" s="5"/>
    </row>
    <row r="51" spans="1:4">
      <c r="A51" s="4" t="s">
        <v>291</v>
      </c>
      <c r="B51" s="5">
        <v>50</v>
      </c>
      <c r="C51" s="4" t="s">
        <v>36</v>
      </c>
      <c r="D51" s="5"/>
    </row>
    <row r="52" spans="1:4">
      <c r="A52" s="4" t="s">
        <v>291</v>
      </c>
      <c r="B52" s="5">
        <v>51</v>
      </c>
      <c r="C52" s="4" t="s">
        <v>37</v>
      </c>
      <c r="D52" s="5"/>
    </row>
    <row r="53" spans="1:4">
      <c r="A53" s="4" t="s">
        <v>291</v>
      </c>
      <c r="B53" s="5">
        <v>52</v>
      </c>
      <c r="C53" s="4" t="s">
        <v>38</v>
      </c>
      <c r="D53" s="4" t="s">
        <v>286</v>
      </c>
    </row>
    <row r="54" spans="1:4">
      <c r="A54" s="4" t="s">
        <v>291</v>
      </c>
      <c r="B54" s="5">
        <v>53</v>
      </c>
      <c r="C54" s="4" t="s">
        <v>39</v>
      </c>
      <c r="D54" s="4" t="s">
        <v>292</v>
      </c>
    </row>
    <row r="55" spans="1:4">
      <c r="A55" s="4" t="s">
        <v>291</v>
      </c>
      <c r="B55" s="5">
        <v>54</v>
      </c>
      <c r="C55" s="4" t="s">
        <v>40</v>
      </c>
      <c r="D55" s="5"/>
    </row>
    <row r="56" spans="1:4">
      <c r="A56" s="4" t="s">
        <v>291</v>
      </c>
      <c r="B56" s="5">
        <v>55</v>
      </c>
      <c r="C56" s="4" t="s">
        <v>41</v>
      </c>
      <c r="D56" s="5"/>
    </row>
    <row r="57" spans="1:4">
      <c r="A57" s="4" t="s">
        <v>291</v>
      </c>
      <c r="B57" s="5">
        <v>56</v>
      </c>
      <c r="C57" s="4" t="s">
        <v>42</v>
      </c>
      <c r="D57" s="4" t="s">
        <v>286</v>
      </c>
    </row>
    <row r="58" spans="1:4">
      <c r="A58" s="4" t="s">
        <v>291</v>
      </c>
      <c r="B58" s="5">
        <v>57</v>
      </c>
      <c r="C58" s="4" t="s">
        <v>43</v>
      </c>
      <c r="D58" s="4" t="s">
        <v>292</v>
      </c>
    </row>
    <row r="59" spans="1:4">
      <c r="A59" s="4" t="s">
        <v>291</v>
      </c>
      <c r="B59" s="5">
        <v>58</v>
      </c>
      <c r="C59" s="4" t="s">
        <v>44</v>
      </c>
      <c r="D59" s="4" t="s">
        <v>293</v>
      </c>
    </row>
    <row r="60" spans="1:4">
      <c r="A60" s="4" t="s">
        <v>291</v>
      </c>
      <c r="B60" s="5">
        <v>59</v>
      </c>
      <c r="C60" s="4" t="s">
        <v>45</v>
      </c>
      <c r="D60" s="4" t="s">
        <v>294</v>
      </c>
    </row>
    <row r="61" spans="1:4">
      <c r="A61" s="4" t="s">
        <v>291</v>
      </c>
      <c r="B61" s="5">
        <v>60</v>
      </c>
      <c r="C61" s="4" t="s">
        <v>46</v>
      </c>
      <c r="D61" s="5"/>
    </row>
    <row r="62" spans="1:4">
      <c r="A62" s="4" t="s">
        <v>291</v>
      </c>
      <c r="B62" s="5">
        <v>61</v>
      </c>
      <c r="C62" s="4" t="s">
        <v>47</v>
      </c>
      <c r="D62" s="5"/>
    </row>
    <row r="63" spans="1:4">
      <c r="A63" s="4" t="s">
        <v>291</v>
      </c>
      <c r="B63" s="5">
        <v>62</v>
      </c>
      <c r="C63" s="4" t="s">
        <v>48</v>
      </c>
      <c r="D63" s="5"/>
    </row>
    <row r="64" spans="1:4">
      <c r="A64" s="4" t="s">
        <v>291</v>
      </c>
      <c r="B64" s="5">
        <v>63</v>
      </c>
      <c r="C64" s="4" t="s">
        <v>49</v>
      </c>
      <c r="D64" s="4" t="s">
        <v>286</v>
      </c>
    </row>
    <row r="65" spans="1:4">
      <c r="A65" s="4" t="s">
        <v>291</v>
      </c>
      <c r="B65" s="5">
        <v>64</v>
      </c>
      <c r="C65" s="4" t="s">
        <v>50</v>
      </c>
      <c r="D65" s="5"/>
    </row>
    <row r="66" spans="1:4">
      <c r="A66" s="4" t="s">
        <v>291</v>
      </c>
      <c r="B66" s="5">
        <v>65</v>
      </c>
      <c r="C66" s="4" t="s">
        <v>51</v>
      </c>
      <c r="D66" s="5"/>
    </row>
    <row r="67" spans="1:4">
      <c r="A67" s="4" t="s">
        <v>291</v>
      </c>
      <c r="B67" s="5">
        <v>66</v>
      </c>
      <c r="C67" s="4" t="s">
        <v>52</v>
      </c>
      <c r="D67" s="5"/>
    </row>
    <row r="68" spans="1:4">
      <c r="A68" s="4" t="s">
        <v>291</v>
      </c>
      <c r="B68" s="5">
        <v>67</v>
      </c>
      <c r="C68" s="4" t="s">
        <v>53</v>
      </c>
      <c r="D68" s="5"/>
    </row>
    <row r="69" spans="1:4">
      <c r="A69" s="4" t="s">
        <v>291</v>
      </c>
      <c r="B69" s="5">
        <v>68</v>
      </c>
      <c r="C69" s="4" t="s">
        <v>321</v>
      </c>
      <c r="D69" s="5"/>
    </row>
    <row r="70" spans="1:4">
      <c r="A70" s="4" t="s">
        <v>291</v>
      </c>
      <c r="B70" s="5">
        <v>69</v>
      </c>
      <c r="C70" s="4" t="s">
        <v>322</v>
      </c>
      <c r="D70" s="5"/>
    </row>
    <row r="71" spans="1:4">
      <c r="A71" s="4" t="s">
        <v>291</v>
      </c>
      <c r="B71" s="5">
        <v>70</v>
      </c>
      <c r="C71" s="4" t="s">
        <v>54</v>
      </c>
      <c r="D71" s="5"/>
    </row>
    <row r="72" spans="1:4">
      <c r="A72" s="4" t="s">
        <v>291</v>
      </c>
      <c r="B72" s="5">
        <v>71</v>
      </c>
      <c r="C72" s="4" t="s">
        <v>55</v>
      </c>
      <c r="D72" s="5"/>
    </row>
    <row r="73" spans="1:4">
      <c r="A73" s="4" t="s">
        <v>295</v>
      </c>
      <c r="B73" s="5">
        <v>72</v>
      </c>
      <c r="C73" s="4" t="s">
        <v>56</v>
      </c>
      <c r="D73" s="5"/>
    </row>
    <row r="74" spans="1:4">
      <c r="A74" s="4" t="s">
        <v>295</v>
      </c>
      <c r="B74" s="5">
        <v>73</v>
      </c>
      <c r="C74" s="4" t="s">
        <v>57</v>
      </c>
      <c r="D74" s="5" t="s">
        <v>296</v>
      </c>
    </row>
    <row r="75" spans="1:4">
      <c r="A75" s="4" t="s">
        <v>295</v>
      </c>
      <c r="B75" s="5">
        <v>74</v>
      </c>
      <c r="C75" s="4" t="s">
        <v>58</v>
      </c>
      <c r="D75" s="5"/>
    </row>
    <row r="76" spans="1:4">
      <c r="A76" s="4" t="s">
        <v>295</v>
      </c>
      <c r="B76" s="5">
        <v>75</v>
      </c>
      <c r="C76" s="4" t="s">
        <v>59</v>
      </c>
      <c r="D76" s="5"/>
    </row>
    <row r="77" spans="1:4">
      <c r="A77" s="4" t="s">
        <v>295</v>
      </c>
      <c r="B77" s="5">
        <v>76</v>
      </c>
      <c r="C77" s="4" t="s">
        <v>60</v>
      </c>
      <c r="D77" s="4" t="s">
        <v>286</v>
      </c>
    </row>
    <row r="78" spans="1:4">
      <c r="A78" s="4" t="s">
        <v>295</v>
      </c>
      <c r="B78" s="5">
        <v>77</v>
      </c>
      <c r="C78" s="4" t="s">
        <v>61</v>
      </c>
      <c r="D78" s="5"/>
    </row>
    <row r="79" spans="1:4">
      <c r="A79" s="4" t="s">
        <v>295</v>
      </c>
      <c r="B79" s="5">
        <v>78</v>
      </c>
      <c r="C79" s="4" t="s">
        <v>62</v>
      </c>
      <c r="D79" s="5"/>
    </row>
    <row r="80" spans="1:4">
      <c r="A80" s="4" t="s">
        <v>295</v>
      </c>
      <c r="B80" s="5">
        <v>79</v>
      </c>
      <c r="C80" s="4" t="s">
        <v>63</v>
      </c>
      <c r="D80" s="4" t="s">
        <v>286</v>
      </c>
    </row>
    <row r="81" spans="1:4">
      <c r="A81" s="4" t="s">
        <v>295</v>
      </c>
      <c r="B81" s="5">
        <v>80</v>
      </c>
      <c r="C81" s="4" t="s">
        <v>64</v>
      </c>
      <c r="D81" s="5"/>
    </row>
    <row r="82" spans="1:4">
      <c r="A82" s="4" t="s">
        <v>295</v>
      </c>
      <c r="B82" s="5">
        <v>81</v>
      </c>
      <c r="C82" s="4" t="s">
        <v>65</v>
      </c>
      <c r="D82" s="5"/>
    </row>
    <row r="83" spans="1:4">
      <c r="A83" s="4" t="s">
        <v>295</v>
      </c>
      <c r="B83" s="5">
        <v>82</v>
      </c>
      <c r="C83" s="4" t="s">
        <v>66</v>
      </c>
      <c r="D83" s="4" t="s">
        <v>286</v>
      </c>
    </row>
    <row r="84" spans="1:4">
      <c r="A84" s="4" t="s">
        <v>295</v>
      </c>
      <c r="B84" s="5">
        <v>83</v>
      </c>
      <c r="C84" s="4" t="s">
        <v>67</v>
      </c>
      <c r="D84" s="5"/>
    </row>
    <row r="85" spans="1:4">
      <c r="A85" s="4" t="s">
        <v>295</v>
      </c>
      <c r="B85" s="5">
        <v>84</v>
      </c>
      <c r="C85" s="4" t="s">
        <v>68</v>
      </c>
      <c r="D85" s="5"/>
    </row>
    <row r="86" spans="1:4">
      <c r="A86" s="4" t="s">
        <v>297</v>
      </c>
      <c r="B86" s="5">
        <v>85</v>
      </c>
      <c r="C86" s="4" t="s">
        <v>69</v>
      </c>
      <c r="D86" s="5"/>
    </row>
    <row r="87" spans="1:4">
      <c r="A87" s="4" t="s">
        <v>297</v>
      </c>
      <c r="B87" s="5">
        <v>86</v>
      </c>
      <c r="C87" s="4" t="s">
        <v>70</v>
      </c>
      <c r="D87" s="5"/>
    </row>
    <row r="88" spans="1:4">
      <c r="A88" s="4" t="s">
        <v>297</v>
      </c>
      <c r="B88" s="5">
        <v>87</v>
      </c>
      <c r="C88" s="4" t="s">
        <v>71</v>
      </c>
      <c r="D88" s="5"/>
    </row>
    <row r="89" spans="1:4">
      <c r="A89" s="4" t="s">
        <v>297</v>
      </c>
      <c r="B89" s="5">
        <v>88</v>
      </c>
      <c r="C89" s="4" t="s">
        <v>72</v>
      </c>
      <c r="D89" s="5"/>
    </row>
    <row r="90" spans="1:4">
      <c r="A90" s="4" t="s">
        <v>297</v>
      </c>
      <c r="B90" s="5">
        <v>89</v>
      </c>
      <c r="C90" s="4" t="s">
        <v>73</v>
      </c>
      <c r="D90" s="5"/>
    </row>
    <row r="91" spans="1:4">
      <c r="A91" s="4" t="s">
        <v>297</v>
      </c>
      <c r="B91" s="5">
        <v>90</v>
      </c>
      <c r="C91" s="4" t="s">
        <v>74</v>
      </c>
      <c r="D91" s="5"/>
    </row>
    <row r="92" spans="1:4">
      <c r="A92" s="4" t="s">
        <v>297</v>
      </c>
      <c r="B92" s="5">
        <v>91</v>
      </c>
      <c r="C92" s="4" t="s">
        <v>75</v>
      </c>
      <c r="D92" s="5"/>
    </row>
    <row r="93" spans="1:4">
      <c r="A93" s="4" t="s">
        <v>297</v>
      </c>
      <c r="B93" s="5">
        <v>92</v>
      </c>
      <c r="C93" s="4" t="s">
        <v>76</v>
      </c>
      <c r="D93" s="4" t="s">
        <v>286</v>
      </c>
    </row>
    <row r="94" spans="1:4">
      <c r="A94" s="4" t="s">
        <v>297</v>
      </c>
      <c r="B94" s="5">
        <v>93</v>
      </c>
      <c r="C94" s="4" t="s">
        <v>77</v>
      </c>
      <c r="D94" s="5"/>
    </row>
    <row r="95" spans="1:4">
      <c r="A95" s="4" t="s">
        <v>297</v>
      </c>
      <c r="B95" s="5">
        <v>94</v>
      </c>
      <c r="C95" s="4" t="s">
        <v>78</v>
      </c>
      <c r="D95" s="4"/>
    </row>
    <row r="96" spans="1:4">
      <c r="A96" s="4" t="s">
        <v>297</v>
      </c>
      <c r="B96" s="5">
        <v>95</v>
      </c>
      <c r="C96" s="4" t="s">
        <v>79</v>
      </c>
      <c r="D96" s="5"/>
    </row>
    <row r="97" spans="1:4">
      <c r="A97" s="4" t="s">
        <v>298</v>
      </c>
      <c r="B97" s="5">
        <v>96</v>
      </c>
      <c r="C97" s="4" t="s">
        <v>80</v>
      </c>
      <c r="D97" s="4" t="s">
        <v>299</v>
      </c>
    </row>
    <row r="98" spans="1:4">
      <c r="A98" s="4" t="s">
        <v>298</v>
      </c>
      <c r="B98" s="5">
        <v>97</v>
      </c>
      <c r="C98" s="4" t="s">
        <v>81</v>
      </c>
      <c r="D98" s="5"/>
    </row>
    <row r="99" spans="1:4">
      <c r="A99" s="4" t="s">
        <v>298</v>
      </c>
      <c r="B99" s="5">
        <v>98</v>
      </c>
      <c r="C99" s="4" t="s">
        <v>82</v>
      </c>
      <c r="D99" s="5"/>
    </row>
    <row r="100" spans="1:4">
      <c r="A100" s="4" t="s">
        <v>298</v>
      </c>
      <c r="B100" s="5">
        <v>99</v>
      </c>
      <c r="C100" s="4" t="s">
        <v>83</v>
      </c>
      <c r="D100" s="4" t="s">
        <v>286</v>
      </c>
    </row>
    <row r="101" spans="1:4">
      <c r="A101" s="4" t="s">
        <v>298</v>
      </c>
      <c r="B101" s="5">
        <v>100</v>
      </c>
      <c r="C101" s="4" t="s">
        <v>84</v>
      </c>
      <c r="D101" s="5"/>
    </row>
    <row r="102" spans="1:4">
      <c r="A102" s="4" t="s">
        <v>298</v>
      </c>
      <c r="B102" s="5">
        <v>101</v>
      </c>
      <c r="C102" s="4" t="s">
        <v>85</v>
      </c>
      <c r="D102" s="4"/>
    </row>
    <row r="103" spans="1:4">
      <c r="A103" s="4" t="s">
        <v>298</v>
      </c>
      <c r="B103" s="5">
        <v>102</v>
      </c>
      <c r="C103" s="4" t="s">
        <v>86</v>
      </c>
      <c r="D103" s="4"/>
    </row>
    <row r="104" spans="1:4">
      <c r="A104" s="4" t="s">
        <v>298</v>
      </c>
      <c r="B104" s="5">
        <v>103</v>
      </c>
      <c r="C104" s="4" t="s">
        <v>87</v>
      </c>
      <c r="D104" s="5"/>
    </row>
    <row r="105" spans="1:4">
      <c r="A105" s="4" t="s">
        <v>298</v>
      </c>
      <c r="B105" s="5">
        <v>104</v>
      </c>
      <c r="C105" s="4" t="s">
        <v>88</v>
      </c>
      <c r="D105" s="5"/>
    </row>
    <row r="106" spans="1:4">
      <c r="A106" s="4" t="s">
        <v>298</v>
      </c>
      <c r="B106" s="5">
        <v>105</v>
      </c>
      <c r="C106" s="4" t="s">
        <v>89</v>
      </c>
      <c r="D106" s="5"/>
    </row>
    <row r="107" spans="1:4">
      <c r="A107" s="4" t="s">
        <v>298</v>
      </c>
      <c r="B107" s="5">
        <v>106</v>
      </c>
      <c r="C107" s="4" t="s">
        <v>90</v>
      </c>
      <c r="D107" s="5"/>
    </row>
    <row r="108" spans="1:4">
      <c r="A108" s="4" t="s">
        <v>298</v>
      </c>
      <c r="B108" s="5">
        <v>107</v>
      </c>
      <c r="C108" s="4" t="s">
        <v>91</v>
      </c>
      <c r="D108" s="5"/>
    </row>
    <row r="109" spans="1:4">
      <c r="A109" s="4" t="s">
        <v>298</v>
      </c>
      <c r="B109" s="5">
        <v>108</v>
      </c>
      <c r="C109" s="4" t="s">
        <v>92</v>
      </c>
      <c r="D109" s="5" t="s">
        <v>300</v>
      </c>
    </row>
    <row r="110" spans="1:4">
      <c r="A110" s="4" t="s">
        <v>298</v>
      </c>
      <c r="B110" s="5">
        <v>109</v>
      </c>
      <c r="C110" s="4" t="s">
        <v>93</v>
      </c>
      <c r="D110" s="5"/>
    </row>
    <row r="111" spans="1:4">
      <c r="A111" s="4" t="s">
        <v>298</v>
      </c>
      <c r="B111" s="5">
        <v>110</v>
      </c>
      <c r="C111" s="4" t="s">
        <v>94</v>
      </c>
      <c r="D111" s="5"/>
    </row>
    <row r="112" spans="1:4">
      <c r="A112" s="4" t="s">
        <v>298</v>
      </c>
      <c r="B112" s="5">
        <v>111</v>
      </c>
      <c r="C112" s="4" t="s">
        <v>95</v>
      </c>
      <c r="D112" s="5"/>
    </row>
    <row r="113" spans="1:4">
      <c r="A113" s="4" t="s">
        <v>298</v>
      </c>
      <c r="B113" s="5">
        <v>112</v>
      </c>
      <c r="C113" s="4" t="s">
        <v>96</v>
      </c>
      <c r="D113" s="4" t="s">
        <v>286</v>
      </c>
    </row>
    <row r="114" spans="1:4">
      <c r="A114" s="4" t="s">
        <v>298</v>
      </c>
      <c r="B114" s="5">
        <v>113</v>
      </c>
      <c r="C114" s="4" t="s">
        <v>97</v>
      </c>
      <c r="D114" s="5"/>
    </row>
    <row r="115" spans="1:4">
      <c r="A115" s="4" t="s">
        <v>298</v>
      </c>
      <c r="B115" s="5">
        <v>114</v>
      </c>
      <c r="C115" s="4" t="s">
        <v>98</v>
      </c>
      <c r="D115" s="5"/>
    </row>
    <row r="116" spans="1:4">
      <c r="A116" s="4" t="s">
        <v>298</v>
      </c>
      <c r="B116" s="5">
        <v>115</v>
      </c>
      <c r="C116" s="4" t="s">
        <v>99</v>
      </c>
      <c r="D116" s="5"/>
    </row>
    <row r="117" spans="1:4">
      <c r="A117" s="4" t="s">
        <v>298</v>
      </c>
      <c r="B117" s="5">
        <v>116</v>
      </c>
      <c r="C117" s="4" t="s">
        <v>100</v>
      </c>
      <c r="D117" s="4" t="s">
        <v>286</v>
      </c>
    </row>
    <row r="118" spans="1:4">
      <c r="A118" s="4" t="s">
        <v>298</v>
      </c>
      <c r="B118" s="5">
        <v>117</v>
      </c>
      <c r="C118" s="4" t="s">
        <v>101</v>
      </c>
      <c r="D118" s="5"/>
    </row>
    <row r="119" spans="1:4">
      <c r="A119" s="4" t="s">
        <v>102</v>
      </c>
      <c r="B119" s="5">
        <v>118</v>
      </c>
      <c r="C119" s="4" t="s">
        <v>102</v>
      </c>
      <c r="D119" s="5"/>
    </row>
    <row r="120" spans="1:4">
      <c r="A120" s="4" t="s">
        <v>102</v>
      </c>
      <c r="B120" s="5">
        <v>119</v>
      </c>
      <c r="C120" s="4" t="s">
        <v>103</v>
      </c>
      <c r="D120" s="5"/>
    </row>
    <row r="121" spans="1:4">
      <c r="A121" s="4" t="s">
        <v>102</v>
      </c>
      <c r="B121" s="5">
        <v>120</v>
      </c>
      <c r="C121" s="4" t="s">
        <v>104</v>
      </c>
      <c r="D121" s="5"/>
    </row>
    <row r="122" spans="1:4">
      <c r="A122" s="4" t="s">
        <v>102</v>
      </c>
      <c r="B122" s="5">
        <v>121</v>
      </c>
      <c r="C122" s="4" t="s">
        <v>105</v>
      </c>
      <c r="D122" s="5"/>
    </row>
    <row r="123" spans="1:4">
      <c r="A123" s="4" t="s">
        <v>102</v>
      </c>
      <c r="B123" s="5">
        <v>122</v>
      </c>
      <c r="C123" s="4" t="s">
        <v>106</v>
      </c>
      <c r="D123" s="5" t="s">
        <v>301</v>
      </c>
    </row>
    <row r="124" spans="1:4">
      <c r="A124" s="4" t="s">
        <v>302</v>
      </c>
      <c r="B124" s="5">
        <v>123</v>
      </c>
      <c r="C124" s="4" t="s">
        <v>107</v>
      </c>
      <c r="D124" s="5"/>
    </row>
    <row r="125" spans="1:4">
      <c r="A125" s="4" t="s">
        <v>302</v>
      </c>
      <c r="B125" s="5">
        <v>124</v>
      </c>
      <c r="C125" s="4" t="s">
        <v>108</v>
      </c>
      <c r="D125" s="5"/>
    </row>
    <row r="126" spans="1:4">
      <c r="A126" s="4" t="s">
        <v>302</v>
      </c>
      <c r="B126" s="5">
        <v>125</v>
      </c>
      <c r="C126" s="4" t="s">
        <v>109</v>
      </c>
      <c r="D126" s="5"/>
    </row>
    <row r="127" spans="1:4">
      <c r="A127" s="4" t="s">
        <v>302</v>
      </c>
      <c r="B127" s="5">
        <v>126</v>
      </c>
      <c r="C127" s="4" t="s">
        <v>110</v>
      </c>
      <c r="D127" s="5"/>
    </row>
    <row r="128" spans="1:4">
      <c r="A128" s="4" t="s">
        <v>302</v>
      </c>
      <c r="B128" s="5">
        <v>127</v>
      </c>
      <c r="C128" s="4" t="s">
        <v>111</v>
      </c>
      <c r="D128" s="5"/>
    </row>
    <row r="129" spans="1:4">
      <c r="A129" s="4" t="s">
        <v>302</v>
      </c>
      <c r="B129" s="5">
        <v>128</v>
      </c>
      <c r="C129" s="4" t="s">
        <v>112</v>
      </c>
      <c r="D129" s="5"/>
    </row>
    <row r="130" spans="1:4">
      <c r="A130" s="4" t="s">
        <v>302</v>
      </c>
      <c r="B130" s="5">
        <v>129</v>
      </c>
      <c r="C130" s="4" t="s">
        <v>113</v>
      </c>
      <c r="D130" s="5"/>
    </row>
    <row r="131" spans="1:4">
      <c r="A131" s="4" t="s">
        <v>302</v>
      </c>
      <c r="B131" s="5">
        <v>130</v>
      </c>
      <c r="C131" s="4" t="s">
        <v>114</v>
      </c>
      <c r="D131" s="5"/>
    </row>
    <row r="132" spans="1:4">
      <c r="A132" s="4" t="s">
        <v>302</v>
      </c>
      <c r="B132" s="5">
        <v>131</v>
      </c>
      <c r="C132" s="4" t="s">
        <v>115</v>
      </c>
      <c r="D132" s="5"/>
    </row>
    <row r="133" spans="1:4">
      <c r="A133" s="4" t="s">
        <v>302</v>
      </c>
      <c r="B133" s="5">
        <v>132</v>
      </c>
      <c r="C133" s="4" t="s">
        <v>116</v>
      </c>
      <c r="D133" s="4"/>
    </row>
    <row r="134" spans="1:4">
      <c r="A134" s="4" t="s">
        <v>302</v>
      </c>
      <c r="B134" s="5">
        <v>133</v>
      </c>
      <c r="C134" s="4" t="s">
        <v>117</v>
      </c>
      <c r="D134" s="5"/>
    </row>
    <row r="135" spans="1:4">
      <c r="A135" s="4" t="s">
        <v>132</v>
      </c>
      <c r="B135" s="5">
        <v>134</v>
      </c>
      <c r="C135" s="4" t="s">
        <v>118</v>
      </c>
      <c r="D135" s="5"/>
    </row>
    <row r="136" spans="1:4">
      <c r="A136" s="4" t="s">
        <v>132</v>
      </c>
      <c r="B136" s="5">
        <v>135</v>
      </c>
      <c r="C136" s="4" t="s">
        <v>119</v>
      </c>
      <c r="D136" s="5"/>
    </row>
    <row r="137" spans="1:4">
      <c r="A137" s="4" t="s">
        <v>132</v>
      </c>
      <c r="B137" s="5">
        <v>136</v>
      </c>
      <c r="C137" s="4" t="s">
        <v>120</v>
      </c>
      <c r="D137" s="5"/>
    </row>
    <row r="138" spans="1:4">
      <c r="A138" s="4" t="s">
        <v>132</v>
      </c>
      <c r="B138" s="5">
        <v>137</v>
      </c>
      <c r="C138" s="4" t="s">
        <v>121</v>
      </c>
      <c r="D138" s="5"/>
    </row>
    <row r="139" spans="1:4">
      <c r="A139" s="4" t="s">
        <v>132</v>
      </c>
      <c r="B139" s="5">
        <v>138</v>
      </c>
      <c r="C139" s="4" t="s">
        <v>122</v>
      </c>
      <c r="D139" s="5"/>
    </row>
    <row r="140" spans="1:4">
      <c r="A140" s="4" t="s">
        <v>132</v>
      </c>
      <c r="B140" s="5">
        <v>139</v>
      </c>
      <c r="C140" s="4" t="s">
        <v>123</v>
      </c>
      <c r="D140" s="5"/>
    </row>
    <row r="141" spans="1:4">
      <c r="A141" s="4" t="s">
        <v>132</v>
      </c>
      <c r="B141" s="5">
        <v>140</v>
      </c>
      <c r="C141" s="4" t="s">
        <v>124</v>
      </c>
      <c r="D141" s="5"/>
    </row>
    <row r="142" spans="1:4">
      <c r="A142" s="4" t="s">
        <v>132</v>
      </c>
      <c r="B142" s="5">
        <v>141</v>
      </c>
      <c r="C142" s="4" t="s">
        <v>125</v>
      </c>
      <c r="D142" s="5"/>
    </row>
    <row r="143" spans="1:4">
      <c r="A143" s="4" t="s">
        <v>303</v>
      </c>
      <c r="B143" s="5">
        <v>142</v>
      </c>
      <c r="C143" s="4" t="s">
        <v>126</v>
      </c>
      <c r="D143" s="5"/>
    </row>
    <row r="144" spans="1:4">
      <c r="A144" s="4" t="s">
        <v>303</v>
      </c>
      <c r="B144" s="5">
        <v>143</v>
      </c>
      <c r="C144" s="4" t="s">
        <v>127</v>
      </c>
      <c r="D144" s="5"/>
    </row>
    <row r="145" spans="1:4">
      <c r="A145" s="4" t="s">
        <v>303</v>
      </c>
      <c r="B145" s="5">
        <v>144</v>
      </c>
      <c r="C145" s="4" t="s">
        <v>128</v>
      </c>
      <c r="D145" s="5"/>
    </row>
    <row r="146" spans="1:4">
      <c r="A146" s="4" t="s">
        <v>303</v>
      </c>
      <c r="B146" s="5">
        <v>145</v>
      </c>
      <c r="C146" s="4" t="s">
        <v>129</v>
      </c>
      <c r="D146" s="5"/>
    </row>
    <row r="147" spans="1:4">
      <c r="A147" s="4" t="s">
        <v>303</v>
      </c>
      <c r="B147" s="5">
        <v>146</v>
      </c>
      <c r="C147" s="4" t="s">
        <v>130</v>
      </c>
      <c r="D147" s="5"/>
    </row>
    <row r="148" spans="1:4">
      <c r="A148" s="4" t="s">
        <v>303</v>
      </c>
      <c r="B148" s="5">
        <v>147</v>
      </c>
      <c r="C148" s="4" t="s">
        <v>131</v>
      </c>
      <c r="D148" s="5"/>
    </row>
    <row r="149" spans="1:4">
      <c r="A149" s="4" t="s">
        <v>132</v>
      </c>
      <c r="B149" s="5">
        <v>148</v>
      </c>
      <c r="C149" s="4" t="s">
        <v>132</v>
      </c>
      <c r="D149" s="5"/>
    </row>
    <row r="150" spans="1:4">
      <c r="A150" s="4" t="s">
        <v>132</v>
      </c>
      <c r="B150" s="5">
        <v>149</v>
      </c>
      <c r="C150" s="4" t="s">
        <v>133</v>
      </c>
      <c r="D150" s="5"/>
    </row>
    <row r="151" spans="1:4">
      <c r="A151" s="4" t="s">
        <v>132</v>
      </c>
      <c r="B151" s="5">
        <v>150</v>
      </c>
      <c r="C151" s="4" t="s">
        <v>134</v>
      </c>
      <c r="D151" s="5"/>
    </row>
    <row r="152" spans="1:4">
      <c r="A152" s="4" t="s">
        <v>132</v>
      </c>
      <c r="B152" s="5">
        <v>151</v>
      </c>
      <c r="C152" s="4" t="s">
        <v>135</v>
      </c>
      <c r="D152" s="4" t="s">
        <v>286</v>
      </c>
    </row>
    <row r="153" spans="1:4">
      <c r="A153" s="4" t="s">
        <v>132</v>
      </c>
      <c r="B153" s="5">
        <v>152</v>
      </c>
      <c r="C153" s="4" t="s">
        <v>136</v>
      </c>
      <c r="D153" s="5"/>
    </row>
    <row r="154" spans="1:4">
      <c r="A154" s="4" t="s">
        <v>304</v>
      </c>
      <c r="B154" s="5">
        <v>153</v>
      </c>
      <c r="C154" s="4" t="s">
        <v>137</v>
      </c>
      <c r="D154" s="4" t="s">
        <v>305</v>
      </c>
    </row>
    <row r="155" spans="1:4">
      <c r="A155" s="4" t="s">
        <v>304</v>
      </c>
      <c r="B155" s="5">
        <v>154</v>
      </c>
      <c r="C155" s="4" t="s">
        <v>324</v>
      </c>
      <c r="D155" s="5"/>
    </row>
    <row r="156" spans="1:4">
      <c r="A156" s="4" t="s">
        <v>304</v>
      </c>
      <c r="B156" s="5">
        <v>155</v>
      </c>
      <c r="C156" s="4" t="s">
        <v>325</v>
      </c>
      <c r="D156" s="5"/>
    </row>
    <row r="157" spans="1:4">
      <c r="A157" s="4" t="s">
        <v>304</v>
      </c>
      <c r="B157" s="5">
        <v>156</v>
      </c>
      <c r="C157" s="4" t="s">
        <v>326</v>
      </c>
      <c r="D157" s="5"/>
    </row>
    <row r="158" spans="1:4">
      <c r="A158" s="4" t="s">
        <v>304</v>
      </c>
      <c r="B158" s="5">
        <v>157</v>
      </c>
      <c r="C158" s="4" t="s">
        <v>327</v>
      </c>
      <c r="D158" s="5"/>
    </row>
    <row r="159" spans="1:4">
      <c r="A159" s="4" t="s">
        <v>304</v>
      </c>
      <c r="B159" s="5">
        <v>158</v>
      </c>
      <c r="C159" s="4" t="s">
        <v>138</v>
      </c>
      <c r="D159" s="5"/>
    </row>
    <row r="160" spans="1:4">
      <c r="A160" s="4" t="s">
        <v>306</v>
      </c>
      <c r="B160" s="5">
        <v>159</v>
      </c>
      <c r="C160" s="4" t="s">
        <v>139</v>
      </c>
      <c r="D160" s="5"/>
    </row>
    <row r="161" spans="1:4">
      <c r="A161" s="4" t="s">
        <v>306</v>
      </c>
      <c r="B161" s="5">
        <v>160</v>
      </c>
      <c r="C161" s="4" t="s">
        <v>140</v>
      </c>
      <c r="D161" s="5"/>
    </row>
    <row r="162" spans="1:4">
      <c r="A162" s="4" t="s">
        <v>306</v>
      </c>
      <c r="B162" s="5">
        <v>161</v>
      </c>
      <c r="C162" s="4" t="s">
        <v>141</v>
      </c>
      <c r="D162" s="5"/>
    </row>
    <row r="163" spans="1:4">
      <c r="A163" s="4" t="s">
        <v>306</v>
      </c>
      <c r="B163" s="5">
        <v>162</v>
      </c>
      <c r="C163" s="4" t="s">
        <v>142</v>
      </c>
      <c r="D163" s="4" t="s">
        <v>286</v>
      </c>
    </row>
    <row r="164" spans="1:4">
      <c r="A164" s="4" t="s">
        <v>306</v>
      </c>
      <c r="B164" s="5">
        <v>163</v>
      </c>
      <c r="C164" s="4" t="s">
        <v>143</v>
      </c>
      <c r="D164" s="5" t="s">
        <v>307</v>
      </c>
    </row>
    <row r="165" spans="1:4">
      <c r="A165" s="4" t="s">
        <v>306</v>
      </c>
      <c r="B165" s="5">
        <v>164</v>
      </c>
      <c r="C165" s="4" t="s">
        <v>144</v>
      </c>
      <c r="D165" s="5"/>
    </row>
    <row r="166" spans="1:4">
      <c r="A166" s="4" t="s">
        <v>306</v>
      </c>
      <c r="B166" s="5">
        <v>165</v>
      </c>
      <c r="C166" s="4" t="s">
        <v>145</v>
      </c>
      <c r="D166" s="5"/>
    </row>
    <row r="167" spans="1:4">
      <c r="A167" s="4" t="s">
        <v>306</v>
      </c>
      <c r="B167" s="5">
        <v>166</v>
      </c>
      <c r="C167" s="4" t="s">
        <v>146</v>
      </c>
      <c r="D167" s="5"/>
    </row>
    <row r="168" spans="1:4">
      <c r="A168" s="4" t="s">
        <v>306</v>
      </c>
      <c r="B168" s="5">
        <v>167</v>
      </c>
      <c r="C168" s="4" t="s">
        <v>147</v>
      </c>
      <c r="D168" s="4" t="s">
        <v>286</v>
      </c>
    </row>
    <row r="169" spans="1:4">
      <c r="A169" s="4" t="s">
        <v>306</v>
      </c>
      <c r="B169" s="5">
        <v>168</v>
      </c>
      <c r="C169" s="4" t="s">
        <v>148</v>
      </c>
      <c r="D169" s="5" t="s">
        <v>308</v>
      </c>
    </row>
    <row r="170" spans="1:4">
      <c r="A170" s="4" t="s">
        <v>306</v>
      </c>
      <c r="B170" s="5">
        <v>169</v>
      </c>
      <c r="C170" s="4" t="s">
        <v>149</v>
      </c>
      <c r="D170" s="5"/>
    </row>
    <row r="171" spans="1:4">
      <c r="A171" s="4" t="s">
        <v>150</v>
      </c>
      <c r="B171" s="5">
        <v>170</v>
      </c>
      <c r="C171" s="4" t="s">
        <v>150</v>
      </c>
      <c r="D171" s="5"/>
    </row>
    <row r="172" spans="1:4">
      <c r="A172" s="4" t="s">
        <v>150</v>
      </c>
      <c r="B172" s="5">
        <v>171</v>
      </c>
      <c r="C172" s="4" t="s">
        <v>151</v>
      </c>
      <c r="D172" s="5"/>
    </row>
    <row r="173" spans="1:4">
      <c r="A173" s="4" t="s">
        <v>150</v>
      </c>
      <c r="B173" s="5">
        <v>172</v>
      </c>
      <c r="C173" s="4" t="s">
        <v>152</v>
      </c>
      <c r="D173" s="5"/>
    </row>
    <row r="174" spans="1:4">
      <c r="A174" s="4" t="s">
        <v>150</v>
      </c>
      <c r="B174" s="5">
        <v>173</v>
      </c>
      <c r="C174" s="4" t="s">
        <v>153</v>
      </c>
      <c r="D174" s="5"/>
    </row>
    <row r="175" spans="1:4">
      <c r="A175" s="4" t="s">
        <v>150</v>
      </c>
      <c r="B175" s="5">
        <v>174</v>
      </c>
      <c r="C175" s="4" t="s">
        <v>154</v>
      </c>
      <c r="D175" s="5"/>
    </row>
    <row r="176" spans="1:4">
      <c r="A176" s="4" t="s">
        <v>150</v>
      </c>
      <c r="B176" s="5">
        <v>175</v>
      </c>
      <c r="C176" s="4" t="s">
        <v>155</v>
      </c>
      <c r="D176" s="5"/>
    </row>
    <row r="177" spans="1:4">
      <c r="A177" s="4" t="s">
        <v>309</v>
      </c>
      <c r="B177" s="5">
        <v>176</v>
      </c>
      <c r="C177" s="5" t="s">
        <v>156</v>
      </c>
      <c r="D177" s="5" t="s">
        <v>310</v>
      </c>
    </row>
    <row r="178" spans="1:4">
      <c r="A178" s="4" t="s">
        <v>309</v>
      </c>
      <c r="B178" s="5">
        <v>177</v>
      </c>
      <c r="C178" s="5" t="s">
        <v>157</v>
      </c>
      <c r="D178" s="5" t="s">
        <v>311</v>
      </c>
    </row>
    <row r="179" spans="1:4">
      <c r="A179" s="4" t="s">
        <v>309</v>
      </c>
      <c r="B179" s="5">
        <v>178</v>
      </c>
      <c r="C179" s="4" t="s">
        <v>343</v>
      </c>
      <c r="D179" s="4" t="s">
        <v>351</v>
      </c>
    </row>
    <row r="180" spans="1:4">
      <c r="A180" s="4" t="s">
        <v>309</v>
      </c>
      <c r="B180" s="5">
        <v>179</v>
      </c>
      <c r="C180" s="5" t="s">
        <v>158</v>
      </c>
      <c r="D180" s="5" t="s">
        <v>312</v>
      </c>
    </row>
    <row r="181" spans="1:4">
      <c r="A181" s="4" t="s">
        <v>309</v>
      </c>
      <c r="B181" s="5">
        <v>180</v>
      </c>
      <c r="C181" s="5" t="s">
        <v>159</v>
      </c>
      <c r="D181" s="5" t="s">
        <v>313</v>
      </c>
    </row>
    <row r="182" spans="1:4">
      <c r="A182" s="4" t="s">
        <v>309</v>
      </c>
      <c r="B182" s="5">
        <v>181</v>
      </c>
      <c r="C182" s="5" t="s">
        <v>160</v>
      </c>
      <c r="D182" s="5"/>
    </row>
    <row r="183" spans="1:4">
      <c r="A183" s="4"/>
      <c r="B183" s="9"/>
      <c r="C183" s="5"/>
      <c r="D183" s="5"/>
    </row>
    <row r="184" spans="1:4">
      <c r="A184" s="4"/>
      <c r="B184" s="9"/>
      <c r="C184" s="5"/>
      <c r="D184" s="5"/>
    </row>
    <row r="185" spans="1:4">
      <c r="A185" s="4"/>
      <c r="B185" s="9"/>
      <c r="C185" s="5"/>
      <c r="D185" s="5"/>
    </row>
    <row r="186" spans="1:4">
      <c r="A186" s="4"/>
      <c r="B186" s="9"/>
      <c r="C186" s="5"/>
      <c r="D186" s="5"/>
    </row>
    <row r="187" spans="1:4">
      <c r="A187" s="4"/>
      <c r="B187" s="9"/>
      <c r="C187" s="5"/>
      <c r="D187" s="5"/>
    </row>
    <row r="188" spans="1:4">
      <c r="A188" s="4"/>
      <c r="B188" s="9"/>
      <c r="C188" s="5"/>
      <c r="D188" s="5"/>
    </row>
    <row r="189" spans="1:4">
      <c r="A189" s="4"/>
      <c r="B189" s="9"/>
      <c r="C189" s="5"/>
      <c r="D189" s="5"/>
    </row>
    <row r="190" spans="1:4">
      <c r="A190" s="4"/>
      <c r="B190" s="9"/>
      <c r="C190" s="5"/>
      <c r="D190" s="5"/>
    </row>
    <row r="191" spans="1:4">
      <c r="A191" s="4"/>
      <c r="B191" s="9"/>
      <c r="C191" s="5"/>
      <c r="D19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0ECDB-C4F7-624A-884B-BE8068AA0C59}">
  <dimension ref="A1:Y50"/>
  <sheetViews>
    <sheetView topLeftCell="A18" workbookViewId="0">
      <selection activeCell="A50" sqref="A50"/>
    </sheetView>
  </sheetViews>
  <sheetFormatPr baseColWidth="10" defaultRowHeight="16"/>
  <sheetData>
    <row r="1" spans="1:25">
      <c r="A1" s="8" t="s">
        <v>196</v>
      </c>
      <c r="B1" s="8"/>
      <c r="C1" s="8"/>
      <c r="D1" s="8"/>
      <c r="E1" s="8"/>
      <c r="F1" s="8"/>
      <c r="G1" s="8"/>
      <c r="H1" s="8"/>
      <c r="I1" s="8"/>
      <c r="J1" s="8"/>
      <c r="K1" s="8"/>
      <c r="L1" s="8"/>
      <c r="M1" s="8"/>
      <c r="N1" s="8"/>
      <c r="O1" s="8"/>
      <c r="P1" s="8"/>
      <c r="Q1" s="8"/>
      <c r="R1" s="8"/>
      <c r="S1" s="8"/>
      <c r="T1" s="8"/>
      <c r="U1" s="8"/>
      <c r="V1" s="8"/>
      <c r="W1" s="8"/>
      <c r="X1" s="8"/>
      <c r="Y1" s="8"/>
    </row>
    <row r="2" spans="1:25">
      <c r="A2" s="8" t="s">
        <v>197</v>
      </c>
      <c r="B2" s="8" t="s">
        <v>198</v>
      </c>
      <c r="C2" s="8"/>
      <c r="D2" s="8"/>
      <c r="E2" s="8"/>
      <c r="F2" s="8"/>
      <c r="G2" s="8"/>
      <c r="H2" s="8"/>
      <c r="I2" s="8"/>
      <c r="J2" s="8"/>
      <c r="K2" s="8"/>
      <c r="L2" s="8"/>
      <c r="M2" s="8"/>
      <c r="N2" s="8"/>
      <c r="O2" s="8"/>
      <c r="P2" s="8"/>
      <c r="Q2" s="8"/>
      <c r="R2" s="8"/>
      <c r="S2" s="8"/>
      <c r="T2" s="8"/>
      <c r="U2" s="8"/>
      <c r="V2" s="8"/>
      <c r="W2" s="8"/>
      <c r="X2" s="8"/>
      <c r="Y2" s="8"/>
    </row>
    <row r="3" spans="1:25">
      <c r="A3" s="8"/>
      <c r="B3" s="8" t="s">
        <v>199</v>
      </c>
      <c r="C3" s="8"/>
      <c r="D3" s="8"/>
      <c r="E3" s="8"/>
      <c r="F3" s="8"/>
      <c r="G3" s="8"/>
      <c r="H3" s="8"/>
      <c r="I3" s="8"/>
      <c r="J3" s="8"/>
      <c r="K3" s="8"/>
      <c r="L3" s="8"/>
      <c r="M3" s="8"/>
      <c r="N3" s="8"/>
      <c r="O3" s="8"/>
      <c r="P3" s="8"/>
      <c r="Q3" s="8"/>
      <c r="R3" s="8"/>
      <c r="S3" s="8"/>
      <c r="T3" s="8"/>
      <c r="U3" s="8"/>
      <c r="V3" s="8"/>
      <c r="W3" s="8"/>
      <c r="X3" s="8"/>
      <c r="Y3" s="8"/>
    </row>
    <row r="4" spans="1:25">
      <c r="A4" s="8" t="s">
        <v>200</v>
      </c>
      <c r="B4" s="8" t="s">
        <v>201</v>
      </c>
      <c r="C4" s="8"/>
      <c r="D4" s="8"/>
      <c r="E4" s="8"/>
      <c r="F4" s="8"/>
      <c r="G4" s="8"/>
      <c r="H4" s="8"/>
      <c r="I4" s="8"/>
      <c r="J4" s="8"/>
      <c r="K4" s="8"/>
      <c r="L4" s="8"/>
      <c r="M4" s="8"/>
      <c r="N4" s="8"/>
      <c r="O4" s="8"/>
      <c r="P4" s="8"/>
      <c r="Q4" s="8"/>
      <c r="R4" s="8"/>
      <c r="S4" s="8"/>
      <c r="T4" s="8"/>
      <c r="U4" s="8"/>
      <c r="V4" s="8"/>
      <c r="W4" s="8"/>
      <c r="X4" s="8"/>
      <c r="Y4" s="8"/>
    </row>
    <row r="5" spans="1:25">
      <c r="A5" s="8"/>
      <c r="B5" s="8" t="s">
        <v>202</v>
      </c>
      <c r="C5" s="8"/>
      <c r="D5" s="8"/>
      <c r="E5" s="8"/>
      <c r="F5" s="8"/>
      <c r="G5" s="8"/>
      <c r="H5" s="8"/>
      <c r="I5" s="8"/>
      <c r="J5" s="8"/>
      <c r="K5" s="8"/>
      <c r="L5" s="8"/>
      <c r="M5" s="8"/>
      <c r="N5" s="8"/>
      <c r="O5" s="8"/>
      <c r="P5" s="8"/>
      <c r="Q5" s="8"/>
      <c r="R5" s="8"/>
      <c r="S5" s="8"/>
      <c r="T5" s="8"/>
      <c r="U5" s="8"/>
      <c r="V5" s="8"/>
      <c r="W5" s="8"/>
      <c r="X5" s="8"/>
      <c r="Y5" s="8"/>
    </row>
    <row r="6" spans="1:25">
      <c r="A6" s="8" t="s">
        <v>203</v>
      </c>
      <c r="B6" s="8" t="s">
        <v>204</v>
      </c>
      <c r="C6" s="8"/>
      <c r="D6" s="8"/>
      <c r="E6" s="8"/>
      <c r="F6" s="8"/>
      <c r="G6" s="8"/>
      <c r="H6" s="8"/>
      <c r="I6" s="8"/>
      <c r="J6" s="8"/>
      <c r="K6" s="8"/>
      <c r="L6" s="8"/>
      <c r="M6" s="8"/>
      <c r="N6" s="8"/>
      <c r="O6" s="8"/>
      <c r="P6" s="8"/>
      <c r="Q6" s="8"/>
      <c r="R6" s="8"/>
      <c r="S6" s="8"/>
      <c r="T6" s="8"/>
      <c r="U6" s="8"/>
      <c r="V6" s="8"/>
      <c r="W6" s="8"/>
      <c r="X6" s="8"/>
      <c r="Y6" s="8"/>
    </row>
    <row r="7" spans="1:25">
      <c r="A7" s="8" t="s">
        <v>205</v>
      </c>
      <c r="B7" s="8" t="s">
        <v>206</v>
      </c>
      <c r="C7" s="8"/>
      <c r="D7" s="8"/>
      <c r="E7" s="8"/>
      <c r="F7" s="8"/>
      <c r="G7" s="8"/>
      <c r="H7" s="8"/>
      <c r="I7" s="8"/>
      <c r="J7" s="8"/>
      <c r="K7" s="8"/>
      <c r="L7" s="8"/>
      <c r="M7" s="8"/>
      <c r="N7" s="8"/>
      <c r="O7" s="8"/>
      <c r="P7" s="8"/>
      <c r="Q7" s="8"/>
      <c r="R7" s="8"/>
      <c r="S7" s="8"/>
      <c r="T7" s="8"/>
      <c r="U7" s="8"/>
      <c r="V7" s="8"/>
      <c r="W7" s="8"/>
      <c r="X7" s="8"/>
      <c r="Y7" s="8"/>
    </row>
    <row r="8" spans="1:25">
      <c r="A8" s="8"/>
      <c r="B8" s="8" t="s">
        <v>207</v>
      </c>
      <c r="C8" s="8"/>
      <c r="D8" s="8"/>
      <c r="E8" s="8"/>
      <c r="F8" s="8"/>
      <c r="G8" s="8"/>
      <c r="H8" s="8"/>
      <c r="I8" s="8"/>
      <c r="J8" s="8"/>
      <c r="K8" s="8"/>
      <c r="L8" s="8"/>
      <c r="M8" s="8"/>
      <c r="N8" s="8"/>
      <c r="O8" s="8"/>
      <c r="P8" s="8"/>
      <c r="Q8" s="8"/>
      <c r="R8" s="8"/>
      <c r="S8" s="8"/>
      <c r="T8" s="8"/>
      <c r="U8" s="8"/>
      <c r="V8" s="8"/>
      <c r="W8" s="8"/>
      <c r="X8" s="8"/>
      <c r="Y8" s="8"/>
    </row>
    <row r="9" spans="1:25">
      <c r="A9" s="8"/>
      <c r="B9" s="8" t="s">
        <v>208</v>
      </c>
      <c r="C9" s="8"/>
      <c r="D9" s="8"/>
      <c r="E9" s="8"/>
      <c r="F9" s="8"/>
      <c r="G9" s="8"/>
      <c r="H9" s="8"/>
      <c r="I9" s="8"/>
      <c r="J9" s="8"/>
      <c r="K9" s="8"/>
      <c r="L9" s="8"/>
      <c r="M9" s="8"/>
      <c r="N9" s="8"/>
      <c r="O9" s="8"/>
      <c r="P9" s="8"/>
      <c r="Q9" s="8"/>
      <c r="R9" s="8"/>
      <c r="S9" s="8"/>
      <c r="T9" s="8"/>
      <c r="U9" s="8"/>
      <c r="V9" s="8"/>
      <c r="W9" s="8"/>
      <c r="X9" s="8"/>
      <c r="Y9" s="8"/>
    </row>
    <row r="10" spans="1:25">
      <c r="A10" s="8" t="s">
        <v>209</v>
      </c>
      <c r="B10" s="8" t="s">
        <v>210</v>
      </c>
      <c r="C10" s="8"/>
      <c r="D10" s="8"/>
      <c r="E10" s="8"/>
      <c r="F10" s="8"/>
      <c r="G10" s="8"/>
      <c r="H10" s="8"/>
      <c r="I10" s="8"/>
      <c r="J10" s="8"/>
      <c r="K10" s="8"/>
      <c r="L10" s="8"/>
      <c r="M10" s="8"/>
      <c r="N10" s="8"/>
      <c r="O10" s="8"/>
      <c r="P10" s="8"/>
      <c r="Q10" s="8"/>
      <c r="R10" s="8"/>
      <c r="S10" s="8"/>
      <c r="T10" s="8"/>
      <c r="U10" s="8"/>
      <c r="V10" s="8"/>
      <c r="W10" s="8"/>
      <c r="X10" s="8"/>
      <c r="Y10" s="8"/>
    </row>
    <row r="11" spans="1:25">
      <c r="A11" s="8" t="s">
        <v>211</v>
      </c>
      <c r="B11" s="8" t="s">
        <v>212</v>
      </c>
      <c r="C11" s="8"/>
      <c r="D11" s="8"/>
      <c r="E11" s="8"/>
      <c r="F11" s="8"/>
      <c r="G11" s="8"/>
      <c r="H11" s="8"/>
      <c r="I11" s="8"/>
      <c r="J11" s="8"/>
      <c r="K11" s="8"/>
      <c r="L11" s="8"/>
      <c r="M11" s="8"/>
      <c r="N11" s="8"/>
      <c r="O11" s="8"/>
      <c r="P11" s="8"/>
      <c r="Q11" s="8"/>
      <c r="R11" s="8"/>
      <c r="S11" s="8"/>
      <c r="T11" s="8"/>
      <c r="U11" s="8"/>
      <c r="V11" s="8"/>
      <c r="W11" s="8"/>
      <c r="X11" s="8"/>
      <c r="Y11" s="8"/>
    </row>
    <row r="12" spans="1:25">
      <c r="A12" s="8"/>
      <c r="B12" s="8" t="s">
        <v>213</v>
      </c>
      <c r="C12" s="8"/>
      <c r="D12" s="8"/>
      <c r="E12" s="8"/>
      <c r="F12" s="8"/>
      <c r="G12" s="8"/>
      <c r="H12" s="8"/>
      <c r="I12" s="8"/>
      <c r="J12" s="8"/>
      <c r="K12" s="8"/>
      <c r="L12" s="8"/>
      <c r="M12" s="8"/>
      <c r="N12" s="8"/>
      <c r="O12" s="8"/>
      <c r="P12" s="8"/>
      <c r="Q12" s="8"/>
      <c r="R12" s="8"/>
      <c r="S12" s="8"/>
      <c r="T12" s="8"/>
      <c r="U12" s="8"/>
      <c r="V12" s="8"/>
      <c r="W12" s="8"/>
      <c r="X12" s="8"/>
      <c r="Y12" s="8"/>
    </row>
    <row r="13" spans="1:25">
      <c r="A13" s="8"/>
      <c r="B13" s="8" t="s">
        <v>214</v>
      </c>
      <c r="C13" s="8"/>
      <c r="D13" s="8"/>
      <c r="E13" s="8"/>
      <c r="F13" s="8"/>
      <c r="G13" s="8"/>
      <c r="H13" s="8"/>
      <c r="I13" s="8"/>
      <c r="J13" s="8"/>
      <c r="K13" s="8"/>
      <c r="L13" s="8"/>
      <c r="M13" s="8"/>
      <c r="N13" s="8"/>
      <c r="O13" s="8"/>
      <c r="P13" s="8"/>
      <c r="Q13" s="8"/>
      <c r="R13" s="8"/>
      <c r="S13" s="8"/>
      <c r="T13" s="8"/>
      <c r="U13" s="8"/>
      <c r="V13" s="8"/>
      <c r="W13" s="8"/>
      <c r="X13" s="8"/>
      <c r="Y13" s="8"/>
    </row>
    <row r="14" spans="1:25">
      <c r="A14" s="8"/>
      <c r="B14" s="8" t="s">
        <v>215</v>
      </c>
      <c r="C14" s="8"/>
      <c r="D14" s="8"/>
      <c r="E14" s="8"/>
      <c r="F14" s="8"/>
      <c r="G14" s="8"/>
      <c r="H14" s="8"/>
      <c r="I14" s="8"/>
      <c r="J14" s="8"/>
      <c r="K14" s="8"/>
      <c r="L14" s="8"/>
      <c r="M14" s="8"/>
      <c r="N14" s="8"/>
      <c r="O14" s="8"/>
      <c r="P14" s="8"/>
      <c r="Q14" s="8"/>
      <c r="R14" s="8"/>
      <c r="S14" s="8"/>
      <c r="T14" s="8"/>
      <c r="U14" s="8"/>
      <c r="V14" s="8"/>
      <c r="W14" s="8"/>
      <c r="X14" s="8"/>
      <c r="Y14" s="8"/>
    </row>
    <row r="15" spans="1:25">
      <c r="A15" s="8" t="s">
        <v>216</v>
      </c>
      <c r="B15" s="8" t="s">
        <v>217</v>
      </c>
      <c r="C15" s="8"/>
      <c r="D15" s="8"/>
      <c r="E15" s="8"/>
      <c r="F15" s="8"/>
      <c r="G15" s="8"/>
      <c r="H15" s="8"/>
      <c r="I15" s="8"/>
      <c r="J15" s="8"/>
      <c r="K15" s="8"/>
      <c r="L15" s="8"/>
      <c r="M15" s="8"/>
      <c r="N15" s="8"/>
      <c r="O15" s="8"/>
      <c r="P15" s="8"/>
      <c r="Q15" s="8"/>
      <c r="R15" s="8"/>
      <c r="S15" s="8"/>
      <c r="T15" s="8"/>
      <c r="U15" s="8"/>
      <c r="V15" s="8"/>
      <c r="W15" s="8"/>
      <c r="X15" s="8"/>
      <c r="Y15" s="8"/>
    </row>
    <row r="16" spans="1:25">
      <c r="A16" s="8"/>
      <c r="B16" s="8" t="s">
        <v>218</v>
      </c>
      <c r="C16" s="8"/>
      <c r="D16" s="8"/>
      <c r="E16" s="8"/>
      <c r="F16" s="8"/>
      <c r="G16" s="8"/>
      <c r="H16" s="8"/>
      <c r="I16" s="8"/>
      <c r="J16" s="8"/>
      <c r="K16" s="8"/>
      <c r="L16" s="8"/>
      <c r="M16" s="8"/>
      <c r="N16" s="8"/>
      <c r="O16" s="8"/>
      <c r="P16" s="8"/>
      <c r="Q16" s="8"/>
      <c r="R16" s="8"/>
      <c r="S16" s="8"/>
      <c r="T16" s="8"/>
      <c r="U16" s="8"/>
      <c r="V16" s="8"/>
      <c r="W16" s="8"/>
      <c r="X16" s="8"/>
      <c r="Y16" s="8"/>
    </row>
    <row r="17" spans="1:25">
      <c r="A17" s="8"/>
      <c r="B17" s="8" t="s">
        <v>219</v>
      </c>
      <c r="C17" s="8"/>
      <c r="D17" s="8"/>
      <c r="E17" s="8"/>
      <c r="F17" s="8"/>
      <c r="G17" s="8"/>
      <c r="H17" s="8"/>
      <c r="I17" s="8"/>
      <c r="J17" s="8"/>
      <c r="K17" s="8"/>
      <c r="L17" s="8"/>
      <c r="M17" s="8"/>
      <c r="N17" s="8"/>
      <c r="O17" s="8"/>
      <c r="P17" s="8"/>
      <c r="Q17" s="8"/>
      <c r="R17" s="8"/>
      <c r="S17" s="8"/>
      <c r="T17" s="8"/>
      <c r="U17" s="8"/>
      <c r="V17" s="8"/>
      <c r="W17" s="8"/>
      <c r="X17" s="8"/>
      <c r="Y17" s="8"/>
    </row>
    <row r="18" spans="1:25">
      <c r="A18" s="8"/>
      <c r="B18" s="8" t="s">
        <v>220</v>
      </c>
      <c r="C18" s="8"/>
      <c r="D18" s="8"/>
      <c r="E18" s="8"/>
      <c r="F18" s="8"/>
      <c r="G18" s="8"/>
      <c r="H18" s="8"/>
      <c r="I18" s="8"/>
      <c r="J18" s="8"/>
      <c r="K18" s="8"/>
      <c r="L18" s="8"/>
      <c r="M18" s="8"/>
      <c r="N18" s="8"/>
      <c r="O18" s="8"/>
      <c r="P18" s="8"/>
      <c r="Q18" s="8"/>
      <c r="R18" s="8"/>
      <c r="S18" s="8"/>
      <c r="T18" s="8"/>
      <c r="U18" s="8"/>
      <c r="V18" s="8"/>
      <c r="W18" s="8"/>
      <c r="X18" s="8"/>
      <c r="Y18" s="8"/>
    </row>
    <row r="19" spans="1:25">
      <c r="A19" s="8"/>
      <c r="B19" s="8" t="s">
        <v>221</v>
      </c>
      <c r="C19" s="8"/>
      <c r="D19" s="8"/>
      <c r="E19" s="8"/>
      <c r="F19" s="8"/>
      <c r="G19" s="8"/>
      <c r="H19" s="8"/>
      <c r="I19" s="8"/>
      <c r="J19" s="8"/>
      <c r="K19" s="8"/>
      <c r="L19" s="8"/>
      <c r="M19" s="8"/>
      <c r="N19" s="8"/>
      <c r="O19" s="8"/>
      <c r="P19" s="8"/>
      <c r="Q19" s="8"/>
      <c r="R19" s="8"/>
      <c r="S19" s="8"/>
      <c r="T19" s="8"/>
      <c r="U19" s="8"/>
      <c r="V19" s="8"/>
      <c r="W19" s="8"/>
      <c r="X19" s="8"/>
      <c r="Y19" s="8"/>
    </row>
    <row r="20" spans="1:25">
      <c r="A20" s="8"/>
      <c r="B20" s="8" t="s">
        <v>222</v>
      </c>
      <c r="C20" s="8"/>
      <c r="D20" s="8"/>
      <c r="E20" s="8"/>
      <c r="F20" s="8"/>
      <c r="G20" s="8"/>
      <c r="H20" s="8"/>
      <c r="I20" s="8"/>
      <c r="J20" s="8"/>
      <c r="K20" s="8"/>
      <c r="L20" s="8"/>
      <c r="M20" s="8"/>
      <c r="N20" s="8"/>
      <c r="O20" s="8"/>
      <c r="P20" s="8"/>
      <c r="Q20" s="8"/>
      <c r="R20" s="8"/>
      <c r="S20" s="8"/>
      <c r="T20" s="8"/>
      <c r="U20" s="8"/>
      <c r="V20" s="8"/>
      <c r="W20" s="8"/>
      <c r="X20" s="8"/>
      <c r="Y20" s="8"/>
    </row>
    <row r="21" spans="1:25">
      <c r="A21" s="8"/>
      <c r="B21" s="8" t="s">
        <v>223</v>
      </c>
      <c r="C21" s="8"/>
      <c r="D21" s="8"/>
      <c r="E21" s="8"/>
      <c r="F21" s="8"/>
      <c r="G21" s="8"/>
      <c r="H21" s="8"/>
      <c r="I21" s="8"/>
      <c r="J21" s="8"/>
      <c r="K21" s="8"/>
      <c r="L21" s="8"/>
      <c r="M21" s="8"/>
      <c r="N21" s="8"/>
      <c r="O21" s="8"/>
      <c r="P21" s="8"/>
      <c r="Q21" s="8"/>
      <c r="R21" s="8"/>
      <c r="S21" s="8"/>
      <c r="T21" s="8"/>
      <c r="U21" s="8"/>
      <c r="V21" s="8"/>
      <c r="W21" s="8"/>
      <c r="X21" s="8"/>
      <c r="Y21" s="8"/>
    </row>
    <row r="22" spans="1:25">
      <c r="A22" s="8"/>
      <c r="B22" s="8" t="s">
        <v>224</v>
      </c>
      <c r="C22" s="8"/>
      <c r="D22" s="8"/>
      <c r="E22" s="8"/>
      <c r="F22" s="8"/>
      <c r="G22" s="8"/>
      <c r="H22" s="8"/>
      <c r="I22" s="8"/>
      <c r="J22" s="8"/>
      <c r="K22" s="8"/>
      <c r="L22" s="8"/>
      <c r="M22" s="8"/>
      <c r="N22" s="8"/>
      <c r="O22" s="8"/>
      <c r="P22" s="8"/>
      <c r="Q22" s="8"/>
      <c r="R22" s="8"/>
      <c r="S22" s="8"/>
      <c r="T22" s="8"/>
      <c r="U22" s="8"/>
      <c r="V22" s="8"/>
      <c r="W22" s="8"/>
      <c r="X22" s="8"/>
      <c r="Y22" s="8"/>
    </row>
    <row r="23" spans="1:25">
      <c r="A23" s="8"/>
      <c r="B23" s="8" t="s">
        <v>225</v>
      </c>
      <c r="C23" s="8"/>
      <c r="D23" s="8"/>
      <c r="E23" s="8"/>
      <c r="F23" s="8"/>
      <c r="G23" s="8"/>
      <c r="H23" s="8"/>
      <c r="I23" s="8"/>
      <c r="J23" s="8"/>
      <c r="K23" s="8"/>
      <c r="L23" s="8"/>
      <c r="M23" s="8"/>
      <c r="N23" s="8"/>
      <c r="O23" s="8"/>
      <c r="P23" s="8"/>
      <c r="Q23" s="8"/>
      <c r="R23" s="8"/>
      <c r="S23" s="8"/>
      <c r="T23" s="8"/>
      <c r="U23" s="8"/>
      <c r="V23" s="8"/>
      <c r="W23" s="8"/>
      <c r="X23" s="8"/>
      <c r="Y23" s="8"/>
    </row>
    <row r="24" spans="1:25">
      <c r="A24" s="8"/>
      <c r="B24" s="8" t="s">
        <v>226</v>
      </c>
      <c r="C24" s="8"/>
      <c r="D24" s="8"/>
      <c r="E24" s="8"/>
      <c r="F24" s="8"/>
      <c r="G24" s="8"/>
      <c r="H24" s="8"/>
      <c r="I24" s="8"/>
      <c r="J24" s="8"/>
      <c r="K24" s="8"/>
      <c r="L24" s="8"/>
      <c r="M24" s="8"/>
      <c r="N24" s="8"/>
      <c r="O24" s="8"/>
      <c r="P24" s="8"/>
      <c r="Q24" s="8"/>
      <c r="R24" s="8"/>
      <c r="S24" s="8"/>
      <c r="T24" s="8"/>
      <c r="U24" s="8"/>
      <c r="V24" s="8"/>
      <c r="W24" s="8"/>
      <c r="X24" s="8"/>
      <c r="Y24" s="8"/>
    </row>
    <row r="25" spans="1:25">
      <c r="A25" s="8"/>
      <c r="B25" s="8" t="s">
        <v>227</v>
      </c>
      <c r="C25" s="8"/>
      <c r="D25" s="8"/>
      <c r="E25" s="8"/>
      <c r="F25" s="8"/>
      <c r="G25" s="8"/>
      <c r="H25" s="8"/>
      <c r="I25" s="8"/>
      <c r="J25" s="8"/>
      <c r="K25" s="8"/>
      <c r="L25" s="8"/>
      <c r="M25" s="8"/>
      <c r="N25" s="8"/>
      <c r="O25" s="8"/>
      <c r="P25" s="8"/>
      <c r="Q25" s="8"/>
      <c r="R25" s="8"/>
      <c r="S25" s="8"/>
      <c r="T25" s="8"/>
      <c r="U25" s="8"/>
      <c r="V25" s="8"/>
      <c r="W25" s="8"/>
      <c r="X25" s="8"/>
      <c r="Y25" s="8"/>
    </row>
    <row r="26" spans="1:25">
      <c r="A26" s="8"/>
      <c r="B26" s="8" t="s">
        <v>228</v>
      </c>
      <c r="C26" s="8"/>
      <c r="D26" s="8"/>
      <c r="E26" s="8"/>
      <c r="F26" s="8"/>
      <c r="G26" s="8"/>
      <c r="H26" s="8"/>
      <c r="I26" s="8"/>
      <c r="J26" s="8"/>
      <c r="K26" s="8"/>
      <c r="L26" s="8"/>
      <c r="M26" s="8"/>
      <c r="N26" s="8"/>
      <c r="O26" s="8"/>
      <c r="P26" s="8"/>
      <c r="Q26" s="8"/>
      <c r="R26" s="8"/>
      <c r="S26" s="8"/>
      <c r="T26" s="8"/>
      <c r="U26" s="8"/>
      <c r="V26" s="8"/>
      <c r="W26" s="8"/>
      <c r="X26" s="8"/>
      <c r="Y26" s="8"/>
    </row>
    <row r="27" spans="1:25">
      <c r="A27" s="8"/>
      <c r="B27" s="8" t="s">
        <v>229</v>
      </c>
      <c r="C27" s="8"/>
      <c r="D27" s="8"/>
      <c r="E27" s="8"/>
      <c r="F27" s="8"/>
      <c r="G27" s="8"/>
      <c r="H27" s="8"/>
      <c r="I27" s="8"/>
      <c r="J27" s="8"/>
      <c r="K27" s="8"/>
      <c r="L27" s="8"/>
      <c r="M27" s="8"/>
      <c r="N27" s="8"/>
      <c r="O27" s="8"/>
      <c r="P27" s="8"/>
      <c r="Q27" s="8"/>
      <c r="R27" s="8"/>
      <c r="S27" s="8"/>
      <c r="T27" s="8"/>
      <c r="U27" s="8"/>
      <c r="V27" s="8"/>
      <c r="W27" s="8"/>
      <c r="X27" s="8"/>
      <c r="Y27" s="8"/>
    </row>
    <row r="28" spans="1:25">
      <c r="A28" s="8"/>
      <c r="B28" s="8" t="s">
        <v>230</v>
      </c>
      <c r="C28" s="8"/>
      <c r="D28" s="8"/>
      <c r="E28" s="8"/>
      <c r="F28" s="8"/>
      <c r="G28" s="8"/>
      <c r="H28" s="8"/>
      <c r="I28" s="8"/>
      <c r="J28" s="8"/>
      <c r="K28" s="8"/>
      <c r="L28" s="8"/>
      <c r="M28" s="8"/>
      <c r="N28" s="8"/>
      <c r="O28" s="8"/>
      <c r="P28" s="8"/>
      <c r="Q28" s="8"/>
      <c r="R28" s="8"/>
      <c r="S28" s="8"/>
      <c r="T28" s="8"/>
      <c r="U28" s="8"/>
      <c r="V28" s="8"/>
      <c r="W28" s="8"/>
      <c r="X28" s="8"/>
      <c r="Y28" s="8"/>
    </row>
    <row r="29" spans="1:25">
      <c r="A29" s="8"/>
      <c r="B29" s="8" t="s">
        <v>231</v>
      </c>
      <c r="C29" s="8"/>
      <c r="D29" s="8"/>
      <c r="E29" s="8"/>
      <c r="F29" s="8"/>
      <c r="G29" s="8"/>
      <c r="H29" s="8"/>
      <c r="I29" s="8"/>
      <c r="J29" s="8"/>
      <c r="K29" s="8"/>
      <c r="L29" s="8"/>
      <c r="M29" s="8"/>
      <c r="N29" s="8"/>
      <c r="O29" s="8"/>
      <c r="P29" s="8"/>
      <c r="Q29" s="8"/>
      <c r="R29" s="8"/>
      <c r="S29" s="8"/>
      <c r="T29" s="8"/>
      <c r="U29" s="8"/>
      <c r="V29" s="8"/>
      <c r="W29" s="8"/>
      <c r="X29" s="8"/>
      <c r="Y29" s="8"/>
    </row>
    <row r="30" spans="1:25">
      <c r="A30" s="8"/>
      <c r="B30" s="8" t="s">
        <v>232</v>
      </c>
      <c r="C30" s="8"/>
      <c r="D30" s="8"/>
      <c r="E30" s="8"/>
      <c r="F30" s="8"/>
      <c r="G30" s="8"/>
      <c r="H30" s="8"/>
      <c r="I30" s="8"/>
      <c r="J30" s="8"/>
      <c r="K30" s="8"/>
      <c r="L30" s="8"/>
      <c r="M30" s="8"/>
      <c r="N30" s="8"/>
      <c r="O30" s="8"/>
      <c r="P30" s="8"/>
      <c r="Q30" s="8"/>
      <c r="R30" s="8"/>
      <c r="S30" s="8"/>
      <c r="T30" s="8"/>
      <c r="U30" s="8"/>
      <c r="V30" s="8"/>
      <c r="W30" s="8"/>
      <c r="X30" s="8"/>
      <c r="Y30" s="8"/>
    </row>
    <row r="31" spans="1:25">
      <c r="A31" s="8"/>
      <c r="B31" s="8" t="s">
        <v>233</v>
      </c>
      <c r="C31" s="8"/>
      <c r="D31" s="8"/>
      <c r="E31" s="8"/>
      <c r="F31" s="8"/>
      <c r="G31" s="8"/>
      <c r="H31" s="8"/>
      <c r="I31" s="8"/>
      <c r="J31" s="8"/>
      <c r="K31" s="8"/>
      <c r="L31" s="8"/>
      <c r="M31" s="8"/>
      <c r="N31" s="8"/>
      <c r="O31" s="8"/>
      <c r="P31" s="8"/>
      <c r="Q31" s="8"/>
      <c r="R31" s="8"/>
      <c r="S31" s="8"/>
      <c r="T31" s="8"/>
      <c r="U31" s="8"/>
      <c r="V31" s="8"/>
      <c r="W31" s="8"/>
      <c r="X31" s="8"/>
      <c r="Y31" s="8"/>
    </row>
    <row r="32" spans="1:25">
      <c r="A32" s="8"/>
      <c r="B32" s="8" t="s">
        <v>234</v>
      </c>
      <c r="C32" s="8"/>
      <c r="D32" s="8"/>
      <c r="E32" s="8"/>
      <c r="F32" s="8"/>
      <c r="G32" s="8"/>
      <c r="H32" s="8"/>
      <c r="I32" s="8"/>
      <c r="J32" s="8"/>
      <c r="K32" s="8"/>
      <c r="L32" s="8"/>
      <c r="M32" s="8"/>
      <c r="N32" s="8"/>
      <c r="O32" s="8"/>
      <c r="P32" s="8"/>
      <c r="Q32" s="8"/>
      <c r="R32" s="8"/>
      <c r="S32" s="8"/>
      <c r="T32" s="8"/>
      <c r="U32" s="8"/>
      <c r="V32" s="8"/>
      <c r="W32" s="8"/>
      <c r="X32" s="8"/>
      <c r="Y32" s="8"/>
    </row>
    <row r="33" spans="1:25">
      <c r="A33" s="8"/>
      <c r="B33" s="8" t="s">
        <v>235</v>
      </c>
      <c r="C33" s="8"/>
      <c r="D33" s="8"/>
      <c r="E33" s="8"/>
      <c r="F33" s="8"/>
      <c r="G33" s="8"/>
      <c r="H33" s="8"/>
      <c r="I33" s="8"/>
      <c r="J33" s="8"/>
      <c r="K33" s="8"/>
      <c r="L33" s="8"/>
      <c r="M33" s="8"/>
      <c r="N33" s="8"/>
      <c r="O33" s="8"/>
      <c r="P33" s="8"/>
      <c r="Q33" s="8"/>
      <c r="R33" s="8"/>
      <c r="S33" s="8"/>
      <c r="T33" s="8"/>
      <c r="U33" s="8"/>
      <c r="V33" s="8"/>
      <c r="W33" s="8"/>
      <c r="X33" s="8"/>
      <c r="Y33" s="8"/>
    </row>
    <row r="34" spans="1:25">
      <c r="A34" s="8"/>
      <c r="B34" s="8" t="s">
        <v>236</v>
      </c>
      <c r="C34" s="8"/>
      <c r="D34" s="8"/>
      <c r="E34" s="8"/>
      <c r="F34" s="8"/>
      <c r="G34" s="8"/>
      <c r="H34" s="8"/>
      <c r="I34" s="8"/>
      <c r="J34" s="8"/>
      <c r="K34" s="8"/>
      <c r="L34" s="8"/>
      <c r="M34" s="8"/>
      <c r="N34" s="8"/>
      <c r="O34" s="8"/>
      <c r="P34" s="8"/>
      <c r="Q34" s="8"/>
      <c r="R34" s="8"/>
      <c r="S34" s="8"/>
      <c r="T34" s="8"/>
      <c r="U34" s="8"/>
      <c r="V34" s="8"/>
      <c r="W34" s="8"/>
      <c r="X34" s="8"/>
      <c r="Y34" s="8"/>
    </row>
    <row r="35" spans="1:25">
      <c r="A35" s="8"/>
      <c r="B35" s="8" t="s">
        <v>237</v>
      </c>
      <c r="C35" s="8"/>
      <c r="D35" s="8"/>
      <c r="E35" s="8"/>
      <c r="F35" s="8"/>
      <c r="G35" s="8"/>
      <c r="H35" s="8"/>
      <c r="I35" s="8"/>
      <c r="J35" s="8"/>
      <c r="K35" s="8"/>
      <c r="L35" s="8"/>
      <c r="M35" s="8"/>
      <c r="N35" s="8"/>
      <c r="O35" s="8"/>
      <c r="P35" s="8"/>
      <c r="Q35" s="8"/>
      <c r="R35" s="8"/>
      <c r="S35" s="8"/>
      <c r="T35" s="8"/>
      <c r="U35" s="8"/>
      <c r="V35" s="8"/>
      <c r="W35" s="8"/>
      <c r="X35" s="8"/>
      <c r="Y35" s="8"/>
    </row>
    <row r="36" spans="1:25">
      <c r="A36" s="8"/>
      <c r="B36" s="8" t="s">
        <v>238</v>
      </c>
      <c r="C36" s="8"/>
      <c r="D36" s="8"/>
      <c r="E36" s="8"/>
      <c r="F36" s="8"/>
      <c r="G36" s="8"/>
      <c r="H36" s="8"/>
      <c r="I36" s="8"/>
      <c r="J36" s="8"/>
      <c r="K36" s="8"/>
      <c r="L36" s="8"/>
      <c r="M36" s="8"/>
      <c r="N36" s="8"/>
      <c r="O36" s="8"/>
      <c r="P36" s="8"/>
      <c r="Q36" s="8"/>
      <c r="R36" s="8"/>
      <c r="S36" s="8"/>
      <c r="T36" s="8"/>
      <c r="U36" s="8"/>
      <c r="V36" s="8"/>
      <c r="W36" s="8"/>
      <c r="X36" s="8"/>
      <c r="Y36" s="8"/>
    </row>
    <row r="37" spans="1:25">
      <c r="A37" s="8"/>
      <c r="B37" s="8" t="s">
        <v>239</v>
      </c>
      <c r="C37" s="8"/>
      <c r="D37" s="8"/>
      <c r="E37" s="8"/>
      <c r="F37" s="8"/>
      <c r="G37" s="8"/>
      <c r="H37" s="8"/>
      <c r="I37" s="8"/>
      <c r="J37" s="8"/>
      <c r="K37" s="8"/>
      <c r="L37" s="8"/>
      <c r="M37" s="8"/>
      <c r="N37" s="8"/>
      <c r="O37" s="8"/>
      <c r="P37" s="8"/>
      <c r="Q37" s="8"/>
      <c r="R37" s="8"/>
      <c r="S37" s="8"/>
      <c r="T37" s="8"/>
      <c r="U37" s="8"/>
      <c r="V37" s="8"/>
      <c r="W37" s="8"/>
      <c r="X37" s="8"/>
      <c r="Y37" s="8"/>
    </row>
    <row r="38" spans="1:25">
      <c r="A38" s="8"/>
      <c r="B38" s="8" t="s">
        <v>240</v>
      </c>
      <c r="C38" s="8"/>
      <c r="D38" s="8"/>
      <c r="E38" s="8"/>
      <c r="F38" s="8"/>
      <c r="G38" s="8"/>
      <c r="H38" s="8"/>
      <c r="I38" s="8"/>
      <c r="J38" s="8"/>
      <c r="K38" s="8"/>
      <c r="L38" s="8"/>
      <c r="M38" s="8"/>
      <c r="N38" s="8"/>
      <c r="O38" s="8"/>
      <c r="P38" s="8"/>
      <c r="Q38" s="8"/>
      <c r="R38" s="8"/>
      <c r="S38" s="8"/>
      <c r="T38" s="8"/>
      <c r="U38" s="8"/>
      <c r="V38" s="8"/>
      <c r="W38" s="8"/>
      <c r="X38" s="8"/>
      <c r="Y38" s="8"/>
    </row>
    <row r="39" spans="1:25">
      <c r="A39" s="8"/>
      <c r="B39" s="8" t="s">
        <v>241</v>
      </c>
      <c r="C39" s="8"/>
      <c r="D39" s="8"/>
      <c r="E39" s="8"/>
      <c r="F39" s="8"/>
      <c r="G39" s="8"/>
      <c r="H39" s="8"/>
      <c r="I39" s="8"/>
      <c r="J39" s="8"/>
      <c r="K39" s="8"/>
      <c r="L39" s="8"/>
      <c r="M39" s="8"/>
      <c r="N39" s="8"/>
      <c r="O39" s="8"/>
      <c r="P39" s="8"/>
      <c r="Q39" s="8"/>
      <c r="R39" s="8"/>
      <c r="S39" s="8"/>
      <c r="T39" s="8"/>
      <c r="U39" s="8"/>
      <c r="V39" s="8"/>
      <c r="W39" s="8"/>
      <c r="X39" s="8"/>
      <c r="Y39" s="8"/>
    </row>
    <row r="40" spans="1:25">
      <c r="A40" s="8" t="s">
        <v>242</v>
      </c>
      <c r="B40" s="8" t="s">
        <v>243</v>
      </c>
      <c r="C40" s="8"/>
      <c r="D40" s="8"/>
      <c r="E40" s="8"/>
      <c r="F40" s="8"/>
      <c r="G40" s="8"/>
      <c r="H40" s="8"/>
      <c r="I40" s="8"/>
      <c r="J40" s="8"/>
      <c r="K40" s="8"/>
      <c r="L40" s="8"/>
      <c r="M40" s="8"/>
      <c r="N40" s="8"/>
      <c r="O40" s="8"/>
      <c r="P40" s="8"/>
      <c r="Q40" s="8"/>
      <c r="R40" s="8"/>
      <c r="S40" s="8"/>
      <c r="T40" s="8"/>
      <c r="U40" s="8"/>
      <c r="V40" s="8"/>
      <c r="W40" s="8"/>
      <c r="X40" s="8"/>
      <c r="Y40" s="8"/>
    </row>
    <row r="41" spans="1:25">
      <c r="A41" s="8" t="s">
        <v>244</v>
      </c>
      <c r="B41" s="8" t="s">
        <v>245</v>
      </c>
      <c r="C41" s="8"/>
      <c r="D41" s="8"/>
      <c r="E41" s="8"/>
      <c r="F41" s="8"/>
      <c r="G41" s="8"/>
      <c r="H41" s="8"/>
      <c r="I41" s="8"/>
      <c r="J41" s="8"/>
      <c r="K41" s="8"/>
      <c r="L41" s="8"/>
      <c r="M41" s="8"/>
      <c r="N41" s="8"/>
      <c r="O41" s="8"/>
      <c r="P41" s="8"/>
      <c r="Q41" s="8"/>
      <c r="R41" s="8"/>
      <c r="S41" s="8"/>
      <c r="T41" s="8"/>
      <c r="U41" s="8"/>
      <c r="V41" s="8"/>
      <c r="W41" s="8"/>
      <c r="X41" s="8"/>
      <c r="Y41" s="8"/>
    </row>
    <row r="42" spans="1:25">
      <c r="A42" s="8" t="s">
        <v>246</v>
      </c>
      <c r="B42" s="8"/>
      <c r="C42" s="8"/>
      <c r="D42" s="8"/>
      <c r="E42" s="8"/>
      <c r="F42" s="8"/>
      <c r="G42" s="8"/>
      <c r="H42" s="8"/>
      <c r="I42" s="8"/>
      <c r="J42" s="8"/>
      <c r="K42" s="8"/>
      <c r="L42" s="8"/>
      <c r="M42" s="8"/>
      <c r="N42" s="8"/>
      <c r="O42" s="8"/>
      <c r="P42" s="8"/>
      <c r="Q42" s="8"/>
      <c r="R42" s="8"/>
      <c r="S42" s="8"/>
      <c r="T42" s="8"/>
      <c r="U42" s="8"/>
      <c r="V42" s="8"/>
      <c r="W42" s="8"/>
      <c r="X42" s="8"/>
      <c r="Y42" s="8"/>
    </row>
    <row r="43" spans="1:25">
      <c r="A43" s="8" t="s">
        <v>247</v>
      </c>
      <c r="B43" s="8" t="s">
        <v>248</v>
      </c>
      <c r="C43" s="8" t="s">
        <v>249</v>
      </c>
      <c r="D43" s="8" t="s">
        <v>250</v>
      </c>
      <c r="E43" s="8" t="s">
        <v>251</v>
      </c>
      <c r="F43" s="8" t="s">
        <v>252</v>
      </c>
      <c r="G43" s="8" t="s">
        <v>253</v>
      </c>
      <c r="H43" s="8" t="s">
        <v>254</v>
      </c>
      <c r="I43" s="8" t="s">
        <v>255</v>
      </c>
      <c r="J43" s="8" t="s">
        <v>256</v>
      </c>
      <c r="K43" s="8" t="s">
        <v>257</v>
      </c>
      <c r="L43" s="8" t="s">
        <v>258</v>
      </c>
      <c r="M43" s="8" t="s">
        <v>259</v>
      </c>
      <c r="N43" s="8" t="s">
        <v>260</v>
      </c>
      <c r="O43" s="8" t="s">
        <v>261</v>
      </c>
      <c r="P43" s="8" t="s">
        <v>262</v>
      </c>
      <c r="Q43" s="8" t="s">
        <v>263</v>
      </c>
      <c r="R43" s="8" t="s">
        <v>264</v>
      </c>
      <c r="S43" s="8" t="s">
        <v>265</v>
      </c>
      <c r="T43" s="8" t="s">
        <v>266</v>
      </c>
      <c r="U43" s="8" t="s">
        <v>267</v>
      </c>
      <c r="V43" s="8" t="s">
        <v>268</v>
      </c>
      <c r="W43" s="8" t="s">
        <v>269</v>
      </c>
      <c r="X43" s="8" t="s">
        <v>270</v>
      </c>
      <c r="Y43" s="8" t="s">
        <v>271</v>
      </c>
    </row>
    <row r="44" spans="1:25">
      <c r="A44" s="8">
        <v>820</v>
      </c>
      <c r="B44" s="8">
        <v>65</v>
      </c>
      <c r="C44" s="8">
        <v>0.06</v>
      </c>
      <c r="D44" s="8">
        <v>-20.49</v>
      </c>
      <c r="E44" s="8">
        <v>11.19</v>
      </c>
      <c r="F44" s="8">
        <v>1.1299999999999999</v>
      </c>
      <c r="G44" s="8">
        <v>1.19</v>
      </c>
      <c r="H44" s="8"/>
      <c r="I44" s="8"/>
      <c r="J44" s="8">
        <v>2.38</v>
      </c>
      <c r="K44" s="8">
        <v>6.11</v>
      </c>
      <c r="L44" s="8">
        <v>22.62</v>
      </c>
      <c r="M44" s="8">
        <v>97</v>
      </c>
      <c r="N44" s="8">
        <v>97</v>
      </c>
      <c r="O44" s="8">
        <v>97</v>
      </c>
      <c r="P44" s="8">
        <v>97</v>
      </c>
      <c r="Q44" s="8">
        <v>233</v>
      </c>
      <c r="R44" s="8">
        <v>232</v>
      </c>
      <c r="S44" s="8">
        <v>233</v>
      </c>
      <c r="T44" s="8">
        <v>233</v>
      </c>
      <c r="U44" s="8">
        <v>229</v>
      </c>
      <c r="V44" s="8">
        <v>229</v>
      </c>
      <c r="W44" s="8">
        <v>229</v>
      </c>
      <c r="X44" s="8">
        <v>229</v>
      </c>
      <c r="Y44" s="8"/>
    </row>
    <row r="45" spans="1:25">
      <c r="A45" s="8">
        <v>3990</v>
      </c>
      <c r="B45" s="8">
        <v>93</v>
      </c>
      <c r="C45" s="8">
        <v>0.08</v>
      </c>
      <c r="D45" s="8">
        <v>-20.02</v>
      </c>
      <c r="E45" s="8">
        <v>10.41</v>
      </c>
      <c r="F45" s="8">
        <v>0.47</v>
      </c>
      <c r="G45" s="8">
        <v>0.23</v>
      </c>
      <c r="H45" s="8">
        <v>1.25</v>
      </c>
      <c r="I45" s="8">
        <v>-0.55000000000000004</v>
      </c>
      <c r="J45" s="8">
        <v>2.21</v>
      </c>
      <c r="K45" s="8">
        <v>4.5599999999999996</v>
      </c>
      <c r="L45" s="8">
        <v>26.02</v>
      </c>
      <c r="M45" s="8">
        <v>97</v>
      </c>
      <c r="N45" s="8">
        <v>103</v>
      </c>
      <c r="O45" s="8">
        <v>83</v>
      </c>
      <c r="P45" s="8">
        <v>85</v>
      </c>
      <c r="Q45" s="8">
        <v>241</v>
      </c>
      <c r="R45" s="8">
        <v>255</v>
      </c>
      <c r="S45" s="8">
        <v>207</v>
      </c>
      <c r="T45" s="8">
        <v>210</v>
      </c>
      <c r="U45" s="8">
        <v>192</v>
      </c>
      <c r="V45" s="8">
        <v>198</v>
      </c>
      <c r="W45" s="8">
        <v>216</v>
      </c>
      <c r="X45" s="8">
        <v>210</v>
      </c>
      <c r="Y45" s="8"/>
    </row>
    <row r="46" spans="1:25">
      <c r="A46" s="8">
        <v>5810</v>
      </c>
      <c r="B46" s="8">
        <v>85</v>
      </c>
      <c r="C46" s="8">
        <v>0.04</v>
      </c>
      <c r="D46" s="8">
        <v>-21.58</v>
      </c>
      <c r="E46" s="8">
        <v>11.74</v>
      </c>
      <c r="F46" s="8">
        <v>0.12</v>
      </c>
      <c r="G46" s="8">
        <v>-0.78</v>
      </c>
      <c r="H46" s="8">
        <v>1.19</v>
      </c>
      <c r="I46" s="8">
        <v>-1.43</v>
      </c>
      <c r="J46" s="8">
        <v>2.3199999999999998</v>
      </c>
      <c r="K46" s="8">
        <v>4.6500000000000004</v>
      </c>
      <c r="L46" s="8">
        <v>26.57</v>
      </c>
      <c r="M46" s="8">
        <v>97</v>
      </c>
      <c r="N46" s="8">
        <v>88</v>
      </c>
      <c r="O46" s="8">
        <v>84</v>
      </c>
      <c r="P46" s="8">
        <v>92</v>
      </c>
      <c r="Q46" s="8">
        <v>268</v>
      </c>
      <c r="R46" s="8">
        <v>244</v>
      </c>
      <c r="S46" s="8">
        <v>233</v>
      </c>
      <c r="T46" s="8">
        <v>255</v>
      </c>
      <c r="U46" s="8">
        <v>312</v>
      </c>
      <c r="V46" s="8">
        <v>303</v>
      </c>
      <c r="W46" s="8">
        <v>279</v>
      </c>
      <c r="X46" s="8">
        <v>257</v>
      </c>
      <c r="Y46" s="8"/>
    </row>
    <row r="47" spans="1:25">
      <c r="A47" s="8">
        <v>7660</v>
      </c>
      <c r="B47" s="8">
        <v>81</v>
      </c>
      <c r="C47" s="8">
        <v>0.05</v>
      </c>
      <c r="D47" s="8">
        <v>-22.57</v>
      </c>
      <c r="E47" s="8">
        <v>14.03</v>
      </c>
      <c r="F47" s="8">
        <v>1.18</v>
      </c>
      <c r="G47" s="8">
        <v>-1.1000000000000001</v>
      </c>
      <c r="H47" s="8">
        <v>1.88</v>
      </c>
      <c r="I47" s="8">
        <v>-1.49</v>
      </c>
      <c r="J47" s="8">
        <v>2.39</v>
      </c>
      <c r="K47" s="8">
        <v>9.1199999999999992</v>
      </c>
      <c r="L47" s="8">
        <v>28.33</v>
      </c>
      <c r="M47" s="8">
        <v>97</v>
      </c>
      <c r="N47" s="8">
        <v>111</v>
      </c>
      <c r="O47" s="8">
        <v>123</v>
      </c>
      <c r="P47" s="8">
        <v>98</v>
      </c>
      <c r="Q47" s="8">
        <v>339</v>
      </c>
      <c r="R47" s="8">
        <v>388</v>
      </c>
      <c r="S47" s="8">
        <v>430</v>
      </c>
      <c r="T47" s="8">
        <v>342</v>
      </c>
      <c r="U47" s="8">
        <v>689</v>
      </c>
      <c r="V47" s="8">
        <v>564</v>
      </c>
      <c r="W47" s="8">
        <v>424</v>
      </c>
      <c r="X47" s="8">
        <v>547</v>
      </c>
      <c r="Y47" s="8"/>
    </row>
    <row r="48" spans="1:25">
      <c r="A48" s="8">
        <v>8860</v>
      </c>
      <c r="B48" s="8">
        <v>53</v>
      </c>
      <c r="C48" s="8">
        <v>0.1</v>
      </c>
      <c r="D48" s="8">
        <v>-24.49</v>
      </c>
      <c r="E48" s="8">
        <v>15.46</v>
      </c>
      <c r="F48" s="8">
        <v>0.59</v>
      </c>
      <c r="G48" s="8"/>
      <c r="H48" s="8">
        <v>1.59</v>
      </c>
      <c r="I48" s="8">
        <v>-1.59</v>
      </c>
      <c r="J48" s="8">
        <v>2.72</v>
      </c>
      <c r="K48" s="8">
        <v>8.64</v>
      </c>
      <c r="L48" s="8">
        <v>28.69</v>
      </c>
      <c r="M48" s="8">
        <v>97</v>
      </c>
      <c r="N48" s="8">
        <v>107</v>
      </c>
      <c r="O48" s="8">
        <v>119</v>
      </c>
      <c r="P48" s="8">
        <v>122</v>
      </c>
      <c r="Q48" s="8">
        <v>393</v>
      </c>
      <c r="R48" s="8">
        <v>435</v>
      </c>
      <c r="S48" s="8">
        <v>482</v>
      </c>
      <c r="T48" s="8">
        <v>493</v>
      </c>
      <c r="U48" s="8">
        <v>1081</v>
      </c>
      <c r="V48" s="8">
        <v>807</v>
      </c>
      <c r="W48" s="8">
        <v>512</v>
      </c>
      <c r="X48" s="8">
        <v>733</v>
      </c>
      <c r="Y48" s="8" t="s">
        <v>272</v>
      </c>
    </row>
    <row r="49" spans="1:25">
      <c r="A49" s="8">
        <v>10850</v>
      </c>
      <c r="B49" s="8">
        <v>81</v>
      </c>
      <c r="C49" s="8">
        <v>0.08</v>
      </c>
      <c r="D49" s="8">
        <v>-23.92</v>
      </c>
      <c r="E49" s="8">
        <v>15.49</v>
      </c>
      <c r="F49" s="8">
        <v>1.2</v>
      </c>
      <c r="G49" s="8">
        <v>-1.37</v>
      </c>
      <c r="H49" s="8">
        <v>2.3199999999999998</v>
      </c>
      <c r="I49" s="8">
        <v>-1.77</v>
      </c>
      <c r="J49" s="8">
        <v>2.7</v>
      </c>
      <c r="K49" s="8">
        <v>8.2100000000000009</v>
      </c>
      <c r="L49" s="8">
        <v>28.73</v>
      </c>
      <c r="M49" s="8">
        <v>97</v>
      </c>
      <c r="N49" s="8">
        <v>114</v>
      </c>
      <c r="O49" s="8">
        <v>115</v>
      </c>
      <c r="P49" s="8">
        <v>120</v>
      </c>
      <c r="Q49" s="8">
        <v>394</v>
      </c>
      <c r="R49" s="8">
        <v>464</v>
      </c>
      <c r="S49" s="8">
        <v>469</v>
      </c>
      <c r="T49" s="8">
        <v>489</v>
      </c>
      <c r="U49" s="8">
        <v>1082</v>
      </c>
      <c r="V49" s="8">
        <v>807</v>
      </c>
      <c r="W49" s="8">
        <v>513</v>
      </c>
      <c r="X49" s="8">
        <v>775</v>
      </c>
      <c r="Y49" s="8"/>
    </row>
    <row r="50" spans="1:25">
      <c r="A50" s="8">
        <v>12890</v>
      </c>
      <c r="B50" s="8">
        <v>33</v>
      </c>
      <c r="C50" s="8">
        <v>0.04</v>
      </c>
      <c r="D50" s="8">
        <v>-19.91</v>
      </c>
      <c r="E50" s="8">
        <v>11.76</v>
      </c>
      <c r="F50" s="8">
        <v>1.61</v>
      </c>
      <c r="G50" s="8"/>
      <c r="H50" s="8">
        <v>2.61</v>
      </c>
      <c r="I50" s="8">
        <v>-1.93</v>
      </c>
      <c r="J50" s="8">
        <v>2.54</v>
      </c>
      <c r="K50" s="8">
        <v>1.1100000000000001</v>
      </c>
      <c r="L50" s="8">
        <v>28.74</v>
      </c>
      <c r="M50" s="8">
        <v>97</v>
      </c>
      <c r="N50" s="8">
        <v>66</v>
      </c>
      <c r="O50" s="8">
        <v>53</v>
      </c>
      <c r="P50" s="8">
        <v>109</v>
      </c>
      <c r="Q50" s="8">
        <v>283</v>
      </c>
      <c r="R50" s="8">
        <v>192</v>
      </c>
      <c r="S50" s="8">
        <v>155</v>
      </c>
      <c r="T50" s="8">
        <v>317</v>
      </c>
      <c r="U50" s="8">
        <v>270</v>
      </c>
      <c r="V50" s="8">
        <v>131</v>
      </c>
      <c r="W50" s="8">
        <v>299</v>
      </c>
      <c r="X50" s="8">
        <v>211</v>
      </c>
      <c r="Y50" s="8"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Columns</vt:lpstr>
      <vt:lpstr>PANGAEA-pCO2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Phelps, Samuel</dc:creator>
  <cp:lastModifiedBy>Bärbel Hönisch</cp:lastModifiedBy>
  <dcterms:created xsi:type="dcterms:W3CDTF">2020-04-01T20:25:02Z</dcterms:created>
  <dcterms:modified xsi:type="dcterms:W3CDTF">2020-07-08T22:31:08Z</dcterms:modified>
</cp:coreProperties>
</file>