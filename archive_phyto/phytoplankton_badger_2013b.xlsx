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5"/>
  <workbookPr defaultThemeVersion="166925"/>
  <mc:AlternateContent xmlns:mc="http://schemas.openxmlformats.org/markup-compatibility/2006">
    <mc:Choice Requires="x15">
      <x15ac:absPath xmlns:x15ac="http://schemas.microsoft.com/office/spreadsheetml/2010/11/ac" url="/Users/Daphnia/Desktop/paleo pCO2 data base/archive/archive data files July 2020/"/>
    </mc:Choice>
  </mc:AlternateContent>
  <xr:revisionPtr revIDLastSave="0" documentId="13_ncr:1_{392A4C35-4CAE-7448-ADFC-7355B2F2EAEE}" xr6:coauthVersionLast="36" xr6:coauthVersionMax="45" xr10:uidLastSave="{00000000-0000-0000-0000-000000000000}"/>
  <bookViews>
    <workbookView xWindow="0" yWindow="460" windowWidth="23200" windowHeight="13920" activeTab="1" xr2:uid="{00000000-000D-0000-FFFF-FFFF00000000}"/>
  </bookViews>
  <sheets>
    <sheet name="Data" sheetId="5" r:id="rId1"/>
    <sheet name="Columns" sheetId="6" r:id="rId2"/>
  </sheets>
  <calcPr calcId="181029"/>
</workbook>
</file>

<file path=xl/calcChain.xml><?xml version="1.0" encoding="utf-8"?>
<calcChain xmlns="http://schemas.openxmlformats.org/spreadsheetml/2006/main">
  <c r="CK24" i="5" l="1"/>
  <c r="CK23" i="5"/>
  <c r="CK22" i="5"/>
  <c r="CK21" i="5"/>
  <c r="CK20" i="5"/>
  <c r="CK19" i="5"/>
  <c r="CK18" i="5"/>
  <c r="CK17" i="5"/>
  <c r="CK16" i="5"/>
  <c r="CK15" i="5"/>
  <c r="CK14" i="5"/>
  <c r="CK13" i="5"/>
  <c r="CK12" i="5"/>
  <c r="CK11" i="5"/>
  <c r="CK10" i="5"/>
  <c r="CK9" i="5"/>
  <c r="CK8" i="5"/>
  <c r="CK7" i="5"/>
  <c r="CK6" i="5"/>
  <c r="CK5" i="5"/>
  <c r="CK4" i="5"/>
  <c r="D24" i="5"/>
  <c r="D23" i="5"/>
  <c r="D22" i="5"/>
  <c r="D21" i="5"/>
  <c r="D20" i="5"/>
  <c r="D19" i="5"/>
  <c r="D18" i="5"/>
  <c r="D17" i="5"/>
  <c r="D16" i="5"/>
  <c r="D15" i="5"/>
  <c r="D14" i="5"/>
  <c r="D13" i="5"/>
  <c r="D12" i="5"/>
  <c r="D11" i="5"/>
  <c r="D10" i="5"/>
  <c r="D9" i="5"/>
  <c r="D8" i="5"/>
  <c r="D7" i="5"/>
  <c r="D6" i="5"/>
  <c r="D5" i="5"/>
  <c r="D4" i="5"/>
  <c r="J23" i="5"/>
  <c r="I23" i="5"/>
  <c r="H23" i="5"/>
  <c r="J22" i="5"/>
  <c r="I22" i="5"/>
  <c r="H22" i="5"/>
  <c r="J21" i="5"/>
  <c r="I21" i="5"/>
  <c r="H21" i="5"/>
  <c r="J20" i="5"/>
  <c r="I20" i="5"/>
  <c r="H20" i="5"/>
  <c r="J19" i="5"/>
  <c r="I19" i="5"/>
  <c r="H19" i="5"/>
  <c r="J18" i="5"/>
  <c r="I18" i="5"/>
  <c r="H18" i="5"/>
  <c r="J17" i="5"/>
  <c r="I17" i="5"/>
  <c r="H17" i="5"/>
  <c r="J16" i="5"/>
  <c r="I16" i="5"/>
  <c r="H16" i="5"/>
  <c r="J15" i="5"/>
  <c r="I15" i="5"/>
  <c r="H15" i="5"/>
  <c r="J14" i="5"/>
  <c r="I14" i="5"/>
  <c r="H14" i="5"/>
  <c r="J13" i="5"/>
  <c r="I13" i="5"/>
  <c r="H13" i="5"/>
  <c r="J12" i="5"/>
  <c r="I12" i="5"/>
  <c r="H12" i="5"/>
  <c r="J11" i="5"/>
  <c r="I11" i="5"/>
  <c r="H11" i="5"/>
  <c r="J10" i="5"/>
  <c r="I10" i="5"/>
  <c r="H10" i="5"/>
  <c r="J9" i="5"/>
  <c r="I9" i="5"/>
  <c r="H9" i="5"/>
  <c r="J8" i="5"/>
  <c r="I8" i="5"/>
  <c r="H8" i="5"/>
  <c r="J7" i="5"/>
  <c r="I7" i="5"/>
  <c r="H7" i="5"/>
  <c r="J6" i="5"/>
  <c r="I6" i="5"/>
  <c r="H6" i="5"/>
  <c r="J5" i="5"/>
  <c r="I5" i="5"/>
  <c r="H5" i="5"/>
  <c r="J4" i="5"/>
  <c r="I4" i="5"/>
  <c r="H4" i="5"/>
  <c r="J24" i="5"/>
  <c r="I24" i="5"/>
  <c r="H24" i="5"/>
  <c r="G23" i="5"/>
  <c r="F23" i="5"/>
  <c r="E23" i="5"/>
  <c r="G22" i="5"/>
  <c r="F22" i="5"/>
  <c r="E22" i="5"/>
  <c r="G21" i="5"/>
  <c r="F21" i="5"/>
  <c r="E21" i="5"/>
  <c r="G20" i="5"/>
  <c r="F20" i="5"/>
  <c r="E20" i="5"/>
  <c r="G19" i="5"/>
  <c r="F19" i="5"/>
  <c r="E19" i="5"/>
  <c r="G18" i="5"/>
  <c r="F18" i="5"/>
  <c r="E18" i="5"/>
  <c r="G17" i="5"/>
  <c r="F17" i="5"/>
  <c r="E17" i="5"/>
  <c r="G16" i="5"/>
  <c r="F16" i="5"/>
  <c r="E16" i="5"/>
  <c r="G15" i="5"/>
  <c r="F15" i="5"/>
  <c r="E15" i="5"/>
  <c r="G14" i="5"/>
  <c r="F14" i="5"/>
  <c r="E14" i="5"/>
  <c r="G13" i="5"/>
  <c r="F13" i="5"/>
  <c r="E13" i="5"/>
  <c r="G12" i="5"/>
  <c r="F12" i="5"/>
  <c r="E12" i="5"/>
  <c r="G11" i="5"/>
  <c r="F11" i="5"/>
  <c r="E11" i="5"/>
  <c r="G10" i="5"/>
  <c r="F10" i="5"/>
  <c r="E10" i="5"/>
  <c r="G9" i="5"/>
  <c r="F9" i="5"/>
  <c r="E9" i="5"/>
  <c r="G8" i="5"/>
  <c r="F8" i="5"/>
  <c r="E8" i="5"/>
  <c r="G7" i="5"/>
  <c r="F7" i="5"/>
  <c r="E7" i="5"/>
  <c r="G6" i="5"/>
  <c r="F6" i="5"/>
  <c r="E6" i="5"/>
  <c r="G5" i="5"/>
  <c r="F5" i="5"/>
  <c r="E5" i="5"/>
  <c r="G4" i="5"/>
  <c r="F4" i="5"/>
  <c r="E4" i="5"/>
  <c r="G24" i="5"/>
  <c r="F24" i="5"/>
  <c r="E24" i="5"/>
  <c r="ET24" i="5"/>
  <c r="ET23" i="5"/>
  <c r="ET22" i="5"/>
  <c r="ET21" i="5"/>
  <c r="ET20" i="5"/>
  <c r="ET19" i="5"/>
  <c r="ET18" i="5"/>
  <c r="ET17" i="5"/>
  <c r="ET16" i="5"/>
  <c r="ET15" i="5"/>
  <c r="ET14" i="5"/>
  <c r="ET13" i="5"/>
  <c r="ET12" i="5"/>
  <c r="ET11" i="5"/>
  <c r="ET10" i="5"/>
  <c r="ET9" i="5"/>
  <c r="ET8" i="5"/>
  <c r="ET7" i="5"/>
  <c r="ET6" i="5"/>
  <c r="ET5" i="5"/>
  <c r="ET4" i="5"/>
  <c r="ES24" i="5"/>
  <c r="ES23" i="5"/>
  <c r="ES22" i="5"/>
  <c r="ES21" i="5"/>
  <c r="ES20" i="5"/>
  <c r="ES19" i="5"/>
  <c r="ES18" i="5"/>
  <c r="ES17" i="5"/>
  <c r="ES16" i="5"/>
  <c r="ES15" i="5"/>
  <c r="ES14" i="5"/>
  <c r="ES13" i="5"/>
  <c r="ES12" i="5"/>
  <c r="ES11" i="5"/>
  <c r="ES10" i="5"/>
  <c r="ES9" i="5"/>
  <c r="ES8" i="5"/>
  <c r="ES7" i="5"/>
  <c r="ES6" i="5"/>
  <c r="ES5" i="5"/>
  <c r="ES4" i="5"/>
</calcChain>
</file>

<file path=xl/sharedStrings.xml><?xml version="1.0" encoding="utf-8"?>
<sst xmlns="http://schemas.openxmlformats.org/spreadsheetml/2006/main" count="3508" uniqueCount="285">
  <si>
    <t>proxy</t>
  </si>
  <si>
    <t>first_author_last_name</t>
  </si>
  <si>
    <t>publication_year</t>
  </si>
  <si>
    <t>doi</t>
  </si>
  <si>
    <t>lithology</t>
  </si>
  <si>
    <t>alkenone_concentration</t>
  </si>
  <si>
    <t>bfac</t>
  </si>
  <si>
    <t>extra_data</t>
  </si>
  <si>
    <t>age_uncertainty_pos_ka</t>
  </si>
  <si>
    <t>age_uncertainty_neg_ka</t>
  </si>
  <si>
    <t>pCO2_uatm</t>
  </si>
  <si>
    <t>pCO2_uncertainty_pos_uatm</t>
  </si>
  <si>
    <t>pCO2_uncertainty_neg_uatm</t>
  </si>
  <si>
    <t>name_of_individual_entering_data</t>
  </si>
  <si>
    <t>contact_email_of_individual_entering_data</t>
  </si>
  <si>
    <t>site</t>
  </si>
  <si>
    <t>hole</t>
  </si>
  <si>
    <t>core</t>
  </si>
  <si>
    <t>tool</t>
  </si>
  <si>
    <t>half</t>
  </si>
  <si>
    <t>section</t>
  </si>
  <si>
    <t>full_sample_name_in_source</t>
  </si>
  <si>
    <t>depth_top_m</t>
  </si>
  <si>
    <t>depth_bottom_m</t>
  </si>
  <si>
    <t>depth_mid_m</t>
  </si>
  <si>
    <t>depth_scale</t>
  </si>
  <si>
    <t>age_ka_bp</t>
  </si>
  <si>
    <t>age_uncertainty_distribution</t>
  </si>
  <si>
    <t>age_model_reference</t>
  </si>
  <si>
    <t>age_model_notes</t>
  </si>
  <si>
    <t>site_depth</t>
  </si>
  <si>
    <t>site_paleodepth</t>
  </si>
  <si>
    <t>site_paleolocation_reference</t>
  </si>
  <si>
    <t>site_flags_explanation</t>
  </si>
  <si>
    <t>sediment_CaCO3_percent</t>
  </si>
  <si>
    <t>sediment_opal_percent</t>
  </si>
  <si>
    <t>sediment_organic_carbon_percent</t>
  </si>
  <si>
    <t>sediment_composition_methods</t>
  </si>
  <si>
    <t>sediment_composition_notes</t>
  </si>
  <si>
    <t>sediment_composition_references</t>
  </si>
  <si>
    <t>sediment_composition_flags_explanation</t>
  </si>
  <si>
    <t>CaCO3_d13C_permil</t>
  </si>
  <si>
    <t>CaCO3_d13C_uncertainty_permil</t>
  </si>
  <si>
    <t>CaCO3_d13C_uncertainty_type</t>
  </si>
  <si>
    <t>CaCO3_d13C_uncertainty_n</t>
  </si>
  <si>
    <t>CaCO3_d18O_permil</t>
  </si>
  <si>
    <t>CaCO3_d18O_uncertainty_permil</t>
  </si>
  <si>
    <t>CaCO3_d18O_uncertainty_type</t>
  </si>
  <si>
    <t>CaCO3_d18O_uncertainty_n</t>
  </si>
  <si>
    <t>CaCO3_taxon_name</t>
  </si>
  <si>
    <t>CaCO3_size_fraction_range_um</t>
  </si>
  <si>
    <t>CaCO3_vital_effect_permil</t>
  </si>
  <si>
    <t>DIC_d13C_permil</t>
  </si>
  <si>
    <t>DIC_d13C_uncertainty_permil</t>
  </si>
  <si>
    <t>DIC_d13C_uncertainty_type</t>
  </si>
  <si>
    <t>CO2g_d13C_permil</t>
  </si>
  <si>
    <t>CO2g_d13C_uncertainty_permil</t>
  </si>
  <si>
    <t>CO2g_d13C_uncertainty_type</t>
  </si>
  <si>
    <t>CO2aq_d13C_permil</t>
  </si>
  <si>
    <t>CO2aq_d13C_equation_method</t>
  </si>
  <si>
    <t>CO2aq_d13C_flags_explanation</t>
  </si>
  <si>
    <t>organic_d13C_measured_permil</t>
  </si>
  <si>
    <t>organic_d13C_material_name</t>
  </si>
  <si>
    <t>organic_d13C_measured_uncertainty_permil</t>
  </si>
  <si>
    <t>organic_d13C_measured_uncertainty_type</t>
  </si>
  <si>
    <t>organic_d13C_biomass_offset_epsilon_permil</t>
  </si>
  <si>
    <t>organic_d13C_biomass_offset_uncertainty_permil</t>
  </si>
  <si>
    <t>organic_d13C_biomass_offset_uncertainty_type</t>
  </si>
  <si>
    <t>organic_d13C_biomass_permil</t>
  </si>
  <si>
    <t>organic_d13C_biomass_uncertainty_permil</t>
  </si>
  <si>
    <t>organic_d13C_biomass_uncertainty_type</t>
  </si>
  <si>
    <t>organic_d13C_organic_method</t>
  </si>
  <si>
    <t>organic_d13C_organic_flags_explanation</t>
  </si>
  <si>
    <t>salinity_psu</t>
  </si>
  <si>
    <t>salinity_psu_uncertainty_permil</t>
  </si>
  <si>
    <t>salinity_psu_uncertainty_type</t>
  </si>
  <si>
    <t>salinity_method</t>
  </si>
  <si>
    <t>phosphate_umol_kg</t>
  </si>
  <si>
    <t>phosphate_unertainty_type</t>
  </si>
  <si>
    <t>phosphate_reference</t>
  </si>
  <si>
    <t>nitrate_umol_kg</t>
  </si>
  <si>
    <t>nitrate_reference</t>
  </si>
  <si>
    <t>SST_degC</t>
  </si>
  <si>
    <t>SST_degC_uncertainty_pos</t>
  </si>
  <si>
    <t>SST_degC_uncertainty_neg</t>
  </si>
  <si>
    <t>SST_degC_uncertainty_type</t>
  </si>
  <si>
    <t>SST_degC_source</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</si>
  <si>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</si>
  <si>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</si>
  <si>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</si>
  <si>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</si>
  <si>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</si>
  <si>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</si>
  <si>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</si>
  <si>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</si>
  <si>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</si>
  <si>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</si>
  <si>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</si>
  <si>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</si>
  <si>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</si>
  <si>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</si>
  <si>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</si>
  <si>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</si>
  <si>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</si>
  <si>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alkenone_concentration_MK374_conc</t>
  </si>
  <si>
    <t>alkenone_concentration_MK373_conc</t>
  </si>
  <si>
    <t>alkenone_concentration_MK372_conc</t>
  </si>
  <si>
    <t>alkenone_concentration_flags_explanation</t>
  </si>
  <si>
    <t>VSA_volume_surface_area_ratio</t>
  </si>
  <si>
    <t>VSA_volume_surface_area_ratio_uncertainty_pos</t>
  </si>
  <si>
    <t>VSA_volume_surface_area_ratio_uncertainty_neg</t>
  </si>
  <si>
    <t>VSA_volume_surface_area_ratio_uncertainty_type</t>
  </si>
  <si>
    <t>VSA_method</t>
  </si>
  <si>
    <t>VSA_lith_size_um</t>
  </si>
  <si>
    <t>VSA_lith_size_uncertainty_pos_um</t>
  </si>
  <si>
    <t>VSA_lith_size_uncertainty_neg_um</t>
  </si>
  <si>
    <t>VSA_lith_size_uncertainty_type</t>
  </si>
  <si>
    <t>VSA_cell_radius_um</t>
  </si>
  <si>
    <t>VSA_cell_radius_method</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</si>
  <si>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</si>
  <si>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</si>
  <si>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</si>
  <si>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</si>
  <si>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</si>
  <si>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</si>
  <si>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</si>
  <si>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</si>
  <si>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growth_rate_mu</t>
  </si>
  <si>
    <t>growth_rate_mu_uncertainty_pos</t>
  </si>
  <si>
    <t>growth_rate_mu_uncertainty_neg</t>
  </si>
  <si>
    <t>growth_rate_mu_uncertainty_type</t>
  </si>
  <si>
    <t>growth_rate_method</t>
  </si>
  <si>
    <t>growth_rate_flags_explanation</t>
  </si>
  <si>
    <t>bfac_uncertainty_pos</t>
  </si>
  <si>
    <t>bfac_uncertainty_neg</t>
  </si>
  <si>
    <t>bfac_uncertainty_type</t>
  </si>
  <si>
    <t>bfac_equation_method</t>
  </si>
  <si>
    <t>epsilon_f_permil</t>
  </si>
  <si>
    <t>epsilon_p_flags_explanation</t>
  </si>
  <si>
    <t>CO2aq_umol_liter</t>
  </si>
  <si>
    <t>CO2aq_uncertainty_pos_umol_liter</t>
  </si>
  <si>
    <t>CO2aq_uncertainty_neg_umol_liter</t>
  </si>
  <si>
    <t>CO2aq_uncertainty_type</t>
  </si>
  <si>
    <t>CO2aq_equation_method</t>
  </si>
  <si>
    <t>pCO2_uncertainty_type</t>
  </si>
  <si>
    <t>pCO2_equation_method</t>
  </si>
  <si>
    <t>pCO2_flags_explanation</t>
  </si>
  <si>
    <t>mixed_layer_depth</t>
  </si>
  <si>
    <t>photoperiod_hours</t>
  </si>
  <si>
    <t>TCO2_umol_kg</t>
  </si>
  <si>
    <t>alkalinity_ueq_kg</t>
  </si>
  <si>
    <t>silicate_ion</t>
  </si>
  <si>
    <t>Mk37_2</t>
  </si>
  <si>
    <t>assumed</t>
  </si>
  <si>
    <t>organic_d13C_measured_uncertainty_n</t>
  </si>
  <si>
    <t>include_TF</t>
  </si>
  <si>
    <t>include_explanation</t>
  </si>
  <si>
    <t>Badger</t>
  </si>
  <si>
    <t>phosphate_umol_kg_uncertainty_pos</t>
  </si>
  <si>
    <t>phosphate_umol_kg_uncertainty_neg</t>
  </si>
  <si>
    <t>include_parent_unique_id</t>
  </si>
  <si>
    <t>include_child_unique_id</t>
  </si>
  <si>
    <t>T</t>
  </si>
  <si>
    <t>NA</t>
  </si>
  <si>
    <t>Samuel Phelps</t>
  </si>
  <si>
    <t>sphelps@ldeo.columbia.edu</t>
  </si>
  <si>
    <t>Badger, M. P. S., C. H. Lear, R. D. Pancost, G. L. Foster, T. R. Bailey, M. J. Leng, and H. A. Abels (2013), CO2 drawdown following the middle Miocene expansion of the Antarctic Ice Sheet, Paleoceanography, 28, 42–53, doi:10.1002/palo.20015</t>
  </si>
  <si>
    <t>10.1002/palo.20015</t>
  </si>
  <si>
    <t>Ras_il-Pellegrin</t>
  </si>
  <si>
    <t>section_m</t>
  </si>
  <si>
    <t>Mourik et al., 2011</t>
  </si>
  <si>
    <t>Isotope stratigraphy matched to Abels et al., 2005. "The astronomical recalibration of the lower part of the Blue Clay Formation according to Mourik et al., 2011 was used for the age model." The authors report depth and age in supplemental table "Ras_il-Pellegrin_SST," but not all alkenone samples are included in this table. I linearly interpolate between samples in the SST table to get depths for all alkenone samples; only 5 are missing depths.</t>
  </si>
  <si>
    <t>estimated paleo water depth is 500-600m. C.f. refs Bellanca et al., 2002; Bonaduce and Barra, 2002.</t>
  </si>
  <si>
    <t>pelagic clays and marls</t>
  </si>
  <si>
    <t>1std</t>
  </si>
  <si>
    <t>&lt;63</t>
  </si>
  <si>
    <t>fine_fraction</t>
  </si>
  <si>
    <t>2std</t>
  </si>
  <si>
    <t>Romanek et al (1992) E_calcite--&gt;CO2g; Mook et al. (1974) E_CO2g-CO2aq</t>
  </si>
  <si>
    <t>Measured bulk, fine-fraction, and foraminifera stable isotopes, but they use the &lt;63µm fraction (+2‰) for calculations.</t>
  </si>
  <si>
    <t>uniform</t>
  </si>
  <si>
    <t>MgCa_G_trilobus</t>
  </si>
  <si>
    <t>interpolated between samples</t>
  </si>
  <si>
    <t>b = 116.96 *[PO4] + 81.41; from Pagani et al., 2010 supplement. They cite this in the text.</t>
  </si>
  <si>
    <t>description</t>
  </si>
  <si>
    <t>summary</t>
  </si>
  <si>
    <t>copy from data table</t>
  </si>
  <si>
    <t>info</t>
  </si>
  <si>
    <t>doi as e.g. "10.1002/palo.20015"</t>
  </si>
  <si>
    <t>sample</t>
  </si>
  <si>
    <t>ODP-type information.  For other sediment cores, try to fit into these categories and put sample name into full_sample_name_in_source</t>
  </si>
  <si>
    <t>W or A for work or archive</t>
  </si>
  <si>
    <t>for ODP, mbsf, mcd, etc.</t>
  </si>
  <si>
    <t>age</t>
  </si>
  <si>
    <t>1sem, 2sem, 1std, 2std, uniform, etc.  sem and std are gaussian</t>
  </si>
  <si>
    <t>location</t>
  </si>
  <si>
    <t>water depth in meters</t>
  </si>
  <si>
    <t>isotopes_DIC</t>
  </si>
  <si>
    <t>number of measurements going into uncertainty</t>
  </si>
  <si>
    <t>taxon name or "bulk"</t>
  </si>
  <si>
    <t>e.g. 350-400, &lt;63 etc.</t>
  </si>
  <si>
    <t>isotopes_biomass</t>
  </si>
  <si>
    <t>seawater_chemistry</t>
  </si>
  <si>
    <t>temperature</t>
  </si>
  <si>
    <t>cell_size</t>
  </si>
  <si>
    <t>growth_rate</t>
  </si>
  <si>
    <t>epsilon_p</t>
  </si>
  <si>
    <t>pCO2</t>
  </si>
  <si>
    <t>Not stated, but does not seem to be just by addition. Likely epsilon calculation</t>
  </si>
  <si>
    <t>compilation_notes</t>
  </si>
  <si>
    <t>Ep = Ef - b/CO2</t>
  </si>
  <si>
    <t>pCO2 = CO2 / K0</t>
  </si>
  <si>
    <t>Error estimate based on 25,000 Monte Carlo simulations of uncertainties.</t>
  </si>
  <si>
    <t>order</t>
  </si>
  <si>
    <t>variable_name</t>
  </si>
  <si>
    <t>notes</t>
  </si>
  <si>
    <t>Müller et al., 1998; based on comment in Pangaea dataset.</t>
  </si>
  <si>
    <t>interval_depth_top_cm</t>
  </si>
  <si>
    <t>No phosphate reported, but they do state a b-value. Depths were estimated from linear interpolation of age and depth. Epsilon_p uncertainty in the PANGAEA spreadsheet is assumed to be 2std, because the paper typically states uncertainties are 2std, and they are quite large to be 1std.</t>
  </si>
  <si>
    <t>preferably MLA</t>
  </si>
  <si>
    <t>describe timescale used, what the age model is based on.</t>
  </si>
  <si>
    <t>if site is an upwelling location, note here</t>
  </si>
  <si>
    <t>e.g. Mk37_2</t>
  </si>
  <si>
    <t>copy the temperature data used for the calculation here</t>
  </si>
  <si>
    <t>e.g. TEX86, MgCa</t>
  </si>
  <si>
    <t>put units here; e.g. "ng/g dry wt"</t>
  </si>
  <si>
    <t>epsilon_f value used to calculate CO2aq from epsilon_p and b</t>
  </si>
  <si>
    <t>typically Ep = Ef - b/CO2 for conventional alkenone method</t>
  </si>
  <si>
    <t>typically pCO2 = CO2 / K0</t>
  </si>
  <si>
    <t>T or F for whether to include this sample</t>
  </si>
  <si>
    <t>explanation for exclusion</t>
  </si>
  <si>
    <t>unique sample ID for the "parent" of this sample, in the event this study includes recalculated or republished data</t>
  </si>
  <si>
    <t>unique sample ID for the "child" of this sample, in the event subsequent studies recalculate or republish data</t>
  </si>
  <si>
    <t>age_ka</t>
  </si>
  <si>
    <t>Age_uncertainty_pos_ka</t>
  </si>
  <si>
    <t>Age_uncertainty_neg_ka</t>
  </si>
  <si>
    <t>CO2_ppm</t>
  </si>
  <si>
    <t>CO2_uncertainty_pos_ppm</t>
  </si>
  <si>
    <t>Basic Info</t>
  </si>
  <si>
    <t>REFERENCE AND CONTACT INFORMATION</t>
  </si>
  <si>
    <t>CO2aq_d13C_uncertainty_permil</t>
  </si>
  <si>
    <t>CO2aq_d13C_uncertainty_type</t>
  </si>
  <si>
    <t>interval_depth_bot_cm</t>
  </si>
  <si>
    <t>epsilon_p_permil</t>
  </si>
  <si>
    <t>epsilon_p_uncertainty_pos_permil</t>
  </si>
  <si>
    <t>epsilon_p_uncertainty_neg_permil</t>
  </si>
  <si>
    <t>epsilon_p_uncertainty_type</t>
  </si>
  <si>
    <t>phytoplankton</t>
  </si>
  <si>
    <t>CO2_uncertainty_neg_ppm</t>
  </si>
  <si>
    <t>Reference of the data product</t>
  </si>
  <si>
    <t>Modern Latitude (decimal degree, south negative)</t>
  </si>
  <si>
    <t>Modern Longitude (decimal degree, west negative)</t>
  </si>
  <si>
    <t>Paleo Latitude (decimal degree, south negative)</t>
  </si>
  <si>
    <t>Paleo Longitude (decimal degree, west negative)</t>
  </si>
  <si>
    <t>reference of the data product</t>
  </si>
  <si>
    <t>doi link to reference</t>
  </si>
  <si>
    <t>site_latitude</t>
  </si>
  <si>
    <t>decimal degrees (south negative)</t>
  </si>
  <si>
    <t>site_longitude</t>
  </si>
  <si>
    <t>decimal degrees (west negative)</t>
  </si>
  <si>
    <t>site_paleolatitude</t>
  </si>
  <si>
    <t>site_paleolongitude</t>
  </si>
  <si>
    <t>unique_id</t>
  </si>
  <si>
    <t>phytoplankton_Badger_2013b_1</t>
  </si>
  <si>
    <t>phytoplankton_Badger_2013b_2</t>
  </si>
  <si>
    <t>phytoplankton_Badger_2013b_3</t>
  </si>
  <si>
    <t>phytoplankton_Badger_2013b_4</t>
  </si>
  <si>
    <t>phytoplankton_Badger_2013b_5</t>
  </si>
  <si>
    <t>phytoplankton_Badger_2013b_6</t>
  </si>
  <si>
    <t>phytoplankton_Badger_2013b_7</t>
  </si>
  <si>
    <t>phytoplankton_Badger_2013b_8</t>
  </si>
  <si>
    <t>phytoplankton_Badger_2013b_9</t>
  </si>
  <si>
    <t>phytoplankton_Badger_2013b_10</t>
  </si>
  <si>
    <t>phytoplankton_Badger_2013b_11</t>
  </si>
  <si>
    <t>phytoplankton_Badger_2013b_12</t>
  </si>
  <si>
    <t>phytoplankton_Badger_2013b_13</t>
  </si>
  <si>
    <t>phytoplankton_Badger_2013b_14</t>
  </si>
  <si>
    <t>phytoplankton_Badger_2013b_15</t>
  </si>
  <si>
    <t>phytoplankton_Badger_2013b_16</t>
  </si>
  <si>
    <t>phytoplankton_Badger_2013b_17</t>
  </si>
  <si>
    <t>phytoplankton_Badger_2013b_18</t>
  </si>
  <si>
    <t>phytoplankton_Badger_2013b_19</t>
  </si>
  <si>
    <t>phytoplankton_Badger_2013b_20</t>
  </si>
  <si>
    <t>phytoplankton_Badger_2013b_21</t>
  </si>
  <si>
    <t>&lt;proxy&gt;_&lt;first_author_last_name&gt;_&lt;publication_year&gt;_&lt;row&gt;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</si>
</sst>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b/>
      <sz val="10"/>
      <name val="Arial"/>
      <family val="2"/>
    </font>
    <font>
      <b/>
      <sz val="12"/>
      <name val="Calibri"/>
      <family val="2"/>
      <scheme val="minor"/>
    </font>
    <font>
      <sz val="10"/>
      <color theme="1"/>
      <name val="Arial"/>
      <family val="2"/>
    </font>
    <font>
      <sz val="1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hair">
        <color auto="1"/>
      </left>
      <right style="hair">
        <color auto="1"/>
      </right>
      <top/>
      <bottom style="thin">
        <color auto="1"/>
      </bottom>
      <diagonal/>
    </border>
    <border>
      <left/>
      <right/>
      <top/>
      <bottom style="thin">
        <color auto="1"/>
      </bottom>
      <diagonal/>
    </border>
  </borders>
  <cellStyleXfs count="2">
    <xf numFmtId="0" fontId="0" fillId="0" borderId="0"/>
    <xf numFmtId="0" fontId="1" fillId="0" borderId="0"/>
  </cellStyleXfs>
  <cellXfs count="25">
    <xf numFmtId="0" fontId="0" fillId="0" borderId="0" xfId="0"/>
    <xf numFmtId="49" fontId="0" fillId="0" borderId="0" xfId="0" applyNumberFormat="1" applyFont="1" applyFill="1" applyBorder="1" applyAlignment="1" applyProtection="1"/>
    <xf numFmtId="49" fontId="1" fillId="0" borderId="0" xfId="0" applyNumberFormat="1" applyFont="1" applyFill="1" applyBorder="1" applyAlignment="1" applyProtection="1"/>
    <xf numFmtId="0" fontId="1" fillId="0" borderId="0" xfId="0" applyFont="1"/>
    <xf numFmtId="49" fontId="0" fillId="0" borderId="0" xfId="0" applyNumberFormat="1"/>
    <xf numFmtId="49" fontId="1" fillId="0" borderId="0" xfId="0" applyNumberFormat="1" applyFont="1"/>
    <xf numFmtId="49" fontId="1" fillId="0" borderId="0" xfId="0" applyNumberFormat="1" applyFont="1" applyAlignment="1">
      <alignment wrapText="1"/>
    </xf>
    <xf numFmtId="0" fontId="1" fillId="0" borderId="0" xfId="0" applyFont="1" applyAlignment="1">
      <alignment wrapText="1"/>
    </xf>
    <xf numFmtId="0" fontId="1" fillId="0" borderId="0" xfId="1"/>
    <xf numFmtId="0" fontId="0" fillId="0" borderId="1" xfId="0" applyBorder="1"/>
    <xf numFmtId="0" fontId="0" fillId="0" borderId="2" xfId="0" applyBorder="1" applyAlignment="1">
      <alignment wrapText="1"/>
    </xf>
    <xf numFmtId="0" fontId="0" fillId="0" borderId="2" xfId="0" applyBorder="1"/>
    <xf numFmtId="0" fontId="0" fillId="0" borderId="2" xfId="0" quotePrefix="1" applyBorder="1" applyAlignment="1">
      <alignment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xf numFmtId="0" fontId="2" fillId="0" borderId="4" xfId="0" applyFont="1" applyBorder="1"/>
    <xf numFmtId="0" fontId="3" fillId="0" borderId="0" xfId="0" applyFont="1" applyBorder="1"/>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horizontal="left" vertical="center" wrapText="1"/>
    </xf>
    <xf numFmtId="0" fontId="4" fillId="2" borderId="5" xfId="0" applyFont="1" applyFill="1" applyBorder="1" applyAlignment="1">
      <alignment horizontal="center" wrapText="1"/>
    </xf>
    <xf numFmtId="0" fontId="5" fillId="0" borderId="6" xfId="0" applyFont="1" applyFill="1" applyBorder="1" applyAlignment="1">
      <alignment horizontal="center" vertical="center" wrapText="1"/>
    </xf>
    <xf numFmtId="49" fontId="5" fillId="0" borderId="0" xfId="0" applyNumberFormat="1" applyFont="1" applyAlignment="1">
      <alignment wrapText="1"/>
    </xf>
    <xf numFmtId="0" fontId="0" fillId="0" borderId="0" xfId="0" applyAlignment="1">
      <alignment horizontal="left"/>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24"/>
  <sheetViews>
    <sheetView topLeftCell="FM1" workbookViewId="0">
      <selection activeCell="FU24" sqref="FU24"/>
    </sheetView>
  </sheetViews>
  <sheetFormatPr baseColWidth="10" defaultColWidth="8.83203125" defaultRowHeight="13" x14ac:dyDescent="0.15"/>
  <cols>
    <col min="1" max="1" width="13.6640625" customWidth="1"/>
    <col min="2" max="2" width="30.6640625" customWidth="1"/>
    <col min="3" max="3" width="24.6640625" customWidth="1"/>
    <col min="4" max="4" width="35.6640625" customWidth="1"/>
    <col min="5" max="5" width="14.6640625" customWidth="1"/>
    <col min="6" max="7" width="30.6640625" customWidth="1"/>
    <col min="8" max="8" width="17.6640625" customWidth="1"/>
    <col min="9" max="10" width="33.6640625" customWidth="1"/>
    <col min="11" max="11" width="32.6640625" customWidth="1"/>
    <col min="12" max="12" width="36.6640625" customWidth="1"/>
    <col min="13" max="13" width="62.6640625" customWidth="1"/>
    <col min="14" max="14" width="35.6640625" customWidth="1"/>
    <col min="15" max="19" width="4.6640625" customWidth="1"/>
    <col min="20" max="20" width="7.6640625" customWidth="1"/>
    <col min="21" max="21" width="20.6640625" customWidth="1"/>
    <col min="22" max="22" width="23.6640625" customWidth="1"/>
    <col min="23" max="23" width="26.6640625" customWidth="1"/>
    <col min="24" max="24" width="11.6640625" customWidth="1"/>
    <col min="25" max="25" width="14.6640625" customWidth="1"/>
    <col min="26" max="28" width="11.6640625" customWidth="1"/>
    <col min="29" max="30" width="22.6640625" customWidth="1"/>
    <col min="31" max="31" width="28.6640625" customWidth="1"/>
    <col min="32" max="32" width="19.6640625" customWidth="1"/>
    <col min="33" max="33" width="15.6640625" customWidth="1"/>
    <col min="34" max="34" width="13.6640625" customWidth="1"/>
    <col min="35" max="35" width="14.6640625" customWidth="1"/>
    <col min="36" max="36" width="10.6640625" customWidth="1"/>
    <col min="37" max="37" width="18.6640625" customWidth="1"/>
    <col min="38" max="38" width="19.6640625" customWidth="1"/>
    <col min="39" max="39" width="15.6640625" customWidth="1"/>
    <col min="40" max="40" width="28.6640625" customWidth="1"/>
    <col min="41" max="41" width="22.6640625" customWidth="1"/>
    <col min="42" max="42" width="9.6640625" customWidth="1"/>
    <col min="43" max="43" width="22.6640625" customWidth="1"/>
    <col min="44" max="44" width="21.6640625" customWidth="1"/>
    <col min="45" max="45" width="31.6640625" customWidth="1"/>
    <col min="46" max="46" width="28.6640625" customWidth="1"/>
    <col min="47" max="47" width="26.6640625" customWidth="1"/>
    <col min="48" max="48" width="31.6640625" customWidth="1"/>
    <col min="49" max="49" width="38.6640625" customWidth="1"/>
    <col min="50" max="50" width="17.6640625" customWidth="1"/>
    <col min="51" max="51" width="29.6640625" customWidth="1"/>
    <col min="52" max="52" width="27.6640625" customWidth="1"/>
    <col min="53" max="53" width="24.6640625" customWidth="1"/>
    <col min="54" max="54" width="17.6640625" customWidth="1"/>
    <col min="55" max="55" width="29.6640625" customWidth="1"/>
    <col min="56" max="56" width="27.6640625" customWidth="1"/>
    <col min="57" max="57" width="24.6640625" customWidth="1"/>
    <col min="58" max="58" width="16.6640625" customWidth="1"/>
    <col min="59" max="59" width="28.6640625" customWidth="1"/>
    <col min="60" max="60" width="25.6640625" customWidth="1"/>
    <col min="61" max="61" width="15.6640625" customWidth="1"/>
    <col min="62" max="62" width="27.6640625" customWidth="1"/>
    <col min="63" max="63" width="25.6640625" customWidth="1"/>
    <col min="64" max="64" width="16.6640625" customWidth="1"/>
    <col min="65" max="65" width="28.6640625" customWidth="1"/>
    <col min="66" max="66" width="26.6640625" customWidth="1"/>
    <col min="67" max="67" width="17.6640625" customWidth="1"/>
    <col min="68" max="68" width="28.6640625" customWidth="1"/>
    <col min="69" max="70" width="26.6640625" customWidth="1"/>
    <col min="71" max="72" width="28.6640625" customWidth="1"/>
    <col min="73" max="73" width="26.6640625" customWidth="1"/>
    <col min="74" max="74" width="40.6640625" customWidth="1"/>
    <col min="75" max="75" width="35.6640625" customWidth="1"/>
    <col min="76" max="76" width="38.6640625" customWidth="1"/>
    <col min="77" max="77" width="42.6640625" customWidth="1"/>
    <col min="78" max="78" width="46.6640625" customWidth="1"/>
    <col min="79" max="79" width="44.6640625" customWidth="1"/>
    <col min="80" max="80" width="27.6640625" customWidth="1"/>
    <col min="81" max="81" width="39.6640625" customWidth="1"/>
    <col min="82" max="82" width="37.6640625" customWidth="1"/>
    <col min="83" max="83" width="27.6640625" customWidth="1"/>
    <col min="84" max="84" width="38.6640625" customWidth="1"/>
    <col min="85" max="85" width="12.6640625" customWidth="1"/>
    <col min="86" max="86" width="31.6640625" customWidth="1"/>
    <col min="87" max="87" width="29.6640625" customWidth="1"/>
    <col min="88" max="88" width="15.6640625" customWidth="1"/>
    <col min="89" max="90" width="17.6640625" customWidth="1"/>
    <col min="91" max="91" width="29.6640625" customWidth="1"/>
    <col min="92" max="92" width="25.6640625" customWidth="1"/>
    <col min="93" max="93" width="19.6640625" customWidth="1"/>
    <col min="94" max="94" width="15.6640625" customWidth="1"/>
    <col min="95" max="95" width="17.6640625" customWidth="1"/>
    <col min="96" max="96" width="8.6640625" customWidth="1"/>
    <col min="97" max="98" width="24.6640625" customWidth="1"/>
    <col min="99" max="99" width="25.6640625" customWidth="1"/>
    <col min="100" max="100" width="15.6640625" customWidth="1"/>
    <col min="101" max="101" width="14.6640625" customWidth="1"/>
    <col min="102" max="102" width="26.6640625" customWidth="1"/>
    <col min="103" max="103" width="13.6640625" customWidth="1"/>
    <col min="104" max="105" width="29.6640625" customWidth="1"/>
    <col min="106" max="106" width="30.6640625" customWidth="1"/>
    <col min="107" max="107" width="84.6640625" customWidth="1"/>
    <col min="108" max="108" width="14.6640625" customWidth="1"/>
    <col min="109" max="109" width="24.6640625" customWidth="1"/>
    <col min="110" max="111" width="40.6640625" customWidth="1"/>
    <col min="112" max="112" width="41.6640625" customWidth="1"/>
    <col min="113" max="113" width="14.6640625" customWidth="1"/>
    <col min="114" max="115" width="30.6640625" customWidth="1"/>
    <col min="116" max="116" width="31.6640625" customWidth="1"/>
    <col min="117" max="117" width="33.6640625" customWidth="1"/>
    <col min="118" max="118" width="22.6640625" customWidth="1"/>
    <col min="119" max="121" width="33.6640625" customWidth="1"/>
    <col min="122" max="122" width="40.6640625" customWidth="1"/>
    <col min="123" max="123" width="29.6640625" customWidth="1"/>
    <col min="124" max="125" width="45.6640625" customWidth="1"/>
    <col min="126" max="126" width="46.6640625" customWidth="1"/>
    <col min="127" max="127" width="10.6640625" customWidth="1"/>
    <col min="128" max="128" width="16.6640625" customWidth="1"/>
    <col min="129" max="130" width="32.6640625" customWidth="1"/>
    <col min="131" max="131" width="30.6640625" customWidth="1"/>
    <col min="132" max="132" width="18.6640625" customWidth="1"/>
    <col min="133" max="133" width="22.6640625" customWidth="1"/>
    <col min="134" max="134" width="13.6640625" customWidth="1"/>
    <col min="135" max="136" width="29.6640625" customWidth="1"/>
    <col min="137" max="137" width="30.6640625" customWidth="1"/>
    <col min="138" max="138" width="13.6640625" customWidth="1"/>
    <col min="139" max="140" width="29.6640625" customWidth="1"/>
    <col min="141" max="141" width="30.6640625" customWidth="1"/>
    <col min="142" max="142" width="14.6640625" customWidth="1"/>
    <col min="143" max="144" width="30.6640625" customWidth="1"/>
    <col min="145" max="145" width="31.6640625" customWidth="1"/>
    <col min="146" max="146" width="18.6640625" customWidth="1"/>
    <col min="147" max="147" width="29.6640625" customWidth="1"/>
    <col min="148" max="148" width="7.6640625" customWidth="1"/>
    <col min="149" max="150" width="20.6640625" customWidth="1"/>
    <col min="151" max="151" width="21.6640625" customWidth="1"/>
    <col min="152" max="152" width="25.6640625" customWidth="1"/>
    <col min="153" max="153" width="16.6640625" customWidth="1"/>
    <col min="154" max="157" width="25.6640625" customWidth="1"/>
    <col min="158" max="158" width="27.6640625" customWidth="1"/>
    <col min="159" max="159" width="16.6640625" customWidth="1"/>
    <col min="160" max="161" width="32.6640625" customWidth="1"/>
    <col min="162" max="162" width="22.6640625" customWidth="1"/>
    <col min="163" max="163" width="21.6640625" customWidth="1"/>
    <col min="164" max="164" width="11.6640625" customWidth="1"/>
    <col min="165" max="166" width="25.6640625" customWidth="1"/>
    <col min="167" max="167" width="21.6640625" customWidth="1"/>
    <col min="168" max="168" width="20.6640625" customWidth="1"/>
    <col min="169" max="169" width="22.6640625" customWidth="1"/>
    <col min="170" max="170" width="10.6640625" customWidth="1"/>
    <col min="171" max="172" width="17.6640625" customWidth="1"/>
    <col min="173" max="173" width="12.6640625" customWidth="1"/>
    <col min="174" max="174" width="17.6640625" customWidth="1"/>
    <col min="175" max="175" width="12.6640625" customWidth="1"/>
    <col min="176" max="181" width="10.83203125" customWidth="1"/>
  </cols>
  <sheetData>
    <row r="1" spans="1:181" ht="16" x14ac:dyDescent="0.2">
      <c r="C1" s="16" t="s">
        <v>238</v>
      </c>
      <c r="K1" s="17" t="s">
        <v>239</v>
      </c>
    </row>
    <row r="3" spans="1:181" ht="75" x14ac:dyDescent="0.15">
      <c r="A3" s="9" t="s">
        <v>0</v>
      </c>
      <c r="B3" s="10" t="s">
        <v>1</v>
      </c>
      <c r="C3" s="10" t="s">
        <v>2</v>
      </c>
      <c r="D3" s="11" t="s">
        <v>3</v>
      </c>
      <c r="E3" s="11" t="s">
        <v>233</v>
      </c>
      <c r="F3" s="12" t="s">
        <v>234</v>
      </c>
      <c r="G3" s="12" t="s">
        <v>235</v>
      </c>
      <c r="H3" s="13" t="s">
        <v>236</v>
      </c>
      <c r="I3" s="14" t="s">
        <v>237</v>
      </c>
      <c r="J3" s="15" t="s">
        <v>248</v>
      </c>
      <c r="K3" s="6" t="s">
        <v>13</v>
      </c>
      <c r="L3" s="6" t="s">
        <v>14</v>
      </c>
      <c r="M3" s="21" t="s">
        <v>249</v>
      </c>
      <c r="N3" s="6" t="s">
        <v>255</v>
      </c>
      <c r="O3" s="6" t="s">
        <v>15</v>
      </c>
      <c r="P3" s="6" t="s">
        <v>16</v>
      </c>
      <c r="Q3" s="6" t="s">
        <v>17</v>
      </c>
      <c r="R3" s="6" t="s">
        <v>18</v>
      </c>
      <c r="S3" s="6" t="s">
        <v>19</v>
      </c>
      <c r="T3" s="6" t="s">
        <v>20</v>
      </c>
      <c r="U3" s="6" t="s">
        <v>217</v>
      </c>
      <c r="V3" s="6" t="s">
        <v>242</v>
      </c>
      <c r="W3" s="6" t="s">
        <v>21</v>
      </c>
      <c r="X3" s="6" t="s">
        <v>22</v>
      </c>
      <c r="Y3" s="6" t="s">
        <v>23</v>
      </c>
      <c r="Z3" s="6" t="s">
        <v>24</v>
      </c>
      <c r="AA3" s="6" t="s">
        <v>25</v>
      </c>
      <c r="AB3" s="6" t="s">
        <v>26</v>
      </c>
      <c r="AC3" s="6" t="s">
        <v>8</v>
      </c>
      <c r="AD3" s="6" t="s">
        <v>9</v>
      </c>
      <c r="AE3" s="6" t="s">
        <v>27</v>
      </c>
      <c r="AF3" s="6" t="s">
        <v>28</v>
      </c>
      <c r="AG3" s="6" t="s">
        <v>29</v>
      </c>
      <c r="AH3" s="22" t="s">
        <v>250</v>
      </c>
      <c r="AI3" s="22" t="s">
        <v>251</v>
      </c>
      <c r="AJ3" s="23" t="s">
        <v>30</v>
      </c>
      <c r="AK3" s="22" t="s">
        <v>252</v>
      </c>
      <c r="AL3" s="22" t="s">
        <v>253</v>
      </c>
      <c r="AM3" s="6" t="s">
        <v>31</v>
      </c>
      <c r="AN3" s="6" t="s">
        <v>32</v>
      </c>
      <c r="AO3" s="6" t="s">
        <v>33</v>
      </c>
      <c r="AP3" s="6" t="s">
        <v>4</v>
      </c>
      <c r="AQ3" s="6" t="s">
        <v>34</v>
      </c>
      <c r="AR3" s="6" t="s">
        <v>35</v>
      </c>
      <c r="AS3" s="6" t="s">
        <v>36</v>
      </c>
      <c r="AT3" s="6" t="s">
        <v>37</v>
      </c>
      <c r="AU3" s="6" t="s">
        <v>38</v>
      </c>
      <c r="AV3" s="6" t="s">
        <v>39</v>
      </c>
      <c r="AW3" s="6" t="s">
        <v>40</v>
      </c>
      <c r="AX3" s="6" t="s">
        <v>41</v>
      </c>
      <c r="AY3" s="6" t="s">
        <v>42</v>
      </c>
      <c r="AZ3" s="6" t="s">
        <v>43</v>
      </c>
      <c r="BA3" s="6" t="s">
        <v>44</v>
      </c>
      <c r="BB3" s="6" t="s">
        <v>45</v>
      </c>
      <c r="BC3" s="6" t="s">
        <v>46</v>
      </c>
      <c r="BD3" s="6" t="s">
        <v>47</v>
      </c>
      <c r="BE3" s="6" t="s">
        <v>48</v>
      </c>
      <c r="BF3" s="6" t="s">
        <v>49</v>
      </c>
      <c r="BG3" s="6" t="s">
        <v>50</v>
      </c>
      <c r="BH3" s="6" t="s">
        <v>51</v>
      </c>
      <c r="BI3" s="6" t="s">
        <v>52</v>
      </c>
      <c r="BJ3" s="6" t="s">
        <v>53</v>
      </c>
      <c r="BK3" s="6" t="s">
        <v>54</v>
      </c>
      <c r="BL3" s="6" t="s">
        <v>55</v>
      </c>
      <c r="BM3" s="6" t="s">
        <v>56</v>
      </c>
      <c r="BN3" s="6" t="s">
        <v>57</v>
      </c>
      <c r="BO3" s="6" t="s">
        <v>58</v>
      </c>
      <c r="BP3" s="6" t="s">
        <v>240</v>
      </c>
      <c r="BQ3" s="6" t="s">
        <v>241</v>
      </c>
      <c r="BR3" s="6" t="s">
        <v>59</v>
      </c>
      <c r="BS3" s="6" t="s">
        <v>60</v>
      </c>
      <c r="BT3" s="6" t="s">
        <v>61</v>
      </c>
      <c r="BU3" s="6" t="s">
        <v>62</v>
      </c>
      <c r="BV3" s="6" t="s">
        <v>63</v>
      </c>
      <c r="BW3" s="6" t="s">
        <v>154</v>
      </c>
      <c r="BX3" s="6" t="s">
        <v>64</v>
      </c>
      <c r="BY3" s="6" t="s">
        <v>65</v>
      </c>
      <c r="BZ3" s="6" t="s">
        <v>66</v>
      </c>
      <c r="CA3" s="6" t="s">
        <v>67</v>
      </c>
      <c r="CB3" s="6" t="s">
        <v>68</v>
      </c>
      <c r="CC3" s="6" t="s">
        <v>69</v>
      </c>
      <c r="CD3" s="6" t="s">
        <v>70</v>
      </c>
      <c r="CE3" s="6" t="s">
        <v>71</v>
      </c>
      <c r="CF3" s="6" t="s">
        <v>72</v>
      </c>
      <c r="CG3" s="6" t="s">
        <v>73</v>
      </c>
      <c r="CH3" s="6" t="s">
        <v>74</v>
      </c>
      <c r="CI3" s="6" t="s">
        <v>75</v>
      </c>
      <c r="CJ3" s="6" t="s">
        <v>76</v>
      </c>
      <c r="CK3" s="6" t="s">
        <v>77</v>
      </c>
      <c r="CL3" s="6" t="s">
        <v>158</v>
      </c>
      <c r="CM3" s="6" t="s">
        <v>159</v>
      </c>
      <c r="CN3" s="6" t="s">
        <v>78</v>
      </c>
      <c r="CO3" s="6" t="s">
        <v>79</v>
      </c>
      <c r="CP3" s="6" t="s">
        <v>80</v>
      </c>
      <c r="CQ3" s="6" t="s">
        <v>81</v>
      </c>
      <c r="CR3" s="6" t="s">
        <v>82</v>
      </c>
      <c r="CS3" s="6" t="s">
        <v>83</v>
      </c>
      <c r="CT3" s="6" t="s">
        <v>84</v>
      </c>
      <c r="CU3" s="6" t="s">
        <v>85</v>
      </c>
      <c r="CV3" s="6" t="s">
        <v>86</v>
      </c>
      <c r="CW3" s="6" t="s">
        <v>87</v>
      </c>
      <c r="CX3" s="6" t="s">
        <v>88</v>
      </c>
      <c r="CY3" s="6" t="s">
        <v>89</v>
      </c>
      <c r="CZ3" s="6" t="s">
        <v>90</v>
      </c>
      <c r="DA3" s="6" t="s">
        <v>91</v>
      </c>
      <c r="DB3" s="6" t="s">
        <v>92</v>
      </c>
      <c r="DC3" s="6" t="s">
        <v>93</v>
      </c>
      <c r="DD3" s="6" t="s">
        <v>94</v>
      </c>
      <c r="DE3" s="6" t="s">
        <v>95</v>
      </c>
      <c r="DF3" s="6" t="s">
        <v>96</v>
      </c>
      <c r="DG3" s="6" t="s">
        <v>97</v>
      </c>
      <c r="DH3" s="6" t="s">
        <v>98</v>
      </c>
      <c r="DI3" s="6" t="s">
        <v>99</v>
      </c>
      <c r="DJ3" s="6" t="s">
        <v>100</v>
      </c>
      <c r="DK3" s="6" t="s">
        <v>101</v>
      </c>
      <c r="DL3" s="6" t="s">
        <v>102</v>
      </c>
      <c r="DM3" s="6" t="s">
        <v>103</v>
      </c>
      <c r="DN3" s="6" t="s">
        <v>5</v>
      </c>
      <c r="DO3" s="6" t="s">
        <v>104</v>
      </c>
      <c r="DP3" s="6" t="s">
        <v>105</v>
      </c>
      <c r="DQ3" s="6" t="s">
        <v>106</v>
      </c>
      <c r="DR3" s="6" t="s">
        <v>107</v>
      </c>
      <c r="DS3" s="6" t="s">
        <v>108</v>
      </c>
      <c r="DT3" s="6" t="s">
        <v>109</v>
      </c>
      <c r="DU3" s="6" t="s">
        <v>110</v>
      </c>
      <c r="DV3" s="6" t="s">
        <v>111</v>
      </c>
      <c r="DW3" s="6" t="s">
        <v>112</v>
      </c>
      <c r="DX3" s="6" t="s">
        <v>113</v>
      </c>
      <c r="DY3" s="6" t="s">
        <v>114</v>
      </c>
      <c r="DZ3" s="6" t="s">
        <v>115</v>
      </c>
      <c r="EA3" s="6" t="s">
        <v>116</v>
      </c>
      <c r="EB3" s="6" t="s">
        <v>117</v>
      </c>
      <c r="EC3" s="6" t="s">
        <v>118</v>
      </c>
      <c r="ED3" s="6" t="s">
        <v>119</v>
      </c>
      <c r="EE3" s="6" t="s">
        <v>120</v>
      </c>
      <c r="EF3" s="6" t="s">
        <v>121</v>
      </c>
      <c r="EG3" s="6" t="s">
        <v>122</v>
      </c>
      <c r="EH3" s="6" t="s">
        <v>123</v>
      </c>
      <c r="EI3" s="6" t="s">
        <v>124</v>
      </c>
      <c r="EJ3" s="6" t="s">
        <v>125</v>
      </c>
      <c r="EK3" s="6" t="s">
        <v>126</v>
      </c>
      <c r="EL3" s="6" t="s">
        <v>127</v>
      </c>
      <c r="EM3" s="6" t="s">
        <v>128</v>
      </c>
      <c r="EN3" s="6" t="s">
        <v>129</v>
      </c>
      <c r="EO3" s="6" t="s">
        <v>130</v>
      </c>
      <c r="EP3" s="6" t="s">
        <v>131</v>
      </c>
      <c r="EQ3" s="6" t="s">
        <v>132</v>
      </c>
      <c r="ER3" s="6" t="s">
        <v>6</v>
      </c>
      <c r="ES3" s="6" t="s">
        <v>133</v>
      </c>
      <c r="ET3" s="6" t="s">
        <v>134</v>
      </c>
      <c r="EU3" s="6" t="s">
        <v>135</v>
      </c>
      <c r="EV3" s="6" t="s">
        <v>136</v>
      </c>
      <c r="EW3" s="6" t="s">
        <v>137</v>
      </c>
      <c r="EX3" s="6" t="s">
        <v>243</v>
      </c>
      <c r="EY3" s="6" t="s">
        <v>244</v>
      </c>
      <c r="EZ3" s="6" t="s">
        <v>245</v>
      </c>
      <c r="FA3" s="6" t="s">
        <v>246</v>
      </c>
      <c r="FB3" s="6" t="s">
        <v>138</v>
      </c>
      <c r="FC3" s="6" t="s">
        <v>139</v>
      </c>
      <c r="FD3" s="6" t="s">
        <v>140</v>
      </c>
      <c r="FE3" s="6" t="s">
        <v>141</v>
      </c>
      <c r="FF3" s="6" t="s">
        <v>142</v>
      </c>
      <c r="FG3" s="6" t="s">
        <v>143</v>
      </c>
      <c r="FH3" s="6" t="s">
        <v>10</v>
      </c>
      <c r="FI3" s="6" t="s">
        <v>11</v>
      </c>
      <c r="FJ3" s="6" t="s">
        <v>12</v>
      </c>
      <c r="FK3" s="6" t="s">
        <v>144</v>
      </c>
      <c r="FL3" s="6" t="s">
        <v>145</v>
      </c>
      <c r="FM3" s="6" t="s">
        <v>146</v>
      </c>
      <c r="FN3" s="6" t="s">
        <v>7</v>
      </c>
      <c r="FO3" s="6" t="s">
        <v>147</v>
      </c>
      <c r="FP3" s="6" t="s">
        <v>148</v>
      </c>
      <c r="FQ3" s="6" t="s">
        <v>149</v>
      </c>
      <c r="FR3" s="6" t="s">
        <v>150</v>
      </c>
      <c r="FS3" s="6" t="s">
        <v>151</v>
      </c>
      <c r="FT3" s="7" t="s">
        <v>155</v>
      </c>
      <c r="FU3" s="7" t="s">
        <v>156</v>
      </c>
      <c r="FV3" s="6" t="s">
        <v>262</v>
      </c>
      <c r="FW3" s="7" t="s">
        <v>160</v>
      </c>
      <c r="FX3" s="7" t="s">
        <v>161</v>
      </c>
      <c r="FY3" s="7" t="s">
        <v>209</v>
      </c>
    </row>
    <row r="4" spans="1:181" x14ac:dyDescent="0.15">
      <c r="A4" s="3" t="s">
        <v>247</v>
      </c>
      <c r="B4" s="3" t="s">
        <v>157</v>
      </c>
      <c r="C4" s="3">
        <v>2013</v>
      </c>
      <c r="D4" s="2" t="str">
        <f>N4</f>
        <v>10.1002/palo.20015</v>
      </c>
      <c r="E4">
        <f t="shared" ref="E4:E23" si="0">AB4</f>
        <v>13799</v>
      </c>
      <c r="F4" t="str">
        <f t="shared" ref="F4:F23" si="1">AC4</f>
        <v>NA</v>
      </c>
      <c r="G4" t="str">
        <f t="shared" ref="G4:G23" si="2">AD4</f>
        <v>NA</v>
      </c>
      <c r="H4">
        <f t="shared" ref="H4:H23" si="3">FH4</f>
        <v>329.8</v>
      </c>
      <c r="I4">
        <f t="shared" ref="I4:I23" si="4">FI4</f>
        <v>47.8</v>
      </c>
      <c r="J4">
        <f t="shared" ref="J4:J23" si="5">FJ4</f>
        <v>47.8</v>
      </c>
      <c r="K4" s="2" t="s">
        <v>164</v>
      </c>
      <c r="L4" s="3" t="s">
        <v>165</v>
      </c>
      <c r="M4" s="2" t="s">
        <v>166</v>
      </c>
      <c r="N4" s="2" t="s">
        <v>167</v>
      </c>
      <c r="O4" t="s">
        <v>168</v>
      </c>
      <c r="P4" s="2" t="s">
        <v>163</v>
      </c>
      <c r="Q4" s="3" t="s">
        <v>163</v>
      </c>
      <c r="R4" s="2" t="s">
        <v>163</v>
      </c>
      <c r="S4" s="2" t="s">
        <v>163</v>
      </c>
      <c r="T4" s="2" t="s">
        <v>163</v>
      </c>
      <c r="U4" s="2" t="s">
        <v>163</v>
      </c>
      <c r="V4" s="2" t="s">
        <v>163</v>
      </c>
      <c r="W4" s="2" t="s">
        <v>163</v>
      </c>
      <c r="X4" s="2" t="s">
        <v>163</v>
      </c>
      <c r="Y4" s="2" t="s">
        <v>163</v>
      </c>
      <c r="Z4">
        <v>0</v>
      </c>
      <c r="AA4" s="2" t="s">
        <v>169</v>
      </c>
      <c r="AB4">
        <v>13799</v>
      </c>
      <c r="AC4" s="2" t="s">
        <v>163</v>
      </c>
      <c r="AD4" s="3" t="s">
        <v>163</v>
      </c>
      <c r="AE4" s="3" t="s">
        <v>163</v>
      </c>
      <c r="AF4" s="3" t="s">
        <v>170</v>
      </c>
      <c r="AG4" s="3" t="s">
        <v>171</v>
      </c>
      <c r="AH4">
        <v>35.915500000000002</v>
      </c>
      <c r="AI4">
        <v>14.334300000000001</v>
      </c>
      <c r="AJ4" s="3" t="s">
        <v>163</v>
      </c>
      <c r="AK4" s="3" t="s">
        <v>163</v>
      </c>
      <c r="AL4" s="3" t="s">
        <v>163</v>
      </c>
      <c r="AM4" s="3">
        <v>550</v>
      </c>
      <c r="AN4" s="3" t="s">
        <v>163</v>
      </c>
      <c r="AO4" s="3" t="s">
        <v>172</v>
      </c>
      <c r="AP4" s="3" t="s">
        <v>173</v>
      </c>
      <c r="AQ4" s="3" t="s">
        <v>163</v>
      </c>
      <c r="AR4" s="3" t="s">
        <v>163</v>
      </c>
      <c r="AS4" s="3" t="s">
        <v>163</v>
      </c>
      <c r="AT4" s="3" t="s">
        <v>163</v>
      </c>
      <c r="AU4" s="3" t="s">
        <v>163</v>
      </c>
      <c r="AV4" s="3" t="s">
        <v>163</v>
      </c>
      <c r="AW4" s="3" t="s">
        <v>163</v>
      </c>
      <c r="AX4">
        <v>0.09</v>
      </c>
      <c r="AY4">
        <v>0.1</v>
      </c>
      <c r="AZ4" s="3" t="s">
        <v>174</v>
      </c>
      <c r="BA4" s="3" t="s">
        <v>163</v>
      </c>
      <c r="BB4" s="3" t="s">
        <v>163</v>
      </c>
      <c r="BC4" s="3" t="s">
        <v>163</v>
      </c>
      <c r="BD4" s="3" t="s">
        <v>163</v>
      </c>
      <c r="BE4" s="3" t="s">
        <v>163</v>
      </c>
      <c r="BF4" s="2" t="s">
        <v>176</v>
      </c>
      <c r="BG4" s="2" t="s">
        <v>175</v>
      </c>
      <c r="BH4">
        <v>2</v>
      </c>
      <c r="BI4" s="3" t="s">
        <v>163</v>
      </c>
      <c r="BJ4" s="3" t="s">
        <v>163</v>
      </c>
      <c r="BK4" s="3" t="s">
        <v>177</v>
      </c>
      <c r="BL4">
        <v>-5.82</v>
      </c>
      <c r="BM4" s="3" t="s">
        <v>163</v>
      </c>
      <c r="BN4" s="3" t="s">
        <v>163</v>
      </c>
      <c r="BO4">
        <v>-6.84</v>
      </c>
      <c r="BP4" s="3" t="s">
        <v>163</v>
      </c>
      <c r="BQ4" s="3" t="s">
        <v>163</v>
      </c>
      <c r="BR4" t="s">
        <v>178</v>
      </c>
      <c r="BS4" s="3" t="s">
        <v>179</v>
      </c>
      <c r="BT4">
        <v>-21.39</v>
      </c>
      <c r="BU4" s="1" t="s">
        <v>152</v>
      </c>
      <c r="BV4">
        <v>0.3</v>
      </c>
      <c r="BW4" s="3" t="s">
        <v>163</v>
      </c>
      <c r="BX4" s="3" t="s">
        <v>174</v>
      </c>
      <c r="BY4">
        <v>4</v>
      </c>
      <c r="BZ4" s="3" t="s">
        <v>163</v>
      </c>
      <c r="CA4" s="3" t="s">
        <v>163</v>
      </c>
      <c r="CB4">
        <v>-17.260000000000002</v>
      </c>
      <c r="CC4" s="3" t="s">
        <v>163</v>
      </c>
      <c r="CD4" s="3" t="s">
        <v>163</v>
      </c>
      <c r="CE4" s="3" t="s">
        <v>208</v>
      </c>
      <c r="CF4" s="3" t="s">
        <v>163</v>
      </c>
      <c r="CG4">
        <v>35</v>
      </c>
      <c r="CH4">
        <v>2.5</v>
      </c>
      <c r="CI4" s="3" t="s">
        <v>180</v>
      </c>
      <c r="CJ4" s="1" t="s">
        <v>153</v>
      </c>
      <c r="CK4" s="3">
        <f>(110.65-81.41)/116.96</f>
        <v>0.25000000000000011</v>
      </c>
      <c r="CL4" s="3">
        <v>0.05</v>
      </c>
      <c r="CM4" s="3">
        <v>0.05</v>
      </c>
      <c r="CN4" s="3" t="s">
        <v>180</v>
      </c>
      <c r="CO4" s="3" t="s">
        <v>163</v>
      </c>
      <c r="CP4" s="3" t="s">
        <v>163</v>
      </c>
      <c r="CQ4" s="3" t="s">
        <v>163</v>
      </c>
      <c r="CR4">
        <v>33.5</v>
      </c>
      <c r="CS4">
        <v>1</v>
      </c>
      <c r="CT4">
        <v>1</v>
      </c>
      <c r="CU4" s="3" t="s">
        <v>174</v>
      </c>
      <c r="CV4" s="3" t="s">
        <v>181</v>
      </c>
      <c r="CW4">
        <v>1</v>
      </c>
      <c r="CX4" s="3" t="s">
        <v>163</v>
      </c>
      <c r="CY4">
        <v>29</v>
      </c>
      <c r="CZ4" s="3" t="s">
        <v>163</v>
      </c>
      <c r="DA4" s="3" t="s">
        <v>163</v>
      </c>
      <c r="DB4" s="3" t="s">
        <v>163</v>
      </c>
      <c r="DC4" s="2" t="s">
        <v>216</v>
      </c>
      <c r="DD4" s="3" t="s">
        <v>163</v>
      </c>
      <c r="DE4" s="3" t="s">
        <v>163</v>
      </c>
      <c r="DF4" s="3" t="s">
        <v>163</v>
      </c>
      <c r="DG4" s="3" t="s">
        <v>163</v>
      </c>
      <c r="DH4" s="3" t="s">
        <v>163</v>
      </c>
      <c r="DI4" s="3" t="s">
        <v>163</v>
      </c>
      <c r="DJ4" s="3" t="s">
        <v>163</v>
      </c>
      <c r="DK4" s="3" t="s">
        <v>163</v>
      </c>
      <c r="DL4" s="3" t="s">
        <v>163</v>
      </c>
      <c r="DM4" s="3" t="s">
        <v>163</v>
      </c>
      <c r="DN4" s="3" t="s">
        <v>163</v>
      </c>
      <c r="DO4" s="3" t="s">
        <v>163</v>
      </c>
      <c r="DP4" s="3" t="s">
        <v>163</v>
      </c>
      <c r="DQ4" s="3" t="s">
        <v>163</v>
      </c>
      <c r="DR4" s="3" t="s">
        <v>163</v>
      </c>
      <c r="DS4" s="3" t="s">
        <v>163</v>
      </c>
      <c r="DT4" s="3" t="s">
        <v>163</v>
      </c>
      <c r="DU4" s="3" t="s">
        <v>163</v>
      </c>
      <c r="DV4" s="3" t="s">
        <v>163</v>
      </c>
      <c r="DW4" s="3" t="s">
        <v>163</v>
      </c>
      <c r="DX4" s="3" t="s">
        <v>163</v>
      </c>
      <c r="DY4" s="3" t="s">
        <v>163</v>
      </c>
      <c r="DZ4" s="3" t="s">
        <v>163</v>
      </c>
      <c r="EA4" s="3" t="s">
        <v>163</v>
      </c>
      <c r="EB4" s="3" t="s">
        <v>163</v>
      </c>
      <c r="EC4" s="3" t="s">
        <v>163</v>
      </c>
      <c r="ED4" s="3" t="s">
        <v>163</v>
      </c>
      <c r="EE4" s="3" t="s">
        <v>163</v>
      </c>
      <c r="EF4" s="3" t="s">
        <v>163</v>
      </c>
      <c r="EG4" s="3" t="s">
        <v>163</v>
      </c>
      <c r="EH4" s="3" t="s">
        <v>163</v>
      </c>
      <c r="EI4" s="3" t="s">
        <v>163</v>
      </c>
      <c r="EJ4" s="3" t="s">
        <v>163</v>
      </c>
      <c r="EK4" s="3" t="s">
        <v>163</v>
      </c>
      <c r="EL4" s="3" t="s">
        <v>163</v>
      </c>
      <c r="EM4" s="3" t="s">
        <v>163</v>
      </c>
      <c r="EN4" s="3" t="s">
        <v>163</v>
      </c>
      <c r="EO4" s="3" t="s">
        <v>163</v>
      </c>
      <c r="EP4" s="3" t="s">
        <v>163</v>
      </c>
      <c r="EQ4" s="3" t="s">
        <v>163</v>
      </c>
      <c r="ER4">
        <v>110.65</v>
      </c>
      <c r="ES4">
        <f>0.11*116.96</f>
        <v>12.865599999999999</v>
      </c>
      <c r="ET4">
        <f>0.11*116.96</f>
        <v>12.865599999999999</v>
      </c>
      <c r="EU4" s="3" t="s">
        <v>180</v>
      </c>
      <c r="EV4" s="2" t="s">
        <v>183</v>
      </c>
      <c r="EW4">
        <v>25</v>
      </c>
      <c r="EX4">
        <v>10.6</v>
      </c>
      <c r="EY4">
        <v>0.32</v>
      </c>
      <c r="EZ4">
        <v>0.32</v>
      </c>
      <c r="FA4" s="3" t="s">
        <v>174</v>
      </c>
      <c r="FB4" s="3" t="s">
        <v>163</v>
      </c>
      <c r="FC4">
        <v>7.68</v>
      </c>
      <c r="FD4" s="3" t="s">
        <v>163</v>
      </c>
      <c r="FE4" s="3" t="s">
        <v>163</v>
      </c>
      <c r="FF4" s="3" t="s">
        <v>163</v>
      </c>
      <c r="FG4" s="3" t="s">
        <v>210</v>
      </c>
      <c r="FH4">
        <v>329.8</v>
      </c>
      <c r="FI4">
        <v>47.8</v>
      </c>
      <c r="FJ4">
        <v>47.8</v>
      </c>
      <c r="FK4" s="3" t="s">
        <v>177</v>
      </c>
      <c r="FL4" s="3" t="s">
        <v>211</v>
      </c>
      <c r="FM4" s="3" t="s">
        <v>212</v>
      </c>
      <c r="FN4" s="3" t="s">
        <v>163</v>
      </c>
      <c r="FO4" s="3" t="s">
        <v>163</v>
      </c>
      <c r="FP4" s="3" t="s">
        <v>163</v>
      </c>
      <c r="FQ4" s="3" t="s">
        <v>163</v>
      </c>
      <c r="FR4" s="3" t="s">
        <v>163</v>
      </c>
      <c r="FS4" s="3" t="s">
        <v>163</v>
      </c>
      <c r="FT4" s="3" t="s">
        <v>162</v>
      </c>
      <c r="FU4" s="3" t="s">
        <v>163</v>
      </c>
      <c r="FV4" s="24" t="s">
        <v>263</v>
      </c>
      <c r="FW4" s="3" t="s">
        <v>163</v>
      </c>
      <c r="FX4" s="3" t="s">
        <v>163</v>
      </c>
      <c r="FY4" s="3" t="s">
        <v>218</v>
      </c>
    </row>
    <row r="5" spans="1:181" x14ac:dyDescent="0.15">
      <c r="A5" s="3" t="s">
        <v>247</v>
      </c>
      <c r="B5" s="3" t="s">
        <v>157</v>
      </c>
      <c r="C5" s="3">
        <v>2013</v>
      </c>
      <c r="D5" s="2" t="str">
        <f t="shared" ref="D5:D24" si="6">N5</f>
        <v>10.1002/palo.20015</v>
      </c>
      <c r="E5">
        <f t="shared" si="0"/>
        <v>13792</v>
      </c>
      <c r="F5" t="str">
        <f t="shared" si="1"/>
        <v>NA</v>
      </c>
      <c r="G5" t="str">
        <f t="shared" si="2"/>
        <v>NA</v>
      </c>
      <c r="H5">
        <f t="shared" si="3"/>
        <v>315.10000000000002</v>
      </c>
      <c r="I5">
        <f t="shared" si="4"/>
        <v>57.2</v>
      </c>
      <c r="J5">
        <f t="shared" si="5"/>
        <v>57.2</v>
      </c>
      <c r="K5" s="2" t="s">
        <v>164</v>
      </c>
      <c r="L5" s="3" t="s">
        <v>165</v>
      </c>
      <c r="M5" s="2" t="s">
        <v>166</v>
      </c>
      <c r="N5" s="2" t="s">
        <v>167</v>
      </c>
      <c r="O5" t="s">
        <v>168</v>
      </c>
      <c r="P5" s="2" t="s">
        <v>163</v>
      </c>
      <c r="Q5" s="3" t="s">
        <v>163</v>
      </c>
      <c r="R5" s="2" t="s">
        <v>163</v>
      </c>
      <c r="S5" s="2" t="s">
        <v>163</v>
      </c>
      <c r="T5" s="2" t="s">
        <v>163</v>
      </c>
      <c r="U5" s="2" t="s">
        <v>163</v>
      </c>
      <c r="V5" s="2" t="s">
        <v>163</v>
      </c>
      <c r="W5" s="2" t="s">
        <v>163</v>
      </c>
      <c r="X5" s="2" t="s">
        <v>163</v>
      </c>
      <c r="Y5" s="2" t="s">
        <v>163</v>
      </c>
      <c r="Z5">
        <v>0.35000000000002274</v>
      </c>
      <c r="AA5" s="2" t="s">
        <v>169</v>
      </c>
      <c r="AB5">
        <v>13792</v>
      </c>
      <c r="AC5" s="2" t="s">
        <v>163</v>
      </c>
      <c r="AD5" s="3" t="s">
        <v>163</v>
      </c>
      <c r="AE5" s="3" t="s">
        <v>163</v>
      </c>
      <c r="AF5" s="3" t="s">
        <v>170</v>
      </c>
      <c r="AG5" s="3" t="s">
        <v>171</v>
      </c>
      <c r="AH5">
        <v>35.915500000000002</v>
      </c>
      <c r="AI5">
        <v>14.334300000000001</v>
      </c>
      <c r="AJ5" s="3" t="s">
        <v>163</v>
      </c>
      <c r="AK5" s="3" t="s">
        <v>163</v>
      </c>
      <c r="AL5" s="3" t="s">
        <v>163</v>
      </c>
      <c r="AM5" s="3">
        <v>550</v>
      </c>
      <c r="AN5" s="3" t="s">
        <v>163</v>
      </c>
      <c r="AO5" s="3" t="s">
        <v>172</v>
      </c>
      <c r="AP5" s="3" t="s">
        <v>173</v>
      </c>
      <c r="AQ5" s="3" t="s">
        <v>163</v>
      </c>
      <c r="AR5" s="3" t="s">
        <v>163</v>
      </c>
      <c r="AS5" s="3" t="s">
        <v>163</v>
      </c>
      <c r="AT5" s="3" t="s">
        <v>163</v>
      </c>
      <c r="AU5" s="3" t="s">
        <v>163</v>
      </c>
      <c r="AV5" s="3" t="s">
        <v>163</v>
      </c>
      <c r="AW5" s="3" t="s">
        <v>163</v>
      </c>
      <c r="AX5">
        <v>0.32</v>
      </c>
      <c r="AY5">
        <v>0.1</v>
      </c>
      <c r="AZ5" s="3" t="s">
        <v>174</v>
      </c>
      <c r="BA5" s="3" t="s">
        <v>163</v>
      </c>
      <c r="BB5" s="3" t="s">
        <v>163</v>
      </c>
      <c r="BC5" s="3" t="s">
        <v>163</v>
      </c>
      <c r="BD5" s="3" t="s">
        <v>163</v>
      </c>
      <c r="BE5" s="3" t="s">
        <v>163</v>
      </c>
      <c r="BF5" s="2" t="s">
        <v>176</v>
      </c>
      <c r="BG5" s="2" t="s">
        <v>175</v>
      </c>
      <c r="BH5">
        <v>2</v>
      </c>
      <c r="BI5" s="3" t="s">
        <v>163</v>
      </c>
      <c r="BJ5" s="3" t="s">
        <v>163</v>
      </c>
      <c r="BK5" s="3" t="s">
        <v>177</v>
      </c>
      <c r="BL5">
        <v>-5.77</v>
      </c>
      <c r="BM5" s="3" t="s">
        <v>163</v>
      </c>
      <c r="BN5" s="3" t="s">
        <v>163</v>
      </c>
      <c r="BO5">
        <v>-6.79</v>
      </c>
      <c r="BP5" s="3" t="s">
        <v>163</v>
      </c>
      <c r="BQ5" s="3" t="s">
        <v>163</v>
      </c>
      <c r="BR5" t="s">
        <v>178</v>
      </c>
      <c r="BS5" s="3" t="s">
        <v>179</v>
      </c>
      <c r="BT5">
        <v>-21.14</v>
      </c>
      <c r="BU5" s="1" t="s">
        <v>152</v>
      </c>
      <c r="BV5">
        <v>0.3</v>
      </c>
      <c r="BW5" s="3" t="s">
        <v>163</v>
      </c>
      <c r="BX5" s="3" t="s">
        <v>174</v>
      </c>
      <c r="BY5">
        <v>4</v>
      </c>
      <c r="BZ5" s="3" t="s">
        <v>163</v>
      </c>
      <c r="CA5" s="3" t="s">
        <v>163</v>
      </c>
      <c r="CB5">
        <v>-17.010000000000002</v>
      </c>
      <c r="CC5" s="3" t="s">
        <v>163</v>
      </c>
      <c r="CD5" s="3" t="s">
        <v>163</v>
      </c>
      <c r="CE5" s="3" t="s">
        <v>208</v>
      </c>
      <c r="CF5" s="3" t="s">
        <v>163</v>
      </c>
      <c r="CG5">
        <v>35</v>
      </c>
      <c r="CH5">
        <v>2.5</v>
      </c>
      <c r="CI5" s="3" t="s">
        <v>180</v>
      </c>
      <c r="CJ5" s="1" t="s">
        <v>153</v>
      </c>
      <c r="CK5" s="3">
        <f t="shared" ref="CK5:CK24" si="7">(110.65-81.41)/116.96</f>
        <v>0.25000000000000011</v>
      </c>
      <c r="CL5" s="3">
        <v>0.05</v>
      </c>
      <c r="CM5" s="3">
        <v>0.05</v>
      </c>
      <c r="CN5" s="3" t="s">
        <v>180</v>
      </c>
      <c r="CO5" s="3" t="s">
        <v>163</v>
      </c>
      <c r="CP5" s="3" t="s">
        <v>163</v>
      </c>
      <c r="CQ5" s="3" t="s">
        <v>163</v>
      </c>
      <c r="CR5">
        <v>32.04</v>
      </c>
      <c r="CS5">
        <v>1</v>
      </c>
      <c r="CT5">
        <v>1</v>
      </c>
      <c r="CU5" s="3" t="s">
        <v>174</v>
      </c>
      <c r="CV5" s="3" t="s">
        <v>181</v>
      </c>
      <c r="CW5">
        <v>1</v>
      </c>
      <c r="CX5" s="3" t="s">
        <v>163</v>
      </c>
      <c r="CY5">
        <v>29</v>
      </c>
      <c r="CZ5" s="3" t="s">
        <v>163</v>
      </c>
      <c r="DA5" s="3" t="s">
        <v>163</v>
      </c>
      <c r="DB5" s="3" t="s">
        <v>163</v>
      </c>
      <c r="DC5" s="2" t="s">
        <v>216</v>
      </c>
      <c r="DD5" s="3" t="s">
        <v>163</v>
      </c>
      <c r="DE5" s="3" t="s">
        <v>163</v>
      </c>
      <c r="DF5" s="3" t="s">
        <v>163</v>
      </c>
      <c r="DG5" s="3" t="s">
        <v>163</v>
      </c>
      <c r="DH5" s="3" t="s">
        <v>163</v>
      </c>
      <c r="DI5" s="3" t="s">
        <v>163</v>
      </c>
      <c r="DJ5" s="3" t="s">
        <v>163</v>
      </c>
      <c r="DK5" s="3" t="s">
        <v>163</v>
      </c>
      <c r="DL5" s="3" t="s">
        <v>163</v>
      </c>
      <c r="DM5" s="3" t="s">
        <v>163</v>
      </c>
      <c r="DN5" s="3" t="s">
        <v>163</v>
      </c>
      <c r="DO5" s="3" t="s">
        <v>163</v>
      </c>
      <c r="DP5" s="3" t="s">
        <v>163</v>
      </c>
      <c r="DQ5" s="3" t="s">
        <v>163</v>
      </c>
      <c r="DR5" s="3" t="s">
        <v>163</v>
      </c>
      <c r="DS5" s="3" t="s">
        <v>163</v>
      </c>
      <c r="DT5" s="3" t="s">
        <v>163</v>
      </c>
      <c r="DU5" s="3" t="s">
        <v>163</v>
      </c>
      <c r="DV5" s="3" t="s">
        <v>163</v>
      </c>
      <c r="DW5" s="3" t="s">
        <v>163</v>
      </c>
      <c r="DX5" s="3" t="s">
        <v>163</v>
      </c>
      <c r="DY5" s="3" t="s">
        <v>163</v>
      </c>
      <c r="DZ5" s="3" t="s">
        <v>163</v>
      </c>
      <c r="EA5" s="3" t="s">
        <v>163</v>
      </c>
      <c r="EB5" s="3" t="s">
        <v>163</v>
      </c>
      <c r="EC5" s="3" t="s">
        <v>163</v>
      </c>
      <c r="ED5" s="3" t="s">
        <v>163</v>
      </c>
      <c r="EE5" s="3" t="s">
        <v>163</v>
      </c>
      <c r="EF5" s="3" t="s">
        <v>163</v>
      </c>
      <c r="EG5" s="3" t="s">
        <v>163</v>
      </c>
      <c r="EH5" s="3" t="s">
        <v>163</v>
      </c>
      <c r="EI5" s="3" t="s">
        <v>163</v>
      </c>
      <c r="EJ5" s="3" t="s">
        <v>163</v>
      </c>
      <c r="EK5" s="3" t="s">
        <v>163</v>
      </c>
      <c r="EL5" s="3" t="s">
        <v>163</v>
      </c>
      <c r="EM5" s="3" t="s">
        <v>163</v>
      </c>
      <c r="EN5" s="3" t="s">
        <v>163</v>
      </c>
      <c r="EO5" s="3" t="s">
        <v>163</v>
      </c>
      <c r="EP5" s="3" t="s">
        <v>163</v>
      </c>
      <c r="EQ5" s="3" t="s">
        <v>163</v>
      </c>
      <c r="ER5">
        <v>110.65</v>
      </c>
      <c r="ES5">
        <f t="shared" ref="ES5:ET24" si="8">0.11*116.96</f>
        <v>12.865599999999999</v>
      </c>
      <c r="ET5">
        <f t="shared" si="8"/>
        <v>12.865599999999999</v>
      </c>
      <c r="EU5" s="3" t="s">
        <v>180</v>
      </c>
      <c r="EV5" s="2" t="s">
        <v>183</v>
      </c>
      <c r="EW5">
        <v>25</v>
      </c>
      <c r="EX5">
        <v>10.4</v>
      </c>
      <c r="EY5">
        <v>0.84</v>
      </c>
      <c r="EZ5">
        <v>0.84</v>
      </c>
      <c r="FA5" s="3" t="s">
        <v>174</v>
      </c>
      <c r="FB5" s="3" t="s">
        <v>163</v>
      </c>
      <c r="FC5">
        <v>7.58</v>
      </c>
      <c r="FD5" s="3" t="s">
        <v>163</v>
      </c>
      <c r="FE5" s="3" t="s">
        <v>163</v>
      </c>
      <c r="FF5" s="3" t="s">
        <v>163</v>
      </c>
      <c r="FG5" s="3" t="s">
        <v>210</v>
      </c>
      <c r="FH5">
        <v>315.10000000000002</v>
      </c>
      <c r="FI5">
        <v>57.2</v>
      </c>
      <c r="FJ5">
        <v>57.2</v>
      </c>
      <c r="FK5" s="3" t="s">
        <v>177</v>
      </c>
      <c r="FL5" s="3" t="s">
        <v>211</v>
      </c>
      <c r="FM5" s="3" t="s">
        <v>212</v>
      </c>
      <c r="FN5" s="3" t="s">
        <v>163</v>
      </c>
      <c r="FO5" s="3" t="s">
        <v>163</v>
      </c>
      <c r="FP5" s="3" t="s">
        <v>163</v>
      </c>
      <c r="FQ5" s="3" t="s">
        <v>163</v>
      </c>
      <c r="FR5" s="3" t="s">
        <v>163</v>
      </c>
      <c r="FS5" s="3" t="s">
        <v>163</v>
      </c>
      <c r="FT5" s="3" t="s">
        <v>162</v>
      </c>
      <c r="FU5" s="3" t="s">
        <v>163</v>
      </c>
      <c r="FV5" s="24" t="s">
        <v>264</v>
      </c>
      <c r="FW5" s="3" t="s">
        <v>163</v>
      </c>
      <c r="FX5" s="3" t="s">
        <v>163</v>
      </c>
      <c r="FY5" s="3" t="s">
        <v>218</v>
      </c>
    </row>
    <row r="6" spans="1:181" x14ac:dyDescent="0.15">
      <c r="A6" s="3" t="s">
        <v>247</v>
      </c>
      <c r="B6" s="3" t="s">
        <v>157</v>
      </c>
      <c r="C6" s="3">
        <v>2013</v>
      </c>
      <c r="D6" s="2" t="str">
        <f t="shared" si="6"/>
        <v>10.1002/palo.20015</v>
      </c>
      <c r="E6">
        <f t="shared" si="0"/>
        <v>13786</v>
      </c>
      <c r="F6" t="str">
        <f t="shared" si="1"/>
        <v>NA</v>
      </c>
      <c r="G6" t="str">
        <f t="shared" si="2"/>
        <v>NA</v>
      </c>
      <c r="H6">
        <f t="shared" si="3"/>
        <v>294.3</v>
      </c>
      <c r="I6">
        <f t="shared" si="4"/>
        <v>45.1</v>
      </c>
      <c r="J6">
        <f t="shared" si="5"/>
        <v>45.1</v>
      </c>
      <c r="K6" s="2" t="s">
        <v>164</v>
      </c>
      <c r="L6" s="3" t="s">
        <v>165</v>
      </c>
      <c r="M6" s="2" t="s">
        <v>166</v>
      </c>
      <c r="N6" s="2" t="s">
        <v>167</v>
      </c>
      <c r="O6" t="s">
        <v>168</v>
      </c>
      <c r="P6" s="2" t="s">
        <v>163</v>
      </c>
      <c r="Q6" s="3" t="s">
        <v>163</v>
      </c>
      <c r="R6" s="2" t="s">
        <v>163</v>
      </c>
      <c r="S6" s="2" t="s">
        <v>163</v>
      </c>
      <c r="T6" s="2" t="s">
        <v>163</v>
      </c>
      <c r="U6" s="2" t="s">
        <v>163</v>
      </c>
      <c r="V6" s="2" t="s">
        <v>163</v>
      </c>
      <c r="W6" s="2" t="s">
        <v>163</v>
      </c>
      <c r="X6" s="2" t="s">
        <v>163</v>
      </c>
      <c r="Y6" s="2" t="s">
        <v>163</v>
      </c>
      <c r="Z6">
        <v>0.69999999999993179</v>
      </c>
      <c r="AA6" s="2" t="s">
        <v>169</v>
      </c>
      <c r="AB6">
        <v>13786</v>
      </c>
      <c r="AC6" s="2" t="s">
        <v>163</v>
      </c>
      <c r="AD6" s="3" t="s">
        <v>163</v>
      </c>
      <c r="AE6" s="3" t="s">
        <v>163</v>
      </c>
      <c r="AF6" s="3" t="s">
        <v>170</v>
      </c>
      <c r="AG6" s="3" t="s">
        <v>171</v>
      </c>
      <c r="AH6">
        <v>35.915500000000002</v>
      </c>
      <c r="AI6">
        <v>14.334300000000001</v>
      </c>
      <c r="AJ6" s="3" t="s">
        <v>163</v>
      </c>
      <c r="AK6" s="3" t="s">
        <v>163</v>
      </c>
      <c r="AL6" s="3" t="s">
        <v>163</v>
      </c>
      <c r="AM6" s="3">
        <v>550</v>
      </c>
      <c r="AN6" s="3" t="s">
        <v>163</v>
      </c>
      <c r="AO6" s="3" t="s">
        <v>172</v>
      </c>
      <c r="AP6" s="3" t="s">
        <v>173</v>
      </c>
      <c r="AQ6" s="3" t="s">
        <v>163</v>
      </c>
      <c r="AR6" s="3" t="s">
        <v>163</v>
      </c>
      <c r="AS6" s="3" t="s">
        <v>163</v>
      </c>
      <c r="AT6" s="3" t="s">
        <v>163</v>
      </c>
      <c r="AU6" s="3" t="s">
        <v>163</v>
      </c>
      <c r="AV6" s="3" t="s">
        <v>163</v>
      </c>
      <c r="AW6" s="3" t="s">
        <v>163</v>
      </c>
      <c r="AX6">
        <v>0.09</v>
      </c>
      <c r="AY6">
        <v>0.1</v>
      </c>
      <c r="AZ6" s="3" t="s">
        <v>174</v>
      </c>
      <c r="BA6" s="3" t="s">
        <v>163</v>
      </c>
      <c r="BB6" s="3" t="s">
        <v>163</v>
      </c>
      <c r="BC6" s="3" t="s">
        <v>163</v>
      </c>
      <c r="BD6" s="3" t="s">
        <v>163</v>
      </c>
      <c r="BE6" s="3" t="s">
        <v>163</v>
      </c>
      <c r="BF6" s="2" t="s">
        <v>176</v>
      </c>
      <c r="BG6" s="2" t="s">
        <v>175</v>
      </c>
      <c r="BH6">
        <v>2</v>
      </c>
      <c r="BI6" s="3" t="s">
        <v>163</v>
      </c>
      <c r="BJ6" s="3" t="s">
        <v>163</v>
      </c>
      <c r="BK6" s="3" t="s">
        <v>177</v>
      </c>
      <c r="BL6">
        <v>-6.17</v>
      </c>
      <c r="BM6" s="3" t="s">
        <v>163</v>
      </c>
      <c r="BN6" s="3" t="s">
        <v>163</v>
      </c>
      <c r="BO6">
        <v>-7.2</v>
      </c>
      <c r="BP6" s="3" t="s">
        <v>163</v>
      </c>
      <c r="BQ6" s="3" t="s">
        <v>163</v>
      </c>
      <c r="BR6" t="s">
        <v>178</v>
      </c>
      <c r="BS6" s="3" t="s">
        <v>179</v>
      </c>
      <c r="BT6">
        <v>-21.03</v>
      </c>
      <c r="BU6" s="1" t="s">
        <v>152</v>
      </c>
      <c r="BV6">
        <v>0.3</v>
      </c>
      <c r="BW6" s="3" t="s">
        <v>163</v>
      </c>
      <c r="BX6" s="3" t="s">
        <v>174</v>
      </c>
      <c r="BY6">
        <v>4</v>
      </c>
      <c r="BZ6" s="3" t="s">
        <v>163</v>
      </c>
      <c r="CA6" s="3" t="s">
        <v>163</v>
      </c>
      <c r="CB6">
        <v>-16.899999999999999</v>
      </c>
      <c r="CC6" s="3" t="s">
        <v>163</v>
      </c>
      <c r="CD6" s="3" t="s">
        <v>163</v>
      </c>
      <c r="CE6" s="3" t="s">
        <v>208</v>
      </c>
      <c r="CF6" s="3" t="s">
        <v>163</v>
      </c>
      <c r="CG6">
        <v>35</v>
      </c>
      <c r="CH6">
        <v>2.5</v>
      </c>
      <c r="CI6" s="3" t="s">
        <v>180</v>
      </c>
      <c r="CJ6" s="1" t="s">
        <v>153</v>
      </c>
      <c r="CK6" s="3">
        <f t="shared" si="7"/>
        <v>0.25000000000000011</v>
      </c>
      <c r="CL6" s="3">
        <v>0.05</v>
      </c>
      <c r="CM6" s="3">
        <v>0.05</v>
      </c>
      <c r="CN6" s="3" t="s">
        <v>180</v>
      </c>
      <c r="CO6" s="3" t="s">
        <v>163</v>
      </c>
      <c r="CP6" s="3" t="s">
        <v>163</v>
      </c>
      <c r="CQ6" s="3" t="s">
        <v>163</v>
      </c>
      <c r="CR6">
        <v>30.57</v>
      </c>
      <c r="CS6">
        <v>1</v>
      </c>
      <c r="CT6">
        <v>1</v>
      </c>
      <c r="CU6" s="3" t="s">
        <v>174</v>
      </c>
      <c r="CV6" s="3" t="s">
        <v>181</v>
      </c>
      <c r="CW6">
        <v>1</v>
      </c>
      <c r="CX6" s="3" t="s">
        <v>163</v>
      </c>
      <c r="CY6">
        <v>29</v>
      </c>
      <c r="CZ6" s="3" t="s">
        <v>163</v>
      </c>
      <c r="DA6" s="3" t="s">
        <v>163</v>
      </c>
      <c r="DB6" s="3" t="s">
        <v>163</v>
      </c>
      <c r="DC6" s="2" t="s">
        <v>216</v>
      </c>
      <c r="DD6" s="3" t="s">
        <v>163</v>
      </c>
      <c r="DE6" s="3" t="s">
        <v>163</v>
      </c>
      <c r="DF6" s="3" t="s">
        <v>163</v>
      </c>
      <c r="DG6" s="3" t="s">
        <v>163</v>
      </c>
      <c r="DH6" s="3" t="s">
        <v>163</v>
      </c>
      <c r="DI6" s="3" t="s">
        <v>163</v>
      </c>
      <c r="DJ6" s="3" t="s">
        <v>163</v>
      </c>
      <c r="DK6" s="3" t="s">
        <v>163</v>
      </c>
      <c r="DL6" s="3" t="s">
        <v>163</v>
      </c>
      <c r="DM6" s="3" t="s">
        <v>163</v>
      </c>
      <c r="DN6" s="3" t="s">
        <v>163</v>
      </c>
      <c r="DO6" s="3" t="s">
        <v>163</v>
      </c>
      <c r="DP6" s="3" t="s">
        <v>163</v>
      </c>
      <c r="DQ6" s="3" t="s">
        <v>163</v>
      </c>
      <c r="DR6" s="3" t="s">
        <v>163</v>
      </c>
      <c r="DS6" s="3" t="s">
        <v>163</v>
      </c>
      <c r="DT6" s="3" t="s">
        <v>163</v>
      </c>
      <c r="DU6" s="3" t="s">
        <v>163</v>
      </c>
      <c r="DV6" s="3" t="s">
        <v>163</v>
      </c>
      <c r="DW6" s="3" t="s">
        <v>163</v>
      </c>
      <c r="DX6" s="3" t="s">
        <v>163</v>
      </c>
      <c r="DY6" s="3" t="s">
        <v>163</v>
      </c>
      <c r="DZ6" s="3" t="s">
        <v>163</v>
      </c>
      <c r="EA6" s="3" t="s">
        <v>163</v>
      </c>
      <c r="EB6" s="3" t="s">
        <v>163</v>
      </c>
      <c r="EC6" s="3" t="s">
        <v>163</v>
      </c>
      <c r="ED6" s="3" t="s">
        <v>163</v>
      </c>
      <c r="EE6" s="3" t="s">
        <v>163</v>
      </c>
      <c r="EF6" s="3" t="s">
        <v>163</v>
      </c>
      <c r="EG6" s="3" t="s">
        <v>163</v>
      </c>
      <c r="EH6" s="3" t="s">
        <v>163</v>
      </c>
      <c r="EI6" s="3" t="s">
        <v>163</v>
      </c>
      <c r="EJ6" s="3" t="s">
        <v>163</v>
      </c>
      <c r="EK6" s="3" t="s">
        <v>163</v>
      </c>
      <c r="EL6" s="3" t="s">
        <v>163</v>
      </c>
      <c r="EM6" s="3" t="s">
        <v>163</v>
      </c>
      <c r="EN6" s="3" t="s">
        <v>163</v>
      </c>
      <c r="EO6" s="3" t="s">
        <v>163</v>
      </c>
      <c r="EP6" s="3" t="s">
        <v>163</v>
      </c>
      <c r="EQ6" s="3" t="s">
        <v>163</v>
      </c>
      <c r="ER6">
        <v>110.65</v>
      </c>
      <c r="ES6">
        <f t="shared" si="8"/>
        <v>12.865599999999999</v>
      </c>
      <c r="ET6">
        <f t="shared" si="8"/>
        <v>12.865599999999999</v>
      </c>
      <c r="EU6" s="3" t="s">
        <v>180</v>
      </c>
      <c r="EV6" s="2" t="s">
        <v>183</v>
      </c>
      <c r="EW6">
        <v>25</v>
      </c>
      <c r="EX6">
        <v>9.8699999999999992</v>
      </c>
      <c r="EY6">
        <v>0.435</v>
      </c>
      <c r="EZ6">
        <v>0.435</v>
      </c>
      <c r="FA6" s="3" t="s">
        <v>174</v>
      </c>
      <c r="FB6" s="3" t="s">
        <v>163</v>
      </c>
      <c r="FC6">
        <v>7.31</v>
      </c>
      <c r="FD6" s="3" t="s">
        <v>163</v>
      </c>
      <c r="FE6" s="3" t="s">
        <v>163</v>
      </c>
      <c r="FF6" s="3" t="s">
        <v>163</v>
      </c>
      <c r="FG6" s="3" t="s">
        <v>210</v>
      </c>
      <c r="FH6">
        <v>294.3</v>
      </c>
      <c r="FI6">
        <v>45.1</v>
      </c>
      <c r="FJ6">
        <v>45.1</v>
      </c>
      <c r="FK6" s="3" t="s">
        <v>177</v>
      </c>
      <c r="FL6" s="3" t="s">
        <v>211</v>
      </c>
      <c r="FM6" s="3" t="s">
        <v>212</v>
      </c>
      <c r="FN6" s="3" t="s">
        <v>163</v>
      </c>
      <c r="FO6" s="3" t="s">
        <v>163</v>
      </c>
      <c r="FP6" s="3" t="s">
        <v>163</v>
      </c>
      <c r="FQ6" s="3" t="s">
        <v>163</v>
      </c>
      <c r="FR6" s="3" t="s">
        <v>163</v>
      </c>
      <c r="FS6" s="3" t="s">
        <v>163</v>
      </c>
      <c r="FT6" s="3" t="s">
        <v>162</v>
      </c>
      <c r="FU6" s="3" t="s">
        <v>163</v>
      </c>
      <c r="FV6" s="24" t="s">
        <v>265</v>
      </c>
      <c r="FW6" s="3" t="s">
        <v>163</v>
      </c>
      <c r="FX6" s="3" t="s">
        <v>163</v>
      </c>
      <c r="FY6" s="3" t="s">
        <v>218</v>
      </c>
    </row>
    <row r="7" spans="1:181" x14ac:dyDescent="0.15">
      <c r="A7" s="3" t="s">
        <v>247</v>
      </c>
      <c r="B7" s="3" t="s">
        <v>157</v>
      </c>
      <c r="C7" s="3">
        <v>2013</v>
      </c>
      <c r="D7" s="2" t="str">
        <f t="shared" si="6"/>
        <v>10.1002/palo.20015</v>
      </c>
      <c r="E7">
        <f t="shared" si="0"/>
        <v>13779</v>
      </c>
      <c r="F7" t="str">
        <f t="shared" si="1"/>
        <v>NA</v>
      </c>
      <c r="G7" t="str">
        <f t="shared" si="2"/>
        <v>NA</v>
      </c>
      <c r="H7">
        <f t="shared" si="3"/>
        <v>312.10000000000002</v>
      </c>
      <c r="I7">
        <f t="shared" si="4"/>
        <v>52.9</v>
      </c>
      <c r="J7">
        <f t="shared" si="5"/>
        <v>52.9</v>
      </c>
      <c r="K7" s="2" t="s">
        <v>164</v>
      </c>
      <c r="L7" s="3" t="s">
        <v>165</v>
      </c>
      <c r="M7" s="2" t="s">
        <v>166</v>
      </c>
      <c r="N7" s="2" t="s">
        <v>167</v>
      </c>
      <c r="O7" t="s">
        <v>168</v>
      </c>
      <c r="P7" s="2" t="s">
        <v>163</v>
      </c>
      <c r="Q7" s="3" t="s">
        <v>163</v>
      </c>
      <c r="R7" s="2" t="s">
        <v>163</v>
      </c>
      <c r="S7" s="2" t="s">
        <v>163</v>
      </c>
      <c r="T7" s="2" t="s">
        <v>163</v>
      </c>
      <c r="U7" s="2" t="s">
        <v>163</v>
      </c>
      <c r="V7" s="2" t="s">
        <v>163</v>
      </c>
      <c r="W7" s="2" t="s">
        <v>163</v>
      </c>
      <c r="X7" s="2" t="s">
        <v>163</v>
      </c>
      <c r="Y7" s="2" t="s">
        <v>163</v>
      </c>
      <c r="Z7">
        <v>1.0499999999999545</v>
      </c>
      <c r="AA7" s="2" t="s">
        <v>169</v>
      </c>
      <c r="AB7">
        <v>13779</v>
      </c>
      <c r="AC7" s="2" t="s">
        <v>163</v>
      </c>
      <c r="AD7" s="3" t="s">
        <v>163</v>
      </c>
      <c r="AE7" s="3" t="s">
        <v>163</v>
      </c>
      <c r="AF7" s="3" t="s">
        <v>170</v>
      </c>
      <c r="AG7" s="3" t="s">
        <v>171</v>
      </c>
      <c r="AH7">
        <v>35.915500000000002</v>
      </c>
      <c r="AI7">
        <v>14.334300000000001</v>
      </c>
      <c r="AJ7" s="3" t="s">
        <v>163</v>
      </c>
      <c r="AK7" s="3" t="s">
        <v>163</v>
      </c>
      <c r="AL7" s="3" t="s">
        <v>163</v>
      </c>
      <c r="AM7" s="3">
        <v>550</v>
      </c>
      <c r="AN7" s="3" t="s">
        <v>163</v>
      </c>
      <c r="AO7" s="3" t="s">
        <v>172</v>
      </c>
      <c r="AP7" s="3" t="s">
        <v>173</v>
      </c>
      <c r="AQ7" s="3" t="s">
        <v>163</v>
      </c>
      <c r="AR7" s="3" t="s">
        <v>163</v>
      </c>
      <c r="AS7" s="3" t="s">
        <v>163</v>
      </c>
      <c r="AT7" s="3" t="s">
        <v>163</v>
      </c>
      <c r="AU7" s="3" t="s">
        <v>163</v>
      </c>
      <c r="AV7" s="3" t="s">
        <v>163</v>
      </c>
      <c r="AW7" s="3" t="s">
        <v>163</v>
      </c>
      <c r="AX7">
        <v>0.37</v>
      </c>
      <c r="AY7">
        <v>0.1</v>
      </c>
      <c r="AZ7" s="3" t="s">
        <v>174</v>
      </c>
      <c r="BA7" s="3" t="s">
        <v>163</v>
      </c>
      <c r="BB7" s="3" t="s">
        <v>163</v>
      </c>
      <c r="BC7" s="3" t="s">
        <v>163</v>
      </c>
      <c r="BD7" s="3" t="s">
        <v>163</v>
      </c>
      <c r="BE7" s="3" t="s">
        <v>163</v>
      </c>
      <c r="BF7" s="2" t="s">
        <v>176</v>
      </c>
      <c r="BG7" s="2" t="s">
        <v>175</v>
      </c>
      <c r="BH7">
        <v>2</v>
      </c>
      <c r="BI7" s="3" t="s">
        <v>163</v>
      </c>
      <c r="BJ7" s="3" t="s">
        <v>163</v>
      </c>
      <c r="BK7" s="3" t="s">
        <v>177</v>
      </c>
      <c r="BL7">
        <v>-5.86</v>
      </c>
      <c r="BM7" s="3" t="s">
        <v>163</v>
      </c>
      <c r="BN7" s="3" t="s">
        <v>163</v>
      </c>
      <c r="BO7">
        <v>-6.89</v>
      </c>
      <c r="BP7" s="3" t="s">
        <v>163</v>
      </c>
      <c r="BQ7" s="3" t="s">
        <v>163</v>
      </c>
      <c r="BR7" t="s">
        <v>178</v>
      </c>
      <c r="BS7" s="3" t="s">
        <v>179</v>
      </c>
      <c r="BT7">
        <v>-21.47</v>
      </c>
      <c r="BU7" s="1" t="s">
        <v>152</v>
      </c>
      <c r="BV7">
        <v>0.3</v>
      </c>
      <c r="BW7" s="3" t="s">
        <v>163</v>
      </c>
      <c r="BX7" s="3" t="s">
        <v>174</v>
      </c>
      <c r="BY7">
        <v>4</v>
      </c>
      <c r="BZ7" s="3" t="s">
        <v>163</v>
      </c>
      <c r="CA7" s="3" t="s">
        <v>163</v>
      </c>
      <c r="CB7">
        <v>-17.34</v>
      </c>
      <c r="CC7" s="3" t="s">
        <v>163</v>
      </c>
      <c r="CD7" s="3" t="s">
        <v>163</v>
      </c>
      <c r="CE7" s="3" t="s">
        <v>208</v>
      </c>
      <c r="CF7" s="3" t="s">
        <v>163</v>
      </c>
      <c r="CG7">
        <v>35</v>
      </c>
      <c r="CH7">
        <v>2.5</v>
      </c>
      <c r="CI7" s="3" t="s">
        <v>180</v>
      </c>
      <c r="CJ7" s="1" t="s">
        <v>153</v>
      </c>
      <c r="CK7" s="3">
        <f t="shared" si="7"/>
        <v>0.25000000000000011</v>
      </c>
      <c r="CL7" s="3">
        <v>0.05</v>
      </c>
      <c r="CM7" s="3">
        <v>0.05</v>
      </c>
      <c r="CN7" s="3" t="s">
        <v>180</v>
      </c>
      <c r="CO7" s="3" t="s">
        <v>163</v>
      </c>
      <c r="CP7" s="3" t="s">
        <v>163</v>
      </c>
      <c r="CQ7" s="3" t="s">
        <v>163</v>
      </c>
      <c r="CR7">
        <v>30.86</v>
      </c>
      <c r="CS7">
        <v>1</v>
      </c>
      <c r="CT7">
        <v>1</v>
      </c>
      <c r="CU7" s="3" t="s">
        <v>174</v>
      </c>
      <c r="CV7" s="3" t="s">
        <v>181</v>
      </c>
      <c r="CW7">
        <v>1</v>
      </c>
      <c r="CX7" s="3" t="s">
        <v>163</v>
      </c>
      <c r="CY7">
        <v>29</v>
      </c>
      <c r="CZ7" s="3" t="s">
        <v>163</v>
      </c>
      <c r="DA7" s="3" t="s">
        <v>163</v>
      </c>
      <c r="DB7" s="3" t="s">
        <v>163</v>
      </c>
      <c r="DC7" s="2" t="s">
        <v>216</v>
      </c>
      <c r="DD7" s="3" t="s">
        <v>163</v>
      </c>
      <c r="DE7" s="3" t="s">
        <v>163</v>
      </c>
      <c r="DF7" s="3" t="s">
        <v>163</v>
      </c>
      <c r="DG7" s="3" t="s">
        <v>163</v>
      </c>
      <c r="DH7" s="3" t="s">
        <v>163</v>
      </c>
      <c r="DI7" s="3" t="s">
        <v>163</v>
      </c>
      <c r="DJ7" s="3" t="s">
        <v>163</v>
      </c>
      <c r="DK7" s="3" t="s">
        <v>163</v>
      </c>
      <c r="DL7" s="3" t="s">
        <v>163</v>
      </c>
      <c r="DM7" s="3" t="s">
        <v>163</v>
      </c>
      <c r="DN7" s="3" t="s">
        <v>163</v>
      </c>
      <c r="DO7" s="3" t="s">
        <v>163</v>
      </c>
      <c r="DP7" s="3" t="s">
        <v>163</v>
      </c>
      <c r="DQ7" s="3" t="s">
        <v>163</v>
      </c>
      <c r="DR7" s="3" t="s">
        <v>163</v>
      </c>
      <c r="DS7" s="3" t="s">
        <v>163</v>
      </c>
      <c r="DT7" s="3" t="s">
        <v>163</v>
      </c>
      <c r="DU7" s="3" t="s">
        <v>163</v>
      </c>
      <c r="DV7" s="3" t="s">
        <v>163</v>
      </c>
      <c r="DW7" s="3" t="s">
        <v>163</v>
      </c>
      <c r="DX7" s="3" t="s">
        <v>163</v>
      </c>
      <c r="DY7" s="3" t="s">
        <v>163</v>
      </c>
      <c r="DZ7" s="3" t="s">
        <v>163</v>
      </c>
      <c r="EA7" s="3" t="s">
        <v>163</v>
      </c>
      <c r="EB7" s="3" t="s">
        <v>163</v>
      </c>
      <c r="EC7" s="3" t="s">
        <v>163</v>
      </c>
      <c r="ED7" s="3" t="s">
        <v>163</v>
      </c>
      <c r="EE7" s="3" t="s">
        <v>163</v>
      </c>
      <c r="EF7" s="3" t="s">
        <v>163</v>
      </c>
      <c r="EG7" s="3" t="s">
        <v>163</v>
      </c>
      <c r="EH7" s="3" t="s">
        <v>163</v>
      </c>
      <c r="EI7" s="3" t="s">
        <v>163</v>
      </c>
      <c r="EJ7" s="3" t="s">
        <v>163</v>
      </c>
      <c r="EK7" s="3" t="s">
        <v>163</v>
      </c>
      <c r="EL7" s="3" t="s">
        <v>163</v>
      </c>
      <c r="EM7" s="3" t="s">
        <v>163</v>
      </c>
      <c r="EN7" s="3" t="s">
        <v>163</v>
      </c>
      <c r="EO7" s="3" t="s">
        <v>163</v>
      </c>
      <c r="EP7" s="3" t="s">
        <v>163</v>
      </c>
      <c r="EQ7" s="3" t="s">
        <v>163</v>
      </c>
      <c r="ER7">
        <v>110.65</v>
      </c>
      <c r="ES7">
        <f t="shared" si="8"/>
        <v>12.865599999999999</v>
      </c>
      <c r="ET7">
        <f t="shared" si="8"/>
        <v>12.865599999999999</v>
      </c>
      <c r="EU7" s="3" t="s">
        <v>180</v>
      </c>
      <c r="EV7" s="2" t="s">
        <v>183</v>
      </c>
      <c r="EW7">
        <v>25</v>
      </c>
      <c r="EX7">
        <v>10.64</v>
      </c>
      <c r="EY7">
        <v>0.66</v>
      </c>
      <c r="EZ7">
        <v>0.66</v>
      </c>
      <c r="FA7" s="3" t="s">
        <v>174</v>
      </c>
      <c r="FB7" s="3" t="s">
        <v>163</v>
      </c>
      <c r="FC7">
        <v>7.7</v>
      </c>
      <c r="FD7" s="3" t="s">
        <v>163</v>
      </c>
      <c r="FE7" s="3" t="s">
        <v>163</v>
      </c>
      <c r="FF7" s="3" t="s">
        <v>163</v>
      </c>
      <c r="FG7" s="3" t="s">
        <v>210</v>
      </c>
      <c r="FH7">
        <v>312.10000000000002</v>
      </c>
      <c r="FI7">
        <v>52.9</v>
      </c>
      <c r="FJ7">
        <v>52.9</v>
      </c>
      <c r="FK7" s="3" t="s">
        <v>177</v>
      </c>
      <c r="FL7" s="3" t="s">
        <v>211</v>
      </c>
      <c r="FM7" s="3" t="s">
        <v>212</v>
      </c>
      <c r="FN7" s="3" t="s">
        <v>163</v>
      </c>
      <c r="FO7" s="3" t="s">
        <v>163</v>
      </c>
      <c r="FP7" s="3" t="s">
        <v>163</v>
      </c>
      <c r="FQ7" s="3" t="s">
        <v>163</v>
      </c>
      <c r="FR7" s="3" t="s">
        <v>163</v>
      </c>
      <c r="FS7" s="3" t="s">
        <v>163</v>
      </c>
      <c r="FT7" s="3" t="s">
        <v>162</v>
      </c>
      <c r="FU7" s="3" t="s">
        <v>163</v>
      </c>
      <c r="FV7" s="24" t="s">
        <v>266</v>
      </c>
      <c r="FW7" s="3" t="s">
        <v>163</v>
      </c>
      <c r="FX7" s="3" t="s">
        <v>163</v>
      </c>
      <c r="FY7" s="3" t="s">
        <v>218</v>
      </c>
    </row>
    <row r="8" spans="1:181" x14ac:dyDescent="0.15">
      <c r="A8" s="3" t="s">
        <v>247</v>
      </c>
      <c r="B8" s="3" t="s">
        <v>157</v>
      </c>
      <c r="C8" s="3">
        <v>2013</v>
      </c>
      <c r="D8" s="2" t="str">
        <f t="shared" si="6"/>
        <v>10.1002/palo.20015</v>
      </c>
      <c r="E8">
        <f t="shared" si="0"/>
        <v>13773</v>
      </c>
      <c r="F8" t="str">
        <f t="shared" si="1"/>
        <v>NA</v>
      </c>
      <c r="G8" t="str">
        <f t="shared" si="2"/>
        <v>NA</v>
      </c>
      <c r="H8">
        <f t="shared" si="3"/>
        <v>312.8</v>
      </c>
      <c r="I8">
        <f t="shared" si="4"/>
        <v>46.7</v>
      </c>
      <c r="J8">
        <f t="shared" si="5"/>
        <v>46.7</v>
      </c>
      <c r="K8" s="2" t="s">
        <v>164</v>
      </c>
      <c r="L8" s="3" t="s">
        <v>165</v>
      </c>
      <c r="M8" s="2" t="s">
        <v>166</v>
      </c>
      <c r="N8" s="2" t="s">
        <v>167</v>
      </c>
      <c r="O8" t="s">
        <v>168</v>
      </c>
      <c r="P8" s="2" t="s">
        <v>163</v>
      </c>
      <c r="Q8" s="3" t="s">
        <v>163</v>
      </c>
      <c r="R8" s="2" t="s">
        <v>163</v>
      </c>
      <c r="S8" s="2" t="s">
        <v>163</v>
      </c>
      <c r="T8" s="2" t="s">
        <v>163</v>
      </c>
      <c r="U8" s="2" t="s">
        <v>163</v>
      </c>
      <c r="V8" s="2" t="s">
        <v>163</v>
      </c>
      <c r="W8" s="2" t="s">
        <v>163</v>
      </c>
      <c r="X8" s="2" t="s">
        <v>163</v>
      </c>
      <c r="Y8" s="2" t="s">
        <v>163</v>
      </c>
      <c r="Z8">
        <v>1.3730769230769511</v>
      </c>
      <c r="AA8" s="2" t="s">
        <v>169</v>
      </c>
      <c r="AB8">
        <v>13773</v>
      </c>
      <c r="AC8" s="2" t="s">
        <v>163</v>
      </c>
      <c r="AD8" s="3" t="s">
        <v>163</v>
      </c>
      <c r="AE8" s="3" t="s">
        <v>163</v>
      </c>
      <c r="AF8" s="3" t="s">
        <v>170</v>
      </c>
      <c r="AG8" s="3" t="s">
        <v>171</v>
      </c>
      <c r="AH8">
        <v>35.915500000000002</v>
      </c>
      <c r="AI8">
        <v>14.334300000000001</v>
      </c>
      <c r="AJ8" s="3" t="s">
        <v>163</v>
      </c>
      <c r="AK8" s="3" t="s">
        <v>163</v>
      </c>
      <c r="AL8" s="3" t="s">
        <v>163</v>
      </c>
      <c r="AM8" s="3">
        <v>550</v>
      </c>
      <c r="AN8" s="3" t="s">
        <v>163</v>
      </c>
      <c r="AO8" s="3" t="s">
        <v>172</v>
      </c>
      <c r="AP8" s="3" t="s">
        <v>173</v>
      </c>
      <c r="AQ8" s="3" t="s">
        <v>163</v>
      </c>
      <c r="AR8" s="3" t="s">
        <v>163</v>
      </c>
      <c r="AS8" s="3" t="s">
        <v>163</v>
      </c>
      <c r="AT8" s="3" t="s">
        <v>163</v>
      </c>
      <c r="AU8" s="3" t="s">
        <v>163</v>
      </c>
      <c r="AV8" s="3" t="s">
        <v>163</v>
      </c>
      <c r="AW8" s="3" t="s">
        <v>163</v>
      </c>
      <c r="AX8">
        <v>0.3</v>
      </c>
      <c r="AY8">
        <v>0.1</v>
      </c>
      <c r="AZ8" s="3" t="s">
        <v>174</v>
      </c>
      <c r="BA8" s="3" t="s">
        <v>163</v>
      </c>
      <c r="BB8" s="3" t="s">
        <v>163</v>
      </c>
      <c r="BC8" s="3" t="s">
        <v>163</v>
      </c>
      <c r="BD8" s="3" t="s">
        <v>163</v>
      </c>
      <c r="BE8" s="3" t="s">
        <v>163</v>
      </c>
      <c r="BF8" s="2" t="s">
        <v>176</v>
      </c>
      <c r="BG8" s="2" t="s">
        <v>175</v>
      </c>
      <c r="BH8">
        <v>2</v>
      </c>
      <c r="BI8" s="3" t="s">
        <v>163</v>
      </c>
      <c r="BJ8" s="3" t="s">
        <v>163</v>
      </c>
      <c r="BK8" s="3" t="s">
        <v>177</v>
      </c>
      <c r="BL8">
        <v>-5.9</v>
      </c>
      <c r="BM8" s="3" t="s">
        <v>163</v>
      </c>
      <c r="BN8" s="3" t="s">
        <v>163</v>
      </c>
      <c r="BO8">
        <v>-6.92</v>
      </c>
      <c r="BP8" s="3" t="s">
        <v>163</v>
      </c>
      <c r="BQ8" s="3" t="s">
        <v>163</v>
      </c>
      <c r="BR8" t="s">
        <v>178</v>
      </c>
      <c r="BS8" s="3" t="s">
        <v>179</v>
      </c>
      <c r="BT8">
        <v>-21.45</v>
      </c>
      <c r="BU8" s="1" t="s">
        <v>152</v>
      </c>
      <c r="BV8">
        <v>0.3</v>
      </c>
      <c r="BW8" s="3" t="s">
        <v>163</v>
      </c>
      <c r="BX8" s="3" t="s">
        <v>174</v>
      </c>
      <c r="BY8">
        <v>4</v>
      </c>
      <c r="BZ8" s="3" t="s">
        <v>163</v>
      </c>
      <c r="CA8" s="3" t="s">
        <v>163</v>
      </c>
      <c r="CB8">
        <v>-17.32</v>
      </c>
      <c r="CC8" s="3" t="s">
        <v>163</v>
      </c>
      <c r="CD8" s="3" t="s">
        <v>163</v>
      </c>
      <c r="CE8" s="3" t="s">
        <v>208</v>
      </c>
      <c r="CF8" s="3" t="s">
        <v>163</v>
      </c>
      <c r="CG8">
        <v>35</v>
      </c>
      <c r="CH8">
        <v>2.5</v>
      </c>
      <c r="CI8" s="3" t="s">
        <v>180</v>
      </c>
      <c r="CJ8" s="1" t="s">
        <v>153</v>
      </c>
      <c r="CK8" s="3">
        <f t="shared" si="7"/>
        <v>0.25000000000000011</v>
      </c>
      <c r="CL8" s="3">
        <v>0.05</v>
      </c>
      <c r="CM8" s="3">
        <v>0.05</v>
      </c>
      <c r="CN8" s="3" t="s">
        <v>180</v>
      </c>
      <c r="CO8" s="3" t="s">
        <v>163</v>
      </c>
      <c r="CP8" s="3" t="s">
        <v>163</v>
      </c>
      <c r="CQ8" s="3" t="s">
        <v>163</v>
      </c>
      <c r="CR8">
        <v>31.13</v>
      </c>
      <c r="CS8">
        <v>1</v>
      </c>
      <c r="CT8">
        <v>1</v>
      </c>
      <c r="CU8" s="3" t="s">
        <v>174</v>
      </c>
      <c r="CV8" s="3" t="s">
        <v>182</v>
      </c>
      <c r="CW8" t="s">
        <v>163</v>
      </c>
      <c r="CX8" s="3" t="s">
        <v>163</v>
      </c>
      <c r="CY8" t="s">
        <v>163</v>
      </c>
      <c r="CZ8" s="3" t="s">
        <v>163</v>
      </c>
      <c r="DA8" s="3" t="s">
        <v>163</v>
      </c>
      <c r="DB8" s="3" t="s">
        <v>163</v>
      </c>
      <c r="DC8" s="2" t="s">
        <v>216</v>
      </c>
      <c r="DD8" s="3" t="s">
        <v>163</v>
      </c>
      <c r="DE8" s="3" t="s">
        <v>163</v>
      </c>
      <c r="DF8" s="3" t="s">
        <v>163</v>
      </c>
      <c r="DG8" s="3" t="s">
        <v>163</v>
      </c>
      <c r="DH8" s="3" t="s">
        <v>163</v>
      </c>
      <c r="DI8" s="3" t="s">
        <v>163</v>
      </c>
      <c r="DJ8" s="3" t="s">
        <v>163</v>
      </c>
      <c r="DK8" s="3" t="s">
        <v>163</v>
      </c>
      <c r="DL8" s="3" t="s">
        <v>163</v>
      </c>
      <c r="DM8" s="3" t="s">
        <v>163</v>
      </c>
      <c r="DN8" s="3" t="s">
        <v>163</v>
      </c>
      <c r="DO8" s="3" t="s">
        <v>163</v>
      </c>
      <c r="DP8" s="3" t="s">
        <v>163</v>
      </c>
      <c r="DQ8" s="3" t="s">
        <v>163</v>
      </c>
      <c r="DR8" s="3" t="s">
        <v>163</v>
      </c>
      <c r="DS8" s="3" t="s">
        <v>163</v>
      </c>
      <c r="DT8" s="3" t="s">
        <v>163</v>
      </c>
      <c r="DU8" s="3" t="s">
        <v>163</v>
      </c>
      <c r="DV8" s="3" t="s">
        <v>163</v>
      </c>
      <c r="DW8" s="3" t="s">
        <v>163</v>
      </c>
      <c r="DX8" s="3" t="s">
        <v>163</v>
      </c>
      <c r="DY8" s="3" t="s">
        <v>163</v>
      </c>
      <c r="DZ8" s="3" t="s">
        <v>163</v>
      </c>
      <c r="EA8" s="3" t="s">
        <v>163</v>
      </c>
      <c r="EB8" s="3" t="s">
        <v>163</v>
      </c>
      <c r="EC8" s="3" t="s">
        <v>163</v>
      </c>
      <c r="ED8" s="3" t="s">
        <v>163</v>
      </c>
      <c r="EE8" s="3" t="s">
        <v>163</v>
      </c>
      <c r="EF8" s="3" t="s">
        <v>163</v>
      </c>
      <c r="EG8" s="3" t="s">
        <v>163</v>
      </c>
      <c r="EH8" s="3" t="s">
        <v>163</v>
      </c>
      <c r="EI8" s="3" t="s">
        <v>163</v>
      </c>
      <c r="EJ8" s="3" t="s">
        <v>163</v>
      </c>
      <c r="EK8" s="3" t="s">
        <v>163</v>
      </c>
      <c r="EL8" s="3" t="s">
        <v>163</v>
      </c>
      <c r="EM8" s="3" t="s">
        <v>163</v>
      </c>
      <c r="EN8" s="3" t="s">
        <v>163</v>
      </c>
      <c r="EO8" s="3" t="s">
        <v>163</v>
      </c>
      <c r="EP8" s="3" t="s">
        <v>163</v>
      </c>
      <c r="EQ8" s="3" t="s">
        <v>163</v>
      </c>
      <c r="ER8">
        <v>110.65</v>
      </c>
      <c r="ES8">
        <f t="shared" si="8"/>
        <v>12.865599999999999</v>
      </c>
      <c r="ET8">
        <f t="shared" si="8"/>
        <v>12.865599999999999</v>
      </c>
      <c r="EU8" s="3" t="s">
        <v>180</v>
      </c>
      <c r="EV8" s="2" t="s">
        <v>183</v>
      </c>
      <c r="EW8">
        <v>25</v>
      </c>
      <c r="EX8">
        <v>10.58</v>
      </c>
      <c r="EY8">
        <v>0.35499999999999998</v>
      </c>
      <c r="EZ8">
        <v>0.35499999999999998</v>
      </c>
      <c r="FA8" s="3" t="s">
        <v>174</v>
      </c>
      <c r="FB8" s="3" t="s">
        <v>163</v>
      </c>
      <c r="FC8">
        <v>7.67</v>
      </c>
      <c r="FD8" s="3" t="s">
        <v>163</v>
      </c>
      <c r="FE8" s="3" t="s">
        <v>163</v>
      </c>
      <c r="FF8" s="3" t="s">
        <v>163</v>
      </c>
      <c r="FG8" s="3" t="s">
        <v>210</v>
      </c>
      <c r="FH8">
        <v>312.8</v>
      </c>
      <c r="FI8">
        <v>46.7</v>
      </c>
      <c r="FJ8">
        <v>46.7</v>
      </c>
      <c r="FK8" s="3" t="s">
        <v>177</v>
      </c>
      <c r="FL8" s="3" t="s">
        <v>211</v>
      </c>
      <c r="FM8" s="3" t="s">
        <v>212</v>
      </c>
      <c r="FN8" s="3" t="s">
        <v>163</v>
      </c>
      <c r="FO8" s="3" t="s">
        <v>163</v>
      </c>
      <c r="FP8" s="3" t="s">
        <v>163</v>
      </c>
      <c r="FQ8" s="3" t="s">
        <v>163</v>
      </c>
      <c r="FR8" s="3" t="s">
        <v>163</v>
      </c>
      <c r="FS8" s="3" t="s">
        <v>163</v>
      </c>
      <c r="FT8" s="3" t="s">
        <v>162</v>
      </c>
      <c r="FU8" s="3" t="s">
        <v>163</v>
      </c>
      <c r="FV8" s="24" t="s">
        <v>267</v>
      </c>
      <c r="FW8" s="3" t="s">
        <v>163</v>
      </c>
      <c r="FX8" s="3" t="s">
        <v>163</v>
      </c>
      <c r="FY8" s="3" t="s">
        <v>218</v>
      </c>
    </row>
    <row r="9" spans="1:181" x14ac:dyDescent="0.15">
      <c r="A9" s="3" t="s">
        <v>247</v>
      </c>
      <c r="B9" s="3" t="s">
        <v>157</v>
      </c>
      <c r="C9" s="3">
        <v>2013</v>
      </c>
      <c r="D9" s="2" t="str">
        <f t="shared" si="6"/>
        <v>10.1002/palo.20015</v>
      </c>
      <c r="E9">
        <f t="shared" si="0"/>
        <v>13766</v>
      </c>
      <c r="F9" t="str">
        <f t="shared" si="1"/>
        <v>NA</v>
      </c>
      <c r="G9" t="str">
        <f t="shared" si="2"/>
        <v>NA</v>
      </c>
      <c r="H9">
        <f t="shared" si="3"/>
        <v>340.6</v>
      </c>
      <c r="I9">
        <f t="shared" si="4"/>
        <v>55.6</v>
      </c>
      <c r="J9">
        <f t="shared" si="5"/>
        <v>55.6</v>
      </c>
      <c r="K9" s="2" t="s">
        <v>164</v>
      </c>
      <c r="L9" s="3" t="s">
        <v>165</v>
      </c>
      <c r="M9" s="2" t="s">
        <v>166</v>
      </c>
      <c r="N9" s="2" t="s">
        <v>167</v>
      </c>
      <c r="O9" t="s">
        <v>168</v>
      </c>
      <c r="P9" s="2" t="s">
        <v>163</v>
      </c>
      <c r="Q9" s="3" t="s">
        <v>163</v>
      </c>
      <c r="R9" s="2" t="s">
        <v>163</v>
      </c>
      <c r="S9" s="2" t="s">
        <v>163</v>
      </c>
      <c r="T9" s="2" t="s">
        <v>163</v>
      </c>
      <c r="U9" s="2" t="s">
        <v>163</v>
      </c>
      <c r="V9" s="2" t="s">
        <v>163</v>
      </c>
      <c r="W9" s="2" t="s">
        <v>163</v>
      </c>
      <c r="X9" s="2" t="s">
        <v>163</v>
      </c>
      <c r="Y9" s="2" t="s">
        <v>163</v>
      </c>
      <c r="Z9">
        <v>1.75</v>
      </c>
      <c r="AA9" s="2" t="s">
        <v>169</v>
      </c>
      <c r="AB9">
        <v>13766</v>
      </c>
      <c r="AC9" s="2" t="s">
        <v>163</v>
      </c>
      <c r="AD9" s="3" t="s">
        <v>163</v>
      </c>
      <c r="AE9" s="3" t="s">
        <v>163</v>
      </c>
      <c r="AF9" s="3" t="s">
        <v>170</v>
      </c>
      <c r="AG9" s="3" t="s">
        <v>171</v>
      </c>
      <c r="AH9">
        <v>35.915500000000002</v>
      </c>
      <c r="AI9">
        <v>14.334300000000001</v>
      </c>
      <c r="AJ9" s="3" t="s">
        <v>163</v>
      </c>
      <c r="AK9" s="3" t="s">
        <v>163</v>
      </c>
      <c r="AL9" s="3" t="s">
        <v>163</v>
      </c>
      <c r="AM9" s="3">
        <v>550</v>
      </c>
      <c r="AN9" s="3" t="s">
        <v>163</v>
      </c>
      <c r="AO9" s="3" t="s">
        <v>172</v>
      </c>
      <c r="AP9" s="3" t="s">
        <v>173</v>
      </c>
      <c r="AQ9" s="3" t="s">
        <v>163</v>
      </c>
      <c r="AR9" s="3" t="s">
        <v>163</v>
      </c>
      <c r="AS9" s="3" t="s">
        <v>163</v>
      </c>
      <c r="AT9" s="3" t="s">
        <v>163</v>
      </c>
      <c r="AU9" s="3" t="s">
        <v>163</v>
      </c>
      <c r="AV9" s="3" t="s">
        <v>163</v>
      </c>
      <c r="AW9" s="3" t="s">
        <v>163</v>
      </c>
      <c r="AX9">
        <v>0.19</v>
      </c>
      <c r="AY9">
        <v>0.1</v>
      </c>
      <c r="AZ9" s="3" t="s">
        <v>174</v>
      </c>
      <c r="BA9" s="3" t="s">
        <v>163</v>
      </c>
      <c r="BB9" s="3" t="s">
        <v>163</v>
      </c>
      <c r="BC9" s="3" t="s">
        <v>163</v>
      </c>
      <c r="BD9" s="3" t="s">
        <v>163</v>
      </c>
      <c r="BE9" s="3" t="s">
        <v>163</v>
      </c>
      <c r="BF9" s="2" t="s">
        <v>176</v>
      </c>
      <c r="BG9" s="2" t="s">
        <v>175</v>
      </c>
      <c r="BH9">
        <v>2</v>
      </c>
      <c r="BI9" s="3" t="s">
        <v>163</v>
      </c>
      <c r="BJ9" s="3" t="s">
        <v>163</v>
      </c>
      <c r="BK9" s="3" t="s">
        <v>177</v>
      </c>
      <c r="BL9">
        <v>-5.97</v>
      </c>
      <c r="BM9" s="3" t="s">
        <v>163</v>
      </c>
      <c r="BN9" s="3" t="s">
        <v>163</v>
      </c>
      <c r="BO9">
        <v>-7</v>
      </c>
      <c r="BP9" s="3" t="s">
        <v>163</v>
      </c>
      <c r="BQ9" s="3" t="s">
        <v>163</v>
      </c>
      <c r="BR9" t="s">
        <v>178</v>
      </c>
      <c r="BS9" s="3" t="s">
        <v>179</v>
      </c>
      <c r="BT9">
        <v>-22.58</v>
      </c>
      <c r="BU9" s="1" t="s">
        <v>152</v>
      </c>
      <c r="BV9">
        <v>0.3</v>
      </c>
      <c r="BW9" s="3" t="s">
        <v>163</v>
      </c>
      <c r="BX9" s="3" t="s">
        <v>174</v>
      </c>
      <c r="BY9">
        <v>4</v>
      </c>
      <c r="BZ9" s="3" t="s">
        <v>163</v>
      </c>
      <c r="CA9" s="3" t="s">
        <v>163</v>
      </c>
      <c r="CB9">
        <v>-18.46</v>
      </c>
      <c r="CC9" s="3" t="s">
        <v>163</v>
      </c>
      <c r="CD9" s="3" t="s">
        <v>163</v>
      </c>
      <c r="CE9" s="3" t="s">
        <v>208</v>
      </c>
      <c r="CF9" s="3" t="s">
        <v>163</v>
      </c>
      <c r="CG9">
        <v>35</v>
      </c>
      <c r="CH9">
        <v>2.5</v>
      </c>
      <c r="CI9" s="3" t="s">
        <v>180</v>
      </c>
      <c r="CJ9" s="1" t="s">
        <v>153</v>
      </c>
      <c r="CK9" s="3">
        <f t="shared" si="7"/>
        <v>0.25000000000000011</v>
      </c>
      <c r="CL9" s="3">
        <v>0.05</v>
      </c>
      <c r="CM9" s="3">
        <v>0.05</v>
      </c>
      <c r="CN9" s="3" t="s">
        <v>180</v>
      </c>
      <c r="CO9" s="3" t="s">
        <v>163</v>
      </c>
      <c r="CP9" s="3" t="s">
        <v>163</v>
      </c>
      <c r="CQ9" s="3" t="s">
        <v>163</v>
      </c>
      <c r="CR9">
        <v>31.41</v>
      </c>
      <c r="CS9">
        <v>1</v>
      </c>
      <c r="CT9">
        <v>1</v>
      </c>
      <c r="CU9" s="3" t="s">
        <v>174</v>
      </c>
      <c r="CV9" s="3" t="s">
        <v>181</v>
      </c>
      <c r="CW9">
        <v>1</v>
      </c>
      <c r="CX9" s="3" t="s">
        <v>163</v>
      </c>
      <c r="CY9">
        <v>29</v>
      </c>
      <c r="CZ9" s="3" t="s">
        <v>163</v>
      </c>
      <c r="DA9" s="3" t="s">
        <v>163</v>
      </c>
      <c r="DB9" s="3" t="s">
        <v>163</v>
      </c>
      <c r="DC9" s="2" t="s">
        <v>216</v>
      </c>
      <c r="DD9" s="3" t="s">
        <v>163</v>
      </c>
      <c r="DE9" s="3" t="s">
        <v>163</v>
      </c>
      <c r="DF9" s="3" t="s">
        <v>163</v>
      </c>
      <c r="DG9" s="3" t="s">
        <v>163</v>
      </c>
      <c r="DH9" s="3" t="s">
        <v>163</v>
      </c>
      <c r="DI9" s="3" t="s">
        <v>163</v>
      </c>
      <c r="DJ9" s="3" t="s">
        <v>163</v>
      </c>
      <c r="DK9" s="3" t="s">
        <v>163</v>
      </c>
      <c r="DL9" s="3" t="s">
        <v>163</v>
      </c>
      <c r="DM9" s="3" t="s">
        <v>163</v>
      </c>
      <c r="DN9" s="3" t="s">
        <v>163</v>
      </c>
      <c r="DO9" s="3" t="s">
        <v>163</v>
      </c>
      <c r="DP9" s="3" t="s">
        <v>163</v>
      </c>
      <c r="DQ9" s="3" t="s">
        <v>163</v>
      </c>
      <c r="DR9" s="3" t="s">
        <v>163</v>
      </c>
      <c r="DS9" s="3" t="s">
        <v>163</v>
      </c>
      <c r="DT9" s="3" t="s">
        <v>163</v>
      </c>
      <c r="DU9" s="3" t="s">
        <v>163</v>
      </c>
      <c r="DV9" s="3" t="s">
        <v>163</v>
      </c>
      <c r="DW9" s="3" t="s">
        <v>163</v>
      </c>
      <c r="DX9" s="3" t="s">
        <v>163</v>
      </c>
      <c r="DY9" s="3" t="s">
        <v>163</v>
      </c>
      <c r="DZ9" s="3" t="s">
        <v>163</v>
      </c>
      <c r="EA9" s="3" t="s">
        <v>163</v>
      </c>
      <c r="EB9" s="3" t="s">
        <v>163</v>
      </c>
      <c r="EC9" s="3" t="s">
        <v>163</v>
      </c>
      <c r="ED9" s="3" t="s">
        <v>163</v>
      </c>
      <c r="EE9" s="3" t="s">
        <v>163</v>
      </c>
      <c r="EF9" s="3" t="s">
        <v>163</v>
      </c>
      <c r="EG9" s="3" t="s">
        <v>163</v>
      </c>
      <c r="EH9" s="3" t="s">
        <v>163</v>
      </c>
      <c r="EI9" s="3" t="s">
        <v>163</v>
      </c>
      <c r="EJ9" s="3" t="s">
        <v>163</v>
      </c>
      <c r="EK9" s="3" t="s">
        <v>163</v>
      </c>
      <c r="EL9" s="3" t="s">
        <v>163</v>
      </c>
      <c r="EM9" s="3" t="s">
        <v>163</v>
      </c>
      <c r="EN9" s="3" t="s">
        <v>163</v>
      </c>
      <c r="EO9" s="3" t="s">
        <v>163</v>
      </c>
      <c r="EP9" s="3" t="s">
        <v>163</v>
      </c>
      <c r="EQ9" s="3" t="s">
        <v>163</v>
      </c>
      <c r="ER9">
        <v>110.65</v>
      </c>
      <c r="ES9">
        <f t="shared" si="8"/>
        <v>12.865599999999999</v>
      </c>
      <c r="ET9">
        <f t="shared" si="8"/>
        <v>12.865599999999999</v>
      </c>
      <c r="EU9" s="3" t="s">
        <v>180</v>
      </c>
      <c r="EV9" s="2" t="s">
        <v>183</v>
      </c>
      <c r="EW9">
        <v>25</v>
      </c>
      <c r="EX9">
        <v>11.68</v>
      </c>
      <c r="EY9">
        <v>0.51500000000000001</v>
      </c>
      <c r="EZ9">
        <v>0.51500000000000001</v>
      </c>
      <c r="FA9" s="3" t="s">
        <v>174</v>
      </c>
      <c r="FB9" s="3" t="s">
        <v>163</v>
      </c>
      <c r="FC9">
        <v>8.3000000000000007</v>
      </c>
      <c r="FD9" s="3" t="s">
        <v>163</v>
      </c>
      <c r="FE9" s="3" t="s">
        <v>163</v>
      </c>
      <c r="FF9" s="3" t="s">
        <v>163</v>
      </c>
      <c r="FG9" s="3" t="s">
        <v>210</v>
      </c>
      <c r="FH9">
        <v>340.6</v>
      </c>
      <c r="FI9">
        <v>55.6</v>
      </c>
      <c r="FJ9">
        <v>55.6</v>
      </c>
      <c r="FK9" s="3" t="s">
        <v>177</v>
      </c>
      <c r="FL9" s="3" t="s">
        <v>211</v>
      </c>
      <c r="FM9" s="3" t="s">
        <v>212</v>
      </c>
      <c r="FN9" s="3" t="s">
        <v>163</v>
      </c>
      <c r="FO9" s="3" t="s">
        <v>163</v>
      </c>
      <c r="FP9" s="3" t="s">
        <v>163</v>
      </c>
      <c r="FQ9" s="3" t="s">
        <v>163</v>
      </c>
      <c r="FR9" s="3" t="s">
        <v>163</v>
      </c>
      <c r="FS9" s="3" t="s">
        <v>163</v>
      </c>
      <c r="FT9" s="3" t="s">
        <v>162</v>
      </c>
      <c r="FU9" s="3" t="s">
        <v>163</v>
      </c>
      <c r="FV9" s="24" t="s">
        <v>268</v>
      </c>
      <c r="FW9" s="3" t="s">
        <v>163</v>
      </c>
      <c r="FX9" s="3" t="s">
        <v>163</v>
      </c>
      <c r="FY9" s="3" t="s">
        <v>218</v>
      </c>
    </row>
    <row r="10" spans="1:181" x14ac:dyDescent="0.15">
      <c r="A10" s="3" t="s">
        <v>247</v>
      </c>
      <c r="B10" s="3" t="s">
        <v>157</v>
      </c>
      <c r="C10" s="3">
        <v>2013</v>
      </c>
      <c r="D10" s="2" t="str">
        <f t="shared" si="6"/>
        <v>10.1002/palo.20015</v>
      </c>
      <c r="E10">
        <f t="shared" si="0"/>
        <v>13760</v>
      </c>
      <c r="F10" t="str">
        <f t="shared" si="1"/>
        <v>NA</v>
      </c>
      <c r="G10" t="str">
        <f t="shared" si="2"/>
        <v>NA</v>
      </c>
      <c r="H10">
        <f t="shared" si="3"/>
        <v>292.5</v>
      </c>
      <c r="I10">
        <f t="shared" si="4"/>
        <v>43.8</v>
      </c>
      <c r="J10">
        <f t="shared" si="5"/>
        <v>43.8</v>
      </c>
      <c r="K10" s="2" t="s">
        <v>164</v>
      </c>
      <c r="L10" s="3" t="s">
        <v>165</v>
      </c>
      <c r="M10" s="2" t="s">
        <v>166</v>
      </c>
      <c r="N10" s="2" t="s">
        <v>167</v>
      </c>
      <c r="O10" t="s">
        <v>168</v>
      </c>
      <c r="P10" s="2" t="s">
        <v>163</v>
      </c>
      <c r="Q10" s="3" t="s">
        <v>163</v>
      </c>
      <c r="R10" s="2" t="s">
        <v>163</v>
      </c>
      <c r="S10" s="2" t="s">
        <v>163</v>
      </c>
      <c r="T10" s="2" t="s">
        <v>163</v>
      </c>
      <c r="U10" s="2" t="s">
        <v>163</v>
      </c>
      <c r="V10" s="2" t="s">
        <v>163</v>
      </c>
      <c r="W10" s="2" t="s">
        <v>163</v>
      </c>
      <c r="X10" s="2" t="s">
        <v>163</v>
      </c>
      <c r="Y10" s="2" t="s">
        <v>163</v>
      </c>
      <c r="Z10">
        <v>2.0730769230769965</v>
      </c>
      <c r="AA10" s="2" t="s">
        <v>169</v>
      </c>
      <c r="AB10">
        <v>13760</v>
      </c>
      <c r="AC10" s="2" t="s">
        <v>163</v>
      </c>
      <c r="AD10" s="3" t="s">
        <v>163</v>
      </c>
      <c r="AE10" s="3" t="s">
        <v>163</v>
      </c>
      <c r="AF10" s="3" t="s">
        <v>170</v>
      </c>
      <c r="AG10" s="3" t="s">
        <v>171</v>
      </c>
      <c r="AH10">
        <v>35.915500000000002</v>
      </c>
      <c r="AI10">
        <v>14.334300000000001</v>
      </c>
      <c r="AJ10" s="3" t="s">
        <v>163</v>
      </c>
      <c r="AK10" s="3" t="s">
        <v>163</v>
      </c>
      <c r="AL10" s="3" t="s">
        <v>163</v>
      </c>
      <c r="AM10" s="3">
        <v>550</v>
      </c>
      <c r="AN10" s="3" t="s">
        <v>163</v>
      </c>
      <c r="AO10" s="3" t="s">
        <v>172</v>
      </c>
      <c r="AP10" s="3" t="s">
        <v>173</v>
      </c>
      <c r="AQ10" s="3" t="s">
        <v>163</v>
      </c>
      <c r="AR10" s="3" t="s">
        <v>163</v>
      </c>
      <c r="AS10" s="3" t="s">
        <v>163</v>
      </c>
      <c r="AT10" s="3" t="s">
        <v>163</v>
      </c>
      <c r="AU10" s="3" t="s">
        <v>163</v>
      </c>
      <c r="AV10" s="3" t="s">
        <v>163</v>
      </c>
      <c r="AW10" s="3" t="s">
        <v>163</v>
      </c>
      <c r="AX10">
        <v>0.38</v>
      </c>
      <c r="AY10">
        <v>0.1</v>
      </c>
      <c r="AZ10" s="3" t="s">
        <v>174</v>
      </c>
      <c r="BA10" s="3" t="s">
        <v>163</v>
      </c>
      <c r="BB10" s="3" t="s">
        <v>163</v>
      </c>
      <c r="BC10" s="3" t="s">
        <v>163</v>
      </c>
      <c r="BD10" s="3" t="s">
        <v>163</v>
      </c>
      <c r="BE10" s="3" t="s">
        <v>163</v>
      </c>
      <c r="BF10" s="2" t="s">
        <v>176</v>
      </c>
      <c r="BG10" s="2" t="s">
        <v>175</v>
      </c>
      <c r="BH10">
        <v>2</v>
      </c>
      <c r="BI10" s="3" t="s">
        <v>163</v>
      </c>
      <c r="BJ10" s="3" t="s">
        <v>163</v>
      </c>
      <c r="BK10" s="3" t="s">
        <v>177</v>
      </c>
      <c r="BL10">
        <v>-5.95</v>
      </c>
      <c r="BM10" s="3" t="s">
        <v>163</v>
      </c>
      <c r="BN10" s="3" t="s">
        <v>163</v>
      </c>
      <c r="BO10">
        <v>-6.98</v>
      </c>
      <c r="BP10" s="3" t="s">
        <v>163</v>
      </c>
      <c r="BQ10" s="3" t="s">
        <v>163</v>
      </c>
      <c r="BR10" t="s">
        <v>178</v>
      </c>
      <c r="BS10" s="3" t="s">
        <v>179</v>
      </c>
      <c r="BT10">
        <v>-20.91</v>
      </c>
      <c r="BU10" s="1" t="s">
        <v>152</v>
      </c>
      <c r="BV10">
        <v>0.3</v>
      </c>
      <c r="BW10" s="3" t="s">
        <v>163</v>
      </c>
      <c r="BX10" s="3" t="s">
        <v>174</v>
      </c>
      <c r="BY10">
        <v>4</v>
      </c>
      <c r="BZ10" s="3" t="s">
        <v>163</v>
      </c>
      <c r="CA10" s="3" t="s">
        <v>163</v>
      </c>
      <c r="CB10">
        <v>-16.78</v>
      </c>
      <c r="CC10" s="3" t="s">
        <v>163</v>
      </c>
      <c r="CD10" s="3" t="s">
        <v>163</v>
      </c>
      <c r="CE10" s="3" t="s">
        <v>208</v>
      </c>
      <c r="CF10" s="3" t="s">
        <v>163</v>
      </c>
      <c r="CG10">
        <v>35</v>
      </c>
      <c r="CH10">
        <v>2.5</v>
      </c>
      <c r="CI10" s="3" t="s">
        <v>180</v>
      </c>
      <c r="CJ10" s="1" t="s">
        <v>153</v>
      </c>
      <c r="CK10" s="3">
        <f t="shared" si="7"/>
        <v>0.25000000000000011</v>
      </c>
      <c r="CL10" s="3">
        <v>0.05</v>
      </c>
      <c r="CM10" s="3">
        <v>0.05</v>
      </c>
      <c r="CN10" s="3" t="s">
        <v>180</v>
      </c>
      <c r="CO10" s="3" t="s">
        <v>163</v>
      </c>
      <c r="CP10" s="3" t="s">
        <v>163</v>
      </c>
      <c r="CQ10" s="3" t="s">
        <v>163</v>
      </c>
      <c r="CR10">
        <v>30.01</v>
      </c>
      <c r="CS10">
        <v>1</v>
      </c>
      <c r="CT10">
        <v>1</v>
      </c>
      <c r="CU10" s="3" t="s">
        <v>174</v>
      </c>
      <c r="CV10" s="3" t="s">
        <v>182</v>
      </c>
      <c r="CW10" t="s">
        <v>163</v>
      </c>
      <c r="CX10" s="3" t="s">
        <v>163</v>
      </c>
      <c r="CY10" t="s">
        <v>163</v>
      </c>
      <c r="CZ10" s="3" t="s">
        <v>163</v>
      </c>
      <c r="DA10" s="3" t="s">
        <v>163</v>
      </c>
      <c r="DB10" s="3" t="s">
        <v>163</v>
      </c>
      <c r="DC10" s="2" t="s">
        <v>216</v>
      </c>
      <c r="DD10" s="3" t="s">
        <v>163</v>
      </c>
      <c r="DE10" s="3" t="s">
        <v>163</v>
      </c>
      <c r="DF10" s="3" t="s">
        <v>163</v>
      </c>
      <c r="DG10" s="3" t="s">
        <v>163</v>
      </c>
      <c r="DH10" s="3" t="s">
        <v>163</v>
      </c>
      <c r="DI10" s="3" t="s">
        <v>163</v>
      </c>
      <c r="DJ10" s="3" t="s">
        <v>163</v>
      </c>
      <c r="DK10" s="3" t="s">
        <v>163</v>
      </c>
      <c r="DL10" s="3" t="s">
        <v>163</v>
      </c>
      <c r="DM10" s="3" t="s">
        <v>163</v>
      </c>
      <c r="DN10" s="3" t="s">
        <v>163</v>
      </c>
      <c r="DO10" s="3" t="s">
        <v>163</v>
      </c>
      <c r="DP10" s="3" t="s">
        <v>163</v>
      </c>
      <c r="DQ10" s="3" t="s">
        <v>163</v>
      </c>
      <c r="DR10" s="3" t="s">
        <v>163</v>
      </c>
      <c r="DS10" s="3" t="s">
        <v>163</v>
      </c>
      <c r="DT10" s="3" t="s">
        <v>163</v>
      </c>
      <c r="DU10" s="3" t="s">
        <v>163</v>
      </c>
      <c r="DV10" s="3" t="s">
        <v>163</v>
      </c>
      <c r="DW10" s="3" t="s">
        <v>163</v>
      </c>
      <c r="DX10" s="3" t="s">
        <v>163</v>
      </c>
      <c r="DY10" s="3" t="s">
        <v>163</v>
      </c>
      <c r="DZ10" s="3" t="s">
        <v>163</v>
      </c>
      <c r="EA10" s="3" t="s">
        <v>163</v>
      </c>
      <c r="EB10" s="3" t="s">
        <v>163</v>
      </c>
      <c r="EC10" s="3" t="s">
        <v>163</v>
      </c>
      <c r="ED10" s="3" t="s">
        <v>163</v>
      </c>
      <c r="EE10" s="3" t="s">
        <v>163</v>
      </c>
      <c r="EF10" s="3" t="s">
        <v>163</v>
      </c>
      <c r="EG10" s="3" t="s">
        <v>163</v>
      </c>
      <c r="EH10" s="3" t="s">
        <v>163</v>
      </c>
      <c r="EI10" s="3" t="s">
        <v>163</v>
      </c>
      <c r="EJ10" s="3" t="s">
        <v>163</v>
      </c>
      <c r="EK10" s="3" t="s">
        <v>163</v>
      </c>
      <c r="EL10" s="3" t="s">
        <v>163</v>
      </c>
      <c r="EM10" s="3" t="s">
        <v>163</v>
      </c>
      <c r="EN10" s="3" t="s">
        <v>163</v>
      </c>
      <c r="EO10" s="3" t="s">
        <v>163</v>
      </c>
      <c r="EP10" s="3" t="s">
        <v>163</v>
      </c>
      <c r="EQ10" s="3" t="s">
        <v>163</v>
      </c>
      <c r="ER10">
        <v>110.65</v>
      </c>
      <c r="ES10">
        <f t="shared" si="8"/>
        <v>12.865599999999999</v>
      </c>
      <c r="ET10">
        <f t="shared" si="8"/>
        <v>12.865599999999999</v>
      </c>
      <c r="EU10" s="3" t="s">
        <v>180</v>
      </c>
      <c r="EV10" s="2" t="s">
        <v>183</v>
      </c>
      <c r="EW10">
        <v>25</v>
      </c>
      <c r="EX10">
        <v>9.9700000000000006</v>
      </c>
      <c r="EY10">
        <v>0.34</v>
      </c>
      <c r="EZ10">
        <v>0.34</v>
      </c>
      <c r="FA10" s="3" t="s">
        <v>174</v>
      </c>
      <c r="FB10" s="3" t="s">
        <v>163</v>
      </c>
      <c r="FC10">
        <v>7.36</v>
      </c>
      <c r="FD10" s="3" t="s">
        <v>163</v>
      </c>
      <c r="FE10" s="3" t="s">
        <v>163</v>
      </c>
      <c r="FF10" s="3" t="s">
        <v>163</v>
      </c>
      <c r="FG10" s="3" t="s">
        <v>210</v>
      </c>
      <c r="FH10">
        <v>292.5</v>
      </c>
      <c r="FI10">
        <v>43.8</v>
      </c>
      <c r="FJ10">
        <v>43.8</v>
      </c>
      <c r="FK10" s="3" t="s">
        <v>177</v>
      </c>
      <c r="FL10" s="3" t="s">
        <v>211</v>
      </c>
      <c r="FM10" s="3" t="s">
        <v>212</v>
      </c>
      <c r="FN10" s="3" t="s">
        <v>163</v>
      </c>
      <c r="FO10" s="3" t="s">
        <v>163</v>
      </c>
      <c r="FP10" s="3" t="s">
        <v>163</v>
      </c>
      <c r="FQ10" s="3" t="s">
        <v>163</v>
      </c>
      <c r="FR10" s="3" t="s">
        <v>163</v>
      </c>
      <c r="FS10" s="3" t="s">
        <v>163</v>
      </c>
      <c r="FT10" s="3" t="s">
        <v>162</v>
      </c>
      <c r="FU10" s="3" t="s">
        <v>163</v>
      </c>
      <c r="FV10" s="24" t="s">
        <v>269</v>
      </c>
      <c r="FW10" s="3" t="s">
        <v>163</v>
      </c>
      <c r="FX10" s="3" t="s">
        <v>163</v>
      </c>
      <c r="FY10" s="3" t="s">
        <v>218</v>
      </c>
    </row>
    <row r="11" spans="1:181" x14ac:dyDescent="0.15">
      <c r="A11" s="3" t="s">
        <v>247</v>
      </c>
      <c r="B11" s="3" t="s">
        <v>157</v>
      </c>
      <c r="C11" s="3">
        <v>2013</v>
      </c>
      <c r="D11" s="2" t="str">
        <f t="shared" si="6"/>
        <v>10.1002/palo.20015</v>
      </c>
      <c r="E11">
        <f t="shared" si="0"/>
        <v>13753</v>
      </c>
      <c r="F11" t="str">
        <f t="shared" si="1"/>
        <v>NA</v>
      </c>
      <c r="G11" t="str">
        <f t="shared" si="2"/>
        <v>NA</v>
      </c>
      <c r="H11">
        <f t="shared" si="3"/>
        <v>305.2</v>
      </c>
      <c r="I11">
        <f t="shared" si="4"/>
        <v>52.2</v>
      </c>
      <c r="J11">
        <f t="shared" si="5"/>
        <v>52.2</v>
      </c>
      <c r="K11" s="2" t="s">
        <v>164</v>
      </c>
      <c r="L11" s="3" t="s">
        <v>165</v>
      </c>
      <c r="M11" s="2" t="s">
        <v>166</v>
      </c>
      <c r="N11" s="2" t="s">
        <v>167</v>
      </c>
      <c r="O11" t="s">
        <v>168</v>
      </c>
      <c r="P11" s="2" t="s">
        <v>163</v>
      </c>
      <c r="Q11" s="3" t="s">
        <v>163</v>
      </c>
      <c r="R11" s="2" t="s">
        <v>163</v>
      </c>
      <c r="S11" s="2" t="s">
        <v>163</v>
      </c>
      <c r="T11" s="2" t="s">
        <v>163</v>
      </c>
      <c r="U11" s="2" t="s">
        <v>163</v>
      </c>
      <c r="V11" s="2" t="s">
        <v>163</v>
      </c>
      <c r="W11" s="2" t="s">
        <v>163</v>
      </c>
      <c r="X11" s="2" t="s">
        <v>163</v>
      </c>
      <c r="Y11" s="2" t="s">
        <v>163</v>
      </c>
      <c r="Z11">
        <v>2.4500000000000455</v>
      </c>
      <c r="AA11" s="2" t="s">
        <v>169</v>
      </c>
      <c r="AB11">
        <v>13753</v>
      </c>
      <c r="AC11" s="2" t="s">
        <v>163</v>
      </c>
      <c r="AD11" s="3" t="s">
        <v>163</v>
      </c>
      <c r="AE11" s="3" t="s">
        <v>163</v>
      </c>
      <c r="AF11" s="3" t="s">
        <v>170</v>
      </c>
      <c r="AG11" s="3" t="s">
        <v>171</v>
      </c>
      <c r="AH11">
        <v>35.915500000000002</v>
      </c>
      <c r="AI11">
        <v>14.334300000000001</v>
      </c>
      <c r="AJ11" s="3" t="s">
        <v>163</v>
      </c>
      <c r="AK11" s="3" t="s">
        <v>163</v>
      </c>
      <c r="AL11" s="3" t="s">
        <v>163</v>
      </c>
      <c r="AM11" s="3">
        <v>550</v>
      </c>
      <c r="AN11" s="3" t="s">
        <v>163</v>
      </c>
      <c r="AO11" s="3" t="s">
        <v>172</v>
      </c>
      <c r="AP11" s="3" t="s">
        <v>173</v>
      </c>
      <c r="AQ11" s="3" t="s">
        <v>163</v>
      </c>
      <c r="AR11" s="3" t="s">
        <v>163</v>
      </c>
      <c r="AS11" s="3" t="s">
        <v>163</v>
      </c>
      <c r="AT11" s="3" t="s">
        <v>163</v>
      </c>
      <c r="AU11" s="3" t="s">
        <v>163</v>
      </c>
      <c r="AV11" s="3" t="s">
        <v>163</v>
      </c>
      <c r="AW11" s="3" t="s">
        <v>163</v>
      </c>
      <c r="AX11">
        <v>1.04</v>
      </c>
      <c r="AY11">
        <v>0.1</v>
      </c>
      <c r="AZ11" s="3" t="s">
        <v>174</v>
      </c>
      <c r="BA11" s="3" t="s">
        <v>163</v>
      </c>
      <c r="BB11" s="3" t="s">
        <v>163</v>
      </c>
      <c r="BC11" s="3" t="s">
        <v>163</v>
      </c>
      <c r="BD11" s="3" t="s">
        <v>163</v>
      </c>
      <c r="BE11" s="3" t="s">
        <v>163</v>
      </c>
      <c r="BF11" s="2" t="s">
        <v>176</v>
      </c>
      <c r="BG11" s="2" t="s">
        <v>175</v>
      </c>
      <c r="BH11">
        <v>2</v>
      </c>
      <c r="BI11" s="3" t="s">
        <v>163</v>
      </c>
      <c r="BJ11" s="3" t="s">
        <v>163</v>
      </c>
      <c r="BK11" s="3" t="s">
        <v>177</v>
      </c>
      <c r="BL11">
        <v>-5.46</v>
      </c>
      <c r="BM11" s="3" t="s">
        <v>163</v>
      </c>
      <c r="BN11" s="3" t="s">
        <v>163</v>
      </c>
      <c r="BO11">
        <v>-6.5</v>
      </c>
      <c r="BP11" s="3" t="s">
        <v>163</v>
      </c>
      <c r="BQ11" s="3" t="s">
        <v>163</v>
      </c>
      <c r="BR11" t="s">
        <v>178</v>
      </c>
      <c r="BS11" s="3" t="s">
        <v>179</v>
      </c>
      <c r="BT11">
        <v>-21.49</v>
      </c>
      <c r="BU11" s="1" t="s">
        <v>152</v>
      </c>
      <c r="BV11">
        <v>0.3</v>
      </c>
      <c r="BW11" s="3" t="s">
        <v>163</v>
      </c>
      <c r="BX11" s="3" t="s">
        <v>174</v>
      </c>
      <c r="BY11">
        <v>4</v>
      </c>
      <c r="BZ11" s="3" t="s">
        <v>163</v>
      </c>
      <c r="CA11" s="3" t="s">
        <v>163</v>
      </c>
      <c r="CB11">
        <v>-17.36</v>
      </c>
      <c r="CC11" s="3" t="s">
        <v>163</v>
      </c>
      <c r="CD11" s="3" t="s">
        <v>163</v>
      </c>
      <c r="CE11" s="3" t="s">
        <v>208</v>
      </c>
      <c r="CF11" s="3" t="s">
        <v>163</v>
      </c>
      <c r="CG11">
        <v>35</v>
      </c>
      <c r="CH11">
        <v>2.5</v>
      </c>
      <c r="CI11" s="3" t="s">
        <v>180</v>
      </c>
      <c r="CJ11" s="1" t="s">
        <v>153</v>
      </c>
      <c r="CK11" s="3">
        <f t="shared" si="7"/>
        <v>0.25000000000000011</v>
      </c>
      <c r="CL11" s="3">
        <v>0.05</v>
      </c>
      <c r="CM11" s="3">
        <v>0.05</v>
      </c>
      <c r="CN11" s="3" t="s">
        <v>180</v>
      </c>
      <c r="CO11" s="3" t="s">
        <v>163</v>
      </c>
      <c r="CP11" s="3" t="s">
        <v>163</v>
      </c>
      <c r="CQ11" s="3" t="s">
        <v>163</v>
      </c>
      <c r="CR11">
        <v>28.62</v>
      </c>
      <c r="CS11">
        <v>1</v>
      </c>
      <c r="CT11">
        <v>1</v>
      </c>
      <c r="CU11" s="3" t="s">
        <v>174</v>
      </c>
      <c r="CV11" s="3" t="s">
        <v>181</v>
      </c>
      <c r="CW11">
        <v>1</v>
      </c>
      <c r="CX11" s="3" t="s">
        <v>163</v>
      </c>
      <c r="CY11">
        <v>29</v>
      </c>
      <c r="CZ11" s="3" t="s">
        <v>163</v>
      </c>
      <c r="DA11" s="3" t="s">
        <v>163</v>
      </c>
      <c r="DB11" s="3" t="s">
        <v>163</v>
      </c>
      <c r="DC11" s="2" t="s">
        <v>216</v>
      </c>
      <c r="DD11" s="3" t="s">
        <v>163</v>
      </c>
      <c r="DE11" s="3" t="s">
        <v>163</v>
      </c>
      <c r="DF11" s="3" t="s">
        <v>163</v>
      </c>
      <c r="DG11" s="3" t="s">
        <v>163</v>
      </c>
      <c r="DH11" s="3" t="s">
        <v>163</v>
      </c>
      <c r="DI11" s="3" t="s">
        <v>163</v>
      </c>
      <c r="DJ11" s="3" t="s">
        <v>163</v>
      </c>
      <c r="DK11" s="3" t="s">
        <v>163</v>
      </c>
      <c r="DL11" s="3" t="s">
        <v>163</v>
      </c>
      <c r="DM11" s="3" t="s">
        <v>163</v>
      </c>
      <c r="DN11" s="3" t="s">
        <v>163</v>
      </c>
      <c r="DO11" s="3" t="s">
        <v>163</v>
      </c>
      <c r="DP11" s="3" t="s">
        <v>163</v>
      </c>
      <c r="DQ11" s="3" t="s">
        <v>163</v>
      </c>
      <c r="DR11" s="3" t="s">
        <v>163</v>
      </c>
      <c r="DS11" s="3" t="s">
        <v>163</v>
      </c>
      <c r="DT11" s="3" t="s">
        <v>163</v>
      </c>
      <c r="DU11" s="3" t="s">
        <v>163</v>
      </c>
      <c r="DV11" s="3" t="s">
        <v>163</v>
      </c>
      <c r="DW11" s="3" t="s">
        <v>163</v>
      </c>
      <c r="DX11" s="3" t="s">
        <v>163</v>
      </c>
      <c r="DY11" s="3" t="s">
        <v>163</v>
      </c>
      <c r="DZ11" s="3" t="s">
        <v>163</v>
      </c>
      <c r="EA11" s="3" t="s">
        <v>163</v>
      </c>
      <c r="EB11" s="3" t="s">
        <v>163</v>
      </c>
      <c r="EC11" s="3" t="s">
        <v>163</v>
      </c>
      <c r="ED11" s="3" t="s">
        <v>163</v>
      </c>
      <c r="EE11" s="3" t="s">
        <v>163</v>
      </c>
      <c r="EF11" s="3" t="s">
        <v>163</v>
      </c>
      <c r="EG11" s="3" t="s">
        <v>163</v>
      </c>
      <c r="EH11" s="3" t="s">
        <v>163</v>
      </c>
      <c r="EI11" s="3" t="s">
        <v>163</v>
      </c>
      <c r="EJ11" s="3" t="s">
        <v>163</v>
      </c>
      <c r="EK11" s="3" t="s">
        <v>163</v>
      </c>
      <c r="EL11" s="3" t="s">
        <v>163</v>
      </c>
      <c r="EM11" s="3" t="s">
        <v>163</v>
      </c>
      <c r="EN11" s="3" t="s">
        <v>163</v>
      </c>
      <c r="EO11" s="3" t="s">
        <v>163</v>
      </c>
      <c r="EP11" s="3" t="s">
        <v>163</v>
      </c>
      <c r="EQ11" s="3" t="s">
        <v>163</v>
      </c>
      <c r="ER11">
        <v>110.65</v>
      </c>
      <c r="ES11">
        <f t="shared" si="8"/>
        <v>12.865599999999999</v>
      </c>
      <c r="ET11">
        <f t="shared" si="8"/>
        <v>12.865599999999999</v>
      </c>
      <c r="EU11" s="3" t="s">
        <v>180</v>
      </c>
      <c r="EV11" s="2" t="s">
        <v>183</v>
      </c>
      <c r="EW11">
        <v>25</v>
      </c>
      <c r="EX11">
        <v>11.05</v>
      </c>
      <c r="EY11">
        <v>0.62</v>
      </c>
      <c r="EZ11">
        <v>0.62</v>
      </c>
      <c r="FA11" s="3" t="s">
        <v>174</v>
      </c>
      <c r="FB11" s="3" t="s">
        <v>163</v>
      </c>
      <c r="FC11">
        <v>7.93</v>
      </c>
      <c r="FD11" s="3" t="s">
        <v>163</v>
      </c>
      <c r="FE11" s="3" t="s">
        <v>163</v>
      </c>
      <c r="FF11" s="3" t="s">
        <v>163</v>
      </c>
      <c r="FG11" s="3" t="s">
        <v>210</v>
      </c>
      <c r="FH11">
        <v>305.2</v>
      </c>
      <c r="FI11">
        <v>52.2</v>
      </c>
      <c r="FJ11">
        <v>52.2</v>
      </c>
      <c r="FK11" s="3" t="s">
        <v>177</v>
      </c>
      <c r="FL11" s="3" t="s">
        <v>211</v>
      </c>
      <c r="FM11" s="3" t="s">
        <v>212</v>
      </c>
      <c r="FN11" s="3" t="s">
        <v>163</v>
      </c>
      <c r="FO11" s="3" t="s">
        <v>163</v>
      </c>
      <c r="FP11" s="3" t="s">
        <v>163</v>
      </c>
      <c r="FQ11" s="3" t="s">
        <v>163</v>
      </c>
      <c r="FR11" s="3" t="s">
        <v>163</v>
      </c>
      <c r="FS11" s="3" t="s">
        <v>163</v>
      </c>
      <c r="FT11" s="3" t="s">
        <v>162</v>
      </c>
      <c r="FU11" s="3" t="s">
        <v>163</v>
      </c>
      <c r="FV11" s="24" t="s">
        <v>270</v>
      </c>
      <c r="FW11" s="3" t="s">
        <v>163</v>
      </c>
      <c r="FX11" s="3" t="s">
        <v>163</v>
      </c>
      <c r="FY11" s="3" t="s">
        <v>218</v>
      </c>
    </row>
    <row r="12" spans="1:181" x14ac:dyDescent="0.15">
      <c r="A12" s="3" t="s">
        <v>247</v>
      </c>
      <c r="B12" s="3" t="s">
        <v>157</v>
      </c>
      <c r="C12" s="3">
        <v>2013</v>
      </c>
      <c r="D12" s="2" t="str">
        <f t="shared" si="6"/>
        <v>10.1002/palo.20015</v>
      </c>
      <c r="E12">
        <f t="shared" si="0"/>
        <v>13741</v>
      </c>
      <c r="F12" t="str">
        <f t="shared" si="1"/>
        <v>NA</v>
      </c>
      <c r="G12" t="str">
        <f t="shared" si="2"/>
        <v>NA</v>
      </c>
      <c r="H12">
        <f t="shared" si="3"/>
        <v>305.89999999999998</v>
      </c>
      <c r="I12">
        <f t="shared" si="4"/>
        <v>45.4</v>
      </c>
      <c r="J12">
        <f t="shared" si="5"/>
        <v>45.4</v>
      </c>
      <c r="K12" s="2" t="s">
        <v>164</v>
      </c>
      <c r="L12" s="3" t="s">
        <v>165</v>
      </c>
      <c r="M12" s="2" t="s">
        <v>166</v>
      </c>
      <c r="N12" s="2" t="s">
        <v>167</v>
      </c>
      <c r="O12" t="s">
        <v>168</v>
      </c>
      <c r="P12" s="2" t="s">
        <v>163</v>
      </c>
      <c r="Q12" s="3" t="s">
        <v>163</v>
      </c>
      <c r="R12" s="2" t="s">
        <v>163</v>
      </c>
      <c r="S12" s="2" t="s">
        <v>163</v>
      </c>
      <c r="T12" s="2" t="s">
        <v>163</v>
      </c>
      <c r="U12" s="2" t="s">
        <v>163</v>
      </c>
      <c r="V12" s="2" t="s">
        <v>163</v>
      </c>
      <c r="W12" s="2" t="s">
        <v>163</v>
      </c>
      <c r="X12" s="2" t="s">
        <v>163</v>
      </c>
      <c r="Y12" s="2" t="s">
        <v>163</v>
      </c>
      <c r="Z12">
        <v>3.1500000000000909</v>
      </c>
      <c r="AA12" s="2" t="s">
        <v>169</v>
      </c>
      <c r="AB12">
        <v>13741</v>
      </c>
      <c r="AC12" s="2" t="s">
        <v>163</v>
      </c>
      <c r="AD12" s="3" t="s">
        <v>163</v>
      </c>
      <c r="AE12" s="3" t="s">
        <v>163</v>
      </c>
      <c r="AF12" s="3" t="s">
        <v>170</v>
      </c>
      <c r="AG12" s="3" t="s">
        <v>171</v>
      </c>
      <c r="AH12">
        <v>35.915500000000002</v>
      </c>
      <c r="AI12">
        <v>14.334300000000001</v>
      </c>
      <c r="AJ12" s="3" t="s">
        <v>163</v>
      </c>
      <c r="AK12" s="3" t="s">
        <v>163</v>
      </c>
      <c r="AL12" s="3" t="s">
        <v>163</v>
      </c>
      <c r="AM12" s="3">
        <v>550</v>
      </c>
      <c r="AN12" s="3" t="s">
        <v>163</v>
      </c>
      <c r="AO12" s="3" t="s">
        <v>172</v>
      </c>
      <c r="AP12" s="3" t="s">
        <v>173</v>
      </c>
      <c r="AQ12" s="3" t="s">
        <v>163</v>
      </c>
      <c r="AR12" s="3" t="s">
        <v>163</v>
      </c>
      <c r="AS12" s="3" t="s">
        <v>163</v>
      </c>
      <c r="AT12" s="3" t="s">
        <v>163</v>
      </c>
      <c r="AU12" s="3" t="s">
        <v>163</v>
      </c>
      <c r="AV12" s="3" t="s">
        <v>163</v>
      </c>
      <c r="AW12" s="3" t="s">
        <v>163</v>
      </c>
      <c r="AX12">
        <v>0.72</v>
      </c>
      <c r="AY12">
        <v>0.1</v>
      </c>
      <c r="AZ12" s="3" t="s">
        <v>174</v>
      </c>
      <c r="BA12" s="3" t="s">
        <v>163</v>
      </c>
      <c r="BB12" s="3" t="s">
        <v>163</v>
      </c>
      <c r="BC12" s="3" t="s">
        <v>163</v>
      </c>
      <c r="BD12" s="3" t="s">
        <v>163</v>
      </c>
      <c r="BE12" s="3" t="s">
        <v>163</v>
      </c>
      <c r="BF12" s="2" t="s">
        <v>176</v>
      </c>
      <c r="BG12" s="2" t="s">
        <v>175</v>
      </c>
      <c r="BH12">
        <v>2</v>
      </c>
      <c r="BI12" s="3" t="s">
        <v>163</v>
      </c>
      <c r="BJ12" s="3" t="s">
        <v>163</v>
      </c>
      <c r="BK12" s="3" t="s">
        <v>177</v>
      </c>
      <c r="BL12">
        <v>-5.56</v>
      </c>
      <c r="BM12" s="3" t="s">
        <v>163</v>
      </c>
      <c r="BN12" s="3" t="s">
        <v>163</v>
      </c>
      <c r="BO12">
        <v>-6.59</v>
      </c>
      <c r="BP12" s="3" t="s">
        <v>163</v>
      </c>
      <c r="BQ12" s="3" t="s">
        <v>163</v>
      </c>
      <c r="BR12" t="s">
        <v>178</v>
      </c>
      <c r="BS12" s="3" t="s">
        <v>179</v>
      </c>
      <c r="BT12">
        <v>-21.01</v>
      </c>
      <c r="BU12" s="1" t="s">
        <v>152</v>
      </c>
      <c r="BV12">
        <v>0.3</v>
      </c>
      <c r="BW12" s="3" t="s">
        <v>163</v>
      </c>
      <c r="BX12" s="3" t="s">
        <v>174</v>
      </c>
      <c r="BY12">
        <v>4</v>
      </c>
      <c r="BZ12" s="3" t="s">
        <v>163</v>
      </c>
      <c r="CA12" s="3" t="s">
        <v>163</v>
      </c>
      <c r="CB12">
        <v>-16.88</v>
      </c>
      <c r="CC12" s="3" t="s">
        <v>163</v>
      </c>
      <c r="CD12" s="3" t="s">
        <v>163</v>
      </c>
      <c r="CE12" s="3" t="s">
        <v>208</v>
      </c>
      <c r="CF12" s="3" t="s">
        <v>163</v>
      </c>
      <c r="CG12">
        <v>35</v>
      </c>
      <c r="CH12">
        <v>2.5</v>
      </c>
      <c r="CI12" s="3" t="s">
        <v>180</v>
      </c>
      <c r="CJ12" s="1" t="s">
        <v>153</v>
      </c>
      <c r="CK12" s="3">
        <f t="shared" si="7"/>
        <v>0.25000000000000011</v>
      </c>
      <c r="CL12" s="3">
        <v>0.05</v>
      </c>
      <c r="CM12" s="3">
        <v>0.05</v>
      </c>
      <c r="CN12" s="3" t="s">
        <v>180</v>
      </c>
      <c r="CO12" s="3" t="s">
        <v>163</v>
      </c>
      <c r="CP12" s="3" t="s">
        <v>163</v>
      </c>
      <c r="CQ12" s="3" t="s">
        <v>163</v>
      </c>
      <c r="CR12">
        <v>30.48</v>
      </c>
      <c r="CS12">
        <v>1</v>
      </c>
      <c r="CT12">
        <v>1</v>
      </c>
      <c r="CU12" s="3" t="s">
        <v>174</v>
      </c>
      <c r="CV12" s="3" t="s">
        <v>181</v>
      </c>
      <c r="CW12">
        <v>1</v>
      </c>
      <c r="CX12" s="3" t="s">
        <v>163</v>
      </c>
      <c r="CY12">
        <v>29</v>
      </c>
      <c r="CZ12" s="3" t="s">
        <v>163</v>
      </c>
      <c r="DA12" s="3" t="s">
        <v>163</v>
      </c>
      <c r="DB12" s="3" t="s">
        <v>163</v>
      </c>
      <c r="DC12" s="2" t="s">
        <v>216</v>
      </c>
      <c r="DD12" s="3" t="s">
        <v>163</v>
      </c>
      <c r="DE12" s="3" t="s">
        <v>163</v>
      </c>
      <c r="DF12" s="3" t="s">
        <v>163</v>
      </c>
      <c r="DG12" s="3" t="s">
        <v>163</v>
      </c>
      <c r="DH12" s="3" t="s">
        <v>163</v>
      </c>
      <c r="DI12" s="3" t="s">
        <v>163</v>
      </c>
      <c r="DJ12" s="3" t="s">
        <v>163</v>
      </c>
      <c r="DK12" s="3" t="s">
        <v>163</v>
      </c>
      <c r="DL12" s="3" t="s">
        <v>163</v>
      </c>
      <c r="DM12" s="3" t="s">
        <v>163</v>
      </c>
      <c r="DN12" s="3" t="s">
        <v>163</v>
      </c>
      <c r="DO12" s="3" t="s">
        <v>163</v>
      </c>
      <c r="DP12" s="3" t="s">
        <v>163</v>
      </c>
      <c r="DQ12" s="3" t="s">
        <v>163</v>
      </c>
      <c r="DR12" s="3" t="s">
        <v>163</v>
      </c>
      <c r="DS12" s="3" t="s">
        <v>163</v>
      </c>
      <c r="DT12" s="3" t="s">
        <v>163</v>
      </c>
      <c r="DU12" s="3" t="s">
        <v>163</v>
      </c>
      <c r="DV12" s="3" t="s">
        <v>163</v>
      </c>
      <c r="DW12" s="3" t="s">
        <v>163</v>
      </c>
      <c r="DX12" s="3" t="s">
        <v>163</v>
      </c>
      <c r="DY12" s="3" t="s">
        <v>163</v>
      </c>
      <c r="DZ12" s="3" t="s">
        <v>163</v>
      </c>
      <c r="EA12" s="3" t="s">
        <v>163</v>
      </c>
      <c r="EB12" s="3" t="s">
        <v>163</v>
      </c>
      <c r="EC12" s="3" t="s">
        <v>163</v>
      </c>
      <c r="ED12" s="3" t="s">
        <v>163</v>
      </c>
      <c r="EE12" s="3" t="s">
        <v>163</v>
      </c>
      <c r="EF12" s="3" t="s">
        <v>163</v>
      </c>
      <c r="EG12" s="3" t="s">
        <v>163</v>
      </c>
      <c r="EH12" s="3" t="s">
        <v>163</v>
      </c>
      <c r="EI12" s="3" t="s">
        <v>163</v>
      </c>
      <c r="EJ12" s="3" t="s">
        <v>163</v>
      </c>
      <c r="EK12" s="3" t="s">
        <v>163</v>
      </c>
      <c r="EL12" s="3" t="s">
        <v>163</v>
      </c>
      <c r="EM12" s="3" t="s">
        <v>163</v>
      </c>
      <c r="EN12" s="3" t="s">
        <v>163</v>
      </c>
      <c r="EO12" s="3" t="s">
        <v>163</v>
      </c>
      <c r="EP12" s="3" t="s">
        <v>163</v>
      </c>
      <c r="EQ12" s="3" t="s">
        <v>163</v>
      </c>
      <c r="ER12">
        <v>110.65</v>
      </c>
      <c r="ES12">
        <f t="shared" si="8"/>
        <v>12.865599999999999</v>
      </c>
      <c r="ET12">
        <f t="shared" si="8"/>
        <v>12.865599999999999</v>
      </c>
      <c r="EU12" s="3" t="s">
        <v>180</v>
      </c>
      <c r="EV12" s="2" t="s">
        <v>183</v>
      </c>
      <c r="EW12">
        <v>25</v>
      </c>
      <c r="EX12">
        <v>10.47</v>
      </c>
      <c r="EY12">
        <v>0.33500000000000002</v>
      </c>
      <c r="EZ12">
        <v>0.33500000000000002</v>
      </c>
      <c r="FA12" s="3" t="s">
        <v>174</v>
      </c>
      <c r="FB12" s="3" t="s">
        <v>163</v>
      </c>
      <c r="FC12">
        <v>7.62</v>
      </c>
      <c r="FD12" s="3" t="s">
        <v>163</v>
      </c>
      <c r="FE12" s="3" t="s">
        <v>163</v>
      </c>
      <c r="FF12" s="3" t="s">
        <v>163</v>
      </c>
      <c r="FG12" s="3" t="s">
        <v>210</v>
      </c>
      <c r="FH12">
        <v>305.89999999999998</v>
      </c>
      <c r="FI12">
        <v>45.4</v>
      </c>
      <c r="FJ12">
        <v>45.4</v>
      </c>
      <c r="FK12" s="3" t="s">
        <v>177</v>
      </c>
      <c r="FL12" s="3" t="s">
        <v>211</v>
      </c>
      <c r="FM12" s="3" t="s">
        <v>212</v>
      </c>
      <c r="FN12" s="3" t="s">
        <v>163</v>
      </c>
      <c r="FO12" s="3" t="s">
        <v>163</v>
      </c>
      <c r="FP12" s="3" t="s">
        <v>163</v>
      </c>
      <c r="FQ12" s="3" t="s">
        <v>163</v>
      </c>
      <c r="FR12" s="3" t="s">
        <v>163</v>
      </c>
      <c r="FS12" s="3" t="s">
        <v>163</v>
      </c>
      <c r="FT12" s="3" t="s">
        <v>162</v>
      </c>
      <c r="FU12" s="3" t="s">
        <v>163</v>
      </c>
      <c r="FV12" s="24" t="s">
        <v>271</v>
      </c>
      <c r="FW12" s="3" t="s">
        <v>163</v>
      </c>
      <c r="FX12" s="3" t="s">
        <v>163</v>
      </c>
      <c r="FY12" s="3" t="s">
        <v>218</v>
      </c>
    </row>
    <row r="13" spans="1:181" x14ac:dyDescent="0.15">
      <c r="A13" s="3" t="s">
        <v>247</v>
      </c>
      <c r="B13" s="3" t="s">
        <v>157</v>
      </c>
      <c r="C13" s="3">
        <v>2013</v>
      </c>
      <c r="D13" s="2" t="str">
        <f t="shared" si="6"/>
        <v>10.1002/palo.20015</v>
      </c>
      <c r="E13">
        <f t="shared" si="0"/>
        <v>13716</v>
      </c>
      <c r="F13" t="str">
        <f t="shared" si="1"/>
        <v>NA</v>
      </c>
      <c r="G13" t="str">
        <f t="shared" si="2"/>
        <v>NA</v>
      </c>
      <c r="H13">
        <f t="shared" si="3"/>
        <v>292.89999999999998</v>
      </c>
      <c r="I13">
        <f t="shared" si="4"/>
        <v>44</v>
      </c>
      <c r="J13">
        <f t="shared" si="5"/>
        <v>44</v>
      </c>
      <c r="K13" s="2" t="s">
        <v>164</v>
      </c>
      <c r="L13" s="3" t="s">
        <v>165</v>
      </c>
      <c r="M13" s="2" t="s">
        <v>166</v>
      </c>
      <c r="N13" s="2" t="s">
        <v>167</v>
      </c>
      <c r="O13" t="s">
        <v>168</v>
      </c>
      <c r="P13" s="2" t="s">
        <v>163</v>
      </c>
      <c r="Q13" s="3" t="s">
        <v>163</v>
      </c>
      <c r="R13" s="2" t="s">
        <v>163</v>
      </c>
      <c r="S13" s="2" t="s">
        <v>163</v>
      </c>
      <c r="T13" s="2" t="s">
        <v>163</v>
      </c>
      <c r="U13" s="2" t="s">
        <v>163</v>
      </c>
      <c r="V13" s="2" t="s">
        <v>163</v>
      </c>
      <c r="W13" s="2" t="s">
        <v>163</v>
      </c>
      <c r="X13" s="2" t="s">
        <v>163</v>
      </c>
      <c r="Y13" s="2" t="s">
        <v>163</v>
      </c>
      <c r="Z13">
        <v>4.5659090909091447</v>
      </c>
      <c r="AA13" s="2" t="s">
        <v>169</v>
      </c>
      <c r="AB13">
        <v>13716</v>
      </c>
      <c r="AC13" s="2" t="s">
        <v>163</v>
      </c>
      <c r="AD13" s="3" t="s">
        <v>163</v>
      </c>
      <c r="AE13" s="3" t="s">
        <v>163</v>
      </c>
      <c r="AF13" s="3" t="s">
        <v>170</v>
      </c>
      <c r="AG13" s="3" t="s">
        <v>171</v>
      </c>
      <c r="AH13">
        <v>35.915500000000002</v>
      </c>
      <c r="AI13">
        <v>14.334300000000001</v>
      </c>
      <c r="AJ13" s="3" t="s">
        <v>163</v>
      </c>
      <c r="AK13" s="3" t="s">
        <v>163</v>
      </c>
      <c r="AL13" s="3" t="s">
        <v>163</v>
      </c>
      <c r="AM13" s="3">
        <v>550</v>
      </c>
      <c r="AN13" s="3" t="s">
        <v>163</v>
      </c>
      <c r="AO13" s="3" t="s">
        <v>172</v>
      </c>
      <c r="AP13" s="3" t="s">
        <v>173</v>
      </c>
      <c r="AQ13" s="3" t="s">
        <v>163</v>
      </c>
      <c r="AR13" s="3" t="s">
        <v>163</v>
      </c>
      <c r="AS13" s="3" t="s">
        <v>163</v>
      </c>
      <c r="AT13" s="3" t="s">
        <v>163</v>
      </c>
      <c r="AU13" s="3" t="s">
        <v>163</v>
      </c>
      <c r="AV13" s="3" t="s">
        <v>163</v>
      </c>
      <c r="AW13" s="3" t="s">
        <v>163</v>
      </c>
      <c r="AX13">
        <v>0.39</v>
      </c>
      <c r="AY13">
        <v>0.1</v>
      </c>
      <c r="AZ13" s="3" t="s">
        <v>174</v>
      </c>
      <c r="BA13" s="3" t="s">
        <v>163</v>
      </c>
      <c r="BB13" s="3" t="s">
        <v>163</v>
      </c>
      <c r="BC13" s="3" t="s">
        <v>163</v>
      </c>
      <c r="BD13" s="3" t="s">
        <v>163</v>
      </c>
      <c r="BE13" s="3" t="s">
        <v>163</v>
      </c>
      <c r="BF13" s="2" t="s">
        <v>176</v>
      </c>
      <c r="BG13" s="2" t="s">
        <v>175</v>
      </c>
      <c r="BH13">
        <v>2</v>
      </c>
      <c r="BI13" s="3" t="s">
        <v>163</v>
      </c>
      <c r="BJ13" s="3" t="s">
        <v>163</v>
      </c>
      <c r="BK13" s="3" t="s">
        <v>177</v>
      </c>
      <c r="BL13">
        <v>-5.9</v>
      </c>
      <c r="BM13" s="3" t="s">
        <v>163</v>
      </c>
      <c r="BN13" s="3" t="s">
        <v>163</v>
      </c>
      <c r="BO13">
        <v>-6.94</v>
      </c>
      <c r="BP13" s="3" t="s">
        <v>163</v>
      </c>
      <c r="BQ13" s="3" t="s">
        <v>163</v>
      </c>
      <c r="BR13" t="s">
        <v>178</v>
      </c>
      <c r="BS13" s="3" t="s">
        <v>179</v>
      </c>
      <c r="BT13">
        <v>-20.79</v>
      </c>
      <c r="BU13" s="1" t="s">
        <v>152</v>
      </c>
      <c r="BV13">
        <v>0.3</v>
      </c>
      <c r="BW13" s="3" t="s">
        <v>163</v>
      </c>
      <c r="BX13" s="3" t="s">
        <v>174</v>
      </c>
      <c r="BY13">
        <v>4</v>
      </c>
      <c r="BZ13" s="3" t="s">
        <v>163</v>
      </c>
      <c r="CA13" s="3" t="s">
        <v>163</v>
      </c>
      <c r="CB13">
        <v>-16.66</v>
      </c>
      <c r="CC13" s="3" t="s">
        <v>163</v>
      </c>
      <c r="CD13" s="3" t="s">
        <v>163</v>
      </c>
      <c r="CE13" s="3" t="s">
        <v>208</v>
      </c>
      <c r="CF13" s="3" t="s">
        <v>163</v>
      </c>
      <c r="CG13">
        <v>35</v>
      </c>
      <c r="CH13">
        <v>2.5</v>
      </c>
      <c r="CI13" s="3" t="s">
        <v>180</v>
      </c>
      <c r="CJ13" s="1" t="s">
        <v>153</v>
      </c>
      <c r="CK13" s="3">
        <f t="shared" si="7"/>
        <v>0.25000000000000011</v>
      </c>
      <c r="CL13" s="3">
        <v>0.05</v>
      </c>
      <c r="CM13" s="3">
        <v>0.05</v>
      </c>
      <c r="CN13" s="3" t="s">
        <v>180</v>
      </c>
      <c r="CO13" s="3" t="s">
        <v>163</v>
      </c>
      <c r="CP13" s="3" t="s">
        <v>163</v>
      </c>
      <c r="CQ13" s="3" t="s">
        <v>163</v>
      </c>
      <c r="CR13">
        <v>30.3</v>
      </c>
      <c r="CS13">
        <v>1</v>
      </c>
      <c r="CT13">
        <v>1</v>
      </c>
      <c r="CU13" s="3" t="s">
        <v>174</v>
      </c>
      <c r="CV13" s="3" t="s">
        <v>182</v>
      </c>
      <c r="CW13" t="s">
        <v>163</v>
      </c>
      <c r="CX13" s="3" t="s">
        <v>163</v>
      </c>
      <c r="CY13" t="s">
        <v>163</v>
      </c>
      <c r="CZ13" s="3" t="s">
        <v>163</v>
      </c>
      <c r="DA13" s="3" t="s">
        <v>163</v>
      </c>
      <c r="DB13" s="3" t="s">
        <v>163</v>
      </c>
      <c r="DC13" s="2" t="s">
        <v>216</v>
      </c>
      <c r="DD13" s="3" t="s">
        <v>163</v>
      </c>
      <c r="DE13" s="3" t="s">
        <v>163</v>
      </c>
      <c r="DF13" s="3" t="s">
        <v>163</v>
      </c>
      <c r="DG13" s="3" t="s">
        <v>163</v>
      </c>
      <c r="DH13" s="3" t="s">
        <v>163</v>
      </c>
      <c r="DI13" s="3" t="s">
        <v>163</v>
      </c>
      <c r="DJ13" s="3" t="s">
        <v>163</v>
      </c>
      <c r="DK13" s="3" t="s">
        <v>163</v>
      </c>
      <c r="DL13" s="3" t="s">
        <v>163</v>
      </c>
      <c r="DM13" s="3" t="s">
        <v>163</v>
      </c>
      <c r="DN13" s="3" t="s">
        <v>163</v>
      </c>
      <c r="DO13" s="3" t="s">
        <v>163</v>
      </c>
      <c r="DP13" s="3" t="s">
        <v>163</v>
      </c>
      <c r="DQ13" s="3" t="s">
        <v>163</v>
      </c>
      <c r="DR13" s="3" t="s">
        <v>163</v>
      </c>
      <c r="DS13" s="3" t="s">
        <v>163</v>
      </c>
      <c r="DT13" s="3" t="s">
        <v>163</v>
      </c>
      <c r="DU13" s="3" t="s">
        <v>163</v>
      </c>
      <c r="DV13" s="3" t="s">
        <v>163</v>
      </c>
      <c r="DW13" s="3" t="s">
        <v>163</v>
      </c>
      <c r="DX13" s="3" t="s">
        <v>163</v>
      </c>
      <c r="DY13" s="3" t="s">
        <v>163</v>
      </c>
      <c r="DZ13" s="3" t="s">
        <v>163</v>
      </c>
      <c r="EA13" s="3" t="s">
        <v>163</v>
      </c>
      <c r="EB13" s="3" t="s">
        <v>163</v>
      </c>
      <c r="EC13" s="3" t="s">
        <v>163</v>
      </c>
      <c r="ED13" s="3" t="s">
        <v>163</v>
      </c>
      <c r="EE13" s="3" t="s">
        <v>163</v>
      </c>
      <c r="EF13" s="3" t="s">
        <v>163</v>
      </c>
      <c r="EG13" s="3" t="s">
        <v>163</v>
      </c>
      <c r="EH13" s="3" t="s">
        <v>163</v>
      </c>
      <c r="EI13" s="3" t="s">
        <v>163</v>
      </c>
      <c r="EJ13" s="3" t="s">
        <v>163</v>
      </c>
      <c r="EK13" s="3" t="s">
        <v>163</v>
      </c>
      <c r="EL13" s="3" t="s">
        <v>163</v>
      </c>
      <c r="EM13" s="3" t="s">
        <v>163</v>
      </c>
      <c r="EN13" s="3" t="s">
        <v>163</v>
      </c>
      <c r="EO13" s="3" t="s">
        <v>163</v>
      </c>
      <c r="EP13" s="3" t="s">
        <v>163</v>
      </c>
      <c r="EQ13" s="3" t="s">
        <v>163</v>
      </c>
      <c r="ER13">
        <v>110.65</v>
      </c>
      <c r="ES13">
        <f t="shared" si="8"/>
        <v>12.865599999999999</v>
      </c>
      <c r="ET13">
        <f t="shared" si="8"/>
        <v>12.865599999999999</v>
      </c>
      <c r="EU13" s="3" t="s">
        <v>180</v>
      </c>
      <c r="EV13" s="2" t="s">
        <v>183</v>
      </c>
      <c r="EW13">
        <v>25</v>
      </c>
      <c r="EX13">
        <v>9.89</v>
      </c>
      <c r="EY13">
        <v>0.36499999999999999</v>
      </c>
      <c r="EZ13">
        <v>0.36499999999999999</v>
      </c>
      <c r="FA13" s="3" t="s">
        <v>174</v>
      </c>
      <c r="FB13" s="3" t="s">
        <v>163</v>
      </c>
      <c r="FC13">
        <v>7.32</v>
      </c>
      <c r="FD13" s="3" t="s">
        <v>163</v>
      </c>
      <c r="FE13" s="3" t="s">
        <v>163</v>
      </c>
      <c r="FF13" s="3" t="s">
        <v>163</v>
      </c>
      <c r="FG13" s="3" t="s">
        <v>210</v>
      </c>
      <c r="FH13">
        <v>292.89999999999998</v>
      </c>
      <c r="FI13">
        <v>44</v>
      </c>
      <c r="FJ13">
        <v>44</v>
      </c>
      <c r="FK13" s="3" t="s">
        <v>177</v>
      </c>
      <c r="FL13" s="3" t="s">
        <v>211</v>
      </c>
      <c r="FM13" s="3" t="s">
        <v>212</v>
      </c>
      <c r="FN13" s="3" t="s">
        <v>163</v>
      </c>
      <c r="FO13" s="3" t="s">
        <v>163</v>
      </c>
      <c r="FP13" s="3" t="s">
        <v>163</v>
      </c>
      <c r="FQ13" s="3" t="s">
        <v>163</v>
      </c>
      <c r="FR13" s="3" t="s">
        <v>163</v>
      </c>
      <c r="FS13" s="3" t="s">
        <v>163</v>
      </c>
      <c r="FT13" s="3" t="s">
        <v>162</v>
      </c>
      <c r="FU13" s="3" t="s">
        <v>163</v>
      </c>
      <c r="FV13" s="24" t="s">
        <v>272</v>
      </c>
      <c r="FW13" s="3" t="s">
        <v>163</v>
      </c>
      <c r="FX13" s="3" t="s">
        <v>163</v>
      </c>
      <c r="FY13" s="3" t="s">
        <v>218</v>
      </c>
    </row>
    <row r="14" spans="1:181" x14ac:dyDescent="0.15">
      <c r="A14" s="3" t="s">
        <v>247</v>
      </c>
      <c r="B14" s="3" t="s">
        <v>157</v>
      </c>
      <c r="C14" s="3">
        <v>2013</v>
      </c>
      <c r="D14" s="2" t="str">
        <f t="shared" si="6"/>
        <v>10.1002/palo.20015</v>
      </c>
      <c r="E14">
        <f t="shared" si="0"/>
        <v>13709</v>
      </c>
      <c r="F14" t="str">
        <f t="shared" si="1"/>
        <v>NA</v>
      </c>
      <c r="G14" t="str">
        <f t="shared" si="2"/>
        <v>NA</v>
      </c>
      <c r="H14">
        <f t="shared" si="3"/>
        <v>300.3</v>
      </c>
      <c r="I14">
        <f t="shared" si="4"/>
        <v>45</v>
      </c>
      <c r="J14">
        <f t="shared" si="5"/>
        <v>45</v>
      </c>
      <c r="K14" s="2" t="s">
        <v>164</v>
      </c>
      <c r="L14" s="3" t="s">
        <v>165</v>
      </c>
      <c r="M14" s="2" t="s">
        <v>166</v>
      </c>
      <c r="N14" s="2" t="s">
        <v>167</v>
      </c>
      <c r="O14" t="s">
        <v>168</v>
      </c>
      <c r="P14" s="2" t="s">
        <v>163</v>
      </c>
      <c r="Q14" s="3" t="s">
        <v>163</v>
      </c>
      <c r="R14" s="2" t="s">
        <v>163</v>
      </c>
      <c r="S14" s="2" t="s">
        <v>163</v>
      </c>
      <c r="T14" s="2" t="s">
        <v>163</v>
      </c>
      <c r="U14" s="2" t="s">
        <v>163</v>
      </c>
      <c r="V14" s="2" t="s">
        <v>163</v>
      </c>
      <c r="W14" s="2" t="s">
        <v>163</v>
      </c>
      <c r="X14" s="2" t="s">
        <v>163</v>
      </c>
      <c r="Y14" s="2" t="s">
        <v>163</v>
      </c>
      <c r="Z14">
        <v>4.9000000000000909</v>
      </c>
      <c r="AA14" s="2" t="s">
        <v>169</v>
      </c>
      <c r="AB14">
        <v>13709</v>
      </c>
      <c r="AC14" s="2" t="s">
        <v>163</v>
      </c>
      <c r="AD14" s="3" t="s">
        <v>163</v>
      </c>
      <c r="AE14" s="3" t="s">
        <v>163</v>
      </c>
      <c r="AF14" s="3" t="s">
        <v>170</v>
      </c>
      <c r="AG14" s="3" t="s">
        <v>171</v>
      </c>
      <c r="AH14">
        <v>35.915500000000002</v>
      </c>
      <c r="AI14">
        <v>14.334300000000001</v>
      </c>
      <c r="AJ14" s="3" t="s">
        <v>163</v>
      </c>
      <c r="AK14" s="3" t="s">
        <v>163</v>
      </c>
      <c r="AL14" s="3" t="s">
        <v>163</v>
      </c>
      <c r="AM14" s="3">
        <v>550</v>
      </c>
      <c r="AN14" s="3" t="s">
        <v>163</v>
      </c>
      <c r="AO14" s="3" t="s">
        <v>172</v>
      </c>
      <c r="AP14" s="3" t="s">
        <v>173</v>
      </c>
      <c r="AQ14" s="3" t="s">
        <v>163</v>
      </c>
      <c r="AR14" s="3" t="s">
        <v>163</v>
      </c>
      <c r="AS14" s="3" t="s">
        <v>163</v>
      </c>
      <c r="AT14" s="3" t="s">
        <v>163</v>
      </c>
      <c r="AU14" s="3" t="s">
        <v>163</v>
      </c>
      <c r="AV14" s="3" t="s">
        <v>163</v>
      </c>
      <c r="AW14" s="3" t="s">
        <v>163</v>
      </c>
      <c r="AX14">
        <v>0.47</v>
      </c>
      <c r="AY14">
        <v>0.1</v>
      </c>
      <c r="AZ14" s="3" t="s">
        <v>174</v>
      </c>
      <c r="BA14" s="3" t="s">
        <v>163</v>
      </c>
      <c r="BB14" s="3" t="s">
        <v>163</v>
      </c>
      <c r="BC14" s="3" t="s">
        <v>163</v>
      </c>
      <c r="BD14" s="3" t="s">
        <v>163</v>
      </c>
      <c r="BE14" s="3" t="s">
        <v>163</v>
      </c>
      <c r="BF14" s="2" t="s">
        <v>176</v>
      </c>
      <c r="BG14" s="2" t="s">
        <v>175</v>
      </c>
      <c r="BH14">
        <v>2</v>
      </c>
      <c r="BI14" s="3" t="s">
        <v>163</v>
      </c>
      <c r="BJ14" s="3" t="s">
        <v>163</v>
      </c>
      <c r="BK14" s="3" t="s">
        <v>177</v>
      </c>
      <c r="BL14">
        <v>-5.81</v>
      </c>
      <c r="BM14" s="3" t="s">
        <v>163</v>
      </c>
      <c r="BN14" s="3" t="s">
        <v>163</v>
      </c>
      <c r="BO14">
        <v>-6.84</v>
      </c>
      <c r="BP14" s="3" t="s">
        <v>163</v>
      </c>
      <c r="BQ14" s="3" t="s">
        <v>163</v>
      </c>
      <c r="BR14" t="s">
        <v>178</v>
      </c>
      <c r="BS14" s="3" t="s">
        <v>179</v>
      </c>
      <c r="BT14">
        <v>-21.02</v>
      </c>
      <c r="BU14" s="1" t="s">
        <v>152</v>
      </c>
      <c r="BV14">
        <v>0.3</v>
      </c>
      <c r="BW14" s="3" t="s">
        <v>163</v>
      </c>
      <c r="BX14" s="3" t="s">
        <v>174</v>
      </c>
      <c r="BY14">
        <v>4</v>
      </c>
      <c r="BZ14" s="3" t="s">
        <v>163</v>
      </c>
      <c r="CA14" s="3" t="s">
        <v>163</v>
      </c>
      <c r="CB14">
        <v>-16.89</v>
      </c>
      <c r="CC14" s="3" t="s">
        <v>163</v>
      </c>
      <c r="CD14" s="3" t="s">
        <v>163</v>
      </c>
      <c r="CE14" s="3" t="s">
        <v>208</v>
      </c>
      <c r="CF14" s="3" t="s">
        <v>163</v>
      </c>
      <c r="CG14">
        <v>35</v>
      </c>
      <c r="CH14">
        <v>2.5</v>
      </c>
      <c r="CI14" s="3" t="s">
        <v>180</v>
      </c>
      <c r="CJ14" s="1" t="s">
        <v>153</v>
      </c>
      <c r="CK14" s="3">
        <f t="shared" si="7"/>
        <v>0.25000000000000011</v>
      </c>
      <c r="CL14" s="3">
        <v>0.05</v>
      </c>
      <c r="CM14" s="3">
        <v>0.05</v>
      </c>
      <c r="CN14" s="3" t="s">
        <v>180</v>
      </c>
      <c r="CO14" s="3" t="s">
        <v>163</v>
      </c>
      <c r="CP14" s="3" t="s">
        <v>163</v>
      </c>
      <c r="CQ14" s="3" t="s">
        <v>163</v>
      </c>
      <c r="CR14">
        <v>30.43</v>
      </c>
      <c r="CS14">
        <v>1</v>
      </c>
      <c r="CT14">
        <v>1</v>
      </c>
      <c r="CU14" s="3" t="s">
        <v>174</v>
      </c>
      <c r="CV14" s="3" t="s">
        <v>181</v>
      </c>
      <c r="CW14">
        <v>0.90900000000000003</v>
      </c>
      <c r="CX14" s="3" t="s">
        <v>163</v>
      </c>
      <c r="CY14">
        <v>26.2</v>
      </c>
      <c r="CZ14" s="3" t="s">
        <v>163</v>
      </c>
      <c r="DA14" s="3" t="s">
        <v>163</v>
      </c>
      <c r="DB14" s="3" t="s">
        <v>163</v>
      </c>
      <c r="DC14" s="2" t="s">
        <v>216</v>
      </c>
      <c r="DD14" s="3" t="s">
        <v>163</v>
      </c>
      <c r="DE14" s="3" t="s">
        <v>163</v>
      </c>
      <c r="DF14" s="3" t="s">
        <v>163</v>
      </c>
      <c r="DG14" s="3" t="s">
        <v>163</v>
      </c>
      <c r="DH14" s="3" t="s">
        <v>163</v>
      </c>
      <c r="DI14" s="3" t="s">
        <v>163</v>
      </c>
      <c r="DJ14" s="3" t="s">
        <v>163</v>
      </c>
      <c r="DK14" s="3" t="s">
        <v>163</v>
      </c>
      <c r="DL14" s="3" t="s">
        <v>163</v>
      </c>
      <c r="DM14" s="3" t="s">
        <v>163</v>
      </c>
      <c r="DN14" s="3" t="s">
        <v>163</v>
      </c>
      <c r="DO14" s="3" t="s">
        <v>163</v>
      </c>
      <c r="DP14" s="3" t="s">
        <v>163</v>
      </c>
      <c r="DQ14" s="3" t="s">
        <v>163</v>
      </c>
      <c r="DR14" s="3" t="s">
        <v>163</v>
      </c>
      <c r="DS14" s="3" t="s">
        <v>163</v>
      </c>
      <c r="DT14" s="3" t="s">
        <v>163</v>
      </c>
      <c r="DU14" s="3" t="s">
        <v>163</v>
      </c>
      <c r="DV14" s="3" t="s">
        <v>163</v>
      </c>
      <c r="DW14" s="3" t="s">
        <v>163</v>
      </c>
      <c r="DX14" s="3" t="s">
        <v>163</v>
      </c>
      <c r="DY14" s="3" t="s">
        <v>163</v>
      </c>
      <c r="DZ14" s="3" t="s">
        <v>163</v>
      </c>
      <c r="EA14" s="3" t="s">
        <v>163</v>
      </c>
      <c r="EB14" s="3" t="s">
        <v>163</v>
      </c>
      <c r="EC14" s="3" t="s">
        <v>163</v>
      </c>
      <c r="ED14" s="3" t="s">
        <v>163</v>
      </c>
      <c r="EE14" s="3" t="s">
        <v>163</v>
      </c>
      <c r="EF14" s="3" t="s">
        <v>163</v>
      </c>
      <c r="EG14" s="3" t="s">
        <v>163</v>
      </c>
      <c r="EH14" s="3" t="s">
        <v>163</v>
      </c>
      <c r="EI14" s="3" t="s">
        <v>163</v>
      </c>
      <c r="EJ14" s="3" t="s">
        <v>163</v>
      </c>
      <c r="EK14" s="3" t="s">
        <v>163</v>
      </c>
      <c r="EL14" s="3" t="s">
        <v>163</v>
      </c>
      <c r="EM14" s="3" t="s">
        <v>163</v>
      </c>
      <c r="EN14" s="3" t="s">
        <v>163</v>
      </c>
      <c r="EO14" s="3" t="s">
        <v>163</v>
      </c>
      <c r="EP14" s="3" t="s">
        <v>163</v>
      </c>
      <c r="EQ14" s="3" t="s">
        <v>163</v>
      </c>
      <c r="ER14">
        <v>110.65</v>
      </c>
      <c r="ES14">
        <f t="shared" si="8"/>
        <v>12.865599999999999</v>
      </c>
      <c r="ET14">
        <f t="shared" si="8"/>
        <v>12.865599999999999</v>
      </c>
      <c r="EU14" s="3" t="s">
        <v>180</v>
      </c>
      <c r="EV14" s="2" t="s">
        <v>183</v>
      </c>
      <c r="EW14">
        <v>25</v>
      </c>
      <c r="EX14">
        <v>10.220000000000001</v>
      </c>
      <c r="EY14">
        <v>0.32500000000000001</v>
      </c>
      <c r="EZ14">
        <v>0.32500000000000001</v>
      </c>
      <c r="FA14" s="3" t="s">
        <v>174</v>
      </c>
      <c r="FB14" s="3" t="s">
        <v>163</v>
      </c>
      <c r="FC14">
        <v>7.48</v>
      </c>
      <c r="FD14" s="3" t="s">
        <v>163</v>
      </c>
      <c r="FE14" s="3" t="s">
        <v>163</v>
      </c>
      <c r="FF14" s="3" t="s">
        <v>163</v>
      </c>
      <c r="FG14" s="3" t="s">
        <v>210</v>
      </c>
      <c r="FH14">
        <v>300.3</v>
      </c>
      <c r="FI14">
        <v>45</v>
      </c>
      <c r="FJ14">
        <v>45</v>
      </c>
      <c r="FK14" s="3" t="s">
        <v>177</v>
      </c>
      <c r="FL14" s="3" t="s">
        <v>211</v>
      </c>
      <c r="FM14" s="3" t="s">
        <v>212</v>
      </c>
      <c r="FN14" s="3" t="s">
        <v>163</v>
      </c>
      <c r="FO14" s="3" t="s">
        <v>163</v>
      </c>
      <c r="FP14" s="3" t="s">
        <v>163</v>
      </c>
      <c r="FQ14" s="3" t="s">
        <v>163</v>
      </c>
      <c r="FR14" s="3" t="s">
        <v>163</v>
      </c>
      <c r="FS14" s="3" t="s">
        <v>163</v>
      </c>
      <c r="FT14" s="3" t="s">
        <v>162</v>
      </c>
      <c r="FU14" s="3" t="s">
        <v>163</v>
      </c>
      <c r="FV14" s="24" t="s">
        <v>273</v>
      </c>
      <c r="FW14" s="3" t="s">
        <v>163</v>
      </c>
      <c r="FX14" s="3" t="s">
        <v>163</v>
      </c>
      <c r="FY14" s="3" t="s">
        <v>218</v>
      </c>
    </row>
    <row r="15" spans="1:181" x14ac:dyDescent="0.15">
      <c r="A15" s="3" t="s">
        <v>247</v>
      </c>
      <c r="B15" s="3" t="s">
        <v>157</v>
      </c>
      <c r="C15" s="3">
        <v>2013</v>
      </c>
      <c r="D15" s="2" t="str">
        <f t="shared" si="6"/>
        <v>10.1002/palo.20015</v>
      </c>
      <c r="E15">
        <f t="shared" si="0"/>
        <v>13704</v>
      </c>
      <c r="F15" t="str">
        <f t="shared" si="1"/>
        <v>NA</v>
      </c>
      <c r="G15" t="str">
        <f t="shared" si="2"/>
        <v>NA</v>
      </c>
      <c r="H15">
        <f t="shared" si="3"/>
        <v>270.8</v>
      </c>
      <c r="I15">
        <f t="shared" si="4"/>
        <v>45.2</v>
      </c>
      <c r="J15">
        <f t="shared" si="5"/>
        <v>45.2</v>
      </c>
      <c r="K15" s="2" t="s">
        <v>164</v>
      </c>
      <c r="L15" s="3" t="s">
        <v>165</v>
      </c>
      <c r="M15" s="2" t="s">
        <v>166</v>
      </c>
      <c r="N15" s="2" t="s">
        <v>167</v>
      </c>
      <c r="O15" t="s">
        <v>168</v>
      </c>
      <c r="P15" s="2" t="s">
        <v>163</v>
      </c>
      <c r="Q15" s="3" t="s">
        <v>163</v>
      </c>
      <c r="R15" s="2" t="s">
        <v>163</v>
      </c>
      <c r="S15" s="2" t="s">
        <v>163</v>
      </c>
      <c r="T15" s="2" t="s">
        <v>163</v>
      </c>
      <c r="U15" s="2" t="s">
        <v>163</v>
      </c>
      <c r="V15" s="2" t="s">
        <v>163</v>
      </c>
      <c r="W15" s="2" t="s">
        <v>163</v>
      </c>
      <c r="X15" s="2" t="s">
        <v>163</v>
      </c>
      <c r="Y15" s="2" t="s">
        <v>163</v>
      </c>
      <c r="Z15">
        <v>5.25</v>
      </c>
      <c r="AA15" s="2" t="s">
        <v>169</v>
      </c>
      <c r="AB15">
        <v>13704</v>
      </c>
      <c r="AC15" s="2" t="s">
        <v>163</v>
      </c>
      <c r="AD15" s="3" t="s">
        <v>163</v>
      </c>
      <c r="AE15" s="3" t="s">
        <v>163</v>
      </c>
      <c r="AF15" s="3" t="s">
        <v>170</v>
      </c>
      <c r="AG15" s="3" t="s">
        <v>171</v>
      </c>
      <c r="AH15">
        <v>35.915500000000002</v>
      </c>
      <c r="AI15">
        <v>14.334300000000001</v>
      </c>
      <c r="AJ15" s="3" t="s">
        <v>163</v>
      </c>
      <c r="AK15" s="3" t="s">
        <v>163</v>
      </c>
      <c r="AL15" s="3" t="s">
        <v>163</v>
      </c>
      <c r="AM15" s="3">
        <v>550</v>
      </c>
      <c r="AN15" s="3" t="s">
        <v>163</v>
      </c>
      <c r="AO15" s="3" t="s">
        <v>172</v>
      </c>
      <c r="AP15" s="3" t="s">
        <v>173</v>
      </c>
      <c r="AQ15" s="3" t="s">
        <v>163</v>
      </c>
      <c r="AR15" s="3" t="s">
        <v>163</v>
      </c>
      <c r="AS15" s="3" t="s">
        <v>163</v>
      </c>
      <c r="AT15" s="3" t="s">
        <v>163</v>
      </c>
      <c r="AU15" s="3" t="s">
        <v>163</v>
      </c>
      <c r="AV15" s="3" t="s">
        <v>163</v>
      </c>
      <c r="AW15" s="3" t="s">
        <v>163</v>
      </c>
      <c r="AX15">
        <v>0.28000000000000003</v>
      </c>
      <c r="AY15">
        <v>0.1</v>
      </c>
      <c r="AZ15" s="3" t="s">
        <v>174</v>
      </c>
      <c r="BA15" s="3" t="s">
        <v>163</v>
      </c>
      <c r="BB15" s="3" t="s">
        <v>163</v>
      </c>
      <c r="BC15" s="3" t="s">
        <v>163</v>
      </c>
      <c r="BD15" s="3" t="s">
        <v>163</v>
      </c>
      <c r="BE15" s="3" t="s">
        <v>163</v>
      </c>
      <c r="BF15" s="2" t="s">
        <v>176</v>
      </c>
      <c r="BG15" s="2" t="s">
        <v>175</v>
      </c>
      <c r="BH15">
        <v>2</v>
      </c>
      <c r="BI15" s="3" t="s">
        <v>163</v>
      </c>
      <c r="BJ15" s="3" t="s">
        <v>163</v>
      </c>
      <c r="BK15" s="3" t="s">
        <v>177</v>
      </c>
      <c r="BL15">
        <v>-6.16</v>
      </c>
      <c r="BM15" s="3" t="s">
        <v>163</v>
      </c>
      <c r="BN15" s="3" t="s">
        <v>163</v>
      </c>
      <c r="BO15">
        <v>-7.2</v>
      </c>
      <c r="BP15" s="3" t="s">
        <v>163</v>
      </c>
      <c r="BQ15" s="3" t="s">
        <v>163</v>
      </c>
      <c r="BR15" t="s">
        <v>178</v>
      </c>
      <c r="BS15" s="3" t="s">
        <v>179</v>
      </c>
      <c r="BT15">
        <v>-20.309999999999999</v>
      </c>
      <c r="BU15" s="1" t="s">
        <v>152</v>
      </c>
      <c r="BV15">
        <v>0.3</v>
      </c>
      <c r="BW15" s="3" t="s">
        <v>163</v>
      </c>
      <c r="BX15" s="3" t="s">
        <v>174</v>
      </c>
      <c r="BY15">
        <v>4</v>
      </c>
      <c r="BZ15" s="3" t="s">
        <v>163</v>
      </c>
      <c r="CA15" s="3" t="s">
        <v>163</v>
      </c>
      <c r="CB15">
        <v>-16.18</v>
      </c>
      <c r="CC15" s="3" t="s">
        <v>163</v>
      </c>
      <c r="CD15" s="3" t="s">
        <v>163</v>
      </c>
      <c r="CE15" s="3" t="s">
        <v>208</v>
      </c>
      <c r="CF15" s="3" t="s">
        <v>163</v>
      </c>
      <c r="CG15">
        <v>35</v>
      </c>
      <c r="CH15">
        <v>2.5</v>
      </c>
      <c r="CI15" s="3" t="s">
        <v>180</v>
      </c>
      <c r="CJ15" s="1" t="s">
        <v>153</v>
      </c>
      <c r="CK15" s="3">
        <f t="shared" si="7"/>
        <v>0.25000000000000011</v>
      </c>
      <c r="CL15" s="3">
        <v>0.05</v>
      </c>
      <c r="CM15" s="3">
        <v>0.05</v>
      </c>
      <c r="CN15" s="3" t="s">
        <v>180</v>
      </c>
      <c r="CO15" s="3" t="s">
        <v>163</v>
      </c>
      <c r="CP15" s="3" t="s">
        <v>163</v>
      </c>
      <c r="CQ15" s="3" t="s">
        <v>163</v>
      </c>
      <c r="CR15">
        <v>29.03</v>
      </c>
      <c r="CS15">
        <v>1</v>
      </c>
      <c r="CT15">
        <v>1</v>
      </c>
      <c r="CU15" s="3" t="s">
        <v>174</v>
      </c>
      <c r="CV15" s="3" t="s">
        <v>181</v>
      </c>
      <c r="CW15">
        <v>0.98499999999999999</v>
      </c>
      <c r="CX15" s="3" t="s">
        <v>163</v>
      </c>
      <c r="CY15">
        <v>28.5</v>
      </c>
      <c r="CZ15" s="3" t="s">
        <v>163</v>
      </c>
      <c r="DA15" s="3" t="s">
        <v>163</v>
      </c>
      <c r="DB15" s="3" t="s">
        <v>163</v>
      </c>
      <c r="DC15" s="2" t="s">
        <v>216</v>
      </c>
      <c r="DD15" s="3" t="s">
        <v>163</v>
      </c>
      <c r="DE15" s="3" t="s">
        <v>163</v>
      </c>
      <c r="DF15" s="3" t="s">
        <v>163</v>
      </c>
      <c r="DG15" s="3" t="s">
        <v>163</v>
      </c>
      <c r="DH15" s="3" t="s">
        <v>163</v>
      </c>
      <c r="DI15" s="3" t="s">
        <v>163</v>
      </c>
      <c r="DJ15" s="3" t="s">
        <v>163</v>
      </c>
      <c r="DK15" s="3" t="s">
        <v>163</v>
      </c>
      <c r="DL15" s="3" t="s">
        <v>163</v>
      </c>
      <c r="DM15" s="3" t="s">
        <v>163</v>
      </c>
      <c r="DN15" s="3" t="s">
        <v>163</v>
      </c>
      <c r="DO15" s="3" t="s">
        <v>163</v>
      </c>
      <c r="DP15" s="3" t="s">
        <v>163</v>
      </c>
      <c r="DQ15" s="3" t="s">
        <v>163</v>
      </c>
      <c r="DR15" s="3" t="s">
        <v>163</v>
      </c>
      <c r="DS15" s="3" t="s">
        <v>163</v>
      </c>
      <c r="DT15" s="3" t="s">
        <v>163</v>
      </c>
      <c r="DU15" s="3" t="s">
        <v>163</v>
      </c>
      <c r="DV15" s="3" t="s">
        <v>163</v>
      </c>
      <c r="DW15" s="3" t="s">
        <v>163</v>
      </c>
      <c r="DX15" s="3" t="s">
        <v>163</v>
      </c>
      <c r="DY15" s="3" t="s">
        <v>163</v>
      </c>
      <c r="DZ15" s="3" t="s">
        <v>163</v>
      </c>
      <c r="EA15" s="3" t="s">
        <v>163</v>
      </c>
      <c r="EB15" s="3" t="s">
        <v>163</v>
      </c>
      <c r="EC15" s="3" t="s">
        <v>163</v>
      </c>
      <c r="ED15" s="3" t="s">
        <v>163</v>
      </c>
      <c r="EE15" s="3" t="s">
        <v>163</v>
      </c>
      <c r="EF15" s="3" t="s">
        <v>163</v>
      </c>
      <c r="EG15" s="3" t="s">
        <v>163</v>
      </c>
      <c r="EH15" s="3" t="s">
        <v>163</v>
      </c>
      <c r="EI15" s="3" t="s">
        <v>163</v>
      </c>
      <c r="EJ15" s="3" t="s">
        <v>163</v>
      </c>
      <c r="EK15" s="3" t="s">
        <v>163</v>
      </c>
      <c r="EL15" s="3" t="s">
        <v>163</v>
      </c>
      <c r="EM15" s="3" t="s">
        <v>163</v>
      </c>
      <c r="EN15" s="3" t="s">
        <v>163</v>
      </c>
      <c r="EO15" s="3" t="s">
        <v>163</v>
      </c>
      <c r="EP15" s="3" t="s">
        <v>163</v>
      </c>
      <c r="EQ15" s="3" t="s">
        <v>163</v>
      </c>
      <c r="ER15">
        <v>110.65</v>
      </c>
      <c r="ES15">
        <f t="shared" si="8"/>
        <v>12.865599999999999</v>
      </c>
      <c r="ET15">
        <f t="shared" si="8"/>
        <v>12.865599999999999</v>
      </c>
      <c r="EU15" s="3" t="s">
        <v>180</v>
      </c>
      <c r="EV15" s="2" t="s">
        <v>183</v>
      </c>
      <c r="EW15">
        <v>25</v>
      </c>
      <c r="EX15">
        <v>9.1300000000000008</v>
      </c>
      <c r="EY15">
        <v>0.69499999999999995</v>
      </c>
      <c r="EZ15">
        <v>0.69499999999999995</v>
      </c>
      <c r="FA15" s="3" t="s">
        <v>174</v>
      </c>
      <c r="FB15" s="3" t="s">
        <v>163</v>
      </c>
      <c r="FC15">
        <v>6.97</v>
      </c>
      <c r="FD15" s="3" t="s">
        <v>163</v>
      </c>
      <c r="FE15" s="3" t="s">
        <v>163</v>
      </c>
      <c r="FF15" s="3" t="s">
        <v>163</v>
      </c>
      <c r="FG15" s="3" t="s">
        <v>210</v>
      </c>
      <c r="FH15">
        <v>270.8</v>
      </c>
      <c r="FI15">
        <v>45.2</v>
      </c>
      <c r="FJ15">
        <v>45.2</v>
      </c>
      <c r="FK15" s="3" t="s">
        <v>177</v>
      </c>
      <c r="FL15" s="3" t="s">
        <v>211</v>
      </c>
      <c r="FM15" s="3" t="s">
        <v>212</v>
      </c>
      <c r="FN15" s="3" t="s">
        <v>163</v>
      </c>
      <c r="FO15" s="3" t="s">
        <v>163</v>
      </c>
      <c r="FP15" s="3" t="s">
        <v>163</v>
      </c>
      <c r="FQ15" s="3" t="s">
        <v>163</v>
      </c>
      <c r="FR15" s="3" t="s">
        <v>163</v>
      </c>
      <c r="FS15" s="3" t="s">
        <v>163</v>
      </c>
      <c r="FT15" s="3" t="s">
        <v>162</v>
      </c>
      <c r="FU15" s="3" t="s">
        <v>163</v>
      </c>
      <c r="FV15" s="24" t="s">
        <v>274</v>
      </c>
      <c r="FW15" s="3" t="s">
        <v>163</v>
      </c>
      <c r="FX15" s="3" t="s">
        <v>163</v>
      </c>
      <c r="FY15" s="3" t="s">
        <v>218</v>
      </c>
    </row>
    <row r="16" spans="1:181" x14ac:dyDescent="0.15">
      <c r="A16" s="3" t="s">
        <v>247</v>
      </c>
      <c r="B16" s="3" t="s">
        <v>157</v>
      </c>
      <c r="C16" s="3">
        <v>2013</v>
      </c>
      <c r="D16" s="2" t="str">
        <f t="shared" si="6"/>
        <v>10.1002/palo.20015</v>
      </c>
      <c r="E16">
        <f t="shared" si="0"/>
        <v>13693</v>
      </c>
      <c r="F16" t="str">
        <f t="shared" si="1"/>
        <v>NA</v>
      </c>
      <c r="G16" t="str">
        <f t="shared" si="2"/>
        <v>NA</v>
      </c>
      <c r="H16">
        <f t="shared" si="3"/>
        <v>294.10000000000002</v>
      </c>
      <c r="I16">
        <f t="shared" si="4"/>
        <v>44.6</v>
      </c>
      <c r="J16">
        <f t="shared" si="5"/>
        <v>44.6</v>
      </c>
      <c r="K16" s="2" t="s">
        <v>164</v>
      </c>
      <c r="L16" s="3" t="s">
        <v>165</v>
      </c>
      <c r="M16" s="2" t="s">
        <v>166</v>
      </c>
      <c r="N16" s="2" t="s">
        <v>167</v>
      </c>
      <c r="O16" t="s">
        <v>168</v>
      </c>
      <c r="P16" s="2" t="s">
        <v>163</v>
      </c>
      <c r="Q16" s="3" t="s">
        <v>163</v>
      </c>
      <c r="R16" s="2" t="s">
        <v>163</v>
      </c>
      <c r="S16" s="2" t="s">
        <v>163</v>
      </c>
      <c r="T16" s="2" t="s">
        <v>163</v>
      </c>
      <c r="U16" s="2" t="s">
        <v>163</v>
      </c>
      <c r="V16" s="2" t="s">
        <v>163</v>
      </c>
      <c r="W16" s="2" t="s">
        <v>163</v>
      </c>
      <c r="X16" s="2" t="s">
        <v>163</v>
      </c>
      <c r="Y16" s="2" t="s">
        <v>163</v>
      </c>
      <c r="Z16">
        <v>5.8763157894736651</v>
      </c>
      <c r="AA16" s="2" t="s">
        <v>169</v>
      </c>
      <c r="AB16">
        <v>13693</v>
      </c>
      <c r="AC16" s="2" t="s">
        <v>163</v>
      </c>
      <c r="AD16" s="3" t="s">
        <v>163</v>
      </c>
      <c r="AE16" s="3" t="s">
        <v>163</v>
      </c>
      <c r="AF16" s="3" t="s">
        <v>170</v>
      </c>
      <c r="AG16" s="3" t="s">
        <v>171</v>
      </c>
      <c r="AH16">
        <v>35.915500000000002</v>
      </c>
      <c r="AI16">
        <v>14.334300000000001</v>
      </c>
      <c r="AJ16" s="3" t="s">
        <v>163</v>
      </c>
      <c r="AK16" s="3" t="s">
        <v>163</v>
      </c>
      <c r="AL16" s="3" t="s">
        <v>163</v>
      </c>
      <c r="AM16" s="3">
        <v>550</v>
      </c>
      <c r="AN16" s="3" t="s">
        <v>163</v>
      </c>
      <c r="AO16" s="3" t="s">
        <v>172</v>
      </c>
      <c r="AP16" s="3" t="s">
        <v>173</v>
      </c>
      <c r="AQ16" s="3" t="s">
        <v>163</v>
      </c>
      <c r="AR16" s="3" t="s">
        <v>163</v>
      </c>
      <c r="AS16" s="3" t="s">
        <v>163</v>
      </c>
      <c r="AT16" s="3" t="s">
        <v>163</v>
      </c>
      <c r="AU16" s="3" t="s">
        <v>163</v>
      </c>
      <c r="AV16" s="3" t="s">
        <v>163</v>
      </c>
      <c r="AW16" s="3" t="s">
        <v>163</v>
      </c>
      <c r="AX16">
        <v>0.92</v>
      </c>
      <c r="AY16">
        <v>0.1</v>
      </c>
      <c r="AZ16" s="3" t="s">
        <v>174</v>
      </c>
      <c r="BA16" s="3" t="s">
        <v>163</v>
      </c>
      <c r="BB16" s="3" t="s">
        <v>163</v>
      </c>
      <c r="BC16" s="3" t="s">
        <v>163</v>
      </c>
      <c r="BD16" s="3" t="s">
        <v>163</v>
      </c>
      <c r="BE16" s="3" t="s">
        <v>163</v>
      </c>
      <c r="BF16" s="2" t="s">
        <v>176</v>
      </c>
      <c r="BG16" s="2" t="s">
        <v>175</v>
      </c>
      <c r="BH16">
        <v>2</v>
      </c>
      <c r="BI16" s="3" t="s">
        <v>163</v>
      </c>
      <c r="BJ16" s="3" t="s">
        <v>163</v>
      </c>
      <c r="BK16" s="3" t="s">
        <v>177</v>
      </c>
      <c r="BL16">
        <v>-5.52</v>
      </c>
      <c r="BM16" s="3" t="s">
        <v>163</v>
      </c>
      <c r="BN16" s="3" t="s">
        <v>163</v>
      </c>
      <c r="BO16">
        <v>-6.56</v>
      </c>
      <c r="BP16" s="3" t="s">
        <v>163</v>
      </c>
      <c r="BQ16" s="3" t="s">
        <v>163</v>
      </c>
      <c r="BR16" t="s">
        <v>178</v>
      </c>
      <c r="BS16" s="3" t="s">
        <v>179</v>
      </c>
      <c r="BT16">
        <v>-20.87</v>
      </c>
      <c r="BU16" s="1" t="s">
        <v>152</v>
      </c>
      <c r="BV16">
        <v>0.3</v>
      </c>
      <c r="BW16" s="3" t="s">
        <v>163</v>
      </c>
      <c r="BX16" s="3" t="s">
        <v>174</v>
      </c>
      <c r="BY16">
        <v>4</v>
      </c>
      <c r="BZ16" s="3" t="s">
        <v>163</v>
      </c>
      <c r="CA16" s="3" t="s">
        <v>163</v>
      </c>
      <c r="CB16">
        <v>-16.739999999999998</v>
      </c>
      <c r="CC16" s="3" t="s">
        <v>163</v>
      </c>
      <c r="CD16" s="3" t="s">
        <v>163</v>
      </c>
      <c r="CE16" s="3" t="s">
        <v>208</v>
      </c>
      <c r="CF16" s="3" t="s">
        <v>163</v>
      </c>
      <c r="CG16">
        <v>35</v>
      </c>
      <c r="CH16">
        <v>2.5</v>
      </c>
      <c r="CI16" s="3" t="s">
        <v>180</v>
      </c>
      <c r="CJ16" s="1" t="s">
        <v>153</v>
      </c>
      <c r="CK16" s="3">
        <f t="shared" si="7"/>
        <v>0.25000000000000011</v>
      </c>
      <c r="CL16" s="3">
        <v>0.05</v>
      </c>
      <c r="CM16" s="3">
        <v>0.05</v>
      </c>
      <c r="CN16" s="3" t="s">
        <v>180</v>
      </c>
      <c r="CO16" s="3" t="s">
        <v>163</v>
      </c>
      <c r="CP16" s="3" t="s">
        <v>163</v>
      </c>
      <c r="CQ16" s="3" t="s">
        <v>163</v>
      </c>
      <c r="CR16">
        <v>29.11</v>
      </c>
      <c r="CS16">
        <v>1</v>
      </c>
      <c r="CT16">
        <v>1</v>
      </c>
      <c r="CU16" s="3" t="s">
        <v>174</v>
      </c>
      <c r="CV16" s="3" t="s">
        <v>182</v>
      </c>
      <c r="CW16" t="s">
        <v>163</v>
      </c>
      <c r="CX16" s="3" t="s">
        <v>163</v>
      </c>
      <c r="CY16" t="s">
        <v>163</v>
      </c>
      <c r="CZ16" s="3" t="s">
        <v>163</v>
      </c>
      <c r="DA16" s="3" t="s">
        <v>163</v>
      </c>
      <c r="DB16" s="3" t="s">
        <v>163</v>
      </c>
      <c r="DC16" s="2" t="s">
        <v>216</v>
      </c>
      <c r="DD16" s="3" t="s">
        <v>163</v>
      </c>
      <c r="DE16" s="3" t="s">
        <v>163</v>
      </c>
      <c r="DF16" s="3" t="s">
        <v>163</v>
      </c>
      <c r="DG16" s="3" t="s">
        <v>163</v>
      </c>
      <c r="DH16" s="3" t="s">
        <v>163</v>
      </c>
      <c r="DI16" s="3" t="s">
        <v>163</v>
      </c>
      <c r="DJ16" s="3" t="s">
        <v>163</v>
      </c>
      <c r="DK16" s="3" t="s">
        <v>163</v>
      </c>
      <c r="DL16" s="3" t="s">
        <v>163</v>
      </c>
      <c r="DM16" s="3" t="s">
        <v>163</v>
      </c>
      <c r="DN16" s="3" t="s">
        <v>163</v>
      </c>
      <c r="DO16" s="3" t="s">
        <v>163</v>
      </c>
      <c r="DP16" s="3" t="s">
        <v>163</v>
      </c>
      <c r="DQ16" s="3" t="s">
        <v>163</v>
      </c>
      <c r="DR16" s="3" t="s">
        <v>163</v>
      </c>
      <c r="DS16" s="3" t="s">
        <v>163</v>
      </c>
      <c r="DT16" s="3" t="s">
        <v>163</v>
      </c>
      <c r="DU16" s="3" t="s">
        <v>163</v>
      </c>
      <c r="DV16" s="3" t="s">
        <v>163</v>
      </c>
      <c r="DW16" s="3" t="s">
        <v>163</v>
      </c>
      <c r="DX16" s="3" t="s">
        <v>163</v>
      </c>
      <c r="DY16" s="3" t="s">
        <v>163</v>
      </c>
      <c r="DZ16" s="3" t="s">
        <v>163</v>
      </c>
      <c r="EA16" s="3" t="s">
        <v>163</v>
      </c>
      <c r="EB16" s="3" t="s">
        <v>163</v>
      </c>
      <c r="EC16" s="3" t="s">
        <v>163</v>
      </c>
      <c r="ED16" s="3" t="s">
        <v>163</v>
      </c>
      <c r="EE16" s="3" t="s">
        <v>163</v>
      </c>
      <c r="EF16" s="3" t="s">
        <v>163</v>
      </c>
      <c r="EG16" s="3" t="s">
        <v>163</v>
      </c>
      <c r="EH16" s="3" t="s">
        <v>163</v>
      </c>
      <c r="EI16" s="3" t="s">
        <v>163</v>
      </c>
      <c r="EJ16" s="3" t="s">
        <v>163</v>
      </c>
      <c r="EK16" s="3" t="s">
        <v>163</v>
      </c>
      <c r="EL16" s="3" t="s">
        <v>163</v>
      </c>
      <c r="EM16" s="3" t="s">
        <v>163</v>
      </c>
      <c r="EN16" s="3" t="s">
        <v>163</v>
      </c>
      <c r="EO16" s="3" t="s">
        <v>163</v>
      </c>
      <c r="EP16" s="3" t="s">
        <v>163</v>
      </c>
      <c r="EQ16" s="3" t="s">
        <v>163</v>
      </c>
      <c r="ER16">
        <v>110.65</v>
      </c>
      <c r="ES16">
        <f t="shared" si="8"/>
        <v>12.865599999999999</v>
      </c>
      <c r="ET16">
        <f t="shared" si="8"/>
        <v>12.865599999999999</v>
      </c>
      <c r="EU16" s="3" t="s">
        <v>180</v>
      </c>
      <c r="EV16" s="2" t="s">
        <v>183</v>
      </c>
      <c r="EW16">
        <v>25</v>
      </c>
      <c r="EX16">
        <v>10.36</v>
      </c>
      <c r="EY16">
        <v>0.375</v>
      </c>
      <c r="EZ16">
        <v>0.375</v>
      </c>
      <c r="FA16" s="3" t="s">
        <v>174</v>
      </c>
      <c r="FB16" s="3" t="s">
        <v>163</v>
      </c>
      <c r="FC16">
        <v>7.56</v>
      </c>
      <c r="FD16" s="3" t="s">
        <v>163</v>
      </c>
      <c r="FE16" s="3" t="s">
        <v>163</v>
      </c>
      <c r="FF16" s="3" t="s">
        <v>163</v>
      </c>
      <c r="FG16" s="3" t="s">
        <v>210</v>
      </c>
      <c r="FH16">
        <v>294.10000000000002</v>
      </c>
      <c r="FI16">
        <v>44.6</v>
      </c>
      <c r="FJ16">
        <v>44.6</v>
      </c>
      <c r="FK16" s="3" t="s">
        <v>177</v>
      </c>
      <c r="FL16" s="3" t="s">
        <v>211</v>
      </c>
      <c r="FM16" s="3" t="s">
        <v>212</v>
      </c>
      <c r="FN16" s="3" t="s">
        <v>163</v>
      </c>
      <c r="FO16" s="3" t="s">
        <v>163</v>
      </c>
      <c r="FP16" s="3" t="s">
        <v>163</v>
      </c>
      <c r="FQ16" s="3" t="s">
        <v>163</v>
      </c>
      <c r="FR16" s="3" t="s">
        <v>163</v>
      </c>
      <c r="FS16" s="3" t="s">
        <v>163</v>
      </c>
      <c r="FT16" s="3" t="s">
        <v>162</v>
      </c>
      <c r="FU16" s="3" t="s">
        <v>163</v>
      </c>
      <c r="FV16" s="24" t="s">
        <v>275</v>
      </c>
      <c r="FW16" s="3" t="s">
        <v>163</v>
      </c>
      <c r="FX16" s="3" t="s">
        <v>163</v>
      </c>
      <c r="FY16" s="3" t="s">
        <v>218</v>
      </c>
    </row>
    <row r="17" spans="1:181" x14ac:dyDescent="0.15">
      <c r="A17" s="3" t="s">
        <v>247</v>
      </c>
      <c r="B17" s="3" t="s">
        <v>157</v>
      </c>
      <c r="C17" s="3">
        <v>2013</v>
      </c>
      <c r="D17" s="2" t="str">
        <f t="shared" si="6"/>
        <v>10.1002/palo.20015</v>
      </c>
      <c r="E17">
        <f t="shared" si="0"/>
        <v>13679</v>
      </c>
      <c r="F17" t="str">
        <f t="shared" si="1"/>
        <v>NA</v>
      </c>
      <c r="G17" t="str">
        <f t="shared" si="2"/>
        <v>NA</v>
      </c>
      <c r="H17">
        <f t="shared" si="3"/>
        <v>261.10000000000002</v>
      </c>
      <c r="I17">
        <f t="shared" si="4"/>
        <v>41.5</v>
      </c>
      <c r="J17">
        <f t="shared" si="5"/>
        <v>41.5</v>
      </c>
      <c r="K17" s="2" t="s">
        <v>164</v>
      </c>
      <c r="L17" s="3" t="s">
        <v>165</v>
      </c>
      <c r="M17" s="2" t="s">
        <v>166</v>
      </c>
      <c r="N17" s="2" t="s">
        <v>167</v>
      </c>
      <c r="O17" t="s">
        <v>168</v>
      </c>
      <c r="P17" s="2" t="s">
        <v>163</v>
      </c>
      <c r="Q17" s="3" t="s">
        <v>163</v>
      </c>
      <c r="R17" s="2" t="s">
        <v>163</v>
      </c>
      <c r="S17" s="2" t="s">
        <v>163</v>
      </c>
      <c r="T17" s="2" t="s">
        <v>163</v>
      </c>
      <c r="U17" s="2" t="s">
        <v>163</v>
      </c>
      <c r="V17" s="2" t="s">
        <v>163</v>
      </c>
      <c r="W17" s="2" t="s">
        <v>163</v>
      </c>
      <c r="X17" s="2" t="s">
        <v>163</v>
      </c>
      <c r="Y17" s="2" t="s">
        <v>163</v>
      </c>
      <c r="Z17">
        <v>6.6499999999999773</v>
      </c>
      <c r="AA17" s="2" t="s">
        <v>169</v>
      </c>
      <c r="AB17">
        <v>13679</v>
      </c>
      <c r="AC17" s="2" t="s">
        <v>163</v>
      </c>
      <c r="AD17" s="3" t="s">
        <v>163</v>
      </c>
      <c r="AE17" s="3" t="s">
        <v>163</v>
      </c>
      <c r="AF17" s="3" t="s">
        <v>170</v>
      </c>
      <c r="AG17" s="3" t="s">
        <v>171</v>
      </c>
      <c r="AH17">
        <v>35.915500000000002</v>
      </c>
      <c r="AI17">
        <v>14.334300000000001</v>
      </c>
      <c r="AJ17" s="3" t="s">
        <v>163</v>
      </c>
      <c r="AK17" s="3" t="s">
        <v>163</v>
      </c>
      <c r="AL17" s="3" t="s">
        <v>163</v>
      </c>
      <c r="AM17" s="3">
        <v>550</v>
      </c>
      <c r="AN17" s="3" t="s">
        <v>163</v>
      </c>
      <c r="AO17" s="3" t="s">
        <v>172</v>
      </c>
      <c r="AP17" s="3" t="s">
        <v>173</v>
      </c>
      <c r="AQ17" s="3" t="s">
        <v>163</v>
      </c>
      <c r="AR17" s="3" t="s">
        <v>163</v>
      </c>
      <c r="AS17" s="3" t="s">
        <v>163</v>
      </c>
      <c r="AT17" s="3" t="s">
        <v>163</v>
      </c>
      <c r="AU17" s="3" t="s">
        <v>163</v>
      </c>
      <c r="AV17" s="3" t="s">
        <v>163</v>
      </c>
      <c r="AW17" s="3" t="s">
        <v>163</v>
      </c>
      <c r="AX17">
        <v>0.68</v>
      </c>
      <c r="AY17">
        <v>0.1</v>
      </c>
      <c r="AZ17" s="3" t="s">
        <v>174</v>
      </c>
      <c r="BA17" s="3" t="s">
        <v>163</v>
      </c>
      <c r="BB17" s="3" t="s">
        <v>163</v>
      </c>
      <c r="BC17" s="3" t="s">
        <v>163</v>
      </c>
      <c r="BD17" s="3" t="s">
        <v>163</v>
      </c>
      <c r="BE17" s="3" t="s">
        <v>163</v>
      </c>
      <c r="BF17" s="2" t="s">
        <v>176</v>
      </c>
      <c r="BG17" s="2" t="s">
        <v>175</v>
      </c>
      <c r="BH17">
        <v>2</v>
      </c>
      <c r="BI17" s="3" t="s">
        <v>163</v>
      </c>
      <c r="BJ17" s="3" t="s">
        <v>163</v>
      </c>
      <c r="BK17" s="3" t="s">
        <v>177</v>
      </c>
      <c r="BL17">
        <v>-5.99</v>
      </c>
      <c r="BM17" s="3" t="s">
        <v>163</v>
      </c>
      <c r="BN17" s="3" t="s">
        <v>163</v>
      </c>
      <c r="BO17">
        <v>-7.03</v>
      </c>
      <c r="BP17" s="3" t="s">
        <v>163</v>
      </c>
      <c r="BQ17" s="3" t="s">
        <v>163</v>
      </c>
      <c r="BR17" t="s">
        <v>178</v>
      </c>
      <c r="BS17" s="3" t="s">
        <v>179</v>
      </c>
      <c r="BT17">
        <v>-20.27</v>
      </c>
      <c r="BU17" s="1" t="s">
        <v>152</v>
      </c>
      <c r="BV17">
        <v>0.3</v>
      </c>
      <c r="BW17" s="3" t="s">
        <v>163</v>
      </c>
      <c r="BX17" s="3" t="s">
        <v>174</v>
      </c>
      <c r="BY17">
        <v>4</v>
      </c>
      <c r="BZ17" s="3" t="s">
        <v>163</v>
      </c>
      <c r="CA17" s="3" t="s">
        <v>163</v>
      </c>
      <c r="CB17">
        <v>-16.13</v>
      </c>
      <c r="CC17" s="3" t="s">
        <v>163</v>
      </c>
      <c r="CD17" s="3" t="s">
        <v>163</v>
      </c>
      <c r="CE17" s="3" t="s">
        <v>208</v>
      </c>
      <c r="CF17" s="3" t="s">
        <v>163</v>
      </c>
      <c r="CG17">
        <v>35</v>
      </c>
      <c r="CH17">
        <v>2.5</v>
      </c>
      <c r="CI17" s="3" t="s">
        <v>180</v>
      </c>
      <c r="CJ17" s="1" t="s">
        <v>153</v>
      </c>
      <c r="CK17" s="3">
        <f t="shared" si="7"/>
        <v>0.25000000000000011</v>
      </c>
      <c r="CL17" s="3">
        <v>0.05</v>
      </c>
      <c r="CM17" s="3">
        <v>0.05</v>
      </c>
      <c r="CN17" s="3" t="s">
        <v>180</v>
      </c>
      <c r="CO17" s="3" t="s">
        <v>163</v>
      </c>
      <c r="CP17" s="3" t="s">
        <v>163</v>
      </c>
      <c r="CQ17" s="3" t="s">
        <v>163</v>
      </c>
      <c r="CR17">
        <v>27.17</v>
      </c>
      <c r="CS17">
        <v>1</v>
      </c>
      <c r="CT17">
        <v>1</v>
      </c>
      <c r="CU17" s="3" t="s">
        <v>174</v>
      </c>
      <c r="CV17" s="3" t="s">
        <v>181</v>
      </c>
      <c r="CW17">
        <v>1</v>
      </c>
      <c r="CX17" s="3" t="s">
        <v>163</v>
      </c>
      <c r="CY17">
        <v>29</v>
      </c>
      <c r="CZ17" s="3" t="s">
        <v>163</v>
      </c>
      <c r="DA17" s="3" t="s">
        <v>163</v>
      </c>
      <c r="DB17" s="3" t="s">
        <v>163</v>
      </c>
      <c r="DC17" s="2" t="s">
        <v>216</v>
      </c>
      <c r="DD17" s="3" t="s">
        <v>163</v>
      </c>
      <c r="DE17" s="3" t="s">
        <v>163</v>
      </c>
      <c r="DF17" s="3" t="s">
        <v>163</v>
      </c>
      <c r="DG17" s="3" t="s">
        <v>163</v>
      </c>
      <c r="DH17" s="3" t="s">
        <v>163</v>
      </c>
      <c r="DI17" s="3" t="s">
        <v>163</v>
      </c>
      <c r="DJ17" s="3" t="s">
        <v>163</v>
      </c>
      <c r="DK17" s="3" t="s">
        <v>163</v>
      </c>
      <c r="DL17" s="3" t="s">
        <v>163</v>
      </c>
      <c r="DM17" s="3" t="s">
        <v>163</v>
      </c>
      <c r="DN17" s="3" t="s">
        <v>163</v>
      </c>
      <c r="DO17" s="3" t="s">
        <v>163</v>
      </c>
      <c r="DP17" s="3" t="s">
        <v>163</v>
      </c>
      <c r="DQ17" s="3" t="s">
        <v>163</v>
      </c>
      <c r="DR17" s="3" t="s">
        <v>163</v>
      </c>
      <c r="DS17" s="3" t="s">
        <v>163</v>
      </c>
      <c r="DT17" s="3" t="s">
        <v>163</v>
      </c>
      <c r="DU17" s="3" t="s">
        <v>163</v>
      </c>
      <c r="DV17" s="3" t="s">
        <v>163</v>
      </c>
      <c r="DW17" s="3" t="s">
        <v>163</v>
      </c>
      <c r="DX17" s="3" t="s">
        <v>163</v>
      </c>
      <c r="DY17" s="3" t="s">
        <v>163</v>
      </c>
      <c r="DZ17" s="3" t="s">
        <v>163</v>
      </c>
      <c r="EA17" s="3" t="s">
        <v>163</v>
      </c>
      <c r="EB17" s="3" t="s">
        <v>163</v>
      </c>
      <c r="EC17" s="3" t="s">
        <v>163</v>
      </c>
      <c r="ED17" s="3" t="s">
        <v>163</v>
      </c>
      <c r="EE17" s="3" t="s">
        <v>163</v>
      </c>
      <c r="EF17" s="3" t="s">
        <v>163</v>
      </c>
      <c r="EG17" s="3" t="s">
        <v>163</v>
      </c>
      <c r="EH17" s="3" t="s">
        <v>163</v>
      </c>
      <c r="EI17" s="3" t="s">
        <v>163</v>
      </c>
      <c r="EJ17" s="3" t="s">
        <v>163</v>
      </c>
      <c r="EK17" s="3" t="s">
        <v>163</v>
      </c>
      <c r="EL17" s="3" t="s">
        <v>163</v>
      </c>
      <c r="EM17" s="3" t="s">
        <v>163</v>
      </c>
      <c r="EN17" s="3" t="s">
        <v>163</v>
      </c>
      <c r="EO17" s="3" t="s">
        <v>163</v>
      </c>
      <c r="EP17" s="3" t="s">
        <v>163</v>
      </c>
      <c r="EQ17" s="3" t="s">
        <v>163</v>
      </c>
      <c r="ER17">
        <v>110.65</v>
      </c>
      <c r="ES17">
        <f t="shared" si="8"/>
        <v>12.865599999999999</v>
      </c>
      <c r="ET17">
        <f t="shared" si="8"/>
        <v>12.865599999999999</v>
      </c>
      <c r="EU17" s="3" t="s">
        <v>180</v>
      </c>
      <c r="EV17" s="2" t="s">
        <v>183</v>
      </c>
      <c r="EW17">
        <v>25</v>
      </c>
      <c r="EX17">
        <v>9.25</v>
      </c>
      <c r="EY17">
        <v>0.5</v>
      </c>
      <c r="EZ17">
        <v>0.5</v>
      </c>
      <c r="FA17" s="3" t="s">
        <v>174</v>
      </c>
      <c r="FB17" s="3" t="s">
        <v>163</v>
      </c>
      <c r="FC17">
        <v>7.02</v>
      </c>
      <c r="FD17" s="3" t="s">
        <v>163</v>
      </c>
      <c r="FE17" s="3" t="s">
        <v>163</v>
      </c>
      <c r="FF17" s="3" t="s">
        <v>163</v>
      </c>
      <c r="FG17" s="3" t="s">
        <v>210</v>
      </c>
      <c r="FH17">
        <v>261.10000000000002</v>
      </c>
      <c r="FI17">
        <v>41.5</v>
      </c>
      <c r="FJ17">
        <v>41.5</v>
      </c>
      <c r="FK17" s="3" t="s">
        <v>177</v>
      </c>
      <c r="FL17" s="3" t="s">
        <v>211</v>
      </c>
      <c r="FM17" s="3" t="s">
        <v>212</v>
      </c>
      <c r="FN17" s="3" t="s">
        <v>163</v>
      </c>
      <c r="FO17" s="3" t="s">
        <v>163</v>
      </c>
      <c r="FP17" s="3" t="s">
        <v>163</v>
      </c>
      <c r="FQ17" s="3" t="s">
        <v>163</v>
      </c>
      <c r="FR17" s="3" t="s">
        <v>163</v>
      </c>
      <c r="FS17" s="3" t="s">
        <v>163</v>
      </c>
      <c r="FT17" s="3" t="s">
        <v>162</v>
      </c>
      <c r="FU17" s="3" t="s">
        <v>163</v>
      </c>
      <c r="FV17" s="24" t="s">
        <v>276</v>
      </c>
      <c r="FW17" s="3" t="s">
        <v>163</v>
      </c>
      <c r="FX17" s="3" t="s">
        <v>163</v>
      </c>
      <c r="FY17" s="3" t="s">
        <v>218</v>
      </c>
    </row>
    <row r="18" spans="1:181" x14ac:dyDescent="0.15">
      <c r="A18" s="3" t="s">
        <v>247</v>
      </c>
      <c r="B18" s="3" t="s">
        <v>157</v>
      </c>
      <c r="C18" s="3">
        <v>2013</v>
      </c>
      <c r="D18" s="2" t="str">
        <f t="shared" si="6"/>
        <v>10.1002/palo.20015</v>
      </c>
      <c r="E18">
        <f t="shared" si="0"/>
        <v>13672</v>
      </c>
      <c r="F18" t="str">
        <f t="shared" si="1"/>
        <v>NA</v>
      </c>
      <c r="G18" t="str">
        <f t="shared" si="2"/>
        <v>NA</v>
      </c>
      <c r="H18">
        <f t="shared" si="3"/>
        <v>289.10000000000002</v>
      </c>
      <c r="I18">
        <f t="shared" si="4"/>
        <v>45.2</v>
      </c>
      <c r="J18">
        <f t="shared" si="5"/>
        <v>45.2</v>
      </c>
      <c r="K18" s="2" t="s">
        <v>164</v>
      </c>
      <c r="L18" s="3" t="s">
        <v>165</v>
      </c>
      <c r="M18" s="2" t="s">
        <v>166</v>
      </c>
      <c r="N18" s="2" t="s">
        <v>167</v>
      </c>
      <c r="O18" t="s">
        <v>168</v>
      </c>
      <c r="P18" s="2" t="s">
        <v>163</v>
      </c>
      <c r="Q18" s="3" t="s">
        <v>163</v>
      </c>
      <c r="R18" s="2" t="s">
        <v>163</v>
      </c>
      <c r="S18" s="2" t="s">
        <v>163</v>
      </c>
      <c r="T18" s="2" t="s">
        <v>163</v>
      </c>
      <c r="U18" s="2" t="s">
        <v>163</v>
      </c>
      <c r="V18" s="2" t="s">
        <v>163</v>
      </c>
      <c r="W18" s="2" t="s">
        <v>163</v>
      </c>
      <c r="X18" s="2" t="s">
        <v>163</v>
      </c>
      <c r="Y18" s="2" t="s">
        <v>163</v>
      </c>
      <c r="Z18">
        <v>7</v>
      </c>
      <c r="AA18" s="2" t="s">
        <v>169</v>
      </c>
      <c r="AB18">
        <v>13672</v>
      </c>
      <c r="AC18" s="2" t="s">
        <v>163</v>
      </c>
      <c r="AD18" s="3" t="s">
        <v>163</v>
      </c>
      <c r="AE18" s="3" t="s">
        <v>163</v>
      </c>
      <c r="AF18" s="3" t="s">
        <v>170</v>
      </c>
      <c r="AG18" s="3" t="s">
        <v>171</v>
      </c>
      <c r="AH18">
        <v>35.915500000000002</v>
      </c>
      <c r="AI18">
        <v>14.334300000000001</v>
      </c>
      <c r="AJ18" s="3" t="s">
        <v>163</v>
      </c>
      <c r="AK18" s="3" t="s">
        <v>163</v>
      </c>
      <c r="AL18" s="3" t="s">
        <v>163</v>
      </c>
      <c r="AM18" s="3">
        <v>550</v>
      </c>
      <c r="AN18" s="3" t="s">
        <v>163</v>
      </c>
      <c r="AO18" s="3" t="s">
        <v>172</v>
      </c>
      <c r="AP18" s="3" t="s">
        <v>173</v>
      </c>
      <c r="AQ18" s="3" t="s">
        <v>163</v>
      </c>
      <c r="AR18" s="3" t="s">
        <v>163</v>
      </c>
      <c r="AS18" s="3" t="s">
        <v>163</v>
      </c>
      <c r="AT18" s="3" t="s">
        <v>163</v>
      </c>
      <c r="AU18" s="3" t="s">
        <v>163</v>
      </c>
      <c r="AV18" s="3" t="s">
        <v>163</v>
      </c>
      <c r="AW18" s="3" t="s">
        <v>163</v>
      </c>
      <c r="AX18">
        <v>1.02</v>
      </c>
      <c r="AY18">
        <v>0.1</v>
      </c>
      <c r="AZ18" s="3" t="s">
        <v>174</v>
      </c>
      <c r="BA18" s="3" t="s">
        <v>163</v>
      </c>
      <c r="BB18" s="3" t="s">
        <v>163</v>
      </c>
      <c r="BC18" s="3" t="s">
        <v>163</v>
      </c>
      <c r="BD18" s="3" t="s">
        <v>163</v>
      </c>
      <c r="BE18" s="3" t="s">
        <v>163</v>
      </c>
      <c r="BF18" s="2" t="s">
        <v>176</v>
      </c>
      <c r="BG18" s="2" t="s">
        <v>175</v>
      </c>
      <c r="BH18">
        <v>2</v>
      </c>
      <c r="BI18" s="3" t="s">
        <v>163</v>
      </c>
      <c r="BJ18" s="3" t="s">
        <v>163</v>
      </c>
      <c r="BK18" s="3" t="s">
        <v>177</v>
      </c>
      <c r="BL18">
        <v>-5.55</v>
      </c>
      <c r="BM18" s="3" t="s">
        <v>163</v>
      </c>
      <c r="BN18" s="3" t="s">
        <v>163</v>
      </c>
      <c r="BO18">
        <v>-6.6</v>
      </c>
      <c r="BP18" s="3" t="s">
        <v>163</v>
      </c>
      <c r="BQ18" s="3" t="s">
        <v>163</v>
      </c>
      <c r="BR18" t="s">
        <v>178</v>
      </c>
      <c r="BS18" s="3" t="s">
        <v>179</v>
      </c>
      <c r="BT18">
        <v>-21.04</v>
      </c>
      <c r="BU18" s="1" t="s">
        <v>152</v>
      </c>
      <c r="BV18">
        <v>0.3</v>
      </c>
      <c r="BW18" s="3" t="s">
        <v>163</v>
      </c>
      <c r="BX18" s="3" t="s">
        <v>174</v>
      </c>
      <c r="BY18">
        <v>4</v>
      </c>
      <c r="BZ18" s="3" t="s">
        <v>163</v>
      </c>
      <c r="CA18" s="3" t="s">
        <v>163</v>
      </c>
      <c r="CB18">
        <v>-16.91</v>
      </c>
      <c r="CC18" s="3" t="s">
        <v>163</v>
      </c>
      <c r="CD18" s="3" t="s">
        <v>163</v>
      </c>
      <c r="CE18" s="3" t="s">
        <v>208</v>
      </c>
      <c r="CF18" s="3" t="s">
        <v>163</v>
      </c>
      <c r="CG18">
        <v>35</v>
      </c>
      <c r="CH18">
        <v>2.5</v>
      </c>
      <c r="CI18" s="3" t="s">
        <v>180</v>
      </c>
      <c r="CJ18" s="1" t="s">
        <v>153</v>
      </c>
      <c r="CK18" s="3">
        <f t="shared" si="7"/>
        <v>0.25000000000000011</v>
      </c>
      <c r="CL18" s="3">
        <v>0.05</v>
      </c>
      <c r="CM18" s="3">
        <v>0.05</v>
      </c>
      <c r="CN18" s="3" t="s">
        <v>180</v>
      </c>
      <c r="CO18" s="3" t="s">
        <v>163</v>
      </c>
      <c r="CP18" s="3" t="s">
        <v>163</v>
      </c>
      <c r="CQ18" s="3" t="s">
        <v>163</v>
      </c>
      <c r="CR18">
        <v>27.98</v>
      </c>
      <c r="CS18">
        <v>1</v>
      </c>
      <c r="CT18">
        <v>1</v>
      </c>
      <c r="CU18" s="3" t="s">
        <v>174</v>
      </c>
      <c r="CV18" s="3" t="s">
        <v>182</v>
      </c>
      <c r="CW18" t="s">
        <v>163</v>
      </c>
      <c r="CX18" s="3" t="s">
        <v>163</v>
      </c>
      <c r="CY18" t="s">
        <v>163</v>
      </c>
      <c r="CZ18" s="3" t="s">
        <v>163</v>
      </c>
      <c r="DA18" s="3" t="s">
        <v>163</v>
      </c>
      <c r="DB18" s="3" t="s">
        <v>163</v>
      </c>
      <c r="DC18" s="2" t="s">
        <v>216</v>
      </c>
      <c r="DD18" s="3" t="s">
        <v>163</v>
      </c>
      <c r="DE18" s="3" t="s">
        <v>163</v>
      </c>
      <c r="DF18" s="3" t="s">
        <v>163</v>
      </c>
      <c r="DG18" s="3" t="s">
        <v>163</v>
      </c>
      <c r="DH18" s="3" t="s">
        <v>163</v>
      </c>
      <c r="DI18" s="3" t="s">
        <v>163</v>
      </c>
      <c r="DJ18" s="3" t="s">
        <v>163</v>
      </c>
      <c r="DK18" s="3" t="s">
        <v>163</v>
      </c>
      <c r="DL18" s="3" t="s">
        <v>163</v>
      </c>
      <c r="DM18" s="3" t="s">
        <v>163</v>
      </c>
      <c r="DN18" s="3" t="s">
        <v>163</v>
      </c>
      <c r="DO18" s="3" t="s">
        <v>163</v>
      </c>
      <c r="DP18" s="3" t="s">
        <v>163</v>
      </c>
      <c r="DQ18" s="3" t="s">
        <v>163</v>
      </c>
      <c r="DR18" s="3" t="s">
        <v>163</v>
      </c>
      <c r="DS18" s="3" t="s">
        <v>163</v>
      </c>
      <c r="DT18" s="3" t="s">
        <v>163</v>
      </c>
      <c r="DU18" s="3" t="s">
        <v>163</v>
      </c>
      <c r="DV18" s="3" t="s">
        <v>163</v>
      </c>
      <c r="DW18" s="3" t="s">
        <v>163</v>
      </c>
      <c r="DX18" s="3" t="s">
        <v>163</v>
      </c>
      <c r="DY18" s="3" t="s">
        <v>163</v>
      </c>
      <c r="DZ18" s="3" t="s">
        <v>163</v>
      </c>
      <c r="EA18" s="3" t="s">
        <v>163</v>
      </c>
      <c r="EB18" s="3" t="s">
        <v>163</v>
      </c>
      <c r="EC18" s="3" t="s">
        <v>163</v>
      </c>
      <c r="ED18" s="3" t="s">
        <v>163</v>
      </c>
      <c r="EE18" s="3" t="s">
        <v>163</v>
      </c>
      <c r="EF18" s="3" t="s">
        <v>163</v>
      </c>
      <c r="EG18" s="3" t="s">
        <v>163</v>
      </c>
      <c r="EH18" s="3" t="s">
        <v>163</v>
      </c>
      <c r="EI18" s="3" t="s">
        <v>163</v>
      </c>
      <c r="EJ18" s="3" t="s">
        <v>163</v>
      </c>
      <c r="EK18" s="3" t="s">
        <v>163</v>
      </c>
      <c r="EL18" s="3" t="s">
        <v>163</v>
      </c>
      <c r="EM18" s="3" t="s">
        <v>163</v>
      </c>
      <c r="EN18" s="3" t="s">
        <v>163</v>
      </c>
      <c r="EO18" s="3" t="s">
        <v>163</v>
      </c>
      <c r="EP18" s="3" t="s">
        <v>163</v>
      </c>
      <c r="EQ18" s="3" t="s">
        <v>163</v>
      </c>
      <c r="ER18">
        <v>110.65</v>
      </c>
      <c r="ES18">
        <f t="shared" si="8"/>
        <v>12.865599999999999</v>
      </c>
      <c r="ET18">
        <f t="shared" si="8"/>
        <v>12.865599999999999</v>
      </c>
      <c r="EU18" s="3" t="s">
        <v>180</v>
      </c>
      <c r="EV18" s="2" t="s">
        <v>183</v>
      </c>
      <c r="EW18">
        <v>25</v>
      </c>
      <c r="EX18">
        <v>10.49</v>
      </c>
      <c r="EY18">
        <v>0.39500000000000002</v>
      </c>
      <c r="EZ18">
        <v>0.39500000000000002</v>
      </c>
      <c r="FA18" s="3" t="s">
        <v>174</v>
      </c>
      <c r="FB18" s="3" t="s">
        <v>163</v>
      </c>
      <c r="FC18">
        <v>7.63</v>
      </c>
      <c r="FD18" s="3" t="s">
        <v>163</v>
      </c>
      <c r="FE18" s="3" t="s">
        <v>163</v>
      </c>
      <c r="FF18" s="3" t="s">
        <v>163</v>
      </c>
      <c r="FG18" s="3" t="s">
        <v>210</v>
      </c>
      <c r="FH18">
        <v>289.10000000000002</v>
      </c>
      <c r="FI18">
        <v>45.2</v>
      </c>
      <c r="FJ18">
        <v>45.2</v>
      </c>
      <c r="FK18" s="3" t="s">
        <v>177</v>
      </c>
      <c r="FL18" s="3" t="s">
        <v>211</v>
      </c>
      <c r="FM18" s="3" t="s">
        <v>212</v>
      </c>
      <c r="FN18" s="3" t="s">
        <v>163</v>
      </c>
      <c r="FO18" s="3" t="s">
        <v>163</v>
      </c>
      <c r="FP18" s="3" t="s">
        <v>163</v>
      </c>
      <c r="FQ18" s="3" t="s">
        <v>163</v>
      </c>
      <c r="FR18" s="3" t="s">
        <v>163</v>
      </c>
      <c r="FS18" s="3" t="s">
        <v>163</v>
      </c>
      <c r="FT18" s="3" t="s">
        <v>162</v>
      </c>
      <c r="FU18" s="3" t="s">
        <v>163</v>
      </c>
      <c r="FV18" s="24" t="s">
        <v>277</v>
      </c>
      <c r="FW18" s="3" t="s">
        <v>163</v>
      </c>
      <c r="FX18" s="3" t="s">
        <v>163</v>
      </c>
      <c r="FY18" s="3" t="s">
        <v>218</v>
      </c>
    </row>
    <row r="19" spans="1:181" x14ac:dyDescent="0.15">
      <c r="A19" s="3" t="s">
        <v>247</v>
      </c>
      <c r="B19" s="3" t="s">
        <v>157</v>
      </c>
      <c r="C19" s="3">
        <v>2013</v>
      </c>
      <c r="D19" s="2" t="str">
        <f t="shared" si="6"/>
        <v>10.1002/palo.20015</v>
      </c>
      <c r="E19">
        <f t="shared" si="0"/>
        <v>13665</v>
      </c>
      <c r="F19" t="str">
        <f t="shared" si="1"/>
        <v>NA</v>
      </c>
      <c r="G19" t="str">
        <f t="shared" si="2"/>
        <v>NA</v>
      </c>
      <c r="H19">
        <f t="shared" si="3"/>
        <v>307.39999999999998</v>
      </c>
      <c r="I19">
        <f t="shared" si="4"/>
        <v>47.2</v>
      </c>
      <c r="J19">
        <f t="shared" si="5"/>
        <v>47.2</v>
      </c>
      <c r="K19" s="2" t="s">
        <v>164</v>
      </c>
      <c r="L19" s="3" t="s">
        <v>165</v>
      </c>
      <c r="M19" s="2" t="s">
        <v>166</v>
      </c>
      <c r="N19" s="2" t="s">
        <v>167</v>
      </c>
      <c r="O19" t="s">
        <v>168</v>
      </c>
      <c r="P19" s="2" t="s">
        <v>163</v>
      </c>
      <c r="Q19" s="3" t="s">
        <v>163</v>
      </c>
      <c r="R19" s="2" t="s">
        <v>163</v>
      </c>
      <c r="S19" s="2" t="s">
        <v>163</v>
      </c>
      <c r="T19" s="2" t="s">
        <v>163</v>
      </c>
      <c r="U19" s="2" t="s">
        <v>163</v>
      </c>
      <c r="V19" s="2" t="s">
        <v>163</v>
      </c>
      <c r="W19" s="2" t="s">
        <v>163</v>
      </c>
      <c r="X19" s="2" t="s">
        <v>163</v>
      </c>
      <c r="Y19" s="2" t="s">
        <v>163</v>
      </c>
      <c r="Z19">
        <v>7.3499999999999091</v>
      </c>
      <c r="AA19" s="2" t="s">
        <v>169</v>
      </c>
      <c r="AB19">
        <v>13665</v>
      </c>
      <c r="AC19" s="2" t="s">
        <v>163</v>
      </c>
      <c r="AD19" s="3" t="s">
        <v>163</v>
      </c>
      <c r="AE19" s="3" t="s">
        <v>163</v>
      </c>
      <c r="AF19" s="3" t="s">
        <v>170</v>
      </c>
      <c r="AG19" s="3" t="s">
        <v>171</v>
      </c>
      <c r="AH19">
        <v>35.915500000000002</v>
      </c>
      <c r="AI19">
        <v>14.334300000000001</v>
      </c>
      <c r="AJ19" s="3" t="s">
        <v>163</v>
      </c>
      <c r="AK19" s="3" t="s">
        <v>163</v>
      </c>
      <c r="AL19" s="3" t="s">
        <v>163</v>
      </c>
      <c r="AM19" s="3">
        <v>550</v>
      </c>
      <c r="AN19" s="3" t="s">
        <v>163</v>
      </c>
      <c r="AO19" s="3" t="s">
        <v>172</v>
      </c>
      <c r="AP19" s="3" t="s">
        <v>173</v>
      </c>
      <c r="AQ19" s="3" t="s">
        <v>163</v>
      </c>
      <c r="AR19" s="3" t="s">
        <v>163</v>
      </c>
      <c r="AS19" s="3" t="s">
        <v>163</v>
      </c>
      <c r="AT19" s="3" t="s">
        <v>163</v>
      </c>
      <c r="AU19" s="3" t="s">
        <v>163</v>
      </c>
      <c r="AV19" s="3" t="s">
        <v>163</v>
      </c>
      <c r="AW19" s="3" t="s">
        <v>163</v>
      </c>
      <c r="AX19">
        <v>1.28</v>
      </c>
      <c r="AY19">
        <v>0.1</v>
      </c>
      <c r="AZ19" s="3" t="s">
        <v>174</v>
      </c>
      <c r="BA19" s="3" t="s">
        <v>163</v>
      </c>
      <c r="BB19" s="3" t="s">
        <v>163</v>
      </c>
      <c r="BC19" s="3" t="s">
        <v>163</v>
      </c>
      <c r="BD19" s="3" t="s">
        <v>163</v>
      </c>
      <c r="BE19" s="3" t="s">
        <v>163</v>
      </c>
      <c r="BF19" s="2" t="s">
        <v>176</v>
      </c>
      <c r="BG19" s="2" t="s">
        <v>175</v>
      </c>
      <c r="BH19">
        <v>2</v>
      </c>
      <c r="BI19" s="3" t="s">
        <v>163</v>
      </c>
      <c r="BJ19" s="3" t="s">
        <v>163</v>
      </c>
      <c r="BK19" s="3" t="s">
        <v>177</v>
      </c>
      <c r="BL19">
        <v>-5.2</v>
      </c>
      <c r="BM19" s="3" t="s">
        <v>163</v>
      </c>
      <c r="BN19" s="3" t="s">
        <v>163</v>
      </c>
      <c r="BO19">
        <v>-6.24</v>
      </c>
      <c r="BP19" s="3" t="s">
        <v>163</v>
      </c>
      <c r="BQ19" s="3" t="s">
        <v>163</v>
      </c>
      <c r="BR19" t="s">
        <v>178</v>
      </c>
      <c r="BS19" s="3" t="s">
        <v>179</v>
      </c>
      <c r="BT19">
        <v>-21.27</v>
      </c>
      <c r="BU19" s="1" t="s">
        <v>152</v>
      </c>
      <c r="BV19">
        <v>0.3</v>
      </c>
      <c r="BW19" s="3" t="s">
        <v>163</v>
      </c>
      <c r="BX19" s="3" t="s">
        <v>174</v>
      </c>
      <c r="BY19">
        <v>4</v>
      </c>
      <c r="BZ19" s="3" t="s">
        <v>163</v>
      </c>
      <c r="CA19" s="3" t="s">
        <v>163</v>
      </c>
      <c r="CB19">
        <v>-17.14</v>
      </c>
      <c r="CC19" s="3" t="s">
        <v>163</v>
      </c>
      <c r="CD19" s="3" t="s">
        <v>163</v>
      </c>
      <c r="CE19" s="3" t="s">
        <v>208</v>
      </c>
      <c r="CF19" s="3" t="s">
        <v>163</v>
      </c>
      <c r="CG19">
        <v>35</v>
      </c>
      <c r="CH19">
        <v>2.5</v>
      </c>
      <c r="CI19" s="3" t="s">
        <v>180</v>
      </c>
      <c r="CJ19" s="1" t="s">
        <v>153</v>
      </c>
      <c r="CK19" s="3">
        <f t="shared" si="7"/>
        <v>0.25000000000000011</v>
      </c>
      <c r="CL19" s="3">
        <v>0.05</v>
      </c>
      <c r="CM19" s="3">
        <v>0.05</v>
      </c>
      <c r="CN19" s="3" t="s">
        <v>180</v>
      </c>
      <c r="CO19" s="3" t="s">
        <v>163</v>
      </c>
      <c r="CP19" s="3" t="s">
        <v>163</v>
      </c>
      <c r="CQ19" s="3" t="s">
        <v>163</v>
      </c>
      <c r="CR19">
        <v>28.8</v>
      </c>
      <c r="CS19">
        <v>1</v>
      </c>
      <c r="CT19">
        <v>1</v>
      </c>
      <c r="CU19" s="3" t="s">
        <v>174</v>
      </c>
      <c r="CV19" s="3" t="s">
        <v>181</v>
      </c>
      <c r="CW19">
        <v>0.98099999999999998</v>
      </c>
      <c r="CX19" s="3" t="s">
        <v>163</v>
      </c>
      <c r="CY19">
        <v>28.4</v>
      </c>
      <c r="CZ19" s="3" t="s">
        <v>163</v>
      </c>
      <c r="DA19" s="3" t="s">
        <v>163</v>
      </c>
      <c r="DB19" s="3" t="s">
        <v>163</v>
      </c>
      <c r="DC19" s="2" t="s">
        <v>216</v>
      </c>
      <c r="DD19" s="3" t="s">
        <v>163</v>
      </c>
      <c r="DE19" s="3" t="s">
        <v>163</v>
      </c>
      <c r="DF19" s="3" t="s">
        <v>163</v>
      </c>
      <c r="DG19" s="3" t="s">
        <v>163</v>
      </c>
      <c r="DH19" s="3" t="s">
        <v>163</v>
      </c>
      <c r="DI19" s="3" t="s">
        <v>163</v>
      </c>
      <c r="DJ19" s="3" t="s">
        <v>163</v>
      </c>
      <c r="DK19" s="3" t="s">
        <v>163</v>
      </c>
      <c r="DL19" s="3" t="s">
        <v>163</v>
      </c>
      <c r="DM19" s="3" t="s">
        <v>163</v>
      </c>
      <c r="DN19" s="3" t="s">
        <v>163</v>
      </c>
      <c r="DO19" s="3" t="s">
        <v>163</v>
      </c>
      <c r="DP19" s="3" t="s">
        <v>163</v>
      </c>
      <c r="DQ19" s="3" t="s">
        <v>163</v>
      </c>
      <c r="DR19" s="3" t="s">
        <v>163</v>
      </c>
      <c r="DS19" s="3" t="s">
        <v>163</v>
      </c>
      <c r="DT19" s="3" t="s">
        <v>163</v>
      </c>
      <c r="DU19" s="3" t="s">
        <v>163</v>
      </c>
      <c r="DV19" s="3" t="s">
        <v>163</v>
      </c>
      <c r="DW19" s="3" t="s">
        <v>163</v>
      </c>
      <c r="DX19" s="3" t="s">
        <v>163</v>
      </c>
      <c r="DY19" s="3" t="s">
        <v>163</v>
      </c>
      <c r="DZ19" s="3" t="s">
        <v>163</v>
      </c>
      <c r="EA19" s="3" t="s">
        <v>163</v>
      </c>
      <c r="EB19" s="3" t="s">
        <v>163</v>
      </c>
      <c r="EC19" s="3" t="s">
        <v>163</v>
      </c>
      <c r="ED19" s="3" t="s">
        <v>163</v>
      </c>
      <c r="EE19" s="3" t="s">
        <v>163</v>
      </c>
      <c r="EF19" s="3" t="s">
        <v>163</v>
      </c>
      <c r="EG19" s="3" t="s">
        <v>163</v>
      </c>
      <c r="EH19" s="3" t="s">
        <v>163</v>
      </c>
      <c r="EI19" s="3" t="s">
        <v>163</v>
      </c>
      <c r="EJ19" s="3" t="s">
        <v>163</v>
      </c>
      <c r="EK19" s="3" t="s">
        <v>163</v>
      </c>
      <c r="EL19" s="3" t="s">
        <v>163</v>
      </c>
      <c r="EM19" s="3" t="s">
        <v>163</v>
      </c>
      <c r="EN19" s="3" t="s">
        <v>163</v>
      </c>
      <c r="EO19" s="3" t="s">
        <v>163</v>
      </c>
      <c r="EP19" s="3" t="s">
        <v>163</v>
      </c>
      <c r="EQ19" s="3" t="s">
        <v>163</v>
      </c>
      <c r="ER19">
        <v>110.65</v>
      </c>
      <c r="ES19">
        <f t="shared" si="8"/>
        <v>12.865599999999999</v>
      </c>
      <c r="ET19">
        <f t="shared" si="8"/>
        <v>12.865599999999999</v>
      </c>
      <c r="EU19" s="3" t="s">
        <v>180</v>
      </c>
      <c r="EV19" s="2" t="s">
        <v>183</v>
      </c>
      <c r="EW19">
        <v>25</v>
      </c>
      <c r="EX19">
        <v>11.09</v>
      </c>
      <c r="EY19">
        <v>0.32</v>
      </c>
      <c r="EZ19">
        <v>0.32</v>
      </c>
      <c r="FA19" s="3" t="s">
        <v>174</v>
      </c>
      <c r="FB19" s="3" t="s">
        <v>163</v>
      </c>
      <c r="FC19">
        <v>7.96</v>
      </c>
      <c r="FD19" s="3" t="s">
        <v>163</v>
      </c>
      <c r="FE19" s="3" t="s">
        <v>163</v>
      </c>
      <c r="FF19" s="3" t="s">
        <v>163</v>
      </c>
      <c r="FG19" s="3" t="s">
        <v>210</v>
      </c>
      <c r="FH19">
        <v>307.39999999999998</v>
      </c>
      <c r="FI19">
        <v>47.2</v>
      </c>
      <c r="FJ19">
        <v>47.2</v>
      </c>
      <c r="FK19" s="3" t="s">
        <v>177</v>
      </c>
      <c r="FL19" s="3" t="s">
        <v>211</v>
      </c>
      <c r="FM19" s="3" t="s">
        <v>212</v>
      </c>
      <c r="FN19" s="3" t="s">
        <v>163</v>
      </c>
      <c r="FO19" s="3" t="s">
        <v>163</v>
      </c>
      <c r="FP19" s="3" t="s">
        <v>163</v>
      </c>
      <c r="FQ19" s="3" t="s">
        <v>163</v>
      </c>
      <c r="FR19" s="3" t="s">
        <v>163</v>
      </c>
      <c r="FS19" s="3" t="s">
        <v>163</v>
      </c>
      <c r="FT19" s="3" t="s">
        <v>162</v>
      </c>
      <c r="FU19" s="3" t="s">
        <v>163</v>
      </c>
      <c r="FV19" s="24" t="s">
        <v>278</v>
      </c>
      <c r="FW19" s="3" t="s">
        <v>163</v>
      </c>
      <c r="FX19" s="3" t="s">
        <v>163</v>
      </c>
      <c r="FY19" s="3" t="s">
        <v>218</v>
      </c>
    </row>
    <row r="20" spans="1:181" x14ac:dyDescent="0.15">
      <c r="A20" s="3" t="s">
        <v>247</v>
      </c>
      <c r="B20" s="3" t="s">
        <v>157</v>
      </c>
      <c r="C20" s="3">
        <v>2013</v>
      </c>
      <c r="D20" s="2" t="str">
        <f t="shared" si="6"/>
        <v>10.1002/palo.20015</v>
      </c>
      <c r="E20">
        <f t="shared" si="0"/>
        <v>13658</v>
      </c>
      <c r="F20" t="str">
        <f t="shared" si="1"/>
        <v>NA</v>
      </c>
      <c r="G20" t="str">
        <f t="shared" si="2"/>
        <v>NA</v>
      </c>
      <c r="H20">
        <f t="shared" si="3"/>
        <v>304.7</v>
      </c>
      <c r="I20">
        <f t="shared" si="4"/>
        <v>46.2</v>
      </c>
      <c r="J20">
        <f t="shared" si="5"/>
        <v>46.2</v>
      </c>
      <c r="K20" s="2" t="s">
        <v>164</v>
      </c>
      <c r="L20" s="3" t="s">
        <v>165</v>
      </c>
      <c r="M20" s="2" t="s">
        <v>166</v>
      </c>
      <c r="N20" s="2" t="s">
        <v>167</v>
      </c>
      <c r="O20" t="s">
        <v>168</v>
      </c>
      <c r="P20" s="2" t="s">
        <v>163</v>
      </c>
      <c r="Q20" s="3" t="s">
        <v>163</v>
      </c>
      <c r="R20" s="2" t="s">
        <v>163</v>
      </c>
      <c r="S20" s="2" t="s">
        <v>163</v>
      </c>
      <c r="T20" s="2" t="s">
        <v>163</v>
      </c>
      <c r="U20" s="2" t="s">
        <v>163</v>
      </c>
      <c r="V20" s="2" t="s">
        <v>163</v>
      </c>
      <c r="W20" s="2" t="s">
        <v>163</v>
      </c>
      <c r="X20" s="2" t="s">
        <v>163</v>
      </c>
      <c r="Y20" s="2" t="s">
        <v>163</v>
      </c>
      <c r="Z20">
        <v>7.6999999999999318</v>
      </c>
      <c r="AA20" s="2" t="s">
        <v>169</v>
      </c>
      <c r="AB20">
        <v>13658</v>
      </c>
      <c r="AC20" s="2" t="s">
        <v>163</v>
      </c>
      <c r="AD20" s="3" t="s">
        <v>163</v>
      </c>
      <c r="AE20" s="3" t="s">
        <v>163</v>
      </c>
      <c r="AF20" s="3" t="s">
        <v>170</v>
      </c>
      <c r="AG20" s="3" t="s">
        <v>171</v>
      </c>
      <c r="AH20">
        <v>35.915500000000002</v>
      </c>
      <c r="AI20">
        <v>14.334300000000001</v>
      </c>
      <c r="AJ20" s="3" t="s">
        <v>163</v>
      </c>
      <c r="AK20" s="3" t="s">
        <v>163</v>
      </c>
      <c r="AL20" s="3" t="s">
        <v>163</v>
      </c>
      <c r="AM20" s="3">
        <v>550</v>
      </c>
      <c r="AN20" s="3" t="s">
        <v>163</v>
      </c>
      <c r="AO20" s="3" t="s">
        <v>172</v>
      </c>
      <c r="AP20" s="3" t="s">
        <v>173</v>
      </c>
      <c r="AQ20" s="3" t="s">
        <v>163</v>
      </c>
      <c r="AR20" s="3" t="s">
        <v>163</v>
      </c>
      <c r="AS20" s="3" t="s">
        <v>163</v>
      </c>
      <c r="AT20" s="3" t="s">
        <v>163</v>
      </c>
      <c r="AU20" s="3" t="s">
        <v>163</v>
      </c>
      <c r="AV20" s="3" t="s">
        <v>163</v>
      </c>
      <c r="AW20" s="3" t="s">
        <v>163</v>
      </c>
      <c r="AX20">
        <v>0.95</v>
      </c>
      <c r="AY20">
        <v>0.1</v>
      </c>
      <c r="AZ20" s="3" t="s">
        <v>174</v>
      </c>
      <c r="BA20" s="3" t="s">
        <v>163</v>
      </c>
      <c r="BB20" s="3" t="s">
        <v>163</v>
      </c>
      <c r="BC20" s="3" t="s">
        <v>163</v>
      </c>
      <c r="BD20" s="3" t="s">
        <v>163</v>
      </c>
      <c r="BE20" s="3" t="s">
        <v>163</v>
      </c>
      <c r="BF20" s="2" t="s">
        <v>176</v>
      </c>
      <c r="BG20" s="2" t="s">
        <v>175</v>
      </c>
      <c r="BH20">
        <v>2</v>
      </c>
      <c r="BI20" s="3" t="s">
        <v>163</v>
      </c>
      <c r="BJ20" s="3" t="s">
        <v>163</v>
      </c>
      <c r="BK20" s="3" t="s">
        <v>177</v>
      </c>
      <c r="BL20">
        <v>-5.5</v>
      </c>
      <c r="BM20" s="3" t="s">
        <v>163</v>
      </c>
      <c r="BN20" s="3" t="s">
        <v>163</v>
      </c>
      <c r="BO20">
        <v>-6.54</v>
      </c>
      <c r="BP20" s="3" t="s">
        <v>163</v>
      </c>
      <c r="BQ20" s="3" t="s">
        <v>163</v>
      </c>
      <c r="BR20" t="s">
        <v>178</v>
      </c>
      <c r="BS20" s="3" t="s">
        <v>179</v>
      </c>
      <c r="BT20">
        <v>-21.37</v>
      </c>
      <c r="BU20" s="1" t="s">
        <v>152</v>
      </c>
      <c r="BV20">
        <v>0.3</v>
      </c>
      <c r="BW20" s="3" t="s">
        <v>163</v>
      </c>
      <c r="BX20" s="3" t="s">
        <v>174</v>
      </c>
      <c r="BY20">
        <v>4</v>
      </c>
      <c r="BZ20" s="3" t="s">
        <v>163</v>
      </c>
      <c r="CA20" s="3" t="s">
        <v>163</v>
      </c>
      <c r="CB20">
        <v>-17.239999999999998</v>
      </c>
      <c r="CC20" s="3" t="s">
        <v>163</v>
      </c>
      <c r="CD20" s="3" t="s">
        <v>163</v>
      </c>
      <c r="CE20" s="3" t="s">
        <v>208</v>
      </c>
      <c r="CF20" s="3" t="s">
        <v>163</v>
      </c>
      <c r="CG20">
        <v>35</v>
      </c>
      <c r="CH20">
        <v>2.5</v>
      </c>
      <c r="CI20" s="3" t="s">
        <v>180</v>
      </c>
      <c r="CJ20" s="1" t="s">
        <v>153</v>
      </c>
      <c r="CK20" s="3">
        <f t="shared" si="7"/>
        <v>0.25000000000000011</v>
      </c>
      <c r="CL20" s="3">
        <v>0.05</v>
      </c>
      <c r="CM20" s="3">
        <v>0.05</v>
      </c>
      <c r="CN20" s="3" t="s">
        <v>180</v>
      </c>
      <c r="CO20" s="3" t="s">
        <v>163</v>
      </c>
      <c r="CP20" s="3" t="s">
        <v>163</v>
      </c>
      <c r="CQ20" s="3" t="s">
        <v>163</v>
      </c>
      <c r="CR20">
        <v>29.04</v>
      </c>
      <c r="CS20">
        <v>1</v>
      </c>
      <c r="CT20">
        <v>1</v>
      </c>
      <c r="CU20" s="3" t="s">
        <v>174</v>
      </c>
      <c r="CV20" s="3" t="s">
        <v>181</v>
      </c>
      <c r="CW20">
        <v>1</v>
      </c>
      <c r="CX20" s="3" t="s">
        <v>163</v>
      </c>
      <c r="CY20">
        <v>29</v>
      </c>
      <c r="CZ20" s="3" t="s">
        <v>163</v>
      </c>
      <c r="DA20" s="3" t="s">
        <v>163</v>
      </c>
      <c r="DB20" s="3" t="s">
        <v>163</v>
      </c>
      <c r="DC20" s="2" t="s">
        <v>216</v>
      </c>
      <c r="DD20" s="3" t="s">
        <v>163</v>
      </c>
      <c r="DE20" s="3" t="s">
        <v>163</v>
      </c>
      <c r="DF20" s="3" t="s">
        <v>163</v>
      </c>
      <c r="DG20" s="3" t="s">
        <v>163</v>
      </c>
      <c r="DH20" s="3" t="s">
        <v>163</v>
      </c>
      <c r="DI20" s="3" t="s">
        <v>163</v>
      </c>
      <c r="DJ20" s="3" t="s">
        <v>163</v>
      </c>
      <c r="DK20" s="3" t="s">
        <v>163</v>
      </c>
      <c r="DL20" s="3" t="s">
        <v>163</v>
      </c>
      <c r="DM20" s="3" t="s">
        <v>163</v>
      </c>
      <c r="DN20" s="3" t="s">
        <v>163</v>
      </c>
      <c r="DO20" s="3" t="s">
        <v>163</v>
      </c>
      <c r="DP20" s="3" t="s">
        <v>163</v>
      </c>
      <c r="DQ20" s="3" t="s">
        <v>163</v>
      </c>
      <c r="DR20" s="3" t="s">
        <v>163</v>
      </c>
      <c r="DS20" s="3" t="s">
        <v>163</v>
      </c>
      <c r="DT20" s="3" t="s">
        <v>163</v>
      </c>
      <c r="DU20" s="3" t="s">
        <v>163</v>
      </c>
      <c r="DV20" s="3" t="s">
        <v>163</v>
      </c>
      <c r="DW20" s="3" t="s">
        <v>163</v>
      </c>
      <c r="DX20" s="3" t="s">
        <v>163</v>
      </c>
      <c r="DY20" s="3" t="s">
        <v>163</v>
      </c>
      <c r="DZ20" s="3" t="s">
        <v>163</v>
      </c>
      <c r="EA20" s="3" t="s">
        <v>163</v>
      </c>
      <c r="EB20" s="3" t="s">
        <v>163</v>
      </c>
      <c r="EC20" s="3" t="s">
        <v>163</v>
      </c>
      <c r="ED20" s="3" t="s">
        <v>163</v>
      </c>
      <c r="EE20" s="3" t="s">
        <v>163</v>
      </c>
      <c r="EF20" s="3" t="s">
        <v>163</v>
      </c>
      <c r="EG20" s="3" t="s">
        <v>163</v>
      </c>
      <c r="EH20" s="3" t="s">
        <v>163</v>
      </c>
      <c r="EI20" s="3" t="s">
        <v>163</v>
      </c>
      <c r="EJ20" s="3" t="s">
        <v>163</v>
      </c>
      <c r="EK20" s="3" t="s">
        <v>163</v>
      </c>
      <c r="EL20" s="3" t="s">
        <v>163</v>
      </c>
      <c r="EM20" s="3" t="s">
        <v>163</v>
      </c>
      <c r="EN20" s="3" t="s">
        <v>163</v>
      </c>
      <c r="EO20" s="3" t="s">
        <v>163</v>
      </c>
      <c r="EP20" s="3" t="s">
        <v>163</v>
      </c>
      <c r="EQ20" s="3" t="s">
        <v>163</v>
      </c>
      <c r="ER20">
        <v>110.65</v>
      </c>
      <c r="ES20">
        <f t="shared" si="8"/>
        <v>12.865599999999999</v>
      </c>
      <c r="ET20">
        <f t="shared" si="8"/>
        <v>12.865599999999999</v>
      </c>
      <c r="EU20" s="3" t="s">
        <v>180</v>
      </c>
      <c r="EV20" s="2" t="s">
        <v>183</v>
      </c>
      <c r="EW20">
        <v>25</v>
      </c>
      <c r="EX20">
        <v>10.89</v>
      </c>
      <c r="EY20">
        <v>0.32</v>
      </c>
      <c r="EZ20">
        <v>0.32</v>
      </c>
      <c r="FA20" s="3" t="s">
        <v>174</v>
      </c>
      <c r="FB20" s="3" t="s">
        <v>163</v>
      </c>
      <c r="FC20">
        <v>7.84</v>
      </c>
      <c r="FD20" s="3" t="s">
        <v>163</v>
      </c>
      <c r="FE20" s="3" t="s">
        <v>163</v>
      </c>
      <c r="FF20" s="3" t="s">
        <v>163</v>
      </c>
      <c r="FG20" s="3" t="s">
        <v>210</v>
      </c>
      <c r="FH20">
        <v>304.7</v>
      </c>
      <c r="FI20">
        <v>46.2</v>
      </c>
      <c r="FJ20">
        <v>46.2</v>
      </c>
      <c r="FK20" s="3" t="s">
        <v>177</v>
      </c>
      <c r="FL20" s="3" t="s">
        <v>211</v>
      </c>
      <c r="FM20" s="3" t="s">
        <v>212</v>
      </c>
      <c r="FN20" s="3" t="s">
        <v>163</v>
      </c>
      <c r="FO20" s="3" t="s">
        <v>163</v>
      </c>
      <c r="FP20" s="3" t="s">
        <v>163</v>
      </c>
      <c r="FQ20" s="3" t="s">
        <v>163</v>
      </c>
      <c r="FR20" s="3" t="s">
        <v>163</v>
      </c>
      <c r="FS20" s="3" t="s">
        <v>163</v>
      </c>
      <c r="FT20" s="3" t="s">
        <v>162</v>
      </c>
      <c r="FU20" s="3" t="s">
        <v>163</v>
      </c>
      <c r="FV20" s="24" t="s">
        <v>279</v>
      </c>
      <c r="FW20" s="3" t="s">
        <v>163</v>
      </c>
      <c r="FX20" s="3" t="s">
        <v>163</v>
      </c>
      <c r="FY20" s="3" t="s">
        <v>218</v>
      </c>
    </row>
    <row r="21" spans="1:181" x14ac:dyDescent="0.15">
      <c r="A21" s="3" t="s">
        <v>247</v>
      </c>
      <c r="B21" s="3" t="s">
        <v>157</v>
      </c>
      <c r="C21" s="3">
        <v>2013</v>
      </c>
      <c r="D21" s="2" t="str">
        <f t="shared" si="6"/>
        <v>10.1002/palo.20015</v>
      </c>
      <c r="E21">
        <f t="shared" si="0"/>
        <v>13651</v>
      </c>
      <c r="F21" t="str">
        <f t="shared" si="1"/>
        <v>NA</v>
      </c>
      <c r="G21" t="str">
        <f t="shared" si="2"/>
        <v>NA</v>
      </c>
      <c r="H21">
        <f t="shared" si="3"/>
        <v>305.7</v>
      </c>
      <c r="I21">
        <f t="shared" si="4"/>
        <v>48.3</v>
      </c>
      <c r="J21">
        <f t="shared" si="5"/>
        <v>48.3</v>
      </c>
      <c r="K21" s="2" t="s">
        <v>164</v>
      </c>
      <c r="L21" s="3" t="s">
        <v>165</v>
      </c>
      <c r="M21" s="2" t="s">
        <v>166</v>
      </c>
      <c r="N21" s="2" t="s">
        <v>167</v>
      </c>
      <c r="O21" t="s">
        <v>168</v>
      </c>
      <c r="P21" s="2" t="s">
        <v>163</v>
      </c>
      <c r="Q21" s="3" t="s">
        <v>163</v>
      </c>
      <c r="R21" s="2" t="s">
        <v>163</v>
      </c>
      <c r="S21" s="2" t="s">
        <v>163</v>
      </c>
      <c r="T21" s="2" t="s">
        <v>163</v>
      </c>
      <c r="U21" s="2" t="s">
        <v>163</v>
      </c>
      <c r="V21" s="2" t="s">
        <v>163</v>
      </c>
      <c r="W21" s="2" t="s">
        <v>163</v>
      </c>
      <c r="X21" s="2" t="s">
        <v>163</v>
      </c>
      <c r="Y21" s="2" t="s">
        <v>163</v>
      </c>
      <c r="Z21">
        <v>8.0499999999999545</v>
      </c>
      <c r="AA21" s="2" t="s">
        <v>169</v>
      </c>
      <c r="AB21">
        <v>13651</v>
      </c>
      <c r="AC21" s="2" t="s">
        <v>163</v>
      </c>
      <c r="AD21" s="3" t="s">
        <v>163</v>
      </c>
      <c r="AE21" s="3" t="s">
        <v>163</v>
      </c>
      <c r="AF21" s="3" t="s">
        <v>170</v>
      </c>
      <c r="AG21" s="3" t="s">
        <v>171</v>
      </c>
      <c r="AH21">
        <v>35.915500000000002</v>
      </c>
      <c r="AI21">
        <v>14.334300000000001</v>
      </c>
      <c r="AJ21" s="3" t="s">
        <v>163</v>
      </c>
      <c r="AK21" s="3" t="s">
        <v>163</v>
      </c>
      <c r="AL21" s="3" t="s">
        <v>163</v>
      </c>
      <c r="AM21" s="3">
        <v>550</v>
      </c>
      <c r="AN21" s="3" t="s">
        <v>163</v>
      </c>
      <c r="AO21" s="3" t="s">
        <v>172</v>
      </c>
      <c r="AP21" s="3" t="s">
        <v>173</v>
      </c>
      <c r="AQ21" s="3" t="s">
        <v>163</v>
      </c>
      <c r="AR21" s="3" t="s">
        <v>163</v>
      </c>
      <c r="AS21" s="3" t="s">
        <v>163</v>
      </c>
      <c r="AT21" s="3" t="s">
        <v>163</v>
      </c>
      <c r="AU21" s="3" t="s">
        <v>163</v>
      </c>
      <c r="AV21" s="3" t="s">
        <v>163</v>
      </c>
      <c r="AW21" s="3" t="s">
        <v>163</v>
      </c>
      <c r="AX21">
        <v>1.56</v>
      </c>
      <c r="AY21">
        <v>0.1</v>
      </c>
      <c r="AZ21" s="3" t="s">
        <v>174</v>
      </c>
      <c r="BA21" s="3" t="s">
        <v>163</v>
      </c>
      <c r="BB21" s="3" t="s">
        <v>163</v>
      </c>
      <c r="BC21" s="3" t="s">
        <v>163</v>
      </c>
      <c r="BD21" s="3" t="s">
        <v>163</v>
      </c>
      <c r="BE21" s="3" t="s">
        <v>163</v>
      </c>
      <c r="BF21" s="2" t="s">
        <v>176</v>
      </c>
      <c r="BG21" s="2" t="s">
        <v>175</v>
      </c>
      <c r="BH21">
        <v>2</v>
      </c>
      <c r="BI21" s="3" t="s">
        <v>163</v>
      </c>
      <c r="BJ21" s="3" t="s">
        <v>163</v>
      </c>
      <c r="BK21" s="3" t="s">
        <v>177</v>
      </c>
      <c r="BL21">
        <v>-4.9000000000000004</v>
      </c>
      <c r="BM21" s="3" t="s">
        <v>163</v>
      </c>
      <c r="BN21" s="3" t="s">
        <v>163</v>
      </c>
      <c r="BO21">
        <v>-5.94</v>
      </c>
      <c r="BP21" s="3" t="s">
        <v>163</v>
      </c>
      <c r="BQ21" s="3" t="s">
        <v>163</v>
      </c>
      <c r="BR21" t="s">
        <v>178</v>
      </c>
      <c r="BS21" s="3" t="s">
        <v>179</v>
      </c>
      <c r="BT21">
        <v>-20.85</v>
      </c>
      <c r="BU21" s="1" t="s">
        <v>152</v>
      </c>
      <c r="BV21">
        <v>0.3</v>
      </c>
      <c r="BW21" s="3" t="s">
        <v>163</v>
      </c>
      <c r="BX21" s="3" t="s">
        <v>174</v>
      </c>
      <c r="BY21">
        <v>4</v>
      </c>
      <c r="BZ21" s="3" t="s">
        <v>163</v>
      </c>
      <c r="CA21" s="3" t="s">
        <v>163</v>
      </c>
      <c r="CB21">
        <v>-16.72</v>
      </c>
      <c r="CC21" s="3" t="s">
        <v>163</v>
      </c>
      <c r="CD21" s="3" t="s">
        <v>163</v>
      </c>
      <c r="CE21" s="3" t="s">
        <v>208</v>
      </c>
      <c r="CF21" s="3" t="s">
        <v>163</v>
      </c>
      <c r="CG21">
        <v>35</v>
      </c>
      <c r="CH21">
        <v>2.5</v>
      </c>
      <c r="CI21" s="3" t="s">
        <v>180</v>
      </c>
      <c r="CJ21" s="1" t="s">
        <v>153</v>
      </c>
      <c r="CK21" s="3">
        <f t="shared" si="7"/>
        <v>0.25000000000000011</v>
      </c>
      <c r="CL21" s="3">
        <v>0.05</v>
      </c>
      <c r="CM21" s="3">
        <v>0.05</v>
      </c>
      <c r="CN21" s="3" t="s">
        <v>180</v>
      </c>
      <c r="CO21" s="3" t="s">
        <v>163</v>
      </c>
      <c r="CP21" s="3" t="s">
        <v>163</v>
      </c>
      <c r="CQ21" s="3" t="s">
        <v>163</v>
      </c>
      <c r="CR21">
        <v>28.97</v>
      </c>
      <c r="CS21">
        <v>1</v>
      </c>
      <c r="CT21">
        <v>1</v>
      </c>
      <c r="CU21" s="3" t="s">
        <v>174</v>
      </c>
      <c r="CV21" s="3" t="s">
        <v>181</v>
      </c>
      <c r="CW21">
        <v>1</v>
      </c>
      <c r="CX21" s="3" t="s">
        <v>163</v>
      </c>
      <c r="CY21">
        <v>29</v>
      </c>
      <c r="CZ21" s="3" t="s">
        <v>163</v>
      </c>
      <c r="DA21" s="3" t="s">
        <v>163</v>
      </c>
      <c r="DB21" s="3" t="s">
        <v>163</v>
      </c>
      <c r="DC21" s="2" t="s">
        <v>216</v>
      </c>
      <c r="DD21" s="3" t="s">
        <v>163</v>
      </c>
      <c r="DE21" s="3" t="s">
        <v>163</v>
      </c>
      <c r="DF21" s="3" t="s">
        <v>163</v>
      </c>
      <c r="DG21" s="3" t="s">
        <v>163</v>
      </c>
      <c r="DH21" s="3" t="s">
        <v>163</v>
      </c>
      <c r="DI21" s="3" t="s">
        <v>163</v>
      </c>
      <c r="DJ21" s="3" t="s">
        <v>163</v>
      </c>
      <c r="DK21" s="3" t="s">
        <v>163</v>
      </c>
      <c r="DL21" s="3" t="s">
        <v>163</v>
      </c>
      <c r="DM21" s="3" t="s">
        <v>163</v>
      </c>
      <c r="DN21" s="3" t="s">
        <v>163</v>
      </c>
      <c r="DO21" s="3" t="s">
        <v>163</v>
      </c>
      <c r="DP21" s="3" t="s">
        <v>163</v>
      </c>
      <c r="DQ21" s="3" t="s">
        <v>163</v>
      </c>
      <c r="DR21" s="3" t="s">
        <v>163</v>
      </c>
      <c r="DS21" s="3" t="s">
        <v>163</v>
      </c>
      <c r="DT21" s="3" t="s">
        <v>163</v>
      </c>
      <c r="DU21" s="3" t="s">
        <v>163</v>
      </c>
      <c r="DV21" s="3" t="s">
        <v>163</v>
      </c>
      <c r="DW21" s="3" t="s">
        <v>163</v>
      </c>
      <c r="DX21" s="3" t="s">
        <v>163</v>
      </c>
      <c r="DY21" s="3" t="s">
        <v>163</v>
      </c>
      <c r="DZ21" s="3" t="s">
        <v>163</v>
      </c>
      <c r="EA21" s="3" t="s">
        <v>163</v>
      </c>
      <c r="EB21" s="3" t="s">
        <v>163</v>
      </c>
      <c r="EC21" s="3" t="s">
        <v>163</v>
      </c>
      <c r="ED21" s="3" t="s">
        <v>163</v>
      </c>
      <c r="EE21" s="3" t="s">
        <v>163</v>
      </c>
      <c r="EF21" s="3" t="s">
        <v>163</v>
      </c>
      <c r="EG21" s="3" t="s">
        <v>163</v>
      </c>
      <c r="EH21" s="3" t="s">
        <v>163</v>
      </c>
      <c r="EI21" s="3" t="s">
        <v>163</v>
      </c>
      <c r="EJ21" s="3" t="s">
        <v>163</v>
      </c>
      <c r="EK21" s="3" t="s">
        <v>163</v>
      </c>
      <c r="EL21" s="3" t="s">
        <v>163</v>
      </c>
      <c r="EM21" s="3" t="s">
        <v>163</v>
      </c>
      <c r="EN21" s="3" t="s">
        <v>163</v>
      </c>
      <c r="EO21" s="3" t="s">
        <v>163</v>
      </c>
      <c r="EP21" s="3" t="s">
        <v>163</v>
      </c>
      <c r="EQ21" s="3" t="s">
        <v>163</v>
      </c>
      <c r="ER21">
        <v>110.65</v>
      </c>
      <c r="ES21">
        <f t="shared" si="8"/>
        <v>12.865599999999999</v>
      </c>
      <c r="ET21">
        <f t="shared" si="8"/>
        <v>12.865599999999999</v>
      </c>
      <c r="EU21" s="3" t="s">
        <v>180</v>
      </c>
      <c r="EV21" s="2" t="s">
        <v>183</v>
      </c>
      <c r="EW21">
        <v>25</v>
      </c>
      <c r="EX21">
        <v>10.96</v>
      </c>
      <c r="EY21">
        <v>0.42</v>
      </c>
      <c r="EZ21">
        <v>0.42</v>
      </c>
      <c r="FA21" s="3" t="s">
        <v>174</v>
      </c>
      <c r="FB21" s="3" t="s">
        <v>163</v>
      </c>
      <c r="FC21">
        <v>7.88</v>
      </c>
      <c r="FD21" s="3" t="s">
        <v>163</v>
      </c>
      <c r="FE21" s="3" t="s">
        <v>163</v>
      </c>
      <c r="FF21" s="3" t="s">
        <v>163</v>
      </c>
      <c r="FG21" s="3" t="s">
        <v>210</v>
      </c>
      <c r="FH21">
        <v>305.7</v>
      </c>
      <c r="FI21">
        <v>48.3</v>
      </c>
      <c r="FJ21">
        <v>48.3</v>
      </c>
      <c r="FK21" s="3" t="s">
        <v>177</v>
      </c>
      <c r="FL21" s="3" t="s">
        <v>211</v>
      </c>
      <c r="FM21" s="3" t="s">
        <v>212</v>
      </c>
      <c r="FN21" s="3" t="s">
        <v>163</v>
      </c>
      <c r="FO21" s="3" t="s">
        <v>163</v>
      </c>
      <c r="FP21" s="3" t="s">
        <v>163</v>
      </c>
      <c r="FQ21" s="3" t="s">
        <v>163</v>
      </c>
      <c r="FR21" s="3" t="s">
        <v>163</v>
      </c>
      <c r="FS21" s="3" t="s">
        <v>163</v>
      </c>
      <c r="FT21" s="3" t="s">
        <v>162</v>
      </c>
      <c r="FU21" s="3" t="s">
        <v>163</v>
      </c>
      <c r="FV21" s="24" t="s">
        <v>280</v>
      </c>
      <c r="FW21" s="3" t="s">
        <v>163</v>
      </c>
      <c r="FX21" s="3" t="s">
        <v>163</v>
      </c>
      <c r="FY21" s="3" t="s">
        <v>218</v>
      </c>
    </row>
    <row r="22" spans="1:181" x14ac:dyDescent="0.15">
      <c r="A22" s="3" t="s">
        <v>247</v>
      </c>
      <c r="B22" s="3" t="s">
        <v>157</v>
      </c>
      <c r="C22" s="3">
        <v>2013</v>
      </c>
      <c r="D22" s="2" t="str">
        <f t="shared" si="6"/>
        <v>10.1002/palo.20015</v>
      </c>
      <c r="E22">
        <f t="shared" si="0"/>
        <v>13644</v>
      </c>
      <c r="F22" t="str">
        <f t="shared" si="1"/>
        <v>NA</v>
      </c>
      <c r="G22" t="str">
        <f t="shared" si="2"/>
        <v>NA</v>
      </c>
      <c r="H22">
        <f t="shared" si="3"/>
        <v>302.8</v>
      </c>
      <c r="I22">
        <f t="shared" si="4"/>
        <v>46.6</v>
      </c>
      <c r="J22">
        <f t="shared" si="5"/>
        <v>46.6</v>
      </c>
      <c r="K22" s="2" t="s">
        <v>164</v>
      </c>
      <c r="L22" s="3" t="s">
        <v>165</v>
      </c>
      <c r="M22" s="2" t="s">
        <v>166</v>
      </c>
      <c r="N22" s="2" t="s">
        <v>167</v>
      </c>
      <c r="O22" t="s">
        <v>168</v>
      </c>
      <c r="P22" s="2" t="s">
        <v>163</v>
      </c>
      <c r="Q22" s="3" t="s">
        <v>163</v>
      </c>
      <c r="R22" s="2" t="s">
        <v>163</v>
      </c>
      <c r="S22" s="2" t="s">
        <v>163</v>
      </c>
      <c r="T22" s="2" t="s">
        <v>163</v>
      </c>
      <c r="U22" s="2" t="s">
        <v>163</v>
      </c>
      <c r="V22" s="2" t="s">
        <v>163</v>
      </c>
      <c r="W22" s="2" t="s">
        <v>163</v>
      </c>
      <c r="X22" s="2" t="s">
        <v>163</v>
      </c>
      <c r="Y22" s="2" t="s">
        <v>163</v>
      </c>
      <c r="Z22">
        <v>8.4000000000000909</v>
      </c>
      <c r="AA22" s="2" t="s">
        <v>169</v>
      </c>
      <c r="AB22">
        <v>13644</v>
      </c>
      <c r="AC22" s="2" t="s">
        <v>163</v>
      </c>
      <c r="AD22" s="3" t="s">
        <v>163</v>
      </c>
      <c r="AE22" s="3" t="s">
        <v>163</v>
      </c>
      <c r="AF22" s="3" t="s">
        <v>170</v>
      </c>
      <c r="AG22" s="3" t="s">
        <v>171</v>
      </c>
      <c r="AH22">
        <v>35.915500000000002</v>
      </c>
      <c r="AI22">
        <v>14.334300000000001</v>
      </c>
      <c r="AJ22" s="3" t="s">
        <v>163</v>
      </c>
      <c r="AK22" s="3" t="s">
        <v>163</v>
      </c>
      <c r="AL22" s="3" t="s">
        <v>163</v>
      </c>
      <c r="AM22" s="3">
        <v>550</v>
      </c>
      <c r="AN22" s="3" t="s">
        <v>163</v>
      </c>
      <c r="AO22" s="3" t="s">
        <v>172</v>
      </c>
      <c r="AP22" s="3" t="s">
        <v>173</v>
      </c>
      <c r="AQ22" s="3" t="s">
        <v>163</v>
      </c>
      <c r="AR22" s="3" t="s">
        <v>163</v>
      </c>
      <c r="AS22" s="3" t="s">
        <v>163</v>
      </c>
      <c r="AT22" s="3" t="s">
        <v>163</v>
      </c>
      <c r="AU22" s="3" t="s">
        <v>163</v>
      </c>
      <c r="AV22" s="3" t="s">
        <v>163</v>
      </c>
      <c r="AW22" s="3" t="s">
        <v>163</v>
      </c>
      <c r="AX22">
        <v>1.1499999999999999</v>
      </c>
      <c r="AY22">
        <v>0.1</v>
      </c>
      <c r="AZ22" s="3" t="s">
        <v>174</v>
      </c>
      <c r="BA22" s="3" t="s">
        <v>163</v>
      </c>
      <c r="BB22" s="3" t="s">
        <v>163</v>
      </c>
      <c r="BC22" s="3" t="s">
        <v>163</v>
      </c>
      <c r="BD22" s="3" t="s">
        <v>163</v>
      </c>
      <c r="BE22" s="3" t="s">
        <v>163</v>
      </c>
      <c r="BF22" s="2" t="s">
        <v>176</v>
      </c>
      <c r="BG22" s="2" t="s">
        <v>175</v>
      </c>
      <c r="BH22">
        <v>2</v>
      </c>
      <c r="BI22" s="3" t="s">
        <v>163</v>
      </c>
      <c r="BJ22" s="3" t="s">
        <v>163</v>
      </c>
      <c r="BK22" s="3" t="s">
        <v>177</v>
      </c>
      <c r="BL22">
        <v>-5.31</v>
      </c>
      <c r="BM22" s="3" t="s">
        <v>163</v>
      </c>
      <c r="BN22" s="3" t="s">
        <v>163</v>
      </c>
      <c r="BO22">
        <v>-6.35</v>
      </c>
      <c r="BP22" s="3" t="s">
        <v>163</v>
      </c>
      <c r="BQ22" s="3" t="s">
        <v>163</v>
      </c>
      <c r="BR22" t="s">
        <v>178</v>
      </c>
      <c r="BS22" s="3" t="s">
        <v>179</v>
      </c>
      <c r="BT22">
        <v>-21.12</v>
      </c>
      <c r="BU22" s="1" t="s">
        <v>152</v>
      </c>
      <c r="BV22">
        <v>0.3</v>
      </c>
      <c r="BW22" s="3" t="s">
        <v>163</v>
      </c>
      <c r="BX22" s="3" t="s">
        <v>174</v>
      </c>
      <c r="BY22">
        <v>4</v>
      </c>
      <c r="BZ22" s="3" t="s">
        <v>163</v>
      </c>
      <c r="CA22" s="3" t="s">
        <v>163</v>
      </c>
      <c r="CB22">
        <v>-16.989999999999998</v>
      </c>
      <c r="CC22" s="3" t="s">
        <v>163</v>
      </c>
      <c r="CD22" s="3" t="s">
        <v>163</v>
      </c>
      <c r="CE22" s="3" t="s">
        <v>208</v>
      </c>
      <c r="CF22" s="3" t="s">
        <v>163</v>
      </c>
      <c r="CG22">
        <v>35</v>
      </c>
      <c r="CH22">
        <v>2.5</v>
      </c>
      <c r="CI22" s="3" t="s">
        <v>180</v>
      </c>
      <c r="CJ22" s="1" t="s">
        <v>153</v>
      </c>
      <c r="CK22" s="3">
        <f t="shared" si="7"/>
        <v>0.25000000000000011</v>
      </c>
      <c r="CL22" s="3">
        <v>0.05</v>
      </c>
      <c r="CM22" s="3">
        <v>0.05</v>
      </c>
      <c r="CN22" s="3" t="s">
        <v>180</v>
      </c>
      <c r="CO22" s="3" t="s">
        <v>163</v>
      </c>
      <c r="CP22" s="3" t="s">
        <v>163</v>
      </c>
      <c r="CQ22" s="3" t="s">
        <v>163</v>
      </c>
      <c r="CR22">
        <v>28.97</v>
      </c>
      <c r="CS22">
        <v>1</v>
      </c>
      <c r="CT22">
        <v>1</v>
      </c>
      <c r="CU22" s="3" t="s">
        <v>174</v>
      </c>
      <c r="CV22" s="3" t="s">
        <v>182</v>
      </c>
      <c r="CW22">
        <v>1</v>
      </c>
      <c r="CX22" s="3" t="s">
        <v>163</v>
      </c>
      <c r="CY22">
        <v>29</v>
      </c>
      <c r="CZ22" s="3" t="s">
        <v>163</v>
      </c>
      <c r="DA22" s="3" t="s">
        <v>163</v>
      </c>
      <c r="DB22" s="3" t="s">
        <v>163</v>
      </c>
      <c r="DC22" s="2" t="s">
        <v>216</v>
      </c>
      <c r="DD22" s="3" t="s">
        <v>163</v>
      </c>
      <c r="DE22" s="3" t="s">
        <v>163</v>
      </c>
      <c r="DF22" s="3" t="s">
        <v>163</v>
      </c>
      <c r="DG22" s="3" t="s">
        <v>163</v>
      </c>
      <c r="DH22" s="3" t="s">
        <v>163</v>
      </c>
      <c r="DI22" s="3" t="s">
        <v>163</v>
      </c>
      <c r="DJ22" s="3" t="s">
        <v>163</v>
      </c>
      <c r="DK22" s="3" t="s">
        <v>163</v>
      </c>
      <c r="DL22" s="3" t="s">
        <v>163</v>
      </c>
      <c r="DM22" s="3" t="s">
        <v>163</v>
      </c>
      <c r="DN22" s="3" t="s">
        <v>163</v>
      </c>
      <c r="DO22" s="3" t="s">
        <v>163</v>
      </c>
      <c r="DP22" s="3" t="s">
        <v>163</v>
      </c>
      <c r="DQ22" s="3" t="s">
        <v>163</v>
      </c>
      <c r="DR22" s="3" t="s">
        <v>163</v>
      </c>
      <c r="DS22" s="3" t="s">
        <v>163</v>
      </c>
      <c r="DT22" s="3" t="s">
        <v>163</v>
      </c>
      <c r="DU22" s="3" t="s">
        <v>163</v>
      </c>
      <c r="DV22" s="3" t="s">
        <v>163</v>
      </c>
      <c r="DW22" s="3" t="s">
        <v>163</v>
      </c>
      <c r="DX22" s="3" t="s">
        <v>163</v>
      </c>
      <c r="DY22" s="3" t="s">
        <v>163</v>
      </c>
      <c r="DZ22" s="3" t="s">
        <v>163</v>
      </c>
      <c r="EA22" s="3" t="s">
        <v>163</v>
      </c>
      <c r="EB22" s="3" t="s">
        <v>163</v>
      </c>
      <c r="EC22" s="3" t="s">
        <v>163</v>
      </c>
      <c r="ED22" s="3" t="s">
        <v>163</v>
      </c>
      <c r="EE22" s="3" t="s">
        <v>163</v>
      </c>
      <c r="EF22" s="3" t="s">
        <v>163</v>
      </c>
      <c r="EG22" s="3" t="s">
        <v>163</v>
      </c>
      <c r="EH22" s="3" t="s">
        <v>163</v>
      </c>
      <c r="EI22" s="3" t="s">
        <v>163</v>
      </c>
      <c r="EJ22" s="3" t="s">
        <v>163</v>
      </c>
      <c r="EK22" s="3" t="s">
        <v>163</v>
      </c>
      <c r="EL22" s="3" t="s">
        <v>163</v>
      </c>
      <c r="EM22" s="3" t="s">
        <v>163</v>
      </c>
      <c r="EN22" s="3" t="s">
        <v>163</v>
      </c>
      <c r="EO22" s="3" t="s">
        <v>163</v>
      </c>
      <c r="EP22" s="3" t="s">
        <v>163</v>
      </c>
      <c r="EQ22" s="3" t="s">
        <v>163</v>
      </c>
      <c r="ER22">
        <v>110.65</v>
      </c>
      <c r="ES22">
        <f t="shared" si="8"/>
        <v>12.865599999999999</v>
      </c>
      <c r="ET22">
        <f t="shared" si="8"/>
        <v>12.865599999999999</v>
      </c>
      <c r="EU22" s="3" t="s">
        <v>180</v>
      </c>
      <c r="EV22" s="2" t="s">
        <v>183</v>
      </c>
      <c r="EW22">
        <v>25</v>
      </c>
      <c r="EX22">
        <v>10.83</v>
      </c>
      <c r="EY22">
        <v>0.36</v>
      </c>
      <c r="EZ22">
        <v>0.36</v>
      </c>
      <c r="FA22" s="3" t="s">
        <v>174</v>
      </c>
      <c r="FB22" s="3" t="s">
        <v>163</v>
      </c>
      <c r="FC22">
        <v>7.81</v>
      </c>
      <c r="FD22" s="3" t="s">
        <v>163</v>
      </c>
      <c r="FE22" s="3" t="s">
        <v>163</v>
      </c>
      <c r="FF22" s="3" t="s">
        <v>163</v>
      </c>
      <c r="FG22" s="3" t="s">
        <v>210</v>
      </c>
      <c r="FH22">
        <v>302.8</v>
      </c>
      <c r="FI22">
        <v>46.6</v>
      </c>
      <c r="FJ22">
        <v>46.6</v>
      </c>
      <c r="FK22" s="3" t="s">
        <v>177</v>
      </c>
      <c r="FL22" s="3" t="s">
        <v>211</v>
      </c>
      <c r="FM22" s="3" t="s">
        <v>212</v>
      </c>
      <c r="FN22" s="3" t="s">
        <v>163</v>
      </c>
      <c r="FO22" s="3" t="s">
        <v>163</v>
      </c>
      <c r="FP22" s="3" t="s">
        <v>163</v>
      </c>
      <c r="FQ22" s="3" t="s">
        <v>163</v>
      </c>
      <c r="FR22" s="3" t="s">
        <v>163</v>
      </c>
      <c r="FS22" s="3" t="s">
        <v>163</v>
      </c>
      <c r="FT22" s="3" t="s">
        <v>162</v>
      </c>
      <c r="FU22" s="3" t="s">
        <v>163</v>
      </c>
      <c r="FV22" s="24" t="s">
        <v>281</v>
      </c>
      <c r="FW22" s="3" t="s">
        <v>163</v>
      </c>
      <c r="FX22" s="3" t="s">
        <v>163</v>
      </c>
      <c r="FY22" s="3" t="s">
        <v>218</v>
      </c>
    </row>
    <row r="23" spans="1:181" x14ac:dyDescent="0.15">
      <c r="A23" s="3" t="s">
        <v>247</v>
      </c>
      <c r="B23" s="3" t="s">
        <v>157</v>
      </c>
      <c r="C23" s="3">
        <v>2013</v>
      </c>
      <c r="D23" s="2" t="str">
        <f t="shared" si="6"/>
        <v>10.1002/palo.20015</v>
      </c>
      <c r="E23">
        <f t="shared" si="0"/>
        <v>13602</v>
      </c>
      <c r="F23" t="str">
        <f t="shared" si="1"/>
        <v>NA</v>
      </c>
      <c r="G23" t="str">
        <f t="shared" si="2"/>
        <v>NA</v>
      </c>
      <c r="H23">
        <f t="shared" si="3"/>
        <v>270.7</v>
      </c>
      <c r="I23">
        <f t="shared" si="4"/>
        <v>41.2</v>
      </c>
      <c r="J23">
        <f t="shared" si="5"/>
        <v>41.2</v>
      </c>
      <c r="K23" s="2" t="s">
        <v>164</v>
      </c>
      <c r="L23" s="3" t="s">
        <v>165</v>
      </c>
      <c r="M23" s="2" t="s">
        <v>166</v>
      </c>
      <c r="N23" s="2" t="s">
        <v>167</v>
      </c>
      <c r="O23" t="s">
        <v>168</v>
      </c>
      <c r="P23" s="2" t="s">
        <v>163</v>
      </c>
      <c r="Q23" s="3" t="s">
        <v>163</v>
      </c>
      <c r="R23" s="2" t="s">
        <v>163</v>
      </c>
      <c r="S23" s="2" t="s">
        <v>163</v>
      </c>
      <c r="T23" s="2" t="s">
        <v>163</v>
      </c>
      <c r="U23" s="2" t="s">
        <v>163</v>
      </c>
      <c r="V23" s="2" t="s">
        <v>163</v>
      </c>
      <c r="W23" s="2" t="s">
        <v>163</v>
      </c>
      <c r="X23" s="2" t="s">
        <v>163</v>
      </c>
      <c r="Y23" s="2" t="s">
        <v>163</v>
      </c>
      <c r="Z23">
        <v>10.149999999999977</v>
      </c>
      <c r="AA23" s="2" t="s">
        <v>169</v>
      </c>
      <c r="AB23">
        <v>13602</v>
      </c>
      <c r="AC23" s="2" t="s">
        <v>163</v>
      </c>
      <c r="AD23" s="3" t="s">
        <v>163</v>
      </c>
      <c r="AE23" s="3" t="s">
        <v>163</v>
      </c>
      <c r="AF23" s="3" t="s">
        <v>170</v>
      </c>
      <c r="AG23" s="3" t="s">
        <v>171</v>
      </c>
      <c r="AH23">
        <v>35.915500000000002</v>
      </c>
      <c r="AI23">
        <v>14.334300000000001</v>
      </c>
      <c r="AJ23" s="3" t="s">
        <v>163</v>
      </c>
      <c r="AK23" s="3" t="s">
        <v>163</v>
      </c>
      <c r="AL23" s="3" t="s">
        <v>163</v>
      </c>
      <c r="AM23" s="3">
        <v>550</v>
      </c>
      <c r="AN23" s="3" t="s">
        <v>163</v>
      </c>
      <c r="AO23" s="3" t="s">
        <v>172</v>
      </c>
      <c r="AP23" s="3" t="s">
        <v>173</v>
      </c>
      <c r="AQ23" s="3" t="s">
        <v>163</v>
      </c>
      <c r="AR23" s="3" t="s">
        <v>163</v>
      </c>
      <c r="AS23" s="3" t="s">
        <v>163</v>
      </c>
      <c r="AT23" s="3" t="s">
        <v>163</v>
      </c>
      <c r="AU23" s="3" t="s">
        <v>163</v>
      </c>
      <c r="AV23" s="3" t="s">
        <v>163</v>
      </c>
      <c r="AW23" s="3" t="s">
        <v>163</v>
      </c>
      <c r="AX23">
        <v>0.14000000000000001</v>
      </c>
      <c r="AY23">
        <v>0.1</v>
      </c>
      <c r="AZ23" s="3" t="s">
        <v>174</v>
      </c>
      <c r="BA23" s="3" t="s">
        <v>163</v>
      </c>
      <c r="BB23" s="3" t="s">
        <v>163</v>
      </c>
      <c r="BC23" s="3" t="s">
        <v>163</v>
      </c>
      <c r="BD23" s="3" t="s">
        <v>163</v>
      </c>
      <c r="BE23" s="3" t="s">
        <v>163</v>
      </c>
      <c r="BF23" s="2" t="s">
        <v>176</v>
      </c>
      <c r="BG23" s="2" t="s">
        <v>175</v>
      </c>
      <c r="BH23">
        <v>2</v>
      </c>
      <c r="BI23" s="3" t="s">
        <v>163</v>
      </c>
      <c r="BJ23" s="3" t="s">
        <v>163</v>
      </c>
      <c r="BK23" s="3" t="s">
        <v>177</v>
      </c>
      <c r="BL23">
        <v>-6.31</v>
      </c>
      <c r="BM23" s="3" t="s">
        <v>163</v>
      </c>
      <c r="BN23" s="3" t="s">
        <v>163</v>
      </c>
      <c r="BO23">
        <v>-7.35</v>
      </c>
      <c r="BP23" s="3" t="s">
        <v>163</v>
      </c>
      <c r="BQ23" s="3" t="s">
        <v>163</v>
      </c>
      <c r="BR23" t="s">
        <v>178</v>
      </c>
      <c r="BS23" s="3" t="s">
        <v>179</v>
      </c>
      <c r="BT23">
        <v>-20.47</v>
      </c>
      <c r="BU23" s="1" t="s">
        <v>152</v>
      </c>
      <c r="BV23">
        <v>0.3</v>
      </c>
      <c r="BW23" s="3" t="s">
        <v>163</v>
      </c>
      <c r="BX23" s="3" t="s">
        <v>174</v>
      </c>
      <c r="BY23">
        <v>4</v>
      </c>
      <c r="BZ23" s="3" t="s">
        <v>163</v>
      </c>
      <c r="CA23" s="3" t="s">
        <v>163</v>
      </c>
      <c r="CB23">
        <v>-16.34</v>
      </c>
      <c r="CC23" s="3" t="s">
        <v>163</v>
      </c>
      <c r="CD23" s="3" t="s">
        <v>163</v>
      </c>
      <c r="CE23" s="3" t="s">
        <v>208</v>
      </c>
      <c r="CF23" s="3" t="s">
        <v>163</v>
      </c>
      <c r="CG23">
        <v>35</v>
      </c>
      <c r="CH23">
        <v>2.5</v>
      </c>
      <c r="CI23" s="3" t="s">
        <v>180</v>
      </c>
      <c r="CJ23" s="1" t="s">
        <v>153</v>
      </c>
      <c r="CK23" s="3">
        <f t="shared" si="7"/>
        <v>0.25000000000000011</v>
      </c>
      <c r="CL23" s="3">
        <v>0.05</v>
      </c>
      <c r="CM23" s="3">
        <v>0.05</v>
      </c>
      <c r="CN23" s="3" t="s">
        <v>180</v>
      </c>
      <c r="CO23" s="3" t="s">
        <v>163</v>
      </c>
      <c r="CP23" s="3" t="s">
        <v>163</v>
      </c>
      <c r="CQ23" s="3" t="s">
        <v>163</v>
      </c>
      <c r="CR23">
        <v>28.97</v>
      </c>
      <c r="CS23">
        <v>1</v>
      </c>
      <c r="CT23">
        <v>1</v>
      </c>
      <c r="CU23" s="3" t="s">
        <v>174</v>
      </c>
      <c r="CV23" s="3" t="s">
        <v>182</v>
      </c>
      <c r="CW23">
        <v>0.97899999999999998</v>
      </c>
      <c r="CX23" s="3" t="s">
        <v>163</v>
      </c>
      <c r="CY23">
        <v>28.3</v>
      </c>
      <c r="CZ23" s="3" t="s">
        <v>163</v>
      </c>
      <c r="DA23" s="3" t="s">
        <v>163</v>
      </c>
      <c r="DB23" s="3" t="s">
        <v>163</v>
      </c>
      <c r="DC23" s="2" t="s">
        <v>216</v>
      </c>
      <c r="DD23" s="3" t="s">
        <v>163</v>
      </c>
      <c r="DE23" s="3" t="s">
        <v>163</v>
      </c>
      <c r="DF23" s="3" t="s">
        <v>163</v>
      </c>
      <c r="DG23" s="3" t="s">
        <v>163</v>
      </c>
      <c r="DH23" s="3" t="s">
        <v>163</v>
      </c>
      <c r="DI23" s="3" t="s">
        <v>163</v>
      </c>
      <c r="DJ23" s="3" t="s">
        <v>163</v>
      </c>
      <c r="DK23" s="3" t="s">
        <v>163</v>
      </c>
      <c r="DL23" s="3" t="s">
        <v>163</v>
      </c>
      <c r="DM23" s="3" t="s">
        <v>163</v>
      </c>
      <c r="DN23" s="3" t="s">
        <v>163</v>
      </c>
      <c r="DO23" s="3" t="s">
        <v>163</v>
      </c>
      <c r="DP23" s="3" t="s">
        <v>163</v>
      </c>
      <c r="DQ23" s="3" t="s">
        <v>163</v>
      </c>
      <c r="DR23" s="3" t="s">
        <v>163</v>
      </c>
      <c r="DS23" s="3" t="s">
        <v>163</v>
      </c>
      <c r="DT23" s="3" t="s">
        <v>163</v>
      </c>
      <c r="DU23" s="3" t="s">
        <v>163</v>
      </c>
      <c r="DV23" s="3" t="s">
        <v>163</v>
      </c>
      <c r="DW23" s="3" t="s">
        <v>163</v>
      </c>
      <c r="DX23" s="3" t="s">
        <v>163</v>
      </c>
      <c r="DY23" s="3" t="s">
        <v>163</v>
      </c>
      <c r="DZ23" s="3" t="s">
        <v>163</v>
      </c>
      <c r="EA23" s="3" t="s">
        <v>163</v>
      </c>
      <c r="EB23" s="3" t="s">
        <v>163</v>
      </c>
      <c r="EC23" s="3" t="s">
        <v>163</v>
      </c>
      <c r="ED23" s="3" t="s">
        <v>163</v>
      </c>
      <c r="EE23" s="3" t="s">
        <v>163</v>
      </c>
      <c r="EF23" s="3" t="s">
        <v>163</v>
      </c>
      <c r="EG23" s="3" t="s">
        <v>163</v>
      </c>
      <c r="EH23" s="3" t="s">
        <v>163</v>
      </c>
      <c r="EI23" s="3" t="s">
        <v>163</v>
      </c>
      <c r="EJ23" s="3" t="s">
        <v>163</v>
      </c>
      <c r="EK23" s="3" t="s">
        <v>163</v>
      </c>
      <c r="EL23" s="3" t="s">
        <v>163</v>
      </c>
      <c r="EM23" s="3" t="s">
        <v>163</v>
      </c>
      <c r="EN23" s="3" t="s">
        <v>163</v>
      </c>
      <c r="EO23" s="3" t="s">
        <v>163</v>
      </c>
      <c r="EP23" s="3" t="s">
        <v>163</v>
      </c>
      <c r="EQ23" s="3" t="s">
        <v>163</v>
      </c>
      <c r="ER23">
        <v>110.65</v>
      </c>
      <c r="ES23">
        <f t="shared" si="8"/>
        <v>12.865599999999999</v>
      </c>
      <c r="ET23">
        <f t="shared" si="8"/>
        <v>12.865599999999999</v>
      </c>
      <c r="EU23" s="3" t="s">
        <v>180</v>
      </c>
      <c r="EV23" s="2" t="s">
        <v>183</v>
      </c>
      <c r="EW23">
        <v>25</v>
      </c>
      <c r="EX23">
        <v>9.14</v>
      </c>
      <c r="EY23">
        <v>0.47</v>
      </c>
      <c r="EZ23">
        <v>0.47</v>
      </c>
      <c r="FA23" s="3" t="s">
        <v>174</v>
      </c>
      <c r="FB23" s="3" t="s">
        <v>163</v>
      </c>
      <c r="FC23">
        <v>6.98</v>
      </c>
      <c r="FD23" s="3" t="s">
        <v>163</v>
      </c>
      <c r="FE23" s="3" t="s">
        <v>163</v>
      </c>
      <c r="FF23" s="3" t="s">
        <v>163</v>
      </c>
      <c r="FG23" s="3" t="s">
        <v>210</v>
      </c>
      <c r="FH23">
        <v>270.7</v>
      </c>
      <c r="FI23">
        <v>41.2</v>
      </c>
      <c r="FJ23">
        <v>41.2</v>
      </c>
      <c r="FK23" s="3" t="s">
        <v>177</v>
      </c>
      <c r="FL23" s="3" t="s">
        <v>211</v>
      </c>
      <c r="FM23" s="3" t="s">
        <v>212</v>
      </c>
      <c r="FN23" s="3" t="s">
        <v>163</v>
      </c>
      <c r="FO23" s="3" t="s">
        <v>163</v>
      </c>
      <c r="FP23" s="3" t="s">
        <v>163</v>
      </c>
      <c r="FQ23" s="3" t="s">
        <v>163</v>
      </c>
      <c r="FR23" s="3" t="s">
        <v>163</v>
      </c>
      <c r="FS23" s="3" t="s">
        <v>163</v>
      </c>
      <c r="FT23" s="3" t="s">
        <v>162</v>
      </c>
      <c r="FU23" s="3" t="s">
        <v>163</v>
      </c>
      <c r="FV23" s="24" t="s">
        <v>282</v>
      </c>
      <c r="FW23" s="3" t="s">
        <v>163</v>
      </c>
      <c r="FX23" s="3" t="s">
        <v>163</v>
      </c>
      <c r="FY23" s="3" t="s">
        <v>218</v>
      </c>
    </row>
    <row r="24" spans="1:181" x14ac:dyDescent="0.15">
      <c r="A24" s="3" t="s">
        <v>247</v>
      </c>
      <c r="B24" s="3" t="s">
        <v>157</v>
      </c>
      <c r="C24" s="3">
        <v>2013</v>
      </c>
      <c r="D24" s="2" t="str">
        <f t="shared" si="6"/>
        <v>10.1002/palo.20015</v>
      </c>
      <c r="E24">
        <f>AB24</f>
        <v>12811</v>
      </c>
      <c r="F24" t="str">
        <f>AC24</f>
        <v>NA</v>
      </c>
      <c r="G24" t="str">
        <f>AD24</f>
        <v>NA</v>
      </c>
      <c r="H24">
        <f>FH24</f>
        <v>283.39999999999998</v>
      </c>
      <c r="I24">
        <f>FI24</f>
        <v>44.8</v>
      </c>
      <c r="J24">
        <f>FJ24</f>
        <v>44.8</v>
      </c>
      <c r="K24" s="2" t="s">
        <v>164</v>
      </c>
      <c r="L24" s="3" t="s">
        <v>165</v>
      </c>
      <c r="M24" s="2" t="s">
        <v>166</v>
      </c>
      <c r="N24" s="2" t="s">
        <v>167</v>
      </c>
      <c r="O24" t="s">
        <v>168</v>
      </c>
      <c r="P24" s="2" t="s">
        <v>163</v>
      </c>
      <c r="Q24" s="3" t="s">
        <v>163</v>
      </c>
      <c r="R24" s="2" t="s">
        <v>163</v>
      </c>
      <c r="S24" s="2" t="s">
        <v>163</v>
      </c>
      <c r="T24" s="2" t="s">
        <v>163</v>
      </c>
      <c r="U24" s="2" t="s">
        <v>163</v>
      </c>
      <c r="V24" s="2" t="s">
        <v>163</v>
      </c>
      <c r="W24" s="2" t="s">
        <v>163</v>
      </c>
      <c r="X24" s="2" t="s">
        <v>163</v>
      </c>
      <c r="Y24" s="2" t="s">
        <v>163</v>
      </c>
      <c r="Z24">
        <v>43.050000000000068</v>
      </c>
      <c r="AA24" s="2" t="s">
        <v>169</v>
      </c>
      <c r="AB24">
        <v>12811</v>
      </c>
      <c r="AC24" s="2" t="s">
        <v>163</v>
      </c>
      <c r="AD24" s="3" t="s">
        <v>163</v>
      </c>
      <c r="AE24" s="3" t="s">
        <v>163</v>
      </c>
      <c r="AF24" s="3" t="s">
        <v>170</v>
      </c>
      <c r="AG24" s="3" t="s">
        <v>171</v>
      </c>
      <c r="AH24">
        <v>35.915500000000002</v>
      </c>
      <c r="AI24">
        <v>14.334300000000001</v>
      </c>
      <c r="AJ24" s="3" t="s">
        <v>163</v>
      </c>
      <c r="AK24" s="3" t="s">
        <v>163</v>
      </c>
      <c r="AL24" s="3" t="s">
        <v>163</v>
      </c>
      <c r="AM24" s="3">
        <v>550</v>
      </c>
      <c r="AN24" s="3" t="s">
        <v>163</v>
      </c>
      <c r="AO24" s="3" t="s">
        <v>172</v>
      </c>
      <c r="AP24" s="3" t="s">
        <v>173</v>
      </c>
      <c r="AQ24" s="3" t="s">
        <v>163</v>
      </c>
      <c r="AR24" s="3" t="s">
        <v>163</v>
      </c>
      <c r="AS24" s="3" t="s">
        <v>163</v>
      </c>
      <c r="AT24" s="3" t="s">
        <v>163</v>
      </c>
      <c r="AU24" s="3" t="s">
        <v>163</v>
      </c>
      <c r="AV24" s="3" t="s">
        <v>163</v>
      </c>
      <c r="AW24" s="3" t="s">
        <v>163</v>
      </c>
      <c r="AX24">
        <v>0.25</v>
      </c>
      <c r="AY24">
        <v>0.1</v>
      </c>
      <c r="AZ24" s="3" t="s">
        <v>174</v>
      </c>
      <c r="BA24" s="3" t="s">
        <v>163</v>
      </c>
      <c r="BB24" s="3" t="s">
        <v>163</v>
      </c>
      <c r="BC24" s="3" t="s">
        <v>163</v>
      </c>
      <c r="BD24" s="3" t="s">
        <v>163</v>
      </c>
      <c r="BE24" s="3" t="s">
        <v>163</v>
      </c>
      <c r="BF24" s="2" t="s">
        <v>176</v>
      </c>
      <c r="BG24" s="2" t="s">
        <v>175</v>
      </c>
      <c r="BH24">
        <v>2</v>
      </c>
      <c r="BI24" s="3" t="s">
        <v>163</v>
      </c>
      <c r="BJ24" s="3" t="s">
        <v>163</v>
      </c>
      <c r="BK24" s="3" t="s">
        <v>177</v>
      </c>
      <c r="BL24">
        <v>-6.36</v>
      </c>
      <c r="BM24" s="3" t="s">
        <v>163</v>
      </c>
      <c r="BN24" s="3" t="s">
        <v>163</v>
      </c>
      <c r="BO24">
        <v>-7.4</v>
      </c>
      <c r="BP24" s="3" t="s">
        <v>163</v>
      </c>
      <c r="BQ24" s="3" t="s">
        <v>163</v>
      </c>
      <c r="BR24" t="s">
        <v>178</v>
      </c>
      <c r="BS24" s="3" t="s">
        <v>179</v>
      </c>
      <c r="BT24">
        <v>-21.68</v>
      </c>
      <c r="BU24" s="1" t="s">
        <v>152</v>
      </c>
      <c r="BV24">
        <v>0.3</v>
      </c>
      <c r="BW24" s="3" t="s">
        <v>163</v>
      </c>
      <c r="BX24" s="3" t="s">
        <v>174</v>
      </c>
      <c r="BY24">
        <v>4</v>
      </c>
      <c r="BZ24" s="3" t="s">
        <v>163</v>
      </c>
      <c r="CA24" s="3" t="s">
        <v>163</v>
      </c>
      <c r="CB24">
        <v>-17.55</v>
      </c>
      <c r="CC24" s="3" t="s">
        <v>163</v>
      </c>
      <c r="CD24" s="3" t="s">
        <v>163</v>
      </c>
      <c r="CE24" s="3" t="s">
        <v>208</v>
      </c>
      <c r="CF24" s="3" t="s">
        <v>163</v>
      </c>
      <c r="CG24">
        <v>35</v>
      </c>
      <c r="CH24">
        <v>2.5</v>
      </c>
      <c r="CI24" s="3" t="s">
        <v>180</v>
      </c>
      <c r="CJ24" s="1" t="s">
        <v>153</v>
      </c>
      <c r="CK24" s="3">
        <f t="shared" si="7"/>
        <v>0.25000000000000011</v>
      </c>
      <c r="CL24" s="3">
        <v>0.05</v>
      </c>
      <c r="CM24" s="3">
        <v>0.05</v>
      </c>
      <c r="CN24" s="3" t="s">
        <v>180</v>
      </c>
      <c r="CO24" s="3" t="s">
        <v>163</v>
      </c>
      <c r="CP24" s="3" t="s">
        <v>163</v>
      </c>
      <c r="CQ24" s="3" t="s">
        <v>163</v>
      </c>
      <c r="CR24">
        <v>27.62</v>
      </c>
      <c r="CS24">
        <v>1</v>
      </c>
      <c r="CT24">
        <v>1</v>
      </c>
      <c r="CU24" s="3" t="s">
        <v>174</v>
      </c>
      <c r="CV24" s="3" t="s">
        <v>182</v>
      </c>
      <c r="CW24">
        <v>0.98699999999999999</v>
      </c>
      <c r="CX24" s="3" t="s">
        <v>163</v>
      </c>
      <c r="CY24">
        <v>28.6</v>
      </c>
      <c r="CZ24" s="3" t="s">
        <v>163</v>
      </c>
      <c r="DA24" s="3" t="s">
        <v>163</v>
      </c>
      <c r="DB24" s="3" t="s">
        <v>163</v>
      </c>
      <c r="DC24" s="2" t="s">
        <v>216</v>
      </c>
      <c r="DD24" s="3" t="s">
        <v>163</v>
      </c>
      <c r="DE24" s="3" t="s">
        <v>163</v>
      </c>
      <c r="DF24" s="3" t="s">
        <v>163</v>
      </c>
      <c r="DG24" s="3" t="s">
        <v>163</v>
      </c>
      <c r="DH24" s="3" t="s">
        <v>163</v>
      </c>
      <c r="DI24" s="3" t="s">
        <v>163</v>
      </c>
      <c r="DJ24" s="3" t="s">
        <v>163</v>
      </c>
      <c r="DK24" s="3" t="s">
        <v>163</v>
      </c>
      <c r="DL24" s="3" t="s">
        <v>163</v>
      </c>
      <c r="DM24" s="3" t="s">
        <v>163</v>
      </c>
      <c r="DN24" s="3" t="s">
        <v>163</v>
      </c>
      <c r="DO24" s="3" t="s">
        <v>163</v>
      </c>
      <c r="DP24" s="3" t="s">
        <v>163</v>
      </c>
      <c r="DQ24" s="3" t="s">
        <v>163</v>
      </c>
      <c r="DR24" s="3" t="s">
        <v>163</v>
      </c>
      <c r="DS24" s="3" t="s">
        <v>163</v>
      </c>
      <c r="DT24" s="3" t="s">
        <v>163</v>
      </c>
      <c r="DU24" s="3" t="s">
        <v>163</v>
      </c>
      <c r="DV24" s="3" t="s">
        <v>163</v>
      </c>
      <c r="DW24" s="3" t="s">
        <v>163</v>
      </c>
      <c r="DX24" s="3" t="s">
        <v>163</v>
      </c>
      <c r="DY24" s="3" t="s">
        <v>163</v>
      </c>
      <c r="DZ24" s="3" t="s">
        <v>163</v>
      </c>
      <c r="EA24" s="3" t="s">
        <v>163</v>
      </c>
      <c r="EB24" s="3" t="s">
        <v>163</v>
      </c>
      <c r="EC24" s="3" t="s">
        <v>163</v>
      </c>
      <c r="ED24" s="3" t="s">
        <v>163</v>
      </c>
      <c r="EE24" s="3" t="s">
        <v>163</v>
      </c>
      <c r="EF24" s="3" t="s">
        <v>163</v>
      </c>
      <c r="EG24" s="3" t="s">
        <v>163</v>
      </c>
      <c r="EH24" s="3" t="s">
        <v>163</v>
      </c>
      <c r="EI24" s="3" t="s">
        <v>163</v>
      </c>
      <c r="EJ24" s="3" t="s">
        <v>163</v>
      </c>
      <c r="EK24" s="3" t="s">
        <v>163</v>
      </c>
      <c r="EL24" s="3" t="s">
        <v>163</v>
      </c>
      <c r="EM24" s="3" t="s">
        <v>163</v>
      </c>
      <c r="EN24" s="3" t="s">
        <v>163</v>
      </c>
      <c r="EO24" s="3" t="s">
        <v>163</v>
      </c>
      <c r="EP24" s="3" t="s">
        <v>163</v>
      </c>
      <c r="EQ24" s="3" t="s">
        <v>163</v>
      </c>
      <c r="ER24">
        <v>110.65</v>
      </c>
      <c r="ES24">
        <f t="shared" si="8"/>
        <v>12.865599999999999</v>
      </c>
      <c r="ET24">
        <f t="shared" si="8"/>
        <v>12.865599999999999</v>
      </c>
      <c r="EU24" s="3" t="s">
        <v>180</v>
      </c>
      <c r="EV24" s="2" t="s">
        <v>183</v>
      </c>
      <c r="EW24">
        <v>25</v>
      </c>
      <c r="EX24">
        <v>10.33</v>
      </c>
      <c r="EY24">
        <v>0.40500000000000003</v>
      </c>
      <c r="EZ24">
        <v>0.40500000000000003</v>
      </c>
      <c r="FA24" s="3" t="s">
        <v>174</v>
      </c>
      <c r="FB24" s="3" t="s">
        <v>163</v>
      </c>
      <c r="FC24">
        <v>7.54</v>
      </c>
      <c r="FD24" s="3" t="s">
        <v>163</v>
      </c>
      <c r="FE24" s="3" t="s">
        <v>163</v>
      </c>
      <c r="FF24" s="3" t="s">
        <v>163</v>
      </c>
      <c r="FG24" s="3" t="s">
        <v>210</v>
      </c>
      <c r="FH24">
        <v>283.39999999999998</v>
      </c>
      <c r="FI24">
        <v>44.8</v>
      </c>
      <c r="FJ24">
        <v>44.8</v>
      </c>
      <c r="FK24" s="3" t="s">
        <v>177</v>
      </c>
      <c r="FL24" s="3" t="s">
        <v>211</v>
      </c>
      <c r="FM24" s="3" t="s">
        <v>212</v>
      </c>
      <c r="FN24" s="3" t="s">
        <v>163</v>
      </c>
      <c r="FO24" s="3" t="s">
        <v>163</v>
      </c>
      <c r="FP24" s="3" t="s">
        <v>163</v>
      </c>
      <c r="FQ24" s="3" t="s">
        <v>163</v>
      </c>
      <c r="FR24" s="3" t="s">
        <v>163</v>
      </c>
      <c r="FS24" s="3" t="s">
        <v>163</v>
      </c>
      <c r="FT24" s="3" t="s">
        <v>162</v>
      </c>
      <c r="FU24" s="3" t="s">
        <v>163</v>
      </c>
      <c r="FV24" s="24" t="s">
        <v>283</v>
      </c>
      <c r="FW24" s="3" t="s">
        <v>163</v>
      </c>
      <c r="FX24" s="3" t="s">
        <v>163</v>
      </c>
      <c r="FY24" s="3" t="s">
        <v>218</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1"/>
  <sheetViews>
    <sheetView tabSelected="1" workbookViewId="0">
      <selection sqref="A1:D182"/>
    </sheetView>
  </sheetViews>
  <sheetFormatPr baseColWidth="10" defaultColWidth="8.83203125" defaultRowHeight="13" x14ac:dyDescent="0.15"/>
  <cols>
    <col min="1" max="1" width="25.6640625" customWidth="1"/>
    <col min="2" max="2" width="9.83203125" customWidth="1"/>
    <col min="3" max="3" width="45.6640625" bestFit="1" customWidth="1"/>
    <col min="4" max="4" width="108.33203125" bestFit="1" customWidth="1"/>
    <col min="5" max="5" width="133.6640625" customWidth="1"/>
    <col min="6" max="6" width="45.6640625" customWidth="1"/>
  </cols>
  <sheetData>
    <row r="1" spans="1:6" x14ac:dyDescent="0.15">
      <c r="A1" s="5" t="s">
        <v>20</v>
      </c>
      <c r="B1" s="5" t="s">
        <v>213</v>
      </c>
      <c r="C1" s="5" t="s">
        <v>214</v>
      </c>
      <c r="D1" s="5" t="s">
        <v>184</v>
      </c>
      <c r="E1" s="4"/>
      <c r="F1" s="4"/>
    </row>
    <row r="2" spans="1:6" x14ac:dyDescent="0.15">
      <c r="A2" s="5" t="s">
        <v>185</v>
      </c>
      <c r="B2" s="3">
        <v>1</v>
      </c>
      <c r="C2" s="18" t="s">
        <v>0</v>
      </c>
      <c r="D2" s="5" t="s">
        <v>186</v>
      </c>
      <c r="E2" s="4"/>
      <c r="F2" s="4"/>
    </row>
    <row r="3" spans="1:6" ht="14" x14ac:dyDescent="0.15">
      <c r="A3" s="5" t="s">
        <v>185</v>
      </c>
      <c r="B3" s="3">
        <v>2</v>
      </c>
      <c r="C3" s="19" t="s">
        <v>1</v>
      </c>
      <c r="D3" s="5" t="s">
        <v>186</v>
      </c>
      <c r="E3" s="4"/>
      <c r="F3" s="4"/>
    </row>
    <row r="4" spans="1:6" ht="14" x14ac:dyDescent="0.15">
      <c r="A4" s="5" t="s">
        <v>185</v>
      </c>
      <c r="B4" s="3">
        <v>3</v>
      </c>
      <c r="C4" s="19" t="s">
        <v>2</v>
      </c>
      <c r="D4" s="5" t="s">
        <v>186</v>
      </c>
      <c r="E4" s="4"/>
      <c r="F4" s="4"/>
    </row>
    <row r="5" spans="1:6" x14ac:dyDescent="0.15">
      <c r="A5" s="5" t="s">
        <v>185</v>
      </c>
      <c r="B5" s="3">
        <v>4</v>
      </c>
      <c r="C5" s="18" t="s">
        <v>3</v>
      </c>
      <c r="D5" s="5" t="s">
        <v>186</v>
      </c>
      <c r="E5" s="4"/>
      <c r="F5" s="4"/>
    </row>
    <row r="6" spans="1:6" x14ac:dyDescent="0.15">
      <c r="A6" s="5" t="s">
        <v>185</v>
      </c>
      <c r="B6" s="3">
        <v>5</v>
      </c>
      <c r="C6" s="18" t="s">
        <v>233</v>
      </c>
      <c r="D6" s="5" t="s">
        <v>186</v>
      </c>
      <c r="E6" s="4"/>
      <c r="F6" s="4"/>
    </row>
    <row r="7" spans="1:6" ht="14" x14ac:dyDescent="0.15">
      <c r="A7" s="5" t="s">
        <v>185</v>
      </c>
      <c r="B7" s="3">
        <v>6</v>
      </c>
      <c r="C7" s="20" t="s">
        <v>234</v>
      </c>
      <c r="D7" s="5" t="s">
        <v>186</v>
      </c>
      <c r="E7" s="4"/>
      <c r="F7" s="4"/>
    </row>
    <row r="8" spans="1:6" ht="14" x14ac:dyDescent="0.15">
      <c r="A8" s="5" t="s">
        <v>185</v>
      </c>
      <c r="B8" s="3">
        <v>7</v>
      </c>
      <c r="C8" s="20" t="s">
        <v>235</v>
      </c>
      <c r="D8" s="5" t="s">
        <v>186</v>
      </c>
      <c r="E8" s="4"/>
      <c r="F8" s="4"/>
    </row>
    <row r="9" spans="1:6" ht="14" x14ac:dyDescent="0.15">
      <c r="A9" s="5" t="s">
        <v>185</v>
      </c>
      <c r="B9" s="3">
        <v>8</v>
      </c>
      <c r="C9" s="19" t="s">
        <v>236</v>
      </c>
      <c r="D9" s="5" t="s">
        <v>186</v>
      </c>
      <c r="E9" s="4"/>
      <c r="F9" s="4"/>
    </row>
    <row r="10" spans="1:6" ht="14" x14ac:dyDescent="0.15">
      <c r="A10" s="5" t="s">
        <v>185</v>
      </c>
      <c r="B10" s="3">
        <v>9</v>
      </c>
      <c r="C10" s="20" t="s">
        <v>237</v>
      </c>
      <c r="D10" s="5" t="s">
        <v>186</v>
      </c>
      <c r="E10" s="4"/>
      <c r="F10" s="4"/>
    </row>
    <row r="11" spans="1:6" ht="14" x14ac:dyDescent="0.15">
      <c r="A11" s="5" t="s">
        <v>185</v>
      </c>
      <c r="B11" s="3">
        <v>10</v>
      </c>
      <c r="C11" s="20" t="s">
        <v>248</v>
      </c>
      <c r="D11" s="5" t="s">
        <v>186</v>
      </c>
      <c r="E11" s="4"/>
      <c r="F11" s="4"/>
    </row>
    <row r="12" spans="1:6" x14ac:dyDescent="0.15">
      <c r="A12" s="5" t="s">
        <v>187</v>
      </c>
      <c r="B12" s="3">
        <v>11</v>
      </c>
      <c r="C12" s="5" t="s">
        <v>13</v>
      </c>
      <c r="D12" s="3"/>
      <c r="E12" s="4"/>
    </row>
    <row r="13" spans="1:6" x14ac:dyDescent="0.15">
      <c r="A13" s="5" t="s">
        <v>187</v>
      </c>
      <c r="B13" s="3">
        <v>12</v>
      </c>
      <c r="C13" s="5" t="s">
        <v>14</v>
      </c>
      <c r="D13" s="3"/>
    </row>
    <row r="14" spans="1:6" x14ac:dyDescent="0.15">
      <c r="A14" s="5" t="s">
        <v>187</v>
      </c>
      <c r="B14" s="3">
        <v>13</v>
      </c>
      <c r="C14" s="5" t="s">
        <v>254</v>
      </c>
      <c r="D14" s="5" t="s">
        <v>219</v>
      </c>
    </row>
    <row r="15" spans="1:6" x14ac:dyDescent="0.15">
      <c r="A15" s="5" t="s">
        <v>187</v>
      </c>
      <c r="B15" s="3">
        <v>14</v>
      </c>
      <c r="C15" s="5" t="s">
        <v>255</v>
      </c>
      <c r="D15" s="5" t="s">
        <v>188</v>
      </c>
    </row>
    <row r="16" spans="1:6" x14ac:dyDescent="0.15">
      <c r="A16" s="5" t="s">
        <v>189</v>
      </c>
      <c r="B16" s="3">
        <v>15</v>
      </c>
      <c r="C16" s="5" t="s">
        <v>15</v>
      </c>
      <c r="D16" s="5" t="s">
        <v>190</v>
      </c>
    </row>
    <row r="17" spans="1:5" x14ac:dyDescent="0.15">
      <c r="A17" s="5" t="s">
        <v>189</v>
      </c>
      <c r="B17" s="3">
        <v>16</v>
      </c>
      <c r="C17" s="5" t="s">
        <v>16</v>
      </c>
      <c r="D17" s="3"/>
    </row>
    <row r="18" spans="1:5" x14ac:dyDescent="0.15">
      <c r="A18" s="5" t="s">
        <v>189</v>
      </c>
      <c r="B18" s="3">
        <v>17</v>
      </c>
      <c r="C18" s="5" t="s">
        <v>17</v>
      </c>
      <c r="D18" s="3"/>
      <c r="E18" s="4"/>
    </row>
    <row r="19" spans="1:5" x14ac:dyDescent="0.15">
      <c r="A19" s="5" t="s">
        <v>189</v>
      </c>
      <c r="B19" s="3">
        <v>18</v>
      </c>
      <c r="C19" s="5" t="s">
        <v>18</v>
      </c>
      <c r="D19" s="3"/>
      <c r="E19" s="4"/>
    </row>
    <row r="20" spans="1:5" x14ac:dyDescent="0.15">
      <c r="A20" s="5" t="s">
        <v>189</v>
      </c>
      <c r="B20" s="3">
        <v>19</v>
      </c>
      <c r="C20" s="5" t="s">
        <v>19</v>
      </c>
      <c r="D20" s="5" t="s">
        <v>191</v>
      </c>
      <c r="E20" s="4"/>
    </row>
    <row r="21" spans="1:5" x14ac:dyDescent="0.15">
      <c r="A21" s="5" t="s">
        <v>189</v>
      </c>
      <c r="B21" s="3">
        <v>20</v>
      </c>
      <c r="C21" s="5" t="s">
        <v>20</v>
      </c>
      <c r="D21" s="3"/>
      <c r="E21" s="4"/>
    </row>
    <row r="22" spans="1:5" x14ac:dyDescent="0.15">
      <c r="A22" s="5" t="s">
        <v>189</v>
      </c>
      <c r="B22" s="3">
        <v>21</v>
      </c>
      <c r="C22" s="5" t="s">
        <v>217</v>
      </c>
      <c r="D22" s="3"/>
    </row>
    <row r="23" spans="1:5" x14ac:dyDescent="0.15">
      <c r="A23" s="5" t="s">
        <v>189</v>
      </c>
      <c r="B23" s="3">
        <v>22</v>
      </c>
      <c r="C23" s="5" t="s">
        <v>242</v>
      </c>
      <c r="D23" s="3"/>
    </row>
    <row r="24" spans="1:5" x14ac:dyDescent="0.15">
      <c r="A24" s="5" t="s">
        <v>189</v>
      </c>
      <c r="B24" s="3">
        <v>23</v>
      </c>
      <c r="C24" s="5" t="s">
        <v>21</v>
      </c>
      <c r="D24" s="3"/>
    </row>
    <row r="25" spans="1:5" x14ac:dyDescent="0.15">
      <c r="A25" s="5" t="s">
        <v>189</v>
      </c>
      <c r="B25" s="3">
        <v>24</v>
      </c>
      <c r="C25" s="5" t="s">
        <v>22</v>
      </c>
      <c r="D25" s="3"/>
      <c r="E25" s="4"/>
    </row>
    <row r="26" spans="1:5" x14ac:dyDescent="0.15">
      <c r="A26" s="5" t="s">
        <v>189</v>
      </c>
      <c r="B26" s="3">
        <v>25</v>
      </c>
      <c r="C26" s="5" t="s">
        <v>23</v>
      </c>
      <c r="D26" s="3"/>
    </row>
    <row r="27" spans="1:5" x14ac:dyDescent="0.15">
      <c r="A27" s="5" t="s">
        <v>189</v>
      </c>
      <c r="B27" s="3">
        <v>26</v>
      </c>
      <c r="C27" s="5" t="s">
        <v>24</v>
      </c>
      <c r="D27" s="3"/>
    </row>
    <row r="28" spans="1:5" x14ac:dyDescent="0.15">
      <c r="A28" s="5" t="s">
        <v>189</v>
      </c>
      <c r="B28" s="3">
        <v>27</v>
      </c>
      <c r="C28" s="5" t="s">
        <v>25</v>
      </c>
      <c r="D28" s="5" t="s">
        <v>192</v>
      </c>
    </row>
    <row r="29" spans="1:5" x14ac:dyDescent="0.15">
      <c r="A29" s="5" t="s">
        <v>193</v>
      </c>
      <c r="B29" s="3">
        <v>28</v>
      </c>
      <c r="C29" s="5" t="s">
        <v>26</v>
      </c>
      <c r="D29" s="3"/>
    </row>
    <row r="30" spans="1:5" x14ac:dyDescent="0.15">
      <c r="A30" s="5" t="s">
        <v>193</v>
      </c>
      <c r="B30" s="3">
        <v>29</v>
      </c>
      <c r="C30" s="5" t="s">
        <v>8</v>
      </c>
      <c r="D30" s="3"/>
    </row>
    <row r="31" spans="1:5" x14ac:dyDescent="0.15">
      <c r="A31" s="5" t="s">
        <v>193</v>
      </c>
      <c r="B31" s="3">
        <v>30</v>
      </c>
      <c r="C31" s="5" t="s">
        <v>9</v>
      </c>
      <c r="D31" s="3"/>
    </row>
    <row r="32" spans="1:5" x14ac:dyDescent="0.15">
      <c r="A32" s="5" t="s">
        <v>193</v>
      </c>
      <c r="B32" s="3">
        <v>31</v>
      </c>
      <c r="C32" s="5" t="s">
        <v>27</v>
      </c>
      <c r="D32" s="5" t="s">
        <v>194</v>
      </c>
    </row>
    <row r="33" spans="1:5" x14ac:dyDescent="0.15">
      <c r="A33" s="5" t="s">
        <v>193</v>
      </c>
      <c r="B33" s="3">
        <v>32</v>
      </c>
      <c r="C33" s="5" t="s">
        <v>28</v>
      </c>
      <c r="D33" s="3"/>
      <c r="E33" s="4"/>
    </row>
    <row r="34" spans="1:5" x14ac:dyDescent="0.15">
      <c r="A34" s="5" t="s">
        <v>193</v>
      </c>
      <c r="B34" s="3">
        <v>33</v>
      </c>
      <c r="C34" s="5" t="s">
        <v>29</v>
      </c>
      <c r="D34" s="3" t="s">
        <v>220</v>
      </c>
    </row>
    <row r="35" spans="1:5" x14ac:dyDescent="0.15">
      <c r="A35" s="5" t="s">
        <v>195</v>
      </c>
      <c r="B35" s="3">
        <v>34</v>
      </c>
      <c r="C35" s="5" t="s">
        <v>256</v>
      </c>
      <c r="D35" s="5" t="s">
        <v>257</v>
      </c>
    </row>
    <row r="36" spans="1:5" x14ac:dyDescent="0.15">
      <c r="A36" s="5" t="s">
        <v>195</v>
      </c>
      <c r="B36" s="3">
        <v>35</v>
      </c>
      <c r="C36" s="5" t="s">
        <v>258</v>
      </c>
      <c r="D36" s="5" t="s">
        <v>259</v>
      </c>
    </row>
    <row r="37" spans="1:5" x14ac:dyDescent="0.15">
      <c r="A37" s="5" t="s">
        <v>195</v>
      </c>
      <c r="B37" s="3">
        <v>36</v>
      </c>
      <c r="C37" s="5" t="s">
        <v>30</v>
      </c>
      <c r="D37" s="5" t="s">
        <v>196</v>
      </c>
      <c r="E37" s="4"/>
    </row>
    <row r="38" spans="1:5" x14ac:dyDescent="0.15">
      <c r="A38" s="5" t="s">
        <v>195</v>
      </c>
      <c r="B38" s="3">
        <v>37</v>
      </c>
      <c r="C38" s="5" t="s">
        <v>260</v>
      </c>
      <c r="D38" s="3"/>
    </row>
    <row r="39" spans="1:5" x14ac:dyDescent="0.15">
      <c r="A39" s="5" t="s">
        <v>195</v>
      </c>
      <c r="B39" s="3">
        <v>38</v>
      </c>
      <c r="C39" s="5" t="s">
        <v>261</v>
      </c>
      <c r="D39" s="3"/>
    </row>
    <row r="40" spans="1:5" x14ac:dyDescent="0.15">
      <c r="A40" s="5" t="s">
        <v>195</v>
      </c>
      <c r="B40" s="3">
        <v>39</v>
      </c>
      <c r="C40" s="5" t="s">
        <v>31</v>
      </c>
      <c r="D40" s="5" t="s">
        <v>196</v>
      </c>
      <c r="E40" s="4"/>
    </row>
    <row r="41" spans="1:5" x14ac:dyDescent="0.15">
      <c r="A41" s="5" t="s">
        <v>195</v>
      </c>
      <c r="B41" s="3">
        <v>40</v>
      </c>
      <c r="C41" s="5" t="s">
        <v>32</v>
      </c>
      <c r="D41" s="3"/>
      <c r="E41" s="4"/>
    </row>
    <row r="42" spans="1:5" x14ac:dyDescent="0.15">
      <c r="A42" s="5" t="s">
        <v>195</v>
      </c>
      <c r="B42" s="3">
        <v>41</v>
      </c>
      <c r="C42" s="5" t="s">
        <v>33</v>
      </c>
      <c r="D42" s="3" t="s">
        <v>221</v>
      </c>
      <c r="E42" s="4"/>
    </row>
    <row r="43" spans="1:5" x14ac:dyDescent="0.15">
      <c r="A43" s="5" t="s">
        <v>4</v>
      </c>
      <c r="B43" s="3">
        <v>42</v>
      </c>
      <c r="C43" s="5" t="s">
        <v>4</v>
      </c>
      <c r="D43" s="3"/>
    </row>
    <row r="44" spans="1:5" x14ac:dyDescent="0.15">
      <c r="A44" s="5" t="s">
        <v>4</v>
      </c>
      <c r="B44" s="3">
        <v>43</v>
      </c>
      <c r="C44" s="5" t="s">
        <v>34</v>
      </c>
      <c r="D44" s="3"/>
    </row>
    <row r="45" spans="1:5" x14ac:dyDescent="0.15">
      <c r="A45" s="5" t="s">
        <v>4</v>
      </c>
      <c r="B45" s="3">
        <v>44</v>
      </c>
      <c r="C45" s="5" t="s">
        <v>35</v>
      </c>
      <c r="D45" s="3"/>
      <c r="E45" s="4"/>
    </row>
    <row r="46" spans="1:5" x14ac:dyDescent="0.15">
      <c r="A46" s="5" t="s">
        <v>4</v>
      </c>
      <c r="B46" s="3">
        <v>45</v>
      </c>
      <c r="C46" s="5" t="s">
        <v>36</v>
      </c>
      <c r="D46" s="3"/>
    </row>
    <row r="47" spans="1:5" x14ac:dyDescent="0.15">
      <c r="A47" s="5" t="s">
        <v>4</v>
      </c>
      <c r="B47" s="3">
        <v>46</v>
      </c>
      <c r="C47" s="5" t="s">
        <v>37</v>
      </c>
      <c r="D47" s="3"/>
    </row>
    <row r="48" spans="1:5" x14ac:dyDescent="0.15">
      <c r="A48" s="5" t="s">
        <v>4</v>
      </c>
      <c r="B48" s="3">
        <v>47</v>
      </c>
      <c r="C48" s="5" t="s">
        <v>38</v>
      </c>
      <c r="D48" s="3"/>
    </row>
    <row r="49" spans="1:5" x14ac:dyDescent="0.15">
      <c r="A49" s="5" t="s">
        <v>4</v>
      </c>
      <c r="B49" s="3">
        <v>48</v>
      </c>
      <c r="C49" s="5" t="s">
        <v>39</v>
      </c>
      <c r="D49" s="3"/>
    </row>
    <row r="50" spans="1:5" x14ac:dyDescent="0.15">
      <c r="A50" s="5" t="s">
        <v>4</v>
      </c>
      <c r="B50" s="3">
        <v>49</v>
      </c>
      <c r="C50" s="5" t="s">
        <v>40</v>
      </c>
      <c r="D50" s="3"/>
    </row>
    <row r="51" spans="1:5" x14ac:dyDescent="0.15">
      <c r="A51" s="5" t="s">
        <v>197</v>
      </c>
      <c r="B51" s="3">
        <v>50</v>
      </c>
      <c r="C51" s="5" t="s">
        <v>41</v>
      </c>
      <c r="D51" s="3"/>
    </row>
    <row r="52" spans="1:5" x14ac:dyDescent="0.15">
      <c r="A52" s="5" t="s">
        <v>197</v>
      </c>
      <c r="B52" s="3">
        <v>51</v>
      </c>
      <c r="C52" s="5" t="s">
        <v>42</v>
      </c>
      <c r="D52" s="3"/>
    </row>
    <row r="53" spans="1:5" x14ac:dyDescent="0.15">
      <c r="A53" s="5" t="s">
        <v>197</v>
      </c>
      <c r="B53" s="3">
        <v>52</v>
      </c>
      <c r="C53" s="5" t="s">
        <v>43</v>
      </c>
      <c r="D53" s="5" t="s">
        <v>194</v>
      </c>
    </row>
    <row r="54" spans="1:5" x14ac:dyDescent="0.15">
      <c r="A54" s="5" t="s">
        <v>197</v>
      </c>
      <c r="B54" s="3">
        <v>53</v>
      </c>
      <c r="C54" s="5" t="s">
        <v>44</v>
      </c>
      <c r="D54" s="5" t="s">
        <v>198</v>
      </c>
    </row>
    <row r="55" spans="1:5" x14ac:dyDescent="0.15">
      <c r="A55" s="5" t="s">
        <v>197</v>
      </c>
      <c r="B55" s="3">
        <v>54</v>
      </c>
      <c r="C55" s="5" t="s">
        <v>45</v>
      </c>
      <c r="D55" s="3"/>
    </row>
    <row r="56" spans="1:5" x14ac:dyDescent="0.15">
      <c r="A56" s="5" t="s">
        <v>197</v>
      </c>
      <c r="B56" s="3">
        <v>55</v>
      </c>
      <c r="C56" s="5" t="s">
        <v>46</v>
      </c>
      <c r="D56" s="3"/>
    </row>
    <row r="57" spans="1:5" x14ac:dyDescent="0.15">
      <c r="A57" s="5" t="s">
        <v>197</v>
      </c>
      <c r="B57" s="3">
        <v>56</v>
      </c>
      <c r="C57" s="5" t="s">
        <v>47</v>
      </c>
      <c r="D57" s="5" t="s">
        <v>194</v>
      </c>
    </row>
    <row r="58" spans="1:5" x14ac:dyDescent="0.15">
      <c r="A58" s="5" t="s">
        <v>197</v>
      </c>
      <c r="B58" s="3">
        <v>57</v>
      </c>
      <c r="C58" s="5" t="s">
        <v>48</v>
      </c>
      <c r="D58" s="5" t="s">
        <v>198</v>
      </c>
      <c r="E58" s="4"/>
    </row>
    <row r="59" spans="1:5" x14ac:dyDescent="0.15">
      <c r="A59" s="5" t="s">
        <v>197</v>
      </c>
      <c r="B59" s="3">
        <v>58</v>
      </c>
      <c r="C59" s="5" t="s">
        <v>49</v>
      </c>
      <c r="D59" s="5" t="s">
        <v>199</v>
      </c>
      <c r="E59" s="4"/>
    </row>
    <row r="60" spans="1:5" x14ac:dyDescent="0.15">
      <c r="A60" s="5" t="s">
        <v>197</v>
      </c>
      <c r="B60" s="3">
        <v>59</v>
      </c>
      <c r="C60" s="5" t="s">
        <v>50</v>
      </c>
      <c r="D60" s="5" t="s">
        <v>200</v>
      </c>
    </row>
    <row r="61" spans="1:5" x14ac:dyDescent="0.15">
      <c r="A61" s="5" t="s">
        <v>197</v>
      </c>
      <c r="B61" s="3">
        <v>60</v>
      </c>
      <c r="C61" s="5" t="s">
        <v>51</v>
      </c>
      <c r="D61" s="3"/>
    </row>
    <row r="62" spans="1:5" x14ac:dyDescent="0.15">
      <c r="A62" s="5" t="s">
        <v>197</v>
      </c>
      <c r="B62" s="3">
        <v>61</v>
      </c>
      <c r="C62" s="5" t="s">
        <v>52</v>
      </c>
      <c r="D62" s="3"/>
      <c r="E62" s="4"/>
    </row>
    <row r="63" spans="1:5" x14ac:dyDescent="0.15">
      <c r="A63" s="5" t="s">
        <v>197</v>
      </c>
      <c r="B63" s="3">
        <v>62</v>
      </c>
      <c r="C63" s="5" t="s">
        <v>53</v>
      </c>
      <c r="D63" s="3"/>
      <c r="E63" s="4"/>
    </row>
    <row r="64" spans="1:5" x14ac:dyDescent="0.15">
      <c r="A64" s="5" t="s">
        <v>197</v>
      </c>
      <c r="B64" s="3">
        <v>63</v>
      </c>
      <c r="C64" s="5" t="s">
        <v>54</v>
      </c>
      <c r="D64" s="5" t="s">
        <v>194</v>
      </c>
      <c r="E64" s="4"/>
    </row>
    <row r="65" spans="1:5" x14ac:dyDescent="0.15">
      <c r="A65" s="5" t="s">
        <v>197</v>
      </c>
      <c r="B65" s="3">
        <v>64</v>
      </c>
      <c r="C65" s="5" t="s">
        <v>55</v>
      </c>
      <c r="D65" s="3"/>
      <c r="E65" s="4"/>
    </row>
    <row r="66" spans="1:5" x14ac:dyDescent="0.15">
      <c r="A66" s="5" t="s">
        <v>197</v>
      </c>
      <c r="B66" s="3">
        <v>65</v>
      </c>
      <c r="C66" s="5" t="s">
        <v>56</v>
      </c>
      <c r="D66" s="3"/>
    </row>
    <row r="67" spans="1:5" x14ac:dyDescent="0.15">
      <c r="A67" s="5" t="s">
        <v>197</v>
      </c>
      <c r="B67" s="3">
        <v>66</v>
      </c>
      <c r="C67" s="5" t="s">
        <v>57</v>
      </c>
      <c r="D67" s="3"/>
    </row>
    <row r="68" spans="1:5" x14ac:dyDescent="0.15">
      <c r="A68" s="5" t="s">
        <v>197</v>
      </c>
      <c r="B68" s="3">
        <v>67</v>
      </c>
      <c r="C68" s="5" t="s">
        <v>58</v>
      </c>
      <c r="D68" s="3"/>
    </row>
    <row r="69" spans="1:5" x14ac:dyDescent="0.15">
      <c r="A69" s="5" t="s">
        <v>197</v>
      </c>
      <c r="B69" s="3">
        <v>68</v>
      </c>
      <c r="C69" s="5" t="s">
        <v>240</v>
      </c>
      <c r="D69" s="3"/>
      <c r="E69" s="4"/>
    </row>
    <row r="70" spans="1:5" x14ac:dyDescent="0.15">
      <c r="A70" s="5" t="s">
        <v>197</v>
      </c>
      <c r="B70" s="3">
        <v>69</v>
      </c>
      <c r="C70" s="5" t="s">
        <v>241</v>
      </c>
      <c r="D70" s="3"/>
    </row>
    <row r="71" spans="1:5" x14ac:dyDescent="0.15">
      <c r="A71" s="5" t="s">
        <v>197</v>
      </c>
      <c r="B71" s="3">
        <v>70</v>
      </c>
      <c r="C71" s="5" t="s">
        <v>59</v>
      </c>
      <c r="D71" s="3"/>
    </row>
    <row r="72" spans="1:5" x14ac:dyDescent="0.15">
      <c r="A72" s="5" t="s">
        <v>197</v>
      </c>
      <c r="B72" s="3">
        <v>71</v>
      </c>
      <c r="C72" s="5" t="s">
        <v>60</v>
      </c>
      <c r="D72" s="3"/>
    </row>
    <row r="73" spans="1:5" x14ac:dyDescent="0.15">
      <c r="A73" s="5" t="s">
        <v>201</v>
      </c>
      <c r="B73" s="3">
        <v>72</v>
      </c>
      <c r="C73" s="5" t="s">
        <v>61</v>
      </c>
      <c r="D73" s="3"/>
    </row>
    <row r="74" spans="1:5" x14ac:dyDescent="0.15">
      <c r="A74" s="5" t="s">
        <v>201</v>
      </c>
      <c r="B74" s="3">
        <v>73</v>
      </c>
      <c r="C74" s="5" t="s">
        <v>62</v>
      </c>
      <c r="D74" s="3" t="s">
        <v>222</v>
      </c>
    </row>
    <row r="75" spans="1:5" x14ac:dyDescent="0.15">
      <c r="A75" s="5" t="s">
        <v>201</v>
      </c>
      <c r="B75" s="3">
        <v>74</v>
      </c>
      <c r="C75" s="5" t="s">
        <v>63</v>
      </c>
      <c r="D75" s="3"/>
    </row>
    <row r="76" spans="1:5" x14ac:dyDescent="0.15">
      <c r="A76" s="5" t="s">
        <v>201</v>
      </c>
      <c r="B76" s="3">
        <v>75</v>
      </c>
      <c r="C76" s="5" t="s">
        <v>154</v>
      </c>
      <c r="D76" s="3"/>
    </row>
    <row r="77" spans="1:5" x14ac:dyDescent="0.15">
      <c r="A77" s="5" t="s">
        <v>201</v>
      </c>
      <c r="B77" s="3">
        <v>76</v>
      </c>
      <c r="C77" s="5" t="s">
        <v>64</v>
      </c>
      <c r="D77" s="5" t="s">
        <v>194</v>
      </c>
    </row>
    <row r="78" spans="1:5" x14ac:dyDescent="0.15">
      <c r="A78" s="5" t="s">
        <v>201</v>
      </c>
      <c r="B78" s="3">
        <v>77</v>
      </c>
      <c r="C78" s="5" t="s">
        <v>65</v>
      </c>
      <c r="D78" s="3"/>
    </row>
    <row r="79" spans="1:5" x14ac:dyDescent="0.15">
      <c r="A79" s="5" t="s">
        <v>201</v>
      </c>
      <c r="B79" s="3">
        <v>78</v>
      </c>
      <c r="C79" s="5" t="s">
        <v>66</v>
      </c>
      <c r="D79" s="3"/>
    </row>
    <row r="80" spans="1:5" x14ac:dyDescent="0.15">
      <c r="A80" s="5" t="s">
        <v>201</v>
      </c>
      <c r="B80" s="3">
        <v>79</v>
      </c>
      <c r="C80" s="5" t="s">
        <v>67</v>
      </c>
      <c r="D80" s="5" t="s">
        <v>194</v>
      </c>
      <c r="E80" s="4"/>
    </row>
    <row r="81" spans="1:6" x14ac:dyDescent="0.15">
      <c r="A81" s="5" t="s">
        <v>201</v>
      </c>
      <c r="B81" s="3">
        <v>80</v>
      </c>
      <c r="C81" s="5" t="s">
        <v>68</v>
      </c>
      <c r="D81" s="3"/>
    </row>
    <row r="82" spans="1:6" x14ac:dyDescent="0.15">
      <c r="A82" s="5" t="s">
        <v>201</v>
      </c>
      <c r="B82" s="3">
        <v>81</v>
      </c>
      <c r="C82" s="5" t="s">
        <v>69</v>
      </c>
      <c r="D82" s="3"/>
    </row>
    <row r="83" spans="1:6" x14ac:dyDescent="0.15">
      <c r="A83" s="5" t="s">
        <v>201</v>
      </c>
      <c r="B83" s="3">
        <v>82</v>
      </c>
      <c r="C83" s="5" t="s">
        <v>70</v>
      </c>
      <c r="D83" s="5" t="s">
        <v>194</v>
      </c>
      <c r="E83" s="4"/>
    </row>
    <row r="84" spans="1:6" x14ac:dyDescent="0.15">
      <c r="A84" s="5" t="s">
        <v>201</v>
      </c>
      <c r="B84" s="3">
        <v>83</v>
      </c>
      <c r="C84" s="5" t="s">
        <v>71</v>
      </c>
      <c r="D84" s="3"/>
    </row>
    <row r="85" spans="1:6" x14ac:dyDescent="0.15">
      <c r="A85" s="5" t="s">
        <v>201</v>
      </c>
      <c r="B85" s="3">
        <v>84</v>
      </c>
      <c r="C85" s="5" t="s">
        <v>72</v>
      </c>
      <c r="D85" s="3"/>
    </row>
    <row r="86" spans="1:6" x14ac:dyDescent="0.15">
      <c r="A86" s="5" t="s">
        <v>202</v>
      </c>
      <c r="B86" s="3">
        <v>85</v>
      </c>
      <c r="C86" s="5" t="s">
        <v>73</v>
      </c>
      <c r="D86" s="3"/>
      <c r="E86" s="4"/>
    </row>
    <row r="87" spans="1:6" x14ac:dyDescent="0.15">
      <c r="A87" s="5" t="s">
        <v>202</v>
      </c>
      <c r="B87" s="3">
        <v>86</v>
      </c>
      <c r="C87" s="5" t="s">
        <v>74</v>
      </c>
      <c r="D87" s="3"/>
      <c r="F87" s="4"/>
    </row>
    <row r="88" spans="1:6" x14ac:dyDescent="0.15">
      <c r="A88" s="5" t="s">
        <v>202</v>
      </c>
      <c r="B88" s="3">
        <v>87</v>
      </c>
      <c r="C88" s="5" t="s">
        <v>75</v>
      </c>
      <c r="D88" s="3"/>
      <c r="F88" s="4"/>
    </row>
    <row r="89" spans="1:6" x14ac:dyDescent="0.15">
      <c r="A89" s="5" t="s">
        <v>202</v>
      </c>
      <c r="B89" s="3">
        <v>88</v>
      </c>
      <c r="C89" s="5" t="s">
        <v>76</v>
      </c>
      <c r="D89" s="3"/>
      <c r="E89" s="4"/>
      <c r="F89" s="4"/>
    </row>
    <row r="90" spans="1:6" x14ac:dyDescent="0.15">
      <c r="A90" s="5" t="s">
        <v>202</v>
      </c>
      <c r="B90" s="3">
        <v>89</v>
      </c>
      <c r="C90" s="5" t="s">
        <v>77</v>
      </c>
      <c r="D90" s="3"/>
    </row>
    <row r="91" spans="1:6" x14ac:dyDescent="0.15">
      <c r="A91" s="5" t="s">
        <v>202</v>
      </c>
      <c r="B91" s="3">
        <v>90</v>
      </c>
      <c r="C91" s="5" t="s">
        <v>158</v>
      </c>
      <c r="D91" s="3"/>
    </row>
    <row r="92" spans="1:6" x14ac:dyDescent="0.15">
      <c r="A92" s="5" t="s">
        <v>202</v>
      </c>
      <c r="B92" s="3">
        <v>91</v>
      </c>
      <c r="C92" s="5" t="s">
        <v>159</v>
      </c>
      <c r="D92" s="3"/>
    </row>
    <row r="93" spans="1:6" x14ac:dyDescent="0.15">
      <c r="A93" s="5" t="s">
        <v>202</v>
      </c>
      <c r="B93" s="3">
        <v>92</v>
      </c>
      <c r="C93" s="5" t="s">
        <v>78</v>
      </c>
      <c r="D93" s="5" t="s">
        <v>194</v>
      </c>
    </row>
    <row r="94" spans="1:6" x14ac:dyDescent="0.15">
      <c r="A94" s="5" t="s">
        <v>202</v>
      </c>
      <c r="B94" s="3">
        <v>93</v>
      </c>
      <c r="C94" s="5" t="s">
        <v>79</v>
      </c>
      <c r="D94" s="3"/>
    </row>
    <row r="95" spans="1:6" x14ac:dyDescent="0.15">
      <c r="A95" s="5" t="s">
        <v>202</v>
      </c>
      <c r="B95" s="3">
        <v>94</v>
      </c>
      <c r="C95" s="5" t="s">
        <v>80</v>
      </c>
      <c r="D95" s="5"/>
    </row>
    <row r="96" spans="1:6" x14ac:dyDescent="0.15">
      <c r="A96" s="5" t="s">
        <v>202</v>
      </c>
      <c r="B96" s="3">
        <v>95</v>
      </c>
      <c r="C96" s="5" t="s">
        <v>81</v>
      </c>
      <c r="D96" s="3"/>
    </row>
    <row r="97" spans="1:5" x14ac:dyDescent="0.15">
      <c r="A97" s="5" t="s">
        <v>203</v>
      </c>
      <c r="B97" s="3">
        <v>96</v>
      </c>
      <c r="C97" s="5" t="s">
        <v>82</v>
      </c>
      <c r="D97" s="5" t="s">
        <v>223</v>
      </c>
    </row>
    <row r="98" spans="1:5" x14ac:dyDescent="0.15">
      <c r="A98" s="5" t="s">
        <v>203</v>
      </c>
      <c r="B98" s="3">
        <v>97</v>
      </c>
      <c r="C98" s="5" t="s">
        <v>83</v>
      </c>
      <c r="D98" s="3"/>
      <c r="E98" s="4"/>
    </row>
    <row r="99" spans="1:5" x14ac:dyDescent="0.15">
      <c r="A99" s="5" t="s">
        <v>203</v>
      </c>
      <c r="B99" s="3">
        <v>98</v>
      </c>
      <c r="C99" s="5" t="s">
        <v>84</v>
      </c>
      <c r="D99" s="3"/>
    </row>
    <row r="100" spans="1:5" x14ac:dyDescent="0.15">
      <c r="A100" s="5" t="s">
        <v>203</v>
      </c>
      <c r="B100" s="3">
        <v>99</v>
      </c>
      <c r="C100" s="5" t="s">
        <v>85</v>
      </c>
      <c r="D100" s="5" t="s">
        <v>194</v>
      </c>
      <c r="E100" s="4"/>
    </row>
    <row r="101" spans="1:5" x14ac:dyDescent="0.15">
      <c r="A101" s="5" t="s">
        <v>203</v>
      </c>
      <c r="B101" s="3">
        <v>100</v>
      </c>
      <c r="C101" s="5" t="s">
        <v>86</v>
      </c>
      <c r="D101" s="3"/>
    </row>
    <row r="102" spans="1:5" x14ac:dyDescent="0.15">
      <c r="A102" s="5" t="s">
        <v>203</v>
      </c>
      <c r="B102" s="3">
        <v>101</v>
      </c>
      <c r="C102" s="5" t="s">
        <v>87</v>
      </c>
      <c r="D102" s="5"/>
      <c r="E102" s="4"/>
    </row>
    <row r="103" spans="1:5" x14ac:dyDescent="0.15">
      <c r="A103" s="5" t="s">
        <v>203</v>
      </c>
      <c r="B103" s="3">
        <v>102</v>
      </c>
      <c r="C103" s="5" t="s">
        <v>88</v>
      </c>
      <c r="D103" s="5"/>
    </row>
    <row r="104" spans="1:5" x14ac:dyDescent="0.15">
      <c r="A104" s="5" t="s">
        <v>203</v>
      </c>
      <c r="B104" s="3">
        <v>103</v>
      </c>
      <c r="C104" s="5" t="s">
        <v>89</v>
      </c>
      <c r="D104" s="3"/>
    </row>
    <row r="105" spans="1:5" x14ac:dyDescent="0.15">
      <c r="A105" s="5" t="s">
        <v>203</v>
      </c>
      <c r="B105" s="3">
        <v>104</v>
      </c>
      <c r="C105" s="5" t="s">
        <v>90</v>
      </c>
      <c r="D105" s="3"/>
      <c r="E105" s="4"/>
    </row>
    <row r="106" spans="1:5" x14ac:dyDescent="0.15">
      <c r="A106" s="5" t="s">
        <v>203</v>
      </c>
      <c r="B106" s="3">
        <v>105</v>
      </c>
      <c r="C106" s="5" t="s">
        <v>91</v>
      </c>
      <c r="D106" s="3"/>
    </row>
    <row r="107" spans="1:5" x14ac:dyDescent="0.15">
      <c r="A107" s="5" t="s">
        <v>203</v>
      </c>
      <c r="B107" s="3">
        <v>106</v>
      </c>
      <c r="C107" s="5" t="s">
        <v>92</v>
      </c>
      <c r="D107" s="3"/>
      <c r="E107" s="4"/>
    </row>
    <row r="108" spans="1:5" x14ac:dyDescent="0.15">
      <c r="A108" s="5" t="s">
        <v>203</v>
      </c>
      <c r="B108" s="3">
        <v>107</v>
      </c>
      <c r="C108" s="5" t="s">
        <v>93</v>
      </c>
      <c r="D108" s="3"/>
      <c r="E108" s="4"/>
    </row>
    <row r="109" spans="1:5" x14ac:dyDescent="0.15">
      <c r="A109" s="5" t="s">
        <v>203</v>
      </c>
      <c r="B109" s="3">
        <v>108</v>
      </c>
      <c r="C109" s="5" t="s">
        <v>94</v>
      </c>
      <c r="D109" s="3" t="s">
        <v>224</v>
      </c>
    </row>
    <row r="110" spans="1:5" x14ac:dyDescent="0.15">
      <c r="A110" s="5" t="s">
        <v>203</v>
      </c>
      <c r="B110" s="3">
        <v>109</v>
      </c>
      <c r="C110" s="5" t="s">
        <v>95</v>
      </c>
      <c r="D110" s="3"/>
    </row>
    <row r="111" spans="1:5" x14ac:dyDescent="0.15">
      <c r="A111" s="5" t="s">
        <v>203</v>
      </c>
      <c r="B111" s="3">
        <v>110</v>
      </c>
      <c r="C111" s="5" t="s">
        <v>96</v>
      </c>
      <c r="D111" s="3"/>
    </row>
    <row r="112" spans="1:5" x14ac:dyDescent="0.15">
      <c r="A112" s="5" t="s">
        <v>203</v>
      </c>
      <c r="B112" s="3">
        <v>111</v>
      </c>
      <c r="C112" s="5" t="s">
        <v>97</v>
      </c>
      <c r="D112" s="3"/>
    </row>
    <row r="113" spans="1:5" x14ac:dyDescent="0.15">
      <c r="A113" s="5" t="s">
        <v>203</v>
      </c>
      <c r="B113" s="3">
        <v>112</v>
      </c>
      <c r="C113" s="5" t="s">
        <v>98</v>
      </c>
      <c r="D113" s="5" t="s">
        <v>194</v>
      </c>
    </row>
    <row r="114" spans="1:5" x14ac:dyDescent="0.15">
      <c r="A114" s="5" t="s">
        <v>203</v>
      </c>
      <c r="B114" s="3">
        <v>113</v>
      </c>
      <c r="C114" s="5" t="s">
        <v>99</v>
      </c>
      <c r="D114" s="3"/>
    </row>
    <row r="115" spans="1:5" x14ac:dyDescent="0.15">
      <c r="A115" s="5" t="s">
        <v>203</v>
      </c>
      <c r="B115" s="3">
        <v>114</v>
      </c>
      <c r="C115" s="5" t="s">
        <v>100</v>
      </c>
      <c r="D115" s="3"/>
    </row>
    <row r="116" spans="1:5" x14ac:dyDescent="0.15">
      <c r="A116" s="5" t="s">
        <v>203</v>
      </c>
      <c r="B116" s="3">
        <v>115</v>
      </c>
      <c r="C116" s="5" t="s">
        <v>101</v>
      </c>
      <c r="D116" s="3"/>
    </row>
    <row r="117" spans="1:5" x14ac:dyDescent="0.15">
      <c r="A117" s="5" t="s">
        <v>203</v>
      </c>
      <c r="B117" s="3">
        <v>116</v>
      </c>
      <c r="C117" s="5" t="s">
        <v>102</v>
      </c>
      <c r="D117" s="5" t="s">
        <v>194</v>
      </c>
    </row>
    <row r="118" spans="1:5" x14ac:dyDescent="0.15">
      <c r="A118" s="5" t="s">
        <v>203</v>
      </c>
      <c r="B118" s="3">
        <v>117</v>
      </c>
      <c r="C118" s="5" t="s">
        <v>103</v>
      </c>
      <c r="D118" s="3"/>
      <c r="E118" s="4"/>
    </row>
    <row r="119" spans="1:5" x14ac:dyDescent="0.15">
      <c r="A119" s="5" t="s">
        <v>5</v>
      </c>
      <c r="B119" s="3">
        <v>118</v>
      </c>
      <c r="C119" s="5" t="s">
        <v>5</v>
      </c>
      <c r="D119" s="3"/>
    </row>
    <row r="120" spans="1:5" x14ac:dyDescent="0.15">
      <c r="A120" s="5" t="s">
        <v>5</v>
      </c>
      <c r="B120" s="3">
        <v>119</v>
      </c>
      <c r="C120" s="5" t="s">
        <v>104</v>
      </c>
      <c r="D120" s="3"/>
    </row>
    <row r="121" spans="1:5" x14ac:dyDescent="0.15">
      <c r="A121" s="5" t="s">
        <v>5</v>
      </c>
      <c r="B121" s="3">
        <v>120</v>
      </c>
      <c r="C121" s="5" t="s">
        <v>105</v>
      </c>
      <c r="D121" s="3"/>
    </row>
    <row r="122" spans="1:5" x14ac:dyDescent="0.15">
      <c r="A122" s="5" t="s">
        <v>5</v>
      </c>
      <c r="B122" s="3">
        <v>121</v>
      </c>
      <c r="C122" s="5" t="s">
        <v>106</v>
      </c>
      <c r="D122" s="3"/>
      <c r="E122" s="4"/>
    </row>
    <row r="123" spans="1:5" x14ac:dyDescent="0.15">
      <c r="A123" s="5" t="s">
        <v>5</v>
      </c>
      <c r="B123" s="3">
        <v>122</v>
      </c>
      <c r="C123" s="5" t="s">
        <v>107</v>
      </c>
      <c r="D123" s="3" t="s">
        <v>225</v>
      </c>
    </row>
    <row r="124" spans="1:5" x14ac:dyDescent="0.15">
      <c r="A124" s="5" t="s">
        <v>204</v>
      </c>
      <c r="B124" s="3">
        <v>123</v>
      </c>
      <c r="C124" s="5" t="s">
        <v>108</v>
      </c>
      <c r="D124" s="3"/>
    </row>
    <row r="125" spans="1:5" x14ac:dyDescent="0.15">
      <c r="A125" s="5" t="s">
        <v>204</v>
      </c>
      <c r="B125" s="3">
        <v>124</v>
      </c>
      <c r="C125" s="5" t="s">
        <v>109</v>
      </c>
      <c r="D125" s="3"/>
    </row>
    <row r="126" spans="1:5" x14ac:dyDescent="0.15">
      <c r="A126" s="5" t="s">
        <v>204</v>
      </c>
      <c r="B126" s="3">
        <v>125</v>
      </c>
      <c r="C126" s="5" t="s">
        <v>110</v>
      </c>
      <c r="D126" s="3"/>
    </row>
    <row r="127" spans="1:5" x14ac:dyDescent="0.15">
      <c r="A127" s="5" t="s">
        <v>204</v>
      </c>
      <c r="B127" s="3">
        <v>126</v>
      </c>
      <c r="C127" s="5" t="s">
        <v>111</v>
      </c>
      <c r="D127" s="3"/>
    </row>
    <row r="128" spans="1:5" x14ac:dyDescent="0.15">
      <c r="A128" s="5" t="s">
        <v>204</v>
      </c>
      <c r="B128" s="3">
        <v>127</v>
      </c>
      <c r="C128" s="5" t="s">
        <v>112</v>
      </c>
      <c r="D128" s="3"/>
    </row>
    <row r="129" spans="1:5" x14ac:dyDescent="0.15">
      <c r="A129" s="5" t="s">
        <v>204</v>
      </c>
      <c r="B129" s="3">
        <v>128</v>
      </c>
      <c r="C129" s="5" t="s">
        <v>113</v>
      </c>
      <c r="D129" s="3"/>
    </row>
    <row r="130" spans="1:5" x14ac:dyDescent="0.15">
      <c r="A130" s="5" t="s">
        <v>204</v>
      </c>
      <c r="B130" s="3">
        <v>129</v>
      </c>
      <c r="C130" s="5" t="s">
        <v>114</v>
      </c>
      <c r="D130" s="3"/>
    </row>
    <row r="131" spans="1:5" x14ac:dyDescent="0.15">
      <c r="A131" s="5" t="s">
        <v>204</v>
      </c>
      <c r="B131" s="3">
        <v>130</v>
      </c>
      <c r="C131" s="5" t="s">
        <v>115</v>
      </c>
      <c r="D131" s="3"/>
    </row>
    <row r="132" spans="1:5" x14ac:dyDescent="0.15">
      <c r="A132" s="5" t="s">
        <v>204</v>
      </c>
      <c r="B132" s="3">
        <v>131</v>
      </c>
      <c r="C132" s="5" t="s">
        <v>116</v>
      </c>
      <c r="D132" s="3"/>
    </row>
    <row r="133" spans="1:5" x14ac:dyDescent="0.15">
      <c r="A133" s="5" t="s">
        <v>204</v>
      </c>
      <c r="B133" s="3">
        <v>132</v>
      </c>
      <c r="C133" s="5" t="s">
        <v>117</v>
      </c>
      <c r="D133" s="5"/>
    </row>
    <row r="134" spans="1:5" x14ac:dyDescent="0.15">
      <c r="A134" s="5" t="s">
        <v>204</v>
      </c>
      <c r="B134" s="3">
        <v>133</v>
      </c>
      <c r="C134" s="5" t="s">
        <v>118</v>
      </c>
      <c r="D134" s="3"/>
    </row>
    <row r="135" spans="1:5" x14ac:dyDescent="0.15">
      <c r="A135" s="5" t="s">
        <v>6</v>
      </c>
      <c r="B135" s="3">
        <v>134</v>
      </c>
      <c r="C135" s="5" t="s">
        <v>119</v>
      </c>
      <c r="D135" s="3"/>
    </row>
    <row r="136" spans="1:5" x14ac:dyDescent="0.15">
      <c r="A136" s="5" t="s">
        <v>6</v>
      </c>
      <c r="B136" s="3">
        <v>135</v>
      </c>
      <c r="C136" s="5" t="s">
        <v>120</v>
      </c>
      <c r="D136" s="3"/>
    </row>
    <row r="137" spans="1:5" x14ac:dyDescent="0.15">
      <c r="A137" s="5" t="s">
        <v>6</v>
      </c>
      <c r="B137" s="3">
        <v>136</v>
      </c>
      <c r="C137" s="5" t="s">
        <v>121</v>
      </c>
      <c r="D137" s="3"/>
    </row>
    <row r="138" spans="1:5" x14ac:dyDescent="0.15">
      <c r="A138" s="5" t="s">
        <v>6</v>
      </c>
      <c r="B138" s="3">
        <v>137</v>
      </c>
      <c r="C138" s="5" t="s">
        <v>122</v>
      </c>
      <c r="D138" s="3"/>
      <c r="E138" s="4"/>
    </row>
    <row r="139" spans="1:5" x14ac:dyDescent="0.15">
      <c r="A139" s="5" t="s">
        <v>6</v>
      </c>
      <c r="B139" s="3">
        <v>138</v>
      </c>
      <c r="C139" s="5" t="s">
        <v>123</v>
      </c>
      <c r="D139" s="3"/>
    </row>
    <row r="140" spans="1:5" x14ac:dyDescent="0.15">
      <c r="A140" s="5" t="s">
        <v>6</v>
      </c>
      <c r="B140" s="3">
        <v>139</v>
      </c>
      <c r="C140" s="5" t="s">
        <v>124</v>
      </c>
      <c r="D140" s="3"/>
    </row>
    <row r="141" spans="1:5" x14ac:dyDescent="0.15">
      <c r="A141" s="5" t="s">
        <v>6</v>
      </c>
      <c r="B141" s="3">
        <v>140</v>
      </c>
      <c r="C141" s="5" t="s">
        <v>125</v>
      </c>
      <c r="D141" s="3"/>
    </row>
    <row r="142" spans="1:5" x14ac:dyDescent="0.15">
      <c r="A142" s="5" t="s">
        <v>6</v>
      </c>
      <c r="B142" s="3">
        <v>141</v>
      </c>
      <c r="C142" s="5" t="s">
        <v>126</v>
      </c>
      <c r="D142" s="3"/>
    </row>
    <row r="143" spans="1:5" x14ac:dyDescent="0.15">
      <c r="A143" s="5" t="s">
        <v>205</v>
      </c>
      <c r="B143" s="3">
        <v>142</v>
      </c>
      <c r="C143" s="5" t="s">
        <v>127</v>
      </c>
      <c r="D143" s="3"/>
    </row>
    <row r="144" spans="1:5" x14ac:dyDescent="0.15">
      <c r="A144" s="5" t="s">
        <v>205</v>
      </c>
      <c r="B144" s="3">
        <v>143</v>
      </c>
      <c r="C144" s="5" t="s">
        <v>128</v>
      </c>
      <c r="D144" s="3"/>
    </row>
    <row r="145" spans="1:5" x14ac:dyDescent="0.15">
      <c r="A145" s="5" t="s">
        <v>205</v>
      </c>
      <c r="B145" s="3">
        <v>144</v>
      </c>
      <c r="C145" s="5" t="s">
        <v>129</v>
      </c>
      <c r="D145" s="3"/>
    </row>
    <row r="146" spans="1:5" x14ac:dyDescent="0.15">
      <c r="A146" s="5" t="s">
        <v>205</v>
      </c>
      <c r="B146" s="3">
        <v>145</v>
      </c>
      <c r="C146" s="5" t="s">
        <v>130</v>
      </c>
      <c r="D146" s="3"/>
    </row>
    <row r="147" spans="1:5" x14ac:dyDescent="0.15">
      <c r="A147" s="5" t="s">
        <v>205</v>
      </c>
      <c r="B147" s="3">
        <v>146</v>
      </c>
      <c r="C147" s="5" t="s">
        <v>131</v>
      </c>
      <c r="D147" s="3"/>
    </row>
    <row r="148" spans="1:5" x14ac:dyDescent="0.15">
      <c r="A148" s="5" t="s">
        <v>205</v>
      </c>
      <c r="B148" s="3">
        <v>147</v>
      </c>
      <c r="C148" s="5" t="s">
        <v>132</v>
      </c>
      <c r="D148" s="3"/>
    </row>
    <row r="149" spans="1:5" x14ac:dyDescent="0.15">
      <c r="A149" s="5" t="s">
        <v>6</v>
      </c>
      <c r="B149" s="3">
        <v>148</v>
      </c>
      <c r="C149" s="5" t="s">
        <v>6</v>
      </c>
      <c r="D149" s="3"/>
    </row>
    <row r="150" spans="1:5" x14ac:dyDescent="0.15">
      <c r="A150" s="5" t="s">
        <v>6</v>
      </c>
      <c r="B150" s="3">
        <v>149</v>
      </c>
      <c r="C150" s="5" t="s">
        <v>133</v>
      </c>
      <c r="D150" s="3"/>
    </row>
    <row r="151" spans="1:5" x14ac:dyDescent="0.15">
      <c r="A151" s="5" t="s">
        <v>6</v>
      </c>
      <c r="B151" s="3">
        <v>150</v>
      </c>
      <c r="C151" s="5" t="s">
        <v>134</v>
      </c>
      <c r="D151" s="3"/>
    </row>
    <row r="152" spans="1:5" x14ac:dyDescent="0.15">
      <c r="A152" s="5" t="s">
        <v>6</v>
      </c>
      <c r="B152" s="3">
        <v>151</v>
      </c>
      <c r="C152" s="5" t="s">
        <v>135</v>
      </c>
      <c r="D152" s="5" t="s">
        <v>194</v>
      </c>
    </row>
    <row r="153" spans="1:5" x14ac:dyDescent="0.15">
      <c r="A153" s="5" t="s">
        <v>6</v>
      </c>
      <c r="B153" s="3">
        <v>152</v>
      </c>
      <c r="C153" s="5" t="s">
        <v>136</v>
      </c>
      <c r="D153" s="3"/>
    </row>
    <row r="154" spans="1:5" x14ac:dyDescent="0.15">
      <c r="A154" s="5" t="s">
        <v>206</v>
      </c>
      <c r="B154" s="3">
        <v>153</v>
      </c>
      <c r="C154" s="5" t="s">
        <v>137</v>
      </c>
      <c r="D154" s="5" t="s">
        <v>226</v>
      </c>
    </row>
    <row r="155" spans="1:5" x14ac:dyDescent="0.15">
      <c r="A155" s="5" t="s">
        <v>206</v>
      </c>
      <c r="B155" s="3">
        <v>154</v>
      </c>
      <c r="C155" s="5" t="s">
        <v>243</v>
      </c>
      <c r="D155" s="3"/>
    </row>
    <row r="156" spans="1:5" x14ac:dyDescent="0.15">
      <c r="A156" s="5" t="s">
        <v>206</v>
      </c>
      <c r="B156" s="3">
        <v>155</v>
      </c>
      <c r="C156" s="5" t="s">
        <v>244</v>
      </c>
      <c r="D156" s="3"/>
    </row>
    <row r="157" spans="1:5" x14ac:dyDescent="0.15">
      <c r="A157" s="5" t="s">
        <v>206</v>
      </c>
      <c r="B157" s="3">
        <v>156</v>
      </c>
      <c r="C157" s="5" t="s">
        <v>245</v>
      </c>
      <c r="D157" s="3"/>
      <c r="E157" s="4"/>
    </row>
    <row r="158" spans="1:5" x14ac:dyDescent="0.15">
      <c r="A158" s="5" t="s">
        <v>206</v>
      </c>
      <c r="B158" s="3">
        <v>157</v>
      </c>
      <c r="C158" s="5" t="s">
        <v>246</v>
      </c>
      <c r="D158" s="3"/>
    </row>
    <row r="159" spans="1:5" x14ac:dyDescent="0.15">
      <c r="A159" s="5" t="s">
        <v>206</v>
      </c>
      <c r="B159" s="3">
        <v>158</v>
      </c>
      <c r="C159" s="5" t="s">
        <v>138</v>
      </c>
      <c r="D159" s="3"/>
      <c r="E159" s="4"/>
    </row>
    <row r="160" spans="1:5" x14ac:dyDescent="0.15">
      <c r="A160" s="5" t="s">
        <v>207</v>
      </c>
      <c r="B160" s="3">
        <v>159</v>
      </c>
      <c r="C160" s="5" t="s">
        <v>139</v>
      </c>
      <c r="D160" s="3"/>
    </row>
    <row r="161" spans="1:5" x14ac:dyDescent="0.15">
      <c r="A161" s="5" t="s">
        <v>207</v>
      </c>
      <c r="B161" s="3">
        <v>160</v>
      </c>
      <c r="C161" s="5" t="s">
        <v>140</v>
      </c>
      <c r="D161" s="3"/>
    </row>
    <row r="162" spans="1:5" x14ac:dyDescent="0.15">
      <c r="A162" s="5" t="s">
        <v>207</v>
      </c>
      <c r="B162" s="3">
        <v>161</v>
      </c>
      <c r="C162" s="5" t="s">
        <v>141</v>
      </c>
      <c r="D162" s="3"/>
    </row>
    <row r="163" spans="1:5" x14ac:dyDescent="0.15">
      <c r="A163" s="5" t="s">
        <v>207</v>
      </c>
      <c r="B163" s="3">
        <v>162</v>
      </c>
      <c r="C163" s="5" t="s">
        <v>142</v>
      </c>
      <c r="D163" s="5" t="s">
        <v>194</v>
      </c>
    </row>
    <row r="164" spans="1:5" x14ac:dyDescent="0.15">
      <c r="A164" s="5" t="s">
        <v>207</v>
      </c>
      <c r="B164" s="3">
        <v>163</v>
      </c>
      <c r="C164" s="5" t="s">
        <v>143</v>
      </c>
      <c r="D164" s="3" t="s">
        <v>227</v>
      </c>
    </row>
    <row r="165" spans="1:5" x14ac:dyDescent="0.15">
      <c r="A165" s="5" t="s">
        <v>207</v>
      </c>
      <c r="B165" s="3">
        <v>164</v>
      </c>
      <c r="C165" s="5" t="s">
        <v>10</v>
      </c>
      <c r="D165" s="3"/>
    </row>
    <row r="166" spans="1:5" x14ac:dyDescent="0.15">
      <c r="A166" s="5" t="s">
        <v>207</v>
      </c>
      <c r="B166" s="3">
        <v>165</v>
      </c>
      <c r="C166" s="5" t="s">
        <v>11</v>
      </c>
      <c r="D166" s="3"/>
    </row>
    <row r="167" spans="1:5" x14ac:dyDescent="0.15">
      <c r="A167" s="5" t="s">
        <v>207</v>
      </c>
      <c r="B167" s="3">
        <v>166</v>
      </c>
      <c r="C167" s="5" t="s">
        <v>12</v>
      </c>
      <c r="D167" s="3"/>
      <c r="E167" s="4"/>
    </row>
    <row r="168" spans="1:5" x14ac:dyDescent="0.15">
      <c r="A168" s="5" t="s">
        <v>207</v>
      </c>
      <c r="B168" s="3">
        <v>167</v>
      </c>
      <c r="C168" s="5" t="s">
        <v>144</v>
      </c>
      <c r="D168" s="5" t="s">
        <v>194</v>
      </c>
    </row>
    <row r="169" spans="1:5" x14ac:dyDescent="0.15">
      <c r="A169" s="5" t="s">
        <v>207</v>
      </c>
      <c r="B169" s="3">
        <v>168</v>
      </c>
      <c r="C169" s="5" t="s">
        <v>145</v>
      </c>
      <c r="D169" s="3" t="s">
        <v>228</v>
      </c>
    </row>
    <row r="170" spans="1:5" x14ac:dyDescent="0.15">
      <c r="A170" s="5" t="s">
        <v>207</v>
      </c>
      <c r="B170" s="3">
        <v>169</v>
      </c>
      <c r="C170" s="5" t="s">
        <v>146</v>
      </c>
      <c r="D170" s="3"/>
    </row>
    <row r="171" spans="1:5" x14ac:dyDescent="0.15">
      <c r="A171" s="5" t="s">
        <v>7</v>
      </c>
      <c r="B171" s="3">
        <v>170</v>
      </c>
      <c r="C171" s="5" t="s">
        <v>7</v>
      </c>
      <c r="D171" s="3"/>
    </row>
    <row r="172" spans="1:5" x14ac:dyDescent="0.15">
      <c r="A172" s="5" t="s">
        <v>7</v>
      </c>
      <c r="B172" s="3">
        <v>171</v>
      </c>
      <c r="C172" s="5" t="s">
        <v>147</v>
      </c>
      <c r="D172" s="3"/>
      <c r="E172" s="4"/>
    </row>
    <row r="173" spans="1:5" x14ac:dyDescent="0.15">
      <c r="A173" s="5" t="s">
        <v>7</v>
      </c>
      <c r="B173" s="3">
        <v>172</v>
      </c>
      <c r="C173" s="5" t="s">
        <v>148</v>
      </c>
      <c r="D173" s="3"/>
    </row>
    <row r="174" spans="1:5" x14ac:dyDescent="0.15">
      <c r="A174" s="5" t="s">
        <v>7</v>
      </c>
      <c r="B174" s="3">
        <v>173</v>
      </c>
      <c r="C174" s="5" t="s">
        <v>149</v>
      </c>
      <c r="D174" s="3"/>
    </row>
    <row r="175" spans="1:5" x14ac:dyDescent="0.15">
      <c r="A175" s="5" t="s">
        <v>7</v>
      </c>
      <c r="B175" s="3">
        <v>174</v>
      </c>
      <c r="C175" s="5" t="s">
        <v>150</v>
      </c>
      <c r="D175" s="3"/>
    </row>
    <row r="176" spans="1:5" x14ac:dyDescent="0.15">
      <c r="A176" s="5" t="s">
        <v>7</v>
      </c>
      <c r="B176" s="3">
        <v>175</v>
      </c>
      <c r="C176" s="5" t="s">
        <v>151</v>
      </c>
      <c r="D176" s="3"/>
    </row>
    <row r="177" spans="1:4" x14ac:dyDescent="0.15">
      <c r="A177" s="5" t="s">
        <v>215</v>
      </c>
      <c r="B177" s="3">
        <v>176</v>
      </c>
      <c r="C177" s="3" t="s">
        <v>155</v>
      </c>
      <c r="D177" s="3" t="s">
        <v>229</v>
      </c>
    </row>
    <row r="178" spans="1:4" x14ac:dyDescent="0.15">
      <c r="A178" s="5" t="s">
        <v>215</v>
      </c>
      <c r="B178" s="3">
        <v>177</v>
      </c>
      <c r="C178" s="3" t="s">
        <v>156</v>
      </c>
      <c r="D178" s="3" t="s">
        <v>230</v>
      </c>
    </row>
    <row r="179" spans="1:4" x14ac:dyDescent="0.15">
      <c r="A179" s="5" t="s">
        <v>215</v>
      </c>
      <c r="B179" s="3">
        <v>178</v>
      </c>
      <c r="C179" s="5" t="s">
        <v>262</v>
      </c>
      <c r="D179" s="5" t="s">
        <v>284</v>
      </c>
    </row>
    <row r="180" spans="1:4" x14ac:dyDescent="0.15">
      <c r="A180" s="5" t="s">
        <v>215</v>
      </c>
      <c r="B180" s="3">
        <v>179</v>
      </c>
      <c r="C180" s="3" t="s">
        <v>160</v>
      </c>
      <c r="D180" s="3" t="s">
        <v>231</v>
      </c>
    </row>
    <row r="181" spans="1:4" x14ac:dyDescent="0.15">
      <c r="A181" s="5" t="s">
        <v>215</v>
      </c>
      <c r="B181" s="3">
        <v>180</v>
      </c>
      <c r="C181" s="3" t="s">
        <v>161</v>
      </c>
      <c r="D181" s="3" t="s">
        <v>232</v>
      </c>
    </row>
    <row r="182" spans="1:4" x14ac:dyDescent="0.15">
      <c r="A182" s="5" t="s">
        <v>215</v>
      </c>
      <c r="B182" s="3">
        <v>181</v>
      </c>
      <c r="C182" s="3" t="s">
        <v>209</v>
      </c>
      <c r="D182" s="3"/>
    </row>
    <row r="183" spans="1:4" x14ac:dyDescent="0.15">
      <c r="A183" s="5"/>
      <c r="B183" s="8"/>
      <c r="C183" s="3"/>
      <c r="D183" s="3"/>
    </row>
    <row r="184" spans="1:4" x14ac:dyDescent="0.15">
      <c r="A184" s="5"/>
      <c r="B184" s="8"/>
      <c r="C184" s="3"/>
      <c r="D184" s="3"/>
    </row>
    <row r="185" spans="1:4" x14ac:dyDescent="0.15">
      <c r="A185" s="5"/>
      <c r="B185" s="8"/>
      <c r="C185" s="3"/>
      <c r="D185" s="3"/>
    </row>
    <row r="186" spans="1:4" x14ac:dyDescent="0.15">
      <c r="A186" s="5"/>
      <c r="B186" s="8"/>
      <c r="C186" s="3"/>
      <c r="D186" s="3"/>
    </row>
    <row r="187" spans="1:4" x14ac:dyDescent="0.15">
      <c r="A187" s="5"/>
      <c r="B187" s="8"/>
      <c r="C187" s="3"/>
      <c r="D187" s="3"/>
    </row>
    <row r="188" spans="1:4" x14ac:dyDescent="0.15">
      <c r="A188" s="5"/>
      <c r="B188" s="8"/>
      <c r="C188" s="3"/>
      <c r="D188" s="3"/>
    </row>
    <row r="189" spans="1:4" x14ac:dyDescent="0.15">
      <c r="A189" s="5"/>
      <c r="B189" s="8"/>
      <c r="C189" s="3"/>
      <c r="D189" s="3"/>
    </row>
    <row r="190" spans="1:4" x14ac:dyDescent="0.15">
      <c r="A190" s="5"/>
      <c r="B190" s="8"/>
      <c r="C190" s="3"/>
      <c r="D190" s="3"/>
    </row>
    <row r="191" spans="1:4" x14ac:dyDescent="0.15">
      <c r="A191" s="5"/>
      <c r="B191" s="8"/>
      <c r="C191" s="3"/>
      <c r="D191" s="3"/>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Bärbel Hönisch</cp:lastModifiedBy>
  <dcterms:created xsi:type="dcterms:W3CDTF">2019-05-23T14:21:52Z</dcterms:created>
  <dcterms:modified xsi:type="dcterms:W3CDTF">2020-07-08T22:29:10Z</dcterms:modified>
</cp:coreProperties>
</file>