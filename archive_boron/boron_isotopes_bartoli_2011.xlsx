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2"/>
  <workbookPr/>
  <mc:AlternateContent xmlns:mc="http://schemas.openxmlformats.org/markup-compatibility/2006">
    <mc:Choice Requires="x15">
      <x15ac:absPath xmlns:x15ac="http://schemas.microsoft.com/office/spreadsheetml/2010/11/ac" url="/Users/Daphnia/Desktop/paleo-CO2 data base/archive/archive data files September 2020/"/>
    </mc:Choice>
  </mc:AlternateContent>
  <xr:revisionPtr revIDLastSave="0" documentId="13_ncr:1_{DB9AC093-8CDF-BC4A-B56E-5811D7D30D5D}" xr6:coauthVersionLast="46" xr6:coauthVersionMax="46" xr10:uidLastSave="{00000000-0000-0000-0000-000000000000}"/>
  <bookViews>
    <workbookView xWindow="640" yWindow="540" windowWidth="28160" windowHeight="16240" tabRatio="500" xr2:uid="{00000000-000D-0000-FFFF-FFFF00000000}"/>
  </bookViews>
  <sheets>
    <sheet name="boron isotopes" sheetId="2" r:id="rId1"/>
    <sheet name="Column specifications" sheetId="3" r:id="rId2"/>
  </sheets>
  <calcPr calcId="191029"/>
  <extLst>
    <ext xmlns:x14="http://schemas.microsoft.com/office/spreadsheetml/2009/9/main" uri="{79F54976-1DA5-4618-B147-4CDE4B953A38}">
      <x14:workbookPr defaultImageDpi="32767"/>
    </ext>
  </extLst>
</workbook>
</file>

<file path=xl/calcChain.xml><?xml version="1.0" encoding="utf-8"?>
<calcChain xmlns="http://schemas.openxmlformats.org/spreadsheetml/2006/main">
  <c r="F4" i="2" l="1"/>
  <c r="I5" i="2" l="1"/>
  <c r="J5" i="2"/>
  <c r="I6" i="2"/>
  <c r="J6" i="2"/>
  <c r="I7" i="2"/>
  <c r="J7" i="2"/>
  <c r="I8" i="2"/>
  <c r="J8" i="2"/>
  <c r="I9" i="2"/>
  <c r="J9" i="2"/>
  <c r="I10" i="2"/>
  <c r="J10" i="2"/>
  <c r="I11" i="2"/>
  <c r="J11" i="2"/>
  <c r="I12" i="2"/>
  <c r="J12" i="2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3" i="2"/>
  <c r="J23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J30" i="2"/>
  <c r="I31" i="2"/>
  <c r="J31" i="2"/>
  <c r="I32" i="2"/>
  <c r="J32" i="2"/>
  <c r="I33" i="2"/>
  <c r="J33" i="2"/>
  <c r="I34" i="2"/>
  <c r="J34" i="2"/>
  <c r="I35" i="2"/>
  <c r="J35" i="2"/>
  <c r="I36" i="2"/>
  <c r="J36" i="2"/>
  <c r="I37" i="2"/>
  <c r="J37" i="2"/>
  <c r="I38" i="2"/>
  <c r="J38" i="2"/>
  <c r="I39" i="2"/>
  <c r="J39" i="2"/>
  <c r="I40" i="2"/>
  <c r="J40" i="2"/>
  <c r="I41" i="2"/>
  <c r="J41" i="2"/>
  <c r="I42" i="2"/>
  <c r="J42" i="2"/>
  <c r="I43" i="2"/>
  <c r="J43" i="2"/>
  <c r="I44" i="2"/>
  <c r="J44" i="2"/>
  <c r="I45" i="2"/>
  <c r="J45" i="2"/>
  <c r="I4" i="2"/>
  <c r="J4" i="2"/>
  <c r="E5" i="2"/>
  <c r="F5" i="2"/>
  <c r="G5" i="2"/>
  <c r="E6" i="2"/>
  <c r="F6" i="2"/>
  <c r="G6" i="2"/>
  <c r="E7" i="2"/>
  <c r="F7" i="2"/>
  <c r="G7" i="2"/>
  <c r="E8" i="2"/>
  <c r="F8" i="2"/>
  <c r="G8" i="2"/>
  <c r="E9" i="2"/>
  <c r="F9" i="2"/>
  <c r="G9" i="2"/>
  <c r="E10" i="2"/>
  <c r="F10" i="2"/>
  <c r="G10" i="2"/>
  <c r="E11" i="2"/>
  <c r="F11" i="2"/>
  <c r="G11" i="2"/>
  <c r="E12" i="2"/>
  <c r="F12" i="2"/>
  <c r="G12" i="2"/>
  <c r="E13" i="2"/>
  <c r="F13" i="2"/>
  <c r="G13" i="2"/>
  <c r="E14" i="2"/>
  <c r="F14" i="2"/>
  <c r="G14" i="2"/>
  <c r="E15" i="2"/>
  <c r="F15" i="2"/>
  <c r="G15" i="2"/>
  <c r="E16" i="2"/>
  <c r="F16" i="2"/>
  <c r="G16" i="2"/>
  <c r="E17" i="2"/>
  <c r="F17" i="2"/>
  <c r="G17" i="2"/>
  <c r="E18" i="2"/>
  <c r="F18" i="2"/>
  <c r="G18" i="2"/>
  <c r="E19" i="2"/>
  <c r="F19" i="2"/>
  <c r="G19" i="2"/>
  <c r="E20" i="2"/>
  <c r="F20" i="2"/>
  <c r="G20" i="2"/>
  <c r="E21" i="2"/>
  <c r="F21" i="2"/>
  <c r="G21" i="2"/>
  <c r="E22" i="2"/>
  <c r="F22" i="2"/>
  <c r="G22" i="2"/>
  <c r="E23" i="2"/>
  <c r="F23" i="2"/>
  <c r="G23" i="2"/>
  <c r="E24" i="2"/>
  <c r="F24" i="2"/>
  <c r="G24" i="2"/>
  <c r="E25" i="2"/>
  <c r="F25" i="2"/>
  <c r="G25" i="2"/>
  <c r="E26" i="2"/>
  <c r="F26" i="2"/>
  <c r="G26" i="2"/>
  <c r="E27" i="2"/>
  <c r="F27" i="2"/>
  <c r="G27" i="2"/>
  <c r="E28" i="2"/>
  <c r="F28" i="2"/>
  <c r="G28" i="2"/>
  <c r="E29" i="2"/>
  <c r="F29" i="2"/>
  <c r="G29" i="2"/>
  <c r="E30" i="2"/>
  <c r="F30" i="2"/>
  <c r="G30" i="2"/>
  <c r="E31" i="2"/>
  <c r="F31" i="2"/>
  <c r="G31" i="2"/>
  <c r="E32" i="2"/>
  <c r="F32" i="2"/>
  <c r="G32" i="2"/>
  <c r="E33" i="2"/>
  <c r="F33" i="2"/>
  <c r="G33" i="2"/>
  <c r="E34" i="2"/>
  <c r="F34" i="2"/>
  <c r="G34" i="2"/>
  <c r="E35" i="2"/>
  <c r="F35" i="2"/>
  <c r="G35" i="2"/>
  <c r="E36" i="2"/>
  <c r="F36" i="2"/>
  <c r="G36" i="2"/>
  <c r="E37" i="2"/>
  <c r="F37" i="2"/>
  <c r="G37" i="2"/>
  <c r="E38" i="2"/>
  <c r="F38" i="2"/>
  <c r="G38" i="2"/>
  <c r="E39" i="2"/>
  <c r="F39" i="2"/>
  <c r="G39" i="2"/>
  <c r="E40" i="2"/>
  <c r="F40" i="2"/>
  <c r="G40" i="2"/>
  <c r="E41" i="2"/>
  <c r="F41" i="2"/>
  <c r="G41" i="2"/>
  <c r="E42" i="2"/>
  <c r="F42" i="2"/>
  <c r="G42" i="2"/>
  <c r="E43" i="2"/>
  <c r="F43" i="2"/>
  <c r="G43" i="2"/>
  <c r="E44" i="2"/>
  <c r="F44" i="2"/>
  <c r="G44" i="2"/>
  <c r="E45" i="2"/>
  <c r="F45" i="2"/>
  <c r="G45" i="2"/>
  <c r="G4" i="2"/>
  <c r="E4" i="2"/>
  <c r="EZ45" i="2" l="1"/>
  <c r="H45" i="2" s="1"/>
  <c r="EZ44" i="2"/>
  <c r="H44" i="2" s="1"/>
  <c r="EZ43" i="2"/>
  <c r="H43" i="2" s="1"/>
  <c r="EZ42" i="2"/>
  <c r="H42" i="2" s="1"/>
  <c r="EZ41" i="2"/>
  <c r="H41" i="2" s="1"/>
  <c r="EZ40" i="2"/>
  <c r="H40" i="2" s="1"/>
  <c r="EZ39" i="2"/>
  <c r="H39" i="2" s="1"/>
  <c r="EZ38" i="2"/>
  <c r="H38" i="2" s="1"/>
  <c r="EZ37" i="2"/>
  <c r="H37" i="2" s="1"/>
  <c r="EZ36" i="2"/>
  <c r="H36" i="2" s="1"/>
  <c r="EZ35" i="2"/>
  <c r="H35" i="2" s="1"/>
  <c r="EZ34" i="2"/>
  <c r="H34" i="2" s="1"/>
  <c r="EZ33" i="2"/>
  <c r="H33" i="2" s="1"/>
  <c r="EZ32" i="2"/>
  <c r="H32" i="2" s="1"/>
  <c r="EZ31" i="2"/>
  <c r="H31" i="2" s="1"/>
  <c r="EZ30" i="2"/>
  <c r="H30" i="2" s="1"/>
  <c r="EZ29" i="2"/>
  <c r="H29" i="2" s="1"/>
  <c r="EZ28" i="2"/>
  <c r="H28" i="2" s="1"/>
  <c r="EZ27" i="2"/>
  <c r="H27" i="2" s="1"/>
  <c r="EZ26" i="2"/>
  <c r="H26" i="2" s="1"/>
  <c r="EZ25" i="2"/>
  <c r="H25" i="2" s="1"/>
  <c r="EZ24" i="2"/>
  <c r="H24" i="2" s="1"/>
  <c r="EZ23" i="2"/>
  <c r="H23" i="2" s="1"/>
  <c r="EZ22" i="2"/>
  <c r="H22" i="2" s="1"/>
  <c r="EZ21" i="2"/>
  <c r="H21" i="2" s="1"/>
  <c r="EZ20" i="2"/>
  <c r="H20" i="2" s="1"/>
  <c r="EZ19" i="2"/>
  <c r="H19" i="2" s="1"/>
  <c r="EZ18" i="2"/>
  <c r="H18" i="2" s="1"/>
  <c r="EZ17" i="2"/>
  <c r="H17" i="2" s="1"/>
  <c r="EZ16" i="2"/>
  <c r="H16" i="2" s="1"/>
  <c r="EZ15" i="2"/>
  <c r="H15" i="2" s="1"/>
  <c r="EZ14" i="2"/>
  <c r="H14" i="2" s="1"/>
  <c r="EZ13" i="2"/>
  <c r="H13" i="2" s="1"/>
  <c r="EZ12" i="2"/>
  <c r="H12" i="2" s="1"/>
  <c r="EZ11" i="2"/>
  <c r="H11" i="2" s="1"/>
  <c r="EZ10" i="2"/>
  <c r="H10" i="2" s="1"/>
  <c r="EZ9" i="2"/>
  <c r="H9" i="2" s="1"/>
  <c r="EZ8" i="2"/>
  <c r="H8" i="2" s="1"/>
  <c r="EZ7" i="2"/>
  <c r="H7" i="2" s="1"/>
  <c r="EZ6" i="2"/>
  <c r="H6" i="2" s="1"/>
  <c r="EZ5" i="2"/>
  <c r="H5" i="2" s="1"/>
  <c r="EZ4" i="2"/>
  <c r="H4" i="2" s="1"/>
  <c r="DU5" i="2" l="1"/>
  <c r="DU6" i="2"/>
  <c r="DU7" i="2"/>
  <c r="DU8" i="2"/>
  <c r="DU9" i="2"/>
  <c r="DU10" i="2"/>
  <c r="DU11" i="2"/>
  <c r="DU12" i="2"/>
  <c r="DU13" i="2"/>
  <c r="DU14" i="2"/>
  <c r="DU15" i="2"/>
  <c r="DU16" i="2"/>
  <c r="DU17" i="2"/>
  <c r="DU18" i="2"/>
  <c r="DU19" i="2"/>
  <c r="DU20" i="2"/>
  <c r="DU21" i="2"/>
  <c r="DU22" i="2"/>
  <c r="DU23" i="2"/>
  <c r="DU24" i="2"/>
  <c r="DU25" i="2"/>
  <c r="DU26" i="2"/>
  <c r="DU27" i="2"/>
  <c r="DU28" i="2"/>
  <c r="DU29" i="2"/>
  <c r="DU30" i="2"/>
  <c r="DU31" i="2"/>
  <c r="DU32" i="2"/>
  <c r="DU33" i="2"/>
  <c r="DU34" i="2"/>
  <c r="DU35" i="2"/>
  <c r="DU36" i="2"/>
  <c r="DU37" i="2"/>
  <c r="DU38" i="2"/>
  <c r="DU39" i="2"/>
  <c r="DU40" i="2"/>
  <c r="DU41" i="2"/>
  <c r="DU42" i="2"/>
  <c r="DU43" i="2"/>
  <c r="DU44" i="2"/>
  <c r="DU45" i="2"/>
  <c r="DU4" i="2"/>
  <c r="DK5" i="2"/>
  <c r="DK6" i="2"/>
  <c r="DK7" i="2"/>
  <c r="DK8" i="2"/>
  <c r="DK9" i="2"/>
  <c r="DK10" i="2"/>
  <c r="DK11" i="2"/>
  <c r="DK12" i="2"/>
  <c r="DK13" i="2"/>
  <c r="DK14" i="2"/>
  <c r="DK15" i="2"/>
  <c r="DK16" i="2"/>
  <c r="DK17" i="2"/>
  <c r="DK18" i="2"/>
  <c r="DK19" i="2"/>
  <c r="DK20" i="2"/>
  <c r="DK21" i="2"/>
  <c r="DK22" i="2"/>
  <c r="DK23" i="2"/>
  <c r="DK24" i="2"/>
  <c r="DK25" i="2"/>
  <c r="DK26" i="2"/>
  <c r="DK27" i="2"/>
  <c r="DK28" i="2"/>
  <c r="DK29" i="2"/>
  <c r="DK30" i="2"/>
  <c r="DK31" i="2"/>
  <c r="DK32" i="2"/>
  <c r="DK33" i="2"/>
  <c r="DK34" i="2"/>
  <c r="DK35" i="2"/>
  <c r="DK36" i="2"/>
  <c r="DK37" i="2"/>
  <c r="DK38" i="2"/>
  <c r="DK39" i="2"/>
  <c r="DK40" i="2"/>
  <c r="DK41" i="2"/>
  <c r="DK42" i="2"/>
  <c r="DK43" i="2"/>
  <c r="DK44" i="2"/>
  <c r="DK45" i="2"/>
  <c r="DK4" i="2"/>
</calcChain>
</file>

<file path=xl/sharedStrings.xml><?xml version="1.0" encoding="utf-8"?>
<sst xmlns="http://schemas.openxmlformats.org/spreadsheetml/2006/main" count="5376" uniqueCount="259">
  <si>
    <r>
      <rPr>
        <vertAlign val="superscript"/>
        <sz val="10"/>
        <rFont val="Verdana"/>
        <family val="2"/>
      </rPr>
      <t>a</t>
    </r>
    <r>
      <rPr>
        <sz val="12"/>
        <color theme="1"/>
        <rFont val="Calibri"/>
        <family val="2"/>
        <scheme val="minor"/>
      </rPr>
      <t>for definitions of CSF-A, CSF-B and CCSF, please see: https://www.iodp.org/policies-and-guidelines/142-iodp-depth-scales-terminology-april-2011/file</t>
    </r>
  </si>
  <si>
    <t>REFERENCE AND CONTACT INFORMATION</t>
  </si>
  <si>
    <t>SAMPLE IDENTIFICATION</t>
  </si>
  <si>
    <t>AGE CONSTRAINTS</t>
  </si>
  <si>
    <t>ANALYTICAL SPECIFICATIONS</t>
  </si>
  <si>
    <t>VITAL EFFECT</t>
    <phoneticPr fontId="0" type="noConversion"/>
  </si>
  <si>
    <r>
      <rPr>
        <b/>
        <sz val="12"/>
        <rFont val="Calibri (Body)"/>
      </rPr>
      <t>CALCULATED</t>
    </r>
    <r>
      <rPr>
        <b/>
        <sz val="12"/>
        <rFont val="Symbol"/>
        <charset val="2"/>
      </rPr>
      <t xml:space="preserve"> d</t>
    </r>
    <r>
      <rPr>
        <b/>
        <vertAlign val="superscript"/>
        <sz val="12"/>
        <rFont val="Verdana"/>
        <family val="2"/>
      </rPr>
      <t>11</t>
    </r>
    <r>
      <rPr>
        <b/>
        <sz val="12"/>
        <rFont val="Verdana"/>
        <family val="2"/>
      </rPr>
      <t>B</t>
    </r>
    <r>
      <rPr>
        <b/>
        <vertAlign val="subscript"/>
        <sz val="12"/>
        <rFont val="Verdana"/>
        <family val="2"/>
      </rPr>
      <t>borate</t>
    </r>
  </si>
  <si>
    <t>ACCESSORY INPUTS</t>
  </si>
  <si>
    <t>METHOD OF TEMPERATURE DETERMINATION</t>
  </si>
  <si>
    <t>ALTERNATIVE METHOD OF TEMPERATURE RECONSTRUCTION</t>
  </si>
  <si>
    <t>SEAWATER COMPOSITION</t>
  </si>
  <si>
    <t>AQUEOUS BORON ISOTOPE FRACTIONATION</t>
  </si>
  <si>
    <r>
      <t>PARAMETERIZATION OF CO</t>
    </r>
    <r>
      <rPr>
        <b/>
        <vertAlign val="subscript"/>
        <sz val="12"/>
        <color indexed="8"/>
        <rFont val="Calibri"/>
        <family val="2"/>
      </rPr>
      <t>2</t>
    </r>
    <r>
      <rPr>
        <b/>
        <sz val="12"/>
        <color indexed="8"/>
        <rFont val="Calibri"/>
        <family val="2"/>
      </rPr>
      <t xml:space="preserve"> CALCULATION</t>
    </r>
  </si>
  <si>
    <t>SECOND PARAMETER OF THE CARBONATE SYSTEM</t>
  </si>
  <si>
    <t>CALCULATED PARAMETERS OF THE CARBONATE SYSTEM</t>
  </si>
  <si>
    <t>alternative Age (in case different models are available)</t>
  </si>
  <si>
    <r>
      <rPr>
        <sz val="12"/>
        <rFont val="Symbol"/>
        <charset val="2"/>
      </rPr>
      <t>d</t>
    </r>
    <r>
      <rPr>
        <vertAlign val="superscript"/>
        <sz val="12"/>
        <rFont val="Verdana"/>
        <family val="2"/>
      </rPr>
      <t>11</t>
    </r>
    <r>
      <rPr>
        <sz val="12"/>
        <rFont val="Verdana"/>
        <family val="2"/>
      </rPr>
      <t>B (relative to SRM 951)</t>
    </r>
  </si>
  <si>
    <r>
      <rPr>
        <b/>
        <sz val="12"/>
        <color indexed="8"/>
        <rFont val="Symbol"/>
        <charset val="2"/>
      </rPr>
      <t>d</t>
    </r>
    <r>
      <rPr>
        <b/>
        <vertAlign val="superscript"/>
        <sz val="12"/>
        <color indexed="8"/>
        <rFont val="Verdana"/>
        <family val="2"/>
      </rPr>
      <t>11</t>
    </r>
    <r>
      <rPr>
        <b/>
        <sz val="12"/>
        <color indexed="8"/>
        <rFont val="Verdana"/>
        <family val="2"/>
      </rPr>
      <t>B</t>
    </r>
    <r>
      <rPr>
        <b/>
        <vertAlign val="subscript"/>
        <sz val="12"/>
        <color indexed="8"/>
        <rFont val="Verdana"/>
        <family val="2"/>
      </rPr>
      <t>c</t>
    </r>
    <r>
      <rPr>
        <b/>
        <sz val="12"/>
        <color indexed="8"/>
        <rFont val="Verdana"/>
        <family val="2"/>
      </rPr>
      <t>/</t>
    </r>
    <r>
      <rPr>
        <b/>
        <sz val="12"/>
        <color indexed="8"/>
        <rFont val="Symbol"/>
        <charset val="2"/>
      </rPr>
      <t>d</t>
    </r>
    <r>
      <rPr>
        <b/>
        <vertAlign val="superscript"/>
        <sz val="12"/>
        <color indexed="8"/>
        <rFont val="Verdana"/>
        <family val="2"/>
      </rPr>
      <t>11</t>
    </r>
    <r>
      <rPr>
        <b/>
        <sz val="12"/>
        <color indexed="8"/>
        <rFont val="Verdana"/>
        <family val="2"/>
      </rPr>
      <t>B</t>
    </r>
    <r>
      <rPr>
        <b/>
        <vertAlign val="subscript"/>
        <sz val="12"/>
        <color indexed="8"/>
        <rFont val="Verdana"/>
        <family val="2"/>
      </rPr>
      <t>borate</t>
    </r>
    <r>
      <rPr>
        <b/>
        <sz val="12"/>
        <color indexed="8"/>
        <rFont val="Verdana"/>
        <family val="2"/>
      </rPr>
      <t xml:space="preserve"> calibration slope</t>
    </r>
  </si>
  <si>
    <r>
      <rPr>
        <b/>
        <sz val="12"/>
        <rFont val="Symbol"/>
        <charset val="2"/>
      </rPr>
      <t>d</t>
    </r>
    <r>
      <rPr>
        <b/>
        <vertAlign val="superscript"/>
        <sz val="12"/>
        <rFont val="Verdana"/>
        <family val="2"/>
      </rPr>
      <t>11</t>
    </r>
    <r>
      <rPr>
        <b/>
        <sz val="12"/>
        <rFont val="Verdana"/>
        <family val="2"/>
      </rPr>
      <t>B</t>
    </r>
    <r>
      <rPr>
        <b/>
        <vertAlign val="subscript"/>
        <sz val="12"/>
        <rFont val="Verdana"/>
        <family val="2"/>
      </rPr>
      <t>c</t>
    </r>
    <r>
      <rPr>
        <b/>
        <sz val="12"/>
        <rFont val="Verdana"/>
        <family val="2"/>
      </rPr>
      <t>/</t>
    </r>
    <r>
      <rPr>
        <b/>
        <sz val="12"/>
        <rFont val="Symbol"/>
        <charset val="2"/>
      </rPr>
      <t>d</t>
    </r>
    <r>
      <rPr>
        <b/>
        <vertAlign val="superscript"/>
        <sz val="12"/>
        <rFont val="Verdana"/>
        <family val="2"/>
      </rPr>
      <t>11</t>
    </r>
    <r>
      <rPr>
        <b/>
        <sz val="12"/>
        <rFont val="Verdana"/>
        <family val="2"/>
      </rPr>
      <t>B</t>
    </r>
    <r>
      <rPr>
        <b/>
        <vertAlign val="subscript"/>
        <sz val="12"/>
        <rFont val="Verdana"/>
        <family val="2"/>
      </rPr>
      <t>borate</t>
    </r>
    <r>
      <rPr>
        <b/>
        <sz val="12"/>
        <rFont val="Verdana"/>
        <family val="2"/>
      </rPr>
      <t xml:space="preserve"> calibration intercept</t>
    </r>
  </si>
  <si>
    <t>pressure (i.e. depth of foraminifer habitat)</t>
  </si>
  <si>
    <t xml:space="preserve">Temperature </t>
  </si>
  <si>
    <t xml:space="preserve"> Mg/Ca</t>
  </si>
  <si>
    <t>e.g., Alkenone UK'37, TEX 86</t>
  </si>
  <si>
    <t>Salinity</t>
  </si>
  <si>
    <t>[Ca] of seawater at S=35</t>
  </si>
  <si>
    <t>[Mg] of seawater at S=35</t>
  </si>
  <si>
    <t>[SO4] of seawater at S=35</t>
  </si>
  <si>
    <r>
      <t>[B]</t>
    </r>
    <r>
      <rPr>
        <b/>
        <vertAlign val="subscript"/>
        <sz val="12"/>
        <rFont val="Verdana"/>
        <family val="2"/>
      </rPr>
      <t>T</t>
    </r>
    <r>
      <rPr>
        <b/>
        <sz val="12"/>
        <rFont val="Verdana"/>
        <family val="2"/>
      </rPr>
      <t xml:space="preserve"> of seawater at S=35</t>
    </r>
  </si>
  <si>
    <r>
      <rPr>
        <b/>
        <sz val="12"/>
        <color indexed="8"/>
        <rFont val="Symbol"/>
        <charset val="2"/>
      </rPr>
      <t>d</t>
    </r>
    <r>
      <rPr>
        <b/>
        <vertAlign val="superscript"/>
        <sz val="12"/>
        <color indexed="8"/>
        <rFont val="Calibri"/>
        <family val="2"/>
      </rPr>
      <t>11</t>
    </r>
    <r>
      <rPr>
        <b/>
        <sz val="12"/>
        <color indexed="8"/>
        <rFont val="Calibri"/>
        <family val="2"/>
      </rPr>
      <t>B</t>
    </r>
    <r>
      <rPr>
        <b/>
        <vertAlign val="subscript"/>
        <sz val="12"/>
        <color indexed="8"/>
        <rFont val="Calibri"/>
        <family val="2"/>
      </rPr>
      <t>sw</t>
    </r>
  </si>
  <si>
    <t>pKB</t>
  </si>
  <si>
    <r>
      <rPr>
        <b/>
        <sz val="12"/>
        <rFont val="Symbol"/>
        <charset val="2"/>
      </rPr>
      <t>a</t>
    </r>
    <r>
      <rPr>
        <b/>
        <vertAlign val="subscript"/>
        <sz val="12"/>
        <rFont val="Verdana"/>
        <family val="2"/>
      </rPr>
      <t>B3-B4</t>
    </r>
    <r>
      <rPr>
        <b/>
        <sz val="12"/>
        <rFont val="Verdana"/>
        <family val="2"/>
      </rPr>
      <t xml:space="preserve"> </t>
    </r>
  </si>
  <si>
    <t>if applicable</t>
  </si>
  <si>
    <t>Name of individual entering the data</t>
  </si>
  <si>
    <t>Contact email</t>
  </si>
  <si>
    <t>Reference of the data product</t>
  </si>
  <si>
    <t>DOI link to reference</t>
  </si>
  <si>
    <t>Site (DSDP/ODP/IODP or other site number)</t>
  </si>
  <si>
    <t>Hole</t>
  </si>
  <si>
    <t>Core</t>
  </si>
  <si>
    <t>Section</t>
  </si>
  <si>
    <t>top cm</t>
  </si>
  <si>
    <t>bottom cm</t>
  </si>
  <si>
    <r>
      <t>core depth below seafloor (meters, specify CSF-A or CSF-B where applicable, original IODP record)</t>
    </r>
    <r>
      <rPr>
        <vertAlign val="superscript"/>
        <sz val="12"/>
        <rFont val="Verdana"/>
        <family val="2"/>
      </rPr>
      <t>a</t>
    </r>
  </si>
  <si>
    <r>
      <t>core composite depth below seafloor (meters, CCSF)</t>
    </r>
    <r>
      <rPr>
        <vertAlign val="superscript"/>
        <sz val="12"/>
        <rFont val="Verdana"/>
        <family val="2"/>
      </rPr>
      <t>a</t>
    </r>
  </si>
  <si>
    <t>reference for composite depth</t>
  </si>
  <si>
    <t>Location (e.g., Atlantic, Carribbean, South China Sea etc.)</t>
  </si>
  <si>
    <t>Modern Latitude (decimal degree, south negative)</t>
  </si>
  <si>
    <t>Modern Longitude (decimal degree, west negative)</t>
  </si>
  <si>
    <t>Paleo Latitude (decimal degree, south negative)</t>
  </si>
  <si>
    <t>Paleo Longitude (decimal degree, west negative)</t>
  </si>
  <si>
    <t>Modern elevation (m), below sea level negative</t>
  </si>
  <si>
    <t>Paleo elevation (m), below sea level negative</t>
  </si>
  <si>
    <t>reference and Method to determine Paleo position</t>
  </si>
  <si>
    <t>notes about any flags in the studied core section</t>
  </si>
  <si>
    <t>type of uncertainty (e.g., set value, normal distribution, +/- range)</t>
  </si>
  <si>
    <t>Age Scale (GTS 20XX)</t>
  </si>
  <si>
    <t>age method (nannofossil biostratigraphy, radiolaria, magnetic polarity, radiometric etc.)</t>
  </si>
  <si>
    <t>reference to age model, if different from primary reference of data set</t>
  </si>
  <si>
    <t>foraminifer species analyzed</t>
  </si>
  <si>
    <t>foraminifer size class (µm)</t>
  </si>
  <si>
    <t xml:space="preserve">number of foraminifera shells per sample </t>
  </si>
  <si>
    <t>total sample weight (mg)</t>
  </si>
  <si>
    <t>Reference for sample  cleaning procedure</t>
  </si>
  <si>
    <t>Boron separation method (e.g., column chemistry, microsublimation)</t>
  </si>
  <si>
    <t>analytical Method (e.g., MC-ICP-MS, P-TIMS, N-TIMS etc)</t>
  </si>
  <si>
    <r>
      <rPr>
        <sz val="12"/>
        <color theme="1"/>
        <rFont val="Symbol"/>
        <charset val="2"/>
      </rPr>
      <t>d</t>
    </r>
    <r>
      <rPr>
        <vertAlign val="superscript"/>
        <sz val="12"/>
        <color theme="1"/>
        <rFont val="Verdana"/>
        <family val="2"/>
      </rPr>
      <t>11</t>
    </r>
    <r>
      <rPr>
        <sz val="12"/>
        <color theme="1"/>
        <rFont val="Verdana"/>
        <family val="2"/>
      </rPr>
      <t>B (‰, average of replicates)</t>
    </r>
  </si>
  <si>
    <t>type of uncertainty (e.g., set value, normal distribution, specify whether uncertainty is presented as standard deviation or standard error)</t>
  </si>
  <si>
    <r>
      <t>2</t>
    </r>
    <r>
      <rPr>
        <sz val="12"/>
        <color rgb="FF000000"/>
        <rFont val="Symbol"/>
        <charset val="2"/>
      </rPr>
      <t>s</t>
    </r>
    <r>
      <rPr>
        <sz val="12"/>
        <color rgb="FF000000"/>
        <rFont val="Verdana"/>
        <family val="2"/>
      </rPr>
      <t xml:space="preserve"> uncertainty (report internal or external reproducibility, whichever is larger)</t>
    </r>
  </si>
  <si>
    <t>slope value</t>
  </si>
  <si>
    <t>type of uncertainty (e.g., set value, normal distribution)</t>
  </si>
  <si>
    <r>
      <t>2</t>
    </r>
    <r>
      <rPr>
        <sz val="12"/>
        <color theme="1"/>
        <rFont val="Symbol"/>
        <charset val="2"/>
      </rPr>
      <t xml:space="preserve">s </t>
    </r>
    <r>
      <rPr>
        <sz val="12"/>
        <color theme="1"/>
        <rFont val="Verdana"/>
        <family val="2"/>
      </rPr>
      <t>uncertainty</t>
    </r>
  </si>
  <si>
    <t>intercept value</t>
  </si>
  <si>
    <t>Reference for calibration slope</t>
  </si>
  <si>
    <r>
      <rPr>
        <sz val="12"/>
        <color theme="1"/>
        <rFont val="Symbol"/>
        <charset val="2"/>
      </rPr>
      <t>d</t>
    </r>
    <r>
      <rPr>
        <vertAlign val="superscript"/>
        <sz val="12"/>
        <color theme="1"/>
        <rFont val="Verdana"/>
        <family val="2"/>
      </rPr>
      <t>11</t>
    </r>
    <r>
      <rPr>
        <sz val="12"/>
        <color theme="1"/>
        <rFont val="Verdana"/>
        <family val="2"/>
      </rPr>
      <t>B</t>
    </r>
    <r>
      <rPr>
        <vertAlign val="subscript"/>
        <sz val="12"/>
        <color theme="1"/>
        <rFont val="Verdana"/>
        <family val="2"/>
      </rPr>
      <t xml:space="preserve">borate </t>
    </r>
    <r>
      <rPr>
        <sz val="12"/>
        <color theme="1"/>
        <rFont val="Verdana"/>
        <family val="2"/>
      </rPr>
      <t>(‰)</t>
    </r>
  </si>
  <si>
    <t>Error propagation method</t>
  </si>
  <si>
    <t>depth habitat (m)</t>
  </si>
  <si>
    <t>temperature (°C)</t>
  </si>
  <si>
    <t>Mg/Ca  (mmol/mol, average of replicates)</t>
  </si>
  <si>
    <t>temperature calibration equation</t>
  </si>
  <si>
    <t>reference for temperature calibration equation</t>
  </si>
  <si>
    <t>salinity correction (list reference if applied)</t>
  </si>
  <si>
    <t>dissolution correction (list reference if applied)</t>
  </si>
  <si>
    <t>pH correction (list reference if applied)</t>
  </si>
  <si>
    <t>average proxy value (please specify units)</t>
  </si>
  <si>
    <t xml:space="preserve">temperature calibration equation </t>
  </si>
  <si>
    <r>
      <t xml:space="preserve">used same sample material as for </t>
    </r>
    <r>
      <rPr>
        <sz val="12"/>
        <rFont val="Symbol"/>
        <charset val="2"/>
      </rPr>
      <t>d</t>
    </r>
    <r>
      <rPr>
        <vertAlign val="superscript"/>
        <sz val="12"/>
        <rFont val="Verdana"/>
        <family val="2"/>
      </rPr>
      <t>11</t>
    </r>
    <r>
      <rPr>
        <sz val="12"/>
        <rFont val="Verdana"/>
        <family val="2"/>
      </rPr>
      <t>B analyses? If not, provide details</t>
    </r>
  </si>
  <si>
    <t>Salinity (unit-less)</t>
  </si>
  <si>
    <t>method of salinity estimation (list reference if applicable)</t>
  </si>
  <si>
    <t xml:space="preserve">reference for [Ca] of seawater value </t>
  </si>
  <si>
    <t>reference for [Mg] of seawater value</t>
  </si>
  <si>
    <t>reference for [SO4] of seawater value</t>
  </si>
  <si>
    <r>
      <t>reference for [B]</t>
    </r>
    <r>
      <rPr>
        <vertAlign val="subscript"/>
        <sz val="12"/>
        <rFont val="Verdana"/>
        <family val="2"/>
      </rPr>
      <t>T</t>
    </r>
    <r>
      <rPr>
        <sz val="12"/>
        <rFont val="Verdana"/>
        <family val="2"/>
      </rPr>
      <t xml:space="preserve"> value</t>
    </r>
  </si>
  <si>
    <r>
      <rPr>
        <sz val="12"/>
        <color theme="1"/>
        <rFont val="Symbol"/>
        <charset val="2"/>
      </rPr>
      <t>d</t>
    </r>
    <r>
      <rPr>
        <vertAlign val="superscript"/>
        <sz val="12"/>
        <color theme="1"/>
        <rFont val="Verdana"/>
        <family val="2"/>
      </rPr>
      <t>11</t>
    </r>
    <r>
      <rPr>
        <sz val="12"/>
        <color theme="1"/>
        <rFont val="Verdana"/>
        <family val="2"/>
      </rPr>
      <t>B</t>
    </r>
    <r>
      <rPr>
        <vertAlign val="subscript"/>
        <sz val="12"/>
        <color theme="1"/>
        <rFont val="Verdana"/>
        <family val="2"/>
      </rPr>
      <t>sw</t>
    </r>
    <r>
      <rPr>
        <sz val="12"/>
        <color theme="1"/>
        <rFont val="Verdana"/>
        <family val="2"/>
      </rPr>
      <t xml:space="preserve"> (‰)</t>
    </r>
  </si>
  <si>
    <r>
      <t xml:space="preserve">reference  for </t>
    </r>
    <r>
      <rPr>
        <sz val="12"/>
        <rFont val="Symbol"/>
        <charset val="2"/>
      </rPr>
      <t>d</t>
    </r>
    <r>
      <rPr>
        <vertAlign val="superscript"/>
        <sz val="12"/>
        <rFont val="Verdana"/>
        <family val="2"/>
      </rPr>
      <t>11</t>
    </r>
    <r>
      <rPr>
        <sz val="12"/>
        <rFont val="Verdana"/>
        <family val="2"/>
      </rPr>
      <t>B</t>
    </r>
    <r>
      <rPr>
        <vertAlign val="subscript"/>
        <sz val="12"/>
        <rFont val="Verdana"/>
        <family val="2"/>
      </rPr>
      <t>sw</t>
    </r>
  </si>
  <si>
    <t>reference for pKB and for correction of major ion composition, if applied</t>
  </si>
  <si>
    <t>reference for pressure effect on pKB</t>
  </si>
  <si>
    <r>
      <t xml:space="preserve">value for </t>
    </r>
    <r>
      <rPr>
        <sz val="12"/>
        <color theme="1"/>
        <rFont val="Symbol"/>
        <charset val="2"/>
      </rPr>
      <t>a</t>
    </r>
    <r>
      <rPr>
        <vertAlign val="subscript"/>
        <sz val="12"/>
        <color theme="1"/>
        <rFont val="Verdana"/>
        <family val="2"/>
      </rPr>
      <t>B3-B4</t>
    </r>
    <r>
      <rPr>
        <sz val="12"/>
        <color theme="1"/>
        <rFont val="Verdana"/>
        <family val="2"/>
      </rPr>
      <t xml:space="preserve"> </t>
    </r>
  </si>
  <si>
    <r>
      <t xml:space="preserve">equation for temperature correction of </t>
    </r>
    <r>
      <rPr>
        <sz val="12"/>
        <rFont val="Symbol"/>
        <charset val="2"/>
      </rPr>
      <t>a</t>
    </r>
    <r>
      <rPr>
        <vertAlign val="subscript"/>
        <sz val="12"/>
        <rFont val="Verdana"/>
        <family val="2"/>
      </rPr>
      <t>B3-B4</t>
    </r>
    <r>
      <rPr>
        <sz val="12"/>
        <rFont val="Verdana"/>
        <family val="2"/>
      </rPr>
      <t xml:space="preserve"> (if applied)</t>
    </r>
  </si>
  <si>
    <r>
      <t xml:space="preserve">reference for temperature correction of </t>
    </r>
    <r>
      <rPr>
        <sz val="12"/>
        <rFont val="Symbol"/>
        <charset val="2"/>
      </rPr>
      <t>a</t>
    </r>
    <r>
      <rPr>
        <vertAlign val="subscript"/>
        <sz val="12"/>
        <rFont val="Verdana"/>
        <family val="2"/>
      </rPr>
      <t>B3-B4</t>
    </r>
    <r>
      <rPr>
        <sz val="12"/>
        <rFont val="Verdana"/>
        <family val="2"/>
      </rPr>
      <t xml:space="preserve"> (if applied)</t>
    </r>
  </si>
  <si>
    <r>
      <t>CO</t>
    </r>
    <r>
      <rPr>
        <vertAlign val="subscript"/>
        <sz val="12"/>
        <rFont val="Verdana"/>
        <family val="2"/>
      </rPr>
      <t>2</t>
    </r>
    <r>
      <rPr>
        <sz val="12"/>
        <rFont val="Verdana"/>
        <family val="2"/>
      </rPr>
      <t xml:space="preserve"> calculation program and version, e.g. CO2SYS, seacarb, other (please specify)</t>
    </r>
  </si>
  <si>
    <t>reference for pK0 and for correction of major ion composition, if applied</t>
  </si>
  <si>
    <t>reference for pK1 and for correction of major ion composition, if applied</t>
  </si>
  <si>
    <t>reference for pK2 and for correction of major ion composition, if applied</t>
  </si>
  <si>
    <r>
      <t>reference for pKHSO</t>
    </r>
    <r>
      <rPr>
        <vertAlign val="subscript"/>
        <sz val="12"/>
        <color theme="1"/>
        <rFont val="Verdana"/>
        <family val="2"/>
      </rPr>
      <t>4</t>
    </r>
  </si>
  <si>
    <r>
      <t>reference for pKsp</t>
    </r>
    <r>
      <rPr>
        <vertAlign val="subscript"/>
        <sz val="12"/>
        <rFont val="Verdana"/>
        <family val="2"/>
      </rPr>
      <t xml:space="preserve">calcite </t>
    </r>
    <r>
      <rPr>
        <sz val="12"/>
        <rFont val="Verdana"/>
        <family val="2"/>
      </rPr>
      <t>and pKsp</t>
    </r>
    <r>
      <rPr>
        <vertAlign val="subscript"/>
        <sz val="12"/>
        <rFont val="Verdana"/>
        <family val="2"/>
      </rPr>
      <t xml:space="preserve">aragonite </t>
    </r>
    <r>
      <rPr>
        <sz val="12"/>
        <rFont val="Verdana"/>
        <family val="2"/>
      </rPr>
      <t>and for correction of major ion composition, if applied</t>
    </r>
  </si>
  <si>
    <r>
      <t>reference for pressure effect on pKsp</t>
    </r>
    <r>
      <rPr>
        <vertAlign val="subscript"/>
        <sz val="12"/>
        <rFont val="Verdana"/>
        <family val="2"/>
      </rPr>
      <t xml:space="preserve">calcite </t>
    </r>
    <r>
      <rPr>
        <sz val="12"/>
        <rFont val="Verdana"/>
        <family val="2"/>
      </rPr>
      <t>and pKsp</t>
    </r>
    <r>
      <rPr>
        <vertAlign val="subscript"/>
        <sz val="12"/>
        <rFont val="Verdana"/>
        <family val="2"/>
      </rPr>
      <t>aragonite</t>
    </r>
  </si>
  <si>
    <r>
      <t>Parameter used (e.g., alkalinity</t>
    </r>
    <r>
      <rPr>
        <sz val="12"/>
        <rFont val="Verdana"/>
        <family val="2"/>
      </rPr>
      <t>, DIC, [CO</t>
    </r>
    <r>
      <rPr>
        <vertAlign val="subscript"/>
        <sz val="12"/>
        <rFont val="Verdana"/>
        <family val="2"/>
      </rPr>
      <t>3</t>
    </r>
    <r>
      <rPr>
        <vertAlign val="superscript"/>
        <sz val="12"/>
        <rFont val="Verdana"/>
        <family val="2"/>
      </rPr>
      <t>2-</t>
    </r>
    <r>
      <rPr>
        <sz val="12"/>
        <rFont val="Verdana"/>
        <family val="2"/>
      </rPr>
      <t>]</t>
    </r>
  </si>
  <si>
    <r>
      <t xml:space="preserve">Method for deriving 2nd parameter (e.g., CCD, </t>
    </r>
    <r>
      <rPr>
        <sz val="12"/>
        <rFont val="Symbol"/>
        <charset val="2"/>
      </rPr>
      <t>W</t>
    </r>
    <r>
      <rPr>
        <sz val="12"/>
        <rFont val="Verdana"/>
        <family val="2"/>
      </rPr>
      <t>, LOSCAR, GENIE, code can be submitted as supplement)</t>
    </r>
  </si>
  <si>
    <t>Reference for second parameter (if not primary reference of data set)</t>
  </si>
  <si>
    <r>
      <rPr>
        <sz val="12"/>
        <color theme="1"/>
        <rFont val="Symbol"/>
        <charset val="2"/>
      </rPr>
      <t>W</t>
    </r>
    <r>
      <rPr>
        <vertAlign val="subscript"/>
        <sz val="12"/>
        <color theme="1"/>
        <rFont val="Verdana"/>
        <family val="2"/>
      </rPr>
      <t xml:space="preserve">calcite </t>
    </r>
    <r>
      <rPr>
        <sz val="12"/>
        <color theme="1"/>
        <rFont val="Verdana"/>
        <family val="2"/>
      </rPr>
      <t>(if used as a constraint)</t>
    </r>
  </si>
  <si>
    <t>pH</t>
  </si>
  <si>
    <r>
      <t>Aqueous pCO</t>
    </r>
    <r>
      <rPr>
        <vertAlign val="subscript"/>
        <sz val="12"/>
        <rFont val="Verdana"/>
        <family val="2"/>
      </rPr>
      <t>2</t>
    </r>
    <r>
      <rPr>
        <sz val="12"/>
        <rFont val="Verdana"/>
        <family val="2"/>
      </rPr>
      <t xml:space="preserve"> (µatm)</t>
    </r>
  </si>
  <si>
    <r>
      <t>Air-sea pCO</t>
    </r>
    <r>
      <rPr>
        <vertAlign val="subscript"/>
        <sz val="12"/>
        <rFont val="Verdana"/>
        <family val="2"/>
      </rPr>
      <t>2</t>
    </r>
    <r>
      <rPr>
        <sz val="12"/>
        <rFont val="Verdana"/>
        <family val="2"/>
      </rPr>
      <t xml:space="preserve"> disequilibrium (µatm)</t>
    </r>
  </si>
  <si>
    <t xml:space="preserve">Notes about air-sea disequilibrium: what is the estimate based on; are there assumptions on seasonality? </t>
  </si>
  <si>
    <r>
      <rPr>
        <vertAlign val="superscript"/>
        <sz val="12"/>
        <rFont val="Verdana"/>
        <family val="2"/>
      </rPr>
      <t>b</t>
    </r>
    <r>
      <rPr>
        <sz val="12"/>
        <rFont val="Verdana"/>
        <family val="2"/>
      </rPr>
      <t>Atmospheric pCO</t>
    </r>
    <r>
      <rPr>
        <vertAlign val="subscript"/>
        <sz val="12"/>
        <rFont val="Verdana"/>
        <family val="2"/>
      </rPr>
      <t>2</t>
    </r>
    <r>
      <rPr>
        <sz val="12"/>
        <rFont val="Verdana"/>
        <family val="2"/>
      </rPr>
      <t xml:space="preserve"> (i.e. after correction for any modern air-sea disequilibrium, µatm)</t>
    </r>
  </si>
  <si>
    <t>Error propagation method (code can be provided in supplement)</t>
  </si>
  <si>
    <r>
      <t>parameters included in the error propagation (e.g., calibration uncertainty,</t>
    </r>
    <r>
      <rPr>
        <sz val="12"/>
        <rFont val="Symbol"/>
        <charset val="2"/>
      </rPr>
      <t xml:space="preserve"> d</t>
    </r>
    <r>
      <rPr>
        <vertAlign val="superscript"/>
        <sz val="12"/>
        <rFont val="Verdana"/>
        <family val="2"/>
      </rPr>
      <t>11</t>
    </r>
    <r>
      <rPr>
        <sz val="12"/>
        <rFont val="Verdana"/>
        <family val="2"/>
      </rPr>
      <t>B</t>
    </r>
    <r>
      <rPr>
        <vertAlign val="subscript"/>
        <sz val="12"/>
        <rFont val="Verdana"/>
        <family val="2"/>
      </rPr>
      <t>sw</t>
    </r>
    <r>
      <rPr>
        <sz val="12"/>
        <rFont val="Verdana"/>
        <family val="2"/>
      </rPr>
      <t>, T, S, second parameter of the carbonate system)</t>
    </r>
  </si>
  <si>
    <r>
      <rPr>
        <vertAlign val="superscript"/>
        <sz val="12"/>
        <rFont val="Verdana"/>
        <family val="2"/>
      </rPr>
      <t>c</t>
    </r>
    <r>
      <rPr>
        <sz val="12"/>
        <rFont val="Verdana"/>
        <family val="2"/>
      </rPr>
      <t>Alkalinity (µmol/kg, if not used as an input parameter)</t>
    </r>
  </si>
  <si>
    <t>DIC (µmol/kg, if not used as an input parameter</t>
  </si>
  <si>
    <r>
      <rPr>
        <sz val="12"/>
        <rFont val="Symbol"/>
        <charset val="2"/>
      </rPr>
      <t>W</t>
    </r>
    <r>
      <rPr>
        <vertAlign val="subscript"/>
        <sz val="12"/>
        <rFont val="Verdana"/>
        <family val="2"/>
      </rPr>
      <t>calcite</t>
    </r>
    <r>
      <rPr>
        <sz val="12"/>
        <rFont val="Verdana"/>
        <family val="2"/>
      </rPr>
      <t>, if not used as an input parameter</t>
    </r>
  </si>
  <si>
    <r>
      <rPr>
        <sz val="12"/>
        <rFont val="Symbol"/>
        <charset val="2"/>
      </rPr>
      <t>W</t>
    </r>
    <r>
      <rPr>
        <vertAlign val="subscript"/>
        <sz val="12"/>
        <rFont val="Verdana"/>
        <family val="2"/>
      </rPr>
      <t>aragonite</t>
    </r>
    <r>
      <rPr>
        <sz val="12"/>
        <rFont val="Verdana"/>
        <family val="2"/>
      </rPr>
      <t>, if not used as an input parameter</t>
    </r>
  </si>
  <si>
    <t>Additional Notes</t>
  </si>
  <si>
    <t>Basic Info</t>
  </si>
  <si>
    <t>proxy</t>
  </si>
  <si>
    <t>first_author_last_name</t>
  </si>
  <si>
    <t>publication_year</t>
  </si>
  <si>
    <t>doi</t>
  </si>
  <si>
    <t>age_ka</t>
  </si>
  <si>
    <t>Age_uncertainty_pos_ka</t>
  </si>
  <si>
    <t>Age_uncertainty_neg_ka</t>
  </si>
  <si>
    <r>
      <rPr>
        <sz val="12"/>
        <rFont val="Symbol"/>
        <charset val="2"/>
      </rPr>
      <t>d</t>
    </r>
    <r>
      <rPr>
        <vertAlign val="superscript"/>
        <sz val="12"/>
        <rFont val="Verdana"/>
        <family val="2"/>
      </rPr>
      <t>11</t>
    </r>
    <r>
      <rPr>
        <sz val="12"/>
        <rFont val="Verdana"/>
        <family val="2"/>
      </rPr>
      <t>B of individual replicate measurements of the same solution; separate by commas</t>
    </r>
  </si>
  <si>
    <t>Mg/Ca of individual replicate measurements; separate replicates by commas</t>
  </si>
  <si>
    <t>proxy value of individual replicate measurements; separate replicates by commas</t>
  </si>
  <si>
    <t>central value (µmol/kg)</t>
  </si>
  <si>
    <t>Age (ka)</t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</si>
  <si>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Age uncertainty pos (ka)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</si>
  <si>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Age uncertainty neg (ka)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</si>
  <si>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temperature pos (°C)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</si>
  <si>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temperature neg (°C)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</si>
  <si>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Mg uncertainty pos (mmol/mol)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</si>
  <si>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Mg/Ca uncertainty neg (mmol/mol)</t>
    </r>
  </si>
  <si>
    <r>
      <t>[B]</t>
    </r>
    <r>
      <rPr>
        <vertAlign val="subscript"/>
        <sz val="12"/>
        <color theme="1"/>
        <rFont val="Verdana"/>
        <family val="2"/>
      </rPr>
      <t xml:space="preserve">T </t>
    </r>
    <r>
      <rPr>
        <sz val="12"/>
        <color theme="1"/>
        <rFont val="Verdana"/>
        <family val="2"/>
      </rPr>
      <t>(µmol/kg)</t>
    </r>
  </si>
  <si>
    <r>
      <t>2</t>
    </r>
    <r>
      <rPr>
        <sz val="12"/>
        <color rgb="FF000000"/>
        <rFont val="Symbol"/>
        <charset val="2"/>
      </rPr>
      <t>s</t>
    </r>
    <r>
      <rPr>
        <sz val="12"/>
        <color rgb="FF000000"/>
        <rFont val="Verdana"/>
        <family val="2"/>
      </rPr>
      <t xml:space="preserve"> uncertainty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</si>
  <si>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uncertainty pos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</si>
  <si>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uncertainty neg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</si>
  <si>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pCO2 uncertainty pos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</si>
  <si>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pCO2 uncertainty neg</t>
    </r>
  </si>
  <si>
    <t>Bärbel Hönisch, Richard Zeebe</t>
  </si>
  <si>
    <t>hoenisch@ldeo.columbia.edu, zeebe@hawaii.edu</t>
  </si>
  <si>
    <r>
      <t>Bartoli, G., B. Hönisch and R.E. Zeebe (2011) Atmospheric CO</t>
    </r>
    <r>
      <rPr>
        <vertAlign val="subscript"/>
        <sz val="12"/>
        <color theme="1"/>
        <rFont val="Calibri"/>
        <family val="2"/>
        <scheme val="minor"/>
      </rPr>
      <t>2</t>
    </r>
    <r>
      <rPr>
        <sz val="12"/>
        <color theme="1"/>
        <rFont val="Calibri"/>
        <family val="2"/>
        <scheme val="minor"/>
      </rPr>
      <t xml:space="preserve"> decline during the Pliocene intensification of Northern Hemisphere glaciations, Paleoceanography, 26 (4), PA4213.</t>
    </r>
  </si>
  <si>
    <t>10.1029/2010PA002055</t>
  </si>
  <si>
    <t>ODP 999</t>
  </si>
  <si>
    <t>boron isotopes</t>
  </si>
  <si>
    <t>Bartoli</t>
  </si>
  <si>
    <t>A</t>
  </si>
  <si>
    <t>Carribbean</t>
  </si>
  <si>
    <t>set value</t>
  </si>
  <si>
    <t>LR04 benthic oxygen isotope stack: L. E. Lisiecki, M. E. Raymo, Paleoceanography 20, 10.1029/2004PA001071 (2005)</t>
  </si>
  <si>
    <t>30-80</t>
  </si>
  <si>
    <t>N-TIMS, Triton</t>
  </si>
  <si>
    <t>Globigerinoides saculifer</t>
  </si>
  <si>
    <t>21.45, 21.89, 21.55, 21.59, 21.62</t>
  </si>
  <si>
    <t>normal distribution, standard error</t>
  </si>
  <si>
    <t>21.23, 21.46, 20.96, 21.30, 21.02</t>
  </si>
  <si>
    <t>21.38, 21.41, 21.80, 21.46</t>
  </si>
  <si>
    <t>21.78, 21.54, 21.76, 21.70</t>
  </si>
  <si>
    <t>20.58, 20.00, 20.60, 20.50, 20.58</t>
  </si>
  <si>
    <t>20.64, 19.96, 20.46, 20.31, 20.29, 20.65</t>
  </si>
  <si>
    <t>21.65, 21.60, 21.35, 21.59</t>
  </si>
  <si>
    <t>20.65, 20.44, 20.89, 20.50, 20.47</t>
  </si>
  <si>
    <t>20.68, 21.15, 21.31</t>
  </si>
  <si>
    <t>21.53, 21.68, 21.41, 21.84, 21.42</t>
  </si>
  <si>
    <t>21.49, 21.61, 21.57</t>
  </si>
  <si>
    <t>20.59, 20.49, 20.67, 20.45</t>
  </si>
  <si>
    <t>20.87, 20.94, 20.58, 20.52, 20.64</t>
  </si>
  <si>
    <t>21.40, 21.22, 21.16, 21.28</t>
  </si>
  <si>
    <t>20.84, 20.92, 19.35, 21.04</t>
  </si>
  <si>
    <t>20.91, 21.02, 20.71, 21.18, 20.88</t>
  </si>
  <si>
    <t>20.78, 20.39, 20.04, 20.47, 20.46</t>
  </si>
  <si>
    <t>20.26, 20.33, 20.28, 20.16, 20.27</t>
  </si>
  <si>
    <t>20.78, 20.90, 20.97, 20.40, 20.72</t>
  </si>
  <si>
    <t>21.04, 20.85, 20.56, 21.00</t>
  </si>
  <si>
    <t>21.21, 20.75, 21.45, 21.38</t>
  </si>
  <si>
    <t>20.21, 20.46, 20.33, 20.23, 20.58</t>
  </si>
  <si>
    <t>20.46, 21.08, 21.23, 21.17, 21.01</t>
  </si>
  <si>
    <t>20.46, 20.25, 20.08, 20.15</t>
  </si>
  <si>
    <t>20.90, 21.08, 21.19, 21.16, 21.09, 20.82</t>
  </si>
  <si>
    <t>21.47, 20.61, 21.53, 21.30, 21.93</t>
  </si>
  <si>
    <t>21.32, 21.15, 21.37</t>
  </si>
  <si>
    <t>20.65, 20.54, 20.97, 20.99, 20.37, 20.42</t>
  </si>
  <si>
    <t>21.19, 21.15, 21.35</t>
  </si>
  <si>
    <t>21.04, 20.85, 20.89, 20.91</t>
  </si>
  <si>
    <t>21.21, 21.21, 21.36, 20.93, 20.80</t>
  </si>
  <si>
    <t>21.25, 20.94, 20.94</t>
  </si>
  <si>
    <t>20.82, 21.04, 20.71, 20.73</t>
  </si>
  <si>
    <t>20.72, 20.69, 20.75</t>
  </si>
  <si>
    <t>20.81, 21.00, 20.71, 20.86</t>
  </si>
  <si>
    <t>21.04, 20.61, 20.60, 20.68</t>
  </si>
  <si>
    <t>21.07, 21.12, 21.08</t>
  </si>
  <si>
    <t>20.32, 20.22, 19.96, 20.18</t>
  </si>
  <si>
    <t>20.60, 20.82, 20.80, 20.77</t>
  </si>
  <si>
    <t>20.80, 20.37, 20.46, 20.56</t>
  </si>
  <si>
    <t>20.86, 20.15, 19.84, 20.14, 20.57</t>
  </si>
  <si>
    <t>20.14, 20.10, 20.22, 19.98</t>
  </si>
  <si>
    <t>Hönisch, B., N.G. Hemming, D. Archer, M. Siddall and J.F. McManus (2009) Atmospheric Carbon Dioxide Concentration Across the Mid-Pleistocene Transition, Science, 324 (5934), 1551-1554.</t>
  </si>
  <si>
    <t>unlike newer d11B-calcite vs. d11B-borate calibrations, this one is based on the d11B-G. sacculifer vs. pH calibration, corrected for  instrument offsets and gametogenic calcite</t>
  </si>
  <si>
    <t>estimated from d18Osw corrected for changes in global ice volume, where d18Osw was estimated from the deconvolution of d18O measured on G. sacculifer and Mg/Ca SST, and ice volume was estimated from Mudelsee and
Raymo [2005]</t>
  </si>
  <si>
    <t>as summarized in Tyrrell, T., and R. E. Zeebe (2004), History of carbonate ion concentration
over the last 100 million years, Geochim. Cosmochim. Acta, 68(17),
3521–3530, doi:10.1016/j.gca.2004.02.018.</t>
  </si>
  <si>
    <t>likely variable but data no longer available</t>
  </si>
  <si>
    <t>Lee, K., T.-W. Kim, R.H. Byrne et al. (2010) The universal ratio of boron to chlorinity for the North Pacific and North Atlantic oceans, Geochimica et Cosmochimica Acta, 74 (6), 1801-1811.</t>
  </si>
  <si>
    <t>the original paper  did a sensitivity study with different estimates, but no single uncertainty to this preferred scenario has been applied</t>
  </si>
  <si>
    <t>Foster, G.L., P.A.E. Pogge von Strandmann and J.W.B. Rae (2010) Boron and magnesium isotopic composition of seawater, Geochemistry Geophysics Geosystems, 11 (8), Q08015.</t>
  </si>
  <si>
    <t>A. G. Dickson, Deep-Sea Res. 37, 755 (1990).</t>
  </si>
  <si>
    <t>alpha = 1.0206-0.000049205*T (°C)</t>
  </si>
  <si>
    <t>Kakihana et al. (1977),  Bull. Chem. Soc. Japan,  Vol. 50, No. 1,  p. 158-163.</t>
  </si>
  <si>
    <t>[CO32-]</t>
  </si>
  <si>
    <t xml:space="preserve">LOSCAR, assuming CCD, [Ca] and [Mg] varied through time and affected K*1m K*2 and K*sp after Tyrrell, T., and R. E. Zeebe (2004), History of carbonate ion concentration
over the last 100 million years, Geochim. Cosmochim. Acta, 68(17),
3521–3530, doi:10.1016/j.gca.2004.02.018.", and modern glacial/interglacial average [CO32−]=315 µmol/kg </t>
  </si>
  <si>
    <t>matlab csys by Zeebe &amp; Wolf-Gladrow (2001): CO2 in Seawater: Equilibrium, kinetics, isotopes,  Elsevier, 346 pp.</t>
  </si>
  <si>
    <t xml:space="preserve">Weiss, R. F., Marine Chemistry 2:203-215, 1974. </t>
  </si>
  <si>
    <t>Mehrbach et al., Limnol. Oceanogr.
18 (1973) 897– 907; refit by Lueker, T.J., A.G. Dickson and C.D. Keeling (2000) Ocean pCO2 calculated from dissolved inorganic carbon, alkalinity, and equations for K1 and K2: validation based on laboratory measurements of CO2 in gas and seawater at equilibrium, Marine Chemistry, 70 (1-3), 105-119.</t>
  </si>
  <si>
    <t>Dickson,
Chem. Thermodyn. 22 (1990) 113– 127.</t>
  </si>
  <si>
    <t>normal distribution</t>
  </si>
  <si>
    <t>total scale</t>
  </si>
  <si>
    <t>Takahashi, T., S. C. Sutherland, and A. Kozyr (2007), Global Ocean Surface
Water Partial Pressure of CO2 Database: Measurements Performed
During 1968–2007 (Version 2007), http://cdiac.ornl.gov/oceans/ndp_
088/index.html, Oak Ridge Natl. Lab., Oak Ridge, Tenn.</t>
  </si>
  <si>
    <t>square root of the sum of the squared individual pCO2 uncertainties</t>
  </si>
  <si>
    <t xml:space="preserve">d11B-calcite,  temperature, salinity,  CO32- </t>
  </si>
  <si>
    <t>none</t>
  </si>
  <si>
    <t>NA</t>
  </si>
  <si>
    <t>NA, data interpolated from Groeneveld, J. (2005), Effect of the Pliocene closure of the Panamanian
Gateway on Caribbean and east Pacific sea surface temperatures and salinities by applying combined Mg/Ca and 18O measurements (5.6–
2.2 Ma), Ph.D. thesis, 161 pp., Univ. of Kiel, Kiel, Germany.</t>
  </si>
  <si>
    <t>NA, assumed surface habitat</t>
  </si>
  <si>
    <t>425-500</t>
  </si>
  <si>
    <r>
      <t xml:space="preserve">reference for </t>
    </r>
    <r>
      <rPr>
        <sz val="12"/>
        <color rgb="FF000000"/>
        <rFont val="Symbol"/>
        <charset val="2"/>
      </rPr>
      <t>a</t>
    </r>
    <r>
      <rPr>
        <vertAlign val="subscript"/>
        <sz val="12"/>
        <color rgb="FF000000"/>
        <rFont val="Verdana"/>
        <family val="2"/>
      </rPr>
      <t>B3-B4</t>
    </r>
  </si>
  <si>
    <t>Kakihana &amp; Kotaka (1977)</t>
  </si>
  <si>
    <r>
      <t>2</t>
    </r>
    <r>
      <rPr>
        <sz val="12"/>
        <rFont val="Symbol"/>
        <charset val="2"/>
      </rPr>
      <t>s</t>
    </r>
    <r>
      <rPr>
        <sz val="12"/>
        <rFont val="Verdana"/>
        <family val="2"/>
      </rPr>
      <t xml:space="preserve"> alkalinity uncertainty pos</t>
    </r>
  </si>
  <si>
    <r>
      <t>2</t>
    </r>
    <r>
      <rPr>
        <sz val="12"/>
        <rFont val="Symbol"/>
        <charset val="2"/>
      </rPr>
      <t>s</t>
    </r>
    <r>
      <rPr>
        <sz val="12"/>
        <rFont val="Verdana"/>
        <family val="2"/>
      </rPr>
      <t xml:space="preserve"> alkalinity uncertainty neg</t>
    </r>
  </si>
  <si>
    <r>
      <t>2</t>
    </r>
    <r>
      <rPr>
        <sz val="12"/>
        <rFont val="Symbol"/>
        <charset val="2"/>
      </rPr>
      <t xml:space="preserve">s </t>
    </r>
    <r>
      <rPr>
        <sz val="12"/>
        <rFont val="Verdana"/>
        <family val="2"/>
      </rPr>
      <t>DIC uncertainty pos</t>
    </r>
  </si>
  <si>
    <r>
      <t>2</t>
    </r>
    <r>
      <rPr>
        <sz val="12"/>
        <rFont val="Symbol"/>
        <charset val="2"/>
      </rPr>
      <t>s</t>
    </r>
    <r>
      <rPr>
        <sz val="12"/>
        <rFont val="Verdana"/>
        <family val="2"/>
      </rPr>
      <t xml:space="preserve"> DIC uncertainty neg</t>
    </r>
  </si>
  <si>
    <r>
      <t>2</t>
    </r>
    <r>
      <rPr>
        <sz val="12"/>
        <rFont val="Symbol"/>
        <charset val="2"/>
      </rPr>
      <t>s</t>
    </r>
    <r>
      <rPr>
        <sz val="12"/>
        <rFont val="Verdana"/>
        <family val="2"/>
      </rPr>
      <t xml:space="preserve"> uncertainty </t>
    </r>
    <r>
      <rPr>
        <sz val="12"/>
        <rFont val="Symbol"/>
        <charset val="2"/>
      </rPr>
      <t>W</t>
    </r>
    <r>
      <rPr>
        <vertAlign val="subscript"/>
        <sz val="12"/>
        <rFont val="Verdana"/>
        <family val="2"/>
      </rPr>
      <t xml:space="preserve">calcite </t>
    </r>
    <r>
      <rPr>
        <sz val="12"/>
        <rFont val="Verdana"/>
        <family val="2"/>
      </rPr>
      <t>pos</t>
    </r>
  </si>
  <si>
    <r>
      <t>2</t>
    </r>
    <r>
      <rPr>
        <sz val="12"/>
        <rFont val="Symbol"/>
        <charset val="2"/>
      </rPr>
      <t>s</t>
    </r>
    <r>
      <rPr>
        <sz val="12"/>
        <rFont val="Verdana"/>
        <family val="2"/>
      </rPr>
      <t xml:space="preserve"> uncertainty </t>
    </r>
    <r>
      <rPr>
        <sz val="12"/>
        <rFont val="Symbol"/>
        <charset val="2"/>
      </rPr>
      <t>W</t>
    </r>
    <r>
      <rPr>
        <vertAlign val="subscript"/>
        <sz val="12"/>
        <rFont val="Verdana"/>
        <family val="2"/>
      </rPr>
      <t>calcite neg</t>
    </r>
  </si>
  <si>
    <r>
      <t>2</t>
    </r>
    <r>
      <rPr>
        <sz val="12"/>
        <rFont val="Symbol"/>
        <charset val="2"/>
      </rPr>
      <t>s</t>
    </r>
    <r>
      <rPr>
        <sz val="12"/>
        <rFont val="Verdana"/>
        <family val="2"/>
      </rPr>
      <t xml:space="preserve"> uncertainty </t>
    </r>
    <r>
      <rPr>
        <sz val="12"/>
        <rFont val="Symbol"/>
        <charset val="2"/>
      </rPr>
      <t>W</t>
    </r>
    <r>
      <rPr>
        <vertAlign val="subscript"/>
        <sz val="12"/>
        <rFont val="Verdana"/>
        <family val="2"/>
      </rPr>
      <t xml:space="preserve">aragonite </t>
    </r>
    <r>
      <rPr>
        <sz val="12"/>
        <rFont val="Verdana"/>
        <family val="2"/>
      </rPr>
      <t>pos</t>
    </r>
  </si>
  <si>
    <t>n of replicate measurements</t>
  </si>
  <si>
    <t>2se of replicates ( [ 2* (sd/sqrt(n))] )</t>
  </si>
  <si>
    <t>Notes (e.g., shell size corrected?)</t>
  </si>
  <si>
    <r>
      <t>2</t>
    </r>
    <r>
      <rPr>
        <sz val="12"/>
        <color rgb="FF000000"/>
        <rFont val="Symbol"/>
        <charset val="2"/>
      </rPr>
      <t>s</t>
    </r>
    <r>
      <rPr>
        <sz val="12"/>
        <color rgb="FF000000"/>
        <rFont val="Verdana"/>
        <family val="2"/>
      </rPr>
      <t xml:space="preserve"> uncertainty </t>
    </r>
  </si>
  <si>
    <t>[Ca] (mol/kg)</t>
  </si>
  <si>
    <t>[Mg] (mol/kg)</t>
  </si>
  <si>
    <t>[SO4] (mol/kg)</t>
  </si>
  <si>
    <t>pH scale reported (e.g., total scale, seawater scale)</t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</si>
  <si>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uncertainty pos (µmol/kg)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</si>
  <si>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uncertainty neg (µmol/kg)</t>
    </r>
  </si>
  <si>
    <r>
      <rPr>
        <vertAlign val="superscript"/>
        <sz val="10"/>
        <rFont val="Verdana"/>
        <family val="2"/>
      </rPr>
      <t>b</t>
    </r>
    <r>
      <rPr>
        <sz val="12"/>
        <color theme="1"/>
        <rFont val="Calibri"/>
        <family val="2"/>
        <scheme val="minor"/>
      </rPr>
      <t>this spreadsheet is specifically designed for boron isotope records aimed at paleo-pCO</t>
    </r>
    <r>
      <rPr>
        <vertAlign val="subscript"/>
        <sz val="10"/>
        <rFont val="Verdana"/>
        <family val="2"/>
      </rPr>
      <t>2</t>
    </r>
    <r>
      <rPr>
        <sz val="12"/>
        <color theme="1"/>
        <rFont val="Calibri"/>
        <family val="2"/>
        <scheme val="minor"/>
      </rPr>
      <t xml:space="preserve"> reconstructions, but it is equally useful for other boron isotope records collected, e.g., in upwelling areas. Such studies should leave the atmospheric pCO</t>
    </r>
    <r>
      <rPr>
        <vertAlign val="subscript"/>
        <sz val="10"/>
        <rFont val="Verdana"/>
        <family val="2"/>
      </rPr>
      <t>2</t>
    </r>
    <r>
      <rPr>
        <sz val="12"/>
        <color theme="1"/>
        <rFont val="Calibri"/>
        <family val="2"/>
        <scheme val="minor"/>
      </rPr>
      <t xml:space="preserve"> column (EW) blank, but may want to report the air-sea disequilibrium in column EX</t>
    </r>
  </si>
  <si>
    <r>
      <rPr>
        <vertAlign val="superscript"/>
        <sz val="10"/>
        <rFont val="Verdana"/>
        <family val="2"/>
      </rPr>
      <t>c</t>
    </r>
    <r>
      <rPr>
        <sz val="12"/>
        <color theme="1"/>
        <rFont val="Calibri"/>
        <family val="2"/>
        <scheme val="minor"/>
      </rPr>
      <t>because minor alkalinity contributors like NH</t>
    </r>
    <r>
      <rPr>
        <vertAlign val="subscript"/>
        <sz val="10"/>
        <rFont val="Verdana"/>
        <family val="2"/>
      </rPr>
      <t>3</t>
    </r>
    <r>
      <rPr>
        <sz val="12"/>
        <color theme="1"/>
        <rFont val="Calibri"/>
        <family val="2"/>
        <scheme val="minor"/>
      </rPr>
      <t>, H</t>
    </r>
    <r>
      <rPr>
        <vertAlign val="subscript"/>
        <sz val="10"/>
        <rFont val="Verdana"/>
        <family val="2"/>
      </rPr>
      <t>3</t>
    </r>
    <r>
      <rPr>
        <sz val="12"/>
        <color theme="1"/>
        <rFont val="Calibri"/>
        <family val="2"/>
        <scheme val="minor"/>
      </rPr>
      <t>PO</t>
    </r>
    <r>
      <rPr>
        <vertAlign val="subscript"/>
        <sz val="10"/>
        <rFont val="Verdana"/>
        <family val="2"/>
      </rPr>
      <t>4</t>
    </r>
    <r>
      <rPr>
        <sz val="12"/>
        <color theme="1"/>
        <rFont val="Calibri"/>
        <family val="2"/>
        <scheme val="minor"/>
      </rPr>
      <t>, HPO</t>
    </r>
    <r>
      <rPr>
        <vertAlign val="subscript"/>
        <sz val="10"/>
        <rFont val="Verdana"/>
        <family val="2"/>
      </rPr>
      <t>4</t>
    </r>
    <r>
      <rPr>
        <sz val="12"/>
        <color theme="1"/>
        <rFont val="Calibri"/>
        <family val="2"/>
        <scheme val="minor"/>
      </rPr>
      <t>, PO</t>
    </r>
    <r>
      <rPr>
        <vertAlign val="subscript"/>
        <sz val="10"/>
        <rFont val="Verdana"/>
        <family val="2"/>
      </rPr>
      <t>4</t>
    </r>
    <r>
      <rPr>
        <sz val="12"/>
        <color theme="1"/>
        <rFont val="Calibri"/>
        <family val="2"/>
        <scheme val="minor"/>
      </rPr>
      <t>, HSiO</t>
    </r>
    <r>
      <rPr>
        <vertAlign val="subscript"/>
        <sz val="10"/>
        <rFont val="Verdana"/>
        <family val="2"/>
      </rPr>
      <t>3</t>
    </r>
    <r>
      <rPr>
        <sz val="12"/>
        <color theme="1"/>
        <rFont val="Calibri"/>
        <family val="2"/>
        <scheme val="minor"/>
      </rPr>
      <t>, HS</t>
    </r>
    <r>
      <rPr>
        <vertAlign val="superscript"/>
        <sz val="10"/>
        <rFont val="Verdana"/>
        <family val="2"/>
      </rPr>
      <t xml:space="preserve">- </t>
    </r>
    <r>
      <rPr>
        <sz val="12"/>
        <color theme="1"/>
        <rFont val="Calibri"/>
        <family val="2"/>
        <scheme val="minor"/>
      </rPr>
      <t>and S</t>
    </r>
    <r>
      <rPr>
        <vertAlign val="superscript"/>
        <sz val="10"/>
        <rFont val="Verdana"/>
        <family val="2"/>
      </rPr>
      <t>2-</t>
    </r>
    <r>
      <rPr>
        <sz val="12"/>
        <color theme="1"/>
        <rFont val="Calibri"/>
        <family val="2"/>
        <scheme val="minor"/>
      </rPr>
      <t xml:space="preserve"> are not included in these calculations, the alkalinity estimate reported in column EK includes only carbon and boron alkalinity, and should therefore be considered an approximation to total alkalinity</t>
    </r>
  </si>
  <si>
    <r>
      <t>Mg/Ca</t>
    </r>
    <r>
      <rPr>
        <vertAlign val="subscript"/>
        <sz val="12"/>
        <rFont val="Verdana"/>
        <family val="2"/>
      </rPr>
      <t xml:space="preserve">sw </t>
    </r>
    <r>
      <rPr>
        <sz val="12"/>
        <rFont val="Verdana"/>
        <family val="2"/>
      </rPr>
      <t>correction</t>
    </r>
  </si>
  <si>
    <r>
      <t>Mg/Ca</t>
    </r>
    <r>
      <rPr>
        <vertAlign val="subscript"/>
        <sz val="12"/>
        <rFont val="Verdana"/>
        <family val="2"/>
      </rPr>
      <t xml:space="preserve">sw </t>
    </r>
    <r>
      <rPr>
        <sz val="12"/>
        <rFont val="Verdana"/>
        <family val="2"/>
      </rPr>
      <t xml:space="preserve">correction  reference 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</si>
  <si>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Verdana"/>
        <family val="2"/>
      </rPr>
      <t xml:space="preserve"> uncertainty </t>
    </r>
    <r>
      <rPr>
        <sz val="12"/>
        <color theme="1"/>
        <rFont val="Symbol"/>
        <charset val="2"/>
      </rPr>
      <t>W</t>
    </r>
    <r>
      <rPr>
        <vertAlign val="subscript"/>
        <sz val="12"/>
        <color theme="1"/>
        <rFont val="Verdana"/>
        <family val="2"/>
      </rPr>
      <t>aragonite neg</t>
    </r>
  </si>
  <si>
    <t>notes about uncertainty estimate: e.g., included calibration slope and intercept</t>
  </si>
  <si>
    <t>CO2_ppm</t>
  </si>
  <si>
    <t>CO2_uncertainty_pos_ppm</t>
  </si>
  <si>
    <t>CO2_uncertainty_neg_ppm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</si>
</sst>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"/>
    <numFmt numFmtId="166" formatCode="0.00000"/>
    <numFmt numFmtId="167" formatCode="0.0000"/>
  </numFmts>
  <fonts count="3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vertAlign val="superscript"/>
      <sz val="10"/>
      <name val="Verdana"/>
      <family val="2"/>
    </font>
    <font>
      <vertAlign val="subscript"/>
      <sz val="10"/>
      <name val="Verdana"/>
      <family val="2"/>
    </font>
    <font>
      <b/>
      <sz val="12"/>
      <name val="Calibri"/>
      <family val="2"/>
      <scheme val="minor"/>
    </font>
    <font>
      <b/>
      <sz val="12"/>
      <color indexed="8"/>
      <name val="Calibri"/>
      <family val="2"/>
    </font>
    <font>
      <sz val="12"/>
      <name val="Verdana"/>
      <family val="2"/>
    </font>
    <font>
      <b/>
      <sz val="12"/>
      <name val="Verdana"/>
      <family val="2"/>
    </font>
    <font>
      <b/>
      <sz val="12"/>
      <name val="Calibri (Body)"/>
    </font>
    <font>
      <b/>
      <sz val="12"/>
      <name val="Symbol"/>
      <charset val="2"/>
    </font>
    <font>
      <b/>
      <vertAlign val="superscript"/>
      <sz val="12"/>
      <name val="Verdana"/>
      <family val="2"/>
    </font>
    <font>
      <b/>
      <vertAlign val="subscript"/>
      <sz val="12"/>
      <name val="Verdana"/>
      <family val="2"/>
    </font>
    <font>
      <b/>
      <vertAlign val="subscript"/>
      <sz val="12"/>
      <color indexed="8"/>
      <name val="Calibri"/>
      <family val="2"/>
    </font>
    <font>
      <sz val="12"/>
      <name val="Symbol"/>
      <charset val="2"/>
    </font>
    <font>
      <vertAlign val="superscript"/>
      <sz val="12"/>
      <name val="Verdana"/>
      <family val="2"/>
    </font>
    <font>
      <b/>
      <sz val="12"/>
      <color indexed="8"/>
      <name val="Verdana"/>
      <family val="2"/>
    </font>
    <font>
      <b/>
      <sz val="12"/>
      <color indexed="8"/>
      <name val="Symbol"/>
      <charset val="2"/>
    </font>
    <font>
      <b/>
      <vertAlign val="superscript"/>
      <sz val="12"/>
      <color indexed="8"/>
      <name val="Verdana"/>
      <family val="2"/>
    </font>
    <font>
      <b/>
      <vertAlign val="subscript"/>
      <sz val="12"/>
      <color indexed="8"/>
      <name val="Verdana"/>
      <family val="2"/>
    </font>
    <font>
      <b/>
      <vertAlign val="superscript"/>
      <sz val="12"/>
      <color indexed="8"/>
      <name val="Calibri"/>
      <family val="2"/>
    </font>
    <font>
      <sz val="12"/>
      <color theme="1"/>
      <name val="Verdana"/>
      <family val="2"/>
    </font>
    <font>
      <sz val="12"/>
      <color rgb="FF000000"/>
      <name val="Verdana"/>
      <family val="2"/>
    </font>
    <font>
      <sz val="12"/>
      <color rgb="FF000000"/>
      <name val="Symbol"/>
      <charset val="2"/>
    </font>
    <font>
      <sz val="12"/>
      <color theme="1"/>
      <name val="Symbol"/>
      <charset val="2"/>
    </font>
    <font>
      <vertAlign val="superscript"/>
      <sz val="12"/>
      <color theme="1"/>
      <name val="Verdana"/>
      <family val="2"/>
    </font>
    <font>
      <vertAlign val="subscript"/>
      <sz val="12"/>
      <color theme="1"/>
      <name val="Verdana"/>
      <family val="2"/>
    </font>
    <font>
      <vertAlign val="subscript"/>
      <sz val="12"/>
      <name val="Verdana"/>
      <family val="2"/>
    </font>
    <font>
      <sz val="11"/>
      <color rgb="FF000000"/>
      <name val="Calibri"/>
      <family val="2"/>
      <charset val="1"/>
    </font>
    <font>
      <sz val="12"/>
      <name val="Verdana"/>
      <family val="2"/>
      <charset val="2"/>
    </font>
    <font>
      <u/>
      <sz val="12"/>
      <color theme="10"/>
      <name val="Calibri"/>
      <family val="2"/>
      <scheme val="minor"/>
    </font>
    <font>
      <vertAlign val="subscript"/>
      <sz val="12"/>
      <color theme="1"/>
      <name val="Calibri"/>
      <family val="2"/>
      <scheme val="minor"/>
    </font>
    <font>
      <sz val="12"/>
      <color rgb="FF545454"/>
      <name val="Calibri"/>
      <family val="2"/>
      <scheme val="minor"/>
    </font>
    <font>
      <sz val="12"/>
      <name val="Calibri"/>
      <family val="2"/>
      <scheme val="minor"/>
    </font>
    <font>
      <sz val="12"/>
      <color indexed="63"/>
      <name val="Calibri"/>
      <family val="2"/>
      <scheme val="minor"/>
    </font>
    <font>
      <sz val="9"/>
      <name val="Arial"/>
      <family val="2"/>
    </font>
    <font>
      <sz val="10"/>
      <name val="Verdana"/>
      <family val="2"/>
    </font>
    <font>
      <vertAlign val="subscript"/>
      <sz val="12"/>
      <color rgb="FF000000"/>
      <name val="Verdana"/>
      <family val="2"/>
    </font>
  </fonts>
  <fills count="1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D38EFF"/>
        <bgColor indexed="64"/>
      </patternFill>
    </fill>
    <fill>
      <patternFill patternType="solid">
        <fgColor rgb="FFCDFDCC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D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DFDCC"/>
        <bgColor rgb="FF000000"/>
      </patternFill>
    </fill>
    <fill>
      <patternFill patternType="solid">
        <fgColor rgb="FFA9D08D"/>
        <bgColor indexed="64"/>
      </patternFill>
    </fill>
    <fill>
      <patternFill patternType="solid">
        <fgColor rgb="FFCEFDCC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FF9A"/>
        <bgColor indexed="64"/>
      </patternFill>
    </fill>
    <fill>
      <patternFill patternType="solid">
        <fgColor rgb="FFFFFF98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0" fontId="27" fillId="0" borderId="0"/>
    <xf numFmtId="0" fontId="1" fillId="0" borderId="0"/>
    <xf numFmtId="0" fontId="29" fillId="0" borderId="0" applyNumberFormat="0" applyFill="0" applyBorder="0" applyAlignment="0" applyProtection="0"/>
    <xf numFmtId="0" fontId="35" fillId="0" borderId="0"/>
  </cellStyleXfs>
  <cellXfs count="180">
    <xf numFmtId="0" fontId="0" fillId="0" borderId="0" xfId="0"/>
    <xf numFmtId="0" fontId="0" fillId="0" borderId="0" xfId="0" applyAlignment="1">
      <alignment vertical="top"/>
    </xf>
    <xf numFmtId="0" fontId="4" fillId="0" borderId="1" xfId="0" applyFont="1" applyBorder="1"/>
    <xf numFmtId="0" fontId="0" fillId="0" borderId="2" xfId="0" applyBorder="1"/>
    <xf numFmtId="0" fontId="0" fillId="0" borderId="2" xfId="0" applyBorder="1" applyAlignment="1">
      <alignment vertical="top"/>
    </xf>
    <xf numFmtId="0" fontId="0" fillId="0" borderId="3" xfId="0" applyBorder="1"/>
    <xf numFmtId="0" fontId="5" fillId="2" borderId="1" xfId="0" applyFont="1" applyFill="1" applyBorder="1"/>
    <xf numFmtId="0" fontId="5" fillId="2" borderId="2" xfId="0" applyFont="1" applyFill="1" applyBorder="1"/>
    <xf numFmtId="0" fontId="0" fillId="2" borderId="2" xfId="0" applyFill="1" applyBorder="1"/>
    <xf numFmtId="0" fontId="0" fillId="2" borderId="3" xfId="0" applyFill="1" applyBorder="1"/>
    <xf numFmtId="0" fontId="5" fillId="3" borderId="4" xfId="0" applyFont="1" applyFill="1" applyBorder="1" applyAlignment="1">
      <alignment horizontal="left" vertical="center"/>
    </xf>
    <xf numFmtId="0" fontId="5" fillId="3" borderId="5" xfId="0" applyFont="1" applyFill="1" applyBorder="1" applyAlignment="1">
      <alignment wrapText="1"/>
    </xf>
    <xf numFmtId="0" fontId="5" fillId="3" borderId="5" xfId="0" applyFont="1" applyFill="1" applyBorder="1"/>
    <xf numFmtId="0" fontId="0" fillId="3" borderId="5" xfId="0" applyFill="1" applyBorder="1"/>
    <xf numFmtId="0" fontId="6" fillId="3" borderId="4" xfId="0" applyFont="1" applyFill="1" applyBorder="1"/>
    <xf numFmtId="0" fontId="5" fillId="4" borderId="4" xfId="0" applyFont="1" applyFill="1" applyBorder="1"/>
    <xf numFmtId="0" fontId="0" fillId="4" borderId="5" xfId="0" applyFill="1" applyBorder="1"/>
    <xf numFmtId="0" fontId="0" fillId="4" borderId="1" xfId="0" applyFill="1" applyBorder="1"/>
    <xf numFmtId="0" fontId="0" fillId="4" borderId="2" xfId="0" applyFill="1" applyBorder="1"/>
    <xf numFmtId="0" fontId="5" fillId="4" borderId="2" xfId="0" applyFont="1" applyFill="1" applyBorder="1"/>
    <xf numFmtId="0" fontId="5" fillId="4" borderId="3" xfId="0" applyFont="1" applyFill="1" applyBorder="1"/>
    <xf numFmtId="0" fontId="5" fillId="5" borderId="1" xfId="0" applyFont="1" applyFill="1" applyBorder="1"/>
    <xf numFmtId="0" fontId="6" fillId="5" borderId="2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left" vertical="center"/>
    </xf>
    <xf numFmtId="0" fontId="6" fillId="5" borderId="5" xfId="0" applyFont="1" applyFill="1" applyBorder="1" applyAlignment="1">
      <alignment horizontal="center" vertical="center" wrapText="1"/>
    </xf>
    <xf numFmtId="0" fontId="5" fillId="6" borderId="1" xfId="0" applyFont="1" applyFill="1" applyBorder="1"/>
    <xf numFmtId="0" fontId="5" fillId="7" borderId="2" xfId="0" applyFont="1" applyFill="1" applyBorder="1"/>
    <xf numFmtId="0" fontId="5" fillId="7" borderId="3" xfId="0" applyFont="1" applyFill="1" applyBorder="1"/>
    <xf numFmtId="0" fontId="5" fillId="6" borderId="2" xfId="0" applyFont="1" applyFill="1" applyBorder="1"/>
    <xf numFmtId="0" fontId="5" fillId="6" borderId="3" xfId="0" applyFont="1" applyFill="1" applyBorder="1"/>
    <xf numFmtId="0" fontId="0" fillId="6" borderId="2" xfId="0" applyFill="1" applyBorder="1"/>
    <xf numFmtId="0" fontId="0" fillId="6" borderId="4" xfId="0" applyFill="1" applyBorder="1"/>
    <xf numFmtId="0" fontId="5" fillId="7" borderId="1" xfId="0" applyFont="1" applyFill="1" applyBorder="1"/>
    <xf numFmtId="0" fontId="5" fillId="7" borderId="5" xfId="0" applyFont="1" applyFill="1" applyBorder="1"/>
    <xf numFmtId="0" fontId="5" fillId="8" borderId="2" xfId="0" applyFont="1" applyFill="1" applyBorder="1"/>
    <xf numFmtId="0" fontId="5" fillId="9" borderId="1" xfId="0" applyFont="1" applyFill="1" applyBorder="1"/>
    <xf numFmtId="0" fontId="5" fillId="9" borderId="2" xfId="0" applyFont="1" applyFill="1" applyBorder="1"/>
    <xf numFmtId="0" fontId="0" fillId="9" borderId="2" xfId="0" applyFill="1" applyBorder="1"/>
    <xf numFmtId="0" fontId="0" fillId="0" borderId="6" xfId="0" applyBorder="1"/>
    <xf numFmtId="0" fontId="4" fillId="0" borderId="7" xfId="0" applyFont="1" applyBorder="1"/>
    <xf numFmtId="0" fontId="0" fillId="0" borderId="8" xfId="0" applyBorder="1"/>
    <xf numFmtId="0" fontId="0" fillId="0" borderId="8" xfId="0" applyBorder="1" applyAlignment="1">
      <alignment vertical="top"/>
    </xf>
    <xf numFmtId="0" fontId="0" fillId="0" borderId="9" xfId="0" applyBorder="1"/>
    <xf numFmtId="0" fontId="5" fillId="2" borderId="8" xfId="0" applyFont="1" applyFill="1" applyBorder="1"/>
    <xf numFmtId="0" fontId="0" fillId="2" borderId="8" xfId="0" applyFill="1" applyBorder="1"/>
    <xf numFmtId="0" fontId="0" fillId="2" borderId="9" xfId="0" applyFill="1" applyBorder="1"/>
    <xf numFmtId="0" fontId="5" fillId="3" borderId="4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15" fillId="5" borderId="0" xfId="0" applyFont="1" applyFill="1" applyBorder="1"/>
    <xf numFmtId="0" fontId="6" fillId="5" borderId="0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left" vertical="center"/>
    </xf>
    <xf numFmtId="0" fontId="7" fillId="5" borderId="8" xfId="0" applyFont="1" applyFill="1" applyBorder="1" applyAlignment="1">
      <alignment horizontal="left" vertical="center"/>
    </xf>
    <xf numFmtId="0" fontId="6" fillId="5" borderId="8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left" vertical="center"/>
    </xf>
    <xf numFmtId="0" fontId="5" fillId="7" borderId="4" xfId="0" applyFont="1" applyFill="1" applyBorder="1"/>
    <xf numFmtId="0" fontId="5" fillId="7" borderId="0" xfId="0" applyFont="1" applyFill="1" applyBorder="1"/>
    <xf numFmtId="0" fontId="5" fillId="6" borderId="0" xfId="0" applyFont="1" applyFill="1" applyBorder="1"/>
    <xf numFmtId="0" fontId="0" fillId="6" borderId="0" xfId="0" applyFill="1"/>
    <xf numFmtId="0" fontId="7" fillId="7" borderId="4" xfId="0" applyFont="1" applyFill="1" applyBorder="1" applyAlignment="1">
      <alignment horizontal="left" vertical="center"/>
    </xf>
    <xf numFmtId="0" fontId="6" fillId="7" borderId="5" xfId="0" applyFont="1" applyFill="1" applyBorder="1" applyAlignment="1">
      <alignment horizontal="left" vertical="center"/>
    </xf>
    <xf numFmtId="0" fontId="6" fillId="7" borderId="12" xfId="0" applyFont="1" applyFill="1" applyBorder="1" applyAlignment="1">
      <alignment horizontal="left" vertical="center"/>
    </xf>
    <xf numFmtId="0" fontId="5" fillId="7" borderId="12" xfId="0" applyFont="1" applyFill="1" applyBorder="1"/>
    <xf numFmtId="0" fontId="15" fillId="7" borderId="4" xfId="0" applyFont="1" applyFill="1" applyBorder="1"/>
    <xf numFmtId="0" fontId="7" fillId="7" borderId="0" xfId="0" applyFont="1" applyFill="1" applyBorder="1" applyAlignment="1">
      <alignment horizontal="left" vertical="center"/>
    </xf>
    <xf numFmtId="0" fontId="6" fillId="7" borderId="0" xfId="0" applyFont="1" applyFill="1" applyBorder="1" applyAlignment="1">
      <alignment horizontal="left" vertical="center"/>
    </xf>
    <xf numFmtId="0" fontId="5" fillId="6" borderId="4" xfId="0" applyFont="1" applyFill="1" applyBorder="1"/>
    <xf numFmtId="0" fontId="5" fillId="6" borderId="10" xfId="0" applyFont="1" applyFill="1" applyBorder="1"/>
    <xf numFmtId="0" fontId="7" fillId="7" borderId="11" xfId="0" applyFont="1" applyFill="1" applyBorder="1" applyAlignment="1">
      <alignment horizontal="center" vertical="center" wrapText="1"/>
    </xf>
    <xf numFmtId="0" fontId="6" fillId="7" borderId="0" xfId="0" applyFont="1" applyFill="1" applyBorder="1" applyAlignment="1">
      <alignment horizontal="center" vertical="center" wrapText="1"/>
    </xf>
    <xf numFmtId="0" fontId="5" fillId="7" borderId="11" xfId="0" applyFont="1" applyFill="1" applyBorder="1"/>
    <xf numFmtId="0" fontId="5" fillId="8" borderId="0" xfId="0" applyFont="1" applyFill="1" applyBorder="1"/>
    <xf numFmtId="0" fontId="5" fillId="8" borderId="8" xfId="0" applyFont="1" applyFill="1" applyBorder="1"/>
    <xf numFmtId="0" fontId="5" fillId="2" borderId="7" xfId="0" applyFont="1" applyFill="1" applyBorder="1"/>
    <xf numFmtId="0" fontId="0" fillId="0" borderId="13" xfId="0" applyBorder="1"/>
    <xf numFmtId="0" fontId="20" fillId="10" borderId="14" xfId="0" applyFont="1" applyFill="1" applyBorder="1" applyAlignment="1">
      <alignment horizontal="center" vertical="center" wrapText="1"/>
    </xf>
    <xf numFmtId="0" fontId="20" fillId="10" borderId="15" xfId="0" applyFont="1" applyFill="1" applyBorder="1" applyAlignment="1">
      <alignment horizontal="center" vertical="center" wrapText="1"/>
    </xf>
    <xf numFmtId="0" fontId="20" fillId="10" borderId="16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 wrapText="1"/>
    </xf>
    <xf numFmtId="0" fontId="21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20" fillId="4" borderId="2" xfId="0" applyFont="1" applyFill="1" applyBorder="1" applyAlignment="1">
      <alignment horizontal="center" vertical="center" wrapText="1"/>
    </xf>
    <xf numFmtId="0" fontId="21" fillId="4" borderId="2" xfId="0" applyFont="1" applyFill="1" applyBorder="1" applyAlignment="1">
      <alignment horizontal="center" vertical="center" wrapText="1"/>
    </xf>
    <xf numFmtId="0" fontId="20" fillId="5" borderId="1" xfId="0" applyFont="1" applyFill="1" applyBorder="1" applyAlignment="1">
      <alignment horizontal="center" vertical="center" wrapText="1"/>
    </xf>
    <xf numFmtId="0" fontId="21" fillId="5" borderId="2" xfId="0" applyFont="1" applyFill="1" applyBorder="1" applyAlignment="1">
      <alignment horizontal="center" vertical="center" wrapText="1"/>
    </xf>
    <xf numFmtId="0" fontId="20" fillId="5" borderId="2" xfId="0" applyFont="1" applyFill="1" applyBorder="1" applyAlignment="1">
      <alignment horizontal="center" vertical="center" wrapText="1"/>
    </xf>
    <xf numFmtId="0" fontId="20" fillId="5" borderId="7" xfId="0" applyFont="1" applyFill="1" applyBorder="1" applyAlignment="1">
      <alignment horizontal="center" vertical="center" wrapText="1"/>
    </xf>
    <xf numFmtId="0" fontId="21" fillId="5" borderId="8" xfId="0" applyFont="1" applyFill="1" applyBorder="1" applyAlignment="1">
      <alignment horizontal="center" vertical="center" wrapText="1"/>
    </xf>
    <xf numFmtId="0" fontId="20" fillId="5" borderId="8" xfId="0" applyFont="1" applyFill="1" applyBorder="1" applyAlignment="1">
      <alignment horizontal="center" vertical="center" wrapText="1"/>
    </xf>
    <xf numFmtId="0" fontId="20" fillId="6" borderId="1" xfId="0" applyFont="1" applyFill="1" applyBorder="1" applyAlignment="1">
      <alignment horizontal="center" vertical="center" wrapText="1"/>
    </xf>
    <xf numFmtId="0" fontId="21" fillId="6" borderId="2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20" fillId="7" borderId="2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20" fillId="8" borderId="2" xfId="0" applyFont="1" applyFill="1" applyBorder="1" applyAlignment="1">
      <alignment horizontal="center" vertical="center" wrapText="1"/>
    </xf>
    <xf numFmtId="0" fontId="21" fillId="8" borderId="2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0" fillId="0" borderId="12" xfId="0" applyBorder="1"/>
    <xf numFmtId="0" fontId="0" fillId="0" borderId="7" xfId="0" applyBorder="1"/>
    <xf numFmtId="0" fontId="0" fillId="0" borderId="1" xfId="0" applyBorder="1"/>
    <xf numFmtId="0" fontId="0" fillId="0" borderId="2" xfId="0" applyBorder="1" applyAlignment="1">
      <alignment wrapText="1"/>
    </xf>
    <xf numFmtId="0" fontId="0" fillId="0" borderId="2" xfId="0" quotePrefix="1" applyBorder="1" applyAlignment="1">
      <alignment wrapText="1"/>
    </xf>
    <xf numFmtId="0" fontId="28" fillId="4" borderId="1" xfId="0" applyFont="1" applyFill="1" applyBorder="1" applyAlignment="1">
      <alignment horizontal="center" vertical="center" wrapText="1"/>
    </xf>
    <xf numFmtId="0" fontId="0" fillId="12" borderId="2" xfId="0" quotePrefix="1" applyFill="1" applyBorder="1" applyAlignment="1">
      <alignment horizontal="center" vertical="center" wrapText="1"/>
    </xf>
    <xf numFmtId="0" fontId="0" fillId="13" borderId="2" xfId="0" quotePrefix="1" applyFill="1" applyBorder="1" applyAlignment="1">
      <alignment horizontal="center" vertical="center" wrapText="1"/>
    </xf>
    <xf numFmtId="0" fontId="7" fillId="6" borderId="0" xfId="0" applyFont="1" applyFill="1" applyBorder="1" applyAlignment="1">
      <alignment horizontal="left" vertical="center"/>
    </xf>
    <xf numFmtId="0" fontId="0" fillId="13" borderId="3" xfId="0" quotePrefix="1" applyFill="1" applyBorder="1" applyAlignment="1">
      <alignment horizontal="center" vertical="center" wrapText="1"/>
    </xf>
    <xf numFmtId="0" fontId="0" fillId="14" borderId="2" xfId="0" quotePrefix="1" applyFill="1" applyBorder="1" applyAlignment="1">
      <alignment horizontal="center" vertical="center" wrapText="1"/>
    </xf>
    <xf numFmtId="0" fontId="0" fillId="14" borderId="3" xfId="0" quotePrefix="1" applyFill="1" applyBorder="1" applyAlignment="1">
      <alignment horizontal="center" vertical="center" wrapText="1"/>
    </xf>
    <xf numFmtId="0" fontId="0" fillId="15" borderId="2" xfId="0" quotePrefix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left" vertical="center"/>
    </xf>
    <xf numFmtId="0" fontId="28" fillId="4" borderId="2" xfId="0" applyFont="1" applyFill="1" applyBorder="1" applyAlignment="1">
      <alignment horizontal="center" vertical="center" wrapText="1"/>
    </xf>
    <xf numFmtId="0" fontId="31" fillId="0" borderId="0" xfId="0" applyFont="1" applyAlignment="1">
      <alignment vertical="top" wrapText="1"/>
    </xf>
    <xf numFmtId="0" fontId="0" fillId="0" borderId="0" xfId="0" applyFont="1" applyAlignment="1">
      <alignment horizontal="right" vertical="top"/>
    </xf>
    <xf numFmtId="0" fontId="0" fillId="0" borderId="0" xfId="0" applyFill="1" applyBorder="1"/>
    <xf numFmtId="0" fontId="32" fillId="0" borderId="0" xfId="0" applyFont="1" applyFill="1" applyBorder="1" applyAlignment="1">
      <alignment horizontal="center" vertical="top"/>
    </xf>
    <xf numFmtId="2" fontId="32" fillId="0" borderId="0" xfId="0" applyNumberFormat="1" applyFont="1" applyFill="1" applyBorder="1" applyAlignment="1">
      <alignment horizontal="center" vertical="top"/>
    </xf>
    <xf numFmtId="0" fontId="0" fillId="0" borderId="0" xfId="0" applyFont="1" applyAlignment="1">
      <alignment horizontal="left" vertical="top"/>
    </xf>
    <xf numFmtId="164" fontId="0" fillId="0" borderId="0" xfId="0" applyNumberFormat="1" applyFont="1" applyAlignment="1">
      <alignment horizontal="left" vertical="top"/>
    </xf>
    <xf numFmtId="0" fontId="0" fillId="0" borderId="0" xfId="0" applyFont="1" applyAlignment="1">
      <alignment horizontal="left" vertical="top" wrapText="1"/>
    </xf>
    <xf numFmtId="0" fontId="0" fillId="0" borderId="0" xfId="0" applyFont="1" applyAlignment="1">
      <alignment horizontal="right"/>
    </xf>
    <xf numFmtId="0" fontId="32" fillId="0" borderId="0" xfId="0" applyFont="1" applyFill="1" applyBorder="1" applyAlignment="1">
      <alignment horizontal="center"/>
    </xf>
    <xf numFmtId="2" fontId="32" fillId="0" borderId="0" xfId="0" applyNumberFormat="1" applyFont="1" applyFill="1" applyBorder="1" applyAlignment="1">
      <alignment horizontal="center"/>
    </xf>
    <xf numFmtId="0" fontId="0" fillId="0" borderId="0" xfId="0" applyFont="1" applyAlignment="1">
      <alignment vertical="top"/>
    </xf>
    <xf numFmtId="0" fontId="29" fillId="0" borderId="0" xfId="3" applyFont="1" applyAlignment="1">
      <alignment horizontal="center" vertical="top"/>
    </xf>
    <xf numFmtId="0" fontId="0" fillId="0" borderId="0" xfId="0" applyFont="1" applyAlignment="1">
      <alignment horizontal="center" vertical="top"/>
    </xf>
    <xf numFmtId="0" fontId="0" fillId="0" borderId="0" xfId="0" applyFont="1" applyAlignment="1">
      <alignment horizontal="right" vertical="top" wrapText="1"/>
    </xf>
    <xf numFmtId="0" fontId="0" fillId="0" borderId="0" xfId="0" applyFont="1" applyAlignment="1">
      <alignment horizontal="right" wrapText="1"/>
    </xf>
    <xf numFmtId="165" fontId="32" fillId="0" borderId="0" xfId="0" applyNumberFormat="1" applyFont="1" applyFill="1" applyBorder="1" applyAlignment="1">
      <alignment horizontal="center" vertical="top"/>
    </xf>
    <xf numFmtId="165" fontId="32" fillId="0" borderId="0" xfId="0" applyNumberFormat="1" applyFont="1" applyFill="1" applyBorder="1" applyAlignment="1">
      <alignment horizontal="center"/>
    </xf>
    <xf numFmtId="2" fontId="33" fillId="0" borderId="0" xfId="0" applyNumberFormat="1" applyFont="1" applyFill="1" applyBorder="1" applyAlignment="1">
      <alignment horizontal="center" vertical="top"/>
    </xf>
    <xf numFmtId="2" fontId="33" fillId="0" borderId="0" xfId="0" applyNumberFormat="1" applyFont="1" applyFill="1" applyBorder="1" applyAlignment="1">
      <alignment horizontal="center"/>
    </xf>
    <xf numFmtId="165" fontId="0" fillId="0" borderId="0" xfId="0" applyNumberFormat="1" applyFont="1" applyAlignment="1">
      <alignment horizontal="right" vertical="top"/>
    </xf>
    <xf numFmtId="2" fontId="0" fillId="0" borderId="0" xfId="0" applyNumberFormat="1"/>
    <xf numFmtId="0" fontId="0" fillId="0" borderId="0" xfId="0" quotePrefix="1" applyFont="1" applyAlignment="1">
      <alignment horizontal="right" vertical="top"/>
    </xf>
    <xf numFmtId="0" fontId="0" fillId="0" borderId="0" xfId="0" quotePrefix="1" applyFont="1" applyAlignment="1">
      <alignment horizontal="right"/>
    </xf>
    <xf numFmtId="2" fontId="32" fillId="0" borderId="0" xfId="0" applyNumberFormat="1" applyFont="1" applyAlignment="1">
      <alignment horizontal="center" vertical="top"/>
    </xf>
    <xf numFmtId="0" fontId="0" fillId="0" borderId="0" xfId="0" applyFont="1" applyAlignment="1">
      <alignment horizontal="center" vertical="top" wrapText="1"/>
    </xf>
    <xf numFmtId="2" fontId="0" fillId="0" borderId="0" xfId="0" quotePrefix="1" applyNumberFormat="1" applyFont="1" applyAlignment="1">
      <alignment horizontal="center" vertical="top"/>
    </xf>
    <xf numFmtId="2" fontId="34" fillId="0" borderId="0" xfId="0" applyNumberFormat="1" applyFont="1" applyFill="1" applyBorder="1" applyAlignment="1">
      <alignment horizontal="center"/>
    </xf>
    <xf numFmtId="0" fontId="0" fillId="0" borderId="0" xfId="0" applyFont="1" applyFill="1" applyAlignment="1">
      <alignment horizontal="right" vertical="top"/>
    </xf>
    <xf numFmtId="0" fontId="0" fillId="0" borderId="0" xfId="0" applyFont="1" applyFill="1" applyAlignment="1">
      <alignment horizontal="left" vertical="top"/>
    </xf>
    <xf numFmtId="167" fontId="0" fillId="0" borderId="0" xfId="0" applyNumberFormat="1" applyFont="1" applyFill="1" applyAlignment="1">
      <alignment horizontal="right" vertical="top"/>
    </xf>
    <xf numFmtId="166" fontId="0" fillId="0" borderId="0" xfId="0" applyNumberFormat="1" applyFont="1" applyFill="1" applyBorder="1" applyAlignment="1">
      <alignment vertical="top"/>
    </xf>
    <xf numFmtId="2" fontId="32" fillId="0" borderId="0" xfId="0" applyNumberFormat="1" applyFont="1" applyBorder="1" applyAlignment="1">
      <alignment vertical="top"/>
    </xf>
    <xf numFmtId="2" fontId="32" fillId="0" borderId="0" xfId="4" applyNumberFormat="1" applyFont="1" applyFill="1" applyBorder="1" applyAlignment="1">
      <alignment horizontal="center" vertical="top"/>
    </xf>
    <xf numFmtId="1" fontId="32" fillId="0" borderId="0" xfId="4" applyNumberFormat="1" applyFont="1" applyFill="1" applyBorder="1" applyAlignment="1">
      <alignment horizontal="center" vertical="top"/>
    </xf>
    <xf numFmtId="2" fontId="32" fillId="0" borderId="0" xfId="0" applyNumberFormat="1" applyFont="1" applyBorder="1"/>
    <xf numFmtId="2" fontId="32" fillId="0" borderId="0" xfId="4" applyNumberFormat="1" applyFont="1" applyFill="1" applyBorder="1" applyAlignment="1">
      <alignment horizontal="center"/>
    </xf>
    <xf numFmtId="1" fontId="32" fillId="0" borderId="0" xfId="4" applyNumberFormat="1" applyFont="1" applyFill="1" applyBorder="1" applyAlignment="1">
      <alignment horizontal="center"/>
    </xf>
    <xf numFmtId="1" fontId="32" fillId="0" borderId="0" xfId="4" applyNumberFormat="1" applyFont="1" applyFill="1" applyAlignment="1">
      <alignment horizontal="center"/>
    </xf>
    <xf numFmtId="165" fontId="0" fillId="0" borderId="0" xfId="0" applyNumberFormat="1"/>
    <xf numFmtId="165" fontId="0" fillId="0" borderId="0" xfId="0" applyNumberFormat="1" applyAlignment="1">
      <alignment horizontal="center" vertical="center"/>
    </xf>
    <xf numFmtId="0" fontId="0" fillId="0" borderId="0" xfId="0" applyAlignment="1"/>
    <xf numFmtId="0" fontId="0" fillId="0" borderId="0" xfId="0" applyFill="1"/>
    <xf numFmtId="0" fontId="6" fillId="16" borderId="8" xfId="0" quotePrefix="1" applyFont="1" applyFill="1" applyBorder="1" applyAlignment="1">
      <alignment horizontal="center" vertical="center" wrapText="1"/>
    </xf>
    <xf numFmtId="0" fontId="6" fillId="16" borderId="2" xfId="0" applyFont="1" applyFill="1" applyBorder="1" applyAlignment="1">
      <alignment horizontal="center" vertical="center" wrapText="1"/>
    </xf>
    <xf numFmtId="0" fontId="21" fillId="6" borderId="3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 wrapText="1"/>
    </xf>
    <xf numFmtId="0" fontId="20" fillId="16" borderId="0" xfId="0" applyFont="1" applyFill="1" applyAlignment="1">
      <alignment vertical="center" wrapText="1"/>
    </xf>
    <xf numFmtId="0" fontId="0" fillId="0" borderId="2" xfId="0" applyBorder="1" applyAlignment="1">
      <alignment horizontal="center" wrapText="1"/>
    </xf>
    <xf numFmtId="0" fontId="0" fillId="0" borderId="2" xfId="0" quotePrefix="1" applyBorder="1" applyAlignment="1">
      <alignment horizontal="center" wrapText="1"/>
    </xf>
    <xf numFmtId="0" fontId="0" fillId="0" borderId="3" xfId="0" quotePrefix="1" applyBorder="1" applyAlignment="1">
      <alignment horizontal="center" wrapText="1"/>
    </xf>
  </cellXfs>
  <cellStyles count="5">
    <cellStyle name="Hyperlink" xfId="3" builtinId="8"/>
    <cellStyle name="Normal" xfId="0" builtinId="0"/>
    <cellStyle name="Normal 2" xfId="4" xr:uid="{2484A2A1-6E1E-184B-86E6-4130E1164ED7}"/>
    <cellStyle name="Normal 3" xfId="1" xr:uid="{00000000-0005-0000-0000-000001000000}"/>
    <cellStyle name="Normal 4" xfId="2" xr:uid="{00000000-0005-0000-0000-000002000000}"/>
  </cellStyles>
  <dxfs count="0"/>
  <tableStyles count="0" defaultTableStyle="TableStyleMedium9" defaultPivotStyle="PivotStyleMedium7"/>
  <colors>
    <mruColors>
      <color rgb="FFFFFF9A"/>
      <color rgb="FFC6E0B4"/>
      <color rgb="FFA9D08D"/>
      <color rgb="FFCEF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hoenisch@ldeo.columbia.edu" TargetMode="External"/><Relationship Id="rId18" Type="http://schemas.openxmlformats.org/officeDocument/2006/relationships/hyperlink" Target="mailto:hoenisch@ldeo.columbia.edu" TargetMode="External"/><Relationship Id="rId26" Type="http://schemas.openxmlformats.org/officeDocument/2006/relationships/hyperlink" Target="mailto:hoenisch@ldeo.columbia.edu" TargetMode="External"/><Relationship Id="rId39" Type="http://schemas.openxmlformats.org/officeDocument/2006/relationships/hyperlink" Target="mailto:hoenisch@ldeo.columbia.edu" TargetMode="External"/><Relationship Id="rId21" Type="http://schemas.openxmlformats.org/officeDocument/2006/relationships/hyperlink" Target="mailto:hoenisch@ldeo.columbia.edu" TargetMode="External"/><Relationship Id="rId34" Type="http://schemas.openxmlformats.org/officeDocument/2006/relationships/hyperlink" Target="mailto:hoenisch@ldeo.columbia.edu" TargetMode="External"/><Relationship Id="rId42" Type="http://schemas.openxmlformats.org/officeDocument/2006/relationships/hyperlink" Target="mailto:hoenisch@ldeo.columbia.edu" TargetMode="External"/><Relationship Id="rId7" Type="http://schemas.openxmlformats.org/officeDocument/2006/relationships/hyperlink" Target="mailto:hoenisch@ldeo.columbia.edu" TargetMode="External"/><Relationship Id="rId2" Type="http://schemas.openxmlformats.org/officeDocument/2006/relationships/hyperlink" Target="mailto:hoenisch@ldeo.columbia.edu" TargetMode="External"/><Relationship Id="rId16" Type="http://schemas.openxmlformats.org/officeDocument/2006/relationships/hyperlink" Target="mailto:hoenisch@ldeo.columbia.edu" TargetMode="External"/><Relationship Id="rId20" Type="http://schemas.openxmlformats.org/officeDocument/2006/relationships/hyperlink" Target="mailto:hoenisch@ldeo.columbia.edu" TargetMode="External"/><Relationship Id="rId29" Type="http://schemas.openxmlformats.org/officeDocument/2006/relationships/hyperlink" Target="mailto:hoenisch@ldeo.columbia.edu" TargetMode="External"/><Relationship Id="rId41" Type="http://schemas.openxmlformats.org/officeDocument/2006/relationships/hyperlink" Target="mailto:hoenisch@ldeo.columbia.edu" TargetMode="External"/><Relationship Id="rId1" Type="http://schemas.openxmlformats.org/officeDocument/2006/relationships/hyperlink" Target="mailto:hoenisch@ldeo.columbia.edu" TargetMode="External"/><Relationship Id="rId6" Type="http://schemas.openxmlformats.org/officeDocument/2006/relationships/hyperlink" Target="mailto:hoenisch@ldeo.columbia.edu" TargetMode="External"/><Relationship Id="rId11" Type="http://schemas.openxmlformats.org/officeDocument/2006/relationships/hyperlink" Target="mailto:hoenisch@ldeo.columbia.edu" TargetMode="External"/><Relationship Id="rId24" Type="http://schemas.openxmlformats.org/officeDocument/2006/relationships/hyperlink" Target="mailto:hoenisch@ldeo.columbia.edu" TargetMode="External"/><Relationship Id="rId32" Type="http://schemas.openxmlformats.org/officeDocument/2006/relationships/hyperlink" Target="mailto:hoenisch@ldeo.columbia.edu" TargetMode="External"/><Relationship Id="rId37" Type="http://schemas.openxmlformats.org/officeDocument/2006/relationships/hyperlink" Target="mailto:hoenisch@ldeo.columbia.edu" TargetMode="External"/><Relationship Id="rId40" Type="http://schemas.openxmlformats.org/officeDocument/2006/relationships/hyperlink" Target="mailto:hoenisch@ldeo.columbia.edu" TargetMode="External"/><Relationship Id="rId5" Type="http://schemas.openxmlformats.org/officeDocument/2006/relationships/hyperlink" Target="mailto:hoenisch@ldeo.columbia.edu" TargetMode="External"/><Relationship Id="rId15" Type="http://schemas.openxmlformats.org/officeDocument/2006/relationships/hyperlink" Target="mailto:hoenisch@ldeo.columbia.edu" TargetMode="External"/><Relationship Id="rId23" Type="http://schemas.openxmlformats.org/officeDocument/2006/relationships/hyperlink" Target="mailto:hoenisch@ldeo.columbia.edu" TargetMode="External"/><Relationship Id="rId28" Type="http://schemas.openxmlformats.org/officeDocument/2006/relationships/hyperlink" Target="mailto:hoenisch@ldeo.columbia.edu" TargetMode="External"/><Relationship Id="rId36" Type="http://schemas.openxmlformats.org/officeDocument/2006/relationships/hyperlink" Target="mailto:hoenisch@ldeo.columbia.edu" TargetMode="External"/><Relationship Id="rId10" Type="http://schemas.openxmlformats.org/officeDocument/2006/relationships/hyperlink" Target="mailto:hoenisch@ldeo.columbia.edu" TargetMode="External"/><Relationship Id="rId19" Type="http://schemas.openxmlformats.org/officeDocument/2006/relationships/hyperlink" Target="mailto:hoenisch@ldeo.columbia.edu" TargetMode="External"/><Relationship Id="rId31" Type="http://schemas.openxmlformats.org/officeDocument/2006/relationships/hyperlink" Target="mailto:hoenisch@ldeo.columbia.edu" TargetMode="External"/><Relationship Id="rId4" Type="http://schemas.openxmlformats.org/officeDocument/2006/relationships/hyperlink" Target="mailto:hoenisch@ldeo.columbia.edu" TargetMode="External"/><Relationship Id="rId9" Type="http://schemas.openxmlformats.org/officeDocument/2006/relationships/hyperlink" Target="mailto:hoenisch@ldeo.columbia.edu" TargetMode="External"/><Relationship Id="rId14" Type="http://schemas.openxmlformats.org/officeDocument/2006/relationships/hyperlink" Target="mailto:hoenisch@ldeo.columbia.edu" TargetMode="External"/><Relationship Id="rId22" Type="http://schemas.openxmlformats.org/officeDocument/2006/relationships/hyperlink" Target="mailto:hoenisch@ldeo.columbia.edu" TargetMode="External"/><Relationship Id="rId27" Type="http://schemas.openxmlformats.org/officeDocument/2006/relationships/hyperlink" Target="mailto:hoenisch@ldeo.columbia.edu" TargetMode="External"/><Relationship Id="rId30" Type="http://schemas.openxmlformats.org/officeDocument/2006/relationships/hyperlink" Target="mailto:hoenisch@ldeo.columbia.edu" TargetMode="External"/><Relationship Id="rId35" Type="http://schemas.openxmlformats.org/officeDocument/2006/relationships/hyperlink" Target="mailto:hoenisch@ldeo.columbia.edu" TargetMode="External"/><Relationship Id="rId8" Type="http://schemas.openxmlformats.org/officeDocument/2006/relationships/hyperlink" Target="mailto:hoenisch@ldeo.columbia.edu" TargetMode="External"/><Relationship Id="rId3" Type="http://schemas.openxmlformats.org/officeDocument/2006/relationships/hyperlink" Target="mailto:hoenisch@ldeo.columbia.edu" TargetMode="External"/><Relationship Id="rId12" Type="http://schemas.openxmlformats.org/officeDocument/2006/relationships/hyperlink" Target="mailto:hoenisch@ldeo.columbia.edu" TargetMode="External"/><Relationship Id="rId17" Type="http://schemas.openxmlformats.org/officeDocument/2006/relationships/hyperlink" Target="mailto:hoenisch@ldeo.columbia.edu" TargetMode="External"/><Relationship Id="rId25" Type="http://schemas.openxmlformats.org/officeDocument/2006/relationships/hyperlink" Target="mailto:hoenisch@ldeo.columbia.edu" TargetMode="External"/><Relationship Id="rId33" Type="http://schemas.openxmlformats.org/officeDocument/2006/relationships/hyperlink" Target="mailto:hoenisch@ldeo.columbia.edu" TargetMode="External"/><Relationship Id="rId38" Type="http://schemas.openxmlformats.org/officeDocument/2006/relationships/hyperlink" Target="mailto:hoenisch@ldeo.columbia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I155"/>
  <sheetViews>
    <sheetView tabSelected="1" topLeftCell="N3" workbookViewId="0">
      <selection activeCell="Y14" sqref="Y14"/>
    </sheetView>
  </sheetViews>
  <sheetFormatPr baseColWidth="10" defaultColWidth="11" defaultRowHeight="16" x14ac:dyDescent="0.2"/>
  <cols>
    <col min="11" max="11" width="14.1640625" customWidth="1"/>
    <col min="12" max="12" width="25.6640625" customWidth="1"/>
    <col min="13" max="13" width="16" style="1" customWidth="1"/>
    <col min="14" max="14" width="22.33203125" customWidth="1"/>
    <col min="24" max="24" width="23" customWidth="1"/>
    <col min="34" max="34" width="13.33203125" customWidth="1"/>
    <col min="35" max="36" width="14.33203125" customWidth="1"/>
    <col min="38" max="38" width="16.33203125" customWidth="1"/>
    <col min="39" max="39" width="13.5" customWidth="1"/>
    <col min="47" max="47" width="13.5" customWidth="1"/>
    <col min="48" max="48" width="13.83203125" customWidth="1"/>
    <col min="49" max="49" width="14.1640625" customWidth="1"/>
    <col min="50" max="50" width="16.6640625" customWidth="1"/>
    <col min="52" max="52" width="12.83203125" customWidth="1"/>
    <col min="54" max="54" width="38" customWidth="1"/>
    <col min="55" max="56" width="16.33203125" customWidth="1"/>
    <col min="57" max="57" width="14.33203125" customWidth="1"/>
    <col min="58" max="58" width="14.5" customWidth="1"/>
    <col min="59" max="59" width="16.5" customWidth="1"/>
    <col min="61" max="61" width="14.5" customWidth="1"/>
    <col min="62" max="62" width="14.1640625" customWidth="1"/>
    <col min="64" max="64" width="14" customWidth="1"/>
    <col min="65" max="65" width="13.83203125" customWidth="1"/>
    <col min="66" max="66" width="13.1640625" customWidth="1"/>
    <col min="69" max="69" width="13.6640625" customWidth="1"/>
    <col min="70" max="70" width="12.83203125" customWidth="1"/>
    <col min="71" max="71" width="14.83203125" customWidth="1"/>
    <col min="72" max="72" width="13.1640625" customWidth="1"/>
    <col min="74" max="74" width="15.1640625" customWidth="1"/>
    <col min="75" max="75" width="15.83203125" customWidth="1"/>
    <col min="76" max="76" width="15.6640625" customWidth="1"/>
    <col min="77" max="77" width="16.6640625" customWidth="1"/>
    <col min="78" max="79" width="14.5" customWidth="1"/>
    <col min="81" max="81" width="15.83203125" customWidth="1"/>
    <col min="82" max="82" width="15.6640625" customWidth="1"/>
    <col min="83" max="84" width="16" customWidth="1"/>
    <col min="85" max="85" width="15.5" customWidth="1"/>
    <col min="86" max="86" width="14" customWidth="1"/>
    <col min="90" max="90" width="15" customWidth="1"/>
    <col min="91" max="91" width="12.6640625" customWidth="1"/>
    <col min="95" max="95" width="12.83203125" customWidth="1"/>
    <col min="102" max="102" width="13.1640625" customWidth="1"/>
    <col min="103" max="103" width="13.83203125" customWidth="1"/>
    <col min="116" max="116" width="14.5" customWidth="1"/>
    <col min="117" max="117" width="13.83203125" customWidth="1"/>
    <col min="118" max="118" width="15" customWidth="1"/>
    <col min="120" max="121" width="15.33203125" customWidth="1"/>
    <col min="123" max="123" width="14.1640625" customWidth="1"/>
    <col min="126" max="126" width="14.33203125" customWidth="1"/>
    <col min="127" max="128" width="13.83203125" customWidth="1"/>
    <col min="129" max="129" width="15.1640625" customWidth="1"/>
    <col min="130" max="130" width="14.6640625" customWidth="1"/>
    <col min="131" max="131" width="15" customWidth="1"/>
    <col min="132" max="132" width="13.33203125" customWidth="1"/>
    <col min="136" max="136" width="14.83203125" customWidth="1"/>
    <col min="137" max="137" width="14.6640625" customWidth="1"/>
    <col min="138" max="138" width="13.83203125" customWidth="1"/>
    <col min="139" max="139" width="15" customWidth="1"/>
    <col min="140" max="140" width="14.33203125" customWidth="1"/>
    <col min="142" max="142" width="15.33203125" customWidth="1"/>
    <col min="143" max="144" width="15" customWidth="1"/>
    <col min="145" max="145" width="14.83203125" customWidth="1"/>
    <col min="146" max="147" width="14.6640625" customWidth="1"/>
    <col min="148" max="148" width="15.1640625" customWidth="1"/>
    <col min="151" max="151" width="14.33203125" customWidth="1"/>
    <col min="152" max="152" width="15" customWidth="1"/>
    <col min="154" max="154" width="15.5" customWidth="1"/>
    <col min="155" max="155" width="15.1640625" customWidth="1"/>
    <col min="156" max="156" width="15.33203125" customWidth="1"/>
    <col min="157" max="158" width="13.83203125" customWidth="1"/>
    <col min="159" max="159" width="14.6640625" customWidth="1"/>
    <col min="160" max="160" width="17" customWidth="1"/>
    <col min="161" max="161" width="13.1640625" customWidth="1"/>
    <col min="162" max="163" width="14" customWidth="1"/>
    <col min="164" max="164" width="13.6640625" customWidth="1"/>
    <col min="167" max="167" width="13.1640625" customWidth="1"/>
    <col min="168" max="169" width="13.83203125" customWidth="1"/>
    <col min="170" max="170" width="16" customWidth="1"/>
    <col min="171" max="172" width="15.5" customWidth="1"/>
    <col min="173" max="173" width="20.5" customWidth="1"/>
  </cols>
  <sheetData>
    <row r="1" spans="1:191" ht="18" x14ac:dyDescent="0.25">
      <c r="A1" s="111" t="s">
        <v>122</v>
      </c>
      <c r="B1" s="112"/>
      <c r="C1" s="112"/>
      <c r="D1" s="112"/>
      <c r="E1" s="112"/>
      <c r="F1" s="112"/>
      <c r="G1" s="112"/>
      <c r="H1" s="112"/>
      <c r="I1" s="112"/>
      <c r="J1" s="113"/>
      <c r="K1" s="2" t="s">
        <v>1</v>
      </c>
      <c r="L1" s="3"/>
      <c r="M1" s="4"/>
      <c r="N1" s="5"/>
      <c r="O1" s="6" t="s">
        <v>2</v>
      </c>
      <c r="P1" s="7"/>
      <c r="Q1" s="7"/>
      <c r="R1" s="7"/>
      <c r="S1" s="7"/>
      <c r="T1" s="7"/>
      <c r="U1" s="8"/>
      <c r="V1" s="9"/>
      <c r="W1" s="8"/>
      <c r="X1" s="7"/>
      <c r="Y1" s="7"/>
      <c r="Z1" s="7"/>
      <c r="AA1" s="7"/>
      <c r="AB1" s="7"/>
      <c r="AC1" s="7"/>
      <c r="AD1" s="7"/>
      <c r="AE1" s="7"/>
      <c r="AF1" s="7"/>
      <c r="AG1" s="10" t="s">
        <v>3</v>
      </c>
      <c r="AH1" s="11"/>
      <c r="AI1" s="12"/>
      <c r="AJ1" s="12"/>
      <c r="AK1" s="13"/>
      <c r="AL1" s="13"/>
      <c r="AM1" s="13"/>
      <c r="AN1" s="14"/>
      <c r="AO1" s="13"/>
      <c r="AP1" s="13"/>
      <c r="AQ1" s="13"/>
      <c r="AR1" s="13"/>
      <c r="AS1" s="13"/>
      <c r="AT1" s="13"/>
      <c r="AU1" s="15" t="s">
        <v>4</v>
      </c>
      <c r="AV1" s="16"/>
      <c r="AW1" s="16"/>
      <c r="AX1" s="16"/>
      <c r="AY1" s="16"/>
      <c r="AZ1" s="16"/>
      <c r="BA1" s="16"/>
      <c r="BB1" s="17"/>
      <c r="BC1" s="18"/>
      <c r="BD1" s="18"/>
      <c r="BE1" s="18"/>
      <c r="BF1" s="19"/>
      <c r="BG1" s="20"/>
      <c r="BH1" s="21" t="s">
        <v>5</v>
      </c>
      <c r="BI1" s="22"/>
      <c r="BJ1" s="22"/>
      <c r="BK1" s="22"/>
      <c r="BL1" s="22"/>
      <c r="BM1" s="22"/>
      <c r="BN1" s="22"/>
      <c r="BO1" s="23"/>
      <c r="BP1" s="24" t="s">
        <v>6</v>
      </c>
      <c r="BQ1" s="24"/>
      <c r="BR1" s="25"/>
      <c r="BS1" s="25"/>
      <c r="BT1" s="25"/>
      <c r="BU1" s="26" t="s">
        <v>7</v>
      </c>
      <c r="BV1" s="27"/>
      <c r="BW1" s="27"/>
      <c r="BX1" s="26"/>
      <c r="BY1" s="29"/>
      <c r="BZ1" s="29"/>
      <c r="CA1" s="30"/>
      <c r="CB1" s="29" t="s">
        <v>8</v>
      </c>
      <c r="CC1" s="31"/>
      <c r="CD1" s="29"/>
      <c r="CE1" s="29"/>
      <c r="CF1" s="29"/>
      <c r="CG1" s="29"/>
      <c r="CH1" s="29"/>
      <c r="CI1" s="29"/>
      <c r="CJ1" s="29"/>
      <c r="CK1" s="29"/>
      <c r="CL1" s="29"/>
      <c r="CM1" s="29"/>
      <c r="CN1" s="26" t="s">
        <v>9</v>
      </c>
      <c r="CO1" s="29"/>
      <c r="CP1" s="29"/>
      <c r="CQ1" s="29"/>
      <c r="CR1" s="29"/>
      <c r="CS1" s="29"/>
      <c r="CT1" s="30"/>
      <c r="CU1" s="27" t="s">
        <v>10</v>
      </c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7"/>
      <c r="DL1" s="27"/>
      <c r="DM1" s="27"/>
      <c r="DN1" s="27"/>
      <c r="DO1" s="32"/>
      <c r="DP1" s="29"/>
      <c r="DQ1" s="29"/>
      <c r="DR1" s="30"/>
      <c r="DS1" s="27"/>
      <c r="DT1" s="27"/>
      <c r="DU1" s="33" t="s">
        <v>11</v>
      </c>
      <c r="DV1" s="27"/>
      <c r="DW1" s="27"/>
      <c r="DX1" s="27"/>
      <c r="DY1" s="27"/>
      <c r="DZ1" s="28"/>
      <c r="EA1" s="33" t="s">
        <v>12</v>
      </c>
      <c r="EB1" s="27"/>
      <c r="EC1" s="27"/>
      <c r="ED1" s="27"/>
      <c r="EE1" s="27"/>
      <c r="EF1" s="34"/>
      <c r="EG1" s="63"/>
      <c r="EH1" s="35" t="s">
        <v>13</v>
      </c>
      <c r="EI1" s="35"/>
      <c r="EJ1" s="35"/>
      <c r="EK1" s="35"/>
      <c r="EL1" s="35"/>
      <c r="EM1" s="35"/>
      <c r="EN1" s="35"/>
      <c r="EO1" s="35"/>
      <c r="EP1" s="35"/>
      <c r="EQ1" s="35"/>
      <c r="ER1" s="35"/>
      <c r="ES1" s="36" t="s">
        <v>14</v>
      </c>
      <c r="ET1" s="37"/>
      <c r="EU1" s="37"/>
      <c r="EV1" s="37"/>
      <c r="EW1" s="38"/>
      <c r="EX1" s="38"/>
      <c r="EY1" s="38"/>
      <c r="EZ1" s="38"/>
      <c r="FA1" s="37"/>
      <c r="FB1" s="37"/>
      <c r="FC1" s="37"/>
      <c r="FD1" s="37"/>
      <c r="FE1" s="36"/>
      <c r="FF1" s="37"/>
      <c r="FG1" s="37"/>
      <c r="FH1" s="37"/>
      <c r="FI1" s="37"/>
      <c r="FJ1" s="37"/>
      <c r="FK1" s="7"/>
      <c r="FL1" s="7"/>
      <c r="FM1" s="7"/>
      <c r="FN1" s="7"/>
      <c r="FO1" s="7"/>
      <c r="FP1" s="7"/>
      <c r="FQ1" s="39"/>
    </row>
    <row r="2" spans="1:191" ht="20" x14ac:dyDescent="0.25">
      <c r="A2" s="114"/>
      <c r="B2" s="41"/>
      <c r="C2" s="41"/>
      <c r="D2" s="41"/>
      <c r="E2" s="41"/>
      <c r="F2" s="41"/>
      <c r="G2" s="41"/>
      <c r="H2" s="41"/>
      <c r="I2" s="41"/>
      <c r="J2" s="43"/>
      <c r="K2" s="40"/>
      <c r="L2" s="41"/>
      <c r="M2" s="42"/>
      <c r="N2" s="43"/>
      <c r="O2" s="44"/>
      <c r="P2" s="44"/>
      <c r="Q2" s="44"/>
      <c r="R2" s="44"/>
      <c r="S2" s="44"/>
      <c r="T2" s="44"/>
      <c r="U2" s="45"/>
      <c r="V2" s="46"/>
      <c r="W2" s="45"/>
      <c r="X2" s="44"/>
      <c r="Y2" s="44"/>
      <c r="Z2" s="44"/>
      <c r="AA2" s="44"/>
      <c r="AB2" s="44"/>
      <c r="AC2" s="44"/>
      <c r="AD2" s="44"/>
      <c r="AE2" s="44"/>
      <c r="AF2" s="44"/>
      <c r="AG2" s="47"/>
      <c r="AH2" s="11"/>
      <c r="AI2" s="12"/>
      <c r="AJ2" s="12"/>
      <c r="AK2" s="13"/>
      <c r="AL2" s="13"/>
      <c r="AM2" s="13"/>
      <c r="AN2" s="14" t="s">
        <v>15</v>
      </c>
      <c r="AO2" s="13"/>
      <c r="AP2" s="13"/>
      <c r="AQ2" s="13"/>
      <c r="AR2" s="13"/>
      <c r="AS2" s="13"/>
      <c r="AT2" s="13"/>
      <c r="AU2" s="17"/>
      <c r="AV2" s="18"/>
      <c r="AW2" s="16"/>
      <c r="AX2" s="16"/>
      <c r="AY2" s="16"/>
      <c r="AZ2" s="16"/>
      <c r="BA2" s="18"/>
      <c r="BB2" s="48" t="s">
        <v>16</v>
      </c>
      <c r="BC2" s="126"/>
      <c r="BD2" s="126"/>
      <c r="BE2" s="18"/>
      <c r="BF2" s="19"/>
      <c r="BG2" s="20"/>
      <c r="BH2" s="49" t="s">
        <v>17</v>
      </c>
      <c r="BI2" s="50"/>
      <c r="BJ2" s="50"/>
      <c r="BK2" s="51" t="s">
        <v>18</v>
      </c>
      <c r="BL2" s="52"/>
      <c r="BM2" s="53"/>
      <c r="BN2" s="53"/>
      <c r="BO2" s="54"/>
      <c r="BP2" s="55"/>
      <c r="BQ2" s="55"/>
      <c r="BR2" s="22"/>
      <c r="BS2" s="22"/>
      <c r="BT2" s="22"/>
      <c r="BU2" s="56" t="s">
        <v>19</v>
      </c>
      <c r="BV2" s="57"/>
      <c r="BW2" s="57"/>
      <c r="BX2" s="26" t="s">
        <v>20</v>
      </c>
      <c r="BY2" s="29"/>
      <c r="BZ2" s="29"/>
      <c r="CA2" s="30"/>
      <c r="CB2" s="121" t="s">
        <v>21</v>
      </c>
      <c r="CC2" s="59"/>
      <c r="CD2" s="58"/>
      <c r="CE2" s="58"/>
      <c r="CF2" s="58"/>
      <c r="CG2" s="58"/>
      <c r="CH2" s="58"/>
      <c r="CI2" s="58"/>
      <c r="CJ2" s="58"/>
      <c r="CK2" s="58"/>
      <c r="CL2" s="58"/>
      <c r="CM2" s="58"/>
      <c r="CN2" s="26" t="s">
        <v>22</v>
      </c>
      <c r="CO2" s="31"/>
      <c r="CP2" s="29"/>
      <c r="CQ2" s="29"/>
      <c r="CR2" s="29"/>
      <c r="CS2" s="29"/>
      <c r="CT2" s="30"/>
      <c r="CU2" s="57" t="s">
        <v>23</v>
      </c>
      <c r="CV2" s="57"/>
      <c r="CW2" s="57"/>
      <c r="CX2" s="57"/>
      <c r="CY2" s="60" t="s">
        <v>24</v>
      </c>
      <c r="CZ2" s="61"/>
      <c r="DA2" s="61"/>
      <c r="DB2" s="62"/>
      <c r="DC2" s="60" t="s">
        <v>25</v>
      </c>
      <c r="DD2" s="34"/>
      <c r="DE2" s="34"/>
      <c r="DF2" s="63"/>
      <c r="DG2" s="64" t="s">
        <v>26</v>
      </c>
      <c r="DH2" s="34"/>
      <c r="DI2" s="34"/>
      <c r="DJ2" s="63"/>
      <c r="DK2" s="65" t="s">
        <v>27</v>
      </c>
      <c r="DL2" s="66"/>
      <c r="DM2" s="57"/>
      <c r="DN2" s="57"/>
      <c r="DO2" s="67" t="s">
        <v>28</v>
      </c>
      <c r="DP2" s="58"/>
      <c r="DQ2" s="58"/>
      <c r="DR2" s="68"/>
      <c r="DS2" s="57" t="s">
        <v>29</v>
      </c>
      <c r="DT2" s="57"/>
      <c r="DU2" s="69" t="s">
        <v>30</v>
      </c>
      <c r="DV2" s="70"/>
      <c r="DW2" s="70"/>
      <c r="DX2" s="70"/>
      <c r="DY2" s="57"/>
      <c r="DZ2" s="57"/>
      <c r="EA2" s="71"/>
      <c r="EB2" s="57"/>
      <c r="EC2" s="57"/>
      <c r="ED2" s="57"/>
      <c r="EE2" s="34"/>
      <c r="EF2" s="56" t="s">
        <v>31</v>
      </c>
      <c r="EG2" s="28"/>
      <c r="EH2" s="35"/>
      <c r="EI2" s="35"/>
      <c r="EJ2" s="35"/>
      <c r="EK2" s="72"/>
      <c r="EL2" s="72"/>
      <c r="EM2" s="72"/>
      <c r="EN2" s="72"/>
      <c r="EO2" s="73"/>
      <c r="EP2" s="73"/>
      <c r="EQ2" s="73"/>
      <c r="ER2" s="73"/>
      <c r="ES2" s="74"/>
      <c r="ET2" s="44"/>
      <c r="EU2" s="44"/>
      <c r="EV2" s="44"/>
      <c r="EW2" s="44"/>
      <c r="EX2" s="44"/>
      <c r="EY2" s="44"/>
      <c r="EZ2" s="44"/>
      <c r="FA2" s="44"/>
      <c r="FB2" s="44"/>
      <c r="FC2" s="44"/>
      <c r="FD2" s="44"/>
      <c r="FE2" s="6"/>
      <c r="FF2" s="7"/>
      <c r="FG2" s="7"/>
      <c r="FH2" s="7"/>
      <c r="FI2" s="7"/>
      <c r="FJ2" s="7"/>
      <c r="FK2" s="7"/>
      <c r="FL2" s="7"/>
      <c r="FM2" s="7"/>
      <c r="FN2" s="7"/>
      <c r="FO2" s="7"/>
      <c r="FP2" s="44"/>
      <c r="FQ2" s="75"/>
    </row>
    <row r="3" spans="1:191" ht="238" x14ac:dyDescent="0.2">
      <c r="A3" s="115" t="s">
        <v>123</v>
      </c>
      <c r="B3" s="116" t="s">
        <v>124</v>
      </c>
      <c r="C3" s="116" t="s">
        <v>125</v>
      </c>
      <c r="D3" s="3" t="s">
        <v>126</v>
      </c>
      <c r="E3" s="3" t="s">
        <v>127</v>
      </c>
      <c r="F3" s="117" t="s">
        <v>128</v>
      </c>
      <c r="G3" s="117" t="s">
        <v>129</v>
      </c>
      <c r="H3" s="177" t="s">
        <v>256</v>
      </c>
      <c r="I3" s="178" t="s">
        <v>257</v>
      </c>
      <c r="J3" s="179" t="s">
        <v>258</v>
      </c>
      <c r="K3" s="76" t="s">
        <v>32</v>
      </c>
      <c r="L3" s="77" t="s">
        <v>33</v>
      </c>
      <c r="M3" s="77" t="s">
        <v>34</v>
      </c>
      <c r="N3" s="78" t="s">
        <v>35</v>
      </c>
      <c r="O3" s="79" t="s">
        <v>36</v>
      </c>
      <c r="P3" s="79" t="s">
        <v>37</v>
      </c>
      <c r="Q3" s="79" t="s">
        <v>38</v>
      </c>
      <c r="R3" s="79" t="s">
        <v>39</v>
      </c>
      <c r="S3" s="79" t="s">
        <v>40</v>
      </c>
      <c r="T3" s="79" t="s">
        <v>41</v>
      </c>
      <c r="U3" s="79" t="s">
        <v>42</v>
      </c>
      <c r="V3" s="80" t="s">
        <v>43</v>
      </c>
      <c r="W3" s="79" t="s">
        <v>44</v>
      </c>
      <c r="X3" s="79" t="s">
        <v>45</v>
      </c>
      <c r="Y3" s="79" t="s">
        <v>46</v>
      </c>
      <c r="Z3" s="79" t="s">
        <v>47</v>
      </c>
      <c r="AA3" s="79" t="s">
        <v>48</v>
      </c>
      <c r="AB3" s="79" t="s">
        <v>49</v>
      </c>
      <c r="AC3" s="79" t="s">
        <v>50</v>
      </c>
      <c r="AD3" s="79" t="s">
        <v>51</v>
      </c>
      <c r="AE3" s="79" t="s">
        <v>52</v>
      </c>
      <c r="AF3" s="79" t="s">
        <v>53</v>
      </c>
      <c r="AG3" s="81" t="s">
        <v>134</v>
      </c>
      <c r="AH3" s="82" t="s">
        <v>54</v>
      </c>
      <c r="AI3" s="119" t="s">
        <v>135</v>
      </c>
      <c r="AJ3" s="119" t="s">
        <v>136</v>
      </c>
      <c r="AK3" s="83" t="s">
        <v>55</v>
      </c>
      <c r="AL3" s="83" t="s">
        <v>56</v>
      </c>
      <c r="AM3" s="84" t="s">
        <v>57</v>
      </c>
      <c r="AN3" s="81" t="s">
        <v>134</v>
      </c>
      <c r="AO3" s="82" t="s">
        <v>54</v>
      </c>
      <c r="AP3" s="119" t="s">
        <v>135</v>
      </c>
      <c r="AQ3" s="119" t="s">
        <v>136</v>
      </c>
      <c r="AR3" s="83" t="s">
        <v>55</v>
      </c>
      <c r="AS3" s="83" t="s">
        <v>56</v>
      </c>
      <c r="AT3" s="83" t="s">
        <v>57</v>
      </c>
      <c r="AU3" s="85" t="s">
        <v>58</v>
      </c>
      <c r="AV3" s="86" t="s">
        <v>59</v>
      </c>
      <c r="AW3" s="86" t="s">
        <v>60</v>
      </c>
      <c r="AX3" s="86" t="s">
        <v>61</v>
      </c>
      <c r="AY3" s="86" t="s">
        <v>62</v>
      </c>
      <c r="AZ3" s="86" t="s">
        <v>63</v>
      </c>
      <c r="BA3" s="86" t="s">
        <v>64</v>
      </c>
      <c r="BB3" s="118" t="s">
        <v>130</v>
      </c>
      <c r="BC3" s="127" t="s">
        <v>240</v>
      </c>
      <c r="BD3" s="127" t="s">
        <v>241</v>
      </c>
      <c r="BE3" s="87" t="s">
        <v>65</v>
      </c>
      <c r="BF3" s="88" t="s">
        <v>66</v>
      </c>
      <c r="BG3" s="88" t="s">
        <v>67</v>
      </c>
      <c r="BH3" s="89" t="s">
        <v>68</v>
      </c>
      <c r="BI3" s="90" t="s">
        <v>69</v>
      </c>
      <c r="BJ3" s="91" t="s">
        <v>70</v>
      </c>
      <c r="BK3" s="92" t="s">
        <v>71</v>
      </c>
      <c r="BL3" s="93" t="s">
        <v>69</v>
      </c>
      <c r="BM3" s="94" t="s">
        <v>70</v>
      </c>
      <c r="BN3" s="53" t="s">
        <v>72</v>
      </c>
      <c r="BO3" s="54" t="s">
        <v>242</v>
      </c>
      <c r="BP3" s="94" t="s">
        <v>73</v>
      </c>
      <c r="BQ3" s="90" t="s">
        <v>69</v>
      </c>
      <c r="BR3" s="91" t="s">
        <v>70</v>
      </c>
      <c r="BS3" s="53" t="s">
        <v>255</v>
      </c>
      <c r="BT3" s="53" t="s">
        <v>74</v>
      </c>
      <c r="BU3" s="95" t="s">
        <v>75</v>
      </c>
      <c r="BV3" s="96" t="s">
        <v>54</v>
      </c>
      <c r="BW3" s="173" t="s">
        <v>142</v>
      </c>
      <c r="BX3" s="97" t="s">
        <v>76</v>
      </c>
      <c r="BY3" s="96" t="s">
        <v>54</v>
      </c>
      <c r="BZ3" s="120" t="s">
        <v>137</v>
      </c>
      <c r="CA3" s="122" t="s">
        <v>138</v>
      </c>
      <c r="CB3" s="98" t="s">
        <v>131</v>
      </c>
      <c r="CC3" s="97" t="s">
        <v>77</v>
      </c>
      <c r="CD3" s="96" t="s">
        <v>54</v>
      </c>
      <c r="CE3" s="120" t="s">
        <v>139</v>
      </c>
      <c r="CF3" s="122" t="s">
        <v>140</v>
      </c>
      <c r="CG3" s="98" t="s">
        <v>78</v>
      </c>
      <c r="CH3" s="98" t="s">
        <v>79</v>
      </c>
      <c r="CI3" s="98" t="s">
        <v>252</v>
      </c>
      <c r="CJ3" s="98" t="s">
        <v>253</v>
      </c>
      <c r="CK3" s="98" t="s">
        <v>80</v>
      </c>
      <c r="CL3" s="98" t="s">
        <v>81</v>
      </c>
      <c r="CM3" s="98" t="s">
        <v>82</v>
      </c>
      <c r="CN3" s="99" t="s">
        <v>132</v>
      </c>
      <c r="CO3" s="97" t="s">
        <v>83</v>
      </c>
      <c r="CP3" s="96" t="s">
        <v>54</v>
      </c>
      <c r="CQ3" s="96" t="s">
        <v>243</v>
      </c>
      <c r="CR3" s="98" t="s">
        <v>84</v>
      </c>
      <c r="CS3" s="98" t="s">
        <v>79</v>
      </c>
      <c r="CT3" s="98" t="s">
        <v>85</v>
      </c>
      <c r="CU3" s="95" t="s">
        <v>86</v>
      </c>
      <c r="CV3" s="96" t="s">
        <v>54</v>
      </c>
      <c r="CW3" s="96" t="s">
        <v>243</v>
      </c>
      <c r="CX3" s="100" t="s">
        <v>87</v>
      </c>
      <c r="CY3" s="97" t="s">
        <v>244</v>
      </c>
      <c r="CZ3" s="96" t="s">
        <v>54</v>
      </c>
      <c r="DA3" s="96" t="s">
        <v>243</v>
      </c>
      <c r="DB3" s="100" t="s">
        <v>88</v>
      </c>
      <c r="DC3" s="97" t="s">
        <v>245</v>
      </c>
      <c r="DD3" s="96" t="s">
        <v>54</v>
      </c>
      <c r="DE3" s="96" t="s">
        <v>243</v>
      </c>
      <c r="DF3" s="100" t="s">
        <v>89</v>
      </c>
      <c r="DG3" s="97" t="s">
        <v>246</v>
      </c>
      <c r="DH3" s="96" t="s">
        <v>54</v>
      </c>
      <c r="DI3" s="96" t="s">
        <v>243</v>
      </c>
      <c r="DJ3" s="100" t="s">
        <v>90</v>
      </c>
      <c r="DK3" s="97" t="s">
        <v>141</v>
      </c>
      <c r="DL3" s="96" t="s">
        <v>54</v>
      </c>
      <c r="DM3" s="96" t="s">
        <v>243</v>
      </c>
      <c r="DN3" s="101" t="s">
        <v>91</v>
      </c>
      <c r="DO3" s="95" t="s">
        <v>92</v>
      </c>
      <c r="DP3" s="96" t="s">
        <v>54</v>
      </c>
      <c r="DQ3" s="96" t="s">
        <v>243</v>
      </c>
      <c r="DR3" s="102" t="s">
        <v>93</v>
      </c>
      <c r="DS3" s="101" t="s">
        <v>94</v>
      </c>
      <c r="DT3" s="101" t="s">
        <v>95</v>
      </c>
      <c r="DU3" s="95" t="s">
        <v>96</v>
      </c>
      <c r="DV3" s="96" t="s">
        <v>54</v>
      </c>
      <c r="DW3" s="96" t="s">
        <v>243</v>
      </c>
      <c r="DX3" s="96" t="s">
        <v>231</v>
      </c>
      <c r="DY3" s="101" t="s">
        <v>97</v>
      </c>
      <c r="DZ3" s="100" t="s">
        <v>98</v>
      </c>
      <c r="EA3" s="98" t="s">
        <v>99</v>
      </c>
      <c r="EB3" s="101" t="s">
        <v>100</v>
      </c>
      <c r="EC3" s="101" t="s">
        <v>101</v>
      </c>
      <c r="ED3" s="101" t="s">
        <v>102</v>
      </c>
      <c r="EE3" s="103" t="s">
        <v>103</v>
      </c>
      <c r="EF3" s="104" t="s">
        <v>104</v>
      </c>
      <c r="EG3" s="101" t="s">
        <v>105</v>
      </c>
      <c r="EH3" s="174" t="s">
        <v>106</v>
      </c>
      <c r="EI3" s="175" t="s">
        <v>107</v>
      </c>
      <c r="EJ3" s="175" t="s">
        <v>108</v>
      </c>
      <c r="EK3" s="105" t="s">
        <v>133</v>
      </c>
      <c r="EL3" s="106" t="s">
        <v>54</v>
      </c>
      <c r="EM3" s="123" t="s">
        <v>248</v>
      </c>
      <c r="EN3" s="124" t="s">
        <v>249</v>
      </c>
      <c r="EO3" s="105" t="s">
        <v>109</v>
      </c>
      <c r="EP3" s="106" t="s">
        <v>54</v>
      </c>
      <c r="EQ3" s="123" t="s">
        <v>143</v>
      </c>
      <c r="ER3" s="124" t="s">
        <v>144</v>
      </c>
      <c r="ES3" s="107" t="s">
        <v>110</v>
      </c>
      <c r="ET3" s="79" t="s">
        <v>247</v>
      </c>
      <c r="EU3" s="125" t="s">
        <v>143</v>
      </c>
      <c r="EV3" s="125" t="s">
        <v>144</v>
      </c>
      <c r="EW3" s="79" t="s">
        <v>111</v>
      </c>
      <c r="EX3" s="79" t="s">
        <v>112</v>
      </c>
      <c r="EY3" s="79" t="s">
        <v>113</v>
      </c>
      <c r="EZ3" s="79" t="s">
        <v>114</v>
      </c>
      <c r="FA3" s="125" t="s">
        <v>145</v>
      </c>
      <c r="FB3" s="125" t="s">
        <v>146</v>
      </c>
      <c r="FC3" s="79" t="s">
        <v>115</v>
      </c>
      <c r="FD3" s="79" t="s">
        <v>116</v>
      </c>
      <c r="FE3" s="107" t="s">
        <v>117</v>
      </c>
      <c r="FF3" s="171" t="s">
        <v>233</v>
      </c>
      <c r="FG3" s="171" t="s">
        <v>234</v>
      </c>
      <c r="FH3" s="79" t="s">
        <v>118</v>
      </c>
      <c r="FI3" s="171" t="s">
        <v>235</v>
      </c>
      <c r="FJ3" s="171" t="s">
        <v>236</v>
      </c>
      <c r="FK3" s="108" t="s">
        <v>119</v>
      </c>
      <c r="FL3" s="108" t="s">
        <v>237</v>
      </c>
      <c r="FM3" s="108" t="s">
        <v>238</v>
      </c>
      <c r="FN3" s="108" t="s">
        <v>120</v>
      </c>
      <c r="FO3" s="172" t="s">
        <v>239</v>
      </c>
      <c r="FP3" s="176" t="s">
        <v>254</v>
      </c>
      <c r="FQ3" s="109" t="s">
        <v>121</v>
      </c>
      <c r="FR3" s="110"/>
      <c r="FS3" s="110"/>
      <c r="FT3" s="110"/>
      <c r="FU3" s="110"/>
      <c r="FV3" s="110"/>
      <c r="FW3" s="110"/>
      <c r="FX3" s="110"/>
      <c r="FY3" s="110"/>
      <c r="FZ3" s="110"/>
      <c r="GA3" s="110"/>
      <c r="GB3" s="110"/>
      <c r="GC3" s="110"/>
      <c r="GD3" s="110"/>
      <c r="GE3" s="110"/>
      <c r="GF3" s="110"/>
      <c r="GG3" s="110"/>
      <c r="GH3" s="110"/>
      <c r="GI3" s="110"/>
    </row>
    <row r="4" spans="1:191" ht="18" x14ac:dyDescent="0.2">
      <c r="A4" s="130" t="s">
        <v>152</v>
      </c>
      <c r="B4" t="s">
        <v>153</v>
      </c>
      <c r="C4">
        <v>2011</v>
      </c>
      <c r="D4" t="s">
        <v>150</v>
      </c>
      <c r="E4" s="149">
        <f>AG4</f>
        <v>1975.1320000000001</v>
      </c>
      <c r="F4">
        <f>AI4</f>
        <v>6</v>
      </c>
      <c r="G4">
        <f>AI4</f>
        <v>6</v>
      </c>
      <c r="H4" s="167">
        <f>EZ4</f>
        <v>201.6</v>
      </c>
      <c r="I4" s="167">
        <f t="shared" ref="I4:J4" si="0">FA4</f>
        <v>45.661501957338196</v>
      </c>
      <c r="J4" s="167">
        <f t="shared" si="0"/>
        <v>51.917611655391084</v>
      </c>
      <c r="K4" s="141" t="s">
        <v>147</v>
      </c>
      <c r="L4" s="140" t="s">
        <v>148</v>
      </c>
      <c r="M4" s="139" t="s">
        <v>149</v>
      </c>
      <c r="N4" s="128" t="s">
        <v>150</v>
      </c>
      <c r="O4" s="129" t="s">
        <v>151</v>
      </c>
      <c r="P4" s="129" t="s">
        <v>154</v>
      </c>
      <c r="Q4" s="131">
        <v>7</v>
      </c>
      <c r="R4" s="131">
        <v>7</v>
      </c>
      <c r="S4" s="131">
        <v>64</v>
      </c>
      <c r="T4" s="131">
        <v>66</v>
      </c>
      <c r="U4" s="132">
        <v>64.739999999999995</v>
      </c>
      <c r="V4" s="129" t="s">
        <v>227</v>
      </c>
      <c r="W4" s="129" t="s">
        <v>227</v>
      </c>
      <c r="X4" s="133" t="s">
        <v>155</v>
      </c>
      <c r="Y4" s="134">
        <v>12.910833330000001</v>
      </c>
      <c r="Z4" s="134">
        <v>-78.833333330000002</v>
      </c>
      <c r="AA4" s="129" t="s">
        <v>227</v>
      </c>
      <c r="AB4" s="129" t="s">
        <v>227</v>
      </c>
      <c r="AC4" s="129">
        <v>-2838.9</v>
      </c>
      <c r="AD4" s="129" t="s">
        <v>227</v>
      </c>
      <c r="AE4" s="129" t="s">
        <v>227</v>
      </c>
      <c r="AF4" s="135" t="s">
        <v>227</v>
      </c>
      <c r="AG4" s="168">
        <v>1975.1320000000001</v>
      </c>
      <c r="AH4" s="142" t="s">
        <v>156</v>
      </c>
      <c r="AI4" s="129">
        <v>6</v>
      </c>
      <c r="AJ4">
        <v>6</v>
      </c>
      <c r="AK4" s="129" t="s">
        <v>227</v>
      </c>
      <c r="AL4" t="s">
        <v>227</v>
      </c>
      <c r="AM4" s="133" t="s">
        <v>157</v>
      </c>
      <c r="AN4" t="s">
        <v>227</v>
      </c>
      <c r="AO4" t="s">
        <v>227</v>
      </c>
      <c r="AP4" t="s">
        <v>227</v>
      </c>
      <c r="AQ4" t="s">
        <v>227</v>
      </c>
      <c r="AR4" t="s">
        <v>227</v>
      </c>
      <c r="AS4" t="s">
        <v>227</v>
      </c>
      <c r="AT4" t="s">
        <v>227</v>
      </c>
      <c r="AU4" s="133" t="s">
        <v>160</v>
      </c>
      <c r="AV4" s="170" t="s">
        <v>230</v>
      </c>
      <c r="AW4" s="139" t="s">
        <v>158</v>
      </c>
      <c r="AX4" s="144">
        <v>38.75</v>
      </c>
      <c r="AY4" s="139" t="s">
        <v>149</v>
      </c>
      <c r="AZ4" s="129" t="s">
        <v>227</v>
      </c>
      <c r="BA4" s="133" t="s">
        <v>159</v>
      </c>
      <c r="BB4" s="129" t="s">
        <v>161</v>
      </c>
      <c r="BC4">
        <v>5</v>
      </c>
      <c r="BD4" s="149">
        <v>0.14669696656713829</v>
      </c>
      <c r="BE4" s="132">
        <v>21.62</v>
      </c>
      <c r="BF4" s="133" t="s">
        <v>162</v>
      </c>
      <c r="BG4" s="146">
        <v>0.3</v>
      </c>
      <c r="BH4" s="129" t="s">
        <v>227</v>
      </c>
      <c r="BI4" s="129" t="s">
        <v>227</v>
      </c>
      <c r="BJ4" s="142" t="s">
        <v>227</v>
      </c>
      <c r="BK4" s="150">
        <v>-4.2</v>
      </c>
      <c r="BL4" s="129" t="s">
        <v>227</v>
      </c>
      <c r="BM4" s="129" t="s">
        <v>226</v>
      </c>
      <c r="BN4" s="139" t="s">
        <v>204</v>
      </c>
      <c r="BO4" s="133" t="s">
        <v>205</v>
      </c>
      <c r="BP4" s="129" t="s">
        <v>227</v>
      </c>
      <c r="BQ4" s="129" t="s">
        <v>227</v>
      </c>
      <c r="BR4" s="129" t="s">
        <v>227</v>
      </c>
      <c r="BS4" s="129" t="s">
        <v>227</v>
      </c>
      <c r="BT4" s="129" t="s">
        <v>227</v>
      </c>
      <c r="BU4" s="129">
        <v>0</v>
      </c>
      <c r="BV4" s="129" t="s">
        <v>227</v>
      </c>
      <c r="BW4" s="129" t="s">
        <v>226</v>
      </c>
      <c r="BX4" s="132">
        <v>25.695464051547695</v>
      </c>
      <c r="BY4" s="135" t="s">
        <v>156</v>
      </c>
      <c r="BZ4" s="152">
        <v>1</v>
      </c>
      <c r="CA4" s="152">
        <v>1</v>
      </c>
      <c r="CB4" s="133" t="s">
        <v>228</v>
      </c>
      <c r="CC4" s="153" t="s">
        <v>227</v>
      </c>
      <c r="CD4" s="135" t="s">
        <v>227</v>
      </c>
      <c r="CE4" s="154" t="s">
        <v>227</v>
      </c>
      <c r="CF4" s="142" t="s">
        <v>227</v>
      </c>
      <c r="CG4" s="142" t="s">
        <v>227</v>
      </c>
      <c r="CH4" s="129" t="s">
        <v>227</v>
      </c>
      <c r="CI4" s="142" t="s">
        <v>227</v>
      </c>
      <c r="CJ4" s="142" t="s">
        <v>227</v>
      </c>
      <c r="CK4" s="142" t="s">
        <v>226</v>
      </c>
      <c r="CL4" s="129" t="s">
        <v>227</v>
      </c>
      <c r="CM4" s="142" t="s">
        <v>226</v>
      </c>
      <c r="CN4" s="142" t="s">
        <v>227</v>
      </c>
      <c r="CO4" s="142" t="s">
        <v>227</v>
      </c>
      <c r="CP4" s="142" t="s">
        <v>227</v>
      </c>
      <c r="CQ4" s="142" t="s">
        <v>227</v>
      </c>
      <c r="CR4" s="142" t="s">
        <v>227</v>
      </c>
      <c r="CS4" s="142" t="s">
        <v>227</v>
      </c>
      <c r="CT4" s="142" t="s">
        <v>227</v>
      </c>
      <c r="CU4" s="155">
        <v>34.027320331292792</v>
      </c>
      <c r="CV4" s="135" t="s">
        <v>156</v>
      </c>
      <c r="CW4" s="129">
        <v>1</v>
      </c>
      <c r="CX4" s="133" t="s">
        <v>206</v>
      </c>
      <c r="CY4" s="1">
        <v>1.0664E-2</v>
      </c>
      <c r="CZ4" s="129" t="s">
        <v>227</v>
      </c>
      <c r="DA4" s="129" t="s">
        <v>227</v>
      </c>
      <c r="DB4" s="141" t="s">
        <v>207</v>
      </c>
      <c r="DC4" s="1">
        <v>5.10631E-2</v>
      </c>
      <c r="DD4" s="129" t="s">
        <v>227</v>
      </c>
      <c r="DE4" s="129" t="s">
        <v>227</v>
      </c>
      <c r="DF4" s="133" t="s">
        <v>207</v>
      </c>
      <c r="DG4" s="129" t="s">
        <v>208</v>
      </c>
      <c r="DH4" s="129" t="s">
        <v>227</v>
      </c>
      <c r="DI4" s="129" t="s">
        <v>227</v>
      </c>
      <c r="DJ4" s="129" t="s">
        <v>227</v>
      </c>
      <c r="DK4" s="156">
        <f>0.0004326</f>
        <v>4.326E-4</v>
      </c>
      <c r="DL4" s="129" t="s">
        <v>227</v>
      </c>
      <c r="DM4" s="129" t="s">
        <v>227</v>
      </c>
      <c r="DN4" s="133" t="s">
        <v>209</v>
      </c>
      <c r="DO4" s="129">
        <v>39.61</v>
      </c>
      <c r="DP4" s="133" t="s">
        <v>210</v>
      </c>
      <c r="DQ4" s="129" t="s">
        <v>226</v>
      </c>
      <c r="DR4" s="133" t="s">
        <v>211</v>
      </c>
      <c r="DS4" s="133" t="s">
        <v>212</v>
      </c>
      <c r="DT4" s="157" t="s">
        <v>229</v>
      </c>
      <c r="DU4" s="158">
        <f>1.0206-0.000049205*BX4</f>
        <v>1.0193356546913435</v>
      </c>
      <c r="DV4" s="156" t="s">
        <v>227</v>
      </c>
      <c r="DW4" s="156" t="s">
        <v>226</v>
      </c>
      <c r="DX4" s="157" t="s">
        <v>232</v>
      </c>
      <c r="DY4" s="159" t="s">
        <v>213</v>
      </c>
      <c r="DZ4" s="157" t="s">
        <v>214</v>
      </c>
      <c r="EA4" s="1" t="s">
        <v>217</v>
      </c>
      <c r="EB4" s="129" t="s">
        <v>218</v>
      </c>
      <c r="EC4" s="133" t="s">
        <v>219</v>
      </c>
      <c r="ED4" s="133" t="s">
        <v>219</v>
      </c>
      <c r="EE4" s="133" t="s">
        <v>220</v>
      </c>
      <c r="EH4" s="129" t="s">
        <v>215</v>
      </c>
      <c r="EI4" s="133" t="s">
        <v>216</v>
      </c>
      <c r="EJ4" s="153" t="s">
        <v>227</v>
      </c>
      <c r="EK4">
        <v>269.5</v>
      </c>
      <c r="EL4" s="133" t="s">
        <v>221</v>
      </c>
      <c r="EM4">
        <v>25</v>
      </c>
      <c r="EN4">
        <v>25</v>
      </c>
      <c r="EO4" t="s">
        <v>227</v>
      </c>
      <c r="EP4" t="s">
        <v>227</v>
      </c>
      <c r="EQ4" t="s">
        <v>227</v>
      </c>
      <c r="ER4" t="s">
        <v>227</v>
      </c>
      <c r="ES4" s="160">
        <v>8.2347710549317501</v>
      </c>
      <c r="ET4" s="142" t="s">
        <v>222</v>
      </c>
      <c r="EU4" s="161">
        <v>3.1438469925000767E-2</v>
      </c>
      <c r="EV4" s="161">
        <v>3.1438469925000767E-2</v>
      </c>
      <c r="EW4" s="162">
        <v>218.6</v>
      </c>
      <c r="EX4" s="129">
        <v>17</v>
      </c>
      <c r="EY4" s="139" t="s">
        <v>223</v>
      </c>
      <c r="EZ4" s="148">
        <f>EW4-EX4</f>
        <v>201.6</v>
      </c>
      <c r="FA4" s="162">
        <v>45.661501957338196</v>
      </c>
      <c r="FB4" s="162">
        <v>51.917611655391084</v>
      </c>
      <c r="FC4" s="133" t="s">
        <v>224</v>
      </c>
      <c r="FD4" s="133" t="s">
        <v>225</v>
      </c>
      <c r="FE4" s="129" t="s">
        <v>227</v>
      </c>
      <c r="FF4" s="129" t="s">
        <v>227</v>
      </c>
      <c r="FG4" s="129" t="s">
        <v>227</v>
      </c>
      <c r="FH4" s="129" t="s">
        <v>227</v>
      </c>
      <c r="FI4" s="129" t="s">
        <v>227</v>
      </c>
      <c r="FJ4" s="129" t="s">
        <v>227</v>
      </c>
      <c r="FK4" s="129" t="s">
        <v>227</v>
      </c>
      <c r="FL4" s="129" t="s">
        <v>227</v>
      </c>
      <c r="FM4" s="129" t="s">
        <v>227</v>
      </c>
      <c r="FN4" s="129" t="s">
        <v>227</v>
      </c>
      <c r="FO4" s="129" t="s">
        <v>227</v>
      </c>
      <c r="FP4" s="129" t="s">
        <v>227</v>
      </c>
    </row>
    <row r="5" spans="1:191" ht="18" x14ac:dyDescent="0.2">
      <c r="A5" s="130" t="s">
        <v>152</v>
      </c>
      <c r="B5" t="s">
        <v>153</v>
      </c>
      <c r="C5">
        <v>2011</v>
      </c>
      <c r="D5" t="s">
        <v>150</v>
      </c>
      <c r="E5" s="149">
        <f t="shared" ref="E5:E45" si="1">AG5</f>
        <v>2026.5419999999999</v>
      </c>
      <c r="F5">
        <f t="shared" ref="F5:F45" si="2">AI5</f>
        <v>6</v>
      </c>
      <c r="G5">
        <f t="shared" ref="G5:G45" si="3">AI5</f>
        <v>6</v>
      </c>
      <c r="H5" s="167">
        <f t="shared" ref="H5:H45" si="4">EZ5</f>
        <v>244.7</v>
      </c>
      <c r="I5" s="167">
        <f t="shared" ref="I5:I45" si="5">FA5</f>
        <v>51.464119347852446</v>
      </c>
      <c r="J5" s="167">
        <f t="shared" ref="J5:J45" si="6">FB5</f>
        <v>59.358871283069391</v>
      </c>
      <c r="K5" s="141" t="s">
        <v>147</v>
      </c>
      <c r="L5" s="140" t="s">
        <v>148</v>
      </c>
      <c r="M5" s="139" t="s">
        <v>149</v>
      </c>
      <c r="N5" s="128" t="s">
        <v>150</v>
      </c>
      <c r="O5" s="136" t="s">
        <v>151</v>
      </c>
      <c r="P5" s="129" t="s">
        <v>154</v>
      </c>
      <c r="Q5" s="137">
        <v>8</v>
      </c>
      <c r="R5" s="137">
        <v>2</v>
      </c>
      <c r="S5" s="137">
        <v>47</v>
      </c>
      <c r="T5" s="137">
        <v>49</v>
      </c>
      <c r="U5" s="138">
        <v>66.569999999999993</v>
      </c>
      <c r="V5" s="136" t="s">
        <v>227</v>
      </c>
      <c r="W5" s="136" t="s">
        <v>227</v>
      </c>
      <c r="X5" s="133" t="s">
        <v>155</v>
      </c>
      <c r="Y5" s="134">
        <v>12.910833330000001</v>
      </c>
      <c r="Z5" s="134">
        <v>-78.833333330000002</v>
      </c>
      <c r="AA5" s="129" t="s">
        <v>227</v>
      </c>
      <c r="AB5" s="129" t="s">
        <v>227</v>
      </c>
      <c r="AC5" s="129">
        <v>-2838.9</v>
      </c>
      <c r="AD5" s="129" t="s">
        <v>227</v>
      </c>
      <c r="AE5" s="129" t="s">
        <v>227</v>
      </c>
      <c r="AF5" s="135" t="s">
        <v>227</v>
      </c>
      <c r="AG5" s="168">
        <v>2026.5419999999999</v>
      </c>
      <c r="AH5" s="142" t="s">
        <v>156</v>
      </c>
      <c r="AI5" s="129">
        <v>6</v>
      </c>
      <c r="AJ5">
        <v>6</v>
      </c>
      <c r="AK5" s="129" t="s">
        <v>227</v>
      </c>
      <c r="AL5" t="s">
        <v>227</v>
      </c>
      <c r="AM5" s="133" t="s">
        <v>157</v>
      </c>
      <c r="AN5" t="s">
        <v>227</v>
      </c>
      <c r="AO5" t="s">
        <v>227</v>
      </c>
      <c r="AP5" t="s">
        <v>227</v>
      </c>
      <c r="AQ5" t="s">
        <v>227</v>
      </c>
      <c r="AR5" t="s">
        <v>227</v>
      </c>
      <c r="AS5" t="s">
        <v>227</v>
      </c>
      <c r="AT5" t="s">
        <v>227</v>
      </c>
      <c r="AU5" s="133" t="s">
        <v>160</v>
      </c>
      <c r="AV5" s="170" t="s">
        <v>230</v>
      </c>
      <c r="AW5" s="139" t="s">
        <v>158</v>
      </c>
      <c r="AX5" s="145">
        <v>35.700000000000003</v>
      </c>
      <c r="AY5" s="139" t="s">
        <v>149</v>
      </c>
      <c r="AZ5" s="129" t="s">
        <v>227</v>
      </c>
      <c r="BA5" s="133" t="s">
        <v>159</v>
      </c>
      <c r="BB5" s="143" t="s">
        <v>163</v>
      </c>
      <c r="BC5">
        <v>5</v>
      </c>
      <c r="BD5" s="149">
        <v>0.18347751905887566</v>
      </c>
      <c r="BE5" s="138">
        <v>21.19593743488965</v>
      </c>
      <c r="BF5" s="133" t="s">
        <v>162</v>
      </c>
      <c r="BG5" s="147">
        <v>0.3</v>
      </c>
      <c r="BH5" s="136" t="s">
        <v>227</v>
      </c>
      <c r="BI5" s="136" t="s">
        <v>227</v>
      </c>
      <c r="BJ5" s="143" t="s">
        <v>227</v>
      </c>
      <c r="BK5" s="150">
        <v>-4.2</v>
      </c>
      <c r="BL5" s="136" t="s">
        <v>227</v>
      </c>
      <c r="BM5" s="129" t="s">
        <v>226</v>
      </c>
      <c r="BN5" s="139" t="s">
        <v>204</v>
      </c>
      <c r="BO5" s="133" t="s">
        <v>205</v>
      </c>
      <c r="BP5" s="129" t="s">
        <v>227</v>
      </c>
      <c r="BQ5" s="129" t="s">
        <v>227</v>
      </c>
      <c r="BR5" s="129" t="s">
        <v>227</v>
      </c>
      <c r="BS5" s="129" t="s">
        <v>227</v>
      </c>
      <c r="BT5" s="129" t="s">
        <v>227</v>
      </c>
      <c r="BU5" s="129">
        <v>0</v>
      </c>
      <c r="BV5" s="136" t="s">
        <v>227</v>
      </c>
      <c r="BW5" s="129" t="s">
        <v>226</v>
      </c>
      <c r="BX5" s="138">
        <v>25.695464051547695</v>
      </c>
      <c r="BY5" s="135" t="s">
        <v>156</v>
      </c>
      <c r="BZ5" s="152">
        <v>1</v>
      </c>
      <c r="CA5" s="152">
        <v>1</v>
      </c>
      <c r="CB5" s="133" t="s">
        <v>228</v>
      </c>
      <c r="CC5" s="153" t="s">
        <v>227</v>
      </c>
      <c r="CD5" s="135" t="s">
        <v>227</v>
      </c>
      <c r="CE5" s="154" t="s">
        <v>227</v>
      </c>
      <c r="CF5" s="142" t="s">
        <v>227</v>
      </c>
      <c r="CG5" s="142" t="s">
        <v>227</v>
      </c>
      <c r="CH5" s="129" t="s">
        <v>227</v>
      </c>
      <c r="CI5" s="142" t="s">
        <v>227</v>
      </c>
      <c r="CJ5" s="142" t="s">
        <v>227</v>
      </c>
      <c r="CK5" s="142" t="s">
        <v>226</v>
      </c>
      <c r="CL5" s="129" t="s">
        <v>227</v>
      </c>
      <c r="CM5" s="142" t="s">
        <v>226</v>
      </c>
      <c r="CN5" s="142" t="s">
        <v>227</v>
      </c>
      <c r="CO5" s="142" t="s">
        <v>227</v>
      </c>
      <c r="CP5" s="142" t="s">
        <v>227</v>
      </c>
      <c r="CQ5" s="142" t="s">
        <v>227</v>
      </c>
      <c r="CR5" s="142" t="s">
        <v>227</v>
      </c>
      <c r="CS5" s="142" t="s">
        <v>227</v>
      </c>
      <c r="CT5" s="142" t="s">
        <v>227</v>
      </c>
      <c r="CU5" s="155">
        <v>33.83923255699812</v>
      </c>
      <c r="CV5" s="135" t="s">
        <v>156</v>
      </c>
      <c r="CW5" s="129">
        <v>1</v>
      </c>
      <c r="CX5" s="133" t="s">
        <v>206</v>
      </c>
      <c r="CY5" s="169">
        <v>1.06739E-2</v>
      </c>
      <c r="CZ5" s="129" t="s">
        <v>227</v>
      </c>
      <c r="DA5" s="129" t="s">
        <v>227</v>
      </c>
      <c r="DB5" s="141" t="s">
        <v>207</v>
      </c>
      <c r="DC5" s="169">
        <v>5.10187E-2</v>
      </c>
      <c r="DD5" s="129" t="s">
        <v>227</v>
      </c>
      <c r="DE5" s="129" t="s">
        <v>227</v>
      </c>
      <c r="DF5" s="133" t="s">
        <v>207</v>
      </c>
      <c r="DH5" s="129" t="s">
        <v>227</v>
      </c>
      <c r="DI5" s="129" t="s">
        <v>227</v>
      </c>
      <c r="DJ5" s="129" t="s">
        <v>227</v>
      </c>
      <c r="DK5" s="156">
        <f t="shared" ref="DK5:DK45" si="7">0.0004326</f>
        <v>4.326E-4</v>
      </c>
      <c r="DL5" s="129" t="s">
        <v>227</v>
      </c>
      <c r="DM5" s="129" t="s">
        <v>227</v>
      </c>
      <c r="DN5" s="133" t="s">
        <v>209</v>
      </c>
      <c r="DO5" s="129">
        <v>39.61</v>
      </c>
      <c r="DP5" s="133" t="s">
        <v>210</v>
      </c>
      <c r="DQ5" s="129" t="s">
        <v>226</v>
      </c>
      <c r="DR5" s="133" t="s">
        <v>211</v>
      </c>
      <c r="DS5" s="133" t="s">
        <v>212</v>
      </c>
      <c r="DT5" s="157" t="s">
        <v>229</v>
      </c>
      <c r="DU5" s="158">
        <f t="shared" ref="DU5:DU45" si="8">1.0206-0.000049205*BX5</f>
        <v>1.0193356546913435</v>
      </c>
      <c r="DV5" s="156" t="s">
        <v>227</v>
      </c>
      <c r="DW5" s="156" t="s">
        <v>226</v>
      </c>
      <c r="DX5" s="157" t="s">
        <v>232</v>
      </c>
      <c r="DY5" s="159" t="s">
        <v>213</v>
      </c>
      <c r="DZ5" s="157" t="s">
        <v>214</v>
      </c>
      <c r="EA5" s="1" t="s">
        <v>217</v>
      </c>
      <c r="EB5" s="129" t="s">
        <v>218</v>
      </c>
      <c r="EC5" s="133" t="s">
        <v>219</v>
      </c>
      <c r="ED5" s="133" t="s">
        <v>219</v>
      </c>
      <c r="EE5" s="133" t="s">
        <v>220</v>
      </c>
      <c r="EH5" s="129" t="s">
        <v>215</v>
      </c>
      <c r="EI5" s="133" t="s">
        <v>216</v>
      </c>
      <c r="EJ5" s="153" t="s">
        <v>227</v>
      </c>
      <c r="EK5">
        <v>266.89999999999998</v>
      </c>
      <c r="EL5" s="133" t="s">
        <v>221</v>
      </c>
      <c r="EM5">
        <v>25</v>
      </c>
      <c r="EN5">
        <v>25</v>
      </c>
      <c r="EO5" t="s">
        <v>227</v>
      </c>
      <c r="EP5" t="s">
        <v>227</v>
      </c>
      <c r="EQ5" t="s">
        <v>227</v>
      </c>
      <c r="ER5" t="s">
        <v>227</v>
      </c>
      <c r="ES5" s="163">
        <v>8.1904972941175735</v>
      </c>
      <c r="ET5" s="142" t="s">
        <v>222</v>
      </c>
      <c r="EU5" s="164">
        <v>3.2853204528821678E-2</v>
      </c>
      <c r="EV5" s="164">
        <v>3.2853204528821678E-2</v>
      </c>
      <c r="EW5" s="165">
        <v>261.7</v>
      </c>
      <c r="EX5" s="129">
        <v>17</v>
      </c>
      <c r="EY5" s="139" t="s">
        <v>223</v>
      </c>
      <c r="EZ5" s="148">
        <f>EW5-EX5</f>
        <v>244.7</v>
      </c>
      <c r="FA5" s="162">
        <v>51.464119347852446</v>
      </c>
      <c r="FB5" s="162">
        <v>59.358871283069391</v>
      </c>
      <c r="FC5" s="133" t="s">
        <v>224</v>
      </c>
      <c r="FD5" s="133" t="s">
        <v>225</v>
      </c>
      <c r="FE5" s="129" t="s">
        <v>227</v>
      </c>
      <c r="FF5" s="129" t="s">
        <v>227</v>
      </c>
      <c r="FG5" s="129" t="s">
        <v>227</v>
      </c>
      <c r="FH5" s="129" t="s">
        <v>227</v>
      </c>
      <c r="FI5" s="129" t="s">
        <v>227</v>
      </c>
      <c r="FJ5" s="129" t="s">
        <v>227</v>
      </c>
      <c r="FK5" s="129" t="s">
        <v>227</v>
      </c>
      <c r="FL5" s="129" t="s">
        <v>227</v>
      </c>
      <c r="FM5" s="129" t="s">
        <v>227</v>
      </c>
      <c r="FN5" s="129" t="s">
        <v>227</v>
      </c>
      <c r="FO5" s="129" t="s">
        <v>227</v>
      </c>
      <c r="FP5" s="129" t="s">
        <v>227</v>
      </c>
    </row>
    <row r="6" spans="1:191" ht="18" x14ac:dyDescent="0.2">
      <c r="A6" s="130" t="s">
        <v>152</v>
      </c>
      <c r="B6" t="s">
        <v>153</v>
      </c>
      <c r="C6">
        <v>2011</v>
      </c>
      <c r="D6" t="s">
        <v>150</v>
      </c>
      <c r="E6" s="149">
        <f t="shared" si="1"/>
        <v>2078.0945449999999</v>
      </c>
      <c r="F6">
        <f t="shared" si="2"/>
        <v>6</v>
      </c>
      <c r="G6">
        <f t="shared" si="3"/>
        <v>6</v>
      </c>
      <c r="H6" s="167">
        <f t="shared" si="4"/>
        <v>228.7</v>
      </c>
      <c r="I6" s="167">
        <f t="shared" si="5"/>
        <v>49.269992289932411</v>
      </c>
      <c r="J6" s="167">
        <f t="shared" si="6"/>
        <v>56.557400930382222</v>
      </c>
      <c r="K6" s="141" t="s">
        <v>147</v>
      </c>
      <c r="L6" s="140" t="s">
        <v>148</v>
      </c>
      <c r="M6" s="139" t="s">
        <v>149</v>
      </c>
      <c r="N6" s="128" t="s">
        <v>150</v>
      </c>
      <c r="O6" s="129" t="s">
        <v>151</v>
      </c>
      <c r="P6" s="129" t="s">
        <v>154</v>
      </c>
      <c r="Q6" s="137">
        <v>8</v>
      </c>
      <c r="R6" s="137">
        <v>3</v>
      </c>
      <c r="S6" s="137">
        <v>103</v>
      </c>
      <c r="T6" s="137">
        <v>105</v>
      </c>
      <c r="U6" s="138">
        <v>68.63</v>
      </c>
      <c r="V6" s="136" t="s">
        <v>227</v>
      </c>
      <c r="W6" s="136" t="s">
        <v>227</v>
      </c>
      <c r="X6" s="133" t="s">
        <v>155</v>
      </c>
      <c r="Y6" s="134">
        <v>12.910833330000001</v>
      </c>
      <c r="Z6" s="134">
        <v>-78.833333330000002</v>
      </c>
      <c r="AA6" s="129" t="s">
        <v>227</v>
      </c>
      <c r="AB6" s="129" t="s">
        <v>227</v>
      </c>
      <c r="AC6" s="129">
        <v>-2838.9</v>
      </c>
      <c r="AD6" s="129" t="s">
        <v>227</v>
      </c>
      <c r="AE6" s="129" t="s">
        <v>227</v>
      </c>
      <c r="AF6" s="135" t="s">
        <v>227</v>
      </c>
      <c r="AG6" s="168">
        <v>2078.0945449999999</v>
      </c>
      <c r="AH6" s="142" t="s">
        <v>156</v>
      </c>
      <c r="AI6" s="129">
        <v>6</v>
      </c>
      <c r="AJ6">
        <v>6</v>
      </c>
      <c r="AK6" s="129" t="s">
        <v>227</v>
      </c>
      <c r="AL6" t="s">
        <v>227</v>
      </c>
      <c r="AM6" s="133" t="s">
        <v>157</v>
      </c>
      <c r="AN6" t="s">
        <v>227</v>
      </c>
      <c r="AO6" t="s">
        <v>227</v>
      </c>
      <c r="AP6" t="s">
        <v>227</v>
      </c>
      <c r="AQ6" t="s">
        <v>227</v>
      </c>
      <c r="AR6" t="s">
        <v>227</v>
      </c>
      <c r="AS6" t="s">
        <v>227</v>
      </c>
      <c r="AT6" t="s">
        <v>227</v>
      </c>
      <c r="AU6" s="133" t="s">
        <v>160</v>
      </c>
      <c r="AV6" s="170" t="s">
        <v>230</v>
      </c>
      <c r="AW6" s="139" t="s">
        <v>158</v>
      </c>
      <c r="AX6" s="145">
        <v>43.68</v>
      </c>
      <c r="AY6" s="139" t="s">
        <v>149</v>
      </c>
      <c r="AZ6" s="129" t="s">
        <v>227</v>
      </c>
      <c r="BA6" s="133" t="s">
        <v>159</v>
      </c>
      <c r="BB6" s="143" t="s">
        <v>164</v>
      </c>
      <c r="BC6">
        <v>4</v>
      </c>
      <c r="BD6" s="149">
        <v>0.19448650338776771</v>
      </c>
      <c r="BE6" s="138">
        <v>21.515983674932404</v>
      </c>
      <c r="BF6" s="133" t="s">
        <v>162</v>
      </c>
      <c r="BG6" s="147">
        <v>0.33</v>
      </c>
      <c r="BH6" s="136" t="s">
        <v>227</v>
      </c>
      <c r="BI6" s="136" t="s">
        <v>227</v>
      </c>
      <c r="BJ6" s="143" t="s">
        <v>227</v>
      </c>
      <c r="BK6" s="150">
        <v>-4.2</v>
      </c>
      <c r="BL6" s="136" t="s">
        <v>227</v>
      </c>
      <c r="BM6" s="129" t="s">
        <v>226</v>
      </c>
      <c r="BN6" s="139" t="s">
        <v>204</v>
      </c>
      <c r="BO6" s="133" t="s">
        <v>205</v>
      </c>
      <c r="BP6" s="129" t="s">
        <v>227</v>
      </c>
      <c r="BQ6" s="129" t="s">
        <v>227</v>
      </c>
      <c r="BR6" s="129" t="s">
        <v>227</v>
      </c>
      <c r="BS6" s="129" t="s">
        <v>227</v>
      </c>
      <c r="BT6" s="129" t="s">
        <v>227</v>
      </c>
      <c r="BU6" s="129">
        <v>0</v>
      </c>
      <c r="BV6" s="136" t="s">
        <v>227</v>
      </c>
      <c r="BW6" s="129" t="s">
        <v>226</v>
      </c>
      <c r="BX6" s="138">
        <v>25.695464051547695</v>
      </c>
      <c r="BY6" s="135" t="s">
        <v>156</v>
      </c>
      <c r="BZ6" s="152">
        <v>1</v>
      </c>
      <c r="CA6" s="152">
        <v>1</v>
      </c>
      <c r="CB6" s="133" t="s">
        <v>228</v>
      </c>
      <c r="CC6" s="153" t="s">
        <v>227</v>
      </c>
      <c r="CD6" s="135" t="s">
        <v>227</v>
      </c>
      <c r="CE6" s="154" t="s">
        <v>227</v>
      </c>
      <c r="CF6" s="142" t="s">
        <v>227</v>
      </c>
      <c r="CG6" s="142" t="s">
        <v>227</v>
      </c>
      <c r="CH6" s="129" t="s">
        <v>227</v>
      </c>
      <c r="CI6" s="142" t="s">
        <v>227</v>
      </c>
      <c r="CJ6" s="142" t="s">
        <v>227</v>
      </c>
      <c r="CK6" s="142" t="s">
        <v>226</v>
      </c>
      <c r="CL6" s="129" t="s">
        <v>227</v>
      </c>
      <c r="CM6" s="142" t="s">
        <v>226</v>
      </c>
      <c r="CN6" s="142" t="s">
        <v>227</v>
      </c>
      <c r="CO6" s="142" t="s">
        <v>227</v>
      </c>
      <c r="CP6" s="142" t="s">
        <v>227</v>
      </c>
      <c r="CQ6" s="142" t="s">
        <v>227</v>
      </c>
      <c r="CR6" s="142" t="s">
        <v>227</v>
      </c>
      <c r="CS6" s="142" t="s">
        <v>227</v>
      </c>
      <c r="CT6" s="142" t="s">
        <v>227</v>
      </c>
      <c r="CU6" s="155">
        <v>36.597853246653294</v>
      </c>
      <c r="CV6" s="135" t="s">
        <v>156</v>
      </c>
      <c r="CW6" s="129">
        <v>1</v>
      </c>
      <c r="CX6" s="133" t="s">
        <v>206</v>
      </c>
      <c r="CY6" s="169">
        <v>1.06838E-2</v>
      </c>
      <c r="CZ6" s="129" t="s">
        <v>227</v>
      </c>
      <c r="DA6" s="129" t="s">
        <v>227</v>
      </c>
      <c r="DB6" s="141" t="s">
        <v>207</v>
      </c>
      <c r="DC6" s="169">
        <v>5.09743E-2</v>
      </c>
      <c r="DD6" s="129" t="s">
        <v>227</v>
      </c>
      <c r="DE6" s="129" t="s">
        <v>227</v>
      </c>
      <c r="DF6" s="133" t="s">
        <v>207</v>
      </c>
      <c r="DH6" s="129" t="s">
        <v>227</v>
      </c>
      <c r="DI6" s="129" t="s">
        <v>227</v>
      </c>
      <c r="DJ6" s="129" t="s">
        <v>227</v>
      </c>
      <c r="DK6" s="156">
        <f t="shared" si="7"/>
        <v>4.326E-4</v>
      </c>
      <c r="DL6" s="129" t="s">
        <v>227</v>
      </c>
      <c r="DM6" s="129" t="s">
        <v>227</v>
      </c>
      <c r="DN6" s="133" t="s">
        <v>209</v>
      </c>
      <c r="DO6" s="129">
        <v>39.61</v>
      </c>
      <c r="DP6" s="133" t="s">
        <v>210</v>
      </c>
      <c r="DQ6" s="129" t="s">
        <v>226</v>
      </c>
      <c r="DR6" s="133" t="s">
        <v>211</v>
      </c>
      <c r="DS6" s="133" t="s">
        <v>212</v>
      </c>
      <c r="DT6" s="157" t="s">
        <v>229</v>
      </c>
      <c r="DU6" s="158">
        <f t="shared" si="8"/>
        <v>1.0193356546913435</v>
      </c>
      <c r="DV6" s="156" t="s">
        <v>227</v>
      </c>
      <c r="DW6" s="156" t="s">
        <v>226</v>
      </c>
      <c r="DX6" s="157" t="s">
        <v>232</v>
      </c>
      <c r="DY6" s="159" t="s">
        <v>213</v>
      </c>
      <c r="DZ6" s="157" t="s">
        <v>214</v>
      </c>
      <c r="EA6" s="1" t="s">
        <v>217</v>
      </c>
      <c r="EB6" s="129" t="s">
        <v>218</v>
      </c>
      <c r="EC6" s="133" t="s">
        <v>219</v>
      </c>
      <c r="ED6" s="133" t="s">
        <v>219</v>
      </c>
      <c r="EE6" s="133" t="s">
        <v>220</v>
      </c>
      <c r="EH6" s="129" t="s">
        <v>215</v>
      </c>
      <c r="EI6" s="133" t="s">
        <v>216</v>
      </c>
      <c r="EJ6" s="153" t="s">
        <v>227</v>
      </c>
      <c r="EK6">
        <v>294.7</v>
      </c>
      <c r="EL6" s="133" t="s">
        <v>221</v>
      </c>
      <c r="EM6">
        <v>25</v>
      </c>
      <c r="EN6">
        <v>25</v>
      </c>
      <c r="EO6" t="s">
        <v>227</v>
      </c>
      <c r="EP6" t="s">
        <v>227</v>
      </c>
      <c r="EQ6" t="s">
        <v>227</v>
      </c>
      <c r="ER6" t="s">
        <v>227</v>
      </c>
      <c r="ES6" s="163">
        <v>8.2094199278528102</v>
      </c>
      <c r="ET6" s="142" t="s">
        <v>222</v>
      </c>
      <c r="EU6" s="164">
        <v>3.4941980939650286E-2</v>
      </c>
      <c r="EV6" s="164">
        <v>3.4941980939650286E-2</v>
      </c>
      <c r="EW6" s="165">
        <v>245.7</v>
      </c>
      <c r="EX6" s="129">
        <v>17</v>
      </c>
      <c r="EY6" s="139" t="s">
        <v>223</v>
      </c>
      <c r="EZ6" s="148">
        <f>EW6-EX6</f>
        <v>228.7</v>
      </c>
      <c r="FA6" s="162">
        <v>49.269992289932411</v>
      </c>
      <c r="FB6" s="162">
        <v>56.557400930382222</v>
      </c>
      <c r="FC6" s="133" t="s">
        <v>224</v>
      </c>
      <c r="FD6" s="133" t="s">
        <v>225</v>
      </c>
      <c r="FE6" s="129" t="s">
        <v>227</v>
      </c>
      <c r="FF6" s="129" t="s">
        <v>227</v>
      </c>
      <c r="FG6" s="129" t="s">
        <v>227</v>
      </c>
      <c r="FH6" s="129" t="s">
        <v>227</v>
      </c>
      <c r="FI6" s="129" t="s">
        <v>227</v>
      </c>
      <c r="FJ6" s="129" t="s">
        <v>227</v>
      </c>
      <c r="FK6" s="129" t="s">
        <v>227</v>
      </c>
      <c r="FL6" s="129" t="s">
        <v>227</v>
      </c>
      <c r="FM6" s="129" t="s">
        <v>227</v>
      </c>
      <c r="FN6" s="129" t="s">
        <v>227</v>
      </c>
      <c r="FO6" s="129" t="s">
        <v>227</v>
      </c>
      <c r="FP6" s="129" t="s">
        <v>227</v>
      </c>
    </row>
    <row r="7" spans="1:191" ht="18" x14ac:dyDescent="0.2">
      <c r="A7" s="130" t="s">
        <v>152</v>
      </c>
      <c r="B7" t="s">
        <v>153</v>
      </c>
      <c r="C7">
        <v>2011</v>
      </c>
      <c r="D7" t="s">
        <v>150</v>
      </c>
      <c r="E7" s="149">
        <f t="shared" si="1"/>
        <v>2161.0079999999998</v>
      </c>
      <c r="F7">
        <f t="shared" si="2"/>
        <v>6</v>
      </c>
      <c r="G7">
        <f t="shared" si="3"/>
        <v>6</v>
      </c>
      <c r="H7" s="167">
        <f t="shared" si="4"/>
        <v>204.2</v>
      </c>
      <c r="I7" s="167">
        <f t="shared" si="5"/>
        <v>46.001130464370107</v>
      </c>
      <c r="J7" s="167">
        <f t="shared" si="6"/>
        <v>52.356256550674054</v>
      </c>
      <c r="K7" s="141" t="s">
        <v>147</v>
      </c>
      <c r="L7" s="140" t="s">
        <v>148</v>
      </c>
      <c r="M7" s="139" t="s">
        <v>149</v>
      </c>
      <c r="N7" s="128" t="s">
        <v>150</v>
      </c>
      <c r="O7" s="136" t="s">
        <v>151</v>
      </c>
      <c r="P7" s="129" t="s">
        <v>154</v>
      </c>
      <c r="Q7" s="137">
        <v>8</v>
      </c>
      <c r="R7" s="137">
        <v>5</v>
      </c>
      <c r="S7" s="137">
        <v>71</v>
      </c>
      <c r="T7" s="137">
        <v>73</v>
      </c>
      <c r="U7" s="138">
        <v>71.31</v>
      </c>
      <c r="V7" s="136" t="s">
        <v>227</v>
      </c>
      <c r="W7" s="136" t="s">
        <v>227</v>
      </c>
      <c r="X7" s="133" t="s">
        <v>155</v>
      </c>
      <c r="Y7" s="134">
        <v>12.910833330000001</v>
      </c>
      <c r="Z7" s="134">
        <v>-78.833333330000002</v>
      </c>
      <c r="AA7" s="129" t="s">
        <v>227</v>
      </c>
      <c r="AB7" s="129" t="s">
        <v>227</v>
      </c>
      <c r="AC7" s="129">
        <v>-2838.9</v>
      </c>
      <c r="AD7" s="129" t="s">
        <v>227</v>
      </c>
      <c r="AE7" s="129" t="s">
        <v>227</v>
      </c>
      <c r="AF7" s="135" t="s">
        <v>227</v>
      </c>
      <c r="AG7" s="168">
        <v>2161.0079999999998</v>
      </c>
      <c r="AH7" s="142" t="s">
        <v>156</v>
      </c>
      <c r="AI7" s="129">
        <v>6</v>
      </c>
      <c r="AJ7">
        <v>6</v>
      </c>
      <c r="AK7" s="129" t="s">
        <v>227</v>
      </c>
      <c r="AL7" t="s">
        <v>227</v>
      </c>
      <c r="AM7" s="133" t="s">
        <v>157</v>
      </c>
      <c r="AN7" t="s">
        <v>227</v>
      </c>
      <c r="AO7" t="s">
        <v>227</v>
      </c>
      <c r="AP7" t="s">
        <v>227</v>
      </c>
      <c r="AQ7" t="s">
        <v>227</v>
      </c>
      <c r="AR7" t="s">
        <v>227</v>
      </c>
      <c r="AS7" t="s">
        <v>227</v>
      </c>
      <c r="AT7" t="s">
        <v>227</v>
      </c>
      <c r="AU7" s="133" t="s">
        <v>160</v>
      </c>
      <c r="AV7" s="170" t="s">
        <v>230</v>
      </c>
      <c r="AW7" s="139" t="s">
        <v>158</v>
      </c>
      <c r="AX7" s="145">
        <v>50.34</v>
      </c>
      <c r="AY7" s="139" t="s">
        <v>149</v>
      </c>
      <c r="AZ7" s="129" t="s">
        <v>227</v>
      </c>
      <c r="BA7" s="133" t="s">
        <v>159</v>
      </c>
      <c r="BB7" s="136" t="s">
        <v>165</v>
      </c>
      <c r="BC7">
        <v>4</v>
      </c>
      <c r="BD7" s="149">
        <v>0.10878112581387248</v>
      </c>
      <c r="BE7" s="138">
        <v>21.696958380665819</v>
      </c>
      <c r="BF7" s="133" t="s">
        <v>162</v>
      </c>
      <c r="BG7" s="147">
        <v>0.33</v>
      </c>
      <c r="BH7" s="136" t="s">
        <v>227</v>
      </c>
      <c r="BI7" s="136" t="s">
        <v>227</v>
      </c>
      <c r="BJ7" s="143" t="s">
        <v>227</v>
      </c>
      <c r="BK7" s="150">
        <v>-4.2</v>
      </c>
      <c r="BL7" s="136" t="s">
        <v>227</v>
      </c>
      <c r="BM7" s="129" t="s">
        <v>226</v>
      </c>
      <c r="BN7" s="139" t="s">
        <v>204</v>
      </c>
      <c r="BO7" s="133" t="s">
        <v>205</v>
      </c>
      <c r="BP7" s="129" t="s">
        <v>227</v>
      </c>
      <c r="BQ7" s="129" t="s">
        <v>227</v>
      </c>
      <c r="BR7" s="129" t="s">
        <v>227</v>
      </c>
      <c r="BS7" s="129" t="s">
        <v>227</v>
      </c>
      <c r="BT7" s="129" t="s">
        <v>227</v>
      </c>
      <c r="BU7" s="129">
        <v>0</v>
      </c>
      <c r="BV7" s="136" t="s">
        <v>227</v>
      </c>
      <c r="BW7" s="129" t="s">
        <v>226</v>
      </c>
      <c r="BX7" s="138">
        <v>25.695464051547695</v>
      </c>
      <c r="BY7" s="135" t="s">
        <v>156</v>
      </c>
      <c r="BZ7" s="152">
        <v>1</v>
      </c>
      <c r="CA7" s="152">
        <v>1</v>
      </c>
      <c r="CB7" s="133" t="s">
        <v>228</v>
      </c>
      <c r="CC7" s="153" t="s">
        <v>227</v>
      </c>
      <c r="CD7" s="135" t="s">
        <v>227</v>
      </c>
      <c r="CE7" s="154" t="s">
        <v>227</v>
      </c>
      <c r="CF7" s="142" t="s">
        <v>227</v>
      </c>
      <c r="CG7" s="142" t="s">
        <v>227</v>
      </c>
      <c r="CH7" s="129" t="s">
        <v>227</v>
      </c>
      <c r="CI7" s="142" t="s">
        <v>227</v>
      </c>
      <c r="CJ7" s="142" t="s">
        <v>227</v>
      </c>
      <c r="CK7" s="142" t="s">
        <v>226</v>
      </c>
      <c r="CL7" s="129" t="s">
        <v>227</v>
      </c>
      <c r="CM7" s="142" t="s">
        <v>226</v>
      </c>
      <c r="CN7" s="142" t="s">
        <v>227</v>
      </c>
      <c r="CO7" s="142" t="s">
        <v>227</v>
      </c>
      <c r="CP7" s="142" t="s">
        <v>227</v>
      </c>
      <c r="CQ7" s="142" t="s">
        <v>227</v>
      </c>
      <c r="CR7" s="142" t="s">
        <v>227</v>
      </c>
      <c r="CS7" s="142" t="s">
        <v>227</v>
      </c>
      <c r="CT7" s="142" t="s">
        <v>227</v>
      </c>
      <c r="CU7" s="155">
        <v>35.782806224709724</v>
      </c>
      <c r="CV7" s="135" t="s">
        <v>156</v>
      </c>
      <c r="CW7" s="129">
        <v>1</v>
      </c>
      <c r="CX7" s="133" t="s">
        <v>206</v>
      </c>
      <c r="CY7" s="169">
        <v>1.0699699999999999E-2</v>
      </c>
      <c r="CZ7" s="129" t="s">
        <v>227</v>
      </c>
      <c r="DA7" s="129" t="s">
        <v>227</v>
      </c>
      <c r="DB7" s="141" t="s">
        <v>207</v>
      </c>
      <c r="DC7" s="169">
        <v>5.0902900000000001E-2</v>
      </c>
      <c r="DD7" s="129" t="s">
        <v>227</v>
      </c>
      <c r="DE7" s="129" t="s">
        <v>227</v>
      </c>
      <c r="DF7" s="133" t="s">
        <v>207</v>
      </c>
      <c r="DH7" s="129" t="s">
        <v>227</v>
      </c>
      <c r="DI7" s="129" t="s">
        <v>227</v>
      </c>
      <c r="DJ7" s="129" t="s">
        <v>227</v>
      </c>
      <c r="DK7" s="156">
        <f t="shared" si="7"/>
        <v>4.326E-4</v>
      </c>
      <c r="DL7" s="129" t="s">
        <v>227</v>
      </c>
      <c r="DM7" s="129" t="s">
        <v>227</v>
      </c>
      <c r="DN7" s="133" t="s">
        <v>209</v>
      </c>
      <c r="DO7" s="129">
        <v>39.61</v>
      </c>
      <c r="DP7" s="133" t="s">
        <v>210</v>
      </c>
      <c r="DQ7" s="129" t="s">
        <v>226</v>
      </c>
      <c r="DR7" s="133" t="s">
        <v>211</v>
      </c>
      <c r="DS7" s="133" t="s">
        <v>212</v>
      </c>
      <c r="DT7" s="157" t="s">
        <v>229</v>
      </c>
      <c r="DU7" s="158">
        <f t="shared" si="8"/>
        <v>1.0193356546913435</v>
      </c>
      <c r="DV7" s="156" t="s">
        <v>227</v>
      </c>
      <c r="DW7" s="156" t="s">
        <v>226</v>
      </c>
      <c r="DX7" s="157" t="s">
        <v>232</v>
      </c>
      <c r="DY7" s="159" t="s">
        <v>213</v>
      </c>
      <c r="DZ7" s="157" t="s">
        <v>214</v>
      </c>
      <c r="EA7" s="1" t="s">
        <v>217</v>
      </c>
      <c r="EB7" s="129" t="s">
        <v>218</v>
      </c>
      <c r="EC7" s="133" t="s">
        <v>219</v>
      </c>
      <c r="ED7" s="133" t="s">
        <v>219</v>
      </c>
      <c r="EE7" s="133" t="s">
        <v>220</v>
      </c>
      <c r="EH7" s="129" t="s">
        <v>215</v>
      </c>
      <c r="EI7" s="133" t="s">
        <v>216</v>
      </c>
      <c r="EJ7" s="153" t="s">
        <v>227</v>
      </c>
      <c r="EK7">
        <v>284.8</v>
      </c>
      <c r="EL7" s="133" t="s">
        <v>221</v>
      </c>
      <c r="EM7">
        <v>25</v>
      </c>
      <c r="EN7">
        <v>25</v>
      </c>
      <c r="EO7" t="s">
        <v>227</v>
      </c>
      <c r="EP7" t="s">
        <v>227</v>
      </c>
      <c r="EQ7" t="s">
        <v>227</v>
      </c>
      <c r="ER7" t="s">
        <v>227</v>
      </c>
      <c r="ES7" s="163">
        <v>8.2328339587420647</v>
      </c>
      <c r="ET7" s="142" t="s">
        <v>222</v>
      </c>
      <c r="EU7" s="164">
        <v>3.4334808137520767E-2</v>
      </c>
      <c r="EV7" s="164">
        <v>3.4334808137520767E-2</v>
      </c>
      <c r="EW7" s="165">
        <v>221.2</v>
      </c>
      <c r="EX7" s="129">
        <v>17</v>
      </c>
      <c r="EY7" s="139" t="s">
        <v>223</v>
      </c>
      <c r="EZ7" s="148">
        <f>EW7-EX7</f>
        <v>204.2</v>
      </c>
      <c r="FA7" s="162">
        <v>46.001130464370107</v>
      </c>
      <c r="FB7" s="162">
        <v>52.356256550674054</v>
      </c>
      <c r="FC7" s="133" t="s">
        <v>224</v>
      </c>
      <c r="FD7" s="133" t="s">
        <v>225</v>
      </c>
      <c r="FE7" s="129" t="s">
        <v>227</v>
      </c>
      <c r="FF7" s="129" t="s">
        <v>227</v>
      </c>
      <c r="FG7" s="129" t="s">
        <v>227</v>
      </c>
      <c r="FH7" s="129" t="s">
        <v>227</v>
      </c>
      <c r="FI7" s="129" t="s">
        <v>227</v>
      </c>
      <c r="FJ7" s="129" t="s">
        <v>227</v>
      </c>
      <c r="FK7" s="129" t="s">
        <v>227</v>
      </c>
      <c r="FL7" s="129" t="s">
        <v>227</v>
      </c>
      <c r="FM7" s="129" t="s">
        <v>227</v>
      </c>
      <c r="FN7" s="129" t="s">
        <v>227</v>
      </c>
      <c r="FO7" s="129" t="s">
        <v>227</v>
      </c>
      <c r="FP7" s="129" t="s">
        <v>227</v>
      </c>
    </row>
    <row r="8" spans="1:191" ht="18" x14ac:dyDescent="0.2">
      <c r="A8" s="130" t="s">
        <v>152</v>
      </c>
      <c r="B8" t="s">
        <v>153</v>
      </c>
      <c r="C8">
        <v>2011</v>
      </c>
      <c r="D8" t="s">
        <v>150</v>
      </c>
      <c r="E8" s="149">
        <f t="shared" si="1"/>
        <v>2166.038</v>
      </c>
      <c r="F8">
        <f t="shared" si="2"/>
        <v>6</v>
      </c>
      <c r="G8">
        <f t="shared" si="3"/>
        <v>6</v>
      </c>
      <c r="H8" s="167">
        <f t="shared" si="4"/>
        <v>365.6</v>
      </c>
      <c r="I8" s="167">
        <f t="shared" si="5"/>
        <v>69.059906175725445</v>
      </c>
      <c r="J8" s="167">
        <f t="shared" si="6"/>
        <v>81.481963648405028</v>
      </c>
      <c r="K8" s="141" t="s">
        <v>147</v>
      </c>
      <c r="L8" s="140" t="s">
        <v>148</v>
      </c>
      <c r="M8" s="139" t="s">
        <v>149</v>
      </c>
      <c r="N8" s="128" t="s">
        <v>150</v>
      </c>
      <c r="O8" s="129" t="s">
        <v>151</v>
      </c>
      <c r="P8" s="129" t="s">
        <v>154</v>
      </c>
      <c r="Q8" s="137">
        <v>8</v>
      </c>
      <c r="R8" s="137">
        <v>5</v>
      </c>
      <c r="S8" s="137">
        <v>87</v>
      </c>
      <c r="T8" s="137">
        <v>89</v>
      </c>
      <c r="U8" s="138">
        <v>71.47</v>
      </c>
      <c r="V8" s="136" t="s">
        <v>227</v>
      </c>
      <c r="W8" s="136" t="s">
        <v>227</v>
      </c>
      <c r="X8" s="133" t="s">
        <v>155</v>
      </c>
      <c r="Y8" s="134">
        <v>12.910833330000001</v>
      </c>
      <c r="Z8" s="134">
        <v>-78.833333330000002</v>
      </c>
      <c r="AA8" s="129" t="s">
        <v>227</v>
      </c>
      <c r="AB8" s="129" t="s">
        <v>227</v>
      </c>
      <c r="AC8" s="129">
        <v>-2838.9</v>
      </c>
      <c r="AD8" s="129" t="s">
        <v>227</v>
      </c>
      <c r="AE8" s="129" t="s">
        <v>227</v>
      </c>
      <c r="AF8" s="135" t="s">
        <v>227</v>
      </c>
      <c r="AG8" s="168">
        <v>2166.038</v>
      </c>
      <c r="AH8" s="142" t="s">
        <v>156</v>
      </c>
      <c r="AI8" s="129">
        <v>6</v>
      </c>
      <c r="AJ8">
        <v>6</v>
      </c>
      <c r="AK8" s="129" t="s">
        <v>227</v>
      </c>
      <c r="AL8" t="s">
        <v>227</v>
      </c>
      <c r="AM8" s="133" t="s">
        <v>157</v>
      </c>
      <c r="AN8" t="s">
        <v>227</v>
      </c>
      <c r="AO8" t="s">
        <v>227</v>
      </c>
      <c r="AP8" t="s">
        <v>227</v>
      </c>
      <c r="AQ8" t="s">
        <v>227</v>
      </c>
      <c r="AR8" t="s">
        <v>227</v>
      </c>
      <c r="AS8" t="s">
        <v>227</v>
      </c>
      <c r="AT8" t="s">
        <v>227</v>
      </c>
      <c r="AU8" s="133" t="s">
        <v>160</v>
      </c>
      <c r="AV8" s="170" t="s">
        <v>230</v>
      </c>
      <c r="AW8" s="139" t="s">
        <v>158</v>
      </c>
      <c r="AX8" s="145">
        <v>48</v>
      </c>
      <c r="AY8" s="139" t="s">
        <v>149</v>
      </c>
      <c r="AZ8" s="129" t="s">
        <v>227</v>
      </c>
      <c r="BA8" s="133" t="s">
        <v>159</v>
      </c>
      <c r="BB8" s="136" t="s">
        <v>166</v>
      </c>
      <c r="BC8">
        <v>5</v>
      </c>
      <c r="BD8" s="149">
        <v>0.22859571299567255</v>
      </c>
      <c r="BE8" s="138">
        <v>20.45151308155102</v>
      </c>
      <c r="BF8" s="133" t="s">
        <v>162</v>
      </c>
      <c r="BG8" s="147">
        <v>0.3</v>
      </c>
      <c r="BH8" s="136" t="s">
        <v>227</v>
      </c>
      <c r="BI8" s="136" t="s">
        <v>227</v>
      </c>
      <c r="BJ8" s="143" t="s">
        <v>227</v>
      </c>
      <c r="BK8" s="150">
        <v>-4.2</v>
      </c>
      <c r="BL8" s="136" t="s">
        <v>227</v>
      </c>
      <c r="BM8" s="129" t="s">
        <v>226</v>
      </c>
      <c r="BN8" s="139" t="s">
        <v>204</v>
      </c>
      <c r="BO8" s="133" t="s">
        <v>205</v>
      </c>
      <c r="BP8" s="129" t="s">
        <v>227</v>
      </c>
      <c r="BQ8" s="129" t="s">
        <v>227</v>
      </c>
      <c r="BR8" s="129" t="s">
        <v>227</v>
      </c>
      <c r="BS8" s="129" t="s">
        <v>227</v>
      </c>
      <c r="BT8" s="129" t="s">
        <v>227</v>
      </c>
      <c r="BU8" s="129">
        <v>0</v>
      </c>
      <c r="BV8" s="136" t="s">
        <v>227</v>
      </c>
      <c r="BW8" s="129" t="s">
        <v>226</v>
      </c>
      <c r="BX8" s="138">
        <v>25.695464051547695</v>
      </c>
      <c r="BY8" s="135" t="s">
        <v>156</v>
      </c>
      <c r="BZ8" s="152">
        <v>1</v>
      </c>
      <c r="CA8" s="152">
        <v>1</v>
      </c>
      <c r="CB8" s="133" t="s">
        <v>228</v>
      </c>
      <c r="CC8" s="153" t="s">
        <v>227</v>
      </c>
      <c r="CD8" s="135" t="s">
        <v>227</v>
      </c>
      <c r="CE8" s="154" t="s">
        <v>227</v>
      </c>
      <c r="CF8" s="142" t="s">
        <v>227</v>
      </c>
      <c r="CG8" s="142" t="s">
        <v>227</v>
      </c>
      <c r="CH8" s="129" t="s">
        <v>227</v>
      </c>
      <c r="CI8" s="142" t="s">
        <v>227</v>
      </c>
      <c r="CJ8" s="142" t="s">
        <v>227</v>
      </c>
      <c r="CK8" s="142" t="s">
        <v>226</v>
      </c>
      <c r="CL8" s="129" t="s">
        <v>227</v>
      </c>
      <c r="CM8" s="142" t="s">
        <v>226</v>
      </c>
      <c r="CN8" s="142" t="s">
        <v>227</v>
      </c>
      <c r="CO8" s="142" t="s">
        <v>227</v>
      </c>
      <c r="CP8" s="142" t="s">
        <v>227</v>
      </c>
      <c r="CQ8" s="142" t="s">
        <v>227</v>
      </c>
      <c r="CR8" s="142" t="s">
        <v>227</v>
      </c>
      <c r="CS8" s="142" t="s">
        <v>227</v>
      </c>
      <c r="CT8" s="142" t="s">
        <v>227</v>
      </c>
      <c r="CU8" s="155">
        <v>35.281238826590602</v>
      </c>
      <c r="CV8" s="135" t="s">
        <v>156</v>
      </c>
      <c r="CW8" s="129">
        <v>1</v>
      </c>
      <c r="CX8" s="133" t="s">
        <v>206</v>
      </c>
      <c r="CY8" s="169">
        <v>1.0700599999999999E-2</v>
      </c>
      <c r="CZ8" s="129" t="s">
        <v>227</v>
      </c>
      <c r="DA8" s="129" t="s">
        <v>227</v>
      </c>
      <c r="DB8" s="141" t="s">
        <v>207</v>
      </c>
      <c r="DC8" s="169">
        <v>5.0898600000000002E-2</v>
      </c>
      <c r="DD8" s="129" t="s">
        <v>227</v>
      </c>
      <c r="DE8" s="129" t="s">
        <v>227</v>
      </c>
      <c r="DF8" s="133" t="s">
        <v>207</v>
      </c>
      <c r="DH8" s="129" t="s">
        <v>227</v>
      </c>
      <c r="DI8" s="129" t="s">
        <v>227</v>
      </c>
      <c r="DJ8" s="129" t="s">
        <v>227</v>
      </c>
      <c r="DK8" s="156">
        <f t="shared" si="7"/>
        <v>4.326E-4</v>
      </c>
      <c r="DL8" s="129" t="s">
        <v>227</v>
      </c>
      <c r="DM8" s="129" t="s">
        <v>227</v>
      </c>
      <c r="DN8" s="133" t="s">
        <v>209</v>
      </c>
      <c r="DO8" s="129">
        <v>39.61</v>
      </c>
      <c r="DP8" s="133" t="s">
        <v>210</v>
      </c>
      <c r="DQ8" s="129" t="s">
        <v>226</v>
      </c>
      <c r="DR8" s="133" t="s">
        <v>211</v>
      </c>
      <c r="DS8" s="133" t="s">
        <v>212</v>
      </c>
      <c r="DT8" s="157" t="s">
        <v>229</v>
      </c>
      <c r="DU8" s="158">
        <f t="shared" si="8"/>
        <v>1.0193356546913435</v>
      </c>
      <c r="DV8" s="156" t="s">
        <v>227</v>
      </c>
      <c r="DW8" s="156" t="s">
        <v>226</v>
      </c>
      <c r="DX8" s="157" t="s">
        <v>232</v>
      </c>
      <c r="DY8" s="159" t="s">
        <v>213</v>
      </c>
      <c r="DZ8" s="157" t="s">
        <v>214</v>
      </c>
      <c r="EA8" s="1" t="s">
        <v>217</v>
      </c>
      <c r="EB8" s="129" t="s">
        <v>218</v>
      </c>
      <c r="EC8" s="133" t="s">
        <v>219</v>
      </c>
      <c r="ED8" s="133" t="s">
        <v>219</v>
      </c>
      <c r="EE8" s="133" t="s">
        <v>220</v>
      </c>
      <c r="EH8" s="129" t="s">
        <v>215</v>
      </c>
      <c r="EI8" s="133" t="s">
        <v>216</v>
      </c>
      <c r="EJ8" s="153" t="s">
        <v>227</v>
      </c>
      <c r="EK8">
        <v>279.60000000000002</v>
      </c>
      <c r="EL8" s="133" t="s">
        <v>221</v>
      </c>
      <c r="EM8">
        <v>25</v>
      </c>
      <c r="EN8">
        <v>25</v>
      </c>
      <c r="EO8" t="s">
        <v>227</v>
      </c>
      <c r="EP8" t="s">
        <v>227</v>
      </c>
      <c r="EQ8" t="s">
        <v>227</v>
      </c>
      <c r="ER8" t="s">
        <v>227</v>
      </c>
      <c r="ES8" s="163">
        <v>8.0969643129930926</v>
      </c>
      <c r="ET8" s="142" t="s">
        <v>222</v>
      </c>
      <c r="EU8" s="164">
        <v>3.6108896165218063E-2</v>
      </c>
      <c r="EV8" s="164">
        <v>3.6108896165218063E-2</v>
      </c>
      <c r="EW8" s="166">
        <v>382.6</v>
      </c>
      <c r="EX8" s="129">
        <v>17</v>
      </c>
      <c r="EY8" s="139" t="s">
        <v>223</v>
      </c>
      <c r="EZ8" s="148">
        <f t="shared" ref="EZ8:EZ45" si="9">EW8-EX8</f>
        <v>365.6</v>
      </c>
      <c r="FA8" s="162">
        <v>69.059906175725445</v>
      </c>
      <c r="FB8" s="162">
        <v>81.481963648405028</v>
      </c>
      <c r="FC8" s="133" t="s">
        <v>224</v>
      </c>
      <c r="FD8" s="133" t="s">
        <v>225</v>
      </c>
      <c r="FE8" s="129" t="s">
        <v>227</v>
      </c>
      <c r="FF8" s="129" t="s">
        <v>227</v>
      </c>
      <c r="FG8" s="129" t="s">
        <v>227</v>
      </c>
      <c r="FH8" s="129" t="s">
        <v>227</v>
      </c>
      <c r="FI8" s="129" t="s">
        <v>227</v>
      </c>
      <c r="FJ8" s="129" t="s">
        <v>227</v>
      </c>
      <c r="FK8" s="129" t="s">
        <v>227</v>
      </c>
      <c r="FL8" s="129" t="s">
        <v>227</v>
      </c>
      <c r="FM8" s="129" t="s">
        <v>227</v>
      </c>
      <c r="FN8" s="129" t="s">
        <v>227</v>
      </c>
      <c r="FO8" s="129" t="s">
        <v>227</v>
      </c>
      <c r="FP8" s="129" t="s">
        <v>227</v>
      </c>
    </row>
    <row r="9" spans="1:191" ht="18" x14ac:dyDescent="0.2">
      <c r="A9" s="130" t="s">
        <v>152</v>
      </c>
      <c r="B9" t="s">
        <v>153</v>
      </c>
      <c r="C9">
        <v>2011</v>
      </c>
      <c r="D9" t="s">
        <v>150</v>
      </c>
      <c r="E9" s="149">
        <f t="shared" si="1"/>
        <v>2201.944</v>
      </c>
      <c r="F9">
        <f t="shared" si="2"/>
        <v>6</v>
      </c>
      <c r="G9">
        <f t="shared" si="3"/>
        <v>6</v>
      </c>
      <c r="H9" s="167">
        <f t="shared" si="4"/>
        <v>368.8</v>
      </c>
      <c r="I9" s="167">
        <f t="shared" si="5"/>
        <v>69.542890715011254</v>
      </c>
      <c r="J9" s="167">
        <f t="shared" si="6"/>
        <v>82.083284534672458</v>
      </c>
      <c r="K9" s="141" t="s">
        <v>147</v>
      </c>
      <c r="L9" s="140" t="s">
        <v>148</v>
      </c>
      <c r="M9" s="139" t="s">
        <v>149</v>
      </c>
      <c r="N9" s="128" t="s">
        <v>150</v>
      </c>
      <c r="O9" s="136" t="s">
        <v>151</v>
      </c>
      <c r="P9" s="129" t="s">
        <v>154</v>
      </c>
      <c r="Q9" s="137">
        <v>8</v>
      </c>
      <c r="R9" s="137">
        <v>6</v>
      </c>
      <c r="S9" s="137">
        <v>49</v>
      </c>
      <c r="T9" s="137">
        <v>51</v>
      </c>
      <c r="U9" s="138">
        <v>72.59</v>
      </c>
      <c r="V9" s="136" t="s">
        <v>227</v>
      </c>
      <c r="W9" s="136" t="s">
        <v>227</v>
      </c>
      <c r="X9" s="133" t="s">
        <v>155</v>
      </c>
      <c r="Y9" s="134">
        <v>12.910833330000001</v>
      </c>
      <c r="Z9" s="134">
        <v>-78.833333330000002</v>
      </c>
      <c r="AA9" s="129" t="s">
        <v>227</v>
      </c>
      <c r="AB9" s="129" t="s">
        <v>227</v>
      </c>
      <c r="AC9" s="129">
        <v>-2838.9</v>
      </c>
      <c r="AD9" s="129" t="s">
        <v>227</v>
      </c>
      <c r="AE9" s="129" t="s">
        <v>227</v>
      </c>
      <c r="AF9" s="135" t="s">
        <v>227</v>
      </c>
      <c r="AG9" s="168">
        <v>2201.944</v>
      </c>
      <c r="AH9" s="142" t="s">
        <v>156</v>
      </c>
      <c r="AI9" s="129">
        <v>6</v>
      </c>
      <c r="AJ9">
        <v>6</v>
      </c>
      <c r="AK9" s="129" t="s">
        <v>227</v>
      </c>
      <c r="AL9" t="s">
        <v>227</v>
      </c>
      <c r="AM9" s="133" t="s">
        <v>157</v>
      </c>
      <c r="AN9" t="s">
        <v>227</v>
      </c>
      <c r="AO9" t="s">
        <v>227</v>
      </c>
      <c r="AP9" t="s">
        <v>227</v>
      </c>
      <c r="AQ9" t="s">
        <v>227</v>
      </c>
      <c r="AR9" t="s">
        <v>227</v>
      </c>
      <c r="AS9" t="s">
        <v>227</v>
      </c>
      <c r="AT9" t="s">
        <v>227</v>
      </c>
      <c r="AU9" s="133" t="s">
        <v>160</v>
      </c>
      <c r="AV9" s="170" t="s">
        <v>230</v>
      </c>
      <c r="AW9" s="139" t="s">
        <v>158</v>
      </c>
      <c r="AX9" s="145">
        <v>42.2</v>
      </c>
      <c r="AY9" s="139" t="s">
        <v>149</v>
      </c>
      <c r="AZ9" s="129" t="s">
        <v>227</v>
      </c>
      <c r="BA9" s="133" t="s">
        <v>159</v>
      </c>
      <c r="BB9" s="136" t="s">
        <v>167</v>
      </c>
      <c r="BC9">
        <v>6</v>
      </c>
      <c r="BD9" s="149">
        <v>0.21170734517252801</v>
      </c>
      <c r="BE9" s="138">
        <v>20.384977656964082</v>
      </c>
      <c r="BF9" s="133" t="s">
        <v>162</v>
      </c>
      <c r="BG9" s="147">
        <v>0.2799240342365541</v>
      </c>
      <c r="BH9" s="136" t="s">
        <v>227</v>
      </c>
      <c r="BI9" s="136" t="s">
        <v>227</v>
      </c>
      <c r="BJ9" s="143" t="s">
        <v>227</v>
      </c>
      <c r="BK9" s="150">
        <v>-4.2</v>
      </c>
      <c r="BL9" s="136" t="s">
        <v>227</v>
      </c>
      <c r="BM9" s="129" t="s">
        <v>226</v>
      </c>
      <c r="BN9" s="139" t="s">
        <v>204</v>
      </c>
      <c r="BO9" s="133" t="s">
        <v>205</v>
      </c>
      <c r="BP9" s="129" t="s">
        <v>227</v>
      </c>
      <c r="BQ9" s="129" t="s">
        <v>227</v>
      </c>
      <c r="BR9" s="129" t="s">
        <v>227</v>
      </c>
      <c r="BS9" s="129" t="s">
        <v>227</v>
      </c>
      <c r="BT9" s="129" t="s">
        <v>227</v>
      </c>
      <c r="BU9" s="129">
        <v>0</v>
      </c>
      <c r="BV9" s="136" t="s">
        <v>227</v>
      </c>
      <c r="BW9" s="129" t="s">
        <v>226</v>
      </c>
      <c r="BX9" s="138">
        <v>25.695464051547695</v>
      </c>
      <c r="BY9" s="135" t="s">
        <v>156</v>
      </c>
      <c r="BZ9" s="152">
        <v>1</v>
      </c>
      <c r="CA9" s="152">
        <v>1</v>
      </c>
      <c r="CB9" s="133" t="s">
        <v>228</v>
      </c>
      <c r="CC9" s="153" t="s">
        <v>227</v>
      </c>
      <c r="CD9" s="135" t="s">
        <v>227</v>
      </c>
      <c r="CE9" s="154" t="s">
        <v>227</v>
      </c>
      <c r="CF9" s="142" t="s">
        <v>227</v>
      </c>
      <c r="CG9" s="142" t="s">
        <v>227</v>
      </c>
      <c r="CH9" s="129" t="s">
        <v>227</v>
      </c>
      <c r="CI9" s="142" t="s">
        <v>227</v>
      </c>
      <c r="CJ9" s="142" t="s">
        <v>227</v>
      </c>
      <c r="CK9" s="142" t="s">
        <v>226</v>
      </c>
      <c r="CL9" s="129" t="s">
        <v>227</v>
      </c>
      <c r="CM9" s="142" t="s">
        <v>226</v>
      </c>
      <c r="CN9" s="142" t="s">
        <v>227</v>
      </c>
      <c r="CO9" s="142" t="s">
        <v>227</v>
      </c>
      <c r="CP9" s="142" t="s">
        <v>227</v>
      </c>
      <c r="CQ9" s="142" t="s">
        <v>227</v>
      </c>
      <c r="CR9" s="142" t="s">
        <v>227</v>
      </c>
      <c r="CS9" s="142" t="s">
        <v>227</v>
      </c>
      <c r="CT9" s="142" t="s">
        <v>227</v>
      </c>
      <c r="CU9" s="155">
        <v>35.845502149474612</v>
      </c>
      <c r="CV9" s="135" t="s">
        <v>156</v>
      </c>
      <c r="CW9" s="129">
        <v>1</v>
      </c>
      <c r="CX9" s="133" t="s">
        <v>206</v>
      </c>
      <c r="CY9" s="169">
        <v>1.07075E-2</v>
      </c>
      <c r="CZ9" s="129" t="s">
        <v>227</v>
      </c>
      <c r="DA9" s="129" t="s">
        <v>227</v>
      </c>
      <c r="DB9" s="141" t="s">
        <v>207</v>
      </c>
      <c r="DC9" s="169">
        <v>5.0867700000000002E-2</v>
      </c>
      <c r="DD9" s="129" t="s">
        <v>227</v>
      </c>
      <c r="DE9" s="129" t="s">
        <v>227</v>
      </c>
      <c r="DF9" s="133" t="s">
        <v>207</v>
      </c>
      <c r="DH9" s="129" t="s">
        <v>227</v>
      </c>
      <c r="DI9" s="129" t="s">
        <v>227</v>
      </c>
      <c r="DJ9" s="129" t="s">
        <v>227</v>
      </c>
      <c r="DK9" s="156">
        <f t="shared" si="7"/>
        <v>4.326E-4</v>
      </c>
      <c r="DL9" s="129" t="s">
        <v>227</v>
      </c>
      <c r="DM9" s="129" t="s">
        <v>227</v>
      </c>
      <c r="DN9" s="133" t="s">
        <v>209</v>
      </c>
      <c r="DO9" s="129">
        <v>39.61</v>
      </c>
      <c r="DP9" s="133" t="s">
        <v>210</v>
      </c>
      <c r="DQ9" s="129" t="s">
        <v>226</v>
      </c>
      <c r="DR9" s="133" t="s">
        <v>211</v>
      </c>
      <c r="DS9" s="133" t="s">
        <v>212</v>
      </c>
      <c r="DT9" s="157" t="s">
        <v>229</v>
      </c>
      <c r="DU9" s="158">
        <f t="shared" si="8"/>
        <v>1.0193356546913435</v>
      </c>
      <c r="DV9" s="156" t="s">
        <v>227</v>
      </c>
      <c r="DW9" s="156" t="s">
        <v>226</v>
      </c>
      <c r="DX9" s="157" t="s">
        <v>232</v>
      </c>
      <c r="DY9" s="159" t="s">
        <v>213</v>
      </c>
      <c r="DZ9" s="157" t="s">
        <v>214</v>
      </c>
      <c r="EA9" s="1" t="s">
        <v>217</v>
      </c>
      <c r="EB9" s="129" t="s">
        <v>218</v>
      </c>
      <c r="EC9" s="133" t="s">
        <v>219</v>
      </c>
      <c r="ED9" s="133" t="s">
        <v>219</v>
      </c>
      <c r="EE9" s="133" t="s">
        <v>220</v>
      </c>
      <c r="EH9" s="129" t="s">
        <v>215</v>
      </c>
      <c r="EI9" s="133" t="s">
        <v>216</v>
      </c>
      <c r="EJ9" s="153" t="s">
        <v>227</v>
      </c>
      <c r="EK9">
        <v>285</v>
      </c>
      <c r="EL9" s="133" t="s">
        <v>221</v>
      </c>
      <c r="EM9">
        <v>25</v>
      </c>
      <c r="EN9">
        <v>25</v>
      </c>
      <c r="EO9" t="s">
        <v>227</v>
      </c>
      <c r="EP9" t="s">
        <v>227</v>
      </c>
      <c r="EQ9" t="s">
        <v>227</v>
      </c>
      <c r="ER9" t="s">
        <v>227</v>
      </c>
      <c r="ES9" s="163">
        <v>8.0857908680202648</v>
      </c>
      <c r="ET9" s="142" t="s">
        <v>222</v>
      </c>
      <c r="EU9" s="164">
        <v>3.4015022395106342E-2</v>
      </c>
      <c r="EV9" s="164">
        <v>3.4015022395106342E-2</v>
      </c>
      <c r="EW9" s="166">
        <v>385.8</v>
      </c>
      <c r="EX9" s="129">
        <v>17</v>
      </c>
      <c r="EY9" s="139" t="s">
        <v>223</v>
      </c>
      <c r="EZ9" s="148">
        <f t="shared" si="9"/>
        <v>368.8</v>
      </c>
      <c r="FA9" s="162">
        <v>69.542890715011254</v>
      </c>
      <c r="FB9" s="162">
        <v>82.083284534672458</v>
      </c>
      <c r="FC9" s="133" t="s">
        <v>224</v>
      </c>
      <c r="FD9" s="133" t="s">
        <v>225</v>
      </c>
      <c r="FE9" s="129" t="s">
        <v>227</v>
      </c>
      <c r="FF9" s="129" t="s">
        <v>227</v>
      </c>
      <c r="FG9" s="129" t="s">
        <v>227</v>
      </c>
      <c r="FH9" s="129" t="s">
        <v>227</v>
      </c>
      <c r="FI9" s="129" t="s">
        <v>227</v>
      </c>
      <c r="FJ9" s="129" t="s">
        <v>227</v>
      </c>
      <c r="FK9" s="129" t="s">
        <v>227</v>
      </c>
      <c r="FL9" s="129" t="s">
        <v>227</v>
      </c>
      <c r="FM9" s="129" t="s">
        <v>227</v>
      </c>
      <c r="FN9" s="129" t="s">
        <v>227</v>
      </c>
      <c r="FO9" s="129" t="s">
        <v>227</v>
      </c>
      <c r="FP9" s="129" t="s">
        <v>227</v>
      </c>
    </row>
    <row r="10" spans="1:191" ht="18" x14ac:dyDescent="0.2">
      <c r="A10" s="130" t="s">
        <v>152</v>
      </c>
      <c r="B10" t="s">
        <v>153</v>
      </c>
      <c r="C10">
        <v>2011</v>
      </c>
      <c r="D10" t="s">
        <v>150</v>
      </c>
      <c r="E10" s="149">
        <f t="shared" si="1"/>
        <v>2304.672</v>
      </c>
      <c r="F10">
        <f t="shared" si="2"/>
        <v>6</v>
      </c>
      <c r="G10">
        <f t="shared" si="3"/>
        <v>6</v>
      </c>
      <c r="H10" s="167">
        <f t="shared" si="4"/>
        <v>220.6</v>
      </c>
      <c r="I10" s="167">
        <f t="shared" si="5"/>
        <v>48.17627648542382</v>
      </c>
      <c r="J10" s="167">
        <f t="shared" si="6"/>
        <v>55.155692362620201</v>
      </c>
      <c r="K10" s="141" t="s">
        <v>147</v>
      </c>
      <c r="L10" s="140" t="s">
        <v>148</v>
      </c>
      <c r="M10" s="139" t="s">
        <v>149</v>
      </c>
      <c r="N10" s="128" t="s">
        <v>150</v>
      </c>
      <c r="O10" s="129" t="s">
        <v>151</v>
      </c>
      <c r="P10" s="129" t="s">
        <v>154</v>
      </c>
      <c r="Q10" s="137">
        <v>9</v>
      </c>
      <c r="R10" s="137">
        <v>1</v>
      </c>
      <c r="S10" s="137">
        <v>127</v>
      </c>
      <c r="T10" s="137">
        <v>129</v>
      </c>
      <c r="U10" s="138">
        <v>75.37</v>
      </c>
      <c r="V10" s="136" t="s">
        <v>227</v>
      </c>
      <c r="W10" s="136" t="s">
        <v>227</v>
      </c>
      <c r="X10" s="133" t="s">
        <v>155</v>
      </c>
      <c r="Y10" s="134">
        <v>12.910833330000001</v>
      </c>
      <c r="Z10" s="134">
        <v>-78.833333330000002</v>
      </c>
      <c r="AA10" s="129" t="s">
        <v>227</v>
      </c>
      <c r="AB10" s="129" t="s">
        <v>227</v>
      </c>
      <c r="AC10" s="129">
        <v>-2838.9</v>
      </c>
      <c r="AD10" s="129" t="s">
        <v>227</v>
      </c>
      <c r="AE10" s="129" t="s">
        <v>227</v>
      </c>
      <c r="AF10" s="135" t="s">
        <v>227</v>
      </c>
      <c r="AG10" s="168">
        <v>2304.672</v>
      </c>
      <c r="AH10" s="142" t="s">
        <v>156</v>
      </c>
      <c r="AI10" s="129">
        <v>6</v>
      </c>
      <c r="AJ10">
        <v>6</v>
      </c>
      <c r="AK10" s="129" t="s">
        <v>227</v>
      </c>
      <c r="AL10" t="s">
        <v>227</v>
      </c>
      <c r="AM10" s="133" t="s">
        <v>157</v>
      </c>
      <c r="AN10" t="s">
        <v>227</v>
      </c>
      <c r="AO10" t="s">
        <v>227</v>
      </c>
      <c r="AP10" t="s">
        <v>227</v>
      </c>
      <c r="AQ10" t="s">
        <v>227</v>
      </c>
      <c r="AR10" t="s">
        <v>227</v>
      </c>
      <c r="AS10" t="s">
        <v>227</v>
      </c>
      <c r="AT10" t="s">
        <v>227</v>
      </c>
      <c r="AU10" s="133" t="s">
        <v>160</v>
      </c>
      <c r="AV10" s="170" t="s">
        <v>230</v>
      </c>
      <c r="AW10" s="139" t="s">
        <v>158</v>
      </c>
      <c r="AX10" s="145">
        <v>43.49</v>
      </c>
      <c r="AY10" s="139" t="s">
        <v>149</v>
      </c>
      <c r="AZ10" s="129" t="s">
        <v>227</v>
      </c>
      <c r="BA10" s="133" t="s">
        <v>159</v>
      </c>
      <c r="BB10" s="136" t="s">
        <v>168</v>
      </c>
      <c r="BC10">
        <v>4</v>
      </c>
      <c r="BD10" s="149">
        <v>0.13425721582097463</v>
      </c>
      <c r="BE10" s="138">
        <v>21.545274703726246</v>
      </c>
      <c r="BF10" s="133" t="s">
        <v>162</v>
      </c>
      <c r="BG10" s="147">
        <v>0.33</v>
      </c>
      <c r="BH10" s="136" t="s">
        <v>227</v>
      </c>
      <c r="BI10" s="136" t="s">
        <v>227</v>
      </c>
      <c r="BJ10" s="143" t="s">
        <v>227</v>
      </c>
      <c r="BK10" s="150">
        <v>-4.2</v>
      </c>
      <c r="BL10" s="136" t="s">
        <v>227</v>
      </c>
      <c r="BM10" s="129" t="s">
        <v>226</v>
      </c>
      <c r="BN10" s="139" t="s">
        <v>204</v>
      </c>
      <c r="BO10" s="133" t="s">
        <v>205</v>
      </c>
      <c r="BP10" s="129" t="s">
        <v>227</v>
      </c>
      <c r="BQ10" s="129" t="s">
        <v>227</v>
      </c>
      <c r="BR10" s="129" t="s">
        <v>227</v>
      </c>
      <c r="BS10" s="129" t="s">
        <v>227</v>
      </c>
      <c r="BT10" s="129" t="s">
        <v>227</v>
      </c>
      <c r="BU10" s="129">
        <v>0</v>
      </c>
      <c r="BV10" s="136" t="s">
        <v>227</v>
      </c>
      <c r="BW10" s="129" t="s">
        <v>226</v>
      </c>
      <c r="BX10" s="138">
        <v>26.111180005439451</v>
      </c>
      <c r="BY10" s="135" t="s">
        <v>156</v>
      </c>
      <c r="BZ10" s="152">
        <v>1</v>
      </c>
      <c r="CA10" s="152">
        <v>1</v>
      </c>
      <c r="CB10" s="133" t="s">
        <v>228</v>
      </c>
      <c r="CC10" s="153" t="s">
        <v>227</v>
      </c>
      <c r="CD10" s="135" t="s">
        <v>227</v>
      </c>
      <c r="CE10" s="154" t="s">
        <v>227</v>
      </c>
      <c r="CF10" s="142" t="s">
        <v>227</v>
      </c>
      <c r="CG10" s="142" t="s">
        <v>227</v>
      </c>
      <c r="CH10" s="129" t="s">
        <v>227</v>
      </c>
      <c r="CI10" s="142" t="s">
        <v>227</v>
      </c>
      <c r="CJ10" s="142" t="s">
        <v>227</v>
      </c>
      <c r="CK10" s="142" t="s">
        <v>226</v>
      </c>
      <c r="CL10" s="129" t="s">
        <v>227</v>
      </c>
      <c r="CM10" s="142" t="s">
        <v>226</v>
      </c>
      <c r="CN10" s="142" t="s">
        <v>227</v>
      </c>
      <c r="CO10" s="142" t="s">
        <v>227</v>
      </c>
      <c r="CP10" s="142" t="s">
        <v>227</v>
      </c>
      <c r="CQ10" s="142" t="s">
        <v>227</v>
      </c>
      <c r="CR10" s="142" t="s">
        <v>227</v>
      </c>
      <c r="CS10" s="142" t="s">
        <v>227</v>
      </c>
      <c r="CT10" s="142" t="s">
        <v>227</v>
      </c>
      <c r="CU10" s="155">
        <v>35.679638610684052</v>
      </c>
      <c r="CV10" s="135" t="s">
        <v>156</v>
      </c>
      <c r="CW10" s="129">
        <v>1</v>
      </c>
      <c r="CX10" s="133" t="s">
        <v>206</v>
      </c>
      <c r="CY10" s="169">
        <v>1.0727199999999999E-2</v>
      </c>
      <c r="CZ10" s="129" t="s">
        <v>227</v>
      </c>
      <c r="DA10" s="129" t="s">
        <v>227</v>
      </c>
      <c r="DB10" s="141" t="s">
        <v>207</v>
      </c>
      <c r="DC10" s="169">
        <v>5.0779699999999997E-2</v>
      </c>
      <c r="DD10" s="129" t="s">
        <v>227</v>
      </c>
      <c r="DE10" s="129" t="s">
        <v>227</v>
      </c>
      <c r="DF10" s="133" t="s">
        <v>207</v>
      </c>
      <c r="DH10" s="129" t="s">
        <v>227</v>
      </c>
      <c r="DI10" s="129" t="s">
        <v>227</v>
      </c>
      <c r="DJ10" s="129" t="s">
        <v>227</v>
      </c>
      <c r="DK10" s="156">
        <f t="shared" si="7"/>
        <v>4.326E-4</v>
      </c>
      <c r="DL10" s="129" t="s">
        <v>227</v>
      </c>
      <c r="DM10" s="129" t="s">
        <v>227</v>
      </c>
      <c r="DN10" s="133" t="s">
        <v>209</v>
      </c>
      <c r="DO10" s="129">
        <v>39.61</v>
      </c>
      <c r="DP10" s="133" t="s">
        <v>210</v>
      </c>
      <c r="DQ10" s="129" t="s">
        <v>226</v>
      </c>
      <c r="DR10" s="133" t="s">
        <v>211</v>
      </c>
      <c r="DS10" s="133" t="s">
        <v>212</v>
      </c>
      <c r="DT10" s="157" t="s">
        <v>229</v>
      </c>
      <c r="DU10" s="158">
        <f t="shared" si="8"/>
        <v>1.0193151993878322</v>
      </c>
      <c r="DV10" s="156" t="s">
        <v>227</v>
      </c>
      <c r="DW10" s="156" t="s">
        <v>226</v>
      </c>
      <c r="DX10" s="157" t="s">
        <v>232</v>
      </c>
      <c r="DY10" s="159" t="s">
        <v>213</v>
      </c>
      <c r="DZ10" s="157" t="s">
        <v>214</v>
      </c>
      <c r="EA10" s="1" t="s">
        <v>217</v>
      </c>
      <c r="EB10" s="129" t="s">
        <v>218</v>
      </c>
      <c r="EC10" s="133" t="s">
        <v>219</v>
      </c>
      <c r="ED10" s="133" t="s">
        <v>219</v>
      </c>
      <c r="EE10" s="133" t="s">
        <v>220</v>
      </c>
      <c r="EH10" s="129" t="s">
        <v>215</v>
      </c>
      <c r="EI10" s="133" t="s">
        <v>216</v>
      </c>
      <c r="EJ10" s="153" t="s">
        <v>227</v>
      </c>
      <c r="EK10">
        <v>281.5</v>
      </c>
      <c r="EL10" s="133" t="s">
        <v>221</v>
      </c>
      <c r="EM10">
        <v>25</v>
      </c>
      <c r="EN10">
        <v>25</v>
      </c>
      <c r="EO10" t="s">
        <v>227</v>
      </c>
      <c r="EP10" t="s">
        <v>227</v>
      </c>
      <c r="EQ10" t="s">
        <v>227</v>
      </c>
      <c r="ER10" t="s">
        <v>227</v>
      </c>
      <c r="ES10" s="163">
        <v>8.2111904073225404</v>
      </c>
      <c r="ET10" s="142" t="s">
        <v>222</v>
      </c>
      <c r="EU10" s="164">
        <v>3.4926465607876267E-2</v>
      </c>
      <c r="EV10" s="164">
        <v>3.4926465607876267E-2</v>
      </c>
      <c r="EW10" s="165">
        <v>237.6</v>
      </c>
      <c r="EX10" s="129">
        <v>17</v>
      </c>
      <c r="EY10" s="139" t="s">
        <v>223</v>
      </c>
      <c r="EZ10" s="148">
        <f t="shared" si="9"/>
        <v>220.6</v>
      </c>
      <c r="FA10" s="162">
        <v>48.17627648542382</v>
      </c>
      <c r="FB10" s="162">
        <v>55.155692362620201</v>
      </c>
      <c r="FC10" s="133" t="s">
        <v>224</v>
      </c>
      <c r="FD10" s="133" t="s">
        <v>225</v>
      </c>
      <c r="FE10" s="129" t="s">
        <v>227</v>
      </c>
      <c r="FF10" s="129" t="s">
        <v>227</v>
      </c>
      <c r="FG10" s="129" t="s">
        <v>227</v>
      </c>
      <c r="FH10" s="129" t="s">
        <v>227</v>
      </c>
      <c r="FI10" s="129" t="s">
        <v>227</v>
      </c>
      <c r="FJ10" s="129" t="s">
        <v>227</v>
      </c>
      <c r="FK10" s="129" t="s">
        <v>227</v>
      </c>
      <c r="FL10" s="129" t="s">
        <v>227</v>
      </c>
      <c r="FM10" s="129" t="s">
        <v>227</v>
      </c>
      <c r="FN10" s="129" t="s">
        <v>227</v>
      </c>
      <c r="FO10" s="129" t="s">
        <v>227</v>
      </c>
      <c r="FP10" s="129" t="s">
        <v>227</v>
      </c>
    </row>
    <row r="11" spans="1:191" ht="18" x14ac:dyDescent="0.2">
      <c r="A11" s="130" t="s">
        <v>152</v>
      </c>
      <c r="B11" t="s">
        <v>153</v>
      </c>
      <c r="C11">
        <v>2011</v>
      </c>
      <c r="D11" t="s">
        <v>150</v>
      </c>
      <c r="E11" s="149">
        <f t="shared" si="1"/>
        <v>2502.9360000000001</v>
      </c>
      <c r="F11">
        <f t="shared" si="2"/>
        <v>6</v>
      </c>
      <c r="G11">
        <f t="shared" si="3"/>
        <v>6</v>
      </c>
      <c r="H11" s="167">
        <f t="shared" si="4"/>
        <v>350.4</v>
      </c>
      <c r="I11" s="167">
        <f t="shared" si="5"/>
        <v>66.775037558956114</v>
      </c>
      <c r="J11" s="167">
        <f t="shared" si="6"/>
        <v>78.634028257491678</v>
      </c>
      <c r="K11" s="141" t="s">
        <v>147</v>
      </c>
      <c r="L11" s="140" t="s">
        <v>148</v>
      </c>
      <c r="M11" s="139" t="s">
        <v>149</v>
      </c>
      <c r="N11" s="128" t="s">
        <v>150</v>
      </c>
      <c r="O11" s="136" t="s">
        <v>151</v>
      </c>
      <c r="P11" s="129" t="s">
        <v>154</v>
      </c>
      <c r="Q11" s="137">
        <v>9</v>
      </c>
      <c r="R11" s="137">
        <v>6</v>
      </c>
      <c r="S11" s="137">
        <v>64</v>
      </c>
      <c r="T11" s="137">
        <v>66</v>
      </c>
      <c r="U11" s="138">
        <v>82.24</v>
      </c>
      <c r="V11" s="136" t="s">
        <v>227</v>
      </c>
      <c r="W11" s="136" t="s">
        <v>227</v>
      </c>
      <c r="X11" s="133" t="s">
        <v>155</v>
      </c>
      <c r="Y11" s="134">
        <v>12.910833330000001</v>
      </c>
      <c r="Z11" s="134">
        <v>-78.833333330000002</v>
      </c>
      <c r="AA11" s="129" t="s">
        <v>227</v>
      </c>
      <c r="AB11" s="129" t="s">
        <v>227</v>
      </c>
      <c r="AC11" s="129">
        <v>-2838.9</v>
      </c>
      <c r="AD11" s="129" t="s">
        <v>227</v>
      </c>
      <c r="AE11" s="129" t="s">
        <v>227</v>
      </c>
      <c r="AF11" s="135" t="s">
        <v>227</v>
      </c>
      <c r="AG11" s="168">
        <v>2502.9360000000001</v>
      </c>
      <c r="AH11" s="142" t="s">
        <v>156</v>
      </c>
      <c r="AI11" s="129">
        <v>6</v>
      </c>
      <c r="AJ11">
        <v>6</v>
      </c>
      <c r="AK11" s="129" t="s">
        <v>227</v>
      </c>
      <c r="AL11" t="s">
        <v>227</v>
      </c>
      <c r="AM11" s="133" t="s">
        <v>157</v>
      </c>
      <c r="AN11" t="s">
        <v>227</v>
      </c>
      <c r="AO11" t="s">
        <v>227</v>
      </c>
      <c r="AP11" t="s">
        <v>227</v>
      </c>
      <c r="AQ11" t="s">
        <v>227</v>
      </c>
      <c r="AR11" t="s">
        <v>227</v>
      </c>
      <c r="AS11" t="s">
        <v>227</v>
      </c>
      <c r="AT11" t="s">
        <v>227</v>
      </c>
      <c r="AU11" s="133" t="s">
        <v>160</v>
      </c>
      <c r="AV11" s="170" t="s">
        <v>230</v>
      </c>
      <c r="AW11" s="139" t="s">
        <v>158</v>
      </c>
      <c r="AX11" s="145">
        <v>53.02</v>
      </c>
      <c r="AY11" s="139" t="s">
        <v>149</v>
      </c>
      <c r="AZ11" s="129" t="s">
        <v>227</v>
      </c>
      <c r="BA11" s="133" t="s">
        <v>159</v>
      </c>
      <c r="BB11" s="136" t="s">
        <v>169</v>
      </c>
      <c r="BC11">
        <v>5</v>
      </c>
      <c r="BD11" s="149">
        <v>0.16649324310613933</v>
      </c>
      <c r="BE11" s="138">
        <v>20.591150518369972</v>
      </c>
      <c r="BF11" s="133" t="s">
        <v>162</v>
      </c>
      <c r="BG11" s="147">
        <v>0.3</v>
      </c>
      <c r="BH11" s="136" t="s">
        <v>227</v>
      </c>
      <c r="BI11" s="136" t="s">
        <v>227</v>
      </c>
      <c r="BJ11" s="143" t="s">
        <v>227</v>
      </c>
      <c r="BK11" s="150">
        <v>-4.2</v>
      </c>
      <c r="BL11" s="136" t="s">
        <v>227</v>
      </c>
      <c r="BM11" s="129" t="s">
        <v>226</v>
      </c>
      <c r="BN11" s="139" t="s">
        <v>204</v>
      </c>
      <c r="BO11" s="133" t="s">
        <v>205</v>
      </c>
      <c r="BP11" s="129" t="s">
        <v>227</v>
      </c>
      <c r="BQ11" s="129" t="s">
        <v>227</v>
      </c>
      <c r="BR11" s="129" t="s">
        <v>227</v>
      </c>
      <c r="BS11" s="129" t="s">
        <v>227</v>
      </c>
      <c r="BT11" s="129" t="s">
        <v>227</v>
      </c>
      <c r="BU11" s="129">
        <v>0</v>
      </c>
      <c r="BV11" s="136" t="s">
        <v>227</v>
      </c>
      <c r="BW11" s="129" t="s">
        <v>226</v>
      </c>
      <c r="BX11" s="138">
        <v>25.127253368312282</v>
      </c>
      <c r="BY11" s="135" t="s">
        <v>156</v>
      </c>
      <c r="BZ11" s="152">
        <v>1</v>
      </c>
      <c r="CA11" s="152">
        <v>1</v>
      </c>
      <c r="CB11" s="133" t="s">
        <v>228</v>
      </c>
      <c r="CC11" s="153" t="s">
        <v>227</v>
      </c>
      <c r="CD11" s="135" t="s">
        <v>227</v>
      </c>
      <c r="CE11" s="154" t="s">
        <v>227</v>
      </c>
      <c r="CF11" s="142" t="s">
        <v>227</v>
      </c>
      <c r="CG11" s="142" t="s">
        <v>227</v>
      </c>
      <c r="CH11" s="129" t="s">
        <v>227</v>
      </c>
      <c r="CI11" s="142" t="s">
        <v>227</v>
      </c>
      <c r="CJ11" s="142" t="s">
        <v>227</v>
      </c>
      <c r="CK11" s="142" t="s">
        <v>226</v>
      </c>
      <c r="CL11" s="129" t="s">
        <v>227</v>
      </c>
      <c r="CM11" s="142" t="s">
        <v>226</v>
      </c>
      <c r="CN11" s="142" t="s">
        <v>227</v>
      </c>
      <c r="CO11" s="142" t="s">
        <v>227</v>
      </c>
      <c r="CP11" s="142" t="s">
        <v>227</v>
      </c>
      <c r="CQ11" s="142" t="s">
        <v>227</v>
      </c>
      <c r="CR11" s="142" t="s">
        <v>227</v>
      </c>
      <c r="CS11" s="142" t="s">
        <v>227</v>
      </c>
      <c r="CT11" s="142" t="s">
        <v>227</v>
      </c>
      <c r="CU11" s="155">
        <v>35.511478194448841</v>
      </c>
      <c r="CV11" s="135" t="s">
        <v>156</v>
      </c>
      <c r="CW11" s="129">
        <v>1</v>
      </c>
      <c r="CX11" s="133" t="s">
        <v>206</v>
      </c>
      <c r="CY11" s="169">
        <v>1.07651E-2</v>
      </c>
      <c r="CZ11" s="129" t="s">
        <v>227</v>
      </c>
      <c r="DA11" s="129" t="s">
        <v>227</v>
      </c>
      <c r="DB11" s="141" t="s">
        <v>207</v>
      </c>
      <c r="DC11" s="169">
        <v>5.06104E-2</v>
      </c>
      <c r="DD11" s="129" t="s">
        <v>227</v>
      </c>
      <c r="DE11" s="129" t="s">
        <v>227</v>
      </c>
      <c r="DF11" s="133" t="s">
        <v>207</v>
      </c>
      <c r="DH11" s="129" t="s">
        <v>227</v>
      </c>
      <c r="DI11" s="129" t="s">
        <v>227</v>
      </c>
      <c r="DJ11" s="129" t="s">
        <v>227</v>
      </c>
      <c r="DK11" s="156">
        <f t="shared" si="7"/>
        <v>4.326E-4</v>
      </c>
      <c r="DL11" s="129" t="s">
        <v>227</v>
      </c>
      <c r="DM11" s="129" t="s">
        <v>227</v>
      </c>
      <c r="DN11" s="133" t="s">
        <v>209</v>
      </c>
      <c r="DO11" s="129">
        <v>39.61</v>
      </c>
      <c r="DP11" s="133" t="s">
        <v>210</v>
      </c>
      <c r="DQ11" s="129" t="s">
        <v>226</v>
      </c>
      <c r="DR11" s="133" t="s">
        <v>211</v>
      </c>
      <c r="DS11" s="133" t="s">
        <v>212</v>
      </c>
      <c r="DT11" s="157" t="s">
        <v>229</v>
      </c>
      <c r="DU11" s="158">
        <f t="shared" si="8"/>
        <v>1.0193636134980122</v>
      </c>
      <c r="DV11" s="156" t="s">
        <v>227</v>
      </c>
      <c r="DW11" s="156" t="s">
        <v>226</v>
      </c>
      <c r="DX11" s="157" t="s">
        <v>232</v>
      </c>
      <c r="DY11" s="159" t="s">
        <v>213</v>
      </c>
      <c r="DZ11" s="157" t="s">
        <v>214</v>
      </c>
      <c r="EA11" s="1" t="s">
        <v>217</v>
      </c>
      <c r="EB11" s="129" t="s">
        <v>218</v>
      </c>
      <c r="EC11" s="133" t="s">
        <v>219</v>
      </c>
      <c r="ED11" s="133" t="s">
        <v>219</v>
      </c>
      <c r="EE11" s="133" t="s">
        <v>220</v>
      </c>
      <c r="EH11" s="129" t="s">
        <v>215</v>
      </c>
      <c r="EI11" s="133" t="s">
        <v>216</v>
      </c>
      <c r="EJ11" s="153" t="s">
        <v>227</v>
      </c>
      <c r="EK11">
        <v>277.39999999999998</v>
      </c>
      <c r="EL11" s="133" t="s">
        <v>221</v>
      </c>
      <c r="EM11">
        <v>25</v>
      </c>
      <c r="EN11">
        <v>25</v>
      </c>
      <c r="EO11" t="s">
        <v>227</v>
      </c>
      <c r="EP11" t="s">
        <v>227</v>
      </c>
      <c r="EQ11" t="s">
        <v>227</v>
      </c>
      <c r="ER11" t="s">
        <v>227</v>
      </c>
      <c r="ES11" s="163">
        <v>8.1213574152348258</v>
      </c>
      <c r="ET11" s="142" t="s">
        <v>222</v>
      </c>
      <c r="EU11" s="164">
        <v>3.5257062857709798E-2</v>
      </c>
      <c r="EV11" s="164">
        <v>3.5257062857709798E-2</v>
      </c>
      <c r="EW11" s="165">
        <v>367.4</v>
      </c>
      <c r="EX11" s="129">
        <v>17</v>
      </c>
      <c r="EY11" s="139" t="s">
        <v>223</v>
      </c>
      <c r="EZ11" s="148">
        <f t="shared" si="9"/>
        <v>350.4</v>
      </c>
      <c r="FA11" s="162">
        <v>66.775037558956114</v>
      </c>
      <c r="FB11" s="162">
        <v>78.634028257491678</v>
      </c>
      <c r="FC11" s="133" t="s">
        <v>224</v>
      </c>
      <c r="FD11" s="133" t="s">
        <v>225</v>
      </c>
      <c r="FE11" s="129" t="s">
        <v>227</v>
      </c>
      <c r="FF11" s="129" t="s">
        <v>227</v>
      </c>
      <c r="FG11" s="129" t="s">
        <v>227</v>
      </c>
      <c r="FH11" s="129" t="s">
        <v>227</v>
      </c>
      <c r="FI11" s="129" t="s">
        <v>227</v>
      </c>
      <c r="FJ11" s="129" t="s">
        <v>227</v>
      </c>
      <c r="FK11" s="129" t="s">
        <v>227</v>
      </c>
      <c r="FL11" s="129" t="s">
        <v>227</v>
      </c>
      <c r="FM11" s="129" t="s">
        <v>227</v>
      </c>
      <c r="FN11" s="129" t="s">
        <v>227</v>
      </c>
      <c r="FO11" s="129" t="s">
        <v>227</v>
      </c>
      <c r="FP11" s="129" t="s">
        <v>227</v>
      </c>
    </row>
    <row r="12" spans="1:191" ht="18" x14ac:dyDescent="0.2">
      <c r="A12" s="130" t="s">
        <v>152</v>
      </c>
      <c r="B12" t="s">
        <v>153</v>
      </c>
      <c r="C12">
        <v>2011</v>
      </c>
      <c r="D12" t="s">
        <v>150</v>
      </c>
      <c r="E12" s="149">
        <f t="shared" si="1"/>
        <v>2558.5770000000002</v>
      </c>
      <c r="F12">
        <f t="shared" si="2"/>
        <v>6</v>
      </c>
      <c r="G12">
        <f t="shared" si="3"/>
        <v>6</v>
      </c>
      <c r="H12" s="167">
        <f t="shared" si="4"/>
        <v>292.7</v>
      </c>
      <c r="I12" s="167">
        <f t="shared" si="5"/>
        <v>58.268869049004202</v>
      </c>
      <c r="J12" s="167">
        <f t="shared" si="6"/>
        <v>67.974727656681338</v>
      </c>
      <c r="K12" s="141" t="s">
        <v>147</v>
      </c>
      <c r="L12" s="140" t="s">
        <v>148</v>
      </c>
      <c r="M12" s="139" t="s">
        <v>149</v>
      </c>
      <c r="N12" s="128" t="s">
        <v>150</v>
      </c>
      <c r="O12" s="129" t="s">
        <v>151</v>
      </c>
      <c r="P12" s="129" t="s">
        <v>154</v>
      </c>
      <c r="Q12" s="137">
        <v>9</v>
      </c>
      <c r="R12" s="137">
        <v>7</v>
      </c>
      <c r="S12" s="137">
        <v>67</v>
      </c>
      <c r="T12" s="137">
        <v>69</v>
      </c>
      <c r="U12" s="138">
        <v>83.77</v>
      </c>
      <c r="V12" s="136" t="s">
        <v>227</v>
      </c>
      <c r="W12" s="136" t="s">
        <v>227</v>
      </c>
      <c r="X12" s="133" t="s">
        <v>155</v>
      </c>
      <c r="Y12" s="134">
        <v>12.910833330000001</v>
      </c>
      <c r="Z12" s="134">
        <v>-78.833333330000002</v>
      </c>
      <c r="AA12" s="129" t="s">
        <v>227</v>
      </c>
      <c r="AB12" s="129" t="s">
        <v>227</v>
      </c>
      <c r="AC12" s="129">
        <v>-2838.9</v>
      </c>
      <c r="AD12" s="129" t="s">
        <v>227</v>
      </c>
      <c r="AE12" s="129" t="s">
        <v>227</v>
      </c>
      <c r="AF12" s="135" t="s">
        <v>227</v>
      </c>
      <c r="AG12" s="168">
        <v>2558.5770000000002</v>
      </c>
      <c r="AH12" s="142" t="s">
        <v>156</v>
      </c>
      <c r="AI12" s="129">
        <v>6</v>
      </c>
      <c r="AJ12">
        <v>6</v>
      </c>
      <c r="AK12" s="129" t="s">
        <v>227</v>
      </c>
      <c r="AL12" t="s">
        <v>227</v>
      </c>
      <c r="AM12" s="133" t="s">
        <v>157</v>
      </c>
      <c r="AN12" t="s">
        <v>227</v>
      </c>
      <c r="AO12" t="s">
        <v>227</v>
      </c>
      <c r="AP12" t="s">
        <v>227</v>
      </c>
      <c r="AQ12" t="s">
        <v>227</v>
      </c>
      <c r="AR12" t="s">
        <v>227</v>
      </c>
      <c r="AS12" t="s">
        <v>227</v>
      </c>
      <c r="AT12" t="s">
        <v>227</v>
      </c>
      <c r="AU12" s="133" t="s">
        <v>160</v>
      </c>
      <c r="AV12" s="170" t="s">
        <v>230</v>
      </c>
      <c r="AW12" s="139" t="s">
        <v>158</v>
      </c>
      <c r="AX12" s="145" t="s">
        <v>227</v>
      </c>
      <c r="AY12" s="139" t="s">
        <v>149</v>
      </c>
      <c r="AZ12" s="129" t="s">
        <v>227</v>
      </c>
      <c r="BA12" s="133" t="s">
        <v>159</v>
      </c>
      <c r="BB12" s="136" t="s">
        <v>170</v>
      </c>
      <c r="BC12">
        <v>3</v>
      </c>
      <c r="BD12" s="149">
        <v>0.37812402433299225</v>
      </c>
      <c r="BE12" s="138">
        <v>21.046017478175617</v>
      </c>
      <c r="BF12" s="133" t="s">
        <v>162</v>
      </c>
      <c r="BG12" s="147">
        <v>0.38</v>
      </c>
      <c r="BH12" s="136" t="s">
        <v>227</v>
      </c>
      <c r="BI12" s="136" t="s">
        <v>227</v>
      </c>
      <c r="BJ12" s="143" t="s">
        <v>227</v>
      </c>
      <c r="BK12" s="150">
        <v>-4.2</v>
      </c>
      <c r="BL12" s="136" t="s">
        <v>227</v>
      </c>
      <c r="BM12" s="129" t="s">
        <v>226</v>
      </c>
      <c r="BN12" s="139" t="s">
        <v>204</v>
      </c>
      <c r="BO12" s="133" t="s">
        <v>205</v>
      </c>
      <c r="BP12" s="129" t="s">
        <v>227</v>
      </c>
      <c r="BQ12" s="129" t="s">
        <v>227</v>
      </c>
      <c r="BR12" s="129" t="s">
        <v>227</v>
      </c>
      <c r="BS12" s="129" t="s">
        <v>227</v>
      </c>
      <c r="BT12" s="129" t="s">
        <v>227</v>
      </c>
      <c r="BU12" s="129">
        <v>0</v>
      </c>
      <c r="BV12" s="136" t="s">
        <v>227</v>
      </c>
      <c r="BW12" s="129" t="s">
        <v>226</v>
      </c>
      <c r="BX12" s="138">
        <v>26.204945212615723</v>
      </c>
      <c r="BY12" s="135" t="s">
        <v>156</v>
      </c>
      <c r="BZ12" s="152">
        <v>1</v>
      </c>
      <c r="CA12" s="152">
        <v>1</v>
      </c>
      <c r="CB12" s="133" t="s">
        <v>228</v>
      </c>
      <c r="CC12" s="153" t="s">
        <v>227</v>
      </c>
      <c r="CD12" s="135" t="s">
        <v>227</v>
      </c>
      <c r="CE12" s="154" t="s">
        <v>227</v>
      </c>
      <c r="CF12" s="142" t="s">
        <v>227</v>
      </c>
      <c r="CG12" s="142" t="s">
        <v>227</v>
      </c>
      <c r="CH12" s="129" t="s">
        <v>227</v>
      </c>
      <c r="CI12" s="142" t="s">
        <v>227</v>
      </c>
      <c r="CJ12" s="142" t="s">
        <v>227</v>
      </c>
      <c r="CK12" s="142" t="s">
        <v>226</v>
      </c>
      <c r="CL12" s="129" t="s">
        <v>227</v>
      </c>
      <c r="CM12" s="142" t="s">
        <v>226</v>
      </c>
      <c r="CN12" s="142" t="s">
        <v>227</v>
      </c>
      <c r="CO12" s="142" t="s">
        <v>227</v>
      </c>
      <c r="CP12" s="142" t="s">
        <v>227</v>
      </c>
      <c r="CQ12" s="142" t="s">
        <v>227</v>
      </c>
      <c r="CR12" s="142" t="s">
        <v>227</v>
      </c>
      <c r="CS12" s="142" t="s">
        <v>227</v>
      </c>
      <c r="CT12" s="142" t="s">
        <v>227</v>
      </c>
      <c r="CU12" s="155">
        <v>35.904087944180745</v>
      </c>
      <c r="CV12" s="135" t="s">
        <v>156</v>
      </c>
      <c r="CW12" s="129">
        <v>1</v>
      </c>
      <c r="CX12" s="133" t="s">
        <v>206</v>
      </c>
      <c r="CY12" s="169">
        <v>1.07758E-2</v>
      </c>
      <c r="CZ12" s="129" t="s">
        <v>227</v>
      </c>
      <c r="DA12" s="129" t="s">
        <v>227</v>
      </c>
      <c r="DB12" s="141" t="s">
        <v>207</v>
      </c>
      <c r="DC12" s="169">
        <v>5.05631E-2</v>
      </c>
      <c r="DD12" s="129" t="s">
        <v>227</v>
      </c>
      <c r="DE12" s="129" t="s">
        <v>227</v>
      </c>
      <c r="DF12" s="133" t="s">
        <v>207</v>
      </c>
      <c r="DH12" s="129" t="s">
        <v>227</v>
      </c>
      <c r="DI12" s="129" t="s">
        <v>227</v>
      </c>
      <c r="DJ12" s="129" t="s">
        <v>227</v>
      </c>
      <c r="DK12" s="156">
        <f t="shared" si="7"/>
        <v>4.326E-4</v>
      </c>
      <c r="DL12" s="129" t="s">
        <v>227</v>
      </c>
      <c r="DM12" s="129" t="s">
        <v>227</v>
      </c>
      <c r="DN12" s="133" t="s">
        <v>209</v>
      </c>
      <c r="DO12" s="129">
        <v>39.61</v>
      </c>
      <c r="DP12" s="133" t="s">
        <v>210</v>
      </c>
      <c r="DQ12" s="129" t="s">
        <v>226</v>
      </c>
      <c r="DR12" s="133" t="s">
        <v>211</v>
      </c>
      <c r="DS12" s="133" t="s">
        <v>212</v>
      </c>
      <c r="DT12" s="157" t="s">
        <v>229</v>
      </c>
      <c r="DU12" s="158">
        <f t="shared" si="8"/>
        <v>1.0193105856708131</v>
      </c>
      <c r="DV12" s="156" t="s">
        <v>227</v>
      </c>
      <c r="DW12" s="156" t="s">
        <v>226</v>
      </c>
      <c r="DX12" s="157" t="s">
        <v>232</v>
      </c>
      <c r="DY12" s="159" t="s">
        <v>213</v>
      </c>
      <c r="DZ12" s="157" t="s">
        <v>214</v>
      </c>
      <c r="EA12" s="1" t="s">
        <v>217</v>
      </c>
      <c r="EB12" s="129" t="s">
        <v>218</v>
      </c>
      <c r="EC12" s="133" t="s">
        <v>219</v>
      </c>
      <c r="ED12" s="133" t="s">
        <v>219</v>
      </c>
      <c r="EE12" s="133" t="s">
        <v>220</v>
      </c>
      <c r="EH12" s="129" t="s">
        <v>215</v>
      </c>
      <c r="EI12" s="133" t="s">
        <v>216</v>
      </c>
      <c r="EJ12" s="153" t="s">
        <v>227</v>
      </c>
      <c r="EK12">
        <v>280.10000000000002</v>
      </c>
      <c r="EL12" s="133" t="s">
        <v>221</v>
      </c>
      <c r="EM12">
        <v>25</v>
      </c>
      <c r="EN12">
        <v>25</v>
      </c>
      <c r="EO12" t="s">
        <v>227</v>
      </c>
      <c r="EP12" t="s">
        <v>227</v>
      </c>
      <c r="EQ12" t="s">
        <v>227</v>
      </c>
      <c r="ER12" t="s">
        <v>227</v>
      </c>
      <c r="ES12" s="163">
        <v>8.1542802135569588</v>
      </c>
      <c r="ET12" s="142" t="s">
        <v>222</v>
      </c>
      <c r="EU12" s="164">
        <v>4.6739230538033638E-2</v>
      </c>
      <c r="EV12" s="164">
        <v>4.6739230538033638E-2</v>
      </c>
      <c r="EW12" s="165">
        <v>309.7</v>
      </c>
      <c r="EX12" s="129">
        <v>17</v>
      </c>
      <c r="EY12" s="139" t="s">
        <v>223</v>
      </c>
      <c r="EZ12" s="148">
        <f t="shared" si="9"/>
        <v>292.7</v>
      </c>
      <c r="FA12" s="162">
        <v>58.268869049004202</v>
      </c>
      <c r="FB12" s="162">
        <v>67.974727656681338</v>
      </c>
      <c r="FC12" s="133" t="s">
        <v>224</v>
      </c>
      <c r="FD12" s="133" t="s">
        <v>225</v>
      </c>
      <c r="FE12" s="129" t="s">
        <v>227</v>
      </c>
      <c r="FF12" s="129" t="s">
        <v>227</v>
      </c>
      <c r="FG12" s="129" t="s">
        <v>227</v>
      </c>
      <c r="FH12" s="129" t="s">
        <v>227</v>
      </c>
      <c r="FI12" s="129" t="s">
        <v>227</v>
      </c>
      <c r="FJ12" s="129" t="s">
        <v>227</v>
      </c>
      <c r="FK12" s="129" t="s">
        <v>227</v>
      </c>
      <c r="FL12" s="129" t="s">
        <v>227</v>
      </c>
      <c r="FM12" s="129" t="s">
        <v>227</v>
      </c>
      <c r="FN12" s="129" t="s">
        <v>227</v>
      </c>
      <c r="FO12" s="129" t="s">
        <v>227</v>
      </c>
      <c r="FP12" s="129" t="s">
        <v>227</v>
      </c>
    </row>
    <row r="13" spans="1:191" ht="18" x14ac:dyDescent="0.2">
      <c r="A13" s="130" t="s">
        <v>152</v>
      </c>
      <c r="B13" t="s">
        <v>153</v>
      </c>
      <c r="C13">
        <v>2011</v>
      </c>
      <c r="D13" t="s">
        <v>150</v>
      </c>
      <c r="E13" s="149">
        <f t="shared" si="1"/>
        <v>2600.8620000000001</v>
      </c>
      <c r="F13">
        <f t="shared" si="2"/>
        <v>6</v>
      </c>
      <c r="G13">
        <f t="shared" si="3"/>
        <v>6</v>
      </c>
      <c r="H13" s="167">
        <f t="shared" si="4"/>
        <v>185.6</v>
      </c>
      <c r="I13" s="167">
        <f t="shared" si="5"/>
        <v>43.606169758418361</v>
      </c>
      <c r="J13" s="167">
        <f t="shared" si="6"/>
        <v>49.253125789131396</v>
      </c>
      <c r="K13" s="141" t="s">
        <v>147</v>
      </c>
      <c r="L13" s="140" t="s">
        <v>148</v>
      </c>
      <c r="M13" s="139" t="s">
        <v>149</v>
      </c>
      <c r="N13" s="128" t="s">
        <v>150</v>
      </c>
      <c r="O13" s="136" t="s">
        <v>151</v>
      </c>
      <c r="P13" s="129" t="s">
        <v>154</v>
      </c>
      <c r="Q13" s="137">
        <v>10</v>
      </c>
      <c r="R13" s="137">
        <v>1</v>
      </c>
      <c r="S13" s="137">
        <v>127</v>
      </c>
      <c r="T13" s="137">
        <v>129</v>
      </c>
      <c r="U13" s="138">
        <v>84.87</v>
      </c>
      <c r="V13" s="136" t="s">
        <v>227</v>
      </c>
      <c r="W13" s="136" t="s">
        <v>227</v>
      </c>
      <c r="X13" s="133" t="s">
        <v>155</v>
      </c>
      <c r="Y13" s="134">
        <v>12.910833330000001</v>
      </c>
      <c r="Z13" s="134">
        <v>-78.833333330000002</v>
      </c>
      <c r="AA13" s="129" t="s">
        <v>227</v>
      </c>
      <c r="AB13" s="129" t="s">
        <v>227</v>
      </c>
      <c r="AC13" s="129">
        <v>-2838.9</v>
      </c>
      <c r="AD13" s="129" t="s">
        <v>227</v>
      </c>
      <c r="AE13" s="129" t="s">
        <v>227</v>
      </c>
      <c r="AF13" s="135" t="s">
        <v>227</v>
      </c>
      <c r="AG13" s="168">
        <v>2600.8620000000001</v>
      </c>
      <c r="AH13" s="142" t="s">
        <v>156</v>
      </c>
      <c r="AI13" s="129">
        <v>6</v>
      </c>
      <c r="AJ13">
        <v>6</v>
      </c>
      <c r="AK13" s="129" t="s">
        <v>227</v>
      </c>
      <c r="AL13" t="s">
        <v>227</v>
      </c>
      <c r="AM13" s="133" t="s">
        <v>157</v>
      </c>
      <c r="AN13" t="s">
        <v>227</v>
      </c>
      <c r="AO13" t="s">
        <v>227</v>
      </c>
      <c r="AP13" t="s">
        <v>227</v>
      </c>
      <c r="AQ13" t="s">
        <v>227</v>
      </c>
      <c r="AR13" t="s">
        <v>227</v>
      </c>
      <c r="AS13" t="s">
        <v>227</v>
      </c>
      <c r="AT13" t="s">
        <v>227</v>
      </c>
      <c r="AU13" s="133" t="s">
        <v>160</v>
      </c>
      <c r="AV13" s="170" t="s">
        <v>230</v>
      </c>
      <c r="AW13" s="139" t="s">
        <v>158</v>
      </c>
      <c r="AX13" s="145">
        <v>46.85</v>
      </c>
      <c r="AY13" s="139" t="s">
        <v>149</v>
      </c>
      <c r="AZ13" s="129" t="s">
        <v>227</v>
      </c>
      <c r="BA13" s="133" t="s">
        <v>159</v>
      </c>
      <c r="BB13" s="136" t="s">
        <v>171</v>
      </c>
      <c r="BC13">
        <v>5</v>
      </c>
      <c r="BD13" s="149">
        <v>0.16402438843050091</v>
      </c>
      <c r="BE13" s="138">
        <v>21.575768857311097</v>
      </c>
      <c r="BF13" s="133" t="s">
        <v>162</v>
      </c>
      <c r="BG13" s="147">
        <v>0.3</v>
      </c>
      <c r="BH13" s="136" t="s">
        <v>227</v>
      </c>
      <c r="BI13" s="136" t="s">
        <v>227</v>
      </c>
      <c r="BJ13" s="143" t="s">
        <v>227</v>
      </c>
      <c r="BK13" s="150">
        <v>-4.2</v>
      </c>
      <c r="BL13" s="136" t="s">
        <v>227</v>
      </c>
      <c r="BM13" s="129" t="s">
        <v>226</v>
      </c>
      <c r="BN13" s="139" t="s">
        <v>204</v>
      </c>
      <c r="BO13" s="133" t="s">
        <v>205</v>
      </c>
      <c r="BP13" s="129" t="s">
        <v>227</v>
      </c>
      <c r="BQ13" s="129" t="s">
        <v>227</v>
      </c>
      <c r="BR13" s="129" t="s">
        <v>227</v>
      </c>
      <c r="BS13" s="129" t="s">
        <v>227</v>
      </c>
      <c r="BT13" s="129" t="s">
        <v>227</v>
      </c>
      <c r="BU13" s="129">
        <v>0</v>
      </c>
      <c r="BV13" s="136" t="s">
        <v>227</v>
      </c>
      <c r="BW13" s="129" t="s">
        <v>226</v>
      </c>
      <c r="BX13" s="138">
        <v>24.419299875133301</v>
      </c>
      <c r="BY13" s="135" t="s">
        <v>156</v>
      </c>
      <c r="BZ13" s="152">
        <v>1</v>
      </c>
      <c r="CA13" s="152">
        <v>1</v>
      </c>
      <c r="CB13" s="133" t="s">
        <v>228</v>
      </c>
      <c r="CC13" s="153" t="s">
        <v>227</v>
      </c>
      <c r="CD13" s="135" t="s">
        <v>227</v>
      </c>
      <c r="CE13" s="154" t="s">
        <v>227</v>
      </c>
      <c r="CF13" s="142" t="s">
        <v>227</v>
      </c>
      <c r="CG13" s="142" t="s">
        <v>227</v>
      </c>
      <c r="CH13" s="129" t="s">
        <v>227</v>
      </c>
      <c r="CI13" s="142" t="s">
        <v>227</v>
      </c>
      <c r="CJ13" s="142" t="s">
        <v>227</v>
      </c>
      <c r="CK13" s="142" t="s">
        <v>226</v>
      </c>
      <c r="CL13" s="129" t="s">
        <v>227</v>
      </c>
      <c r="CM13" s="142" t="s">
        <v>226</v>
      </c>
      <c r="CN13" s="142" t="s">
        <v>227</v>
      </c>
      <c r="CO13" s="142" t="s">
        <v>227</v>
      </c>
      <c r="CP13" s="142" t="s">
        <v>227</v>
      </c>
      <c r="CQ13" s="142" t="s">
        <v>227</v>
      </c>
      <c r="CR13" s="142" t="s">
        <v>227</v>
      </c>
      <c r="CS13" s="142" t="s">
        <v>227</v>
      </c>
      <c r="CT13" s="142" t="s">
        <v>227</v>
      </c>
      <c r="CU13" s="155">
        <v>34.107700592591911</v>
      </c>
      <c r="CV13" s="135" t="s">
        <v>156</v>
      </c>
      <c r="CW13" s="129">
        <v>1</v>
      </c>
      <c r="CX13" s="133" t="s">
        <v>206</v>
      </c>
      <c r="CY13" s="169">
        <v>1.07838E-2</v>
      </c>
      <c r="CZ13" s="129" t="s">
        <v>227</v>
      </c>
      <c r="DA13" s="129" t="s">
        <v>227</v>
      </c>
      <c r="DB13" s="141" t="s">
        <v>207</v>
      </c>
      <c r="DC13" s="169">
        <v>5.0527200000000001E-2</v>
      </c>
      <c r="DD13" s="129" t="s">
        <v>227</v>
      </c>
      <c r="DE13" s="129" t="s">
        <v>227</v>
      </c>
      <c r="DF13" s="133" t="s">
        <v>207</v>
      </c>
      <c r="DH13" s="129" t="s">
        <v>227</v>
      </c>
      <c r="DI13" s="129" t="s">
        <v>227</v>
      </c>
      <c r="DJ13" s="129" t="s">
        <v>227</v>
      </c>
      <c r="DK13" s="156">
        <f t="shared" si="7"/>
        <v>4.326E-4</v>
      </c>
      <c r="DL13" s="129" t="s">
        <v>227</v>
      </c>
      <c r="DM13" s="129" t="s">
        <v>227</v>
      </c>
      <c r="DN13" s="133" t="s">
        <v>209</v>
      </c>
      <c r="DO13" s="129">
        <v>39.61</v>
      </c>
      <c r="DP13" s="133" t="s">
        <v>210</v>
      </c>
      <c r="DQ13" s="129" t="s">
        <v>226</v>
      </c>
      <c r="DR13" s="133" t="s">
        <v>211</v>
      </c>
      <c r="DS13" s="133" t="s">
        <v>212</v>
      </c>
      <c r="DT13" s="157" t="s">
        <v>229</v>
      </c>
      <c r="DU13" s="158">
        <f t="shared" si="8"/>
        <v>1.0193984483496441</v>
      </c>
      <c r="DV13" s="156" t="s">
        <v>227</v>
      </c>
      <c r="DW13" s="156" t="s">
        <v>226</v>
      </c>
      <c r="DX13" s="157" t="s">
        <v>232</v>
      </c>
      <c r="DY13" s="159" t="s">
        <v>213</v>
      </c>
      <c r="DZ13" s="157" t="s">
        <v>214</v>
      </c>
      <c r="EA13" s="1" t="s">
        <v>217</v>
      </c>
      <c r="EB13" s="129" t="s">
        <v>218</v>
      </c>
      <c r="EC13" s="133" t="s">
        <v>219</v>
      </c>
      <c r="ED13" s="133" t="s">
        <v>219</v>
      </c>
      <c r="EE13" s="133" t="s">
        <v>220</v>
      </c>
      <c r="EH13" s="129" t="s">
        <v>215</v>
      </c>
      <c r="EI13" s="133" t="s">
        <v>216</v>
      </c>
      <c r="EJ13" s="153" t="s">
        <v>227</v>
      </c>
      <c r="EK13">
        <v>262.39999999999998</v>
      </c>
      <c r="EL13" s="133" t="s">
        <v>221</v>
      </c>
      <c r="EM13">
        <v>25</v>
      </c>
      <c r="EN13">
        <v>25</v>
      </c>
      <c r="EO13" t="s">
        <v>227</v>
      </c>
      <c r="EP13" t="s">
        <v>227</v>
      </c>
      <c r="EQ13" t="s">
        <v>227</v>
      </c>
      <c r="ER13" t="s">
        <v>227</v>
      </c>
      <c r="ES13" s="163">
        <v>8.2490140926788218</v>
      </c>
      <c r="ET13" s="142" t="s">
        <v>222</v>
      </c>
      <c r="EU13" s="164">
        <v>3.133940582642758E-2</v>
      </c>
      <c r="EV13" s="164">
        <v>3.133940582642758E-2</v>
      </c>
      <c r="EW13" s="165">
        <v>202.6</v>
      </c>
      <c r="EX13" s="129">
        <v>17</v>
      </c>
      <c r="EY13" s="139" t="s">
        <v>223</v>
      </c>
      <c r="EZ13" s="148">
        <f t="shared" si="9"/>
        <v>185.6</v>
      </c>
      <c r="FA13" s="162">
        <v>43.606169758418361</v>
      </c>
      <c r="FB13" s="162">
        <v>49.253125789131396</v>
      </c>
      <c r="FC13" s="133" t="s">
        <v>224</v>
      </c>
      <c r="FD13" s="133" t="s">
        <v>225</v>
      </c>
      <c r="FE13" s="129" t="s">
        <v>227</v>
      </c>
      <c r="FF13" s="129" t="s">
        <v>227</v>
      </c>
      <c r="FG13" s="129" t="s">
        <v>227</v>
      </c>
      <c r="FH13" s="129" t="s">
        <v>227</v>
      </c>
      <c r="FI13" s="129" t="s">
        <v>227</v>
      </c>
      <c r="FJ13" s="129" t="s">
        <v>227</v>
      </c>
      <c r="FK13" s="129" t="s">
        <v>227</v>
      </c>
      <c r="FL13" s="129" t="s">
        <v>227</v>
      </c>
      <c r="FM13" s="129" t="s">
        <v>227</v>
      </c>
      <c r="FN13" s="129" t="s">
        <v>227</v>
      </c>
      <c r="FO13" s="129" t="s">
        <v>227</v>
      </c>
      <c r="FP13" s="129" t="s">
        <v>227</v>
      </c>
    </row>
    <row r="14" spans="1:191" ht="18" x14ac:dyDescent="0.2">
      <c r="A14" s="130" t="s">
        <v>152</v>
      </c>
      <c r="B14" t="s">
        <v>153</v>
      </c>
      <c r="C14">
        <v>2011</v>
      </c>
      <c r="D14" t="s">
        <v>150</v>
      </c>
      <c r="E14" s="149">
        <f t="shared" si="1"/>
        <v>2685.473</v>
      </c>
      <c r="F14">
        <f t="shared" si="2"/>
        <v>6</v>
      </c>
      <c r="G14">
        <f t="shared" si="3"/>
        <v>6</v>
      </c>
      <c r="H14" s="167">
        <f t="shared" si="4"/>
        <v>176.5</v>
      </c>
      <c r="I14" s="167">
        <f t="shared" si="5"/>
        <v>42.466048276829333</v>
      </c>
      <c r="J14" s="167">
        <f t="shared" si="6"/>
        <v>47.76703884479339</v>
      </c>
      <c r="K14" s="141" t="s">
        <v>147</v>
      </c>
      <c r="L14" s="140" t="s">
        <v>148</v>
      </c>
      <c r="M14" s="139" t="s">
        <v>149</v>
      </c>
      <c r="N14" s="128" t="s">
        <v>150</v>
      </c>
      <c r="O14" s="129" t="s">
        <v>151</v>
      </c>
      <c r="P14" s="129" t="s">
        <v>154</v>
      </c>
      <c r="Q14" s="137">
        <v>10</v>
      </c>
      <c r="R14" s="137">
        <v>3</v>
      </c>
      <c r="S14" s="137">
        <v>98</v>
      </c>
      <c r="T14" s="137">
        <v>100</v>
      </c>
      <c r="U14" s="138">
        <v>87.58</v>
      </c>
      <c r="V14" s="136" t="s">
        <v>227</v>
      </c>
      <c r="W14" s="136" t="s">
        <v>227</v>
      </c>
      <c r="X14" s="133" t="s">
        <v>155</v>
      </c>
      <c r="Y14" s="134">
        <v>12.910833330000001</v>
      </c>
      <c r="Z14" s="134">
        <v>-78.833333330000002</v>
      </c>
      <c r="AA14" s="129" t="s">
        <v>227</v>
      </c>
      <c r="AB14" s="129" t="s">
        <v>227</v>
      </c>
      <c r="AC14" s="129">
        <v>-2838.9</v>
      </c>
      <c r="AD14" s="129" t="s">
        <v>227</v>
      </c>
      <c r="AE14" s="129" t="s">
        <v>227</v>
      </c>
      <c r="AF14" s="135" t="s">
        <v>227</v>
      </c>
      <c r="AG14" s="168">
        <v>2685.473</v>
      </c>
      <c r="AH14" s="142" t="s">
        <v>156</v>
      </c>
      <c r="AI14" s="129">
        <v>6</v>
      </c>
      <c r="AJ14">
        <v>6</v>
      </c>
      <c r="AK14" s="129" t="s">
        <v>227</v>
      </c>
      <c r="AL14" t="s">
        <v>227</v>
      </c>
      <c r="AM14" s="133" t="s">
        <v>157</v>
      </c>
      <c r="AN14" t="s">
        <v>227</v>
      </c>
      <c r="AO14" t="s">
        <v>227</v>
      </c>
      <c r="AP14" t="s">
        <v>227</v>
      </c>
      <c r="AQ14" t="s">
        <v>227</v>
      </c>
      <c r="AR14" t="s">
        <v>227</v>
      </c>
      <c r="AS14" t="s">
        <v>227</v>
      </c>
      <c r="AT14" t="s">
        <v>227</v>
      </c>
      <c r="AU14" s="133" t="s">
        <v>160</v>
      </c>
      <c r="AV14" s="170" t="s">
        <v>230</v>
      </c>
      <c r="AW14" s="139" t="s">
        <v>158</v>
      </c>
      <c r="AX14" s="145">
        <v>35.159999999999997</v>
      </c>
      <c r="AY14" s="139" t="s">
        <v>149</v>
      </c>
      <c r="AZ14" s="129" t="s">
        <v>227</v>
      </c>
      <c r="BA14" s="133" t="s">
        <v>159</v>
      </c>
      <c r="BB14" s="136" t="s">
        <v>172</v>
      </c>
      <c r="BC14">
        <v>3</v>
      </c>
      <c r="BD14" s="149">
        <v>7.0553368295056484E-2</v>
      </c>
      <c r="BE14" s="138">
        <v>21.553761959954546</v>
      </c>
      <c r="BF14" s="133" t="s">
        <v>162</v>
      </c>
      <c r="BG14" s="147">
        <v>0.39</v>
      </c>
      <c r="BH14" s="136" t="s">
        <v>227</v>
      </c>
      <c r="BI14" s="136" t="s">
        <v>227</v>
      </c>
      <c r="BJ14" s="143" t="s">
        <v>227</v>
      </c>
      <c r="BK14" s="150">
        <v>-4.2</v>
      </c>
      <c r="BL14" s="136" t="s">
        <v>227</v>
      </c>
      <c r="BM14" s="129" t="s">
        <v>226</v>
      </c>
      <c r="BN14" s="139" t="s">
        <v>204</v>
      </c>
      <c r="BO14" s="133" t="s">
        <v>205</v>
      </c>
      <c r="BP14" s="129" t="s">
        <v>227</v>
      </c>
      <c r="BQ14" s="129" t="s">
        <v>227</v>
      </c>
      <c r="BR14" s="129" t="s">
        <v>227</v>
      </c>
      <c r="BS14" s="129" t="s">
        <v>227</v>
      </c>
      <c r="BT14" s="129" t="s">
        <v>227</v>
      </c>
      <c r="BU14" s="129">
        <v>0</v>
      </c>
      <c r="BV14" s="136" t="s">
        <v>227</v>
      </c>
      <c r="BW14" s="129" t="s">
        <v>226</v>
      </c>
      <c r="BX14" s="138">
        <v>22.851759894467687</v>
      </c>
      <c r="BY14" s="135" t="s">
        <v>156</v>
      </c>
      <c r="BZ14" s="152">
        <v>1</v>
      </c>
      <c r="CA14" s="152">
        <v>1</v>
      </c>
      <c r="CB14" s="133" t="s">
        <v>228</v>
      </c>
      <c r="CC14" s="153" t="s">
        <v>227</v>
      </c>
      <c r="CD14" s="135" t="s">
        <v>227</v>
      </c>
      <c r="CE14" s="154" t="s">
        <v>227</v>
      </c>
      <c r="CF14" s="142" t="s">
        <v>227</v>
      </c>
      <c r="CG14" s="142" t="s">
        <v>227</v>
      </c>
      <c r="CH14" s="129" t="s">
        <v>227</v>
      </c>
      <c r="CI14" s="142" t="s">
        <v>227</v>
      </c>
      <c r="CJ14" s="142" t="s">
        <v>227</v>
      </c>
      <c r="CK14" s="142" t="s">
        <v>226</v>
      </c>
      <c r="CL14" s="129" t="s">
        <v>227</v>
      </c>
      <c r="CM14" s="142" t="s">
        <v>226</v>
      </c>
      <c r="CN14" s="142" t="s">
        <v>227</v>
      </c>
      <c r="CO14" s="142" t="s">
        <v>227</v>
      </c>
      <c r="CP14" s="142" t="s">
        <v>227</v>
      </c>
      <c r="CQ14" s="142" t="s">
        <v>227</v>
      </c>
      <c r="CR14" s="142" t="s">
        <v>227</v>
      </c>
      <c r="CS14" s="142" t="s">
        <v>227</v>
      </c>
      <c r="CT14" s="142" t="s">
        <v>227</v>
      </c>
      <c r="CU14" s="155">
        <v>33.991289679253953</v>
      </c>
      <c r="CV14" s="135" t="s">
        <v>156</v>
      </c>
      <c r="CW14" s="129">
        <v>1</v>
      </c>
      <c r="CX14" s="133" t="s">
        <v>206</v>
      </c>
      <c r="CY14" s="169">
        <v>1.0800000000000001E-2</v>
      </c>
      <c r="CZ14" s="129" t="s">
        <v>227</v>
      </c>
      <c r="DA14" s="129" t="s">
        <v>227</v>
      </c>
      <c r="DB14" s="141" t="s">
        <v>207</v>
      </c>
      <c r="DC14" s="169">
        <v>5.04555E-2</v>
      </c>
      <c r="DD14" s="129" t="s">
        <v>227</v>
      </c>
      <c r="DE14" s="129" t="s">
        <v>227</v>
      </c>
      <c r="DF14" s="133" t="s">
        <v>207</v>
      </c>
      <c r="DH14" s="129" t="s">
        <v>227</v>
      </c>
      <c r="DI14" s="129" t="s">
        <v>227</v>
      </c>
      <c r="DJ14" s="129" t="s">
        <v>227</v>
      </c>
      <c r="DK14" s="156">
        <f t="shared" si="7"/>
        <v>4.326E-4</v>
      </c>
      <c r="DL14" s="129" t="s">
        <v>227</v>
      </c>
      <c r="DM14" s="129" t="s">
        <v>227</v>
      </c>
      <c r="DN14" s="133" t="s">
        <v>209</v>
      </c>
      <c r="DO14" s="129">
        <v>39.61</v>
      </c>
      <c r="DP14" s="133" t="s">
        <v>210</v>
      </c>
      <c r="DQ14" s="129" t="s">
        <v>226</v>
      </c>
      <c r="DR14" s="133" t="s">
        <v>211</v>
      </c>
      <c r="DS14" s="133" t="s">
        <v>212</v>
      </c>
      <c r="DT14" s="157" t="s">
        <v>229</v>
      </c>
      <c r="DU14" s="158">
        <f t="shared" si="8"/>
        <v>1.0194755791543926</v>
      </c>
      <c r="DV14" s="156" t="s">
        <v>227</v>
      </c>
      <c r="DW14" s="156" t="s">
        <v>226</v>
      </c>
      <c r="DX14" s="157" t="s">
        <v>232</v>
      </c>
      <c r="DY14" s="159" t="s">
        <v>213</v>
      </c>
      <c r="DZ14" s="157" t="s">
        <v>214</v>
      </c>
      <c r="EA14" s="1" t="s">
        <v>217</v>
      </c>
      <c r="EB14" s="129" t="s">
        <v>218</v>
      </c>
      <c r="EC14" s="133" t="s">
        <v>219</v>
      </c>
      <c r="ED14" s="133" t="s">
        <v>219</v>
      </c>
      <c r="EE14" s="133" t="s">
        <v>220</v>
      </c>
      <c r="EH14" s="129" t="s">
        <v>215</v>
      </c>
      <c r="EI14" s="133" t="s">
        <v>216</v>
      </c>
      <c r="EJ14" s="153" t="s">
        <v>227</v>
      </c>
      <c r="EK14">
        <v>260.8</v>
      </c>
      <c r="EL14" s="133" t="s">
        <v>221</v>
      </c>
      <c r="EM14">
        <v>25</v>
      </c>
      <c r="EN14">
        <v>25</v>
      </c>
      <c r="EO14" t="s">
        <v>227</v>
      </c>
      <c r="EP14" t="s">
        <v>227</v>
      </c>
      <c r="EQ14" t="s">
        <v>227</v>
      </c>
      <c r="ER14" t="s">
        <v>227</v>
      </c>
      <c r="ES14" s="163">
        <v>8.2712275521024488</v>
      </c>
      <c r="ET14" s="142" t="s">
        <v>222</v>
      </c>
      <c r="EU14" s="164">
        <v>3.9437160840953389E-2</v>
      </c>
      <c r="EV14" s="164">
        <v>3.9437160840953389E-2</v>
      </c>
      <c r="EW14" s="165">
        <v>193.5</v>
      </c>
      <c r="EX14" s="129">
        <v>17</v>
      </c>
      <c r="EY14" s="139" t="s">
        <v>223</v>
      </c>
      <c r="EZ14" s="148">
        <f t="shared" si="9"/>
        <v>176.5</v>
      </c>
      <c r="FA14" s="162">
        <v>42.466048276829333</v>
      </c>
      <c r="FB14" s="162">
        <v>47.76703884479339</v>
      </c>
      <c r="FC14" s="133" t="s">
        <v>224</v>
      </c>
      <c r="FD14" s="133" t="s">
        <v>225</v>
      </c>
      <c r="FE14" s="129" t="s">
        <v>227</v>
      </c>
      <c r="FF14" s="129" t="s">
        <v>227</v>
      </c>
      <c r="FG14" s="129" t="s">
        <v>227</v>
      </c>
      <c r="FH14" s="129" t="s">
        <v>227</v>
      </c>
      <c r="FI14" s="129" t="s">
        <v>227</v>
      </c>
      <c r="FJ14" s="129" t="s">
        <v>227</v>
      </c>
      <c r="FK14" s="129" t="s">
        <v>227</v>
      </c>
      <c r="FL14" s="129" t="s">
        <v>227</v>
      </c>
      <c r="FM14" s="129" t="s">
        <v>227</v>
      </c>
      <c r="FN14" s="129" t="s">
        <v>227</v>
      </c>
      <c r="FO14" s="129" t="s">
        <v>227</v>
      </c>
      <c r="FP14" s="129" t="s">
        <v>227</v>
      </c>
    </row>
    <row r="15" spans="1:191" ht="18" x14ac:dyDescent="0.2">
      <c r="A15" s="130" t="s">
        <v>152</v>
      </c>
      <c r="B15" t="s">
        <v>153</v>
      </c>
      <c r="C15">
        <v>2011</v>
      </c>
      <c r="D15" t="s">
        <v>150</v>
      </c>
      <c r="E15" s="149">
        <f t="shared" si="1"/>
        <v>2702.2249999999999</v>
      </c>
      <c r="F15">
        <f t="shared" si="2"/>
        <v>6</v>
      </c>
      <c r="G15">
        <f t="shared" si="3"/>
        <v>6</v>
      </c>
      <c r="H15" s="167">
        <f t="shared" si="4"/>
        <v>340.5</v>
      </c>
      <c r="I15" s="167">
        <f t="shared" si="5"/>
        <v>65.295674866333982</v>
      </c>
      <c r="J15" s="167">
        <f t="shared" si="6"/>
        <v>76.787043177869535</v>
      </c>
      <c r="K15" s="141" t="s">
        <v>147</v>
      </c>
      <c r="L15" s="140" t="s">
        <v>148</v>
      </c>
      <c r="M15" s="139" t="s">
        <v>149</v>
      </c>
      <c r="N15" s="128" t="s">
        <v>150</v>
      </c>
      <c r="O15" s="136" t="s">
        <v>151</v>
      </c>
      <c r="P15" s="129" t="s">
        <v>154</v>
      </c>
      <c r="Q15" s="137">
        <v>10</v>
      </c>
      <c r="R15" s="137">
        <v>4</v>
      </c>
      <c r="S15" s="137">
        <v>20</v>
      </c>
      <c r="T15" s="137">
        <v>22</v>
      </c>
      <c r="U15" s="138">
        <v>88.3</v>
      </c>
      <c r="V15" s="136" t="s">
        <v>227</v>
      </c>
      <c r="W15" s="136" t="s">
        <v>227</v>
      </c>
      <c r="X15" s="133" t="s">
        <v>155</v>
      </c>
      <c r="Y15" s="134">
        <v>12.910833330000001</v>
      </c>
      <c r="Z15" s="134">
        <v>-78.833333330000002</v>
      </c>
      <c r="AA15" s="129" t="s">
        <v>227</v>
      </c>
      <c r="AB15" s="129" t="s">
        <v>227</v>
      </c>
      <c r="AC15" s="129">
        <v>-2838.9</v>
      </c>
      <c r="AD15" s="129" t="s">
        <v>227</v>
      </c>
      <c r="AE15" s="129" t="s">
        <v>227</v>
      </c>
      <c r="AF15" s="135" t="s">
        <v>227</v>
      </c>
      <c r="AG15" s="168">
        <v>2702.2249999999999</v>
      </c>
      <c r="AH15" s="142" t="s">
        <v>156</v>
      </c>
      <c r="AI15" s="129">
        <v>6</v>
      </c>
      <c r="AJ15">
        <v>6</v>
      </c>
      <c r="AK15" s="129" t="s">
        <v>227</v>
      </c>
      <c r="AL15" t="s">
        <v>227</v>
      </c>
      <c r="AM15" s="133" t="s">
        <v>157</v>
      </c>
      <c r="AN15" t="s">
        <v>227</v>
      </c>
      <c r="AO15" t="s">
        <v>227</v>
      </c>
      <c r="AP15" t="s">
        <v>227</v>
      </c>
      <c r="AQ15" t="s">
        <v>227</v>
      </c>
      <c r="AR15" t="s">
        <v>227</v>
      </c>
      <c r="AS15" t="s">
        <v>227</v>
      </c>
      <c r="AT15" t="s">
        <v>227</v>
      </c>
      <c r="AU15" s="133" t="s">
        <v>160</v>
      </c>
      <c r="AV15" s="170" t="s">
        <v>230</v>
      </c>
      <c r="AW15" s="139" t="s">
        <v>158</v>
      </c>
      <c r="AX15" s="145">
        <v>34.200000000000003</v>
      </c>
      <c r="AY15" s="139" t="s">
        <v>149</v>
      </c>
      <c r="AZ15" s="129" t="s">
        <v>227</v>
      </c>
      <c r="BA15" s="133" t="s">
        <v>159</v>
      </c>
      <c r="BB15" s="136" t="s">
        <v>173</v>
      </c>
      <c r="BC15">
        <v>4</v>
      </c>
      <c r="BD15" s="149">
        <v>9.9331096171676819E-2</v>
      </c>
      <c r="BE15" s="138">
        <v>20.553283945893451</v>
      </c>
      <c r="BF15" s="133" t="s">
        <v>162</v>
      </c>
      <c r="BG15" s="147">
        <v>0.33</v>
      </c>
      <c r="BH15" s="136" t="s">
        <v>227</v>
      </c>
      <c r="BI15" s="136" t="s">
        <v>227</v>
      </c>
      <c r="BJ15" s="143" t="s">
        <v>227</v>
      </c>
      <c r="BK15" s="150">
        <v>-4.2</v>
      </c>
      <c r="BL15" s="136" t="s">
        <v>227</v>
      </c>
      <c r="BM15" s="129" t="s">
        <v>226</v>
      </c>
      <c r="BN15" s="139" t="s">
        <v>204</v>
      </c>
      <c r="BO15" s="133" t="s">
        <v>205</v>
      </c>
      <c r="BP15" s="129" t="s">
        <v>227</v>
      </c>
      <c r="BQ15" s="129" t="s">
        <v>227</v>
      </c>
      <c r="BR15" s="129" t="s">
        <v>227</v>
      </c>
      <c r="BS15" s="129" t="s">
        <v>227</v>
      </c>
      <c r="BT15" s="129" t="s">
        <v>227</v>
      </c>
      <c r="BU15" s="129">
        <v>0</v>
      </c>
      <c r="BV15" s="136" t="s">
        <v>227</v>
      </c>
      <c r="BW15" s="129" t="s">
        <v>226</v>
      </c>
      <c r="BX15" s="138">
        <v>24.272130689021964</v>
      </c>
      <c r="BY15" s="135" t="s">
        <v>156</v>
      </c>
      <c r="BZ15" s="152">
        <v>1</v>
      </c>
      <c r="CA15" s="152">
        <v>1</v>
      </c>
      <c r="CB15" s="133" t="s">
        <v>228</v>
      </c>
      <c r="CC15" s="153" t="s">
        <v>227</v>
      </c>
      <c r="CD15" s="135" t="s">
        <v>227</v>
      </c>
      <c r="CE15" s="154" t="s">
        <v>227</v>
      </c>
      <c r="CF15" s="142" t="s">
        <v>227</v>
      </c>
      <c r="CG15" s="142" t="s">
        <v>227</v>
      </c>
      <c r="CH15" s="129" t="s">
        <v>227</v>
      </c>
      <c r="CI15" s="142" t="s">
        <v>227</v>
      </c>
      <c r="CJ15" s="142" t="s">
        <v>227</v>
      </c>
      <c r="CK15" s="142" t="s">
        <v>226</v>
      </c>
      <c r="CL15" s="129" t="s">
        <v>227</v>
      </c>
      <c r="CM15" s="142" t="s">
        <v>226</v>
      </c>
      <c r="CN15" s="142" t="s">
        <v>227</v>
      </c>
      <c r="CO15" s="142" t="s">
        <v>227</v>
      </c>
      <c r="CP15" s="142" t="s">
        <v>227</v>
      </c>
      <c r="CQ15" s="142" t="s">
        <v>227</v>
      </c>
      <c r="CR15" s="142" t="s">
        <v>227</v>
      </c>
      <c r="CS15" s="142" t="s">
        <v>227</v>
      </c>
      <c r="CT15" s="142" t="s">
        <v>227</v>
      </c>
      <c r="CU15" s="155">
        <v>35.461113726897146</v>
      </c>
      <c r="CV15" s="135" t="s">
        <v>156</v>
      </c>
      <c r="CW15" s="129">
        <v>1</v>
      </c>
      <c r="CX15" s="133" t="s">
        <v>206</v>
      </c>
      <c r="CY15" s="169">
        <v>1.0803200000000001E-2</v>
      </c>
      <c r="CZ15" s="129" t="s">
        <v>227</v>
      </c>
      <c r="DA15" s="129" t="s">
        <v>227</v>
      </c>
      <c r="DB15" s="141" t="s">
        <v>207</v>
      </c>
      <c r="DC15" s="169">
        <v>5.0441300000000001E-2</v>
      </c>
      <c r="DD15" s="129" t="s">
        <v>227</v>
      </c>
      <c r="DE15" s="129" t="s">
        <v>227</v>
      </c>
      <c r="DF15" s="133" t="s">
        <v>207</v>
      </c>
      <c r="DH15" s="129" t="s">
        <v>227</v>
      </c>
      <c r="DI15" s="129" t="s">
        <v>227</v>
      </c>
      <c r="DJ15" s="129" t="s">
        <v>227</v>
      </c>
      <c r="DK15" s="156">
        <f t="shared" si="7"/>
        <v>4.326E-4</v>
      </c>
      <c r="DL15" s="129" t="s">
        <v>227</v>
      </c>
      <c r="DM15" s="129" t="s">
        <v>227</v>
      </c>
      <c r="DN15" s="133" t="s">
        <v>209</v>
      </c>
      <c r="DO15" s="129">
        <v>39.61</v>
      </c>
      <c r="DP15" s="133" t="s">
        <v>210</v>
      </c>
      <c r="DQ15" s="129" t="s">
        <v>226</v>
      </c>
      <c r="DR15" s="133" t="s">
        <v>211</v>
      </c>
      <c r="DS15" s="133" t="s">
        <v>212</v>
      </c>
      <c r="DT15" s="157" t="s">
        <v>229</v>
      </c>
      <c r="DU15" s="158">
        <f t="shared" si="8"/>
        <v>1.0194056898094466</v>
      </c>
      <c r="DV15" s="156" t="s">
        <v>227</v>
      </c>
      <c r="DW15" s="156" t="s">
        <v>226</v>
      </c>
      <c r="DX15" s="157" t="s">
        <v>232</v>
      </c>
      <c r="DY15" s="159" t="s">
        <v>213</v>
      </c>
      <c r="DZ15" s="157" t="s">
        <v>214</v>
      </c>
      <c r="EA15" s="1" t="s">
        <v>217</v>
      </c>
      <c r="EB15" s="129" t="s">
        <v>218</v>
      </c>
      <c r="EC15" s="133" t="s">
        <v>219</v>
      </c>
      <c r="ED15" s="133" t="s">
        <v>219</v>
      </c>
      <c r="EE15" s="133" t="s">
        <v>220</v>
      </c>
      <c r="EH15" s="129" t="s">
        <v>215</v>
      </c>
      <c r="EI15" s="133" t="s">
        <v>216</v>
      </c>
      <c r="EJ15" s="153" t="s">
        <v>227</v>
      </c>
      <c r="EK15">
        <v>274.5</v>
      </c>
      <c r="EL15" s="133" t="s">
        <v>221</v>
      </c>
      <c r="EM15">
        <v>25</v>
      </c>
      <c r="EN15">
        <v>25</v>
      </c>
      <c r="EO15" t="s">
        <v>227</v>
      </c>
      <c r="EP15" t="s">
        <v>227</v>
      </c>
      <c r="EQ15" t="s">
        <v>227</v>
      </c>
      <c r="ER15" t="s">
        <v>227</v>
      </c>
      <c r="ES15" s="163">
        <v>8.130834874840275</v>
      </c>
      <c r="ET15" s="142" t="s">
        <v>222</v>
      </c>
      <c r="EU15" s="164">
        <v>3.8740928431178823E-2</v>
      </c>
      <c r="EV15" s="164">
        <v>3.8740928431178823E-2</v>
      </c>
      <c r="EW15" s="165">
        <v>357.5</v>
      </c>
      <c r="EX15" s="129">
        <v>17</v>
      </c>
      <c r="EY15" s="139" t="s">
        <v>223</v>
      </c>
      <c r="EZ15" s="148">
        <f t="shared" si="9"/>
        <v>340.5</v>
      </c>
      <c r="FA15" s="162">
        <v>65.295674866333982</v>
      </c>
      <c r="FB15" s="162">
        <v>76.787043177869535</v>
      </c>
      <c r="FC15" s="133" t="s">
        <v>224</v>
      </c>
      <c r="FD15" s="133" t="s">
        <v>225</v>
      </c>
      <c r="FE15" s="129" t="s">
        <v>227</v>
      </c>
      <c r="FF15" s="129" t="s">
        <v>227</v>
      </c>
      <c r="FG15" s="129" t="s">
        <v>227</v>
      </c>
      <c r="FH15" s="129" t="s">
        <v>227</v>
      </c>
      <c r="FI15" s="129" t="s">
        <v>227</v>
      </c>
      <c r="FJ15" s="129" t="s">
        <v>227</v>
      </c>
      <c r="FK15" s="129" t="s">
        <v>227</v>
      </c>
      <c r="FL15" s="129" t="s">
        <v>227</v>
      </c>
      <c r="FM15" s="129" t="s">
        <v>227</v>
      </c>
      <c r="FN15" s="129" t="s">
        <v>227</v>
      </c>
      <c r="FO15" s="129" t="s">
        <v>227</v>
      </c>
      <c r="FP15" s="129" t="s">
        <v>227</v>
      </c>
    </row>
    <row r="16" spans="1:191" ht="18" x14ac:dyDescent="0.2">
      <c r="A16" s="130" t="s">
        <v>152</v>
      </c>
      <c r="B16" t="s">
        <v>153</v>
      </c>
      <c r="C16">
        <v>2011</v>
      </c>
      <c r="D16" t="s">
        <v>150</v>
      </c>
      <c r="E16" s="149">
        <f t="shared" si="1"/>
        <v>2705.51</v>
      </c>
      <c r="F16">
        <f t="shared" si="2"/>
        <v>6</v>
      </c>
      <c r="G16">
        <f t="shared" si="3"/>
        <v>6</v>
      </c>
      <c r="H16" s="167">
        <f t="shared" si="4"/>
        <v>297</v>
      </c>
      <c r="I16" s="167">
        <f t="shared" si="5"/>
        <v>58.892071622587707</v>
      </c>
      <c r="J16" s="167">
        <f t="shared" si="6"/>
        <v>68.759290281386711</v>
      </c>
      <c r="K16" s="141" t="s">
        <v>147</v>
      </c>
      <c r="L16" s="140" t="s">
        <v>148</v>
      </c>
      <c r="M16" s="139" t="s">
        <v>149</v>
      </c>
      <c r="N16" s="128" t="s">
        <v>150</v>
      </c>
      <c r="O16" s="129" t="s">
        <v>151</v>
      </c>
      <c r="P16" s="129" t="s">
        <v>154</v>
      </c>
      <c r="Q16" s="137">
        <v>10</v>
      </c>
      <c r="R16" s="137">
        <v>4</v>
      </c>
      <c r="S16" s="137">
        <v>35</v>
      </c>
      <c r="T16" s="137">
        <v>37</v>
      </c>
      <c r="U16" s="138">
        <v>88.45</v>
      </c>
      <c r="V16" s="136" t="s">
        <v>227</v>
      </c>
      <c r="W16" s="136" t="s">
        <v>227</v>
      </c>
      <c r="X16" s="133" t="s">
        <v>155</v>
      </c>
      <c r="Y16" s="134">
        <v>12.910833330000001</v>
      </c>
      <c r="Z16" s="134">
        <v>-78.833333330000002</v>
      </c>
      <c r="AA16" s="129" t="s">
        <v>227</v>
      </c>
      <c r="AB16" s="129" t="s">
        <v>227</v>
      </c>
      <c r="AC16" s="129">
        <v>-2838.9</v>
      </c>
      <c r="AD16" s="129" t="s">
        <v>227</v>
      </c>
      <c r="AE16" s="129" t="s">
        <v>227</v>
      </c>
      <c r="AF16" s="135" t="s">
        <v>227</v>
      </c>
      <c r="AG16" s="168">
        <v>2705.51</v>
      </c>
      <c r="AH16" s="142" t="s">
        <v>156</v>
      </c>
      <c r="AI16" s="129">
        <v>6</v>
      </c>
      <c r="AJ16">
        <v>6</v>
      </c>
      <c r="AK16" s="129" t="s">
        <v>227</v>
      </c>
      <c r="AL16" t="s">
        <v>227</v>
      </c>
      <c r="AM16" s="133" t="s">
        <v>157</v>
      </c>
      <c r="AN16" t="s">
        <v>227</v>
      </c>
      <c r="AO16" t="s">
        <v>227</v>
      </c>
      <c r="AP16" t="s">
        <v>227</v>
      </c>
      <c r="AQ16" t="s">
        <v>227</v>
      </c>
      <c r="AR16" t="s">
        <v>227</v>
      </c>
      <c r="AS16" t="s">
        <v>227</v>
      </c>
      <c r="AT16" t="s">
        <v>227</v>
      </c>
      <c r="AU16" s="133" t="s">
        <v>160</v>
      </c>
      <c r="AV16" s="170" t="s">
        <v>230</v>
      </c>
      <c r="AW16" s="139" t="s">
        <v>158</v>
      </c>
      <c r="AX16" s="145">
        <v>48</v>
      </c>
      <c r="AY16" s="139" t="s">
        <v>149</v>
      </c>
      <c r="AZ16" s="129" t="s">
        <v>227</v>
      </c>
      <c r="BA16" s="133" t="s">
        <v>159</v>
      </c>
      <c r="BB16" s="136" t="s">
        <v>174</v>
      </c>
      <c r="BC16">
        <v>5</v>
      </c>
      <c r="BD16" s="149">
        <v>0.16516658257650149</v>
      </c>
      <c r="BE16" s="138">
        <v>20.709903807723997</v>
      </c>
      <c r="BF16" s="133" t="s">
        <v>162</v>
      </c>
      <c r="BG16" s="147">
        <v>0.3</v>
      </c>
      <c r="BH16" s="136" t="s">
        <v>227</v>
      </c>
      <c r="BI16" s="136" t="s">
        <v>227</v>
      </c>
      <c r="BJ16" s="143" t="s">
        <v>227</v>
      </c>
      <c r="BK16" s="150">
        <v>-4.2</v>
      </c>
      <c r="BL16" s="136" t="s">
        <v>227</v>
      </c>
      <c r="BM16" s="129" t="s">
        <v>226</v>
      </c>
      <c r="BN16" s="139" t="s">
        <v>204</v>
      </c>
      <c r="BO16" s="133" t="s">
        <v>205</v>
      </c>
      <c r="BP16" s="129" t="s">
        <v>227</v>
      </c>
      <c r="BQ16" s="129" t="s">
        <v>227</v>
      </c>
      <c r="BR16" s="129" t="s">
        <v>227</v>
      </c>
      <c r="BS16" s="129" t="s">
        <v>227</v>
      </c>
      <c r="BT16" s="129" t="s">
        <v>227</v>
      </c>
      <c r="BU16" s="129">
        <v>0</v>
      </c>
      <c r="BV16" s="136" t="s">
        <v>227</v>
      </c>
      <c r="BW16" s="129" t="s">
        <v>226</v>
      </c>
      <c r="BX16" s="138">
        <v>23.93369505030298</v>
      </c>
      <c r="BY16" s="135" t="s">
        <v>156</v>
      </c>
      <c r="BZ16" s="152">
        <v>1</v>
      </c>
      <c r="CA16" s="152">
        <v>1</v>
      </c>
      <c r="CB16" s="133" t="s">
        <v>228</v>
      </c>
      <c r="CC16" s="153" t="s">
        <v>227</v>
      </c>
      <c r="CD16" s="135" t="s">
        <v>227</v>
      </c>
      <c r="CE16" s="154" t="s">
        <v>227</v>
      </c>
      <c r="CF16" s="142" t="s">
        <v>227</v>
      </c>
      <c r="CG16" s="142" t="s">
        <v>227</v>
      </c>
      <c r="CH16" s="129" t="s">
        <v>227</v>
      </c>
      <c r="CI16" s="142" t="s">
        <v>227</v>
      </c>
      <c r="CJ16" s="142" t="s">
        <v>227</v>
      </c>
      <c r="CK16" s="142" t="s">
        <v>226</v>
      </c>
      <c r="CL16" s="129" t="s">
        <v>227</v>
      </c>
      <c r="CM16" s="142" t="s">
        <v>226</v>
      </c>
      <c r="CN16" s="142" t="s">
        <v>227</v>
      </c>
      <c r="CO16" s="142" t="s">
        <v>227</v>
      </c>
      <c r="CP16" s="142" t="s">
        <v>227</v>
      </c>
      <c r="CQ16" s="142" t="s">
        <v>227</v>
      </c>
      <c r="CR16" s="142" t="s">
        <v>227</v>
      </c>
      <c r="CS16" s="142" t="s">
        <v>227</v>
      </c>
      <c r="CT16" s="142" t="s">
        <v>227</v>
      </c>
      <c r="CU16" s="155">
        <v>35.23839420930242</v>
      </c>
      <c r="CV16" s="135" t="s">
        <v>156</v>
      </c>
      <c r="CW16" s="129">
        <v>1</v>
      </c>
      <c r="CX16" s="133" t="s">
        <v>206</v>
      </c>
      <c r="CY16" s="169">
        <v>1.0803800000000001E-2</v>
      </c>
      <c r="CZ16" s="129" t="s">
        <v>227</v>
      </c>
      <c r="DA16" s="129" t="s">
        <v>227</v>
      </c>
      <c r="DB16" s="141" t="s">
        <v>207</v>
      </c>
      <c r="DC16" s="169">
        <v>5.0438499999999997E-2</v>
      </c>
      <c r="DD16" s="129" t="s">
        <v>227</v>
      </c>
      <c r="DE16" s="129" t="s">
        <v>227</v>
      </c>
      <c r="DF16" s="133" t="s">
        <v>207</v>
      </c>
      <c r="DH16" s="129" t="s">
        <v>227</v>
      </c>
      <c r="DI16" s="129" t="s">
        <v>227</v>
      </c>
      <c r="DJ16" s="129" t="s">
        <v>227</v>
      </c>
      <c r="DK16" s="156">
        <f t="shared" si="7"/>
        <v>4.326E-4</v>
      </c>
      <c r="DL16" s="129" t="s">
        <v>227</v>
      </c>
      <c r="DM16" s="129" t="s">
        <v>227</v>
      </c>
      <c r="DN16" s="133" t="s">
        <v>209</v>
      </c>
      <c r="DO16" s="129">
        <v>39.61</v>
      </c>
      <c r="DP16" s="133" t="s">
        <v>210</v>
      </c>
      <c r="DQ16" s="129" t="s">
        <v>226</v>
      </c>
      <c r="DR16" s="133" t="s">
        <v>211</v>
      </c>
      <c r="DS16" s="133" t="s">
        <v>212</v>
      </c>
      <c r="DT16" s="157" t="s">
        <v>229</v>
      </c>
      <c r="DU16" s="158">
        <f t="shared" si="8"/>
        <v>1.0194223425350497</v>
      </c>
      <c r="DV16" s="156" t="s">
        <v>227</v>
      </c>
      <c r="DW16" s="156" t="s">
        <v>226</v>
      </c>
      <c r="DX16" s="157" t="s">
        <v>232</v>
      </c>
      <c r="DY16" s="159" t="s">
        <v>213</v>
      </c>
      <c r="DZ16" s="157" t="s">
        <v>214</v>
      </c>
      <c r="EA16" s="1" t="s">
        <v>217</v>
      </c>
      <c r="EB16" s="129" t="s">
        <v>218</v>
      </c>
      <c r="EC16" s="133" t="s">
        <v>219</v>
      </c>
      <c r="ED16" s="133" t="s">
        <v>219</v>
      </c>
      <c r="EE16" s="133" t="s">
        <v>220</v>
      </c>
      <c r="EH16" s="129" t="s">
        <v>215</v>
      </c>
      <c r="EI16" s="133" t="s">
        <v>216</v>
      </c>
      <c r="EJ16" s="153" t="s">
        <v>227</v>
      </c>
      <c r="EK16">
        <v>272.39999999999998</v>
      </c>
      <c r="EL16" s="133" t="s">
        <v>221</v>
      </c>
      <c r="EM16">
        <v>25</v>
      </c>
      <c r="EN16">
        <v>25</v>
      </c>
      <c r="EO16" t="s">
        <v>227</v>
      </c>
      <c r="EP16" t="s">
        <v>227</v>
      </c>
      <c r="EQ16" t="s">
        <v>227</v>
      </c>
      <c r="ER16" t="s">
        <v>227</v>
      </c>
      <c r="ES16" s="163">
        <v>8.15560393469449</v>
      </c>
      <c r="ET16" s="142" t="s">
        <v>222</v>
      </c>
      <c r="EU16" s="164">
        <v>3.4406112417745049E-2</v>
      </c>
      <c r="EV16" s="164">
        <v>3.4406112417745049E-2</v>
      </c>
      <c r="EW16" s="165">
        <v>314</v>
      </c>
      <c r="EX16" s="129">
        <v>17</v>
      </c>
      <c r="EY16" s="139" t="s">
        <v>223</v>
      </c>
      <c r="EZ16" s="148">
        <f t="shared" si="9"/>
        <v>297</v>
      </c>
      <c r="FA16" s="162">
        <v>58.892071622587707</v>
      </c>
      <c r="FB16" s="162">
        <v>68.759290281386711</v>
      </c>
      <c r="FC16" s="133" t="s">
        <v>224</v>
      </c>
      <c r="FD16" s="133" t="s">
        <v>225</v>
      </c>
      <c r="FE16" s="129" t="s">
        <v>227</v>
      </c>
      <c r="FF16" s="129" t="s">
        <v>227</v>
      </c>
      <c r="FG16" s="129" t="s">
        <v>227</v>
      </c>
      <c r="FH16" s="129" t="s">
        <v>227</v>
      </c>
      <c r="FI16" s="129" t="s">
        <v>227</v>
      </c>
      <c r="FJ16" s="129" t="s">
        <v>227</v>
      </c>
      <c r="FK16" s="129" t="s">
        <v>227</v>
      </c>
      <c r="FL16" s="129" t="s">
        <v>227</v>
      </c>
      <c r="FM16" s="129" t="s">
        <v>227</v>
      </c>
      <c r="FN16" s="129" t="s">
        <v>227</v>
      </c>
      <c r="FO16" s="129" t="s">
        <v>227</v>
      </c>
      <c r="FP16" s="129" t="s">
        <v>227</v>
      </c>
    </row>
    <row r="17" spans="1:172" ht="18" x14ac:dyDescent="0.2">
      <c r="A17" s="130" t="s">
        <v>152</v>
      </c>
      <c r="B17" t="s">
        <v>153</v>
      </c>
      <c r="C17">
        <v>2011</v>
      </c>
      <c r="D17" t="s">
        <v>150</v>
      </c>
      <c r="E17" s="149">
        <f t="shared" si="1"/>
        <v>2708.1120000000001</v>
      </c>
      <c r="F17">
        <f t="shared" si="2"/>
        <v>6</v>
      </c>
      <c r="G17">
        <f t="shared" si="3"/>
        <v>6</v>
      </c>
      <c r="H17" s="167">
        <f t="shared" si="4"/>
        <v>221.3</v>
      </c>
      <c r="I17" s="167">
        <f t="shared" si="5"/>
        <v>48.270312618109287</v>
      </c>
      <c r="J17" s="167">
        <f t="shared" si="6"/>
        <v>55.276356609313531</v>
      </c>
      <c r="K17" s="141" t="s">
        <v>147</v>
      </c>
      <c r="L17" s="140" t="s">
        <v>148</v>
      </c>
      <c r="M17" s="139" t="s">
        <v>149</v>
      </c>
      <c r="N17" s="128" t="s">
        <v>150</v>
      </c>
      <c r="O17" s="136" t="s">
        <v>151</v>
      </c>
      <c r="P17" s="129" t="s">
        <v>154</v>
      </c>
      <c r="Q17" s="137">
        <v>10</v>
      </c>
      <c r="R17" s="137">
        <v>4</v>
      </c>
      <c r="S17" s="137">
        <v>47</v>
      </c>
      <c r="T17" s="137">
        <v>49</v>
      </c>
      <c r="U17" s="138">
        <v>88.57</v>
      </c>
      <c r="V17" s="136" t="s">
        <v>227</v>
      </c>
      <c r="W17" s="136" t="s">
        <v>227</v>
      </c>
      <c r="X17" s="133" t="s">
        <v>155</v>
      </c>
      <c r="Y17" s="134">
        <v>12.910833330000001</v>
      </c>
      <c r="Z17" s="134">
        <v>-78.833333330000002</v>
      </c>
      <c r="AA17" s="129" t="s">
        <v>227</v>
      </c>
      <c r="AB17" s="129" t="s">
        <v>227</v>
      </c>
      <c r="AC17" s="129">
        <v>-2838.9</v>
      </c>
      <c r="AD17" s="129" t="s">
        <v>227</v>
      </c>
      <c r="AE17" s="129" t="s">
        <v>227</v>
      </c>
      <c r="AF17" s="135" t="s">
        <v>227</v>
      </c>
      <c r="AG17" s="168">
        <v>2708.1120000000001</v>
      </c>
      <c r="AH17" s="142" t="s">
        <v>156</v>
      </c>
      <c r="AI17" s="129">
        <v>6</v>
      </c>
      <c r="AJ17">
        <v>6</v>
      </c>
      <c r="AK17" s="129" t="s">
        <v>227</v>
      </c>
      <c r="AL17" t="s">
        <v>227</v>
      </c>
      <c r="AM17" s="133" t="s">
        <v>157</v>
      </c>
      <c r="AN17" t="s">
        <v>227</v>
      </c>
      <c r="AO17" t="s">
        <v>227</v>
      </c>
      <c r="AP17" t="s">
        <v>227</v>
      </c>
      <c r="AQ17" t="s">
        <v>227</v>
      </c>
      <c r="AR17" t="s">
        <v>227</v>
      </c>
      <c r="AS17" t="s">
        <v>227</v>
      </c>
      <c r="AT17" t="s">
        <v>227</v>
      </c>
      <c r="AU17" s="133" t="s">
        <v>160</v>
      </c>
      <c r="AV17" s="170" t="s">
        <v>230</v>
      </c>
      <c r="AW17" s="139" t="s">
        <v>158</v>
      </c>
      <c r="AX17" s="145">
        <v>29.94</v>
      </c>
      <c r="AY17" s="139" t="s">
        <v>149</v>
      </c>
      <c r="AZ17" s="129" t="s">
        <v>227</v>
      </c>
      <c r="BA17" s="133" t="s">
        <v>159</v>
      </c>
      <c r="BB17" s="136" t="s">
        <v>175</v>
      </c>
      <c r="BC17">
        <v>4</v>
      </c>
      <c r="BD17" s="149">
        <v>0.10246950765959553</v>
      </c>
      <c r="BE17" s="138">
        <v>21.262996341779449</v>
      </c>
      <c r="BF17" s="133" t="s">
        <v>162</v>
      </c>
      <c r="BG17" s="147">
        <v>0.33</v>
      </c>
      <c r="BH17" s="136" t="s">
        <v>227</v>
      </c>
      <c r="BI17" s="136" t="s">
        <v>227</v>
      </c>
      <c r="BJ17" s="143" t="s">
        <v>227</v>
      </c>
      <c r="BK17" s="150">
        <v>-4.2</v>
      </c>
      <c r="BL17" s="136" t="s">
        <v>227</v>
      </c>
      <c r="BM17" s="129" t="s">
        <v>226</v>
      </c>
      <c r="BN17" s="139" t="s">
        <v>204</v>
      </c>
      <c r="BO17" s="133" t="s">
        <v>205</v>
      </c>
      <c r="BP17" s="129" t="s">
        <v>227</v>
      </c>
      <c r="BQ17" s="129" t="s">
        <v>227</v>
      </c>
      <c r="BR17" s="129" t="s">
        <v>227</v>
      </c>
      <c r="BS17" s="129" t="s">
        <v>227</v>
      </c>
      <c r="BT17" s="129" t="s">
        <v>227</v>
      </c>
      <c r="BU17" s="129">
        <v>0</v>
      </c>
      <c r="BV17" s="136" t="s">
        <v>227</v>
      </c>
      <c r="BW17" s="129" t="s">
        <v>226</v>
      </c>
      <c r="BX17" s="138">
        <v>23.93369505030298</v>
      </c>
      <c r="BY17" s="135" t="s">
        <v>156</v>
      </c>
      <c r="BZ17" s="152">
        <v>1</v>
      </c>
      <c r="CA17" s="152">
        <v>1</v>
      </c>
      <c r="CB17" s="133" t="s">
        <v>228</v>
      </c>
      <c r="CC17" s="153" t="s">
        <v>227</v>
      </c>
      <c r="CD17" s="135" t="s">
        <v>227</v>
      </c>
      <c r="CE17" s="154" t="s">
        <v>227</v>
      </c>
      <c r="CF17" s="142" t="s">
        <v>227</v>
      </c>
      <c r="CG17" s="142" t="s">
        <v>227</v>
      </c>
      <c r="CH17" s="129" t="s">
        <v>227</v>
      </c>
      <c r="CI17" s="142" t="s">
        <v>227</v>
      </c>
      <c r="CJ17" s="142" t="s">
        <v>227</v>
      </c>
      <c r="CK17" s="142" t="s">
        <v>226</v>
      </c>
      <c r="CL17" s="129" t="s">
        <v>227</v>
      </c>
      <c r="CM17" s="142" t="s">
        <v>226</v>
      </c>
      <c r="CN17" s="142" t="s">
        <v>227</v>
      </c>
      <c r="CO17" s="142" t="s">
        <v>227</v>
      </c>
      <c r="CP17" s="142" t="s">
        <v>227</v>
      </c>
      <c r="CQ17" s="142" t="s">
        <v>227</v>
      </c>
      <c r="CR17" s="142" t="s">
        <v>227</v>
      </c>
      <c r="CS17" s="142" t="s">
        <v>227</v>
      </c>
      <c r="CT17" s="142" t="s">
        <v>227</v>
      </c>
      <c r="CU17" s="155">
        <v>35.304224930305558</v>
      </c>
      <c r="CV17" s="135" t="s">
        <v>156</v>
      </c>
      <c r="CW17" s="129">
        <v>1</v>
      </c>
      <c r="CX17" s="133" t="s">
        <v>206</v>
      </c>
      <c r="CY17" s="169">
        <v>1.0804299999999999E-2</v>
      </c>
      <c r="CZ17" s="129" t="s">
        <v>227</v>
      </c>
      <c r="DA17" s="129" t="s">
        <v>227</v>
      </c>
      <c r="DB17" s="141" t="s">
        <v>207</v>
      </c>
      <c r="DC17" s="169">
        <v>5.0436300000000003E-2</v>
      </c>
      <c r="DD17" s="129" t="s">
        <v>227</v>
      </c>
      <c r="DE17" s="129" t="s">
        <v>227</v>
      </c>
      <c r="DF17" s="133" t="s">
        <v>207</v>
      </c>
      <c r="DH17" s="129" t="s">
        <v>227</v>
      </c>
      <c r="DI17" s="129" t="s">
        <v>227</v>
      </c>
      <c r="DJ17" s="129" t="s">
        <v>227</v>
      </c>
      <c r="DK17" s="156">
        <f t="shared" si="7"/>
        <v>4.326E-4</v>
      </c>
      <c r="DL17" s="129" t="s">
        <v>227</v>
      </c>
      <c r="DM17" s="129" t="s">
        <v>227</v>
      </c>
      <c r="DN17" s="133" t="s">
        <v>209</v>
      </c>
      <c r="DO17" s="129">
        <v>39.61</v>
      </c>
      <c r="DP17" s="133" t="s">
        <v>210</v>
      </c>
      <c r="DQ17" s="129" t="s">
        <v>226</v>
      </c>
      <c r="DR17" s="133" t="s">
        <v>211</v>
      </c>
      <c r="DS17" s="133" t="s">
        <v>212</v>
      </c>
      <c r="DT17" s="157" t="s">
        <v>229</v>
      </c>
      <c r="DU17" s="158">
        <f t="shared" si="8"/>
        <v>1.0194223425350497</v>
      </c>
      <c r="DV17" s="156" t="s">
        <v>227</v>
      </c>
      <c r="DW17" s="156" t="s">
        <v>226</v>
      </c>
      <c r="DX17" s="157" t="s">
        <v>232</v>
      </c>
      <c r="DY17" s="159" t="s">
        <v>213</v>
      </c>
      <c r="DZ17" s="157" t="s">
        <v>214</v>
      </c>
      <c r="EA17" s="1" t="s">
        <v>217</v>
      </c>
      <c r="EB17" s="129" t="s">
        <v>218</v>
      </c>
      <c r="EC17" s="133" t="s">
        <v>219</v>
      </c>
      <c r="ED17" s="133" t="s">
        <v>219</v>
      </c>
      <c r="EE17" s="133" t="s">
        <v>220</v>
      </c>
      <c r="EH17" s="129" t="s">
        <v>215</v>
      </c>
      <c r="EI17" s="133" t="s">
        <v>216</v>
      </c>
      <c r="EJ17" s="153" t="s">
        <v>227</v>
      </c>
      <c r="EK17">
        <v>273</v>
      </c>
      <c r="EL17" s="133" t="s">
        <v>221</v>
      </c>
      <c r="EM17">
        <v>25</v>
      </c>
      <c r="EN17">
        <v>25</v>
      </c>
      <c r="EO17" t="s">
        <v>227</v>
      </c>
      <c r="EP17" t="s">
        <v>227</v>
      </c>
      <c r="EQ17" t="s">
        <v>227</v>
      </c>
      <c r="ER17" t="s">
        <v>227</v>
      </c>
      <c r="ES17" s="163">
        <v>8.2165530580457737</v>
      </c>
      <c r="ET17" s="142" t="s">
        <v>222</v>
      </c>
      <c r="EU17" s="164">
        <v>3.5482391002880753E-2</v>
      </c>
      <c r="EV17" s="164">
        <v>3.5482391002880753E-2</v>
      </c>
      <c r="EW17" s="165">
        <v>238.3</v>
      </c>
      <c r="EX17" s="129">
        <v>17</v>
      </c>
      <c r="EY17" s="139" t="s">
        <v>223</v>
      </c>
      <c r="EZ17" s="148">
        <f t="shared" si="9"/>
        <v>221.3</v>
      </c>
      <c r="FA17" s="162">
        <v>48.270312618109287</v>
      </c>
      <c r="FB17" s="162">
        <v>55.276356609313531</v>
      </c>
      <c r="FC17" s="133" t="s">
        <v>224</v>
      </c>
      <c r="FD17" s="133" t="s">
        <v>225</v>
      </c>
      <c r="FE17" s="129" t="s">
        <v>227</v>
      </c>
      <c r="FF17" s="129" t="s">
        <v>227</v>
      </c>
      <c r="FG17" s="129" t="s">
        <v>227</v>
      </c>
      <c r="FH17" s="129" t="s">
        <v>227</v>
      </c>
      <c r="FI17" s="129" t="s">
        <v>227</v>
      </c>
      <c r="FJ17" s="129" t="s">
        <v>227</v>
      </c>
      <c r="FK17" s="129" t="s">
        <v>227</v>
      </c>
      <c r="FL17" s="129" t="s">
        <v>227</v>
      </c>
      <c r="FM17" s="129" t="s">
        <v>227</v>
      </c>
      <c r="FN17" s="129" t="s">
        <v>227</v>
      </c>
      <c r="FO17" s="129" t="s">
        <v>227</v>
      </c>
      <c r="FP17" s="129" t="s">
        <v>227</v>
      </c>
    </row>
    <row r="18" spans="1:172" ht="18" x14ac:dyDescent="0.2">
      <c r="A18" s="130" t="s">
        <v>152</v>
      </c>
      <c r="B18" t="s">
        <v>153</v>
      </c>
      <c r="C18">
        <v>2011</v>
      </c>
      <c r="D18" t="s">
        <v>150</v>
      </c>
      <c r="E18" s="149">
        <f t="shared" si="1"/>
        <v>2710.4639999999999</v>
      </c>
      <c r="F18">
        <f t="shared" si="2"/>
        <v>6</v>
      </c>
      <c r="G18">
        <f t="shared" si="3"/>
        <v>6</v>
      </c>
      <c r="H18" s="167">
        <f t="shared" si="4"/>
        <v>316.8</v>
      </c>
      <c r="I18" s="167">
        <f t="shared" si="5"/>
        <v>61.78572593245142</v>
      </c>
      <c r="J18" s="167">
        <f t="shared" si="6"/>
        <v>72.394043953905495</v>
      </c>
      <c r="K18" s="141" t="s">
        <v>147</v>
      </c>
      <c r="L18" s="140" t="s">
        <v>148</v>
      </c>
      <c r="M18" s="139" t="s">
        <v>149</v>
      </c>
      <c r="N18" s="128" t="s">
        <v>150</v>
      </c>
      <c r="O18" s="129" t="s">
        <v>151</v>
      </c>
      <c r="P18" s="129" t="s">
        <v>154</v>
      </c>
      <c r="Q18" s="137">
        <v>10</v>
      </c>
      <c r="R18" s="137">
        <v>4</v>
      </c>
      <c r="S18" s="137">
        <v>57</v>
      </c>
      <c r="T18" s="137">
        <v>59</v>
      </c>
      <c r="U18" s="138">
        <v>88.67</v>
      </c>
      <c r="V18" s="136" t="s">
        <v>227</v>
      </c>
      <c r="W18" s="136" t="s">
        <v>227</v>
      </c>
      <c r="X18" s="133" t="s">
        <v>155</v>
      </c>
      <c r="Y18" s="134">
        <v>12.910833330000001</v>
      </c>
      <c r="Z18" s="134">
        <v>-78.833333330000002</v>
      </c>
      <c r="AA18" s="129" t="s">
        <v>227</v>
      </c>
      <c r="AB18" s="129" t="s">
        <v>227</v>
      </c>
      <c r="AC18" s="129">
        <v>-2838.9</v>
      </c>
      <c r="AD18" s="129" t="s">
        <v>227</v>
      </c>
      <c r="AE18" s="129" t="s">
        <v>227</v>
      </c>
      <c r="AF18" s="135" t="s">
        <v>227</v>
      </c>
      <c r="AG18" s="168">
        <v>2710.4639999999999</v>
      </c>
      <c r="AH18" s="142" t="s">
        <v>156</v>
      </c>
      <c r="AI18" s="129">
        <v>6</v>
      </c>
      <c r="AJ18">
        <v>6</v>
      </c>
      <c r="AK18" s="129" t="s">
        <v>227</v>
      </c>
      <c r="AL18" t="s">
        <v>227</v>
      </c>
      <c r="AM18" s="133" t="s">
        <v>157</v>
      </c>
      <c r="AN18" t="s">
        <v>227</v>
      </c>
      <c r="AO18" t="s">
        <v>227</v>
      </c>
      <c r="AP18" t="s">
        <v>227</v>
      </c>
      <c r="AQ18" t="s">
        <v>227</v>
      </c>
      <c r="AR18" t="s">
        <v>227</v>
      </c>
      <c r="AS18" t="s">
        <v>227</v>
      </c>
      <c r="AT18" t="s">
        <v>227</v>
      </c>
      <c r="AU18" s="133" t="s">
        <v>160</v>
      </c>
      <c r="AV18" s="170" t="s">
        <v>230</v>
      </c>
      <c r="AW18" s="139" t="s">
        <v>158</v>
      </c>
      <c r="AX18" s="145">
        <v>33</v>
      </c>
      <c r="AY18" s="139" t="s">
        <v>149</v>
      </c>
      <c r="AZ18" s="129" t="s">
        <v>227</v>
      </c>
      <c r="BA18" s="133" t="s">
        <v>159</v>
      </c>
      <c r="BB18" s="136" t="s">
        <v>176</v>
      </c>
      <c r="BC18">
        <v>4</v>
      </c>
      <c r="BD18" s="149">
        <v>0.82</v>
      </c>
      <c r="BE18" s="138">
        <v>20.537644451159139</v>
      </c>
      <c r="BF18" s="133" t="s">
        <v>162</v>
      </c>
      <c r="BG18" s="147">
        <v>0.81605542879947457</v>
      </c>
      <c r="BH18" s="136" t="s">
        <v>227</v>
      </c>
      <c r="BI18" s="136" t="s">
        <v>227</v>
      </c>
      <c r="BJ18" s="143" t="s">
        <v>227</v>
      </c>
      <c r="BK18" s="150">
        <v>-4.2</v>
      </c>
      <c r="BL18" s="136" t="s">
        <v>227</v>
      </c>
      <c r="BM18" s="129" t="s">
        <v>226</v>
      </c>
      <c r="BN18" s="139" t="s">
        <v>204</v>
      </c>
      <c r="BO18" s="133" t="s">
        <v>205</v>
      </c>
      <c r="BP18" s="129" t="s">
        <v>227</v>
      </c>
      <c r="BQ18" s="129" t="s">
        <v>227</v>
      </c>
      <c r="BR18" s="129" t="s">
        <v>227</v>
      </c>
      <c r="BS18" s="129" t="s">
        <v>227</v>
      </c>
      <c r="BT18" s="129" t="s">
        <v>227</v>
      </c>
      <c r="BU18" s="129">
        <v>0</v>
      </c>
      <c r="BV18" s="136" t="s">
        <v>227</v>
      </c>
      <c r="BW18" s="129" t="s">
        <v>226</v>
      </c>
      <c r="BX18" s="138">
        <v>23.345668367476954</v>
      </c>
      <c r="BY18" s="135" t="s">
        <v>156</v>
      </c>
      <c r="BZ18" s="152">
        <v>1</v>
      </c>
      <c r="CA18" s="152">
        <v>1</v>
      </c>
      <c r="CB18" s="133" t="s">
        <v>228</v>
      </c>
      <c r="CC18" s="153" t="s">
        <v>227</v>
      </c>
      <c r="CD18" s="135" t="s">
        <v>227</v>
      </c>
      <c r="CE18" s="154" t="s">
        <v>227</v>
      </c>
      <c r="CF18" s="142" t="s">
        <v>227</v>
      </c>
      <c r="CG18" s="142" t="s">
        <v>227</v>
      </c>
      <c r="CH18" s="129" t="s">
        <v>227</v>
      </c>
      <c r="CI18" s="142" t="s">
        <v>227</v>
      </c>
      <c r="CJ18" s="142" t="s">
        <v>227</v>
      </c>
      <c r="CK18" s="142" t="s">
        <v>226</v>
      </c>
      <c r="CL18" s="129" t="s">
        <v>227</v>
      </c>
      <c r="CM18" s="142" t="s">
        <v>226</v>
      </c>
      <c r="CN18" s="142" t="s">
        <v>227</v>
      </c>
      <c r="CO18" s="142" t="s">
        <v>227</v>
      </c>
      <c r="CP18" s="142" t="s">
        <v>227</v>
      </c>
      <c r="CQ18" s="142" t="s">
        <v>227</v>
      </c>
      <c r="CR18" s="142" t="s">
        <v>227</v>
      </c>
      <c r="CS18" s="142" t="s">
        <v>227</v>
      </c>
      <c r="CT18" s="142" t="s">
        <v>227</v>
      </c>
      <c r="CU18" s="155">
        <v>34.913282304265039</v>
      </c>
      <c r="CV18" s="135" t="s">
        <v>156</v>
      </c>
      <c r="CW18" s="129">
        <v>1</v>
      </c>
      <c r="CX18" s="133" t="s">
        <v>206</v>
      </c>
      <c r="CY18" s="169">
        <v>1.08047E-2</v>
      </c>
      <c r="CZ18" s="129" t="s">
        <v>227</v>
      </c>
      <c r="DA18" s="129" t="s">
        <v>227</v>
      </c>
      <c r="DB18" s="141" t="s">
        <v>207</v>
      </c>
      <c r="DC18" s="169">
        <v>5.0434399999999997E-2</v>
      </c>
      <c r="DD18" s="129" t="s">
        <v>227</v>
      </c>
      <c r="DE18" s="129" t="s">
        <v>227</v>
      </c>
      <c r="DF18" s="133" t="s">
        <v>207</v>
      </c>
      <c r="DH18" s="129" t="s">
        <v>227</v>
      </c>
      <c r="DI18" s="129" t="s">
        <v>227</v>
      </c>
      <c r="DJ18" s="129" t="s">
        <v>227</v>
      </c>
      <c r="DK18" s="156">
        <f t="shared" si="7"/>
        <v>4.326E-4</v>
      </c>
      <c r="DL18" s="129" t="s">
        <v>227</v>
      </c>
      <c r="DM18" s="129" t="s">
        <v>227</v>
      </c>
      <c r="DN18" s="133" t="s">
        <v>209</v>
      </c>
      <c r="DO18" s="129">
        <v>39.61</v>
      </c>
      <c r="DP18" s="133" t="s">
        <v>210</v>
      </c>
      <c r="DQ18" s="129" t="s">
        <v>226</v>
      </c>
      <c r="DR18" s="133" t="s">
        <v>211</v>
      </c>
      <c r="DS18" s="133" t="s">
        <v>212</v>
      </c>
      <c r="DT18" s="157" t="s">
        <v>229</v>
      </c>
      <c r="DU18" s="158">
        <f t="shared" si="8"/>
        <v>1.0194512763879782</v>
      </c>
      <c r="DV18" s="156" t="s">
        <v>227</v>
      </c>
      <c r="DW18" s="156" t="s">
        <v>226</v>
      </c>
      <c r="DX18" s="157" t="s">
        <v>232</v>
      </c>
      <c r="DY18" s="159" t="s">
        <v>213</v>
      </c>
      <c r="DZ18" s="157" t="s">
        <v>214</v>
      </c>
      <c r="EA18" s="1" t="s">
        <v>217</v>
      </c>
      <c r="EB18" s="129" t="s">
        <v>218</v>
      </c>
      <c r="EC18" s="133" t="s">
        <v>219</v>
      </c>
      <c r="ED18" s="133" t="s">
        <v>219</v>
      </c>
      <c r="EE18" s="133" t="s">
        <v>220</v>
      </c>
      <c r="EH18" s="129" t="s">
        <v>215</v>
      </c>
      <c r="EI18" s="133" t="s">
        <v>216</v>
      </c>
      <c r="EJ18" s="153" t="s">
        <v>227</v>
      </c>
      <c r="EK18">
        <v>269.3</v>
      </c>
      <c r="EL18" s="133" t="s">
        <v>221</v>
      </c>
      <c r="EM18">
        <v>25</v>
      </c>
      <c r="EN18">
        <v>25</v>
      </c>
      <c r="EO18" t="s">
        <v>227</v>
      </c>
      <c r="EP18" t="s">
        <v>227</v>
      </c>
      <c r="EQ18" t="s">
        <v>227</v>
      </c>
      <c r="ER18" t="s">
        <v>227</v>
      </c>
      <c r="ES18" s="163">
        <v>8.1468512961793813</v>
      </c>
      <c r="ET18" s="142" t="s">
        <v>222</v>
      </c>
      <c r="EU18" s="164">
        <v>9.5910118100803743E-2</v>
      </c>
      <c r="EV18" s="164">
        <v>9.5910118100803743E-2</v>
      </c>
      <c r="EW18" s="165">
        <v>333.8</v>
      </c>
      <c r="EX18" s="129">
        <v>17</v>
      </c>
      <c r="EY18" s="139" t="s">
        <v>223</v>
      </c>
      <c r="EZ18" s="148">
        <f t="shared" si="9"/>
        <v>316.8</v>
      </c>
      <c r="FA18" s="162">
        <v>61.78572593245142</v>
      </c>
      <c r="FB18" s="162">
        <v>72.394043953905495</v>
      </c>
      <c r="FC18" s="133" t="s">
        <v>224</v>
      </c>
      <c r="FD18" s="133" t="s">
        <v>225</v>
      </c>
      <c r="FE18" s="129" t="s">
        <v>227</v>
      </c>
      <c r="FF18" s="129" t="s">
        <v>227</v>
      </c>
      <c r="FG18" s="129" t="s">
        <v>227</v>
      </c>
      <c r="FH18" s="129" t="s">
        <v>227</v>
      </c>
      <c r="FI18" s="129" t="s">
        <v>227</v>
      </c>
      <c r="FJ18" s="129" t="s">
        <v>227</v>
      </c>
      <c r="FK18" s="129" t="s">
        <v>227</v>
      </c>
      <c r="FL18" s="129" t="s">
        <v>227</v>
      </c>
      <c r="FM18" s="129" t="s">
        <v>227</v>
      </c>
      <c r="FN18" s="129" t="s">
        <v>227</v>
      </c>
      <c r="FO18" s="129" t="s">
        <v>227</v>
      </c>
      <c r="FP18" s="129" t="s">
        <v>227</v>
      </c>
    </row>
    <row r="19" spans="1:172" ht="18" x14ac:dyDescent="0.2">
      <c r="A19" s="130" t="s">
        <v>152</v>
      </c>
      <c r="B19" t="s">
        <v>153</v>
      </c>
      <c r="C19">
        <v>2011</v>
      </c>
      <c r="D19" t="s">
        <v>150</v>
      </c>
      <c r="E19" s="149">
        <f t="shared" si="1"/>
        <v>2751.5639999999999</v>
      </c>
      <c r="F19">
        <f t="shared" si="2"/>
        <v>6</v>
      </c>
      <c r="G19">
        <f t="shared" si="3"/>
        <v>6</v>
      </c>
      <c r="H19" s="167">
        <f t="shared" si="4"/>
        <v>282.7</v>
      </c>
      <c r="I19" s="167">
        <f t="shared" si="5"/>
        <v>56.827387325566889</v>
      </c>
      <c r="J19" s="167">
        <f t="shared" si="6"/>
        <v>66.157415306222475</v>
      </c>
      <c r="K19" s="141" t="s">
        <v>147</v>
      </c>
      <c r="L19" s="140" t="s">
        <v>148</v>
      </c>
      <c r="M19" s="139" t="s">
        <v>149</v>
      </c>
      <c r="N19" s="128" t="s">
        <v>150</v>
      </c>
      <c r="O19" s="136" t="s">
        <v>151</v>
      </c>
      <c r="P19" s="129" t="s">
        <v>154</v>
      </c>
      <c r="Q19" s="137">
        <v>10</v>
      </c>
      <c r="R19" s="137">
        <v>5</v>
      </c>
      <c r="S19" s="137">
        <v>4</v>
      </c>
      <c r="T19" s="137">
        <v>6</v>
      </c>
      <c r="U19" s="138">
        <v>89.64</v>
      </c>
      <c r="V19" s="136" t="s">
        <v>227</v>
      </c>
      <c r="W19" s="136" t="s">
        <v>227</v>
      </c>
      <c r="X19" s="133" t="s">
        <v>155</v>
      </c>
      <c r="Y19" s="134">
        <v>12.910833330000001</v>
      </c>
      <c r="Z19" s="134">
        <v>-78.833333330000002</v>
      </c>
      <c r="AA19" s="129" t="s">
        <v>227</v>
      </c>
      <c r="AB19" s="129" t="s">
        <v>227</v>
      </c>
      <c r="AC19" s="129">
        <v>-2838.9</v>
      </c>
      <c r="AD19" s="129" t="s">
        <v>227</v>
      </c>
      <c r="AE19" s="129" t="s">
        <v>227</v>
      </c>
      <c r="AF19" s="135" t="s">
        <v>227</v>
      </c>
      <c r="AG19" s="168">
        <v>2751.5639999999999</v>
      </c>
      <c r="AH19" s="142" t="s">
        <v>156</v>
      </c>
      <c r="AI19" s="129">
        <v>6</v>
      </c>
      <c r="AJ19">
        <v>6</v>
      </c>
      <c r="AK19" s="129" t="s">
        <v>227</v>
      </c>
      <c r="AL19" t="s">
        <v>227</v>
      </c>
      <c r="AM19" s="133" t="s">
        <v>157</v>
      </c>
      <c r="AN19" t="s">
        <v>227</v>
      </c>
      <c r="AO19" t="s">
        <v>227</v>
      </c>
      <c r="AP19" t="s">
        <v>227</v>
      </c>
      <c r="AQ19" t="s">
        <v>227</v>
      </c>
      <c r="AR19" t="s">
        <v>227</v>
      </c>
      <c r="AS19" t="s">
        <v>227</v>
      </c>
      <c r="AT19" t="s">
        <v>227</v>
      </c>
      <c r="AU19" s="133" t="s">
        <v>160</v>
      </c>
      <c r="AV19" s="170" t="s">
        <v>230</v>
      </c>
      <c r="AW19" s="139" t="s">
        <v>158</v>
      </c>
      <c r="AX19" s="145">
        <v>35.6</v>
      </c>
      <c r="AY19" s="139" t="s">
        <v>149</v>
      </c>
      <c r="AZ19" s="129" t="s">
        <v>227</v>
      </c>
      <c r="BA19" s="133" t="s">
        <v>159</v>
      </c>
      <c r="BB19" s="136" t="s">
        <v>177</v>
      </c>
      <c r="BC19">
        <v>5</v>
      </c>
      <c r="BD19" s="149">
        <v>0.15582040944625933</v>
      </c>
      <c r="BE19" s="138">
        <v>20.939994240263491</v>
      </c>
      <c r="BF19" s="133" t="s">
        <v>162</v>
      </c>
      <c r="BG19" s="147">
        <v>0.3</v>
      </c>
      <c r="BH19" s="136" t="s">
        <v>227</v>
      </c>
      <c r="BI19" s="136" t="s">
        <v>227</v>
      </c>
      <c r="BJ19" s="143" t="s">
        <v>227</v>
      </c>
      <c r="BK19" s="150">
        <v>-4.2</v>
      </c>
      <c r="BL19" s="136" t="s">
        <v>227</v>
      </c>
      <c r="BM19" s="129" t="s">
        <v>226</v>
      </c>
      <c r="BN19" s="139" t="s">
        <v>204</v>
      </c>
      <c r="BO19" s="133" t="s">
        <v>205</v>
      </c>
      <c r="BP19" s="129" t="s">
        <v>227</v>
      </c>
      <c r="BQ19" s="129" t="s">
        <v>227</v>
      </c>
      <c r="BR19" s="129" t="s">
        <v>227</v>
      </c>
      <c r="BS19" s="129" t="s">
        <v>227</v>
      </c>
      <c r="BT19" s="129" t="s">
        <v>227</v>
      </c>
      <c r="BU19" s="129">
        <v>0</v>
      </c>
      <c r="BV19" s="136" t="s">
        <v>227</v>
      </c>
      <c r="BW19" s="129" t="s">
        <v>226</v>
      </c>
      <c r="BX19" s="138">
        <v>25.22966064725588</v>
      </c>
      <c r="BY19" s="135" t="s">
        <v>156</v>
      </c>
      <c r="BZ19" s="152">
        <v>1</v>
      </c>
      <c r="CA19" s="152">
        <v>1</v>
      </c>
      <c r="CB19" s="133" t="s">
        <v>228</v>
      </c>
      <c r="CC19" s="153" t="s">
        <v>227</v>
      </c>
      <c r="CD19" s="135" t="s">
        <v>227</v>
      </c>
      <c r="CE19" s="154" t="s">
        <v>227</v>
      </c>
      <c r="CF19" s="142" t="s">
        <v>227</v>
      </c>
      <c r="CG19" s="142" t="s">
        <v>227</v>
      </c>
      <c r="CH19" s="129" t="s">
        <v>227</v>
      </c>
      <c r="CI19" s="142" t="s">
        <v>227</v>
      </c>
      <c r="CJ19" s="142" t="s">
        <v>227</v>
      </c>
      <c r="CK19" s="142" t="s">
        <v>226</v>
      </c>
      <c r="CL19" s="129" t="s">
        <v>227</v>
      </c>
      <c r="CM19" s="142" t="s">
        <v>226</v>
      </c>
      <c r="CN19" s="142" t="s">
        <v>227</v>
      </c>
      <c r="CO19" s="142" t="s">
        <v>227</v>
      </c>
      <c r="CP19" s="142" t="s">
        <v>227</v>
      </c>
      <c r="CQ19" s="142" t="s">
        <v>227</v>
      </c>
      <c r="CR19" s="142" t="s">
        <v>227</v>
      </c>
      <c r="CS19" s="142" t="s">
        <v>227</v>
      </c>
      <c r="CT19" s="142" t="s">
        <v>227</v>
      </c>
      <c r="CU19" s="155">
        <v>35.018034231463218</v>
      </c>
      <c r="CV19" s="135" t="s">
        <v>156</v>
      </c>
      <c r="CW19" s="129">
        <v>1</v>
      </c>
      <c r="CX19" s="133" t="s">
        <v>206</v>
      </c>
      <c r="CY19" s="169">
        <v>1.08126E-2</v>
      </c>
      <c r="CZ19" s="129" t="s">
        <v>227</v>
      </c>
      <c r="DA19" s="129" t="s">
        <v>227</v>
      </c>
      <c r="DB19" s="141" t="s">
        <v>207</v>
      </c>
      <c r="DC19" s="169">
        <v>5.0399600000000003E-2</v>
      </c>
      <c r="DD19" s="129" t="s">
        <v>227</v>
      </c>
      <c r="DE19" s="129" t="s">
        <v>227</v>
      </c>
      <c r="DF19" s="133" t="s">
        <v>207</v>
      </c>
      <c r="DH19" s="129" t="s">
        <v>227</v>
      </c>
      <c r="DI19" s="129" t="s">
        <v>227</v>
      </c>
      <c r="DJ19" s="129" t="s">
        <v>227</v>
      </c>
      <c r="DK19" s="156">
        <f t="shared" si="7"/>
        <v>4.326E-4</v>
      </c>
      <c r="DL19" s="129" t="s">
        <v>227</v>
      </c>
      <c r="DM19" s="129" t="s">
        <v>227</v>
      </c>
      <c r="DN19" s="133" t="s">
        <v>209</v>
      </c>
      <c r="DO19" s="129">
        <v>39.61</v>
      </c>
      <c r="DP19" s="133" t="s">
        <v>210</v>
      </c>
      <c r="DQ19" s="129" t="s">
        <v>226</v>
      </c>
      <c r="DR19" s="133" t="s">
        <v>211</v>
      </c>
      <c r="DS19" s="133" t="s">
        <v>212</v>
      </c>
      <c r="DT19" s="157" t="s">
        <v>229</v>
      </c>
      <c r="DU19" s="158">
        <f t="shared" si="8"/>
        <v>1.0193585745478517</v>
      </c>
      <c r="DV19" s="156" t="s">
        <v>227</v>
      </c>
      <c r="DW19" s="156" t="s">
        <v>226</v>
      </c>
      <c r="DX19" s="157" t="s">
        <v>232</v>
      </c>
      <c r="DY19" s="159" t="s">
        <v>213</v>
      </c>
      <c r="DZ19" s="157" t="s">
        <v>214</v>
      </c>
      <c r="EA19" s="1" t="s">
        <v>217</v>
      </c>
      <c r="EB19" s="129" t="s">
        <v>218</v>
      </c>
      <c r="EC19" s="133" t="s">
        <v>219</v>
      </c>
      <c r="ED19" s="133" t="s">
        <v>219</v>
      </c>
      <c r="EE19" s="133" t="s">
        <v>220</v>
      </c>
      <c r="EH19" s="129" t="s">
        <v>215</v>
      </c>
      <c r="EI19" s="133" t="s">
        <v>216</v>
      </c>
      <c r="EJ19" s="153" t="s">
        <v>227</v>
      </c>
      <c r="EK19">
        <v>269</v>
      </c>
      <c r="EL19" s="133" t="s">
        <v>221</v>
      </c>
      <c r="EM19">
        <v>25</v>
      </c>
      <c r="EN19">
        <v>25</v>
      </c>
      <c r="EO19" t="s">
        <v>227</v>
      </c>
      <c r="EP19" t="s">
        <v>227</v>
      </c>
      <c r="EQ19" t="s">
        <v>227</v>
      </c>
      <c r="ER19" t="s">
        <v>227</v>
      </c>
      <c r="ES19" s="163">
        <v>8.1625569488790628</v>
      </c>
      <c r="ET19" s="142" t="s">
        <v>222</v>
      </c>
      <c r="EU19" s="164">
        <v>3.3739847733596839E-2</v>
      </c>
      <c r="EV19" s="164">
        <v>3.3739847733596839E-2</v>
      </c>
      <c r="EW19" s="165">
        <v>299.7</v>
      </c>
      <c r="EX19" s="129">
        <v>17</v>
      </c>
      <c r="EY19" s="139" t="s">
        <v>223</v>
      </c>
      <c r="EZ19" s="148">
        <f t="shared" si="9"/>
        <v>282.7</v>
      </c>
      <c r="FA19" s="162">
        <v>56.827387325566889</v>
      </c>
      <c r="FB19" s="162">
        <v>66.157415306222475</v>
      </c>
      <c r="FC19" s="133" t="s">
        <v>224</v>
      </c>
      <c r="FD19" s="133" t="s">
        <v>225</v>
      </c>
      <c r="FE19" s="129" t="s">
        <v>227</v>
      </c>
      <c r="FF19" s="129" t="s">
        <v>227</v>
      </c>
      <c r="FG19" s="129" t="s">
        <v>227</v>
      </c>
      <c r="FH19" s="129" t="s">
        <v>227</v>
      </c>
      <c r="FI19" s="129" t="s">
        <v>227</v>
      </c>
      <c r="FJ19" s="129" t="s">
        <v>227</v>
      </c>
      <c r="FK19" s="129" t="s">
        <v>227</v>
      </c>
      <c r="FL19" s="129" t="s">
        <v>227</v>
      </c>
      <c r="FM19" s="129" t="s">
        <v>227</v>
      </c>
      <c r="FN19" s="129" t="s">
        <v>227</v>
      </c>
      <c r="FO19" s="129" t="s">
        <v>227</v>
      </c>
      <c r="FP19" s="129" t="s">
        <v>227</v>
      </c>
    </row>
    <row r="20" spans="1:172" ht="18" x14ac:dyDescent="0.2">
      <c r="A20" s="130" t="s">
        <v>152</v>
      </c>
      <c r="B20" t="s">
        <v>153</v>
      </c>
      <c r="C20">
        <v>2011</v>
      </c>
      <c r="D20" t="s">
        <v>150</v>
      </c>
      <c r="E20" s="149">
        <f t="shared" si="1"/>
        <v>2772.86</v>
      </c>
      <c r="F20">
        <f t="shared" si="2"/>
        <v>6</v>
      </c>
      <c r="G20">
        <f t="shared" si="3"/>
        <v>6</v>
      </c>
      <c r="H20" s="167">
        <f t="shared" si="4"/>
        <v>386.5</v>
      </c>
      <c r="I20" s="167">
        <f t="shared" si="5"/>
        <v>72.225781451293415</v>
      </c>
      <c r="J20" s="167">
        <f t="shared" si="6"/>
        <v>85.419494262141356</v>
      </c>
      <c r="K20" s="141" t="s">
        <v>147</v>
      </c>
      <c r="L20" s="140" t="s">
        <v>148</v>
      </c>
      <c r="M20" s="139" t="s">
        <v>149</v>
      </c>
      <c r="N20" s="128" t="s">
        <v>150</v>
      </c>
      <c r="O20" s="129" t="s">
        <v>151</v>
      </c>
      <c r="P20" s="129" t="s">
        <v>154</v>
      </c>
      <c r="Q20" s="137">
        <v>10</v>
      </c>
      <c r="R20" s="137">
        <v>5</v>
      </c>
      <c r="S20" s="137">
        <v>50</v>
      </c>
      <c r="T20" s="137">
        <v>52</v>
      </c>
      <c r="U20" s="138">
        <v>90.1</v>
      </c>
      <c r="V20" s="136" t="s">
        <v>227</v>
      </c>
      <c r="W20" s="136" t="s">
        <v>227</v>
      </c>
      <c r="X20" s="133" t="s">
        <v>155</v>
      </c>
      <c r="Y20" s="134">
        <v>12.910833330000001</v>
      </c>
      <c r="Z20" s="134">
        <v>-78.833333330000002</v>
      </c>
      <c r="AA20" s="129" t="s">
        <v>227</v>
      </c>
      <c r="AB20" s="129" t="s">
        <v>227</v>
      </c>
      <c r="AC20" s="129">
        <v>-2838.9</v>
      </c>
      <c r="AD20" s="129" t="s">
        <v>227</v>
      </c>
      <c r="AE20" s="129" t="s">
        <v>227</v>
      </c>
      <c r="AF20" s="135" t="s">
        <v>227</v>
      </c>
      <c r="AG20" s="168">
        <v>2772.86</v>
      </c>
      <c r="AH20" s="142" t="s">
        <v>156</v>
      </c>
      <c r="AI20" s="129">
        <v>6</v>
      </c>
      <c r="AJ20">
        <v>6</v>
      </c>
      <c r="AK20" s="129" t="s">
        <v>227</v>
      </c>
      <c r="AL20" t="s">
        <v>227</v>
      </c>
      <c r="AM20" s="133" t="s">
        <v>157</v>
      </c>
      <c r="AN20" t="s">
        <v>227</v>
      </c>
      <c r="AO20" t="s">
        <v>227</v>
      </c>
      <c r="AP20" t="s">
        <v>227</v>
      </c>
      <c r="AQ20" t="s">
        <v>227</v>
      </c>
      <c r="AR20" t="s">
        <v>227</v>
      </c>
      <c r="AS20" t="s">
        <v>227</v>
      </c>
      <c r="AT20" t="s">
        <v>227</v>
      </c>
      <c r="AU20" s="133" t="s">
        <v>160</v>
      </c>
      <c r="AV20" s="170" t="s">
        <v>230</v>
      </c>
      <c r="AW20" s="139" t="s">
        <v>158</v>
      </c>
      <c r="AX20" s="145">
        <v>36.1</v>
      </c>
      <c r="AY20" s="139" t="s">
        <v>149</v>
      </c>
      <c r="AZ20" s="129" t="s">
        <v>227</v>
      </c>
      <c r="BA20" s="133" t="s">
        <v>159</v>
      </c>
      <c r="BB20" s="136" t="s">
        <v>178</v>
      </c>
      <c r="BC20">
        <v>5</v>
      </c>
      <c r="BD20" s="149">
        <v>0.23608473055240206</v>
      </c>
      <c r="BE20" s="138">
        <v>20.428555011808449</v>
      </c>
      <c r="BF20" s="133" t="s">
        <v>162</v>
      </c>
      <c r="BG20" s="147">
        <v>0.3</v>
      </c>
      <c r="BH20" s="136" t="s">
        <v>227</v>
      </c>
      <c r="BI20" s="136" t="s">
        <v>227</v>
      </c>
      <c r="BJ20" s="143" t="s">
        <v>227</v>
      </c>
      <c r="BK20" s="150">
        <v>-4.2</v>
      </c>
      <c r="BL20" s="136" t="s">
        <v>227</v>
      </c>
      <c r="BM20" s="129" t="s">
        <v>226</v>
      </c>
      <c r="BN20" s="139" t="s">
        <v>204</v>
      </c>
      <c r="BO20" s="133" t="s">
        <v>205</v>
      </c>
      <c r="BP20" s="129" t="s">
        <v>227</v>
      </c>
      <c r="BQ20" s="129" t="s">
        <v>227</v>
      </c>
      <c r="BR20" s="129" t="s">
        <v>227</v>
      </c>
      <c r="BS20" s="129" t="s">
        <v>227</v>
      </c>
      <c r="BT20" s="129" t="s">
        <v>227</v>
      </c>
      <c r="BU20" s="129">
        <v>0</v>
      </c>
      <c r="BV20" s="136" t="s">
        <v>227</v>
      </c>
      <c r="BW20" s="129" t="s">
        <v>226</v>
      </c>
      <c r="BX20" s="138">
        <v>26.016616786907129</v>
      </c>
      <c r="BY20" s="135" t="s">
        <v>156</v>
      </c>
      <c r="BZ20" s="152">
        <v>1</v>
      </c>
      <c r="CA20" s="152">
        <v>1</v>
      </c>
      <c r="CB20" s="133" t="s">
        <v>228</v>
      </c>
      <c r="CC20" s="153" t="s">
        <v>227</v>
      </c>
      <c r="CD20" s="135" t="s">
        <v>227</v>
      </c>
      <c r="CE20" s="154" t="s">
        <v>227</v>
      </c>
      <c r="CF20" s="142" t="s">
        <v>227</v>
      </c>
      <c r="CG20" s="142" t="s">
        <v>227</v>
      </c>
      <c r="CH20" s="129" t="s">
        <v>227</v>
      </c>
      <c r="CI20" s="142" t="s">
        <v>227</v>
      </c>
      <c r="CJ20" s="142" t="s">
        <v>227</v>
      </c>
      <c r="CK20" s="142" t="s">
        <v>226</v>
      </c>
      <c r="CL20" s="129" t="s">
        <v>227</v>
      </c>
      <c r="CM20" s="142" t="s">
        <v>226</v>
      </c>
      <c r="CN20" s="142" t="s">
        <v>227</v>
      </c>
      <c r="CO20" s="142" t="s">
        <v>227</v>
      </c>
      <c r="CP20" s="142" t="s">
        <v>227</v>
      </c>
      <c r="CQ20" s="142" t="s">
        <v>227</v>
      </c>
      <c r="CR20" s="142" t="s">
        <v>227</v>
      </c>
      <c r="CS20" s="142" t="s">
        <v>227</v>
      </c>
      <c r="CT20" s="142" t="s">
        <v>227</v>
      </c>
      <c r="CU20" s="155">
        <v>35.150540094191669</v>
      </c>
      <c r="CV20" s="135" t="s">
        <v>156</v>
      </c>
      <c r="CW20" s="129">
        <v>1</v>
      </c>
      <c r="CX20" s="133" t="s">
        <v>206</v>
      </c>
      <c r="CY20" s="169">
        <v>1.0816599999999999E-2</v>
      </c>
      <c r="CZ20" s="129" t="s">
        <v>227</v>
      </c>
      <c r="DA20" s="129" t="s">
        <v>227</v>
      </c>
      <c r="DB20" s="141" t="s">
        <v>207</v>
      </c>
      <c r="DC20" s="169">
        <v>5.0381599999999999E-2</v>
      </c>
      <c r="DD20" s="129" t="s">
        <v>227</v>
      </c>
      <c r="DE20" s="129" t="s">
        <v>227</v>
      </c>
      <c r="DF20" s="133" t="s">
        <v>207</v>
      </c>
      <c r="DH20" s="129" t="s">
        <v>227</v>
      </c>
      <c r="DI20" s="129" t="s">
        <v>227</v>
      </c>
      <c r="DJ20" s="129" t="s">
        <v>227</v>
      </c>
      <c r="DK20" s="156">
        <f t="shared" si="7"/>
        <v>4.326E-4</v>
      </c>
      <c r="DL20" s="129" t="s">
        <v>227</v>
      </c>
      <c r="DM20" s="129" t="s">
        <v>227</v>
      </c>
      <c r="DN20" s="133" t="s">
        <v>209</v>
      </c>
      <c r="DO20" s="129">
        <v>39.61</v>
      </c>
      <c r="DP20" s="133" t="s">
        <v>210</v>
      </c>
      <c r="DQ20" s="129" t="s">
        <v>226</v>
      </c>
      <c r="DR20" s="133" t="s">
        <v>211</v>
      </c>
      <c r="DS20" s="133" t="s">
        <v>212</v>
      </c>
      <c r="DT20" s="157" t="s">
        <v>229</v>
      </c>
      <c r="DU20" s="158">
        <f t="shared" si="8"/>
        <v>1.0193198523710001</v>
      </c>
      <c r="DV20" s="156" t="s">
        <v>227</v>
      </c>
      <c r="DW20" s="156" t="s">
        <v>226</v>
      </c>
      <c r="DX20" s="157" t="s">
        <v>232</v>
      </c>
      <c r="DY20" s="159" t="s">
        <v>213</v>
      </c>
      <c r="DZ20" s="157" t="s">
        <v>214</v>
      </c>
      <c r="EA20" s="1" t="s">
        <v>217</v>
      </c>
      <c r="EB20" s="129" t="s">
        <v>218</v>
      </c>
      <c r="EC20" s="133" t="s">
        <v>219</v>
      </c>
      <c r="ED20" s="133" t="s">
        <v>219</v>
      </c>
      <c r="EE20" s="133" t="s">
        <v>220</v>
      </c>
      <c r="EH20" s="129" t="s">
        <v>215</v>
      </c>
      <c r="EI20" s="133" t="s">
        <v>216</v>
      </c>
      <c r="EJ20" s="153" t="s">
        <v>227</v>
      </c>
      <c r="EK20">
        <v>269.7</v>
      </c>
      <c r="EL20" s="133" t="s">
        <v>221</v>
      </c>
      <c r="EM20">
        <v>25</v>
      </c>
      <c r="EN20">
        <v>25</v>
      </c>
      <c r="EO20" t="s">
        <v>227</v>
      </c>
      <c r="EP20" t="s">
        <v>227</v>
      </c>
      <c r="EQ20" t="s">
        <v>227</v>
      </c>
      <c r="ER20" t="s">
        <v>227</v>
      </c>
      <c r="ES20" s="163">
        <v>8.0897728483512896</v>
      </c>
      <c r="ET20" s="142" t="s">
        <v>222</v>
      </c>
      <c r="EU20" s="164">
        <v>3.6321045905985727E-2</v>
      </c>
      <c r="EV20" s="164">
        <v>3.6321045905985727E-2</v>
      </c>
      <c r="EW20" s="165">
        <v>403.5</v>
      </c>
      <c r="EX20" s="129">
        <v>17</v>
      </c>
      <c r="EY20" s="139" t="s">
        <v>223</v>
      </c>
      <c r="EZ20" s="148">
        <f t="shared" si="9"/>
        <v>386.5</v>
      </c>
      <c r="FA20" s="162">
        <v>72.225781451293415</v>
      </c>
      <c r="FB20" s="162">
        <v>85.419494262141356</v>
      </c>
      <c r="FC20" s="133" t="s">
        <v>224</v>
      </c>
      <c r="FD20" s="133" t="s">
        <v>225</v>
      </c>
      <c r="FE20" s="129" t="s">
        <v>227</v>
      </c>
      <c r="FF20" s="129" t="s">
        <v>227</v>
      </c>
      <c r="FG20" s="129" t="s">
        <v>227</v>
      </c>
      <c r="FH20" s="129" t="s">
        <v>227</v>
      </c>
      <c r="FI20" s="129" t="s">
        <v>227</v>
      </c>
      <c r="FJ20" s="129" t="s">
        <v>227</v>
      </c>
      <c r="FK20" s="129" t="s">
        <v>227</v>
      </c>
      <c r="FL20" s="129" t="s">
        <v>227</v>
      </c>
      <c r="FM20" s="129" t="s">
        <v>227</v>
      </c>
      <c r="FN20" s="129" t="s">
        <v>227</v>
      </c>
      <c r="FO20" s="129" t="s">
        <v>227</v>
      </c>
      <c r="FP20" s="129" t="s">
        <v>227</v>
      </c>
    </row>
    <row r="21" spans="1:172" ht="18" x14ac:dyDescent="0.2">
      <c r="A21" s="130" t="s">
        <v>152</v>
      </c>
      <c r="B21" t="s">
        <v>153</v>
      </c>
      <c r="C21">
        <v>2011</v>
      </c>
      <c r="D21" t="s">
        <v>150</v>
      </c>
      <c r="E21" s="149">
        <f t="shared" si="1"/>
        <v>2778.7179999999998</v>
      </c>
      <c r="F21">
        <f t="shared" si="2"/>
        <v>6</v>
      </c>
      <c r="G21">
        <f t="shared" si="3"/>
        <v>6</v>
      </c>
      <c r="H21" s="167">
        <f t="shared" si="4"/>
        <v>401.3</v>
      </c>
      <c r="I21" s="167">
        <f t="shared" si="5"/>
        <v>74.482826075881405</v>
      </c>
      <c r="J21" s="167">
        <f t="shared" si="6"/>
        <v>88.221287680468592</v>
      </c>
      <c r="K21" s="141" t="s">
        <v>147</v>
      </c>
      <c r="L21" s="140" t="s">
        <v>148</v>
      </c>
      <c r="M21" s="139" t="s">
        <v>149</v>
      </c>
      <c r="N21" s="128" t="s">
        <v>150</v>
      </c>
      <c r="O21" s="136" t="s">
        <v>151</v>
      </c>
      <c r="P21" s="129" t="s">
        <v>154</v>
      </c>
      <c r="Q21" s="137">
        <v>10</v>
      </c>
      <c r="R21" s="137">
        <v>5</v>
      </c>
      <c r="S21" s="137">
        <v>77</v>
      </c>
      <c r="T21" s="137">
        <v>79</v>
      </c>
      <c r="U21" s="138">
        <v>90.37</v>
      </c>
      <c r="V21" s="136" t="s">
        <v>227</v>
      </c>
      <c r="W21" s="136" t="s">
        <v>227</v>
      </c>
      <c r="X21" s="133" t="s">
        <v>155</v>
      </c>
      <c r="Y21" s="134">
        <v>12.910833330000001</v>
      </c>
      <c r="Z21" s="134">
        <v>-78.833333330000002</v>
      </c>
      <c r="AA21" s="129" t="s">
        <v>227</v>
      </c>
      <c r="AB21" s="129" t="s">
        <v>227</v>
      </c>
      <c r="AC21" s="129">
        <v>-2838.9</v>
      </c>
      <c r="AD21" s="129" t="s">
        <v>227</v>
      </c>
      <c r="AE21" s="129" t="s">
        <v>227</v>
      </c>
      <c r="AF21" s="135" t="s">
        <v>227</v>
      </c>
      <c r="AG21" s="168">
        <v>2778.7179999999998</v>
      </c>
      <c r="AH21" s="142" t="s">
        <v>156</v>
      </c>
      <c r="AI21" s="129">
        <v>6</v>
      </c>
      <c r="AJ21">
        <v>6</v>
      </c>
      <c r="AK21" s="129" t="s">
        <v>227</v>
      </c>
      <c r="AL21" t="s">
        <v>227</v>
      </c>
      <c r="AM21" s="133" t="s">
        <v>157</v>
      </c>
      <c r="AN21" t="s">
        <v>227</v>
      </c>
      <c r="AO21" t="s">
        <v>227</v>
      </c>
      <c r="AP21" t="s">
        <v>227</v>
      </c>
      <c r="AQ21" t="s">
        <v>227</v>
      </c>
      <c r="AR21" t="s">
        <v>227</v>
      </c>
      <c r="AS21" t="s">
        <v>227</v>
      </c>
      <c r="AT21" t="s">
        <v>227</v>
      </c>
      <c r="AU21" s="133" t="s">
        <v>160</v>
      </c>
      <c r="AV21" s="170" t="s">
        <v>230</v>
      </c>
      <c r="AW21" s="139" t="s">
        <v>158</v>
      </c>
      <c r="AX21" s="145">
        <v>37.06</v>
      </c>
      <c r="AY21" s="139" t="s">
        <v>149</v>
      </c>
      <c r="AZ21" s="136" t="s">
        <v>227</v>
      </c>
      <c r="BA21" s="133" t="s">
        <v>159</v>
      </c>
      <c r="BB21" s="136" t="s">
        <v>179</v>
      </c>
      <c r="BC21">
        <v>5</v>
      </c>
      <c r="BD21" s="149">
        <v>5.5497747702046012E-2</v>
      </c>
      <c r="BE21" s="138">
        <v>20.260034983949328</v>
      </c>
      <c r="BF21" s="133" t="s">
        <v>162</v>
      </c>
      <c r="BG21" s="147">
        <v>0.3</v>
      </c>
      <c r="BH21" s="136" t="s">
        <v>227</v>
      </c>
      <c r="BI21" s="136" t="s">
        <v>227</v>
      </c>
      <c r="BJ21" s="143" t="s">
        <v>227</v>
      </c>
      <c r="BK21" s="151">
        <v>-4.2</v>
      </c>
      <c r="BL21" s="136" t="s">
        <v>227</v>
      </c>
      <c r="BM21" s="129" t="s">
        <v>226</v>
      </c>
      <c r="BN21" s="139" t="s">
        <v>204</v>
      </c>
      <c r="BO21" s="133" t="s">
        <v>205</v>
      </c>
      <c r="BP21" s="129" t="s">
        <v>227</v>
      </c>
      <c r="BQ21" s="129" t="s">
        <v>227</v>
      </c>
      <c r="BR21" s="129" t="s">
        <v>227</v>
      </c>
      <c r="BS21" s="129" t="s">
        <v>227</v>
      </c>
      <c r="BT21" s="129" t="s">
        <v>227</v>
      </c>
      <c r="BU21" s="129">
        <v>0</v>
      </c>
      <c r="BV21" s="136" t="s">
        <v>227</v>
      </c>
      <c r="BW21" s="129" t="s">
        <v>226</v>
      </c>
      <c r="BX21" s="138">
        <v>24.743471976621429</v>
      </c>
      <c r="BY21" s="135" t="s">
        <v>156</v>
      </c>
      <c r="BZ21" s="152">
        <v>1</v>
      </c>
      <c r="CA21" s="152">
        <v>1</v>
      </c>
      <c r="CB21" s="133" t="s">
        <v>228</v>
      </c>
      <c r="CC21" s="153" t="s">
        <v>227</v>
      </c>
      <c r="CD21" s="135" t="s">
        <v>227</v>
      </c>
      <c r="CE21" s="154" t="s">
        <v>227</v>
      </c>
      <c r="CF21" s="142" t="s">
        <v>227</v>
      </c>
      <c r="CG21" s="142" t="s">
        <v>227</v>
      </c>
      <c r="CH21" s="129" t="s">
        <v>227</v>
      </c>
      <c r="CI21" s="142" t="s">
        <v>227</v>
      </c>
      <c r="CJ21" s="142" t="s">
        <v>227</v>
      </c>
      <c r="CK21" s="142" t="s">
        <v>226</v>
      </c>
      <c r="CL21" s="129" t="s">
        <v>227</v>
      </c>
      <c r="CM21" s="142" t="s">
        <v>226</v>
      </c>
      <c r="CN21" s="142" t="s">
        <v>227</v>
      </c>
      <c r="CO21" s="142" t="s">
        <v>227</v>
      </c>
      <c r="CP21" s="142" t="s">
        <v>227</v>
      </c>
      <c r="CQ21" s="142" t="s">
        <v>227</v>
      </c>
      <c r="CR21" s="142" t="s">
        <v>227</v>
      </c>
      <c r="CS21" s="142" t="s">
        <v>227</v>
      </c>
      <c r="CT21" s="142" t="s">
        <v>227</v>
      </c>
      <c r="CU21" s="155">
        <v>34.661661982452721</v>
      </c>
      <c r="CV21" s="135" t="s">
        <v>156</v>
      </c>
      <c r="CW21" s="129">
        <v>1</v>
      </c>
      <c r="CX21" s="133" t="s">
        <v>206</v>
      </c>
      <c r="CY21" s="169">
        <v>1.0817800000000001E-2</v>
      </c>
      <c r="CZ21" s="129" t="s">
        <v>227</v>
      </c>
      <c r="DA21" s="129" t="s">
        <v>227</v>
      </c>
      <c r="DB21" s="141" t="s">
        <v>207</v>
      </c>
      <c r="DC21" s="169">
        <v>5.0376699999999996E-2</v>
      </c>
      <c r="DD21" s="129" t="s">
        <v>227</v>
      </c>
      <c r="DE21" s="129" t="s">
        <v>227</v>
      </c>
      <c r="DF21" s="133" t="s">
        <v>207</v>
      </c>
      <c r="DH21" s="129" t="s">
        <v>227</v>
      </c>
      <c r="DI21" s="129" t="s">
        <v>227</v>
      </c>
      <c r="DJ21" s="129" t="s">
        <v>227</v>
      </c>
      <c r="DK21" s="156">
        <f t="shared" si="7"/>
        <v>4.326E-4</v>
      </c>
      <c r="DL21" s="129" t="s">
        <v>227</v>
      </c>
      <c r="DM21" s="129" t="s">
        <v>227</v>
      </c>
      <c r="DN21" s="133" t="s">
        <v>209</v>
      </c>
      <c r="DO21" s="129">
        <v>39.61</v>
      </c>
      <c r="DP21" s="133" t="s">
        <v>210</v>
      </c>
      <c r="DQ21" s="129" t="s">
        <v>226</v>
      </c>
      <c r="DR21" s="133" t="s">
        <v>211</v>
      </c>
      <c r="DS21" s="133" t="s">
        <v>212</v>
      </c>
      <c r="DT21" s="157" t="s">
        <v>229</v>
      </c>
      <c r="DU21" s="158">
        <f t="shared" si="8"/>
        <v>1.0193824974613903</v>
      </c>
      <c r="DV21" s="156" t="s">
        <v>227</v>
      </c>
      <c r="DW21" s="156" t="s">
        <v>226</v>
      </c>
      <c r="DX21" s="157" t="s">
        <v>232</v>
      </c>
      <c r="DY21" s="159" t="s">
        <v>213</v>
      </c>
      <c r="DZ21" s="157" t="s">
        <v>214</v>
      </c>
      <c r="EA21" s="1" t="s">
        <v>217</v>
      </c>
      <c r="EB21" s="129" t="s">
        <v>218</v>
      </c>
      <c r="EC21" s="133" t="s">
        <v>219</v>
      </c>
      <c r="ED21" s="133" t="s">
        <v>219</v>
      </c>
      <c r="EE21" s="133" t="s">
        <v>220</v>
      </c>
      <c r="EH21" s="129" t="s">
        <v>215</v>
      </c>
      <c r="EI21" s="133" t="s">
        <v>216</v>
      </c>
      <c r="EJ21" s="153" t="s">
        <v>227</v>
      </c>
      <c r="EK21">
        <v>265.3</v>
      </c>
      <c r="EL21" s="133" t="s">
        <v>221</v>
      </c>
      <c r="EM21">
        <v>25</v>
      </c>
      <c r="EN21">
        <v>25</v>
      </c>
      <c r="EO21" t="s">
        <v>227</v>
      </c>
      <c r="EP21" t="s">
        <v>227</v>
      </c>
      <c r="EQ21" t="s">
        <v>227</v>
      </c>
      <c r="ER21" t="s">
        <v>227</v>
      </c>
      <c r="ES21" s="163">
        <v>8.0925652565801425</v>
      </c>
      <c r="ET21" s="142" t="s">
        <v>222</v>
      </c>
      <c r="EU21" s="164">
        <v>4.055468342728652E-2</v>
      </c>
      <c r="EV21" s="164">
        <v>4.055468342728652E-2</v>
      </c>
      <c r="EW21" s="165">
        <v>418.3</v>
      </c>
      <c r="EX21" s="129">
        <v>17</v>
      </c>
      <c r="EY21" s="139" t="s">
        <v>223</v>
      </c>
      <c r="EZ21" s="148">
        <f t="shared" si="9"/>
        <v>401.3</v>
      </c>
      <c r="FA21" s="162">
        <v>74.482826075881405</v>
      </c>
      <c r="FB21" s="162">
        <v>88.221287680468592</v>
      </c>
      <c r="FC21" s="133" t="s">
        <v>224</v>
      </c>
      <c r="FD21" s="133" t="s">
        <v>225</v>
      </c>
      <c r="FE21" s="129" t="s">
        <v>227</v>
      </c>
      <c r="FF21" s="129" t="s">
        <v>227</v>
      </c>
      <c r="FG21" s="129" t="s">
        <v>227</v>
      </c>
      <c r="FH21" s="129" t="s">
        <v>227</v>
      </c>
      <c r="FI21" s="129" t="s">
        <v>227</v>
      </c>
      <c r="FJ21" s="129" t="s">
        <v>227</v>
      </c>
      <c r="FK21" s="129" t="s">
        <v>227</v>
      </c>
      <c r="FL21" s="129" t="s">
        <v>227</v>
      </c>
      <c r="FM21" s="129" t="s">
        <v>227</v>
      </c>
      <c r="FN21" s="129" t="s">
        <v>227</v>
      </c>
      <c r="FO21" s="129" t="s">
        <v>227</v>
      </c>
      <c r="FP21" s="129" t="s">
        <v>227</v>
      </c>
    </row>
    <row r="22" spans="1:172" ht="18" x14ac:dyDescent="0.2">
      <c r="A22" s="130" t="s">
        <v>152</v>
      </c>
      <c r="B22" t="s">
        <v>153</v>
      </c>
      <c r="C22">
        <v>2011</v>
      </c>
      <c r="D22" t="s">
        <v>150</v>
      </c>
      <c r="E22" s="149">
        <f t="shared" si="1"/>
        <v>2781.4140000000002</v>
      </c>
      <c r="F22">
        <f t="shared" si="2"/>
        <v>6</v>
      </c>
      <c r="G22">
        <f t="shared" si="3"/>
        <v>6</v>
      </c>
      <c r="H22" s="167">
        <f t="shared" si="4"/>
        <v>298.8</v>
      </c>
      <c r="I22" s="167">
        <f t="shared" si="5"/>
        <v>59.153524400495357</v>
      </c>
      <c r="J22" s="167">
        <f t="shared" si="6"/>
        <v>69.088245020408493</v>
      </c>
      <c r="K22" s="141" t="s">
        <v>147</v>
      </c>
      <c r="L22" s="140" t="s">
        <v>148</v>
      </c>
      <c r="M22" s="139" t="s">
        <v>149</v>
      </c>
      <c r="N22" s="128" t="s">
        <v>150</v>
      </c>
      <c r="O22" s="129" t="s">
        <v>151</v>
      </c>
      <c r="P22" s="129" t="s">
        <v>154</v>
      </c>
      <c r="Q22" s="137">
        <v>10</v>
      </c>
      <c r="R22" s="137">
        <v>5</v>
      </c>
      <c r="S22" s="137">
        <v>92</v>
      </c>
      <c r="T22" s="137">
        <v>94</v>
      </c>
      <c r="U22" s="138">
        <v>90.52</v>
      </c>
      <c r="V22" s="136" t="s">
        <v>227</v>
      </c>
      <c r="W22" s="136" t="s">
        <v>227</v>
      </c>
      <c r="X22" s="133" t="s">
        <v>155</v>
      </c>
      <c r="Y22" s="134">
        <v>12.910833330000001</v>
      </c>
      <c r="Z22" s="134">
        <v>-78.833333330000002</v>
      </c>
      <c r="AA22" s="129" t="s">
        <v>227</v>
      </c>
      <c r="AB22" s="129" t="s">
        <v>227</v>
      </c>
      <c r="AC22" s="129">
        <v>-2838.9</v>
      </c>
      <c r="AD22" s="129" t="s">
        <v>227</v>
      </c>
      <c r="AE22" s="129" t="s">
        <v>227</v>
      </c>
      <c r="AF22" s="135" t="s">
        <v>227</v>
      </c>
      <c r="AG22" s="168">
        <v>2781.4140000000002</v>
      </c>
      <c r="AH22" s="142" t="s">
        <v>156</v>
      </c>
      <c r="AI22" s="129">
        <v>6</v>
      </c>
      <c r="AJ22">
        <v>6</v>
      </c>
      <c r="AK22" s="129" t="s">
        <v>227</v>
      </c>
      <c r="AL22" t="s">
        <v>227</v>
      </c>
      <c r="AM22" s="133" t="s">
        <v>157</v>
      </c>
      <c r="AN22" t="s">
        <v>227</v>
      </c>
      <c r="AO22" t="s">
        <v>227</v>
      </c>
      <c r="AP22" t="s">
        <v>227</v>
      </c>
      <c r="AQ22" t="s">
        <v>227</v>
      </c>
      <c r="AR22" t="s">
        <v>227</v>
      </c>
      <c r="AS22" t="s">
        <v>227</v>
      </c>
      <c r="AT22" t="s">
        <v>227</v>
      </c>
      <c r="AU22" s="133" t="s">
        <v>160</v>
      </c>
      <c r="AV22" s="170" t="s">
        <v>230</v>
      </c>
      <c r="AW22" s="139" t="s">
        <v>158</v>
      </c>
      <c r="AX22" s="145">
        <v>36.74</v>
      </c>
      <c r="AY22" s="139" t="s">
        <v>149</v>
      </c>
      <c r="AZ22" s="129" t="s">
        <v>227</v>
      </c>
      <c r="BA22" s="133" t="s">
        <v>159</v>
      </c>
      <c r="BB22" s="136" t="s">
        <v>180</v>
      </c>
      <c r="BC22">
        <v>5</v>
      </c>
      <c r="BD22" s="149">
        <v>0.19754493159785205</v>
      </c>
      <c r="BE22" s="138">
        <v>20.754290741867145</v>
      </c>
      <c r="BF22" s="133" t="s">
        <v>162</v>
      </c>
      <c r="BG22" s="147">
        <v>0.3</v>
      </c>
      <c r="BH22" s="136" t="s">
        <v>227</v>
      </c>
      <c r="BI22" s="136" t="s">
        <v>227</v>
      </c>
      <c r="BJ22" s="143" t="s">
        <v>227</v>
      </c>
      <c r="BK22" s="150">
        <v>-4.2</v>
      </c>
      <c r="BL22" s="136" t="s">
        <v>227</v>
      </c>
      <c r="BM22" s="129" t="s">
        <v>226</v>
      </c>
      <c r="BN22" s="139" t="s">
        <v>204</v>
      </c>
      <c r="BO22" s="133" t="s">
        <v>205</v>
      </c>
      <c r="BP22" s="129" t="s">
        <v>227</v>
      </c>
      <c r="BQ22" s="129" t="s">
        <v>227</v>
      </c>
      <c r="BR22" s="129" t="s">
        <v>227</v>
      </c>
      <c r="BS22" s="129" t="s">
        <v>227</v>
      </c>
      <c r="BT22" s="129" t="s">
        <v>227</v>
      </c>
      <c r="BU22" s="129">
        <v>0</v>
      </c>
      <c r="BV22" s="136" t="s">
        <v>227</v>
      </c>
      <c r="BW22" s="129" t="s">
        <v>226</v>
      </c>
      <c r="BX22" s="138">
        <v>24.989225368328309</v>
      </c>
      <c r="BY22" s="135" t="s">
        <v>156</v>
      </c>
      <c r="BZ22" s="152">
        <v>1</v>
      </c>
      <c r="CA22" s="152">
        <v>1</v>
      </c>
      <c r="CB22" s="133" t="s">
        <v>228</v>
      </c>
      <c r="CC22" s="153" t="s">
        <v>227</v>
      </c>
      <c r="CD22" s="135" t="s">
        <v>227</v>
      </c>
      <c r="CE22" s="154" t="s">
        <v>227</v>
      </c>
      <c r="CF22" s="142" t="s">
        <v>227</v>
      </c>
      <c r="CG22" s="142" t="s">
        <v>227</v>
      </c>
      <c r="CH22" s="129" t="s">
        <v>227</v>
      </c>
      <c r="CI22" s="142" t="s">
        <v>227</v>
      </c>
      <c r="CJ22" s="142" t="s">
        <v>227</v>
      </c>
      <c r="CK22" s="142" t="s">
        <v>226</v>
      </c>
      <c r="CL22" s="129" t="s">
        <v>227</v>
      </c>
      <c r="CM22" s="142" t="s">
        <v>226</v>
      </c>
      <c r="CN22" s="142" t="s">
        <v>227</v>
      </c>
      <c r="CO22" s="142" t="s">
        <v>227</v>
      </c>
      <c r="CP22" s="142" t="s">
        <v>227</v>
      </c>
      <c r="CQ22" s="142" t="s">
        <v>227</v>
      </c>
      <c r="CR22" s="142" t="s">
        <v>227</v>
      </c>
      <c r="CS22" s="142" t="s">
        <v>227</v>
      </c>
      <c r="CT22" s="142" t="s">
        <v>227</v>
      </c>
      <c r="CU22" s="155">
        <v>34.984416300822183</v>
      </c>
      <c r="CV22" s="135" t="s">
        <v>156</v>
      </c>
      <c r="CW22" s="129">
        <v>1</v>
      </c>
      <c r="CX22" s="133" t="s">
        <v>206</v>
      </c>
      <c r="CY22" s="169">
        <v>1.0818300000000001E-2</v>
      </c>
      <c r="CZ22" s="129" t="s">
        <v>227</v>
      </c>
      <c r="DA22" s="129" t="s">
        <v>227</v>
      </c>
      <c r="DB22" s="141" t="s">
        <v>207</v>
      </c>
      <c r="DC22" s="169">
        <v>5.03744E-2</v>
      </c>
      <c r="DD22" s="129" t="s">
        <v>227</v>
      </c>
      <c r="DE22" s="129" t="s">
        <v>227</v>
      </c>
      <c r="DF22" s="133" t="s">
        <v>207</v>
      </c>
      <c r="DH22" s="129" t="s">
        <v>227</v>
      </c>
      <c r="DI22" s="129" t="s">
        <v>227</v>
      </c>
      <c r="DJ22" s="129" t="s">
        <v>227</v>
      </c>
      <c r="DK22" s="156">
        <f t="shared" si="7"/>
        <v>4.326E-4</v>
      </c>
      <c r="DL22" s="129" t="s">
        <v>227</v>
      </c>
      <c r="DM22" s="129" t="s">
        <v>227</v>
      </c>
      <c r="DN22" s="133" t="s">
        <v>209</v>
      </c>
      <c r="DO22" s="129">
        <v>39.61</v>
      </c>
      <c r="DP22" s="133" t="s">
        <v>210</v>
      </c>
      <c r="DQ22" s="129" t="s">
        <v>226</v>
      </c>
      <c r="DR22" s="133" t="s">
        <v>211</v>
      </c>
      <c r="DS22" s="133" t="s">
        <v>212</v>
      </c>
      <c r="DT22" s="157" t="s">
        <v>229</v>
      </c>
      <c r="DU22" s="158">
        <f t="shared" si="8"/>
        <v>1.0193704051657513</v>
      </c>
      <c r="DV22" s="156" t="s">
        <v>227</v>
      </c>
      <c r="DW22" s="156" t="s">
        <v>226</v>
      </c>
      <c r="DX22" s="157" t="s">
        <v>232</v>
      </c>
      <c r="DY22" s="159" t="s">
        <v>213</v>
      </c>
      <c r="DZ22" s="157" t="s">
        <v>214</v>
      </c>
      <c r="EA22" s="1" t="s">
        <v>217</v>
      </c>
      <c r="EB22" s="129" t="s">
        <v>218</v>
      </c>
      <c r="EC22" s="133" t="s">
        <v>219</v>
      </c>
      <c r="ED22" s="133" t="s">
        <v>219</v>
      </c>
      <c r="EE22" s="133" t="s">
        <v>220</v>
      </c>
      <c r="EH22" s="129" t="s">
        <v>215</v>
      </c>
      <c r="EI22" s="133" t="s">
        <v>216</v>
      </c>
      <c r="EJ22" s="153" t="s">
        <v>227</v>
      </c>
      <c r="EK22">
        <v>268.3</v>
      </c>
      <c r="EL22" s="133" t="s">
        <v>221</v>
      </c>
      <c r="EM22">
        <v>25</v>
      </c>
      <c r="EN22">
        <v>25</v>
      </c>
      <c r="EO22" t="s">
        <v>227</v>
      </c>
      <c r="EP22" t="s">
        <v>227</v>
      </c>
      <c r="EQ22" t="s">
        <v>227</v>
      </c>
      <c r="ER22" t="s">
        <v>227</v>
      </c>
      <c r="ES22" s="163">
        <v>8.1454318685016869</v>
      </c>
      <c r="ET22" s="142" t="s">
        <v>222</v>
      </c>
      <c r="EU22" s="164">
        <v>3.4470984194659771E-2</v>
      </c>
      <c r="EV22" s="164">
        <v>3.4470984194659771E-2</v>
      </c>
      <c r="EW22" s="165">
        <v>315.8</v>
      </c>
      <c r="EX22" s="129">
        <v>17</v>
      </c>
      <c r="EY22" s="139" t="s">
        <v>223</v>
      </c>
      <c r="EZ22" s="148">
        <f t="shared" si="9"/>
        <v>298.8</v>
      </c>
      <c r="FA22" s="162">
        <v>59.153524400495357</v>
      </c>
      <c r="FB22" s="162">
        <v>69.088245020408493</v>
      </c>
      <c r="FC22" s="133" t="s">
        <v>224</v>
      </c>
      <c r="FD22" s="133" t="s">
        <v>225</v>
      </c>
      <c r="FE22" s="129" t="s">
        <v>227</v>
      </c>
      <c r="FF22" s="129" t="s">
        <v>227</v>
      </c>
      <c r="FG22" s="129" t="s">
        <v>227</v>
      </c>
      <c r="FH22" s="129" t="s">
        <v>227</v>
      </c>
      <c r="FI22" s="129" t="s">
        <v>227</v>
      </c>
      <c r="FJ22" s="129" t="s">
        <v>227</v>
      </c>
      <c r="FK22" s="129" t="s">
        <v>227</v>
      </c>
      <c r="FL22" s="129" t="s">
        <v>227</v>
      </c>
      <c r="FM22" s="129" t="s">
        <v>227</v>
      </c>
      <c r="FN22" s="129" t="s">
        <v>227</v>
      </c>
      <c r="FO22" s="129" t="s">
        <v>227</v>
      </c>
      <c r="FP22" s="129" t="s">
        <v>227</v>
      </c>
    </row>
    <row r="23" spans="1:172" ht="18" x14ac:dyDescent="0.2">
      <c r="A23" s="130" t="s">
        <v>152</v>
      </c>
      <c r="B23" t="s">
        <v>153</v>
      </c>
      <c r="C23">
        <v>2011</v>
      </c>
      <c r="D23" t="s">
        <v>150</v>
      </c>
      <c r="E23" s="149">
        <f t="shared" si="1"/>
        <v>2795.4850000000001</v>
      </c>
      <c r="F23">
        <f t="shared" si="2"/>
        <v>6</v>
      </c>
      <c r="G23">
        <f t="shared" si="3"/>
        <v>6</v>
      </c>
      <c r="H23" s="167">
        <f t="shared" si="4"/>
        <v>297.39999999999998</v>
      </c>
      <c r="I23" s="167">
        <f t="shared" si="5"/>
        <v>58.950143138078978</v>
      </c>
      <c r="J23" s="167">
        <f t="shared" si="6"/>
        <v>68.832364480671444</v>
      </c>
      <c r="K23" s="141" t="s">
        <v>147</v>
      </c>
      <c r="L23" s="140" t="s">
        <v>148</v>
      </c>
      <c r="M23" s="139" t="s">
        <v>149</v>
      </c>
      <c r="N23" s="128" t="s">
        <v>150</v>
      </c>
      <c r="O23" s="136" t="s">
        <v>151</v>
      </c>
      <c r="P23" s="129" t="s">
        <v>154</v>
      </c>
      <c r="Q23" s="137">
        <v>10</v>
      </c>
      <c r="R23" s="137">
        <v>6</v>
      </c>
      <c r="S23" s="137">
        <v>20</v>
      </c>
      <c r="T23" s="137">
        <v>22</v>
      </c>
      <c r="U23" s="138">
        <v>91.3</v>
      </c>
      <c r="V23" s="136" t="s">
        <v>227</v>
      </c>
      <c r="W23" s="136" t="s">
        <v>227</v>
      </c>
      <c r="X23" s="133" t="s">
        <v>155</v>
      </c>
      <c r="Y23" s="134">
        <v>12.910833330000001</v>
      </c>
      <c r="Z23" s="134">
        <v>-78.833333330000002</v>
      </c>
      <c r="AA23" s="129" t="s">
        <v>227</v>
      </c>
      <c r="AB23" s="129" t="s">
        <v>227</v>
      </c>
      <c r="AC23" s="129">
        <v>-2838.9</v>
      </c>
      <c r="AD23" s="129" t="s">
        <v>227</v>
      </c>
      <c r="AE23" s="129" t="s">
        <v>227</v>
      </c>
      <c r="AF23" s="135" t="s">
        <v>227</v>
      </c>
      <c r="AG23" s="168">
        <v>2795.4850000000001</v>
      </c>
      <c r="AH23" s="142" t="s">
        <v>156</v>
      </c>
      <c r="AI23" s="129">
        <v>6</v>
      </c>
      <c r="AJ23">
        <v>6</v>
      </c>
      <c r="AK23" s="129" t="s">
        <v>227</v>
      </c>
      <c r="AL23" t="s">
        <v>227</v>
      </c>
      <c r="AM23" s="133" t="s">
        <v>157</v>
      </c>
      <c r="AN23" t="s">
        <v>227</v>
      </c>
      <c r="AO23" t="s">
        <v>227</v>
      </c>
      <c r="AP23" t="s">
        <v>227</v>
      </c>
      <c r="AQ23" t="s">
        <v>227</v>
      </c>
      <c r="AR23" t="s">
        <v>227</v>
      </c>
      <c r="AS23" t="s">
        <v>227</v>
      </c>
      <c r="AT23" t="s">
        <v>227</v>
      </c>
      <c r="AU23" s="133" t="s">
        <v>160</v>
      </c>
      <c r="AV23" s="170" t="s">
        <v>230</v>
      </c>
      <c r="AW23" s="139" t="s">
        <v>158</v>
      </c>
      <c r="AX23" s="145">
        <v>36.799999999999997</v>
      </c>
      <c r="AY23" s="139" t="s">
        <v>149</v>
      </c>
      <c r="AZ23" s="129" t="s">
        <v>227</v>
      </c>
      <c r="BA23" s="133" t="s">
        <v>159</v>
      </c>
      <c r="BB23" s="136" t="s">
        <v>181</v>
      </c>
      <c r="BC23">
        <v>4</v>
      </c>
      <c r="BD23" s="149">
        <v>0.2176196988632543</v>
      </c>
      <c r="BE23" s="138">
        <v>20.86312293675946</v>
      </c>
      <c r="BF23" s="133" t="s">
        <v>162</v>
      </c>
      <c r="BG23" s="147">
        <v>0.33</v>
      </c>
      <c r="BH23" s="136" t="s">
        <v>227</v>
      </c>
      <c r="BI23" s="136" t="s">
        <v>227</v>
      </c>
      <c r="BJ23" s="143" t="s">
        <v>227</v>
      </c>
      <c r="BK23" s="150">
        <v>-4.2</v>
      </c>
      <c r="BL23" s="136" t="s">
        <v>227</v>
      </c>
      <c r="BM23" s="129" t="s">
        <v>226</v>
      </c>
      <c r="BN23" s="139" t="s">
        <v>204</v>
      </c>
      <c r="BO23" s="133" t="s">
        <v>205</v>
      </c>
      <c r="BP23" s="129" t="s">
        <v>227</v>
      </c>
      <c r="BQ23" s="129" t="s">
        <v>227</v>
      </c>
      <c r="BR23" s="129" t="s">
        <v>227</v>
      </c>
      <c r="BS23" s="129" t="s">
        <v>227</v>
      </c>
      <c r="BT23" s="129" t="s">
        <v>227</v>
      </c>
      <c r="BU23" s="129">
        <v>0</v>
      </c>
      <c r="BV23" s="136" t="s">
        <v>227</v>
      </c>
      <c r="BW23" s="129" t="s">
        <v>226</v>
      </c>
      <c r="BX23" s="138">
        <v>25.22966064725588</v>
      </c>
      <c r="BY23" s="135" t="s">
        <v>156</v>
      </c>
      <c r="BZ23" s="152">
        <v>1</v>
      </c>
      <c r="CA23" s="152">
        <v>1</v>
      </c>
      <c r="CB23" s="133" t="s">
        <v>228</v>
      </c>
      <c r="CC23" s="153" t="s">
        <v>227</v>
      </c>
      <c r="CD23" s="135" t="s">
        <v>227</v>
      </c>
      <c r="CE23" s="154" t="s">
        <v>227</v>
      </c>
      <c r="CF23" s="142" t="s">
        <v>227</v>
      </c>
      <c r="CG23" s="142" t="s">
        <v>227</v>
      </c>
      <c r="CH23" s="129" t="s">
        <v>227</v>
      </c>
      <c r="CI23" s="142" t="s">
        <v>227</v>
      </c>
      <c r="CJ23" s="142" t="s">
        <v>227</v>
      </c>
      <c r="CK23" s="142" t="s">
        <v>226</v>
      </c>
      <c r="CL23" s="129" t="s">
        <v>227</v>
      </c>
      <c r="CM23" s="142" t="s">
        <v>226</v>
      </c>
      <c r="CN23" s="142" t="s">
        <v>227</v>
      </c>
      <c r="CO23" s="142" t="s">
        <v>227</v>
      </c>
      <c r="CP23" s="142" t="s">
        <v>227</v>
      </c>
      <c r="CQ23" s="142" t="s">
        <v>227</v>
      </c>
      <c r="CR23" s="142" t="s">
        <v>227</v>
      </c>
      <c r="CS23" s="142" t="s">
        <v>227</v>
      </c>
      <c r="CT23" s="142" t="s">
        <v>227</v>
      </c>
      <c r="CU23" s="155">
        <v>35.344053040240645</v>
      </c>
      <c r="CV23" s="135" t="s">
        <v>156</v>
      </c>
      <c r="CW23" s="129">
        <v>1</v>
      </c>
      <c r="CX23" s="133" t="s">
        <v>206</v>
      </c>
      <c r="CY23" s="169">
        <v>1.08209E-2</v>
      </c>
      <c r="CZ23" s="129" t="s">
        <v>227</v>
      </c>
      <c r="DA23" s="129" t="s">
        <v>227</v>
      </c>
      <c r="DB23" s="141" t="s">
        <v>207</v>
      </c>
      <c r="DC23" s="169">
        <v>5.0362499999999998E-2</v>
      </c>
      <c r="DD23" s="129" t="s">
        <v>227</v>
      </c>
      <c r="DE23" s="129" t="s">
        <v>227</v>
      </c>
      <c r="DF23" s="133" t="s">
        <v>207</v>
      </c>
      <c r="DH23" s="129" t="s">
        <v>227</v>
      </c>
      <c r="DI23" s="129" t="s">
        <v>227</v>
      </c>
      <c r="DJ23" s="129" t="s">
        <v>227</v>
      </c>
      <c r="DK23" s="156">
        <f t="shared" si="7"/>
        <v>4.326E-4</v>
      </c>
      <c r="DL23" s="129" t="s">
        <v>227</v>
      </c>
      <c r="DM23" s="129" t="s">
        <v>227</v>
      </c>
      <c r="DN23" s="133" t="s">
        <v>209</v>
      </c>
      <c r="DO23" s="129">
        <v>39.61</v>
      </c>
      <c r="DP23" s="133" t="s">
        <v>210</v>
      </c>
      <c r="DQ23" s="129" t="s">
        <v>226</v>
      </c>
      <c r="DR23" s="133" t="s">
        <v>211</v>
      </c>
      <c r="DS23" s="133" t="s">
        <v>212</v>
      </c>
      <c r="DT23" s="157" t="s">
        <v>229</v>
      </c>
      <c r="DU23" s="158">
        <f t="shared" si="8"/>
        <v>1.0193585745478517</v>
      </c>
      <c r="DV23" s="156" t="s">
        <v>227</v>
      </c>
      <c r="DW23" s="156" t="s">
        <v>226</v>
      </c>
      <c r="DX23" s="157" t="s">
        <v>232</v>
      </c>
      <c r="DY23" s="159" t="s">
        <v>213</v>
      </c>
      <c r="DZ23" s="157" t="s">
        <v>214</v>
      </c>
      <c r="EA23" s="1" t="s">
        <v>217</v>
      </c>
      <c r="EB23" s="129" t="s">
        <v>218</v>
      </c>
      <c r="EC23" s="133" t="s">
        <v>219</v>
      </c>
      <c r="ED23" s="133" t="s">
        <v>219</v>
      </c>
      <c r="EE23" s="133" t="s">
        <v>220</v>
      </c>
      <c r="EH23" s="129" t="s">
        <v>215</v>
      </c>
      <c r="EI23" s="133" t="s">
        <v>216</v>
      </c>
      <c r="EJ23" s="153" t="s">
        <v>227</v>
      </c>
      <c r="EK23">
        <v>271.60000000000002</v>
      </c>
      <c r="EL23" s="133" t="s">
        <v>221</v>
      </c>
      <c r="EM23">
        <v>25</v>
      </c>
      <c r="EN23">
        <v>25</v>
      </c>
      <c r="EO23" t="s">
        <v>227</v>
      </c>
      <c r="EP23" t="s">
        <v>227</v>
      </c>
      <c r="EQ23" t="s">
        <v>227</v>
      </c>
      <c r="ER23" t="s">
        <v>227</v>
      </c>
      <c r="ES23" s="163">
        <v>8.1520492815640946</v>
      </c>
      <c r="ET23" s="142" t="s">
        <v>222</v>
      </c>
      <c r="EU23" s="164">
        <v>3.7471620025838703E-2</v>
      </c>
      <c r="EV23" s="164">
        <v>3.7471620025838703E-2</v>
      </c>
      <c r="EW23" s="165">
        <v>314.39999999999998</v>
      </c>
      <c r="EX23" s="129">
        <v>17</v>
      </c>
      <c r="EY23" s="139" t="s">
        <v>223</v>
      </c>
      <c r="EZ23" s="148">
        <f t="shared" si="9"/>
        <v>297.39999999999998</v>
      </c>
      <c r="FA23" s="162">
        <v>58.950143138078978</v>
      </c>
      <c r="FB23" s="162">
        <v>68.832364480671444</v>
      </c>
      <c r="FC23" s="133" t="s">
        <v>224</v>
      </c>
      <c r="FD23" s="133" t="s">
        <v>225</v>
      </c>
      <c r="FE23" s="129" t="s">
        <v>227</v>
      </c>
      <c r="FF23" s="129" t="s">
        <v>227</v>
      </c>
      <c r="FG23" s="129" t="s">
        <v>227</v>
      </c>
      <c r="FH23" s="129" t="s">
        <v>227</v>
      </c>
      <c r="FI23" s="129" t="s">
        <v>227</v>
      </c>
      <c r="FJ23" s="129" t="s">
        <v>227</v>
      </c>
      <c r="FK23" s="129" t="s">
        <v>227</v>
      </c>
      <c r="FL23" s="129" t="s">
        <v>227</v>
      </c>
      <c r="FM23" s="129" t="s">
        <v>227</v>
      </c>
      <c r="FN23" s="129" t="s">
        <v>227</v>
      </c>
      <c r="FO23" s="129" t="s">
        <v>227</v>
      </c>
      <c r="FP23" s="129" t="s">
        <v>227</v>
      </c>
    </row>
    <row r="24" spans="1:172" ht="18" x14ac:dyDescent="0.2">
      <c r="A24" s="130" t="s">
        <v>152</v>
      </c>
      <c r="B24" t="s">
        <v>153</v>
      </c>
      <c r="C24">
        <v>2011</v>
      </c>
      <c r="D24" t="s">
        <v>150</v>
      </c>
      <c r="E24" s="149">
        <f t="shared" si="1"/>
        <v>2918.768</v>
      </c>
      <c r="F24">
        <f t="shared" si="2"/>
        <v>6</v>
      </c>
      <c r="G24">
        <f t="shared" si="3"/>
        <v>6</v>
      </c>
      <c r="H24" s="167">
        <f t="shared" si="4"/>
        <v>224.1</v>
      </c>
      <c r="I24" s="167">
        <f t="shared" si="5"/>
        <v>48.647381658728563</v>
      </c>
      <c r="J24" s="167">
        <f t="shared" si="6"/>
        <v>55.759917503525777</v>
      </c>
      <c r="K24" s="141" t="s">
        <v>147</v>
      </c>
      <c r="L24" s="140" t="s">
        <v>148</v>
      </c>
      <c r="M24" s="139" t="s">
        <v>149</v>
      </c>
      <c r="N24" s="128" t="s">
        <v>150</v>
      </c>
      <c r="O24" s="129" t="s">
        <v>151</v>
      </c>
      <c r="P24" s="129" t="s">
        <v>154</v>
      </c>
      <c r="Q24" s="137">
        <v>11</v>
      </c>
      <c r="R24" s="137">
        <v>1</v>
      </c>
      <c r="S24" s="137">
        <v>117</v>
      </c>
      <c r="T24" s="137">
        <v>119</v>
      </c>
      <c r="U24" s="138">
        <v>94.27</v>
      </c>
      <c r="V24" s="136" t="s">
        <v>227</v>
      </c>
      <c r="W24" s="136" t="s">
        <v>227</v>
      </c>
      <c r="X24" s="133" t="s">
        <v>155</v>
      </c>
      <c r="Y24" s="134">
        <v>12.910833330000001</v>
      </c>
      <c r="Z24" s="134">
        <v>-78.833333330000002</v>
      </c>
      <c r="AA24" s="129" t="s">
        <v>227</v>
      </c>
      <c r="AB24" s="129" t="s">
        <v>227</v>
      </c>
      <c r="AC24" s="129">
        <v>-2838.9</v>
      </c>
      <c r="AD24" s="129" t="s">
        <v>227</v>
      </c>
      <c r="AE24" s="129" t="s">
        <v>227</v>
      </c>
      <c r="AF24" s="135" t="s">
        <v>227</v>
      </c>
      <c r="AG24" s="168">
        <v>2918.768</v>
      </c>
      <c r="AH24" s="142" t="s">
        <v>156</v>
      </c>
      <c r="AI24" s="129">
        <v>6</v>
      </c>
      <c r="AJ24">
        <v>6</v>
      </c>
      <c r="AK24" s="129" t="s">
        <v>227</v>
      </c>
      <c r="AL24" t="s">
        <v>227</v>
      </c>
      <c r="AM24" s="133" t="s">
        <v>157</v>
      </c>
      <c r="AN24" t="s">
        <v>227</v>
      </c>
      <c r="AO24" t="s">
        <v>227</v>
      </c>
      <c r="AP24" t="s">
        <v>227</v>
      </c>
      <c r="AQ24" t="s">
        <v>227</v>
      </c>
      <c r="AR24" t="s">
        <v>227</v>
      </c>
      <c r="AS24" t="s">
        <v>227</v>
      </c>
      <c r="AT24" t="s">
        <v>227</v>
      </c>
      <c r="AU24" s="133" t="s">
        <v>160</v>
      </c>
      <c r="AV24" s="170" t="s">
        <v>230</v>
      </c>
      <c r="AW24" s="139" t="s">
        <v>158</v>
      </c>
      <c r="AX24" s="145">
        <v>35.72</v>
      </c>
      <c r="AY24" s="139" t="s">
        <v>149</v>
      </c>
      <c r="AZ24" s="129" t="s">
        <v>227</v>
      </c>
      <c r="BA24" s="133" t="s">
        <v>159</v>
      </c>
      <c r="BB24" s="136" t="s">
        <v>182</v>
      </c>
      <c r="BC24">
        <v>4</v>
      </c>
      <c r="BD24" s="149">
        <v>0.31489416211376975</v>
      </c>
      <c r="BE24" s="138">
        <v>21.196468462355845</v>
      </c>
      <c r="BF24" s="133" t="s">
        <v>162</v>
      </c>
      <c r="BG24" s="147">
        <v>0.33</v>
      </c>
      <c r="BH24" s="136" t="s">
        <v>227</v>
      </c>
      <c r="BI24" s="136" t="s">
        <v>227</v>
      </c>
      <c r="BJ24" s="143" t="s">
        <v>227</v>
      </c>
      <c r="BK24" s="150">
        <v>-4.2</v>
      </c>
      <c r="BL24" s="136" t="s">
        <v>227</v>
      </c>
      <c r="BM24" s="129" t="s">
        <v>226</v>
      </c>
      <c r="BN24" s="139" t="s">
        <v>204</v>
      </c>
      <c r="BO24" s="133" t="s">
        <v>205</v>
      </c>
      <c r="BP24" s="129" t="s">
        <v>227</v>
      </c>
      <c r="BQ24" s="129" t="s">
        <v>227</v>
      </c>
      <c r="BR24" s="129" t="s">
        <v>227</v>
      </c>
      <c r="BS24" s="129" t="s">
        <v>227</v>
      </c>
      <c r="BT24" s="129" t="s">
        <v>227</v>
      </c>
      <c r="BU24" s="129">
        <v>0</v>
      </c>
      <c r="BV24" s="136" t="s">
        <v>227</v>
      </c>
      <c r="BW24" s="129" t="s">
        <v>226</v>
      </c>
      <c r="BX24" s="138">
        <v>23.264859930487177</v>
      </c>
      <c r="BY24" s="135" t="s">
        <v>156</v>
      </c>
      <c r="BZ24" s="152">
        <v>1</v>
      </c>
      <c r="CA24" s="152">
        <v>1</v>
      </c>
      <c r="CB24" s="133" t="s">
        <v>228</v>
      </c>
      <c r="CC24" s="153" t="s">
        <v>227</v>
      </c>
      <c r="CD24" s="135" t="s">
        <v>227</v>
      </c>
      <c r="CE24" s="154" t="s">
        <v>227</v>
      </c>
      <c r="CF24" s="142" t="s">
        <v>227</v>
      </c>
      <c r="CG24" s="142" t="s">
        <v>227</v>
      </c>
      <c r="CH24" s="129" t="s">
        <v>227</v>
      </c>
      <c r="CI24" s="142" t="s">
        <v>227</v>
      </c>
      <c r="CJ24" s="142" t="s">
        <v>227</v>
      </c>
      <c r="CK24" s="142" t="s">
        <v>226</v>
      </c>
      <c r="CL24" s="129" t="s">
        <v>227</v>
      </c>
      <c r="CM24" s="142" t="s">
        <v>226</v>
      </c>
      <c r="CN24" s="142" t="s">
        <v>227</v>
      </c>
      <c r="CO24" s="142" t="s">
        <v>227</v>
      </c>
      <c r="CP24" s="142" t="s">
        <v>227</v>
      </c>
      <c r="CQ24" s="142" t="s">
        <v>227</v>
      </c>
      <c r="CR24" s="142" t="s">
        <v>227</v>
      </c>
      <c r="CS24" s="142" t="s">
        <v>227</v>
      </c>
      <c r="CT24" s="142" t="s">
        <v>227</v>
      </c>
      <c r="CU24" s="155">
        <v>35.166170890811919</v>
      </c>
      <c r="CV24" s="135" t="s">
        <v>156</v>
      </c>
      <c r="CW24" s="129">
        <v>1</v>
      </c>
      <c r="CX24" s="133" t="s">
        <v>206</v>
      </c>
      <c r="CY24" s="169">
        <v>1.0844400000000001E-2</v>
      </c>
      <c r="CZ24" s="129" t="s">
        <v>227</v>
      </c>
      <c r="DA24" s="129" t="s">
        <v>227</v>
      </c>
      <c r="DB24" s="141" t="s">
        <v>207</v>
      </c>
      <c r="DC24" s="169">
        <v>5.0258699999999996E-2</v>
      </c>
      <c r="DD24" s="129" t="s">
        <v>227</v>
      </c>
      <c r="DE24" s="129" t="s">
        <v>227</v>
      </c>
      <c r="DF24" s="133" t="s">
        <v>207</v>
      </c>
      <c r="DH24" s="129" t="s">
        <v>227</v>
      </c>
      <c r="DI24" s="129" t="s">
        <v>227</v>
      </c>
      <c r="DJ24" s="129" t="s">
        <v>227</v>
      </c>
      <c r="DK24" s="156">
        <f t="shared" si="7"/>
        <v>4.326E-4</v>
      </c>
      <c r="DL24" s="129" t="s">
        <v>227</v>
      </c>
      <c r="DM24" s="129" t="s">
        <v>227</v>
      </c>
      <c r="DN24" s="133" t="s">
        <v>209</v>
      </c>
      <c r="DO24" s="129">
        <v>39.61</v>
      </c>
      <c r="DP24" s="133" t="s">
        <v>210</v>
      </c>
      <c r="DQ24" s="129" t="s">
        <v>226</v>
      </c>
      <c r="DR24" s="133" t="s">
        <v>211</v>
      </c>
      <c r="DS24" s="133" t="s">
        <v>212</v>
      </c>
      <c r="DT24" s="157" t="s">
        <v>229</v>
      </c>
      <c r="DU24" s="158">
        <f t="shared" si="8"/>
        <v>1.0194552525671203</v>
      </c>
      <c r="DV24" s="156" t="s">
        <v>227</v>
      </c>
      <c r="DW24" s="156" t="s">
        <v>226</v>
      </c>
      <c r="DX24" s="157" t="s">
        <v>232</v>
      </c>
      <c r="DY24" s="159" t="s">
        <v>213</v>
      </c>
      <c r="DZ24" s="157" t="s">
        <v>214</v>
      </c>
      <c r="EA24" s="1" t="s">
        <v>217</v>
      </c>
      <c r="EB24" s="129" t="s">
        <v>218</v>
      </c>
      <c r="EC24" s="133" t="s">
        <v>219</v>
      </c>
      <c r="ED24" s="133" t="s">
        <v>219</v>
      </c>
      <c r="EE24" s="133" t="s">
        <v>220</v>
      </c>
      <c r="EH24" s="129" t="s">
        <v>215</v>
      </c>
      <c r="EI24" s="133" t="s">
        <v>216</v>
      </c>
      <c r="EJ24" s="153" t="s">
        <v>227</v>
      </c>
      <c r="EK24">
        <v>269</v>
      </c>
      <c r="EL24" s="133" t="s">
        <v>221</v>
      </c>
      <c r="EM24">
        <v>25</v>
      </c>
      <c r="EN24">
        <v>25</v>
      </c>
      <c r="EO24" t="s">
        <v>227</v>
      </c>
      <c r="EP24" t="s">
        <v>227</v>
      </c>
      <c r="EQ24" t="s">
        <v>227</v>
      </c>
      <c r="ER24" t="s">
        <v>227</v>
      </c>
      <c r="ES24" s="163">
        <v>8.2204979034765628</v>
      </c>
      <c r="ET24" s="142" t="s">
        <v>222</v>
      </c>
      <c r="EU24" s="164">
        <v>3.8900918310360133E-2</v>
      </c>
      <c r="EV24" s="164">
        <v>3.8900918310360133E-2</v>
      </c>
      <c r="EW24" s="165">
        <v>241.1</v>
      </c>
      <c r="EX24" s="129">
        <v>17</v>
      </c>
      <c r="EY24" s="139" t="s">
        <v>223</v>
      </c>
      <c r="EZ24" s="148">
        <f t="shared" si="9"/>
        <v>224.1</v>
      </c>
      <c r="FA24" s="162">
        <v>48.647381658728563</v>
      </c>
      <c r="FB24" s="162">
        <v>55.759917503525777</v>
      </c>
      <c r="FC24" s="133" t="s">
        <v>224</v>
      </c>
      <c r="FD24" s="133" t="s">
        <v>225</v>
      </c>
      <c r="FE24" s="129" t="s">
        <v>227</v>
      </c>
      <c r="FF24" s="129" t="s">
        <v>227</v>
      </c>
      <c r="FG24" s="129" t="s">
        <v>227</v>
      </c>
      <c r="FH24" s="129" t="s">
        <v>227</v>
      </c>
      <c r="FI24" s="129" t="s">
        <v>227</v>
      </c>
      <c r="FJ24" s="129" t="s">
        <v>227</v>
      </c>
      <c r="FK24" s="129" t="s">
        <v>227</v>
      </c>
      <c r="FL24" s="129" t="s">
        <v>227</v>
      </c>
      <c r="FM24" s="129" t="s">
        <v>227</v>
      </c>
      <c r="FN24" s="129" t="s">
        <v>227</v>
      </c>
      <c r="FO24" s="129" t="s">
        <v>227</v>
      </c>
      <c r="FP24" s="129" t="s">
        <v>227</v>
      </c>
    </row>
    <row r="25" spans="1:172" ht="18" x14ac:dyDescent="0.2">
      <c r="A25" s="130" t="s">
        <v>152</v>
      </c>
      <c r="B25" t="s">
        <v>153</v>
      </c>
      <c r="C25">
        <v>2011</v>
      </c>
      <c r="D25" t="s">
        <v>150</v>
      </c>
      <c r="E25" s="149">
        <f t="shared" si="1"/>
        <v>3000.5720000000001</v>
      </c>
      <c r="F25">
        <f t="shared" si="2"/>
        <v>6</v>
      </c>
      <c r="G25">
        <f t="shared" si="3"/>
        <v>6</v>
      </c>
      <c r="H25" s="167">
        <f t="shared" si="4"/>
        <v>336.8</v>
      </c>
      <c r="I25" s="167">
        <f t="shared" si="5"/>
        <v>64.744684175613983</v>
      </c>
      <c r="J25" s="167">
        <f t="shared" si="6"/>
        <v>76.098473046441612</v>
      </c>
      <c r="K25" s="141" t="s">
        <v>147</v>
      </c>
      <c r="L25" s="140" t="s">
        <v>148</v>
      </c>
      <c r="M25" s="139" t="s">
        <v>149</v>
      </c>
      <c r="N25" s="128" t="s">
        <v>150</v>
      </c>
      <c r="O25" s="136" t="s">
        <v>151</v>
      </c>
      <c r="P25" s="129" t="s">
        <v>154</v>
      </c>
      <c r="Q25" s="137">
        <v>11</v>
      </c>
      <c r="R25" s="137">
        <v>3</v>
      </c>
      <c r="S25" s="137">
        <v>77</v>
      </c>
      <c r="T25" s="137">
        <v>79</v>
      </c>
      <c r="U25" s="138">
        <v>96.87</v>
      </c>
      <c r="V25" s="136" t="s">
        <v>227</v>
      </c>
      <c r="W25" s="136" t="s">
        <v>227</v>
      </c>
      <c r="X25" s="133" t="s">
        <v>155</v>
      </c>
      <c r="Y25" s="134">
        <v>12.910833330000001</v>
      </c>
      <c r="Z25" s="134">
        <v>-78.833333330000002</v>
      </c>
      <c r="AA25" s="129" t="s">
        <v>227</v>
      </c>
      <c r="AB25" s="129" t="s">
        <v>227</v>
      </c>
      <c r="AC25" s="129">
        <v>-2838.9</v>
      </c>
      <c r="AD25" s="129" t="s">
        <v>227</v>
      </c>
      <c r="AE25" s="129" t="s">
        <v>227</v>
      </c>
      <c r="AF25" s="135" t="s">
        <v>227</v>
      </c>
      <c r="AG25" s="168">
        <v>3000.5720000000001</v>
      </c>
      <c r="AH25" s="142" t="s">
        <v>156</v>
      </c>
      <c r="AI25" s="129">
        <v>6</v>
      </c>
      <c r="AJ25">
        <v>6</v>
      </c>
      <c r="AK25" s="129" t="s">
        <v>227</v>
      </c>
      <c r="AL25" t="s">
        <v>227</v>
      </c>
      <c r="AM25" s="133" t="s">
        <v>157</v>
      </c>
      <c r="AN25" t="s">
        <v>227</v>
      </c>
      <c r="AO25" t="s">
        <v>227</v>
      </c>
      <c r="AP25" t="s">
        <v>227</v>
      </c>
      <c r="AQ25" t="s">
        <v>227</v>
      </c>
      <c r="AR25" t="s">
        <v>227</v>
      </c>
      <c r="AS25" t="s">
        <v>227</v>
      </c>
      <c r="AT25" t="s">
        <v>227</v>
      </c>
      <c r="AU25" s="133" t="s">
        <v>160</v>
      </c>
      <c r="AV25" s="170" t="s">
        <v>230</v>
      </c>
      <c r="AW25" s="139" t="s">
        <v>158</v>
      </c>
      <c r="AX25" s="145">
        <v>31.67</v>
      </c>
      <c r="AY25" s="139" t="s">
        <v>149</v>
      </c>
      <c r="AZ25" s="129" t="s">
        <v>227</v>
      </c>
      <c r="BA25" s="133" t="s">
        <v>159</v>
      </c>
      <c r="BB25" s="136" t="s">
        <v>183</v>
      </c>
      <c r="BC25">
        <v>5</v>
      </c>
      <c r="BD25" s="149">
        <v>0.14048487463068696</v>
      </c>
      <c r="BE25" s="138">
        <v>20.360272498289298</v>
      </c>
      <c r="BF25" s="133" t="s">
        <v>162</v>
      </c>
      <c r="BG25" s="147">
        <v>0.3</v>
      </c>
      <c r="BH25" s="136" t="s">
        <v>227</v>
      </c>
      <c r="BI25" s="136" t="s">
        <v>227</v>
      </c>
      <c r="BJ25" s="143" t="s">
        <v>227</v>
      </c>
      <c r="BK25" s="150">
        <v>-4.2</v>
      </c>
      <c r="BL25" s="136" t="s">
        <v>227</v>
      </c>
      <c r="BM25" s="129" t="s">
        <v>226</v>
      </c>
      <c r="BN25" s="139" t="s">
        <v>204</v>
      </c>
      <c r="BO25" s="133" t="s">
        <v>205</v>
      </c>
      <c r="BP25" s="129" t="s">
        <v>227</v>
      </c>
      <c r="BQ25" s="129" t="s">
        <v>227</v>
      </c>
      <c r="BR25" s="129" t="s">
        <v>227</v>
      </c>
      <c r="BS25" s="129" t="s">
        <v>227</v>
      </c>
      <c r="BT25" s="129" t="s">
        <v>227</v>
      </c>
      <c r="BU25" s="129">
        <v>0</v>
      </c>
      <c r="BV25" s="136" t="s">
        <v>227</v>
      </c>
      <c r="BW25" s="129" t="s">
        <v>226</v>
      </c>
      <c r="BX25" s="138">
        <v>23.545155074328019</v>
      </c>
      <c r="BY25" s="135" t="s">
        <v>156</v>
      </c>
      <c r="BZ25" s="152">
        <v>1</v>
      </c>
      <c r="CA25" s="152">
        <v>1</v>
      </c>
      <c r="CB25" s="133" t="s">
        <v>228</v>
      </c>
      <c r="CC25" s="153" t="s">
        <v>227</v>
      </c>
      <c r="CD25" s="135" t="s">
        <v>227</v>
      </c>
      <c r="CE25" s="154" t="s">
        <v>227</v>
      </c>
      <c r="CF25" s="142" t="s">
        <v>227</v>
      </c>
      <c r="CG25" s="142" t="s">
        <v>227</v>
      </c>
      <c r="CH25" s="129" t="s">
        <v>227</v>
      </c>
      <c r="CI25" s="142" t="s">
        <v>227</v>
      </c>
      <c r="CJ25" s="142" t="s">
        <v>227</v>
      </c>
      <c r="CK25" s="142" t="s">
        <v>226</v>
      </c>
      <c r="CL25" s="129" t="s">
        <v>227</v>
      </c>
      <c r="CM25" s="142" t="s">
        <v>226</v>
      </c>
      <c r="CN25" s="142" t="s">
        <v>227</v>
      </c>
      <c r="CO25" s="142" t="s">
        <v>227</v>
      </c>
      <c r="CP25" s="142" t="s">
        <v>227</v>
      </c>
      <c r="CQ25" s="142" t="s">
        <v>227</v>
      </c>
      <c r="CR25" s="142" t="s">
        <v>227</v>
      </c>
      <c r="CS25" s="142" t="s">
        <v>227</v>
      </c>
      <c r="CT25" s="142" t="s">
        <v>227</v>
      </c>
      <c r="CU25" s="155">
        <v>33.492350841066163</v>
      </c>
      <c r="CV25" s="135" t="s">
        <v>156</v>
      </c>
      <c r="CW25" s="129">
        <v>1</v>
      </c>
      <c r="CX25" s="133" t="s">
        <v>206</v>
      </c>
      <c r="CY25" s="169">
        <v>1.086E-2</v>
      </c>
      <c r="CZ25" s="129" t="s">
        <v>227</v>
      </c>
      <c r="DA25" s="129" t="s">
        <v>227</v>
      </c>
      <c r="DB25" s="141" t="s">
        <v>207</v>
      </c>
      <c r="DC25" s="169">
        <v>5.0189999999999999E-2</v>
      </c>
      <c r="DD25" s="129" t="s">
        <v>227</v>
      </c>
      <c r="DE25" s="129" t="s">
        <v>227</v>
      </c>
      <c r="DF25" s="133" t="s">
        <v>207</v>
      </c>
      <c r="DH25" s="129" t="s">
        <v>227</v>
      </c>
      <c r="DI25" s="129" t="s">
        <v>227</v>
      </c>
      <c r="DJ25" s="129" t="s">
        <v>227</v>
      </c>
      <c r="DK25" s="156">
        <f t="shared" si="7"/>
        <v>4.326E-4</v>
      </c>
      <c r="DL25" s="129" t="s">
        <v>227</v>
      </c>
      <c r="DM25" s="129" t="s">
        <v>227</v>
      </c>
      <c r="DN25" s="133" t="s">
        <v>209</v>
      </c>
      <c r="DO25" s="129">
        <v>39.61</v>
      </c>
      <c r="DP25" s="133" t="s">
        <v>210</v>
      </c>
      <c r="DQ25" s="129" t="s">
        <v>226</v>
      </c>
      <c r="DR25" s="133" t="s">
        <v>211</v>
      </c>
      <c r="DS25" s="133" t="s">
        <v>212</v>
      </c>
      <c r="DT25" s="157" t="s">
        <v>229</v>
      </c>
      <c r="DU25" s="158">
        <f t="shared" si="8"/>
        <v>1.0194414606445676</v>
      </c>
      <c r="DV25" s="156" t="s">
        <v>227</v>
      </c>
      <c r="DW25" s="156" t="s">
        <v>226</v>
      </c>
      <c r="DX25" s="157" t="s">
        <v>232</v>
      </c>
      <c r="DY25" s="159" t="s">
        <v>213</v>
      </c>
      <c r="DZ25" s="157" t="s">
        <v>214</v>
      </c>
      <c r="EA25" s="1" t="s">
        <v>217</v>
      </c>
      <c r="EB25" s="129" t="s">
        <v>218</v>
      </c>
      <c r="EC25" s="133" t="s">
        <v>219</v>
      </c>
      <c r="ED25" s="133" t="s">
        <v>219</v>
      </c>
      <c r="EE25" s="133" t="s">
        <v>220</v>
      </c>
      <c r="EH25" s="129" t="s">
        <v>215</v>
      </c>
      <c r="EI25" s="133" t="s">
        <v>216</v>
      </c>
      <c r="EJ25" s="153" t="s">
        <v>227</v>
      </c>
      <c r="EK25">
        <v>251.7</v>
      </c>
      <c r="EL25" s="133" t="s">
        <v>221</v>
      </c>
      <c r="EM25">
        <v>25</v>
      </c>
      <c r="EN25">
        <v>25</v>
      </c>
      <c r="EO25" t="s">
        <v>227</v>
      </c>
      <c r="EP25" t="s">
        <v>227</v>
      </c>
      <c r="EQ25" t="s">
        <v>227</v>
      </c>
      <c r="ER25" t="s">
        <v>227</v>
      </c>
      <c r="ES25" s="163">
        <v>8.1308301218657721</v>
      </c>
      <c r="ET25" s="142" t="s">
        <v>222</v>
      </c>
      <c r="EU25" s="164">
        <v>3.5972032781589114E-2</v>
      </c>
      <c r="EV25" s="164">
        <v>3.5972032781589114E-2</v>
      </c>
      <c r="EW25" s="165">
        <v>353.8</v>
      </c>
      <c r="EX25" s="129">
        <v>17</v>
      </c>
      <c r="EY25" s="139" t="s">
        <v>223</v>
      </c>
      <c r="EZ25" s="148">
        <f t="shared" si="9"/>
        <v>336.8</v>
      </c>
      <c r="FA25" s="162">
        <v>64.744684175613983</v>
      </c>
      <c r="FB25" s="162">
        <v>76.098473046441612</v>
      </c>
      <c r="FC25" s="133" t="s">
        <v>224</v>
      </c>
      <c r="FD25" s="133" t="s">
        <v>225</v>
      </c>
      <c r="FE25" s="129" t="s">
        <v>227</v>
      </c>
      <c r="FF25" s="129" t="s">
        <v>227</v>
      </c>
      <c r="FG25" s="129" t="s">
        <v>227</v>
      </c>
      <c r="FH25" s="129" t="s">
        <v>227</v>
      </c>
      <c r="FI25" s="129" t="s">
        <v>227</v>
      </c>
      <c r="FJ25" s="129" t="s">
        <v>227</v>
      </c>
      <c r="FK25" s="129" t="s">
        <v>227</v>
      </c>
      <c r="FL25" s="129" t="s">
        <v>227</v>
      </c>
      <c r="FM25" s="129" t="s">
        <v>227</v>
      </c>
      <c r="FN25" s="129" t="s">
        <v>227</v>
      </c>
      <c r="FO25" s="129" t="s">
        <v>227</v>
      </c>
      <c r="FP25" s="129" t="s">
        <v>227</v>
      </c>
    </row>
    <row r="26" spans="1:172" ht="18" x14ac:dyDescent="0.2">
      <c r="A26" s="130" t="s">
        <v>152</v>
      </c>
      <c r="B26" t="s">
        <v>153</v>
      </c>
      <c r="C26">
        <v>2011</v>
      </c>
      <c r="D26" t="s">
        <v>150</v>
      </c>
      <c r="E26" s="149">
        <f t="shared" si="1"/>
        <v>3073.9160000000002</v>
      </c>
      <c r="F26">
        <f t="shared" si="2"/>
        <v>6</v>
      </c>
      <c r="G26">
        <f t="shared" si="3"/>
        <v>6</v>
      </c>
      <c r="H26" s="167">
        <f t="shared" si="4"/>
        <v>247.5</v>
      </c>
      <c r="I26" s="167">
        <f t="shared" si="5"/>
        <v>51.852365483649827</v>
      </c>
      <c r="J26" s="167">
        <f t="shared" si="6"/>
        <v>59.853237172269971</v>
      </c>
      <c r="K26" s="141" t="s">
        <v>147</v>
      </c>
      <c r="L26" s="140" t="s">
        <v>148</v>
      </c>
      <c r="M26" s="139" t="s">
        <v>149</v>
      </c>
      <c r="N26" s="128" t="s">
        <v>150</v>
      </c>
      <c r="O26" s="129" t="s">
        <v>151</v>
      </c>
      <c r="P26" s="129" t="s">
        <v>154</v>
      </c>
      <c r="Q26" s="137">
        <v>11</v>
      </c>
      <c r="R26" s="137">
        <v>5</v>
      </c>
      <c r="S26" s="137">
        <v>57</v>
      </c>
      <c r="T26" s="137">
        <v>59</v>
      </c>
      <c r="U26" s="138">
        <v>99.67</v>
      </c>
      <c r="V26" s="136" t="s">
        <v>227</v>
      </c>
      <c r="W26" s="136" t="s">
        <v>227</v>
      </c>
      <c r="X26" s="133" t="s">
        <v>155</v>
      </c>
      <c r="Y26" s="134">
        <v>12.910833330000001</v>
      </c>
      <c r="Z26" s="134">
        <v>-78.833333330000002</v>
      </c>
      <c r="AA26" s="129" t="s">
        <v>227</v>
      </c>
      <c r="AB26" s="129" t="s">
        <v>227</v>
      </c>
      <c r="AC26" s="129">
        <v>-2838.9</v>
      </c>
      <c r="AD26" s="129" t="s">
        <v>227</v>
      </c>
      <c r="AE26" s="129" t="s">
        <v>227</v>
      </c>
      <c r="AF26" s="135" t="s">
        <v>227</v>
      </c>
      <c r="AG26" s="168">
        <v>3073.9160000000002</v>
      </c>
      <c r="AH26" s="142" t="s">
        <v>156</v>
      </c>
      <c r="AI26" s="129">
        <v>6</v>
      </c>
      <c r="AJ26">
        <v>6</v>
      </c>
      <c r="AK26" s="129" t="s">
        <v>227</v>
      </c>
      <c r="AL26" t="s">
        <v>227</v>
      </c>
      <c r="AM26" s="133" t="s">
        <v>157</v>
      </c>
      <c r="AN26" t="s">
        <v>227</v>
      </c>
      <c r="AO26" t="s">
        <v>227</v>
      </c>
      <c r="AP26" t="s">
        <v>227</v>
      </c>
      <c r="AQ26" t="s">
        <v>227</v>
      </c>
      <c r="AR26" t="s">
        <v>227</v>
      </c>
      <c r="AS26" t="s">
        <v>227</v>
      </c>
      <c r="AT26" t="s">
        <v>227</v>
      </c>
      <c r="AU26" s="133" t="s">
        <v>160</v>
      </c>
      <c r="AV26" s="170" t="s">
        <v>230</v>
      </c>
      <c r="AW26" s="139" t="s">
        <v>158</v>
      </c>
      <c r="AX26" s="145">
        <v>48.05</v>
      </c>
      <c r="AY26" s="139" t="s">
        <v>149</v>
      </c>
      <c r="AZ26" s="129" t="s">
        <v>227</v>
      </c>
      <c r="BA26" s="133" t="s">
        <v>159</v>
      </c>
      <c r="BB26" s="136" t="s">
        <v>184</v>
      </c>
      <c r="BC26">
        <v>5</v>
      </c>
      <c r="BD26" s="149">
        <v>0.27546324618721812</v>
      </c>
      <c r="BE26" s="138">
        <v>20.989253642408116</v>
      </c>
      <c r="BF26" s="133" t="s">
        <v>162</v>
      </c>
      <c r="BG26" s="147">
        <v>0.3</v>
      </c>
      <c r="BH26" s="136" t="s">
        <v>227</v>
      </c>
      <c r="BI26" s="136" t="s">
        <v>227</v>
      </c>
      <c r="BJ26" s="143" t="s">
        <v>227</v>
      </c>
      <c r="BK26" s="150">
        <v>-4.2</v>
      </c>
      <c r="BL26" s="136" t="s">
        <v>227</v>
      </c>
      <c r="BM26" s="129" t="s">
        <v>226</v>
      </c>
      <c r="BN26" s="139" t="s">
        <v>204</v>
      </c>
      <c r="BO26" s="133" t="s">
        <v>205</v>
      </c>
      <c r="BP26" s="129" t="s">
        <v>227</v>
      </c>
      <c r="BQ26" s="129" t="s">
        <v>227</v>
      </c>
      <c r="BR26" s="129" t="s">
        <v>227</v>
      </c>
      <c r="BS26" s="129" t="s">
        <v>227</v>
      </c>
      <c r="BT26" s="129" t="s">
        <v>227</v>
      </c>
      <c r="BU26" s="129">
        <v>0</v>
      </c>
      <c r="BV26" s="136" t="s">
        <v>227</v>
      </c>
      <c r="BW26" s="129" t="s">
        <v>226</v>
      </c>
      <c r="BX26" s="138">
        <v>24.160460290649727</v>
      </c>
      <c r="BY26" s="135" t="s">
        <v>156</v>
      </c>
      <c r="BZ26" s="152">
        <v>1</v>
      </c>
      <c r="CA26" s="152">
        <v>1</v>
      </c>
      <c r="CB26" s="133" t="s">
        <v>228</v>
      </c>
      <c r="CC26" s="153" t="s">
        <v>227</v>
      </c>
      <c r="CD26" s="135" t="s">
        <v>227</v>
      </c>
      <c r="CE26" s="154" t="s">
        <v>227</v>
      </c>
      <c r="CF26" s="142" t="s">
        <v>227</v>
      </c>
      <c r="CG26" s="142" t="s">
        <v>227</v>
      </c>
      <c r="CH26" s="129" t="s">
        <v>227</v>
      </c>
      <c r="CI26" s="142" t="s">
        <v>227</v>
      </c>
      <c r="CJ26" s="142" t="s">
        <v>227</v>
      </c>
      <c r="CK26" s="142" t="s">
        <v>226</v>
      </c>
      <c r="CL26" s="129" t="s">
        <v>227</v>
      </c>
      <c r="CM26" s="142" t="s">
        <v>226</v>
      </c>
      <c r="CN26" s="142" t="s">
        <v>227</v>
      </c>
      <c r="CO26" s="142" t="s">
        <v>227</v>
      </c>
      <c r="CP26" s="142" t="s">
        <v>227</v>
      </c>
      <c r="CQ26" s="142" t="s">
        <v>227</v>
      </c>
      <c r="CR26" s="142" t="s">
        <v>227</v>
      </c>
      <c r="CS26" s="142" t="s">
        <v>227</v>
      </c>
      <c r="CT26" s="142" t="s">
        <v>227</v>
      </c>
      <c r="CU26" s="155">
        <v>34.283218991481029</v>
      </c>
      <c r="CV26" s="135" t="s">
        <v>156</v>
      </c>
      <c r="CW26" s="129">
        <v>1</v>
      </c>
      <c r="CX26" s="133" t="s">
        <v>206</v>
      </c>
      <c r="CY26" s="169">
        <v>1.0873900000000001E-2</v>
      </c>
      <c r="CZ26" s="129" t="s">
        <v>227</v>
      </c>
      <c r="DA26" s="129" t="s">
        <v>227</v>
      </c>
      <c r="DB26" s="141" t="s">
        <v>207</v>
      </c>
      <c r="DC26" s="169">
        <v>5.0128499999999999E-2</v>
      </c>
      <c r="DD26" s="129" t="s">
        <v>227</v>
      </c>
      <c r="DE26" s="129" t="s">
        <v>227</v>
      </c>
      <c r="DF26" s="133" t="s">
        <v>207</v>
      </c>
      <c r="DH26" s="129" t="s">
        <v>227</v>
      </c>
      <c r="DI26" s="129" t="s">
        <v>227</v>
      </c>
      <c r="DJ26" s="129" t="s">
        <v>227</v>
      </c>
      <c r="DK26" s="156">
        <f t="shared" si="7"/>
        <v>4.326E-4</v>
      </c>
      <c r="DL26" s="129" t="s">
        <v>227</v>
      </c>
      <c r="DM26" s="129" t="s">
        <v>227</v>
      </c>
      <c r="DN26" s="133" t="s">
        <v>209</v>
      </c>
      <c r="DO26" s="129">
        <v>39.61</v>
      </c>
      <c r="DP26" s="133" t="s">
        <v>210</v>
      </c>
      <c r="DQ26" s="129" t="s">
        <v>226</v>
      </c>
      <c r="DR26" s="133" t="s">
        <v>211</v>
      </c>
      <c r="DS26" s="133" t="s">
        <v>212</v>
      </c>
      <c r="DT26" s="157" t="s">
        <v>229</v>
      </c>
      <c r="DU26" s="158">
        <f t="shared" si="8"/>
        <v>1.0194111845513985</v>
      </c>
      <c r="DV26" s="156" t="s">
        <v>227</v>
      </c>
      <c r="DW26" s="156" t="s">
        <v>226</v>
      </c>
      <c r="DX26" s="157" t="s">
        <v>232</v>
      </c>
      <c r="DY26" s="159" t="s">
        <v>213</v>
      </c>
      <c r="DZ26" s="157" t="s">
        <v>214</v>
      </c>
      <c r="EA26" s="1" t="s">
        <v>217</v>
      </c>
      <c r="EB26" s="129" t="s">
        <v>218</v>
      </c>
      <c r="EC26" s="133" t="s">
        <v>219</v>
      </c>
      <c r="ED26" s="133" t="s">
        <v>219</v>
      </c>
      <c r="EE26" s="133" t="s">
        <v>220</v>
      </c>
      <c r="EH26" s="129" t="s">
        <v>215</v>
      </c>
      <c r="EI26" s="133" t="s">
        <v>216</v>
      </c>
      <c r="EJ26" s="153" t="s">
        <v>227</v>
      </c>
      <c r="EK26">
        <v>258</v>
      </c>
      <c r="EL26" s="133" t="s">
        <v>221</v>
      </c>
      <c r="EM26">
        <v>25</v>
      </c>
      <c r="EN26">
        <v>25</v>
      </c>
      <c r="EO26" t="s">
        <v>227</v>
      </c>
      <c r="EP26" t="s">
        <v>227</v>
      </c>
      <c r="EQ26" t="s">
        <v>227</v>
      </c>
      <c r="ER26" t="s">
        <v>227</v>
      </c>
      <c r="ES26" s="163">
        <v>8.1889228843837927</v>
      </c>
      <c r="ET26" s="142" t="s">
        <v>222</v>
      </c>
      <c r="EU26" s="164">
        <v>3.649756127385384E-2</v>
      </c>
      <c r="EV26" s="164">
        <v>3.649756127385384E-2</v>
      </c>
      <c r="EW26" s="165">
        <v>264.5</v>
      </c>
      <c r="EX26" s="129">
        <v>17</v>
      </c>
      <c r="EY26" s="139" t="s">
        <v>223</v>
      </c>
      <c r="EZ26" s="148">
        <f t="shared" si="9"/>
        <v>247.5</v>
      </c>
      <c r="FA26" s="162">
        <v>51.852365483649827</v>
      </c>
      <c r="FB26" s="162">
        <v>59.853237172269971</v>
      </c>
      <c r="FC26" s="133" t="s">
        <v>224</v>
      </c>
      <c r="FD26" s="133" t="s">
        <v>225</v>
      </c>
      <c r="FE26" s="129" t="s">
        <v>227</v>
      </c>
      <c r="FF26" s="129" t="s">
        <v>227</v>
      </c>
      <c r="FG26" s="129" t="s">
        <v>227</v>
      </c>
      <c r="FH26" s="129" t="s">
        <v>227</v>
      </c>
      <c r="FI26" s="129" t="s">
        <v>227</v>
      </c>
      <c r="FJ26" s="129" t="s">
        <v>227</v>
      </c>
      <c r="FK26" s="129" t="s">
        <v>227</v>
      </c>
      <c r="FL26" s="129" t="s">
        <v>227</v>
      </c>
      <c r="FM26" s="129" t="s">
        <v>227</v>
      </c>
      <c r="FN26" s="129" t="s">
        <v>227</v>
      </c>
      <c r="FO26" s="129" t="s">
        <v>227</v>
      </c>
      <c r="FP26" s="129" t="s">
        <v>227</v>
      </c>
    </row>
    <row r="27" spans="1:172" ht="18" x14ac:dyDescent="0.2">
      <c r="A27" s="130" t="s">
        <v>152</v>
      </c>
      <c r="B27" t="s">
        <v>153</v>
      </c>
      <c r="C27">
        <v>2011</v>
      </c>
      <c r="D27" t="s">
        <v>150</v>
      </c>
      <c r="E27" s="149">
        <f t="shared" si="1"/>
        <v>3081.375</v>
      </c>
      <c r="F27">
        <f t="shared" si="2"/>
        <v>6</v>
      </c>
      <c r="G27">
        <f t="shared" si="3"/>
        <v>6</v>
      </c>
      <c r="H27" s="167">
        <f t="shared" si="4"/>
        <v>393.6</v>
      </c>
      <c r="I27" s="167">
        <f t="shared" si="5"/>
        <v>73.307073335388324</v>
      </c>
      <c r="J27" s="167">
        <f t="shared" si="6"/>
        <v>86.762286737960068</v>
      </c>
      <c r="K27" s="141" t="s">
        <v>147</v>
      </c>
      <c r="L27" s="140" t="s">
        <v>148</v>
      </c>
      <c r="M27" s="139" t="s">
        <v>149</v>
      </c>
      <c r="N27" s="128" t="s">
        <v>150</v>
      </c>
      <c r="O27" s="136" t="s">
        <v>151</v>
      </c>
      <c r="P27" s="129" t="s">
        <v>154</v>
      </c>
      <c r="Q27" s="137">
        <v>11</v>
      </c>
      <c r="R27" s="137">
        <v>5</v>
      </c>
      <c r="S27" s="137">
        <v>80</v>
      </c>
      <c r="T27" s="137">
        <v>82</v>
      </c>
      <c r="U27" s="138">
        <v>99.9</v>
      </c>
      <c r="V27" s="136" t="s">
        <v>227</v>
      </c>
      <c r="W27" s="136" t="s">
        <v>227</v>
      </c>
      <c r="X27" s="133" t="s">
        <v>155</v>
      </c>
      <c r="Y27" s="134">
        <v>12.910833330000001</v>
      </c>
      <c r="Z27" s="134">
        <v>-78.833333330000002</v>
      </c>
      <c r="AA27" s="129" t="s">
        <v>227</v>
      </c>
      <c r="AB27" s="129" t="s">
        <v>227</v>
      </c>
      <c r="AC27" s="129">
        <v>-2838.9</v>
      </c>
      <c r="AD27" s="129" t="s">
        <v>227</v>
      </c>
      <c r="AE27" s="129" t="s">
        <v>227</v>
      </c>
      <c r="AF27" s="135" t="s">
        <v>227</v>
      </c>
      <c r="AG27" s="168">
        <v>3081.375</v>
      </c>
      <c r="AH27" s="142" t="s">
        <v>156</v>
      </c>
      <c r="AI27" s="129">
        <v>6</v>
      </c>
      <c r="AJ27">
        <v>6</v>
      </c>
      <c r="AK27" s="129" t="s">
        <v>227</v>
      </c>
      <c r="AL27" t="s">
        <v>227</v>
      </c>
      <c r="AM27" s="133" t="s">
        <v>157</v>
      </c>
      <c r="AN27" t="s">
        <v>227</v>
      </c>
      <c r="AO27" t="s">
        <v>227</v>
      </c>
      <c r="AP27" t="s">
        <v>227</v>
      </c>
      <c r="AQ27" t="s">
        <v>227</v>
      </c>
      <c r="AR27" t="s">
        <v>227</v>
      </c>
      <c r="AS27" t="s">
        <v>227</v>
      </c>
      <c r="AT27" t="s">
        <v>227</v>
      </c>
      <c r="AU27" s="133" t="s">
        <v>160</v>
      </c>
      <c r="AV27" s="170" t="s">
        <v>230</v>
      </c>
      <c r="AW27" s="139" t="s">
        <v>158</v>
      </c>
      <c r="AX27" s="145">
        <v>29.1</v>
      </c>
      <c r="AY27" s="139" t="s">
        <v>149</v>
      </c>
      <c r="AZ27" s="129" t="s">
        <v>227</v>
      </c>
      <c r="BA27" s="133" t="s">
        <v>159</v>
      </c>
      <c r="BB27" s="136" t="s">
        <v>185</v>
      </c>
      <c r="BC27">
        <v>4</v>
      </c>
      <c r="BD27" s="149">
        <v>0.16542873591570195</v>
      </c>
      <c r="BE27" s="138">
        <v>20.235261707486629</v>
      </c>
      <c r="BF27" s="133" t="s">
        <v>162</v>
      </c>
      <c r="BG27" s="147">
        <v>0.33</v>
      </c>
      <c r="BH27" s="136" t="s">
        <v>227</v>
      </c>
      <c r="BI27" s="136" t="s">
        <v>227</v>
      </c>
      <c r="BJ27" s="143" t="s">
        <v>227</v>
      </c>
      <c r="BK27" s="150">
        <v>-4.2</v>
      </c>
      <c r="BL27" s="136" t="s">
        <v>227</v>
      </c>
      <c r="BM27" s="129" t="s">
        <v>226</v>
      </c>
      <c r="BN27" s="139" t="s">
        <v>204</v>
      </c>
      <c r="BO27" s="133" t="s">
        <v>205</v>
      </c>
      <c r="BP27" s="129" t="s">
        <v>227</v>
      </c>
      <c r="BQ27" s="129" t="s">
        <v>227</v>
      </c>
      <c r="BR27" s="129" t="s">
        <v>227</v>
      </c>
      <c r="BS27" s="129" t="s">
        <v>227</v>
      </c>
      <c r="BT27" s="129" t="s">
        <v>227</v>
      </c>
      <c r="BU27" s="129">
        <v>0</v>
      </c>
      <c r="BV27" s="136" t="s">
        <v>227</v>
      </c>
      <c r="BW27" s="129" t="s">
        <v>226</v>
      </c>
      <c r="BX27" s="138">
        <v>23.93369505030298</v>
      </c>
      <c r="BY27" s="135" t="s">
        <v>156</v>
      </c>
      <c r="BZ27" s="152">
        <v>1</v>
      </c>
      <c r="CA27" s="152">
        <v>1</v>
      </c>
      <c r="CB27" s="133" t="s">
        <v>228</v>
      </c>
      <c r="CC27" s="153" t="s">
        <v>227</v>
      </c>
      <c r="CD27" s="135" t="s">
        <v>227</v>
      </c>
      <c r="CE27" s="154" t="s">
        <v>227</v>
      </c>
      <c r="CF27" s="142" t="s">
        <v>227</v>
      </c>
      <c r="CG27" s="142" t="s">
        <v>227</v>
      </c>
      <c r="CH27" s="129" t="s">
        <v>227</v>
      </c>
      <c r="CI27" s="142" t="s">
        <v>227</v>
      </c>
      <c r="CJ27" s="142" t="s">
        <v>227</v>
      </c>
      <c r="CK27" s="142" t="s">
        <v>226</v>
      </c>
      <c r="CL27" s="129" t="s">
        <v>227</v>
      </c>
      <c r="CM27" s="142" t="s">
        <v>226</v>
      </c>
      <c r="CN27" s="142" t="s">
        <v>227</v>
      </c>
      <c r="CO27" s="142" t="s">
        <v>227</v>
      </c>
      <c r="CP27" s="142" t="s">
        <v>227</v>
      </c>
      <c r="CQ27" s="142" t="s">
        <v>227</v>
      </c>
      <c r="CR27" s="142" t="s">
        <v>227</v>
      </c>
      <c r="CS27" s="142" t="s">
        <v>227</v>
      </c>
      <c r="CT27" s="142" t="s">
        <v>227</v>
      </c>
      <c r="CU27" s="155">
        <v>35.931184177954464</v>
      </c>
      <c r="CV27" s="135" t="s">
        <v>156</v>
      </c>
      <c r="CW27" s="129">
        <v>1</v>
      </c>
      <c r="CX27" s="133" t="s">
        <v>206</v>
      </c>
      <c r="CY27" s="169">
        <v>1.0875299999999999E-2</v>
      </c>
      <c r="CZ27" s="129" t="s">
        <v>227</v>
      </c>
      <c r="DA27" s="129" t="s">
        <v>227</v>
      </c>
      <c r="DB27" s="141" t="s">
        <v>207</v>
      </c>
      <c r="DC27" s="169">
        <v>5.0122300000000002E-2</v>
      </c>
      <c r="DD27" s="129" t="s">
        <v>227</v>
      </c>
      <c r="DE27" s="129" t="s">
        <v>227</v>
      </c>
      <c r="DF27" s="133" t="s">
        <v>207</v>
      </c>
      <c r="DH27" s="129" t="s">
        <v>227</v>
      </c>
      <c r="DI27" s="129" t="s">
        <v>227</v>
      </c>
      <c r="DJ27" s="129" t="s">
        <v>227</v>
      </c>
      <c r="DK27" s="156">
        <f t="shared" si="7"/>
        <v>4.326E-4</v>
      </c>
      <c r="DL27" s="129" t="s">
        <v>227</v>
      </c>
      <c r="DM27" s="129" t="s">
        <v>227</v>
      </c>
      <c r="DN27" s="133" t="s">
        <v>209</v>
      </c>
      <c r="DO27" s="129">
        <v>39.61</v>
      </c>
      <c r="DP27" s="133" t="s">
        <v>210</v>
      </c>
      <c r="DQ27" s="129" t="s">
        <v>226</v>
      </c>
      <c r="DR27" s="133" t="s">
        <v>211</v>
      </c>
      <c r="DS27" s="133" t="s">
        <v>212</v>
      </c>
      <c r="DT27" s="157" t="s">
        <v>229</v>
      </c>
      <c r="DU27" s="158">
        <f t="shared" si="8"/>
        <v>1.0194223425350497</v>
      </c>
      <c r="DV27" s="156" t="s">
        <v>227</v>
      </c>
      <c r="DW27" s="156" t="s">
        <v>226</v>
      </c>
      <c r="DX27" s="157" t="s">
        <v>232</v>
      </c>
      <c r="DY27" s="159" t="s">
        <v>213</v>
      </c>
      <c r="DZ27" s="157" t="s">
        <v>214</v>
      </c>
      <c r="EA27" s="1" t="s">
        <v>217</v>
      </c>
      <c r="EB27" s="129" t="s">
        <v>218</v>
      </c>
      <c r="EC27" s="133" t="s">
        <v>219</v>
      </c>
      <c r="ED27" s="133" t="s">
        <v>219</v>
      </c>
      <c r="EE27" s="133" t="s">
        <v>220</v>
      </c>
      <c r="EH27" s="129" t="s">
        <v>215</v>
      </c>
      <c r="EI27" s="133" t="s">
        <v>216</v>
      </c>
      <c r="EJ27" s="153" t="s">
        <v>227</v>
      </c>
      <c r="EK27">
        <v>274.10000000000002</v>
      </c>
      <c r="EL27" s="133" t="s">
        <v>221</v>
      </c>
      <c r="EM27">
        <v>25</v>
      </c>
      <c r="EN27">
        <v>25</v>
      </c>
      <c r="EO27" t="s">
        <v>227</v>
      </c>
      <c r="EP27" t="s">
        <v>227</v>
      </c>
      <c r="EQ27" t="s">
        <v>227</v>
      </c>
      <c r="ER27" t="s">
        <v>227</v>
      </c>
      <c r="ES27" s="163">
        <v>8.0956325587700526</v>
      </c>
      <c r="ET27" s="142" t="s">
        <v>222</v>
      </c>
      <c r="EU27" s="164">
        <v>4.0437609696115651E-2</v>
      </c>
      <c r="EV27" s="164">
        <v>4.0437609696115651E-2</v>
      </c>
      <c r="EW27" s="165">
        <v>410.6</v>
      </c>
      <c r="EX27" s="129">
        <v>17</v>
      </c>
      <c r="EY27" s="139" t="s">
        <v>223</v>
      </c>
      <c r="EZ27" s="148">
        <f t="shared" si="9"/>
        <v>393.6</v>
      </c>
      <c r="FA27" s="162">
        <v>73.307073335388324</v>
      </c>
      <c r="FB27" s="162">
        <v>86.762286737960068</v>
      </c>
      <c r="FC27" s="133" t="s">
        <v>224</v>
      </c>
      <c r="FD27" s="133" t="s">
        <v>225</v>
      </c>
      <c r="FE27" s="129" t="s">
        <v>227</v>
      </c>
      <c r="FF27" s="129" t="s">
        <v>227</v>
      </c>
      <c r="FG27" s="129" t="s">
        <v>227</v>
      </c>
      <c r="FH27" s="129" t="s">
        <v>227</v>
      </c>
      <c r="FI27" s="129" t="s">
        <v>227</v>
      </c>
      <c r="FJ27" s="129" t="s">
        <v>227</v>
      </c>
      <c r="FK27" s="129" t="s">
        <v>227</v>
      </c>
      <c r="FL27" s="129" t="s">
        <v>227</v>
      </c>
      <c r="FM27" s="129" t="s">
        <v>227</v>
      </c>
      <c r="FN27" s="129" t="s">
        <v>227</v>
      </c>
      <c r="FO27" s="129" t="s">
        <v>227</v>
      </c>
      <c r="FP27" s="129" t="s">
        <v>227</v>
      </c>
    </row>
    <row r="28" spans="1:172" ht="18" x14ac:dyDescent="0.2">
      <c r="A28" s="130" t="s">
        <v>152</v>
      </c>
      <c r="B28" t="s">
        <v>153</v>
      </c>
      <c r="C28">
        <v>2011</v>
      </c>
      <c r="D28" t="s">
        <v>150</v>
      </c>
      <c r="E28" s="149">
        <f t="shared" si="1"/>
        <v>3104.91</v>
      </c>
      <c r="F28">
        <f t="shared" si="2"/>
        <v>6</v>
      </c>
      <c r="G28">
        <f t="shared" si="3"/>
        <v>6</v>
      </c>
      <c r="H28" s="167">
        <f t="shared" si="4"/>
        <v>231.9</v>
      </c>
      <c r="I28" s="167">
        <f t="shared" si="5"/>
        <v>49.705348728783704</v>
      </c>
      <c r="J28" s="167">
        <f t="shared" si="6"/>
        <v>57.114344958162654</v>
      </c>
      <c r="K28" s="141" t="s">
        <v>147</v>
      </c>
      <c r="L28" s="140" t="s">
        <v>148</v>
      </c>
      <c r="M28" s="139" t="s">
        <v>149</v>
      </c>
      <c r="N28" s="128" t="s">
        <v>150</v>
      </c>
      <c r="O28" s="129" t="s">
        <v>151</v>
      </c>
      <c r="P28" s="129" t="s">
        <v>154</v>
      </c>
      <c r="Q28" s="137">
        <v>11</v>
      </c>
      <c r="R28" s="137">
        <v>6</v>
      </c>
      <c r="S28" s="137">
        <v>5</v>
      </c>
      <c r="T28" s="137">
        <v>6</v>
      </c>
      <c r="U28" s="138">
        <v>100.65</v>
      </c>
      <c r="V28" s="136" t="s">
        <v>227</v>
      </c>
      <c r="W28" s="136" t="s">
        <v>227</v>
      </c>
      <c r="X28" s="133" t="s">
        <v>155</v>
      </c>
      <c r="Y28" s="134">
        <v>12.910833330000001</v>
      </c>
      <c r="Z28" s="134">
        <v>-78.833333330000002</v>
      </c>
      <c r="AA28" s="129" t="s">
        <v>227</v>
      </c>
      <c r="AB28" s="129" t="s">
        <v>227</v>
      </c>
      <c r="AC28" s="129">
        <v>-2838.9</v>
      </c>
      <c r="AD28" s="129" t="s">
        <v>227</v>
      </c>
      <c r="AE28" s="129" t="s">
        <v>227</v>
      </c>
      <c r="AF28" s="135" t="s">
        <v>227</v>
      </c>
      <c r="AG28" s="168">
        <v>3104.91</v>
      </c>
      <c r="AH28" s="142" t="s">
        <v>156</v>
      </c>
      <c r="AI28" s="129">
        <v>6</v>
      </c>
      <c r="AJ28">
        <v>6</v>
      </c>
      <c r="AK28" s="129" t="s">
        <v>227</v>
      </c>
      <c r="AL28" t="s">
        <v>227</v>
      </c>
      <c r="AM28" s="133" t="s">
        <v>157</v>
      </c>
      <c r="AN28" t="s">
        <v>227</v>
      </c>
      <c r="AO28" t="s">
        <v>227</v>
      </c>
      <c r="AP28" t="s">
        <v>227</v>
      </c>
      <c r="AQ28" t="s">
        <v>227</v>
      </c>
      <c r="AR28" t="s">
        <v>227</v>
      </c>
      <c r="AS28" t="s">
        <v>227</v>
      </c>
      <c r="AT28" t="s">
        <v>227</v>
      </c>
      <c r="AU28" s="133" t="s">
        <v>160</v>
      </c>
      <c r="AV28" s="170" t="s">
        <v>230</v>
      </c>
      <c r="AW28" s="139" t="s">
        <v>158</v>
      </c>
      <c r="AX28" s="145">
        <v>40.200000000000003</v>
      </c>
      <c r="AY28" s="139" t="s">
        <v>149</v>
      </c>
      <c r="AZ28" s="129" t="s">
        <v>227</v>
      </c>
      <c r="BA28" s="133" t="s">
        <v>159</v>
      </c>
      <c r="BB28" s="136" t="s">
        <v>186</v>
      </c>
      <c r="BC28">
        <v>6</v>
      </c>
      <c r="BD28" s="149">
        <v>0.12055427546683448</v>
      </c>
      <c r="BE28" s="138">
        <v>21.040478689763592</v>
      </c>
      <c r="BF28" s="133" t="s">
        <v>162</v>
      </c>
      <c r="BG28" s="147">
        <v>0.27</v>
      </c>
      <c r="BH28" s="136" t="s">
        <v>227</v>
      </c>
      <c r="BI28" s="136" t="s">
        <v>227</v>
      </c>
      <c r="BJ28" s="143" t="s">
        <v>227</v>
      </c>
      <c r="BK28" s="150">
        <v>-4.2</v>
      </c>
      <c r="BL28" s="136" t="s">
        <v>227</v>
      </c>
      <c r="BM28" s="129" t="s">
        <v>226</v>
      </c>
      <c r="BN28" s="139" t="s">
        <v>204</v>
      </c>
      <c r="BO28" s="133" t="s">
        <v>205</v>
      </c>
      <c r="BP28" s="129" t="s">
        <v>227</v>
      </c>
      <c r="BQ28" s="129" t="s">
        <v>227</v>
      </c>
      <c r="BR28" s="129" t="s">
        <v>227</v>
      </c>
      <c r="BS28" s="129" t="s">
        <v>227</v>
      </c>
      <c r="BT28" s="129" t="s">
        <v>227</v>
      </c>
      <c r="BU28" s="129">
        <v>0</v>
      </c>
      <c r="BV28" s="136" t="s">
        <v>227</v>
      </c>
      <c r="BW28" s="129" t="s">
        <v>226</v>
      </c>
      <c r="BX28" s="138">
        <v>24.345958941451617</v>
      </c>
      <c r="BY28" s="135" t="s">
        <v>156</v>
      </c>
      <c r="BZ28" s="152">
        <v>1</v>
      </c>
      <c r="CA28" s="152">
        <v>1</v>
      </c>
      <c r="CB28" s="133" t="s">
        <v>228</v>
      </c>
      <c r="CC28" s="153" t="s">
        <v>227</v>
      </c>
      <c r="CD28" s="135" t="s">
        <v>227</v>
      </c>
      <c r="CE28" s="154" t="s">
        <v>227</v>
      </c>
      <c r="CF28" s="142" t="s">
        <v>227</v>
      </c>
      <c r="CG28" s="142" t="s">
        <v>227</v>
      </c>
      <c r="CH28" s="129" t="s">
        <v>227</v>
      </c>
      <c r="CI28" s="142" t="s">
        <v>227</v>
      </c>
      <c r="CJ28" s="142" t="s">
        <v>227</v>
      </c>
      <c r="CK28" s="142" t="s">
        <v>226</v>
      </c>
      <c r="CL28" s="129" t="s">
        <v>227</v>
      </c>
      <c r="CM28" s="142" t="s">
        <v>226</v>
      </c>
      <c r="CN28" s="142" t="s">
        <v>227</v>
      </c>
      <c r="CO28" s="142" t="s">
        <v>227</v>
      </c>
      <c r="CP28" s="142" t="s">
        <v>227</v>
      </c>
      <c r="CQ28" s="142" t="s">
        <v>227</v>
      </c>
      <c r="CR28" s="142" t="s">
        <v>227</v>
      </c>
      <c r="CS28" s="142" t="s">
        <v>227</v>
      </c>
      <c r="CT28" s="142" t="s">
        <v>227</v>
      </c>
      <c r="CU28" s="155">
        <v>33.569852134536696</v>
      </c>
      <c r="CV28" s="135" t="s">
        <v>156</v>
      </c>
      <c r="CW28" s="129">
        <v>1</v>
      </c>
      <c r="CX28" s="133" t="s">
        <v>206</v>
      </c>
      <c r="CY28" s="169">
        <v>1.08798E-2</v>
      </c>
      <c r="CZ28" s="129" t="s">
        <v>227</v>
      </c>
      <c r="DA28" s="129" t="s">
        <v>227</v>
      </c>
      <c r="DB28" s="141" t="s">
        <v>207</v>
      </c>
      <c r="DC28" s="169">
        <v>5.0102600000000004E-2</v>
      </c>
      <c r="DD28" s="129" t="s">
        <v>227</v>
      </c>
      <c r="DE28" s="129" t="s">
        <v>227</v>
      </c>
      <c r="DF28" s="133" t="s">
        <v>207</v>
      </c>
      <c r="DH28" s="129" t="s">
        <v>227</v>
      </c>
      <c r="DI28" s="129" t="s">
        <v>227</v>
      </c>
      <c r="DJ28" s="129" t="s">
        <v>227</v>
      </c>
      <c r="DK28" s="156">
        <f t="shared" si="7"/>
        <v>4.326E-4</v>
      </c>
      <c r="DL28" s="129" t="s">
        <v>227</v>
      </c>
      <c r="DM28" s="129" t="s">
        <v>227</v>
      </c>
      <c r="DN28" s="133" t="s">
        <v>209</v>
      </c>
      <c r="DO28" s="129">
        <v>39.61</v>
      </c>
      <c r="DP28" s="133" t="s">
        <v>210</v>
      </c>
      <c r="DQ28" s="129" t="s">
        <v>226</v>
      </c>
      <c r="DR28" s="133" t="s">
        <v>211</v>
      </c>
      <c r="DS28" s="133" t="s">
        <v>212</v>
      </c>
      <c r="DT28" s="157" t="s">
        <v>229</v>
      </c>
      <c r="DU28" s="158">
        <f t="shared" si="8"/>
        <v>1.0194020570902858</v>
      </c>
      <c r="DV28" s="156" t="s">
        <v>227</v>
      </c>
      <c r="DW28" s="156" t="s">
        <v>226</v>
      </c>
      <c r="DX28" s="157" t="s">
        <v>232</v>
      </c>
      <c r="DY28" s="159" t="s">
        <v>213</v>
      </c>
      <c r="DZ28" s="157" t="s">
        <v>214</v>
      </c>
      <c r="EA28" s="1" t="s">
        <v>217</v>
      </c>
      <c r="EB28" s="129" t="s">
        <v>218</v>
      </c>
      <c r="EC28" s="133" t="s">
        <v>219</v>
      </c>
      <c r="ED28" s="133" t="s">
        <v>219</v>
      </c>
      <c r="EE28" s="133" t="s">
        <v>220</v>
      </c>
      <c r="EH28" s="129" t="s">
        <v>215</v>
      </c>
      <c r="EI28" s="133" t="s">
        <v>216</v>
      </c>
      <c r="EJ28" s="153" t="s">
        <v>227</v>
      </c>
      <c r="EK28">
        <v>250.8</v>
      </c>
      <c r="EL28" s="133" t="s">
        <v>221</v>
      </c>
      <c r="EM28">
        <v>25</v>
      </c>
      <c r="EN28">
        <v>25</v>
      </c>
      <c r="EO28" t="s">
        <v>227</v>
      </c>
      <c r="EP28" t="s">
        <v>227</v>
      </c>
      <c r="EQ28" t="s">
        <v>227</v>
      </c>
      <c r="ER28" t="s">
        <v>227</v>
      </c>
      <c r="ES28" s="163">
        <v>8.1958522068928108</v>
      </c>
      <c r="ET28" s="142" t="s">
        <v>222</v>
      </c>
      <c r="EU28" s="164">
        <v>2.9825186480170629E-2</v>
      </c>
      <c r="EV28" s="164">
        <v>2.9825186480170629E-2</v>
      </c>
      <c r="EW28" s="165">
        <v>248.9</v>
      </c>
      <c r="EX28" s="129">
        <v>17</v>
      </c>
      <c r="EY28" s="139" t="s">
        <v>223</v>
      </c>
      <c r="EZ28" s="148">
        <f t="shared" si="9"/>
        <v>231.9</v>
      </c>
      <c r="FA28" s="162">
        <v>49.705348728783704</v>
      </c>
      <c r="FB28" s="162">
        <v>57.114344958162654</v>
      </c>
      <c r="FC28" s="133" t="s">
        <v>224</v>
      </c>
      <c r="FD28" s="133" t="s">
        <v>225</v>
      </c>
      <c r="FE28" s="129" t="s">
        <v>227</v>
      </c>
      <c r="FF28" s="129" t="s">
        <v>227</v>
      </c>
      <c r="FG28" s="129" t="s">
        <v>227</v>
      </c>
      <c r="FH28" s="129" t="s">
        <v>227</v>
      </c>
      <c r="FI28" s="129" t="s">
        <v>227</v>
      </c>
      <c r="FJ28" s="129" t="s">
        <v>227</v>
      </c>
      <c r="FK28" s="129" t="s">
        <v>227</v>
      </c>
      <c r="FL28" s="129" t="s">
        <v>227</v>
      </c>
      <c r="FM28" s="129" t="s">
        <v>227</v>
      </c>
      <c r="FN28" s="129" t="s">
        <v>227</v>
      </c>
      <c r="FO28" s="129" t="s">
        <v>227</v>
      </c>
      <c r="FP28" s="129" t="s">
        <v>227</v>
      </c>
    </row>
    <row r="29" spans="1:172" ht="18" x14ac:dyDescent="0.2">
      <c r="A29" s="130" t="s">
        <v>152</v>
      </c>
      <c r="B29" t="s">
        <v>153</v>
      </c>
      <c r="C29">
        <v>2011</v>
      </c>
      <c r="D29" t="s">
        <v>150</v>
      </c>
      <c r="E29" s="149">
        <f t="shared" si="1"/>
        <v>3155.922</v>
      </c>
      <c r="F29">
        <f t="shared" si="2"/>
        <v>6</v>
      </c>
      <c r="G29">
        <f t="shared" si="3"/>
        <v>6</v>
      </c>
      <c r="H29" s="167">
        <f t="shared" si="4"/>
        <v>215.7</v>
      </c>
      <c r="I29" s="167">
        <f t="shared" si="5"/>
        <v>47.520673608967286</v>
      </c>
      <c r="J29" s="167">
        <f t="shared" si="6"/>
        <v>54.313641012180355</v>
      </c>
      <c r="K29" s="141" t="s">
        <v>147</v>
      </c>
      <c r="L29" s="140" t="s">
        <v>148</v>
      </c>
      <c r="M29" s="139" t="s">
        <v>149</v>
      </c>
      <c r="N29" s="128" t="s">
        <v>150</v>
      </c>
      <c r="O29" s="136" t="s">
        <v>151</v>
      </c>
      <c r="P29" s="129" t="s">
        <v>154</v>
      </c>
      <c r="Q29" s="137">
        <v>11</v>
      </c>
      <c r="R29" s="137">
        <v>7</v>
      </c>
      <c r="S29" s="137">
        <v>17</v>
      </c>
      <c r="T29" s="137">
        <v>19</v>
      </c>
      <c r="U29" s="138">
        <v>102.27</v>
      </c>
      <c r="V29" s="136" t="s">
        <v>227</v>
      </c>
      <c r="W29" s="136" t="s">
        <v>227</v>
      </c>
      <c r="X29" s="133" t="s">
        <v>155</v>
      </c>
      <c r="Y29" s="134">
        <v>12.910833330000001</v>
      </c>
      <c r="Z29" s="134">
        <v>-78.833333330000002</v>
      </c>
      <c r="AA29" s="129" t="s">
        <v>227</v>
      </c>
      <c r="AB29" s="129" t="s">
        <v>227</v>
      </c>
      <c r="AC29" s="129">
        <v>-2838.9</v>
      </c>
      <c r="AD29" s="129" t="s">
        <v>227</v>
      </c>
      <c r="AE29" s="129" t="s">
        <v>227</v>
      </c>
      <c r="AF29" s="135" t="s">
        <v>227</v>
      </c>
      <c r="AG29" s="168">
        <v>3155.922</v>
      </c>
      <c r="AH29" s="142" t="s">
        <v>156</v>
      </c>
      <c r="AI29" s="129">
        <v>6</v>
      </c>
      <c r="AJ29">
        <v>6</v>
      </c>
      <c r="AK29" s="129" t="s">
        <v>227</v>
      </c>
      <c r="AL29" t="s">
        <v>227</v>
      </c>
      <c r="AM29" s="133" t="s">
        <v>157</v>
      </c>
      <c r="AN29" t="s">
        <v>227</v>
      </c>
      <c r="AO29" t="s">
        <v>227</v>
      </c>
      <c r="AP29" t="s">
        <v>227</v>
      </c>
      <c r="AQ29" t="s">
        <v>227</v>
      </c>
      <c r="AR29" t="s">
        <v>227</v>
      </c>
      <c r="AS29" t="s">
        <v>227</v>
      </c>
      <c r="AT29" t="s">
        <v>227</v>
      </c>
      <c r="AU29" s="133" t="s">
        <v>160</v>
      </c>
      <c r="AV29" s="170" t="s">
        <v>230</v>
      </c>
      <c r="AW29" s="139" t="s">
        <v>158</v>
      </c>
      <c r="AX29" s="145">
        <v>44.47</v>
      </c>
      <c r="AY29" s="139" t="s">
        <v>149</v>
      </c>
      <c r="AZ29" s="129" t="s">
        <v>227</v>
      </c>
      <c r="BA29" s="133" t="s">
        <v>159</v>
      </c>
      <c r="BB29" s="136" t="s">
        <v>187</v>
      </c>
      <c r="BC29">
        <v>5</v>
      </c>
      <c r="BD29" s="149">
        <v>0.43166653796651888</v>
      </c>
      <c r="BE29" s="138">
        <v>21.370035767376191</v>
      </c>
      <c r="BF29" s="133" t="s">
        <v>162</v>
      </c>
      <c r="BG29" s="147">
        <v>0.43</v>
      </c>
      <c r="BH29" s="136" t="s">
        <v>227</v>
      </c>
      <c r="BI29" s="136" t="s">
        <v>227</v>
      </c>
      <c r="BJ29" s="143" t="s">
        <v>227</v>
      </c>
      <c r="BK29" s="150">
        <v>-4.2</v>
      </c>
      <c r="BL29" s="136" t="s">
        <v>227</v>
      </c>
      <c r="BM29" s="129" t="s">
        <v>226</v>
      </c>
      <c r="BN29" s="139" t="s">
        <v>204</v>
      </c>
      <c r="BO29" s="133" t="s">
        <v>205</v>
      </c>
      <c r="BP29" s="129" t="s">
        <v>227</v>
      </c>
      <c r="BQ29" s="129" t="s">
        <v>227</v>
      </c>
      <c r="BR29" s="129" t="s">
        <v>227</v>
      </c>
      <c r="BS29" s="129" t="s">
        <v>227</v>
      </c>
      <c r="BT29" s="129" t="s">
        <v>227</v>
      </c>
      <c r="BU29" s="129">
        <v>0</v>
      </c>
      <c r="BV29" s="136" t="s">
        <v>227</v>
      </c>
      <c r="BW29" s="129" t="s">
        <v>226</v>
      </c>
      <c r="BX29" s="138">
        <v>25.36475180814265</v>
      </c>
      <c r="BY29" s="135" t="s">
        <v>156</v>
      </c>
      <c r="BZ29" s="152">
        <v>1</v>
      </c>
      <c r="CA29" s="152">
        <v>1</v>
      </c>
      <c r="CB29" s="133" t="s">
        <v>228</v>
      </c>
      <c r="CC29" s="153" t="s">
        <v>227</v>
      </c>
      <c r="CD29" s="135" t="s">
        <v>227</v>
      </c>
      <c r="CE29" s="154" t="s">
        <v>227</v>
      </c>
      <c r="CF29" s="142" t="s">
        <v>227</v>
      </c>
      <c r="CG29" s="142" t="s">
        <v>227</v>
      </c>
      <c r="CH29" s="129" t="s">
        <v>227</v>
      </c>
      <c r="CI29" s="142" t="s">
        <v>227</v>
      </c>
      <c r="CJ29" s="142" t="s">
        <v>227</v>
      </c>
      <c r="CK29" s="142" t="s">
        <v>226</v>
      </c>
      <c r="CL29" s="129" t="s">
        <v>227</v>
      </c>
      <c r="CM29" s="142" t="s">
        <v>226</v>
      </c>
      <c r="CN29" s="142" t="s">
        <v>227</v>
      </c>
      <c r="CO29" s="142" t="s">
        <v>227</v>
      </c>
      <c r="CP29" s="142" t="s">
        <v>227</v>
      </c>
      <c r="CQ29" s="142" t="s">
        <v>227</v>
      </c>
      <c r="CR29" s="142" t="s">
        <v>227</v>
      </c>
      <c r="CS29" s="142" t="s">
        <v>227</v>
      </c>
      <c r="CT29" s="142" t="s">
        <v>227</v>
      </c>
      <c r="CU29" s="155">
        <v>34.862712504737097</v>
      </c>
      <c r="CV29" s="135" t="s">
        <v>156</v>
      </c>
      <c r="CW29" s="129">
        <v>1</v>
      </c>
      <c r="CX29" s="133" t="s">
        <v>206</v>
      </c>
      <c r="CY29" s="169">
        <v>1.08894E-2</v>
      </c>
      <c r="CZ29" s="129" t="s">
        <v>227</v>
      </c>
      <c r="DA29" s="129" t="s">
        <v>227</v>
      </c>
      <c r="DB29" s="141" t="s">
        <v>207</v>
      </c>
      <c r="DC29" s="169">
        <v>5.006E-2</v>
      </c>
      <c r="DD29" s="129" t="s">
        <v>227</v>
      </c>
      <c r="DE29" s="129" t="s">
        <v>227</v>
      </c>
      <c r="DF29" s="133" t="s">
        <v>207</v>
      </c>
      <c r="DH29" s="129" t="s">
        <v>227</v>
      </c>
      <c r="DI29" s="129" t="s">
        <v>227</v>
      </c>
      <c r="DJ29" s="129" t="s">
        <v>227</v>
      </c>
      <c r="DK29" s="156">
        <f t="shared" si="7"/>
        <v>4.326E-4</v>
      </c>
      <c r="DL29" s="129" t="s">
        <v>227</v>
      </c>
      <c r="DM29" s="129" t="s">
        <v>227</v>
      </c>
      <c r="DN29" s="133" t="s">
        <v>209</v>
      </c>
      <c r="DO29" s="129">
        <v>39.61</v>
      </c>
      <c r="DP29" s="133" t="s">
        <v>210</v>
      </c>
      <c r="DQ29" s="129" t="s">
        <v>226</v>
      </c>
      <c r="DR29" s="133" t="s">
        <v>211</v>
      </c>
      <c r="DS29" s="133" t="s">
        <v>212</v>
      </c>
      <c r="DT29" s="157" t="s">
        <v>229</v>
      </c>
      <c r="DU29" s="158">
        <f t="shared" si="8"/>
        <v>1.0193519273872802</v>
      </c>
      <c r="DV29" s="156" t="s">
        <v>227</v>
      </c>
      <c r="DW29" s="156" t="s">
        <v>226</v>
      </c>
      <c r="DX29" s="157" t="s">
        <v>232</v>
      </c>
      <c r="DY29" s="159" t="s">
        <v>213</v>
      </c>
      <c r="DZ29" s="157" t="s">
        <v>214</v>
      </c>
      <c r="EA29" s="1" t="s">
        <v>217</v>
      </c>
      <c r="EB29" s="129" t="s">
        <v>218</v>
      </c>
      <c r="EC29" s="133" t="s">
        <v>219</v>
      </c>
      <c r="ED29" s="133" t="s">
        <v>219</v>
      </c>
      <c r="EE29" s="133" t="s">
        <v>220</v>
      </c>
      <c r="EH29" s="129" t="s">
        <v>215</v>
      </c>
      <c r="EI29" s="133" t="s">
        <v>216</v>
      </c>
      <c r="EJ29" s="153" t="s">
        <v>227</v>
      </c>
      <c r="EK29">
        <v>262</v>
      </c>
      <c r="EL29" s="133" t="s">
        <v>221</v>
      </c>
      <c r="EM29">
        <v>25</v>
      </c>
      <c r="EN29">
        <v>25</v>
      </c>
      <c r="EO29" t="s">
        <v>227</v>
      </c>
      <c r="EP29" t="s">
        <v>227</v>
      </c>
      <c r="EQ29" t="s">
        <v>227</v>
      </c>
      <c r="ER29" t="s">
        <v>227</v>
      </c>
      <c r="ES29" s="163">
        <v>8.2085163330599116</v>
      </c>
      <c r="ET29" s="142" t="s">
        <v>222</v>
      </c>
      <c r="EU29" s="164">
        <v>5.0165632715351904E-2</v>
      </c>
      <c r="EV29" s="164">
        <v>5.0165632715351904E-2</v>
      </c>
      <c r="EW29" s="165">
        <v>232.7</v>
      </c>
      <c r="EX29" s="129">
        <v>17</v>
      </c>
      <c r="EY29" s="139" t="s">
        <v>223</v>
      </c>
      <c r="EZ29" s="148">
        <f t="shared" si="9"/>
        <v>215.7</v>
      </c>
      <c r="FA29" s="162">
        <v>47.520673608967286</v>
      </c>
      <c r="FB29" s="162">
        <v>54.313641012180355</v>
      </c>
      <c r="FC29" s="133" t="s">
        <v>224</v>
      </c>
      <c r="FD29" s="133" t="s">
        <v>225</v>
      </c>
      <c r="FE29" s="129" t="s">
        <v>227</v>
      </c>
      <c r="FF29" s="129" t="s">
        <v>227</v>
      </c>
      <c r="FG29" s="129" t="s">
        <v>227</v>
      </c>
      <c r="FH29" s="129" t="s">
        <v>227</v>
      </c>
      <c r="FI29" s="129" t="s">
        <v>227</v>
      </c>
      <c r="FJ29" s="129" t="s">
        <v>227</v>
      </c>
      <c r="FK29" s="129" t="s">
        <v>227</v>
      </c>
      <c r="FL29" s="129" t="s">
        <v>227</v>
      </c>
      <c r="FM29" s="129" t="s">
        <v>227</v>
      </c>
      <c r="FN29" s="129" t="s">
        <v>227</v>
      </c>
      <c r="FO29" s="129" t="s">
        <v>227</v>
      </c>
      <c r="FP29" s="129" t="s">
        <v>227</v>
      </c>
    </row>
    <row r="30" spans="1:172" ht="18" x14ac:dyDescent="0.2">
      <c r="A30" s="130" t="s">
        <v>152</v>
      </c>
      <c r="B30" t="s">
        <v>153</v>
      </c>
      <c r="C30">
        <v>2011</v>
      </c>
      <c r="D30" t="s">
        <v>150</v>
      </c>
      <c r="E30" s="149">
        <f t="shared" si="1"/>
        <v>3218.57</v>
      </c>
      <c r="F30">
        <f t="shared" si="2"/>
        <v>6</v>
      </c>
      <c r="G30">
        <f t="shared" si="3"/>
        <v>6</v>
      </c>
      <c r="H30" s="167">
        <f t="shared" si="4"/>
        <v>224.9</v>
      </c>
      <c r="I30" s="167">
        <f t="shared" si="5"/>
        <v>48.755384136011074</v>
      </c>
      <c r="J30" s="167">
        <f t="shared" si="6"/>
        <v>55.89833986801397</v>
      </c>
      <c r="K30" s="141" t="s">
        <v>147</v>
      </c>
      <c r="L30" s="140" t="s">
        <v>148</v>
      </c>
      <c r="M30" s="139" t="s">
        <v>149</v>
      </c>
      <c r="N30" s="128" t="s">
        <v>150</v>
      </c>
      <c r="O30" s="129" t="s">
        <v>151</v>
      </c>
      <c r="P30" s="129" t="s">
        <v>154</v>
      </c>
      <c r="Q30" s="137">
        <v>12</v>
      </c>
      <c r="R30" s="137">
        <v>1</v>
      </c>
      <c r="S30" s="137">
        <v>50</v>
      </c>
      <c r="T30" s="137">
        <v>52</v>
      </c>
      <c r="U30" s="138">
        <v>103.1</v>
      </c>
      <c r="V30" s="136" t="s">
        <v>227</v>
      </c>
      <c r="W30" s="136" t="s">
        <v>227</v>
      </c>
      <c r="X30" s="133" t="s">
        <v>155</v>
      </c>
      <c r="Y30" s="134">
        <v>12.910833330000001</v>
      </c>
      <c r="Z30" s="134">
        <v>-78.833333330000002</v>
      </c>
      <c r="AA30" s="129" t="s">
        <v>227</v>
      </c>
      <c r="AB30" s="129" t="s">
        <v>227</v>
      </c>
      <c r="AC30" s="129">
        <v>-2838.9</v>
      </c>
      <c r="AD30" s="129" t="s">
        <v>227</v>
      </c>
      <c r="AE30" s="129" t="s">
        <v>227</v>
      </c>
      <c r="AF30" s="135" t="s">
        <v>227</v>
      </c>
      <c r="AG30" s="168">
        <v>3218.57</v>
      </c>
      <c r="AH30" s="142" t="s">
        <v>156</v>
      </c>
      <c r="AI30" s="129">
        <v>6</v>
      </c>
      <c r="AJ30">
        <v>6</v>
      </c>
      <c r="AK30" s="129" t="s">
        <v>227</v>
      </c>
      <c r="AL30" t="s">
        <v>227</v>
      </c>
      <c r="AM30" s="133" t="s">
        <v>157</v>
      </c>
      <c r="AN30" t="s">
        <v>227</v>
      </c>
      <c r="AO30" t="s">
        <v>227</v>
      </c>
      <c r="AP30" t="s">
        <v>227</v>
      </c>
      <c r="AQ30" t="s">
        <v>227</v>
      </c>
      <c r="AR30" t="s">
        <v>227</v>
      </c>
      <c r="AS30" t="s">
        <v>227</v>
      </c>
      <c r="AT30" t="s">
        <v>227</v>
      </c>
      <c r="AU30" s="133" t="s">
        <v>160</v>
      </c>
      <c r="AV30" s="170" t="s">
        <v>230</v>
      </c>
      <c r="AW30" s="139" t="s">
        <v>158</v>
      </c>
      <c r="AX30" s="145">
        <v>45.77</v>
      </c>
      <c r="AY30" s="139" t="s">
        <v>149</v>
      </c>
      <c r="AZ30" s="129" t="s">
        <v>227</v>
      </c>
      <c r="BA30" s="133" t="s">
        <v>159</v>
      </c>
      <c r="BB30" s="136" t="s">
        <v>188</v>
      </c>
      <c r="BC30">
        <v>3</v>
      </c>
      <c r="BD30" s="149">
        <v>0.10088497300281137</v>
      </c>
      <c r="BE30" s="138">
        <v>21.27944617597133</v>
      </c>
      <c r="BF30" s="133" t="s">
        <v>162</v>
      </c>
      <c r="BG30" s="147">
        <v>0.39</v>
      </c>
      <c r="BH30" s="136" t="s">
        <v>227</v>
      </c>
      <c r="BI30" s="136" t="s">
        <v>227</v>
      </c>
      <c r="BJ30" s="143" t="s">
        <v>227</v>
      </c>
      <c r="BK30" s="150">
        <v>-4.2</v>
      </c>
      <c r="BL30" s="136" t="s">
        <v>227</v>
      </c>
      <c r="BM30" s="129" t="s">
        <v>226</v>
      </c>
      <c r="BN30" s="139" t="s">
        <v>204</v>
      </c>
      <c r="BO30" s="133" t="s">
        <v>205</v>
      </c>
      <c r="BP30" s="129" t="s">
        <v>227</v>
      </c>
      <c r="BQ30" s="129" t="s">
        <v>227</v>
      </c>
      <c r="BR30" s="129" t="s">
        <v>227</v>
      </c>
      <c r="BS30" s="129" t="s">
        <v>227</v>
      </c>
      <c r="BT30" s="129" t="s">
        <v>227</v>
      </c>
      <c r="BU30" s="129">
        <v>0</v>
      </c>
      <c r="BV30" s="136" t="s">
        <v>227</v>
      </c>
      <c r="BW30" s="129" t="s">
        <v>226</v>
      </c>
      <c r="BX30" s="138">
        <v>25.26358773044355</v>
      </c>
      <c r="BY30" s="135" t="s">
        <v>156</v>
      </c>
      <c r="BZ30" s="152">
        <v>1</v>
      </c>
      <c r="CA30" s="152">
        <v>1</v>
      </c>
      <c r="CB30" s="133" t="s">
        <v>228</v>
      </c>
      <c r="CC30" s="153" t="s">
        <v>227</v>
      </c>
      <c r="CD30" s="135" t="s">
        <v>227</v>
      </c>
      <c r="CE30" s="154" t="s">
        <v>227</v>
      </c>
      <c r="CF30" s="142" t="s">
        <v>227</v>
      </c>
      <c r="CG30" s="142" t="s">
        <v>227</v>
      </c>
      <c r="CH30" s="129" t="s">
        <v>227</v>
      </c>
      <c r="CI30" s="142" t="s">
        <v>227</v>
      </c>
      <c r="CJ30" s="142" t="s">
        <v>227</v>
      </c>
      <c r="CK30" s="142" t="s">
        <v>226</v>
      </c>
      <c r="CL30" s="129" t="s">
        <v>227</v>
      </c>
      <c r="CM30" s="142" t="s">
        <v>226</v>
      </c>
      <c r="CN30" s="142" t="s">
        <v>227</v>
      </c>
      <c r="CO30" s="142" t="s">
        <v>227</v>
      </c>
      <c r="CP30" s="142" t="s">
        <v>227</v>
      </c>
      <c r="CQ30" s="142" t="s">
        <v>227</v>
      </c>
      <c r="CR30" s="142" t="s">
        <v>227</v>
      </c>
      <c r="CS30" s="142" t="s">
        <v>227</v>
      </c>
      <c r="CT30" s="142" t="s">
        <v>227</v>
      </c>
      <c r="CU30" s="155">
        <v>34.134488138820196</v>
      </c>
      <c r="CV30" s="135" t="s">
        <v>156</v>
      </c>
      <c r="CW30" s="129">
        <v>1</v>
      </c>
      <c r="CX30" s="133" t="s">
        <v>206</v>
      </c>
      <c r="CY30" s="169">
        <v>1.0901300000000001E-2</v>
      </c>
      <c r="CZ30" s="129" t="s">
        <v>227</v>
      </c>
      <c r="DA30" s="129" t="s">
        <v>227</v>
      </c>
      <c r="DB30" s="141" t="s">
        <v>207</v>
      </c>
      <c r="DC30" s="169">
        <v>5.0007700000000002E-2</v>
      </c>
      <c r="DD30" s="129" t="s">
        <v>227</v>
      </c>
      <c r="DE30" s="129" t="s">
        <v>227</v>
      </c>
      <c r="DF30" s="133" t="s">
        <v>207</v>
      </c>
      <c r="DH30" s="129" t="s">
        <v>227</v>
      </c>
      <c r="DI30" s="129" t="s">
        <v>227</v>
      </c>
      <c r="DJ30" s="129" t="s">
        <v>227</v>
      </c>
      <c r="DK30" s="156">
        <f t="shared" si="7"/>
        <v>4.326E-4</v>
      </c>
      <c r="DL30" s="129" t="s">
        <v>227</v>
      </c>
      <c r="DM30" s="129" t="s">
        <v>227</v>
      </c>
      <c r="DN30" s="133" t="s">
        <v>209</v>
      </c>
      <c r="DO30" s="129">
        <v>39.61</v>
      </c>
      <c r="DP30" s="133" t="s">
        <v>210</v>
      </c>
      <c r="DQ30" s="129" t="s">
        <v>226</v>
      </c>
      <c r="DR30" s="133" t="s">
        <v>211</v>
      </c>
      <c r="DS30" s="133" t="s">
        <v>212</v>
      </c>
      <c r="DT30" s="157" t="s">
        <v>229</v>
      </c>
      <c r="DU30" s="158">
        <f t="shared" si="8"/>
        <v>1.0193569051657234</v>
      </c>
      <c r="DV30" s="156" t="s">
        <v>227</v>
      </c>
      <c r="DW30" s="156" t="s">
        <v>226</v>
      </c>
      <c r="DX30" s="157" t="s">
        <v>232</v>
      </c>
      <c r="DY30" s="159" t="s">
        <v>213</v>
      </c>
      <c r="DZ30" s="157" t="s">
        <v>214</v>
      </c>
      <c r="EA30" s="1" t="s">
        <v>217</v>
      </c>
      <c r="EB30" s="129" t="s">
        <v>218</v>
      </c>
      <c r="EC30" s="133" t="s">
        <v>219</v>
      </c>
      <c r="ED30" s="133" t="s">
        <v>219</v>
      </c>
      <c r="EE30" s="133" t="s">
        <v>220</v>
      </c>
      <c r="EH30" s="129" t="s">
        <v>215</v>
      </c>
      <c r="EI30" s="133" t="s">
        <v>216</v>
      </c>
      <c r="EJ30" s="153" t="s">
        <v>227</v>
      </c>
      <c r="EK30">
        <v>254.2</v>
      </c>
      <c r="EL30" s="133" t="s">
        <v>221</v>
      </c>
      <c r="EM30">
        <v>25</v>
      </c>
      <c r="EN30">
        <v>25</v>
      </c>
      <c r="EO30" t="s">
        <v>227</v>
      </c>
      <c r="EP30" t="s">
        <v>227</v>
      </c>
      <c r="EQ30" t="s">
        <v>227</v>
      </c>
      <c r="ER30" t="s">
        <v>227</v>
      </c>
      <c r="ES30" s="163">
        <v>8.2044956930277948</v>
      </c>
      <c r="ET30" s="142" t="s">
        <v>222</v>
      </c>
      <c r="EU30" s="164">
        <v>4.2224740881952272E-2</v>
      </c>
      <c r="EV30" s="164">
        <v>4.2224740881952272E-2</v>
      </c>
      <c r="EW30" s="165">
        <v>241.9</v>
      </c>
      <c r="EX30" s="129">
        <v>17</v>
      </c>
      <c r="EY30" s="139" t="s">
        <v>223</v>
      </c>
      <c r="EZ30" s="148">
        <f t="shared" si="9"/>
        <v>224.9</v>
      </c>
      <c r="FA30" s="162">
        <v>48.755384136011074</v>
      </c>
      <c r="FB30" s="162">
        <v>55.89833986801397</v>
      </c>
      <c r="FC30" s="133" t="s">
        <v>224</v>
      </c>
      <c r="FD30" s="133" t="s">
        <v>225</v>
      </c>
      <c r="FE30" s="129" t="s">
        <v>227</v>
      </c>
      <c r="FF30" s="129" t="s">
        <v>227</v>
      </c>
      <c r="FG30" s="129" t="s">
        <v>227</v>
      </c>
      <c r="FH30" s="129" t="s">
        <v>227</v>
      </c>
      <c r="FI30" s="129" t="s">
        <v>227</v>
      </c>
      <c r="FJ30" s="129" t="s">
        <v>227</v>
      </c>
      <c r="FK30" s="129" t="s">
        <v>227</v>
      </c>
      <c r="FL30" s="129" t="s">
        <v>227</v>
      </c>
      <c r="FM30" s="129" t="s">
        <v>227</v>
      </c>
      <c r="FN30" s="129" t="s">
        <v>227</v>
      </c>
      <c r="FO30" s="129" t="s">
        <v>227</v>
      </c>
      <c r="FP30" s="129" t="s">
        <v>227</v>
      </c>
    </row>
    <row r="31" spans="1:172" ht="18" x14ac:dyDescent="0.2">
      <c r="A31" s="130" t="s">
        <v>152</v>
      </c>
      <c r="B31" t="s">
        <v>153</v>
      </c>
      <c r="C31">
        <v>2011</v>
      </c>
      <c r="D31" t="s">
        <v>150</v>
      </c>
      <c r="E31" s="149">
        <f t="shared" si="1"/>
        <v>3239.165</v>
      </c>
      <c r="F31">
        <f t="shared" si="2"/>
        <v>6</v>
      </c>
      <c r="G31">
        <f t="shared" si="3"/>
        <v>6</v>
      </c>
      <c r="H31" s="167">
        <f t="shared" si="4"/>
        <v>313.39999999999998</v>
      </c>
      <c r="I31" s="167">
        <f t="shared" si="5"/>
        <v>61.286166922071402</v>
      </c>
      <c r="J31" s="167">
        <f t="shared" si="6"/>
        <v>71.767446659331554</v>
      </c>
      <c r="K31" s="141" t="s">
        <v>147</v>
      </c>
      <c r="L31" s="140" t="s">
        <v>148</v>
      </c>
      <c r="M31" s="139" t="s">
        <v>149</v>
      </c>
      <c r="N31" s="128" t="s">
        <v>150</v>
      </c>
      <c r="O31" s="136" t="s">
        <v>151</v>
      </c>
      <c r="P31" s="129" t="s">
        <v>154</v>
      </c>
      <c r="Q31" s="137">
        <v>12</v>
      </c>
      <c r="R31" s="137">
        <v>1</v>
      </c>
      <c r="S31" s="137">
        <v>90</v>
      </c>
      <c r="T31" s="137">
        <v>92</v>
      </c>
      <c r="U31" s="138">
        <v>103.5</v>
      </c>
      <c r="V31" s="136" t="s">
        <v>227</v>
      </c>
      <c r="W31" s="136" t="s">
        <v>227</v>
      </c>
      <c r="X31" s="133" t="s">
        <v>155</v>
      </c>
      <c r="Y31" s="134">
        <v>12.910833330000001</v>
      </c>
      <c r="Z31" s="134">
        <v>-78.833333330000002</v>
      </c>
      <c r="AA31" s="129" t="s">
        <v>227</v>
      </c>
      <c r="AB31" s="129" t="s">
        <v>227</v>
      </c>
      <c r="AC31" s="129">
        <v>-2838.9</v>
      </c>
      <c r="AD31" s="129" t="s">
        <v>227</v>
      </c>
      <c r="AE31" s="129" t="s">
        <v>227</v>
      </c>
      <c r="AF31" s="135" t="s">
        <v>227</v>
      </c>
      <c r="AG31" s="168">
        <v>3239.165</v>
      </c>
      <c r="AH31" s="142" t="s">
        <v>156</v>
      </c>
      <c r="AI31" s="129">
        <v>6</v>
      </c>
      <c r="AJ31">
        <v>6</v>
      </c>
      <c r="AK31" s="129" t="s">
        <v>227</v>
      </c>
      <c r="AL31" t="s">
        <v>227</v>
      </c>
      <c r="AM31" s="133" t="s">
        <v>157</v>
      </c>
      <c r="AN31" t="s">
        <v>227</v>
      </c>
      <c r="AO31" t="s">
        <v>227</v>
      </c>
      <c r="AP31" t="s">
        <v>227</v>
      </c>
      <c r="AQ31" t="s">
        <v>227</v>
      </c>
      <c r="AR31" t="s">
        <v>227</v>
      </c>
      <c r="AS31" t="s">
        <v>227</v>
      </c>
      <c r="AT31" t="s">
        <v>227</v>
      </c>
      <c r="AU31" s="133" t="s">
        <v>160</v>
      </c>
      <c r="AV31" s="170" t="s">
        <v>230</v>
      </c>
      <c r="AW31" s="139" t="s">
        <v>158</v>
      </c>
      <c r="AX31" s="145">
        <v>39.700000000000003</v>
      </c>
      <c r="AY31" s="139" t="s">
        <v>149</v>
      </c>
      <c r="AZ31" s="129" t="s">
        <v>227</v>
      </c>
      <c r="BA31" s="133" t="s">
        <v>159</v>
      </c>
      <c r="BB31" s="136" t="s">
        <v>189</v>
      </c>
      <c r="BC31">
        <v>6</v>
      </c>
      <c r="BD31" s="149">
        <v>0.21943361436003997</v>
      </c>
      <c r="BE31" s="138">
        <v>20.656474072710353</v>
      </c>
      <c r="BF31" s="133" t="s">
        <v>162</v>
      </c>
      <c r="BG31" s="147">
        <v>0.27</v>
      </c>
      <c r="BH31" s="136" t="s">
        <v>227</v>
      </c>
      <c r="BI31" s="136" t="s">
        <v>227</v>
      </c>
      <c r="BJ31" s="143" t="s">
        <v>227</v>
      </c>
      <c r="BK31" s="150">
        <v>-4.2</v>
      </c>
      <c r="BL31" s="136" t="s">
        <v>227</v>
      </c>
      <c r="BM31" s="129" t="s">
        <v>226</v>
      </c>
      <c r="BN31" s="139" t="s">
        <v>204</v>
      </c>
      <c r="BO31" s="133" t="s">
        <v>205</v>
      </c>
      <c r="BP31" s="129" t="s">
        <v>227</v>
      </c>
      <c r="BQ31" s="129" t="s">
        <v>227</v>
      </c>
      <c r="BR31" s="129" t="s">
        <v>227</v>
      </c>
      <c r="BS31" s="129" t="s">
        <v>227</v>
      </c>
      <c r="BT31" s="129" t="s">
        <v>227</v>
      </c>
      <c r="BU31" s="129">
        <v>0</v>
      </c>
      <c r="BV31" s="136" t="s">
        <v>227</v>
      </c>
      <c r="BW31" s="129" t="s">
        <v>226</v>
      </c>
      <c r="BX31" s="138">
        <v>25.498220213120465</v>
      </c>
      <c r="BY31" s="135" t="s">
        <v>156</v>
      </c>
      <c r="BZ31" s="152">
        <v>1</v>
      </c>
      <c r="CA31" s="152">
        <v>1</v>
      </c>
      <c r="CB31" s="133" t="s">
        <v>228</v>
      </c>
      <c r="CC31" s="153" t="s">
        <v>227</v>
      </c>
      <c r="CD31" s="135" t="s">
        <v>227</v>
      </c>
      <c r="CE31" s="154" t="s">
        <v>227</v>
      </c>
      <c r="CF31" s="142" t="s">
        <v>227</v>
      </c>
      <c r="CG31" s="142" t="s">
        <v>227</v>
      </c>
      <c r="CH31" s="129" t="s">
        <v>227</v>
      </c>
      <c r="CI31" s="142" t="s">
        <v>227</v>
      </c>
      <c r="CJ31" s="142" t="s">
        <v>227</v>
      </c>
      <c r="CK31" s="142" t="s">
        <v>226</v>
      </c>
      <c r="CL31" s="129" t="s">
        <v>227</v>
      </c>
      <c r="CM31" s="142" t="s">
        <v>226</v>
      </c>
      <c r="CN31" s="142" t="s">
        <v>227</v>
      </c>
      <c r="CO31" s="142" t="s">
        <v>227</v>
      </c>
      <c r="CP31" s="142" t="s">
        <v>227</v>
      </c>
      <c r="CQ31" s="142" t="s">
        <v>227</v>
      </c>
      <c r="CR31" s="142" t="s">
        <v>227</v>
      </c>
      <c r="CS31" s="142" t="s">
        <v>227</v>
      </c>
      <c r="CT31" s="142" t="s">
        <v>227</v>
      </c>
      <c r="CU31" s="155">
        <v>33.972672260092686</v>
      </c>
      <c r="CV31" s="135" t="s">
        <v>156</v>
      </c>
      <c r="CW31" s="129">
        <v>1</v>
      </c>
      <c r="CX31" s="133" t="s">
        <v>206</v>
      </c>
      <c r="CY31" s="169">
        <v>1.09052E-2</v>
      </c>
      <c r="CZ31" s="129" t="s">
        <v>227</v>
      </c>
      <c r="DA31" s="129" t="s">
        <v>227</v>
      </c>
      <c r="DB31" s="141" t="s">
        <v>207</v>
      </c>
      <c r="DC31" s="169">
        <v>4.9990600000000003E-2</v>
      </c>
      <c r="DD31" s="129" t="s">
        <v>227</v>
      </c>
      <c r="DE31" s="129" t="s">
        <v>227</v>
      </c>
      <c r="DF31" s="133" t="s">
        <v>207</v>
      </c>
      <c r="DH31" s="129" t="s">
        <v>227</v>
      </c>
      <c r="DI31" s="129" t="s">
        <v>227</v>
      </c>
      <c r="DJ31" s="129" t="s">
        <v>227</v>
      </c>
      <c r="DK31" s="156">
        <f t="shared" si="7"/>
        <v>4.326E-4</v>
      </c>
      <c r="DL31" s="129" t="s">
        <v>227</v>
      </c>
      <c r="DM31" s="129" t="s">
        <v>227</v>
      </c>
      <c r="DN31" s="133" t="s">
        <v>209</v>
      </c>
      <c r="DO31" s="129">
        <v>39.61</v>
      </c>
      <c r="DP31" s="133" t="s">
        <v>210</v>
      </c>
      <c r="DQ31" s="129" t="s">
        <v>226</v>
      </c>
      <c r="DR31" s="133" t="s">
        <v>211</v>
      </c>
      <c r="DS31" s="133" t="s">
        <v>212</v>
      </c>
      <c r="DT31" s="157" t="s">
        <v>229</v>
      </c>
      <c r="DU31" s="158">
        <f t="shared" si="8"/>
        <v>1.0193453600744133</v>
      </c>
      <c r="DV31" s="156" t="s">
        <v>227</v>
      </c>
      <c r="DW31" s="156" t="s">
        <v>226</v>
      </c>
      <c r="DX31" s="157" t="s">
        <v>232</v>
      </c>
      <c r="DY31" s="159" t="s">
        <v>213</v>
      </c>
      <c r="DZ31" s="157" t="s">
        <v>214</v>
      </c>
      <c r="EA31" s="1" t="s">
        <v>217</v>
      </c>
      <c r="EB31" s="129" t="s">
        <v>218</v>
      </c>
      <c r="EC31" s="133" t="s">
        <v>219</v>
      </c>
      <c r="ED31" s="133" t="s">
        <v>219</v>
      </c>
      <c r="EE31" s="133" t="s">
        <v>220</v>
      </c>
      <c r="EH31" s="129" t="s">
        <v>215</v>
      </c>
      <c r="EI31" s="133" t="s">
        <v>216</v>
      </c>
      <c r="EJ31" s="153" t="s">
        <v>227</v>
      </c>
      <c r="EK31">
        <v>252.4</v>
      </c>
      <c r="EL31" s="133" t="s">
        <v>221</v>
      </c>
      <c r="EM31">
        <v>25</v>
      </c>
      <c r="EN31">
        <v>25</v>
      </c>
      <c r="EO31" t="s">
        <v>227</v>
      </c>
      <c r="EP31" t="s">
        <v>227</v>
      </c>
      <c r="EQ31" t="s">
        <v>227</v>
      </c>
      <c r="ER31" t="s">
        <v>227</v>
      </c>
      <c r="ES31" s="163">
        <v>8.1318766330011361</v>
      </c>
      <c r="ET31" s="142" t="s">
        <v>222</v>
      </c>
      <c r="EU31" s="164">
        <v>3.3157050990237913E-2</v>
      </c>
      <c r="EV31" s="164">
        <v>3.3157050990237913E-2</v>
      </c>
      <c r="EW31" s="165">
        <v>330.4</v>
      </c>
      <c r="EX31" s="129">
        <v>17</v>
      </c>
      <c r="EY31" s="139" t="s">
        <v>223</v>
      </c>
      <c r="EZ31" s="148">
        <f t="shared" si="9"/>
        <v>313.39999999999998</v>
      </c>
      <c r="FA31" s="162">
        <v>61.286166922071402</v>
      </c>
      <c r="FB31" s="162">
        <v>71.767446659331554</v>
      </c>
      <c r="FC31" s="133" t="s">
        <v>224</v>
      </c>
      <c r="FD31" s="133" t="s">
        <v>225</v>
      </c>
      <c r="FE31" s="129" t="s">
        <v>227</v>
      </c>
      <c r="FF31" s="129" t="s">
        <v>227</v>
      </c>
      <c r="FG31" s="129" t="s">
        <v>227</v>
      </c>
      <c r="FH31" s="129" t="s">
        <v>227</v>
      </c>
      <c r="FI31" s="129" t="s">
        <v>227</v>
      </c>
      <c r="FJ31" s="129" t="s">
        <v>227</v>
      </c>
      <c r="FK31" s="129" t="s">
        <v>227</v>
      </c>
      <c r="FL31" s="129" t="s">
        <v>227</v>
      </c>
      <c r="FM31" s="129" t="s">
        <v>227</v>
      </c>
      <c r="FN31" s="129" t="s">
        <v>227</v>
      </c>
      <c r="FO31" s="129" t="s">
        <v>227</v>
      </c>
      <c r="FP31" s="129" t="s">
        <v>227</v>
      </c>
    </row>
    <row r="32" spans="1:172" ht="18" x14ac:dyDescent="0.2">
      <c r="A32" s="130" t="s">
        <v>152</v>
      </c>
      <c r="B32" t="s">
        <v>153</v>
      </c>
      <c r="C32">
        <v>2011</v>
      </c>
      <c r="D32" t="s">
        <v>150</v>
      </c>
      <c r="E32" s="149">
        <f t="shared" si="1"/>
        <v>3259.145</v>
      </c>
      <c r="F32">
        <f t="shared" si="2"/>
        <v>6</v>
      </c>
      <c r="G32">
        <f t="shared" si="3"/>
        <v>6</v>
      </c>
      <c r="H32" s="167">
        <f t="shared" si="4"/>
        <v>234.5</v>
      </c>
      <c r="I32" s="167">
        <f t="shared" si="5"/>
        <v>50.060388594676326</v>
      </c>
      <c r="J32" s="167">
        <f t="shared" si="6"/>
        <v>57.568133546259773</v>
      </c>
      <c r="K32" s="141" t="s">
        <v>147</v>
      </c>
      <c r="L32" s="140" t="s">
        <v>148</v>
      </c>
      <c r="M32" s="139" t="s">
        <v>149</v>
      </c>
      <c r="N32" s="128" t="s">
        <v>150</v>
      </c>
      <c r="O32" s="129" t="s">
        <v>151</v>
      </c>
      <c r="P32" s="129" t="s">
        <v>154</v>
      </c>
      <c r="Q32" s="137">
        <v>12</v>
      </c>
      <c r="R32" s="137">
        <v>2</v>
      </c>
      <c r="S32" s="137">
        <v>20</v>
      </c>
      <c r="T32" s="137">
        <v>22</v>
      </c>
      <c r="U32" s="138">
        <v>104.3</v>
      </c>
      <c r="V32" s="136" t="s">
        <v>227</v>
      </c>
      <c r="W32" s="136" t="s">
        <v>227</v>
      </c>
      <c r="X32" s="133" t="s">
        <v>155</v>
      </c>
      <c r="Y32" s="134">
        <v>12.910833330000001</v>
      </c>
      <c r="Z32" s="134">
        <v>-78.833333330000002</v>
      </c>
      <c r="AA32" s="129" t="s">
        <v>227</v>
      </c>
      <c r="AB32" s="129" t="s">
        <v>227</v>
      </c>
      <c r="AC32" s="129">
        <v>-2838.9</v>
      </c>
      <c r="AD32" s="129" t="s">
        <v>227</v>
      </c>
      <c r="AE32" s="129" t="s">
        <v>227</v>
      </c>
      <c r="AF32" s="135" t="s">
        <v>227</v>
      </c>
      <c r="AG32" s="168">
        <v>3259.145</v>
      </c>
      <c r="AH32" s="142" t="s">
        <v>156</v>
      </c>
      <c r="AI32" s="129">
        <v>6</v>
      </c>
      <c r="AJ32">
        <v>6</v>
      </c>
      <c r="AK32" s="129" t="s">
        <v>227</v>
      </c>
      <c r="AL32" t="s">
        <v>227</v>
      </c>
      <c r="AM32" s="133" t="s">
        <v>157</v>
      </c>
      <c r="AN32" t="s">
        <v>227</v>
      </c>
      <c r="AO32" t="s">
        <v>227</v>
      </c>
      <c r="AP32" t="s">
        <v>227</v>
      </c>
      <c r="AQ32" t="s">
        <v>227</v>
      </c>
      <c r="AR32" t="s">
        <v>227</v>
      </c>
      <c r="AS32" t="s">
        <v>227</v>
      </c>
      <c r="AT32" t="s">
        <v>227</v>
      </c>
      <c r="AU32" s="133" t="s">
        <v>160</v>
      </c>
      <c r="AV32" s="170" t="s">
        <v>230</v>
      </c>
      <c r="AW32" s="139" t="s">
        <v>158</v>
      </c>
      <c r="AX32" s="145">
        <v>32.4</v>
      </c>
      <c r="AY32" s="139" t="s">
        <v>149</v>
      </c>
      <c r="AZ32" s="129" t="s">
        <v>227</v>
      </c>
      <c r="BA32" s="133" t="s">
        <v>159</v>
      </c>
      <c r="BB32" s="136" t="s">
        <v>190</v>
      </c>
      <c r="BC32">
        <v>3</v>
      </c>
      <c r="BD32" s="149">
        <v>0.12220201853215701</v>
      </c>
      <c r="BE32" s="138">
        <v>21.232137426828501</v>
      </c>
      <c r="BF32" s="133" t="s">
        <v>162</v>
      </c>
      <c r="BG32" s="147">
        <v>0.39</v>
      </c>
      <c r="BH32" s="136" t="s">
        <v>227</v>
      </c>
      <c r="BI32" s="136" t="s">
        <v>227</v>
      </c>
      <c r="BJ32" s="143" t="s">
        <v>227</v>
      </c>
      <c r="BK32" s="150">
        <v>-4.2</v>
      </c>
      <c r="BL32" s="136" t="s">
        <v>227</v>
      </c>
      <c r="BM32" s="129" t="s">
        <v>226</v>
      </c>
      <c r="BN32" s="139" t="s">
        <v>204</v>
      </c>
      <c r="BO32" s="133" t="s">
        <v>205</v>
      </c>
      <c r="BP32" s="129" t="s">
        <v>227</v>
      </c>
      <c r="BQ32" s="129" t="s">
        <v>227</v>
      </c>
      <c r="BR32" s="129" t="s">
        <v>227</v>
      </c>
      <c r="BS32" s="129" t="s">
        <v>227</v>
      </c>
      <c r="BT32" s="129" t="s">
        <v>227</v>
      </c>
      <c r="BU32" s="129">
        <v>0</v>
      </c>
      <c r="BV32" s="136" t="s">
        <v>227</v>
      </c>
      <c r="BW32" s="129" t="s">
        <v>226</v>
      </c>
      <c r="BX32" s="138">
        <v>25.695464051547695</v>
      </c>
      <c r="BY32" s="135" t="s">
        <v>156</v>
      </c>
      <c r="BZ32" s="152">
        <v>1</v>
      </c>
      <c r="CA32" s="152">
        <v>1</v>
      </c>
      <c r="CB32" s="133" t="s">
        <v>228</v>
      </c>
      <c r="CC32" s="153" t="s">
        <v>227</v>
      </c>
      <c r="CD32" s="135" t="s">
        <v>227</v>
      </c>
      <c r="CE32" s="154" t="s">
        <v>227</v>
      </c>
      <c r="CF32" s="142" t="s">
        <v>227</v>
      </c>
      <c r="CG32" s="142" t="s">
        <v>227</v>
      </c>
      <c r="CH32" s="129" t="s">
        <v>227</v>
      </c>
      <c r="CI32" s="142" t="s">
        <v>227</v>
      </c>
      <c r="CJ32" s="142" t="s">
        <v>227</v>
      </c>
      <c r="CK32" s="142" t="s">
        <v>226</v>
      </c>
      <c r="CL32" s="129" t="s">
        <v>227</v>
      </c>
      <c r="CM32" s="142" t="s">
        <v>226</v>
      </c>
      <c r="CN32" s="142" t="s">
        <v>227</v>
      </c>
      <c r="CO32" s="142" t="s">
        <v>227</v>
      </c>
      <c r="CP32" s="142" t="s">
        <v>227</v>
      </c>
      <c r="CQ32" s="142" t="s">
        <v>227</v>
      </c>
      <c r="CR32" s="142" t="s">
        <v>227</v>
      </c>
      <c r="CS32" s="142" t="s">
        <v>227</v>
      </c>
      <c r="CT32" s="142" t="s">
        <v>227</v>
      </c>
      <c r="CU32" s="155">
        <v>34.933276444145456</v>
      </c>
      <c r="CV32" s="135" t="s">
        <v>156</v>
      </c>
      <c r="CW32" s="129">
        <v>1</v>
      </c>
      <c r="CX32" s="133" t="s">
        <v>206</v>
      </c>
      <c r="CY32" s="169">
        <v>1.0909E-2</v>
      </c>
      <c r="CZ32" s="129" t="s">
        <v>227</v>
      </c>
      <c r="DA32" s="129" t="s">
        <v>227</v>
      </c>
      <c r="DB32" s="141" t="s">
        <v>207</v>
      </c>
      <c r="DC32" s="169">
        <v>4.9973900000000002E-2</v>
      </c>
      <c r="DD32" s="129" t="s">
        <v>227</v>
      </c>
      <c r="DE32" s="129" t="s">
        <v>227</v>
      </c>
      <c r="DF32" s="133" t="s">
        <v>207</v>
      </c>
      <c r="DH32" s="129" t="s">
        <v>227</v>
      </c>
      <c r="DI32" s="129" t="s">
        <v>227</v>
      </c>
      <c r="DJ32" s="129" t="s">
        <v>227</v>
      </c>
      <c r="DK32" s="156">
        <f t="shared" si="7"/>
        <v>4.326E-4</v>
      </c>
      <c r="DL32" s="129" t="s">
        <v>227</v>
      </c>
      <c r="DM32" s="129" t="s">
        <v>227</v>
      </c>
      <c r="DN32" s="133" t="s">
        <v>209</v>
      </c>
      <c r="DO32" s="129">
        <v>39.61</v>
      </c>
      <c r="DP32" s="133" t="s">
        <v>210</v>
      </c>
      <c r="DQ32" s="129" t="s">
        <v>226</v>
      </c>
      <c r="DR32" s="133" t="s">
        <v>211</v>
      </c>
      <c r="DS32" s="133" t="s">
        <v>212</v>
      </c>
      <c r="DT32" s="157" t="s">
        <v>229</v>
      </c>
      <c r="DU32" s="158">
        <f t="shared" si="8"/>
        <v>1.0193356546913435</v>
      </c>
      <c r="DV32" s="156" t="s">
        <v>227</v>
      </c>
      <c r="DW32" s="156" t="s">
        <v>226</v>
      </c>
      <c r="DX32" s="157" t="s">
        <v>232</v>
      </c>
      <c r="DY32" s="159" t="s">
        <v>213</v>
      </c>
      <c r="DZ32" s="157" t="s">
        <v>214</v>
      </c>
      <c r="EA32" s="1" t="s">
        <v>217</v>
      </c>
      <c r="EB32" s="129" t="s">
        <v>218</v>
      </c>
      <c r="EC32" s="133" t="s">
        <v>219</v>
      </c>
      <c r="ED32" s="133" t="s">
        <v>219</v>
      </c>
      <c r="EE32" s="133" t="s">
        <v>220</v>
      </c>
      <c r="EH32" s="129" t="s">
        <v>215</v>
      </c>
      <c r="EI32" s="133" t="s">
        <v>216</v>
      </c>
      <c r="EJ32" s="153" t="s">
        <v>227</v>
      </c>
      <c r="EK32">
        <v>261.2</v>
      </c>
      <c r="EL32" s="133" t="s">
        <v>221</v>
      </c>
      <c r="EM32">
        <v>25</v>
      </c>
      <c r="EN32">
        <v>25</v>
      </c>
      <c r="EO32" t="s">
        <v>227</v>
      </c>
      <c r="EP32" t="s">
        <v>227</v>
      </c>
      <c r="EQ32" t="s">
        <v>227</v>
      </c>
      <c r="ER32" t="s">
        <v>227</v>
      </c>
      <c r="ES32" s="163">
        <v>8.1881328739501882</v>
      </c>
      <c r="ET32" s="142" t="s">
        <v>222</v>
      </c>
      <c r="EU32" s="164">
        <v>3.2721611813343543E-2</v>
      </c>
      <c r="EV32" s="164">
        <v>3.2721611813343543E-2</v>
      </c>
      <c r="EW32" s="165">
        <v>251.5</v>
      </c>
      <c r="EX32" s="129">
        <v>17</v>
      </c>
      <c r="EY32" s="139" t="s">
        <v>223</v>
      </c>
      <c r="EZ32" s="148">
        <f t="shared" si="9"/>
        <v>234.5</v>
      </c>
      <c r="FA32" s="162">
        <v>50.060388594676326</v>
      </c>
      <c r="FB32" s="162">
        <v>57.568133546259773</v>
      </c>
      <c r="FC32" s="133" t="s">
        <v>224</v>
      </c>
      <c r="FD32" s="133" t="s">
        <v>225</v>
      </c>
      <c r="FE32" s="129" t="s">
        <v>227</v>
      </c>
      <c r="FF32" s="129" t="s">
        <v>227</v>
      </c>
      <c r="FG32" s="129" t="s">
        <v>227</v>
      </c>
      <c r="FH32" s="129" t="s">
        <v>227</v>
      </c>
      <c r="FI32" s="129" t="s">
        <v>227</v>
      </c>
      <c r="FJ32" s="129" t="s">
        <v>227</v>
      </c>
      <c r="FK32" s="129" t="s">
        <v>227</v>
      </c>
      <c r="FL32" s="129" t="s">
        <v>227</v>
      </c>
      <c r="FM32" s="129" t="s">
        <v>227</v>
      </c>
      <c r="FN32" s="129" t="s">
        <v>227</v>
      </c>
      <c r="FO32" s="129" t="s">
        <v>227</v>
      </c>
      <c r="FP32" s="129" t="s">
        <v>227</v>
      </c>
    </row>
    <row r="33" spans="1:172" ht="18" x14ac:dyDescent="0.2">
      <c r="A33" s="130" t="s">
        <v>152</v>
      </c>
      <c r="B33" t="s">
        <v>153</v>
      </c>
      <c r="C33">
        <v>2011</v>
      </c>
      <c r="D33" t="s">
        <v>150</v>
      </c>
      <c r="E33" s="149">
        <f t="shared" si="1"/>
        <v>3321.5949999999998</v>
      </c>
      <c r="F33">
        <f t="shared" si="2"/>
        <v>6</v>
      </c>
      <c r="G33">
        <f t="shared" si="3"/>
        <v>6</v>
      </c>
      <c r="H33" s="167">
        <f t="shared" si="4"/>
        <v>256.60000000000002</v>
      </c>
      <c r="I33" s="167">
        <f t="shared" si="5"/>
        <v>53.122318624096224</v>
      </c>
      <c r="J33" s="167">
        <f t="shared" si="6"/>
        <v>61.467702088169844</v>
      </c>
      <c r="K33" s="141" t="s">
        <v>147</v>
      </c>
      <c r="L33" s="140" t="s">
        <v>148</v>
      </c>
      <c r="M33" s="139" t="s">
        <v>149</v>
      </c>
      <c r="N33" s="128" t="s">
        <v>150</v>
      </c>
      <c r="O33" s="136" t="s">
        <v>151</v>
      </c>
      <c r="P33" s="129" t="s">
        <v>154</v>
      </c>
      <c r="Q33" s="137">
        <v>12</v>
      </c>
      <c r="R33" s="137">
        <v>3</v>
      </c>
      <c r="S33" s="137">
        <v>90</v>
      </c>
      <c r="T33" s="137">
        <v>92</v>
      </c>
      <c r="U33" s="138">
        <v>106.5</v>
      </c>
      <c r="V33" s="136" t="s">
        <v>227</v>
      </c>
      <c r="W33" s="136" t="s">
        <v>227</v>
      </c>
      <c r="X33" s="133" t="s">
        <v>155</v>
      </c>
      <c r="Y33" s="134">
        <v>12.910833330000001</v>
      </c>
      <c r="Z33" s="134">
        <v>-78.833333330000002</v>
      </c>
      <c r="AA33" s="129" t="s">
        <v>227</v>
      </c>
      <c r="AB33" s="129" t="s">
        <v>227</v>
      </c>
      <c r="AC33" s="129">
        <v>-2838.9</v>
      </c>
      <c r="AD33" s="129" t="s">
        <v>227</v>
      </c>
      <c r="AE33" s="129" t="s">
        <v>227</v>
      </c>
      <c r="AF33" s="135" t="s">
        <v>227</v>
      </c>
      <c r="AG33" s="168">
        <v>3321.5949999999998</v>
      </c>
      <c r="AH33" s="142" t="s">
        <v>156</v>
      </c>
      <c r="AI33" s="129">
        <v>6</v>
      </c>
      <c r="AJ33">
        <v>6</v>
      </c>
      <c r="AK33" s="129" t="s">
        <v>227</v>
      </c>
      <c r="AL33" t="s">
        <v>227</v>
      </c>
      <c r="AM33" s="133" t="s">
        <v>157</v>
      </c>
      <c r="AN33" t="s">
        <v>227</v>
      </c>
      <c r="AO33" t="s">
        <v>227</v>
      </c>
      <c r="AP33" t="s">
        <v>227</v>
      </c>
      <c r="AQ33" t="s">
        <v>227</v>
      </c>
      <c r="AR33" t="s">
        <v>227</v>
      </c>
      <c r="AS33" t="s">
        <v>227</v>
      </c>
      <c r="AT33" t="s">
        <v>227</v>
      </c>
      <c r="AU33" s="133" t="s">
        <v>160</v>
      </c>
      <c r="AV33" s="170" t="s">
        <v>230</v>
      </c>
      <c r="AW33" s="139" t="s">
        <v>158</v>
      </c>
      <c r="AX33" s="145">
        <v>52.51</v>
      </c>
      <c r="AY33" s="139" t="s">
        <v>149</v>
      </c>
      <c r="AZ33" s="129" t="s">
        <v>227</v>
      </c>
      <c r="BA33" s="133" t="s">
        <v>159</v>
      </c>
      <c r="BB33" s="136" t="s">
        <v>191</v>
      </c>
      <c r="BC33">
        <v>4</v>
      </c>
      <c r="BD33" s="149">
        <v>8.220908303425592E-2</v>
      </c>
      <c r="BE33" s="138">
        <v>20.921986098270175</v>
      </c>
      <c r="BF33" s="133" t="s">
        <v>162</v>
      </c>
      <c r="BG33" s="147">
        <v>0.33</v>
      </c>
      <c r="BH33" s="136" t="s">
        <v>227</v>
      </c>
      <c r="BI33" s="136" t="s">
        <v>227</v>
      </c>
      <c r="BJ33" s="143" t="s">
        <v>227</v>
      </c>
      <c r="BK33" s="150">
        <v>-4.2</v>
      </c>
      <c r="BL33" s="136" t="s">
        <v>227</v>
      </c>
      <c r="BM33" s="129" t="s">
        <v>226</v>
      </c>
      <c r="BN33" s="139" t="s">
        <v>204</v>
      </c>
      <c r="BO33" s="133" t="s">
        <v>205</v>
      </c>
      <c r="BP33" s="129" t="s">
        <v>227</v>
      </c>
      <c r="BQ33" s="129" t="s">
        <v>227</v>
      </c>
      <c r="BR33" s="129" t="s">
        <v>227</v>
      </c>
      <c r="BS33" s="129" t="s">
        <v>227</v>
      </c>
      <c r="BT33" s="129" t="s">
        <v>227</v>
      </c>
      <c r="BU33" s="129">
        <v>0</v>
      </c>
      <c r="BV33" s="136" t="s">
        <v>227</v>
      </c>
      <c r="BW33" s="129" t="s">
        <v>226</v>
      </c>
      <c r="BX33" s="138">
        <v>24.160460290649727</v>
      </c>
      <c r="BY33" s="135" t="s">
        <v>156</v>
      </c>
      <c r="BZ33" s="152">
        <v>1</v>
      </c>
      <c r="CA33" s="152">
        <v>1</v>
      </c>
      <c r="CB33" s="133" t="s">
        <v>228</v>
      </c>
      <c r="CC33" s="153" t="s">
        <v>227</v>
      </c>
      <c r="CD33" s="135" t="s">
        <v>227</v>
      </c>
      <c r="CE33" s="154" t="s">
        <v>227</v>
      </c>
      <c r="CF33" s="142" t="s">
        <v>227</v>
      </c>
      <c r="CG33" s="142" t="s">
        <v>227</v>
      </c>
      <c r="CH33" s="129" t="s">
        <v>227</v>
      </c>
      <c r="CI33" s="142" t="s">
        <v>227</v>
      </c>
      <c r="CJ33" s="142" t="s">
        <v>227</v>
      </c>
      <c r="CK33" s="142" t="s">
        <v>226</v>
      </c>
      <c r="CL33" s="129" t="s">
        <v>227</v>
      </c>
      <c r="CM33" s="142" t="s">
        <v>226</v>
      </c>
      <c r="CN33" s="142" t="s">
        <v>227</v>
      </c>
      <c r="CO33" s="142" t="s">
        <v>227</v>
      </c>
      <c r="CP33" s="142" t="s">
        <v>227</v>
      </c>
      <c r="CQ33" s="142" t="s">
        <v>227</v>
      </c>
      <c r="CR33" s="142" t="s">
        <v>227</v>
      </c>
      <c r="CS33" s="142" t="s">
        <v>227</v>
      </c>
      <c r="CT33" s="142" t="s">
        <v>227</v>
      </c>
      <c r="CU33" s="155">
        <v>34.0763224397569</v>
      </c>
      <c r="CV33" s="135" t="s">
        <v>156</v>
      </c>
      <c r="CW33" s="129">
        <v>1</v>
      </c>
      <c r="CX33" s="133" t="s">
        <v>206</v>
      </c>
      <c r="CY33" s="169">
        <v>1.09208E-2</v>
      </c>
      <c r="CZ33" s="129" t="s">
        <v>227</v>
      </c>
      <c r="DA33" s="129" t="s">
        <v>227</v>
      </c>
      <c r="DB33" s="141" t="s">
        <v>207</v>
      </c>
      <c r="DC33" s="169">
        <v>4.9921999999999994E-2</v>
      </c>
      <c r="DD33" s="129" t="s">
        <v>227</v>
      </c>
      <c r="DE33" s="129" t="s">
        <v>227</v>
      </c>
      <c r="DF33" s="133" t="s">
        <v>207</v>
      </c>
      <c r="DH33" s="129" t="s">
        <v>227</v>
      </c>
      <c r="DI33" s="129" t="s">
        <v>227</v>
      </c>
      <c r="DJ33" s="129" t="s">
        <v>227</v>
      </c>
      <c r="DK33" s="156">
        <f t="shared" si="7"/>
        <v>4.326E-4</v>
      </c>
      <c r="DL33" s="129" t="s">
        <v>227</v>
      </c>
      <c r="DM33" s="129" t="s">
        <v>227</v>
      </c>
      <c r="DN33" s="133" t="s">
        <v>209</v>
      </c>
      <c r="DO33" s="129">
        <v>39.61</v>
      </c>
      <c r="DP33" s="133" t="s">
        <v>210</v>
      </c>
      <c r="DQ33" s="129" t="s">
        <v>226</v>
      </c>
      <c r="DR33" s="133" t="s">
        <v>211</v>
      </c>
      <c r="DS33" s="133" t="s">
        <v>212</v>
      </c>
      <c r="DT33" s="157" t="s">
        <v>229</v>
      </c>
      <c r="DU33" s="158">
        <f t="shared" si="8"/>
        <v>1.0194111845513985</v>
      </c>
      <c r="DV33" s="156" t="s">
        <v>227</v>
      </c>
      <c r="DW33" s="156" t="s">
        <v>226</v>
      </c>
      <c r="DX33" s="157" t="s">
        <v>232</v>
      </c>
      <c r="DY33" s="159" t="s">
        <v>213</v>
      </c>
      <c r="DZ33" s="157" t="s">
        <v>214</v>
      </c>
      <c r="EA33" s="1" t="s">
        <v>217</v>
      </c>
      <c r="EB33" s="129" t="s">
        <v>218</v>
      </c>
      <c r="EC33" s="133" t="s">
        <v>219</v>
      </c>
      <c r="ED33" s="133" t="s">
        <v>219</v>
      </c>
      <c r="EE33" s="133" t="s">
        <v>220</v>
      </c>
      <c r="EH33" s="129" t="s">
        <v>215</v>
      </c>
      <c r="EI33" s="133" t="s">
        <v>216</v>
      </c>
      <c r="EJ33" s="153" t="s">
        <v>227</v>
      </c>
      <c r="EK33">
        <v>252.90000000000003</v>
      </c>
      <c r="EL33" s="133" t="s">
        <v>221</v>
      </c>
      <c r="EM33">
        <v>25</v>
      </c>
      <c r="EN33">
        <v>25</v>
      </c>
      <c r="EO33" t="s">
        <v>227</v>
      </c>
      <c r="EP33" t="s">
        <v>227</v>
      </c>
      <c r="EQ33" t="s">
        <v>227</v>
      </c>
      <c r="ER33" t="s">
        <v>227</v>
      </c>
      <c r="ES33" s="163">
        <v>8.1826241420819894</v>
      </c>
      <c r="ET33" s="142" t="s">
        <v>222</v>
      </c>
      <c r="EU33" s="164">
        <v>3.6930005444719249E-2</v>
      </c>
      <c r="EV33" s="164">
        <v>3.6930005444719249E-2</v>
      </c>
      <c r="EW33" s="165">
        <v>273.60000000000002</v>
      </c>
      <c r="EX33" s="129">
        <v>17</v>
      </c>
      <c r="EY33" s="139" t="s">
        <v>223</v>
      </c>
      <c r="EZ33" s="148">
        <f t="shared" si="9"/>
        <v>256.60000000000002</v>
      </c>
      <c r="FA33" s="162">
        <v>53.122318624096224</v>
      </c>
      <c r="FB33" s="162">
        <v>61.467702088169844</v>
      </c>
      <c r="FC33" s="133" t="s">
        <v>224</v>
      </c>
      <c r="FD33" s="133" t="s">
        <v>225</v>
      </c>
      <c r="FE33" s="129" t="s">
        <v>227</v>
      </c>
      <c r="FF33" s="129" t="s">
        <v>227</v>
      </c>
      <c r="FG33" s="129" t="s">
        <v>227</v>
      </c>
      <c r="FH33" s="129" t="s">
        <v>227</v>
      </c>
      <c r="FI33" s="129" t="s">
        <v>227</v>
      </c>
      <c r="FJ33" s="129" t="s">
        <v>227</v>
      </c>
      <c r="FK33" s="129" t="s">
        <v>227</v>
      </c>
      <c r="FL33" s="129" t="s">
        <v>227</v>
      </c>
      <c r="FM33" s="129" t="s">
        <v>227</v>
      </c>
      <c r="FN33" s="129" t="s">
        <v>227</v>
      </c>
      <c r="FO33" s="129" t="s">
        <v>227</v>
      </c>
      <c r="FP33" s="129" t="s">
        <v>227</v>
      </c>
    </row>
    <row r="34" spans="1:172" ht="18" x14ac:dyDescent="0.2">
      <c r="A34" s="130" t="s">
        <v>152</v>
      </c>
      <c r="B34" t="s">
        <v>153</v>
      </c>
      <c r="C34">
        <v>2011</v>
      </c>
      <c r="D34" t="s">
        <v>150</v>
      </c>
      <c r="E34" s="149">
        <f t="shared" si="1"/>
        <v>3403.2429999999999</v>
      </c>
      <c r="F34">
        <f t="shared" si="2"/>
        <v>6</v>
      </c>
      <c r="G34">
        <f t="shared" si="3"/>
        <v>6</v>
      </c>
      <c r="H34" s="167">
        <f t="shared" si="4"/>
        <v>237.8</v>
      </c>
      <c r="I34" s="167">
        <f t="shared" si="5"/>
        <v>50.512669341463237</v>
      </c>
      <c r="J34" s="167">
        <f t="shared" si="6"/>
        <v>58.14569287574102</v>
      </c>
      <c r="K34" s="141" t="s">
        <v>147</v>
      </c>
      <c r="L34" s="140" t="s">
        <v>148</v>
      </c>
      <c r="M34" s="139" t="s">
        <v>149</v>
      </c>
      <c r="N34" s="128" t="s">
        <v>150</v>
      </c>
      <c r="O34" s="129" t="s">
        <v>151</v>
      </c>
      <c r="P34" s="129" t="s">
        <v>154</v>
      </c>
      <c r="Q34" s="137">
        <v>12</v>
      </c>
      <c r="R34" s="137">
        <v>5</v>
      </c>
      <c r="S34" s="137">
        <v>12</v>
      </c>
      <c r="T34" s="137">
        <v>14</v>
      </c>
      <c r="U34" s="138">
        <v>108.72</v>
      </c>
      <c r="V34" s="136" t="s">
        <v>227</v>
      </c>
      <c r="W34" s="136" t="s">
        <v>227</v>
      </c>
      <c r="X34" s="133" t="s">
        <v>155</v>
      </c>
      <c r="Y34" s="134">
        <v>12.910833330000001</v>
      </c>
      <c r="Z34" s="134">
        <v>-78.833333330000002</v>
      </c>
      <c r="AA34" s="129" t="s">
        <v>227</v>
      </c>
      <c r="AB34" s="129" t="s">
        <v>227</v>
      </c>
      <c r="AC34" s="129">
        <v>-2838.9</v>
      </c>
      <c r="AD34" s="129" t="s">
        <v>227</v>
      </c>
      <c r="AE34" s="129" t="s">
        <v>227</v>
      </c>
      <c r="AF34" s="135" t="s">
        <v>227</v>
      </c>
      <c r="AG34" s="168">
        <v>3403.2429999999999</v>
      </c>
      <c r="AH34" s="142" t="s">
        <v>156</v>
      </c>
      <c r="AI34" s="129">
        <v>6</v>
      </c>
      <c r="AJ34">
        <v>6</v>
      </c>
      <c r="AK34" s="129" t="s">
        <v>227</v>
      </c>
      <c r="AL34" t="s">
        <v>227</v>
      </c>
      <c r="AM34" s="133" t="s">
        <v>157</v>
      </c>
      <c r="AN34" t="s">
        <v>227</v>
      </c>
      <c r="AO34" t="s">
        <v>227</v>
      </c>
      <c r="AP34" t="s">
        <v>227</v>
      </c>
      <c r="AQ34" t="s">
        <v>227</v>
      </c>
      <c r="AR34" t="s">
        <v>227</v>
      </c>
      <c r="AS34" t="s">
        <v>227</v>
      </c>
      <c r="AT34" t="s">
        <v>227</v>
      </c>
      <c r="AU34" s="133" t="s">
        <v>160</v>
      </c>
      <c r="AV34" s="170" t="s">
        <v>230</v>
      </c>
      <c r="AW34" s="139" t="s">
        <v>158</v>
      </c>
      <c r="AX34" s="145">
        <v>41.07</v>
      </c>
      <c r="AY34" s="139" t="s">
        <v>149</v>
      </c>
      <c r="AZ34" s="129" t="s">
        <v>227</v>
      </c>
      <c r="BA34" s="133" t="s">
        <v>159</v>
      </c>
      <c r="BB34" s="136" t="s">
        <v>192</v>
      </c>
      <c r="BC34">
        <v>5</v>
      </c>
      <c r="BD34" s="149">
        <v>0.20527055317312307</v>
      </c>
      <c r="BE34" s="138">
        <v>21.100911422472315</v>
      </c>
      <c r="BF34" s="133" t="s">
        <v>162</v>
      </c>
      <c r="BG34" s="147">
        <v>0.3</v>
      </c>
      <c r="BH34" s="136" t="s">
        <v>227</v>
      </c>
      <c r="BI34" s="136" t="s">
        <v>227</v>
      </c>
      <c r="BJ34" s="143" t="s">
        <v>227</v>
      </c>
      <c r="BK34" s="150">
        <v>-4.2</v>
      </c>
      <c r="BL34" s="136" t="s">
        <v>227</v>
      </c>
      <c r="BM34" s="129" t="s">
        <v>226</v>
      </c>
      <c r="BN34" s="139" t="s">
        <v>204</v>
      </c>
      <c r="BO34" s="133" t="s">
        <v>205</v>
      </c>
      <c r="BP34" s="129" t="s">
        <v>227</v>
      </c>
      <c r="BQ34" s="129" t="s">
        <v>227</v>
      </c>
      <c r="BR34" s="129" t="s">
        <v>227</v>
      </c>
      <c r="BS34" s="129" t="s">
        <v>227</v>
      </c>
      <c r="BT34" s="129" t="s">
        <v>227</v>
      </c>
      <c r="BU34" s="129">
        <v>0</v>
      </c>
      <c r="BV34" s="136" t="s">
        <v>227</v>
      </c>
      <c r="BW34" s="129" t="s">
        <v>226</v>
      </c>
      <c r="BX34" s="138">
        <v>24.919563001510586</v>
      </c>
      <c r="BY34" s="135" t="s">
        <v>156</v>
      </c>
      <c r="BZ34" s="152">
        <v>1</v>
      </c>
      <c r="CA34" s="152">
        <v>1</v>
      </c>
      <c r="CB34" s="133" t="s">
        <v>228</v>
      </c>
      <c r="CC34" s="153" t="s">
        <v>227</v>
      </c>
      <c r="CD34" s="135" t="s">
        <v>227</v>
      </c>
      <c r="CE34" s="154" t="s">
        <v>227</v>
      </c>
      <c r="CF34" s="142" t="s">
        <v>227</v>
      </c>
      <c r="CG34" s="142" t="s">
        <v>227</v>
      </c>
      <c r="CH34" s="129" t="s">
        <v>227</v>
      </c>
      <c r="CI34" s="142" t="s">
        <v>227</v>
      </c>
      <c r="CJ34" s="142" t="s">
        <v>227</v>
      </c>
      <c r="CK34" s="142" t="s">
        <v>226</v>
      </c>
      <c r="CL34" s="129" t="s">
        <v>227</v>
      </c>
      <c r="CM34" s="142" t="s">
        <v>226</v>
      </c>
      <c r="CN34" s="142" t="s">
        <v>227</v>
      </c>
      <c r="CO34" s="142" t="s">
        <v>227</v>
      </c>
      <c r="CP34" s="142" t="s">
        <v>227</v>
      </c>
      <c r="CQ34" s="142" t="s">
        <v>227</v>
      </c>
      <c r="CR34" s="142" t="s">
        <v>227</v>
      </c>
      <c r="CS34" s="142" t="s">
        <v>227</v>
      </c>
      <c r="CT34" s="142" t="s">
        <v>227</v>
      </c>
      <c r="CU34" s="155">
        <v>34.380288277384338</v>
      </c>
      <c r="CV34" s="135" t="s">
        <v>156</v>
      </c>
      <c r="CW34" s="129">
        <v>1</v>
      </c>
      <c r="CX34" s="133" t="s">
        <v>206</v>
      </c>
      <c r="CY34" s="169">
        <v>1.0936299999999999E-2</v>
      </c>
      <c r="CZ34" s="129" t="s">
        <v>227</v>
      </c>
      <c r="DA34" s="129" t="s">
        <v>227</v>
      </c>
      <c r="DB34" s="141" t="s">
        <v>207</v>
      </c>
      <c r="DC34" s="169">
        <v>4.9854200000000001E-2</v>
      </c>
      <c r="DD34" s="129" t="s">
        <v>227</v>
      </c>
      <c r="DE34" s="129" t="s">
        <v>227</v>
      </c>
      <c r="DF34" s="133" t="s">
        <v>207</v>
      </c>
      <c r="DH34" s="129" t="s">
        <v>227</v>
      </c>
      <c r="DI34" s="129" t="s">
        <v>227</v>
      </c>
      <c r="DJ34" s="129" t="s">
        <v>227</v>
      </c>
      <c r="DK34" s="156">
        <f t="shared" si="7"/>
        <v>4.326E-4</v>
      </c>
      <c r="DL34" s="129" t="s">
        <v>227</v>
      </c>
      <c r="DM34" s="129" t="s">
        <v>227</v>
      </c>
      <c r="DN34" s="133" t="s">
        <v>209</v>
      </c>
      <c r="DO34" s="129">
        <v>39.61</v>
      </c>
      <c r="DP34" s="133" t="s">
        <v>210</v>
      </c>
      <c r="DQ34" s="129" t="s">
        <v>226</v>
      </c>
      <c r="DR34" s="133" t="s">
        <v>211</v>
      </c>
      <c r="DS34" s="133" t="s">
        <v>212</v>
      </c>
      <c r="DT34" s="157" t="s">
        <v>229</v>
      </c>
      <c r="DU34" s="158">
        <f t="shared" si="8"/>
        <v>1.0193738329025106</v>
      </c>
      <c r="DV34" s="156" t="s">
        <v>227</v>
      </c>
      <c r="DW34" s="156" t="s">
        <v>226</v>
      </c>
      <c r="DX34" s="157" t="s">
        <v>232</v>
      </c>
      <c r="DY34" s="159" t="s">
        <v>213</v>
      </c>
      <c r="DZ34" s="157" t="s">
        <v>214</v>
      </c>
      <c r="EA34" s="1" t="s">
        <v>217</v>
      </c>
      <c r="EB34" s="129" t="s">
        <v>218</v>
      </c>
      <c r="EC34" s="133" t="s">
        <v>219</v>
      </c>
      <c r="ED34" s="133" t="s">
        <v>219</v>
      </c>
      <c r="EE34" s="133" t="s">
        <v>220</v>
      </c>
      <c r="EH34" s="129" t="s">
        <v>215</v>
      </c>
      <c r="EI34" s="133" t="s">
        <v>216</v>
      </c>
      <c r="EJ34" s="153" t="s">
        <v>227</v>
      </c>
      <c r="EK34">
        <v>254.4</v>
      </c>
      <c r="EL34" s="133" t="s">
        <v>221</v>
      </c>
      <c r="EM34">
        <v>25</v>
      </c>
      <c r="EN34">
        <v>25</v>
      </c>
      <c r="EO34" t="s">
        <v>227</v>
      </c>
      <c r="EP34" t="s">
        <v>227</v>
      </c>
      <c r="EQ34" t="s">
        <v>227</v>
      </c>
      <c r="ER34" t="s">
        <v>227</v>
      </c>
      <c r="ES34" s="163">
        <v>8.1889067639544759</v>
      </c>
      <c r="ET34" s="142" t="s">
        <v>222</v>
      </c>
      <c r="EU34" s="164">
        <v>3.3039809427281241E-2</v>
      </c>
      <c r="EV34" s="164">
        <v>3.3039809427281241E-2</v>
      </c>
      <c r="EW34" s="165">
        <v>254.8</v>
      </c>
      <c r="EX34" s="129">
        <v>17</v>
      </c>
      <c r="EY34" s="139" t="s">
        <v>223</v>
      </c>
      <c r="EZ34" s="148">
        <f t="shared" si="9"/>
        <v>237.8</v>
      </c>
      <c r="FA34" s="162">
        <v>50.512669341463237</v>
      </c>
      <c r="FB34" s="162">
        <v>58.14569287574102</v>
      </c>
      <c r="FC34" s="133" t="s">
        <v>224</v>
      </c>
      <c r="FD34" s="133" t="s">
        <v>225</v>
      </c>
      <c r="FE34" s="129" t="s">
        <v>227</v>
      </c>
      <c r="FF34" s="129" t="s">
        <v>227</v>
      </c>
      <c r="FG34" s="129" t="s">
        <v>227</v>
      </c>
      <c r="FH34" s="129" t="s">
        <v>227</v>
      </c>
      <c r="FI34" s="129" t="s">
        <v>227</v>
      </c>
      <c r="FJ34" s="129" t="s">
        <v>227</v>
      </c>
      <c r="FK34" s="129" t="s">
        <v>227</v>
      </c>
      <c r="FL34" s="129" t="s">
        <v>227</v>
      </c>
      <c r="FM34" s="129" t="s">
        <v>227</v>
      </c>
      <c r="FN34" s="129" t="s">
        <v>227</v>
      </c>
      <c r="FO34" s="129" t="s">
        <v>227</v>
      </c>
      <c r="FP34" s="129" t="s">
        <v>227</v>
      </c>
    </row>
    <row r="35" spans="1:172" ht="18" x14ac:dyDescent="0.2">
      <c r="A35" s="130" t="s">
        <v>152</v>
      </c>
      <c r="B35" t="s">
        <v>153</v>
      </c>
      <c r="C35">
        <v>2011</v>
      </c>
      <c r="D35" t="s">
        <v>150</v>
      </c>
      <c r="E35" s="149">
        <f t="shared" si="1"/>
        <v>3406.73</v>
      </c>
      <c r="F35">
        <f t="shared" si="2"/>
        <v>6</v>
      </c>
      <c r="G35">
        <f t="shared" si="3"/>
        <v>6</v>
      </c>
      <c r="H35" s="167">
        <f t="shared" si="4"/>
        <v>233.5</v>
      </c>
      <c r="I35" s="167">
        <f t="shared" si="5"/>
        <v>49.923697341543125</v>
      </c>
      <c r="J35" s="167">
        <f t="shared" si="6"/>
        <v>57.393466527123103</v>
      </c>
      <c r="K35" s="141" t="s">
        <v>147</v>
      </c>
      <c r="L35" s="140" t="s">
        <v>148</v>
      </c>
      <c r="M35" s="139" t="s">
        <v>149</v>
      </c>
      <c r="N35" s="128" t="s">
        <v>150</v>
      </c>
      <c r="O35" s="136" t="s">
        <v>151</v>
      </c>
      <c r="P35" s="129" t="s">
        <v>154</v>
      </c>
      <c r="Q35" s="137">
        <v>12</v>
      </c>
      <c r="R35" s="137">
        <v>5</v>
      </c>
      <c r="S35" s="137">
        <v>20</v>
      </c>
      <c r="T35" s="137">
        <v>22</v>
      </c>
      <c r="U35" s="138">
        <v>108.8</v>
      </c>
      <c r="V35" s="136" t="s">
        <v>227</v>
      </c>
      <c r="W35" s="136" t="s">
        <v>227</v>
      </c>
      <c r="X35" s="133" t="s">
        <v>155</v>
      </c>
      <c r="Y35" s="134">
        <v>12.910833330000001</v>
      </c>
      <c r="Z35" s="134">
        <v>-78.833333330000002</v>
      </c>
      <c r="AA35" s="129" t="s">
        <v>227</v>
      </c>
      <c r="AB35" s="129" t="s">
        <v>227</v>
      </c>
      <c r="AC35" s="129">
        <v>-2838.9</v>
      </c>
      <c r="AD35" s="129" t="s">
        <v>227</v>
      </c>
      <c r="AE35" s="129" t="s">
        <v>227</v>
      </c>
      <c r="AF35" s="135" t="s">
        <v>227</v>
      </c>
      <c r="AG35" s="168">
        <v>3406.73</v>
      </c>
      <c r="AH35" s="142" t="s">
        <v>156</v>
      </c>
      <c r="AI35" s="129">
        <v>6</v>
      </c>
      <c r="AJ35">
        <v>6</v>
      </c>
      <c r="AK35" s="129" t="s">
        <v>227</v>
      </c>
      <c r="AL35" t="s">
        <v>227</v>
      </c>
      <c r="AM35" s="133" t="s">
        <v>157</v>
      </c>
      <c r="AN35" t="s">
        <v>227</v>
      </c>
      <c r="AO35" t="s">
        <v>227</v>
      </c>
      <c r="AP35" t="s">
        <v>227</v>
      </c>
      <c r="AQ35" t="s">
        <v>227</v>
      </c>
      <c r="AR35" t="s">
        <v>227</v>
      </c>
      <c r="AS35" t="s">
        <v>227</v>
      </c>
      <c r="AT35" t="s">
        <v>227</v>
      </c>
      <c r="AU35" s="133" t="s">
        <v>160</v>
      </c>
      <c r="AV35" s="170" t="s">
        <v>230</v>
      </c>
      <c r="AW35" s="139" t="s">
        <v>158</v>
      </c>
      <c r="AX35" s="145">
        <v>42.7</v>
      </c>
      <c r="AY35" s="139" t="s">
        <v>149</v>
      </c>
      <c r="AZ35" s="129" t="s">
        <v>227</v>
      </c>
      <c r="BA35" s="133" t="s">
        <v>159</v>
      </c>
      <c r="BB35" s="136" t="s">
        <v>193</v>
      </c>
      <c r="BC35">
        <v>3</v>
      </c>
      <c r="BD35" s="149">
        <v>0.20341528403189787</v>
      </c>
      <c r="BE35" s="138">
        <v>21.044609876308407</v>
      </c>
      <c r="BF35" s="133" t="s">
        <v>162</v>
      </c>
      <c r="BG35" s="147">
        <v>0.39</v>
      </c>
      <c r="BH35" s="136" t="s">
        <v>227</v>
      </c>
      <c r="BI35" s="136" t="s">
        <v>227</v>
      </c>
      <c r="BJ35" s="143" t="s">
        <v>227</v>
      </c>
      <c r="BK35" s="150">
        <v>-4.2</v>
      </c>
      <c r="BL35" s="136" t="s">
        <v>227</v>
      </c>
      <c r="BM35" s="129" t="s">
        <v>226</v>
      </c>
      <c r="BN35" s="139" t="s">
        <v>204</v>
      </c>
      <c r="BO35" s="133" t="s">
        <v>205</v>
      </c>
      <c r="BP35" s="129" t="s">
        <v>227</v>
      </c>
      <c r="BQ35" s="129" t="s">
        <v>227</v>
      </c>
      <c r="BR35" s="129" t="s">
        <v>227</v>
      </c>
      <c r="BS35" s="129" t="s">
        <v>227</v>
      </c>
      <c r="BT35" s="129" t="s">
        <v>227</v>
      </c>
      <c r="BU35" s="129">
        <v>0</v>
      </c>
      <c r="BV35" s="136" t="s">
        <v>227</v>
      </c>
      <c r="BW35" s="129" t="s">
        <v>226</v>
      </c>
      <c r="BX35" s="138">
        <v>23.971812106933971</v>
      </c>
      <c r="BY35" s="135" t="s">
        <v>156</v>
      </c>
      <c r="BZ35" s="152">
        <v>1</v>
      </c>
      <c r="CA35" s="152">
        <v>1</v>
      </c>
      <c r="CB35" s="133" t="s">
        <v>228</v>
      </c>
      <c r="CC35" s="153" t="s">
        <v>227</v>
      </c>
      <c r="CD35" s="135" t="s">
        <v>227</v>
      </c>
      <c r="CE35" s="154" t="s">
        <v>227</v>
      </c>
      <c r="CF35" s="142" t="s">
        <v>227</v>
      </c>
      <c r="CG35" s="142" t="s">
        <v>227</v>
      </c>
      <c r="CH35" s="129" t="s">
        <v>227</v>
      </c>
      <c r="CI35" s="142" t="s">
        <v>227</v>
      </c>
      <c r="CJ35" s="142" t="s">
        <v>227</v>
      </c>
      <c r="CK35" s="142" t="s">
        <v>226</v>
      </c>
      <c r="CL35" s="129" t="s">
        <v>227</v>
      </c>
      <c r="CM35" s="142" t="s">
        <v>226</v>
      </c>
      <c r="CN35" s="142" t="s">
        <v>227</v>
      </c>
      <c r="CO35" s="142" t="s">
        <v>227</v>
      </c>
      <c r="CP35" s="142" t="s">
        <v>227</v>
      </c>
      <c r="CQ35" s="142" t="s">
        <v>227</v>
      </c>
      <c r="CR35" s="142" t="s">
        <v>227</v>
      </c>
      <c r="CS35" s="142" t="s">
        <v>227</v>
      </c>
      <c r="CT35" s="142" t="s">
        <v>227</v>
      </c>
      <c r="CU35" s="155">
        <v>34.223113858218312</v>
      </c>
      <c r="CV35" s="135" t="s">
        <v>156</v>
      </c>
      <c r="CW35" s="129">
        <v>1</v>
      </c>
      <c r="CX35" s="133" t="s">
        <v>206</v>
      </c>
      <c r="CY35" s="169">
        <v>1.0936899999999999E-2</v>
      </c>
      <c r="CZ35" s="129" t="s">
        <v>227</v>
      </c>
      <c r="DA35" s="129" t="s">
        <v>227</v>
      </c>
      <c r="DB35" s="141" t="s">
        <v>207</v>
      </c>
      <c r="DC35" s="169">
        <v>4.9851300000000001E-2</v>
      </c>
      <c r="DD35" s="129" t="s">
        <v>227</v>
      </c>
      <c r="DE35" s="129" t="s">
        <v>227</v>
      </c>
      <c r="DF35" s="133" t="s">
        <v>207</v>
      </c>
      <c r="DH35" s="129" t="s">
        <v>227</v>
      </c>
      <c r="DI35" s="129" t="s">
        <v>227</v>
      </c>
      <c r="DJ35" s="129" t="s">
        <v>227</v>
      </c>
      <c r="DK35" s="156">
        <f t="shared" si="7"/>
        <v>4.326E-4</v>
      </c>
      <c r="DL35" s="129" t="s">
        <v>227</v>
      </c>
      <c r="DM35" s="129" t="s">
        <v>227</v>
      </c>
      <c r="DN35" s="133" t="s">
        <v>209</v>
      </c>
      <c r="DO35" s="129">
        <v>39.61</v>
      </c>
      <c r="DP35" s="133" t="s">
        <v>210</v>
      </c>
      <c r="DQ35" s="129" t="s">
        <v>226</v>
      </c>
      <c r="DR35" s="133" t="s">
        <v>211</v>
      </c>
      <c r="DS35" s="133" t="s">
        <v>212</v>
      </c>
      <c r="DT35" s="157" t="s">
        <v>229</v>
      </c>
      <c r="DU35" s="158">
        <f t="shared" si="8"/>
        <v>1.0194204669852782</v>
      </c>
      <c r="DV35" s="156" t="s">
        <v>227</v>
      </c>
      <c r="DW35" s="156" t="s">
        <v>226</v>
      </c>
      <c r="DX35" s="157" t="s">
        <v>232</v>
      </c>
      <c r="DY35" s="159" t="s">
        <v>213</v>
      </c>
      <c r="DZ35" s="157" t="s">
        <v>214</v>
      </c>
      <c r="EA35" s="1" t="s">
        <v>217</v>
      </c>
      <c r="EB35" s="129" t="s">
        <v>218</v>
      </c>
      <c r="EC35" s="133" t="s">
        <v>219</v>
      </c>
      <c r="ED35" s="133" t="s">
        <v>219</v>
      </c>
      <c r="EE35" s="133" t="s">
        <v>220</v>
      </c>
      <c r="EH35" s="129" t="s">
        <v>215</v>
      </c>
      <c r="EI35" s="133" t="s">
        <v>216</v>
      </c>
      <c r="EJ35" s="153" t="s">
        <v>227</v>
      </c>
      <c r="EK35">
        <v>253.30000000000004</v>
      </c>
      <c r="EL35" s="133" t="s">
        <v>221</v>
      </c>
      <c r="EM35">
        <v>25</v>
      </c>
      <c r="EN35">
        <v>25</v>
      </c>
      <c r="EO35" t="s">
        <v>227</v>
      </c>
      <c r="EP35" t="s">
        <v>227</v>
      </c>
      <c r="EQ35" t="s">
        <v>227</v>
      </c>
      <c r="ER35" t="s">
        <v>227</v>
      </c>
      <c r="ES35" s="163">
        <v>8.1983202665120025</v>
      </c>
      <c r="ET35" s="142" t="s">
        <v>222</v>
      </c>
      <c r="EU35" s="164">
        <v>4.2983706827691037E-2</v>
      </c>
      <c r="EV35" s="164">
        <v>4.2983706827691037E-2</v>
      </c>
      <c r="EW35" s="165">
        <v>250.5</v>
      </c>
      <c r="EX35" s="129">
        <v>17</v>
      </c>
      <c r="EY35" s="139" t="s">
        <v>223</v>
      </c>
      <c r="EZ35" s="148">
        <f t="shared" si="9"/>
        <v>233.5</v>
      </c>
      <c r="FA35" s="162">
        <v>49.923697341543125</v>
      </c>
      <c r="FB35" s="162">
        <v>57.393466527123103</v>
      </c>
      <c r="FC35" s="133" t="s">
        <v>224</v>
      </c>
      <c r="FD35" s="133" t="s">
        <v>225</v>
      </c>
      <c r="FE35" s="129" t="s">
        <v>227</v>
      </c>
      <c r="FF35" s="129" t="s">
        <v>227</v>
      </c>
      <c r="FG35" s="129" t="s">
        <v>227</v>
      </c>
      <c r="FH35" s="129" t="s">
        <v>227</v>
      </c>
      <c r="FI35" s="129" t="s">
        <v>227</v>
      </c>
      <c r="FJ35" s="129" t="s">
        <v>227</v>
      </c>
      <c r="FK35" s="129" t="s">
        <v>227</v>
      </c>
      <c r="FL35" s="129" t="s">
        <v>227</v>
      </c>
      <c r="FM35" s="129" t="s">
        <v>227</v>
      </c>
      <c r="FN35" s="129" t="s">
        <v>227</v>
      </c>
      <c r="FO35" s="129" t="s">
        <v>227</v>
      </c>
      <c r="FP35" s="129" t="s">
        <v>227</v>
      </c>
    </row>
    <row r="36" spans="1:172" ht="18" x14ac:dyDescent="0.2">
      <c r="A36" s="130" t="s">
        <v>152</v>
      </c>
      <c r="B36" t="s">
        <v>153</v>
      </c>
      <c r="C36">
        <v>2011</v>
      </c>
      <c r="D36" t="s">
        <v>150</v>
      </c>
      <c r="E36" s="149">
        <f t="shared" si="1"/>
        <v>3471.4659999999999</v>
      </c>
      <c r="F36">
        <f t="shared" si="2"/>
        <v>6</v>
      </c>
      <c r="G36">
        <f t="shared" si="3"/>
        <v>6</v>
      </c>
      <c r="H36" s="167">
        <f t="shared" si="4"/>
        <v>274.60000000000002</v>
      </c>
      <c r="I36" s="167">
        <f t="shared" si="5"/>
        <v>55.668276387903376</v>
      </c>
      <c r="J36" s="167">
        <f t="shared" si="6"/>
        <v>64.69329486121417</v>
      </c>
      <c r="K36" s="141" t="s">
        <v>147</v>
      </c>
      <c r="L36" s="140" t="s">
        <v>148</v>
      </c>
      <c r="M36" s="139" t="s">
        <v>149</v>
      </c>
      <c r="N36" s="128" t="s">
        <v>150</v>
      </c>
      <c r="O36" s="129" t="s">
        <v>151</v>
      </c>
      <c r="P36" s="129" t="s">
        <v>154</v>
      </c>
      <c r="Q36" s="137">
        <v>12</v>
      </c>
      <c r="R36" s="137">
        <v>6</v>
      </c>
      <c r="S36" s="137">
        <v>57</v>
      </c>
      <c r="T36" s="137">
        <v>59</v>
      </c>
      <c r="U36" s="138">
        <v>110.67</v>
      </c>
      <c r="V36" s="136" t="s">
        <v>227</v>
      </c>
      <c r="W36" s="136" t="s">
        <v>227</v>
      </c>
      <c r="X36" s="133" t="s">
        <v>155</v>
      </c>
      <c r="Y36" s="134">
        <v>12.910833330000001</v>
      </c>
      <c r="Z36" s="134">
        <v>-78.833333330000002</v>
      </c>
      <c r="AA36" s="129" t="s">
        <v>227</v>
      </c>
      <c r="AB36" s="129" t="s">
        <v>227</v>
      </c>
      <c r="AC36" s="129">
        <v>-2838.9</v>
      </c>
      <c r="AD36" s="129" t="s">
        <v>227</v>
      </c>
      <c r="AE36" s="129" t="s">
        <v>227</v>
      </c>
      <c r="AF36" s="135" t="s">
        <v>227</v>
      </c>
      <c r="AG36" s="168">
        <v>3471.4659999999999</v>
      </c>
      <c r="AH36" s="142" t="s">
        <v>156</v>
      </c>
      <c r="AI36" s="129">
        <v>6</v>
      </c>
      <c r="AJ36">
        <v>6</v>
      </c>
      <c r="AK36" s="129" t="s">
        <v>227</v>
      </c>
      <c r="AL36" t="s">
        <v>227</v>
      </c>
      <c r="AM36" s="133" t="s">
        <v>157</v>
      </c>
      <c r="AN36" t="s">
        <v>227</v>
      </c>
      <c r="AO36" t="s">
        <v>227</v>
      </c>
      <c r="AP36" t="s">
        <v>227</v>
      </c>
      <c r="AQ36" t="s">
        <v>227</v>
      </c>
      <c r="AR36" t="s">
        <v>227</v>
      </c>
      <c r="AS36" t="s">
        <v>227</v>
      </c>
      <c r="AT36" t="s">
        <v>227</v>
      </c>
      <c r="AU36" s="133" t="s">
        <v>160</v>
      </c>
      <c r="AV36" s="170" t="s">
        <v>230</v>
      </c>
      <c r="AW36" s="139" t="s">
        <v>158</v>
      </c>
      <c r="AX36" s="145">
        <v>48.92</v>
      </c>
      <c r="AY36" s="139" t="s">
        <v>149</v>
      </c>
      <c r="AZ36" s="129" t="s">
        <v>227</v>
      </c>
      <c r="BA36" s="133" t="s">
        <v>159</v>
      </c>
      <c r="BB36" s="136" t="s">
        <v>194</v>
      </c>
      <c r="BC36">
        <v>4</v>
      </c>
      <c r="BD36" s="149">
        <v>0.15110702608857446</v>
      </c>
      <c r="BE36" s="138">
        <v>20.826735595594226</v>
      </c>
      <c r="BF36" s="133" t="s">
        <v>162</v>
      </c>
      <c r="BG36" s="147">
        <v>0.33</v>
      </c>
      <c r="BH36" s="136" t="s">
        <v>227</v>
      </c>
      <c r="BI36" s="136" t="s">
        <v>227</v>
      </c>
      <c r="BJ36" s="143" t="s">
        <v>227</v>
      </c>
      <c r="BK36" s="150">
        <v>-4.2</v>
      </c>
      <c r="BL36" s="136" t="s">
        <v>227</v>
      </c>
      <c r="BM36" s="129" t="s">
        <v>226</v>
      </c>
      <c r="BN36" s="139" t="s">
        <v>204</v>
      </c>
      <c r="BO36" s="133" t="s">
        <v>205</v>
      </c>
      <c r="BP36" s="129" t="s">
        <v>227</v>
      </c>
      <c r="BQ36" s="129" t="s">
        <v>227</v>
      </c>
      <c r="BR36" s="129" t="s">
        <v>227</v>
      </c>
      <c r="BS36" s="129" t="s">
        <v>227</v>
      </c>
      <c r="BT36" s="129" t="s">
        <v>227</v>
      </c>
      <c r="BU36" s="129">
        <v>0</v>
      </c>
      <c r="BV36" s="136" t="s">
        <v>227</v>
      </c>
      <c r="BW36" s="129" t="s">
        <v>226</v>
      </c>
      <c r="BX36" s="138">
        <v>25.023893449842127</v>
      </c>
      <c r="BY36" s="135" t="s">
        <v>156</v>
      </c>
      <c r="BZ36" s="152">
        <v>1</v>
      </c>
      <c r="CA36" s="152">
        <v>1</v>
      </c>
      <c r="CB36" s="133" t="s">
        <v>228</v>
      </c>
      <c r="CC36" s="153" t="s">
        <v>227</v>
      </c>
      <c r="CD36" s="135" t="s">
        <v>227</v>
      </c>
      <c r="CE36" s="154" t="s">
        <v>227</v>
      </c>
      <c r="CF36" s="142" t="s">
        <v>227</v>
      </c>
      <c r="CG36" s="142" t="s">
        <v>227</v>
      </c>
      <c r="CH36" s="129" t="s">
        <v>227</v>
      </c>
      <c r="CI36" s="142" t="s">
        <v>227</v>
      </c>
      <c r="CJ36" s="142" t="s">
        <v>227</v>
      </c>
      <c r="CK36" s="142" t="s">
        <v>226</v>
      </c>
      <c r="CL36" s="129" t="s">
        <v>227</v>
      </c>
      <c r="CM36" s="142" t="s">
        <v>226</v>
      </c>
      <c r="CN36" s="142" t="s">
        <v>227</v>
      </c>
      <c r="CO36" s="142" t="s">
        <v>227</v>
      </c>
      <c r="CP36" s="142" t="s">
        <v>227</v>
      </c>
      <c r="CQ36" s="142" t="s">
        <v>227</v>
      </c>
      <c r="CR36" s="142" t="s">
        <v>227</v>
      </c>
      <c r="CS36" s="142" t="s">
        <v>227</v>
      </c>
      <c r="CT36" s="142" t="s">
        <v>227</v>
      </c>
      <c r="CU36" s="155">
        <v>34.643728384654914</v>
      </c>
      <c r="CV36" s="135" t="s">
        <v>156</v>
      </c>
      <c r="CW36" s="129">
        <v>1</v>
      </c>
      <c r="CX36" s="133" t="s">
        <v>206</v>
      </c>
      <c r="CY36" s="169">
        <v>1.0949199999999999E-2</v>
      </c>
      <c r="CZ36" s="129" t="s">
        <v>227</v>
      </c>
      <c r="DA36" s="129" t="s">
        <v>227</v>
      </c>
      <c r="DB36" s="141" t="s">
        <v>207</v>
      </c>
      <c r="DC36" s="169">
        <v>4.97977E-2</v>
      </c>
      <c r="DD36" s="129" t="s">
        <v>227</v>
      </c>
      <c r="DE36" s="129" t="s">
        <v>227</v>
      </c>
      <c r="DF36" s="133" t="s">
        <v>207</v>
      </c>
      <c r="DH36" s="129" t="s">
        <v>227</v>
      </c>
      <c r="DI36" s="129" t="s">
        <v>227</v>
      </c>
      <c r="DJ36" s="129" t="s">
        <v>227</v>
      </c>
      <c r="DK36" s="156">
        <f t="shared" si="7"/>
        <v>4.326E-4</v>
      </c>
      <c r="DL36" s="129" t="s">
        <v>227</v>
      </c>
      <c r="DM36" s="129" t="s">
        <v>227</v>
      </c>
      <c r="DN36" s="133" t="s">
        <v>209</v>
      </c>
      <c r="DO36" s="129">
        <v>39.61</v>
      </c>
      <c r="DP36" s="133" t="s">
        <v>210</v>
      </c>
      <c r="DQ36" s="129" t="s">
        <v>226</v>
      </c>
      <c r="DR36" s="133" t="s">
        <v>211</v>
      </c>
      <c r="DS36" s="133" t="s">
        <v>212</v>
      </c>
      <c r="DT36" s="157" t="s">
        <v>229</v>
      </c>
      <c r="DU36" s="158">
        <f t="shared" si="8"/>
        <v>1.0193686993228004</v>
      </c>
      <c r="DV36" s="156" t="s">
        <v>227</v>
      </c>
      <c r="DW36" s="156" t="s">
        <v>226</v>
      </c>
      <c r="DX36" s="157" t="s">
        <v>232</v>
      </c>
      <c r="DY36" s="159" t="s">
        <v>213</v>
      </c>
      <c r="DZ36" s="157" t="s">
        <v>214</v>
      </c>
      <c r="EA36" s="1" t="s">
        <v>217</v>
      </c>
      <c r="EB36" s="129" t="s">
        <v>218</v>
      </c>
      <c r="EC36" s="133" t="s">
        <v>219</v>
      </c>
      <c r="ED36" s="133" t="s">
        <v>219</v>
      </c>
      <c r="EE36" s="133" t="s">
        <v>220</v>
      </c>
      <c r="EH36" s="129" t="s">
        <v>215</v>
      </c>
      <c r="EI36" s="133" t="s">
        <v>216</v>
      </c>
      <c r="EJ36" s="153" t="s">
        <v>227</v>
      </c>
      <c r="EK36">
        <v>256</v>
      </c>
      <c r="EL36" s="133" t="s">
        <v>221</v>
      </c>
      <c r="EM36">
        <v>25</v>
      </c>
      <c r="EN36">
        <v>25</v>
      </c>
      <c r="EO36" t="s">
        <v>227</v>
      </c>
      <c r="EP36" t="s">
        <v>227</v>
      </c>
      <c r="EQ36" t="s">
        <v>227</v>
      </c>
      <c r="ER36" t="s">
        <v>227</v>
      </c>
      <c r="ES36" s="163">
        <v>8.1550974946733454</v>
      </c>
      <c r="ET36" s="142" t="s">
        <v>222</v>
      </c>
      <c r="EU36" s="164">
        <v>3.7587672125221516E-2</v>
      </c>
      <c r="EV36" s="164">
        <v>3.7587672125221516E-2</v>
      </c>
      <c r="EW36" s="165">
        <v>291.60000000000002</v>
      </c>
      <c r="EX36" s="129">
        <v>17</v>
      </c>
      <c r="EY36" s="139" t="s">
        <v>223</v>
      </c>
      <c r="EZ36" s="148">
        <f t="shared" si="9"/>
        <v>274.60000000000002</v>
      </c>
      <c r="FA36" s="162">
        <v>55.668276387903376</v>
      </c>
      <c r="FB36" s="162">
        <v>64.69329486121417</v>
      </c>
      <c r="FC36" s="133" t="s">
        <v>224</v>
      </c>
      <c r="FD36" s="133" t="s">
        <v>225</v>
      </c>
      <c r="FE36" s="129" t="s">
        <v>227</v>
      </c>
      <c r="FF36" s="129" t="s">
        <v>227</v>
      </c>
      <c r="FG36" s="129" t="s">
        <v>227</v>
      </c>
      <c r="FH36" s="129" t="s">
        <v>227</v>
      </c>
      <c r="FI36" s="129" t="s">
        <v>227</v>
      </c>
      <c r="FJ36" s="129" t="s">
        <v>227</v>
      </c>
      <c r="FK36" s="129" t="s">
        <v>227</v>
      </c>
      <c r="FL36" s="129" t="s">
        <v>227</v>
      </c>
      <c r="FM36" s="129" t="s">
        <v>227</v>
      </c>
      <c r="FN36" s="129" t="s">
        <v>227</v>
      </c>
      <c r="FO36" s="129" t="s">
        <v>227</v>
      </c>
      <c r="FP36" s="129" t="s">
        <v>227</v>
      </c>
    </row>
    <row r="37" spans="1:172" ht="18" x14ac:dyDescent="0.2">
      <c r="A37" s="130" t="s">
        <v>152</v>
      </c>
      <c r="B37" t="s">
        <v>153</v>
      </c>
      <c r="C37">
        <v>2011</v>
      </c>
      <c r="D37" t="s">
        <v>150</v>
      </c>
      <c r="E37" s="149">
        <f t="shared" si="1"/>
        <v>3542.5259999999998</v>
      </c>
      <c r="F37">
        <f t="shared" si="2"/>
        <v>6</v>
      </c>
      <c r="G37">
        <f t="shared" si="3"/>
        <v>6</v>
      </c>
      <c r="H37" s="167">
        <f t="shared" si="4"/>
        <v>312.3</v>
      </c>
      <c r="I37" s="167">
        <f t="shared" si="5"/>
        <v>61.124773130458323</v>
      </c>
      <c r="J37" s="167">
        <f t="shared" si="6"/>
        <v>71.564932753409337</v>
      </c>
      <c r="K37" s="141" t="s">
        <v>147</v>
      </c>
      <c r="L37" s="140" t="s">
        <v>148</v>
      </c>
      <c r="M37" s="139" t="s">
        <v>149</v>
      </c>
      <c r="N37" s="128" t="s">
        <v>150</v>
      </c>
      <c r="O37" s="136" t="s">
        <v>151</v>
      </c>
      <c r="P37" s="129" t="s">
        <v>154</v>
      </c>
      <c r="Q37" s="137">
        <v>13</v>
      </c>
      <c r="R37" s="137">
        <v>1</v>
      </c>
      <c r="S37" s="137">
        <v>77</v>
      </c>
      <c r="T37" s="137">
        <v>79</v>
      </c>
      <c r="U37" s="138">
        <v>112.87</v>
      </c>
      <c r="V37" s="136" t="s">
        <v>227</v>
      </c>
      <c r="W37" s="136" t="s">
        <v>227</v>
      </c>
      <c r="X37" s="133" t="s">
        <v>155</v>
      </c>
      <c r="Y37" s="134">
        <v>12.910833330000001</v>
      </c>
      <c r="Z37" s="134">
        <v>-78.833333330000002</v>
      </c>
      <c r="AA37" s="129" t="s">
        <v>227</v>
      </c>
      <c r="AB37" s="129" t="s">
        <v>227</v>
      </c>
      <c r="AC37" s="129">
        <v>-2838.9</v>
      </c>
      <c r="AD37" s="129" t="s">
        <v>227</v>
      </c>
      <c r="AE37" s="129" t="s">
        <v>227</v>
      </c>
      <c r="AF37" s="135" t="s">
        <v>227</v>
      </c>
      <c r="AG37" s="168">
        <v>3542.5259999999998</v>
      </c>
      <c r="AH37" s="142" t="s">
        <v>156</v>
      </c>
      <c r="AI37" s="129">
        <v>6</v>
      </c>
      <c r="AJ37">
        <v>6</v>
      </c>
      <c r="AK37" s="129" t="s">
        <v>227</v>
      </c>
      <c r="AL37" t="s">
        <v>227</v>
      </c>
      <c r="AM37" s="133" t="s">
        <v>157</v>
      </c>
      <c r="AN37" t="s">
        <v>227</v>
      </c>
      <c r="AO37" t="s">
        <v>227</v>
      </c>
      <c r="AP37" t="s">
        <v>227</v>
      </c>
      <c r="AQ37" t="s">
        <v>227</v>
      </c>
      <c r="AR37" t="s">
        <v>227</v>
      </c>
      <c r="AS37" t="s">
        <v>227</v>
      </c>
      <c r="AT37" t="s">
        <v>227</v>
      </c>
      <c r="AU37" s="133" t="s">
        <v>160</v>
      </c>
      <c r="AV37" s="170" t="s">
        <v>230</v>
      </c>
      <c r="AW37" s="139" t="s">
        <v>158</v>
      </c>
      <c r="AX37" s="145">
        <v>29.34</v>
      </c>
      <c r="AY37" s="139" t="s">
        <v>149</v>
      </c>
      <c r="AZ37" s="129" t="s">
        <v>227</v>
      </c>
      <c r="BA37" s="133" t="s">
        <v>159</v>
      </c>
      <c r="BB37" s="136" t="s">
        <v>195</v>
      </c>
      <c r="BC37">
        <v>3</v>
      </c>
      <c r="BD37" s="149">
        <v>3.4641016151376811E-2</v>
      </c>
      <c r="BE37" s="138">
        <v>20.720336719550904</v>
      </c>
      <c r="BF37" s="133" t="s">
        <v>162</v>
      </c>
      <c r="BG37" s="147">
        <v>0.39</v>
      </c>
      <c r="BH37" s="136" t="s">
        <v>227</v>
      </c>
      <c r="BI37" s="136" t="s">
        <v>227</v>
      </c>
      <c r="BJ37" s="143" t="s">
        <v>227</v>
      </c>
      <c r="BK37" s="150">
        <v>-4.2</v>
      </c>
      <c r="BL37" s="136" t="s">
        <v>227</v>
      </c>
      <c r="BM37" s="129" t="s">
        <v>226</v>
      </c>
      <c r="BN37" s="139" t="s">
        <v>204</v>
      </c>
      <c r="BO37" s="133" t="s">
        <v>205</v>
      </c>
      <c r="BP37" s="129" t="s">
        <v>227</v>
      </c>
      <c r="BQ37" s="129" t="s">
        <v>227</v>
      </c>
      <c r="BR37" s="129" t="s">
        <v>227</v>
      </c>
      <c r="BS37" s="129" t="s">
        <v>227</v>
      </c>
      <c r="BT37" s="129" t="s">
        <v>227</v>
      </c>
      <c r="BU37" s="129">
        <v>0</v>
      </c>
      <c r="BV37" s="136" t="s">
        <v>227</v>
      </c>
      <c r="BW37" s="129" t="s">
        <v>226</v>
      </c>
      <c r="BX37" s="138">
        <v>25.564357974534857</v>
      </c>
      <c r="BY37" s="135" t="s">
        <v>156</v>
      </c>
      <c r="BZ37" s="152">
        <v>1</v>
      </c>
      <c r="CA37" s="152">
        <v>1</v>
      </c>
      <c r="CB37" s="133" t="s">
        <v>228</v>
      </c>
      <c r="CC37" s="153" t="s">
        <v>227</v>
      </c>
      <c r="CD37" s="135" t="s">
        <v>227</v>
      </c>
      <c r="CE37" s="154" t="s">
        <v>227</v>
      </c>
      <c r="CF37" s="142" t="s">
        <v>227</v>
      </c>
      <c r="CG37" s="142" t="s">
        <v>227</v>
      </c>
      <c r="CH37" s="129" t="s">
        <v>227</v>
      </c>
      <c r="CI37" s="142" t="s">
        <v>227</v>
      </c>
      <c r="CJ37" s="142" t="s">
        <v>227</v>
      </c>
      <c r="CK37" s="142" t="s">
        <v>226</v>
      </c>
      <c r="CL37" s="129" t="s">
        <v>227</v>
      </c>
      <c r="CM37" s="142" t="s">
        <v>226</v>
      </c>
      <c r="CN37" s="142" t="s">
        <v>227</v>
      </c>
      <c r="CO37" s="142" t="s">
        <v>227</v>
      </c>
      <c r="CP37" s="142" t="s">
        <v>227</v>
      </c>
      <c r="CQ37" s="142" t="s">
        <v>227</v>
      </c>
      <c r="CR37" s="142" t="s">
        <v>227</v>
      </c>
      <c r="CS37" s="142" t="s">
        <v>227</v>
      </c>
      <c r="CT37" s="142" t="s">
        <v>227</v>
      </c>
      <c r="CU37" s="155">
        <v>34.9786309900094</v>
      </c>
      <c r="CV37" s="135" t="s">
        <v>156</v>
      </c>
      <c r="CW37" s="129">
        <v>1</v>
      </c>
      <c r="CX37" s="133" t="s">
        <v>206</v>
      </c>
      <c r="CY37" s="169">
        <v>1.0962599999999999E-2</v>
      </c>
      <c r="CZ37" s="129" t="s">
        <v>227</v>
      </c>
      <c r="DA37" s="129" t="s">
        <v>227</v>
      </c>
      <c r="DB37" s="141" t="s">
        <v>207</v>
      </c>
      <c r="DC37" s="169">
        <v>4.9738999999999998E-2</v>
      </c>
      <c r="DD37" s="129" t="s">
        <v>227</v>
      </c>
      <c r="DE37" s="129" t="s">
        <v>227</v>
      </c>
      <c r="DF37" s="133" t="s">
        <v>207</v>
      </c>
      <c r="DH37" s="129" t="s">
        <v>227</v>
      </c>
      <c r="DI37" s="129" t="s">
        <v>227</v>
      </c>
      <c r="DJ37" s="129" t="s">
        <v>227</v>
      </c>
      <c r="DK37" s="156">
        <f t="shared" si="7"/>
        <v>4.326E-4</v>
      </c>
      <c r="DL37" s="129" t="s">
        <v>227</v>
      </c>
      <c r="DM37" s="129" t="s">
        <v>227</v>
      </c>
      <c r="DN37" s="133" t="s">
        <v>209</v>
      </c>
      <c r="DO37" s="129">
        <v>39.61</v>
      </c>
      <c r="DP37" s="133" t="s">
        <v>210</v>
      </c>
      <c r="DQ37" s="129" t="s">
        <v>226</v>
      </c>
      <c r="DR37" s="133" t="s">
        <v>211</v>
      </c>
      <c r="DS37" s="133" t="s">
        <v>212</v>
      </c>
      <c r="DT37" s="157" t="s">
        <v>229</v>
      </c>
      <c r="DU37" s="158">
        <f t="shared" si="8"/>
        <v>1.0193421057658629</v>
      </c>
      <c r="DV37" s="156" t="s">
        <v>227</v>
      </c>
      <c r="DW37" s="156" t="s">
        <v>226</v>
      </c>
      <c r="DX37" s="157" t="s">
        <v>232</v>
      </c>
      <c r="DY37" s="159" t="s">
        <v>213</v>
      </c>
      <c r="DZ37" s="157" t="s">
        <v>214</v>
      </c>
      <c r="EA37" s="1" t="s">
        <v>217</v>
      </c>
      <c r="EB37" s="129" t="s">
        <v>218</v>
      </c>
      <c r="EC37" s="133" t="s">
        <v>219</v>
      </c>
      <c r="ED37" s="133" t="s">
        <v>219</v>
      </c>
      <c r="EE37" s="133" t="s">
        <v>220</v>
      </c>
      <c r="EH37" s="129" t="s">
        <v>215</v>
      </c>
      <c r="EI37" s="133" t="s">
        <v>216</v>
      </c>
      <c r="EJ37" s="153" t="s">
        <v>227</v>
      </c>
      <c r="EK37">
        <v>258.10000000000002</v>
      </c>
      <c r="EL37" s="133" t="s">
        <v>221</v>
      </c>
      <c r="EM37">
        <v>25</v>
      </c>
      <c r="EN37">
        <v>25</v>
      </c>
      <c r="EO37" t="s">
        <v>227</v>
      </c>
      <c r="EP37" t="s">
        <v>227</v>
      </c>
      <c r="EQ37" t="s">
        <v>227</v>
      </c>
      <c r="ER37" t="s">
        <v>227</v>
      </c>
      <c r="ES37" s="163">
        <v>8.1324681986079881</v>
      </c>
      <c r="ET37" s="142" t="s">
        <v>222</v>
      </c>
      <c r="EU37" s="164">
        <v>4.4063185536336924E-2</v>
      </c>
      <c r="EV37" s="164">
        <v>4.4063185536336924E-2</v>
      </c>
      <c r="EW37" s="165">
        <v>329.3</v>
      </c>
      <c r="EX37" s="129">
        <v>17</v>
      </c>
      <c r="EY37" s="139" t="s">
        <v>223</v>
      </c>
      <c r="EZ37" s="148">
        <f t="shared" si="9"/>
        <v>312.3</v>
      </c>
      <c r="FA37" s="162">
        <v>61.124773130458323</v>
      </c>
      <c r="FB37" s="162">
        <v>71.564932753409337</v>
      </c>
      <c r="FC37" s="133" t="s">
        <v>224</v>
      </c>
      <c r="FD37" s="133" t="s">
        <v>225</v>
      </c>
      <c r="FE37" s="129" t="s">
        <v>227</v>
      </c>
      <c r="FF37" s="129" t="s">
        <v>227</v>
      </c>
      <c r="FG37" s="129" t="s">
        <v>227</v>
      </c>
      <c r="FH37" s="129" t="s">
        <v>227</v>
      </c>
      <c r="FI37" s="129" t="s">
        <v>227</v>
      </c>
      <c r="FJ37" s="129" t="s">
        <v>227</v>
      </c>
      <c r="FK37" s="129" t="s">
        <v>227</v>
      </c>
      <c r="FL37" s="129" t="s">
        <v>227</v>
      </c>
      <c r="FM37" s="129" t="s">
        <v>227</v>
      </c>
      <c r="FN37" s="129" t="s">
        <v>227</v>
      </c>
      <c r="FO37" s="129" t="s">
        <v>227</v>
      </c>
      <c r="FP37" s="129" t="s">
        <v>227</v>
      </c>
    </row>
    <row r="38" spans="1:172" ht="18" x14ac:dyDescent="0.2">
      <c r="A38" s="130" t="s">
        <v>152</v>
      </c>
      <c r="B38" t="s">
        <v>153</v>
      </c>
      <c r="C38">
        <v>2011</v>
      </c>
      <c r="D38" t="s">
        <v>150</v>
      </c>
      <c r="E38" s="149">
        <f t="shared" si="1"/>
        <v>3590.77</v>
      </c>
      <c r="F38">
        <f t="shared" si="2"/>
        <v>6</v>
      </c>
      <c r="G38">
        <f t="shared" si="3"/>
        <v>6</v>
      </c>
      <c r="H38" s="167">
        <f t="shared" si="4"/>
        <v>265.2</v>
      </c>
      <c r="I38" s="167">
        <f t="shared" si="5"/>
        <v>54.333350430467661</v>
      </c>
      <c r="J38" s="167">
        <f t="shared" si="6"/>
        <v>63.00375861803802</v>
      </c>
      <c r="K38" s="141" t="s">
        <v>147</v>
      </c>
      <c r="L38" s="140" t="s">
        <v>148</v>
      </c>
      <c r="M38" s="139" t="s">
        <v>149</v>
      </c>
      <c r="N38" s="128" t="s">
        <v>150</v>
      </c>
      <c r="O38" s="129" t="s">
        <v>151</v>
      </c>
      <c r="P38" s="129" t="s">
        <v>154</v>
      </c>
      <c r="Q38" s="137">
        <v>13</v>
      </c>
      <c r="R38" s="137">
        <v>2</v>
      </c>
      <c r="S38" s="137">
        <v>57</v>
      </c>
      <c r="T38" s="137">
        <v>59</v>
      </c>
      <c r="U38" s="138">
        <v>114.17</v>
      </c>
      <c r="V38" s="136" t="s">
        <v>227</v>
      </c>
      <c r="W38" s="136" t="s">
        <v>227</v>
      </c>
      <c r="X38" s="133" t="s">
        <v>155</v>
      </c>
      <c r="Y38" s="134">
        <v>12.910833330000001</v>
      </c>
      <c r="Z38" s="134">
        <v>-78.833333330000002</v>
      </c>
      <c r="AA38" s="129" t="s">
        <v>227</v>
      </c>
      <c r="AB38" s="129" t="s">
        <v>227</v>
      </c>
      <c r="AC38" s="129">
        <v>-2838.9</v>
      </c>
      <c r="AD38" s="129" t="s">
        <v>227</v>
      </c>
      <c r="AE38" s="129" t="s">
        <v>227</v>
      </c>
      <c r="AF38" s="135" t="s">
        <v>227</v>
      </c>
      <c r="AG38" s="168">
        <v>3590.77</v>
      </c>
      <c r="AH38" s="142" t="s">
        <v>156</v>
      </c>
      <c r="AI38" s="129">
        <v>6</v>
      </c>
      <c r="AJ38">
        <v>6</v>
      </c>
      <c r="AK38" s="129" t="s">
        <v>227</v>
      </c>
      <c r="AL38" t="s">
        <v>227</v>
      </c>
      <c r="AM38" s="133" t="s">
        <v>157</v>
      </c>
      <c r="AN38" t="s">
        <v>227</v>
      </c>
      <c r="AO38" t="s">
        <v>227</v>
      </c>
      <c r="AP38" t="s">
        <v>227</v>
      </c>
      <c r="AQ38" t="s">
        <v>227</v>
      </c>
      <c r="AR38" t="s">
        <v>227</v>
      </c>
      <c r="AS38" t="s">
        <v>227</v>
      </c>
      <c r="AT38" t="s">
        <v>227</v>
      </c>
      <c r="AU38" s="133" t="s">
        <v>160</v>
      </c>
      <c r="AV38" s="170" t="s">
        <v>230</v>
      </c>
      <c r="AW38" s="139" t="s">
        <v>158</v>
      </c>
      <c r="AX38" s="145">
        <v>26.07</v>
      </c>
      <c r="AY38" s="139" t="s">
        <v>149</v>
      </c>
      <c r="AZ38" s="129" t="s">
        <v>227</v>
      </c>
      <c r="BA38" s="133" t="s">
        <v>159</v>
      </c>
      <c r="BB38" s="136" t="s">
        <v>196</v>
      </c>
      <c r="BC38">
        <v>4</v>
      </c>
      <c r="BD38" s="149">
        <v>0.12069244660154427</v>
      </c>
      <c r="BE38" s="138">
        <v>20.843887168202869</v>
      </c>
      <c r="BF38" s="133" t="s">
        <v>162</v>
      </c>
      <c r="BG38" s="147">
        <v>0.33</v>
      </c>
      <c r="BH38" s="136" t="s">
        <v>227</v>
      </c>
      <c r="BI38" s="136" t="s">
        <v>227</v>
      </c>
      <c r="BJ38" s="143" t="s">
        <v>227</v>
      </c>
      <c r="BK38" s="150">
        <v>-4.2</v>
      </c>
      <c r="BL38" s="136" t="s">
        <v>227</v>
      </c>
      <c r="BM38" s="129" t="s">
        <v>226</v>
      </c>
      <c r="BN38" s="139" t="s">
        <v>204</v>
      </c>
      <c r="BO38" s="133" t="s">
        <v>205</v>
      </c>
      <c r="BP38" s="129" t="s">
        <v>227</v>
      </c>
      <c r="BQ38" s="129" t="s">
        <v>227</v>
      </c>
      <c r="BR38" s="129" t="s">
        <v>227</v>
      </c>
      <c r="BS38" s="129" t="s">
        <v>227</v>
      </c>
      <c r="BT38" s="129" t="s">
        <v>227</v>
      </c>
      <c r="BU38" s="129">
        <v>0</v>
      </c>
      <c r="BV38" s="136" t="s">
        <v>227</v>
      </c>
      <c r="BW38" s="129" t="s">
        <v>226</v>
      </c>
      <c r="BX38" s="138">
        <v>24.382689920723834</v>
      </c>
      <c r="BY38" s="135" t="s">
        <v>156</v>
      </c>
      <c r="BZ38" s="152">
        <v>1</v>
      </c>
      <c r="CA38" s="152">
        <v>1</v>
      </c>
      <c r="CB38" s="133" t="s">
        <v>228</v>
      </c>
      <c r="CC38" s="153" t="s">
        <v>227</v>
      </c>
      <c r="CD38" s="135" t="s">
        <v>227</v>
      </c>
      <c r="CE38" s="154" t="s">
        <v>227</v>
      </c>
      <c r="CF38" s="142" t="s">
        <v>227</v>
      </c>
      <c r="CG38" s="142" t="s">
        <v>227</v>
      </c>
      <c r="CH38" s="129" t="s">
        <v>227</v>
      </c>
      <c r="CI38" s="142" t="s">
        <v>227</v>
      </c>
      <c r="CJ38" s="142" t="s">
        <v>227</v>
      </c>
      <c r="CK38" s="142" t="s">
        <v>226</v>
      </c>
      <c r="CL38" s="129" t="s">
        <v>227</v>
      </c>
      <c r="CM38" s="142" t="s">
        <v>226</v>
      </c>
      <c r="CN38" s="142" t="s">
        <v>227</v>
      </c>
      <c r="CO38" s="142" t="s">
        <v>227</v>
      </c>
      <c r="CP38" s="142" t="s">
        <v>227</v>
      </c>
      <c r="CQ38" s="142" t="s">
        <v>227</v>
      </c>
      <c r="CR38" s="142" t="s">
        <v>227</v>
      </c>
      <c r="CS38" s="142" t="s">
        <v>227</v>
      </c>
      <c r="CT38" s="142" t="s">
        <v>227</v>
      </c>
      <c r="CU38" s="155">
        <v>34.40308400345797</v>
      </c>
      <c r="CV38" s="135" t="s">
        <v>156</v>
      </c>
      <c r="CW38" s="129">
        <v>1</v>
      </c>
      <c r="CX38" s="133" t="s">
        <v>206</v>
      </c>
      <c r="CY38" s="169">
        <v>1.0971700000000001E-2</v>
      </c>
      <c r="CZ38" s="129" t="s">
        <v>227</v>
      </c>
      <c r="DA38" s="129" t="s">
        <v>227</v>
      </c>
      <c r="DB38" s="141" t="s">
        <v>207</v>
      </c>
      <c r="DC38" s="169">
        <v>4.9699199999999999E-2</v>
      </c>
      <c r="DD38" s="129" t="s">
        <v>227</v>
      </c>
      <c r="DE38" s="129" t="s">
        <v>227</v>
      </c>
      <c r="DF38" s="133" t="s">
        <v>207</v>
      </c>
      <c r="DH38" s="129" t="s">
        <v>227</v>
      </c>
      <c r="DI38" s="129" t="s">
        <v>227</v>
      </c>
      <c r="DJ38" s="129" t="s">
        <v>227</v>
      </c>
      <c r="DK38" s="156">
        <f t="shared" si="7"/>
        <v>4.326E-4</v>
      </c>
      <c r="DL38" s="129" t="s">
        <v>227</v>
      </c>
      <c r="DM38" s="129" t="s">
        <v>227</v>
      </c>
      <c r="DN38" s="133" t="s">
        <v>209</v>
      </c>
      <c r="DO38" s="129">
        <v>39.61</v>
      </c>
      <c r="DP38" s="133" t="s">
        <v>210</v>
      </c>
      <c r="DQ38" s="129" t="s">
        <v>226</v>
      </c>
      <c r="DR38" s="133" t="s">
        <v>211</v>
      </c>
      <c r="DS38" s="133" t="s">
        <v>212</v>
      </c>
      <c r="DT38" s="157" t="s">
        <v>229</v>
      </c>
      <c r="DU38" s="158">
        <f t="shared" si="8"/>
        <v>1.0194002497424508</v>
      </c>
      <c r="DV38" s="156" t="s">
        <v>227</v>
      </c>
      <c r="DW38" s="156" t="s">
        <v>226</v>
      </c>
      <c r="DX38" s="157" t="s">
        <v>232</v>
      </c>
      <c r="DY38" s="159" t="s">
        <v>213</v>
      </c>
      <c r="DZ38" s="157" t="s">
        <v>214</v>
      </c>
      <c r="EA38" s="1" t="s">
        <v>217</v>
      </c>
      <c r="EB38" s="129" t="s">
        <v>218</v>
      </c>
      <c r="EC38" s="133" t="s">
        <v>219</v>
      </c>
      <c r="ED38" s="133" t="s">
        <v>219</v>
      </c>
      <c r="EE38" s="133" t="s">
        <v>220</v>
      </c>
      <c r="EH38" s="129" t="s">
        <v>215</v>
      </c>
      <c r="EI38" s="133" t="s">
        <v>216</v>
      </c>
      <c r="EJ38" s="153" t="s">
        <v>227</v>
      </c>
      <c r="EK38">
        <v>252.5</v>
      </c>
      <c r="EL38" s="133" t="s">
        <v>221</v>
      </c>
      <c r="EM38">
        <v>25</v>
      </c>
      <c r="EN38">
        <v>25</v>
      </c>
      <c r="EO38" t="s">
        <v>227</v>
      </c>
      <c r="EP38" t="s">
        <v>227</v>
      </c>
      <c r="EQ38" t="s">
        <v>227</v>
      </c>
      <c r="ER38" t="s">
        <v>227</v>
      </c>
      <c r="ES38" s="163">
        <v>8.1684851105154586</v>
      </c>
      <c r="ET38" s="142" t="s">
        <v>222</v>
      </c>
      <c r="EU38" s="164">
        <v>3.73394329069896E-2</v>
      </c>
      <c r="EV38" s="164">
        <v>3.73394329069896E-2</v>
      </c>
      <c r="EW38" s="165">
        <v>282.2</v>
      </c>
      <c r="EX38" s="129">
        <v>17</v>
      </c>
      <c r="EY38" s="139" t="s">
        <v>223</v>
      </c>
      <c r="EZ38" s="148">
        <f t="shared" si="9"/>
        <v>265.2</v>
      </c>
      <c r="FA38" s="162">
        <v>54.333350430467661</v>
      </c>
      <c r="FB38" s="162">
        <v>63.00375861803802</v>
      </c>
      <c r="FC38" s="133" t="s">
        <v>224</v>
      </c>
      <c r="FD38" s="133" t="s">
        <v>225</v>
      </c>
      <c r="FE38" s="129" t="s">
        <v>227</v>
      </c>
      <c r="FF38" s="129" t="s">
        <v>227</v>
      </c>
      <c r="FG38" s="129" t="s">
        <v>227</v>
      </c>
      <c r="FH38" s="129" t="s">
        <v>227</v>
      </c>
      <c r="FI38" s="129" t="s">
        <v>227</v>
      </c>
      <c r="FJ38" s="129" t="s">
        <v>227</v>
      </c>
      <c r="FK38" s="129" t="s">
        <v>227</v>
      </c>
      <c r="FL38" s="129" t="s">
        <v>227</v>
      </c>
      <c r="FM38" s="129" t="s">
        <v>227</v>
      </c>
      <c r="FN38" s="129" t="s">
        <v>227</v>
      </c>
      <c r="FO38" s="129" t="s">
        <v>227</v>
      </c>
      <c r="FP38" s="129" t="s">
        <v>227</v>
      </c>
    </row>
    <row r="39" spans="1:172" ht="18" x14ac:dyDescent="0.2">
      <c r="A39" s="130" t="s">
        <v>152</v>
      </c>
      <c r="B39" t="s">
        <v>153</v>
      </c>
      <c r="C39">
        <v>2011</v>
      </c>
      <c r="D39" t="s">
        <v>150</v>
      </c>
      <c r="E39" s="149">
        <f t="shared" si="1"/>
        <v>3716.058</v>
      </c>
      <c r="F39">
        <f t="shared" si="2"/>
        <v>6</v>
      </c>
      <c r="G39">
        <f t="shared" si="3"/>
        <v>6</v>
      </c>
      <c r="H39" s="167">
        <f t="shared" si="4"/>
        <v>292.8</v>
      </c>
      <c r="I39" s="167">
        <f t="shared" si="5"/>
        <v>58.28333972071264</v>
      </c>
      <c r="J39" s="167">
        <f t="shared" si="6"/>
        <v>67.992952575983935</v>
      </c>
      <c r="K39" s="141" t="s">
        <v>147</v>
      </c>
      <c r="L39" s="140" t="s">
        <v>148</v>
      </c>
      <c r="M39" s="139" t="s">
        <v>149</v>
      </c>
      <c r="N39" s="128" t="s">
        <v>150</v>
      </c>
      <c r="O39" s="136" t="s">
        <v>151</v>
      </c>
      <c r="P39" s="129" t="s">
        <v>154</v>
      </c>
      <c r="Q39" s="137">
        <v>13</v>
      </c>
      <c r="R39" s="137">
        <v>4</v>
      </c>
      <c r="S39" s="137">
        <v>117</v>
      </c>
      <c r="T39" s="137">
        <v>119</v>
      </c>
      <c r="U39" s="138">
        <v>117.77</v>
      </c>
      <c r="V39" s="136" t="s">
        <v>227</v>
      </c>
      <c r="W39" s="136" t="s">
        <v>227</v>
      </c>
      <c r="X39" s="133" t="s">
        <v>155</v>
      </c>
      <c r="Y39" s="134">
        <v>12.910833330000001</v>
      </c>
      <c r="Z39" s="134">
        <v>-78.833333330000002</v>
      </c>
      <c r="AA39" s="129" t="s">
        <v>227</v>
      </c>
      <c r="AB39" s="129" t="s">
        <v>227</v>
      </c>
      <c r="AC39" s="129">
        <v>-2838.9</v>
      </c>
      <c r="AD39" s="129" t="s">
        <v>227</v>
      </c>
      <c r="AE39" s="129" t="s">
        <v>227</v>
      </c>
      <c r="AF39" s="135" t="s">
        <v>227</v>
      </c>
      <c r="AG39" s="168">
        <v>3716.058</v>
      </c>
      <c r="AH39" s="142" t="s">
        <v>156</v>
      </c>
      <c r="AI39" s="129">
        <v>6</v>
      </c>
      <c r="AJ39">
        <v>6</v>
      </c>
      <c r="AK39" s="129" t="s">
        <v>227</v>
      </c>
      <c r="AL39" t="s">
        <v>227</v>
      </c>
      <c r="AM39" s="133" t="s">
        <v>157</v>
      </c>
      <c r="AN39" t="s">
        <v>227</v>
      </c>
      <c r="AO39" t="s">
        <v>227</v>
      </c>
      <c r="AP39" t="s">
        <v>227</v>
      </c>
      <c r="AQ39" t="s">
        <v>227</v>
      </c>
      <c r="AR39" t="s">
        <v>227</v>
      </c>
      <c r="AS39" t="s">
        <v>227</v>
      </c>
      <c r="AT39" t="s">
        <v>227</v>
      </c>
      <c r="AU39" s="133" t="s">
        <v>160</v>
      </c>
      <c r="AV39" s="170" t="s">
        <v>230</v>
      </c>
      <c r="AW39" s="139" t="s">
        <v>158</v>
      </c>
      <c r="AX39" s="145">
        <v>46.49</v>
      </c>
      <c r="AY39" s="139" t="s">
        <v>149</v>
      </c>
      <c r="AZ39" s="129" t="s">
        <v>227</v>
      </c>
      <c r="BA39" s="133" t="s">
        <v>159</v>
      </c>
      <c r="BB39" s="136" t="s">
        <v>197</v>
      </c>
      <c r="BC39">
        <v>4</v>
      </c>
      <c r="BD39" s="149">
        <v>0.20806649578119593</v>
      </c>
      <c r="BE39" s="138">
        <v>20.731834911133895</v>
      </c>
      <c r="BF39" s="133" t="s">
        <v>162</v>
      </c>
      <c r="BG39" s="147">
        <v>0.33</v>
      </c>
      <c r="BH39" s="136" t="s">
        <v>227</v>
      </c>
      <c r="BI39" s="136" t="s">
        <v>227</v>
      </c>
      <c r="BJ39" s="143" t="s">
        <v>227</v>
      </c>
      <c r="BK39" s="150">
        <v>-4.2</v>
      </c>
      <c r="BL39" s="136" t="s">
        <v>227</v>
      </c>
      <c r="BM39" s="129" t="s">
        <v>226</v>
      </c>
      <c r="BN39" s="139" t="s">
        <v>204</v>
      </c>
      <c r="BO39" s="133" t="s">
        <v>205</v>
      </c>
      <c r="BP39" s="129" t="s">
        <v>227</v>
      </c>
      <c r="BQ39" s="129" t="s">
        <v>227</v>
      </c>
      <c r="BR39" s="129" t="s">
        <v>227</v>
      </c>
      <c r="BS39" s="129" t="s">
        <v>227</v>
      </c>
      <c r="BT39" s="129" t="s">
        <v>227</v>
      </c>
      <c r="BU39" s="129">
        <v>0</v>
      </c>
      <c r="BV39" s="136" t="s">
        <v>227</v>
      </c>
      <c r="BW39" s="129" t="s">
        <v>226</v>
      </c>
      <c r="BX39" s="138">
        <v>24.455789599590968</v>
      </c>
      <c r="BY39" s="135" t="s">
        <v>156</v>
      </c>
      <c r="BZ39" s="152">
        <v>1</v>
      </c>
      <c r="CA39" s="152">
        <v>1</v>
      </c>
      <c r="CB39" s="133" t="s">
        <v>228</v>
      </c>
      <c r="CC39" s="153" t="s">
        <v>227</v>
      </c>
      <c r="CD39" s="135" t="s">
        <v>227</v>
      </c>
      <c r="CE39" s="154" t="s">
        <v>227</v>
      </c>
      <c r="CF39" s="142" t="s">
        <v>227</v>
      </c>
      <c r="CG39" s="142" t="s">
        <v>227</v>
      </c>
      <c r="CH39" s="129" t="s">
        <v>227</v>
      </c>
      <c r="CI39" s="142" t="s">
        <v>227</v>
      </c>
      <c r="CJ39" s="142" t="s">
        <v>227</v>
      </c>
      <c r="CK39" s="142" t="s">
        <v>226</v>
      </c>
      <c r="CL39" s="129" t="s">
        <v>227</v>
      </c>
      <c r="CM39" s="142" t="s">
        <v>226</v>
      </c>
      <c r="CN39" s="142" t="s">
        <v>227</v>
      </c>
      <c r="CO39" s="142" t="s">
        <v>227</v>
      </c>
      <c r="CP39" s="142" t="s">
        <v>227</v>
      </c>
      <c r="CQ39" s="142" t="s">
        <v>227</v>
      </c>
      <c r="CR39" s="142" t="s">
        <v>227</v>
      </c>
      <c r="CS39" s="142" t="s">
        <v>227</v>
      </c>
      <c r="CT39" s="142" t="s">
        <v>227</v>
      </c>
      <c r="CU39" s="155">
        <v>35.213483082711178</v>
      </c>
      <c r="CV39" s="135" t="s">
        <v>156</v>
      </c>
      <c r="CW39" s="129">
        <v>1</v>
      </c>
      <c r="CX39" s="133" t="s">
        <v>206</v>
      </c>
      <c r="CY39" s="169">
        <v>1.09953E-2</v>
      </c>
      <c r="CZ39" s="129" t="s">
        <v>227</v>
      </c>
      <c r="DA39" s="129" t="s">
        <v>227</v>
      </c>
      <c r="DB39" s="141" t="s">
        <v>207</v>
      </c>
      <c r="DC39" s="169">
        <v>4.9596099999999997E-2</v>
      </c>
      <c r="DD39" s="129" t="s">
        <v>227</v>
      </c>
      <c r="DE39" s="129" t="s">
        <v>227</v>
      </c>
      <c r="DF39" s="133" t="s">
        <v>207</v>
      </c>
      <c r="DH39" s="129" t="s">
        <v>227</v>
      </c>
      <c r="DI39" s="129" t="s">
        <v>227</v>
      </c>
      <c r="DJ39" s="129" t="s">
        <v>227</v>
      </c>
      <c r="DK39" s="156">
        <f t="shared" si="7"/>
        <v>4.326E-4</v>
      </c>
      <c r="DL39" s="129" t="s">
        <v>227</v>
      </c>
      <c r="DM39" s="129" t="s">
        <v>227</v>
      </c>
      <c r="DN39" s="133" t="s">
        <v>209</v>
      </c>
      <c r="DO39" s="129">
        <v>39.61</v>
      </c>
      <c r="DP39" s="133" t="s">
        <v>210</v>
      </c>
      <c r="DQ39" s="129" t="s">
        <v>226</v>
      </c>
      <c r="DR39" s="133" t="s">
        <v>211</v>
      </c>
      <c r="DS39" s="133" t="s">
        <v>212</v>
      </c>
      <c r="DT39" s="157" t="s">
        <v>229</v>
      </c>
      <c r="DU39" s="158">
        <f t="shared" si="8"/>
        <v>1.0193966528727521</v>
      </c>
      <c r="DV39" s="156" t="s">
        <v>227</v>
      </c>
      <c r="DW39" s="156" t="s">
        <v>226</v>
      </c>
      <c r="DX39" s="157" t="s">
        <v>232</v>
      </c>
      <c r="DY39" s="159" t="s">
        <v>213</v>
      </c>
      <c r="DZ39" s="157" t="s">
        <v>214</v>
      </c>
      <c r="EA39" s="1" t="s">
        <v>217</v>
      </c>
      <c r="EB39" s="129" t="s">
        <v>218</v>
      </c>
      <c r="EC39" s="133" t="s">
        <v>219</v>
      </c>
      <c r="ED39" s="133" t="s">
        <v>219</v>
      </c>
      <c r="EE39" s="133" t="s">
        <v>220</v>
      </c>
      <c r="EH39" s="129" t="s">
        <v>215</v>
      </c>
      <c r="EI39" s="133" t="s">
        <v>216</v>
      </c>
      <c r="EJ39" s="153" t="s">
        <v>227</v>
      </c>
      <c r="EK39">
        <v>258.5</v>
      </c>
      <c r="EL39" s="133" t="s">
        <v>221</v>
      </c>
      <c r="EM39">
        <v>25</v>
      </c>
      <c r="EN39">
        <v>25</v>
      </c>
      <c r="EO39" t="s">
        <v>227</v>
      </c>
      <c r="EP39" t="s">
        <v>227</v>
      </c>
      <c r="EQ39" t="s">
        <v>227</v>
      </c>
      <c r="ER39" t="s">
        <v>227</v>
      </c>
      <c r="ES39" s="163">
        <v>8.1499959436734315</v>
      </c>
      <c r="ET39" s="142" t="s">
        <v>222</v>
      </c>
      <c r="EU39" s="164">
        <v>3.7889205430096773E-2</v>
      </c>
      <c r="EV39" s="164">
        <v>3.7889205430096773E-2</v>
      </c>
      <c r="EW39" s="165">
        <v>309.8</v>
      </c>
      <c r="EX39" s="129">
        <v>17</v>
      </c>
      <c r="EY39" s="139" t="s">
        <v>223</v>
      </c>
      <c r="EZ39" s="148">
        <f t="shared" si="9"/>
        <v>292.8</v>
      </c>
      <c r="FA39" s="162">
        <v>58.28333972071264</v>
      </c>
      <c r="FB39" s="162">
        <v>67.992952575983935</v>
      </c>
      <c r="FC39" s="133" t="s">
        <v>224</v>
      </c>
      <c r="FD39" s="133" t="s">
        <v>225</v>
      </c>
      <c r="FE39" s="129" t="s">
        <v>227</v>
      </c>
      <c r="FF39" s="129" t="s">
        <v>227</v>
      </c>
      <c r="FG39" s="129" t="s">
        <v>227</v>
      </c>
      <c r="FH39" s="129" t="s">
        <v>227</v>
      </c>
      <c r="FI39" s="129" t="s">
        <v>227</v>
      </c>
      <c r="FJ39" s="129" t="s">
        <v>227</v>
      </c>
      <c r="FK39" s="129" t="s">
        <v>227</v>
      </c>
      <c r="FL39" s="129" t="s">
        <v>227</v>
      </c>
      <c r="FM39" s="129" t="s">
        <v>227</v>
      </c>
      <c r="FN39" s="129" t="s">
        <v>227</v>
      </c>
      <c r="FO39" s="129" t="s">
        <v>227</v>
      </c>
      <c r="FP39" s="129" t="s">
        <v>227</v>
      </c>
    </row>
    <row r="40" spans="1:172" ht="18" x14ac:dyDescent="0.2">
      <c r="A40" s="130" t="s">
        <v>152</v>
      </c>
      <c r="B40" t="s">
        <v>153</v>
      </c>
      <c r="C40">
        <v>2011</v>
      </c>
      <c r="D40" t="s">
        <v>150</v>
      </c>
      <c r="E40" s="149">
        <f t="shared" si="1"/>
        <v>3792.1770000000001</v>
      </c>
      <c r="F40">
        <f t="shared" si="2"/>
        <v>6</v>
      </c>
      <c r="G40">
        <f t="shared" si="3"/>
        <v>6</v>
      </c>
      <c r="H40" s="167">
        <f t="shared" si="4"/>
        <v>270.5</v>
      </c>
      <c r="I40" s="167">
        <f t="shared" si="5"/>
        <v>55.084629491810148</v>
      </c>
      <c r="J40" s="167">
        <f t="shared" si="6"/>
        <v>63.955062348495915</v>
      </c>
      <c r="K40" s="141" t="s">
        <v>147</v>
      </c>
      <c r="L40" s="140" t="s">
        <v>148</v>
      </c>
      <c r="M40" s="139" t="s">
        <v>149</v>
      </c>
      <c r="N40" s="128" t="s">
        <v>150</v>
      </c>
      <c r="O40" s="129" t="s">
        <v>151</v>
      </c>
      <c r="P40" s="129" t="s">
        <v>154</v>
      </c>
      <c r="Q40" s="137">
        <v>13</v>
      </c>
      <c r="R40" s="137">
        <v>6</v>
      </c>
      <c r="S40" s="137">
        <v>48</v>
      </c>
      <c r="T40" s="137">
        <v>50</v>
      </c>
      <c r="U40" s="138">
        <v>120.08</v>
      </c>
      <c r="V40" s="136" t="s">
        <v>227</v>
      </c>
      <c r="W40" s="136" t="s">
        <v>227</v>
      </c>
      <c r="X40" s="133" t="s">
        <v>155</v>
      </c>
      <c r="Y40" s="134">
        <v>12.910833330000001</v>
      </c>
      <c r="Z40" s="134">
        <v>-78.833333330000002</v>
      </c>
      <c r="AA40" s="129" t="s">
        <v>227</v>
      </c>
      <c r="AB40" s="129" t="s">
        <v>227</v>
      </c>
      <c r="AC40" s="129">
        <v>-2838.9</v>
      </c>
      <c r="AD40" s="129" t="s">
        <v>227</v>
      </c>
      <c r="AE40" s="129" t="s">
        <v>227</v>
      </c>
      <c r="AF40" s="135" t="s">
        <v>227</v>
      </c>
      <c r="AG40" s="168">
        <v>3792.1770000000001</v>
      </c>
      <c r="AH40" s="142" t="s">
        <v>156</v>
      </c>
      <c r="AI40" s="129">
        <v>6</v>
      </c>
      <c r="AJ40">
        <v>6</v>
      </c>
      <c r="AK40" s="129" t="s">
        <v>227</v>
      </c>
      <c r="AL40" t="s">
        <v>227</v>
      </c>
      <c r="AM40" s="133" t="s">
        <v>157</v>
      </c>
      <c r="AN40" t="s">
        <v>227</v>
      </c>
      <c r="AO40" t="s">
        <v>227</v>
      </c>
      <c r="AP40" t="s">
        <v>227</v>
      </c>
      <c r="AQ40" t="s">
        <v>227</v>
      </c>
      <c r="AR40" t="s">
        <v>227</v>
      </c>
      <c r="AS40" t="s">
        <v>227</v>
      </c>
      <c r="AT40" t="s">
        <v>227</v>
      </c>
      <c r="AU40" s="133" t="s">
        <v>160</v>
      </c>
      <c r="AV40" s="170" t="s">
        <v>230</v>
      </c>
      <c r="AW40" s="139" t="s">
        <v>158</v>
      </c>
      <c r="AX40" s="145">
        <v>45.72</v>
      </c>
      <c r="AY40" s="139" t="s">
        <v>149</v>
      </c>
      <c r="AZ40" s="129" t="s">
        <v>227</v>
      </c>
      <c r="BA40" s="133" t="s">
        <v>159</v>
      </c>
      <c r="BB40" s="136" t="s">
        <v>198</v>
      </c>
      <c r="BC40">
        <v>3</v>
      </c>
      <c r="BD40" s="149">
        <v>3.0550504633039835E-2</v>
      </c>
      <c r="BE40" s="138">
        <v>21.090652616671495</v>
      </c>
      <c r="BF40" s="133" t="s">
        <v>162</v>
      </c>
      <c r="BG40" s="147">
        <v>0.39</v>
      </c>
      <c r="BH40" s="136" t="s">
        <v>227</v>
      </c>
      <c r="BI40" s="136" t="s">
        <v>227</v>
      </c>
      <c r="BJ40" s="143" t="s">
        <v>227</v>
      </c>
      <c r="BK40" s="150">
        <v>-4.2</v>
      </c>
      <c r="BL40" s="136" t="s">
        <v>227</v>
      </c>
      <c r="BM40" s="129" t="s">
        <v>226</v>
      </c>
      <c r="BN40" s="139" t="s">
        <v>204</v>
      </c>
      <c r="BO40" s="133" t="s">
        <v>205</v>
      </c>
      <c r="BP40" s="129" t="s">
        <v>227</v>
      </c>
      <c r="BQ40" s="129" t="s">
        <v>227</v>
      </c>
      <c r="BR40" s="129" t="s">
        <v>227</v>
      </c>
      <c r="BS40" s="129" t="s">
        <v>227</v>
      </c>
      <c r="BT40" s="129" t="s">
        <v>227</v>
      </c>
      <c r="BU40" s="129">
        <v>0</v>
      </c>
      <c r="BV40" s="136" t="s">
        <v>227</v>
      </c>
      <c r="BW40" s="129" t="s">
        <v>226</v>
      </c>
      <c r="BX40" s="138">
        <v>25.662832277399808</v>
      </c>
      <c r="BY40" s="135" t="s">
        <v>156</v>
      </c>
      <c r="BZ40" s="152">
        <v>1</v>
      </c>
      <c r="CA40" s="152">
        <v>1</v>
      </c>
      <c r="CB40" s="133" t="s">
        <v>228</v>
      </c>
      <c r="CC40" s="153" t="s">
        <v>227</v>
      </c>
      <c r="CD40" s="135" t="s">
        <v>227</v>
      </c>
      <c r="CE40" s="154" t="s">
        <v>227</v>
      </c>
      <c r="CF40" s="142" t="s">
        <v>227</v>
      </c>
      <c r="CG40" s="142" t="s">
        <v>227</v>
      </c>
      <c r="CH40" s="129" t="s">
        <v>227</v>
      </c>
      <c r="CI40" s="142" t="s">
        <v>227</v>
      </c>
      <c r="CJ40" s="142" t="s">
        <v>227</v>
      </c>
      <c r="CK40" s="142" t="s">
        <v>226</v>
      </c>
      <c r="CL40" s="129" t="s">
        <v>227</v>
      </c>
      <c r="CM40" s="142" t="s">
        <v>226</v>
      </c>
      <c r="CN40" s="142" t="s">
        <v>227</v>
      </c>
      <c r="CO40" s="142" t="s">
        <v>227</v>
      </c>
      <c r="CP40" s="142" t="s">
        <v>227</v>
      </c>
      <c r="CQ40" s="142" t="s">
        <v>227</v>
      </c>
      <c r="CR40" s="142" t="s">
        <v>227</v>
      </c>
      <c r="CS40" s="142" t="s">
        <v>227</v>
      </c>
      <c r="CT40" s="142" t="s">
        <v>227</v>
      </c>
      <c r="CU40" s="155">
        <v>36.388293359584068</v>
      </c>
      <c r="CV40" s="135" t="s">
        <v>156</v>
      </c>
      <c r="CW40" s="129">
        <v>1</v>
      </c>
      <c r="CX40" s="133" t="s">
        <v>206</v>
      </c>
      <c r="CY40" s="169">
        <v>1.1009700000000001E-2</v>
      </c>
      <c r="CZ40" s="129" t="s">
        <v>227</v>
      </c>
      <c r="DA40" s="129" t="s">
        <v>227</v>
      </c>
      <c r="DB40" s="141" t="s">
        <v>207</v>
      </c>
      <c r="DC40" s="169">
        <v>4.95337E-2</v>
      </c>
      <c r="DD40" s="129" t="s">
        <v>227</v>
      </c>
      <c r="DE40" s="129" t="s">
        <v>227</v>
      </c>
      <c r="DF40" s="133" t="s">
        <v>207</v>
      </c>
      <c r="DH40" s="129" t="s">
        <v>227</v>
      </c>
      <c r="DI40" s="129" t="s">
        <v>227</v>
      </c>
      <c r="DJ40" s="129" t="s">
        <v>227</v>
      </c>
      <c r="DK40" s="156">
        <f t="shared" si="7"/>
        <v>4.326E-4</v>
      </c>
      <c r="DL40" s="129" t="s">
        <v>227</v>
      </c>
      <c r="DM40" s="129" t="s">
        <v>227</v>
      </c>
      <c r="DN40" s="133" t="s">
        <v>209</v>
      </c>
      <c r="DO40" s="129">
        <v>39.61</v>
      </c>
      <c r="DP40" s="133" t="s">
        <v>210</v>
      </c>
      <c r="DQ40" s="129" t="s">
        <v>226</v>
      </c>
      <c r="DR40" s="133" t="s">
        <v>211</v>
      </c>
      <c r="DS40" s="133" t="s">
        <v>212</v>
      </c>
      <c r="DT40" s="157" t="s">
        <v>229</v>
      </c>
      <c r="DU40" s="158">
        <f t="shared" si="8"/>
        <v>1.0193372603377906</v>
      </c>
      <c r="DV40" s="156" t="s">
        <v>227</v>
      </c>
      <c r="DW40" s="156" t="s">
        <v>226</v>
      </c>
      <c r="DX40" s="157" t="s">
        <v>232</v>
      </c>
      <c r="DY40" s="159" t="s">
        <v>213</v>
      </c>
      <c r="DZ40" s="157" t="s">
        <v>214</v>
      </c>
      <c r="EA40" s="1" t="s">
        <v>217</v>
      </c>
      <c r="EB40" s="129" t="s">
        <v>218</v>
      </c>
      <c r="EC40" s="133" t="s">
        <v>219</v>
      </c>
      <c r="ED40" s="133" t="s">
        <v>219</v>
      </c>
      <c r="EE40" s="133" t="s">
        <v>220</v>
      </c>
      <c r="EH40" s="129" t="s">
        <v>215</v>
      </c>
      <c r="EI40" s="133" t="s">
        <v>216</v>
      </c>
      <c r="EJ40" s="153" t="s">
        <v>227</v>
      </c>
      <c r="EK40">
        <v>268.3</v>
      </c>
      <c r="EL40" s="133" t="s">
        <v>221</v>
      </c>
      <c r="EM40">
        <v>25</v>
      </c>
      <c r="EN40">
        <v>25</v>
      </c>
      <c r="EO40" t="s">
        <v>227</v>
      </c>
      <c r="EP40" t="s">
        <v>227</v>
      </c>
      <c r="EQ40" t="s">
        <v>227</v>
      </c>
      <c r="ER40" t="s">
        <v>227</v>
      </c>
      <c r="ES40" s="163">
        <v>8.1650395162263631</v>
      </c>
      <c r="ET40" s="142" t="s">
        <v>222</v>
      </c>
      <c r="EU40" s="164">
        <v>4.212568009877149E-2</v>
      </c>
      <c r="EV40" s="164">
        <v>4.212568009877149E-2</v>
      </c>
      <c r="EW40" s="165">
        <v>287.5</v>
      </c>
      <c r="EX40" s="129">
        <v>17</v>
      </c>
      <c r="EY40" s="139" t="s">
        <v>223</v>
      </c>
      <c r="EZ40" s="148">
        <f t="shared" si="9"/>
        <v>270.5</v>
      </c>
      <c r="FA40" s="162">
        <v>55.084629491810148</v>
      </c>
      <c r="FB40" s="162">
        <v>63.955062348495915</v>
      </c>
      <c r="FC40" s="133" t="s">
        <v>224</v>
      </c>
      <c r="FD40" s="133" t="s">
        <v>225</v>
      </c>
      <c r="FE40" s="129" t="s">
        <v>227</v>
      </c>
      <c r="FF40" s="129" t="s">
        <v>227</v>
      </c>
      <c r="FG40" s="129" t="s">
        <v>227</v>
      </c>
      <c r="FH40" s="129" t="s">
        <v>227</v>
      </c>
      <c r="FI40" s="129" t="s">
        <v>227</v>
      </c>
      <c r="FJ40" s="129" t="s">
        <v>227</v>
      </c>
      <c r="FK40" s="129" t="s">
        <v>227</v>
      </c>
      <c r="FL40" s="129" t="s">
        <v>227</v>
      </c>
      <c r="FM40" s="129" t="s">
        <v>227</v>
      </c>
      <c r="FN40" s="129" t="s">
        <v>227</v>
      </c>
      <c r="FO40" s="129" t="s">
        <v>227</v>
      </c>
      <c r="FP40" s="129" t="s">
        <v>227</v>
      </c>
    </row>
    <row r="41" spans="1:172" ht="18" x14ac:dyDescent="0.2">
      <c r="A41" s="130" t="s">
        <v>152</v>
      </c>
      <c r="B41" t="s">
        <v>153</v>
      </c>
      <c r="C41">
        <v>2011</v>
      </c>
      <c r="D41" t="s">
        <v>150</v>
      </c>
      <c r="E41" s="149">
        <f t="shared" si="1"/>
        <v>3870.1309999999999</v>
      </c>
      <c r="F41">
        <f t="shared" si="2"/>
        <v>6</v>
      </c>
      <c r="G41">
        <f t="shared" si="3"/>
        <v>6</v>
      </c>
      <c r="H41" s="167">
        <f t="shared" si="4"/>
        <v>390.9</v>
      </c>
      <c r="I41" s="167">
        <f t="shared" si="5"/>
        <v>72.895549330874786</v>
      </c>
      <c r="J41" s="167">
        <f t="shared" si="6"/>
        <v>86.251355931370725</v>
      </c>
      <c r="K41" s="141" t="s">
        <v>147</v>
      </c>
      <c r="L41" s="140" t="s">
        <v>148</v>
      </c>
      <c r="M41" s="139" t="s">
        <v>149</v>
      </c>
      <c r="N41" s="128" t="s">
        <v>150</v>
      </c>
      <c r="O41" s="136" t="s">
        <v>151</v>
      </c>
      <c r="P41" s="129" t="s">
        <v>154</v>
      </c>
      <c r="Q41" s="137">
        <v>14</v>
      </c>
      <c r="R41" s="137">
        <v>1</v>
      </c>
      <c r="S41" s="137">
        <v>48</v>
      </c>
      <c r="T41" s="137">
        <v>50</v>
      </c>
      <c r="U41" s="138">
        <v>122.08</v>
      </c>
      <c r="V41" s="136" t="s">
        <v>227</v>
      </c>
      <c r="W41" s="136" t="s">
        <v>227</v>
      </c>
      <c r="X41" s="133" t="s">
        <v>155</v>
      </c>
      <c r="Y41" s="134">
        <v>12.910833330000001</v>
      </c>
      <c r="Z41" s="134">
        <v>-78.833333330000002</v>
      </c>
      <c r="AA41" s="129" t="s">
        <v>227</v>
      </c>
      <c r="AB41" s="129" t="s">
        <v>227</v>
      </c>
      <c r="AC41" s="129">
        <v>-2838.9</v>
      </c>
      <c r="AD41" s="129" t="s">
        <v>227</v>
      </c>
      <c r="AE41" s="129" t="s">
        <v>227</v>
      </c>
      <c r="AF41" s="135" t="s">
        <v>227</v>
      </c>
      <c r="AG41" s="168">
        <v>3870.1309999999999</v>
      </c>
      <c r="AH41" s="142" t="s">
        <v>156</v>
      </c>
      <c r="AI41" s="129">
        <v>6</v>
      </c>
      <c r="AJ41">
        <v>6</v>
      </c>
      <c r="AK41" s="129" t="s">
        <v>227</v>
      </c>
      <c r="AL41" t="s">
        <v>227</v>
      </c>
      <c r="AM41" s="133" t="s">
        <v>157</v>
      </c>
      <c r="AN41" t="s">
        <v>227</v>
      </c>
      <c r="AO41" t="s">
        <v>227</v>
      </c>
      <c r="AP41" t="s">
        <v>227</v>
      </c>
      <c r="AQ41" t="s">
        <v>227</v>
      </c>
      <c r="AR41" t="s">
        <v>227</v>
      </c>
      <c r="AS41" t="s">
        <v>227</v>
      </c>
      <c r="AT41" t="s">
        <v>227</v>
      </c>
      <c r="AU41" s="133" t="s">
        <v>160</v>
      </c>
      <c r="AV41" s="170" t="s">
        <v>230</v>
      </c>
      <c r="AW41" s="139" t="s">
        <v>158</v>
      </c>
      <c r="AX41" s="145">
        <v>52.95</v>
      </c>
      <c r="AY41" s="139" t="s">
        <v>149</v>
      </c>
      <c r="AZ41" s="129" t="s">
        <v>227</v>
      </c>
      <c r="BA41" s="133" t="s">
        <v>159</v>
      </c>
      <c r="BB41" s="136" t="s">
        <v>199</v>
      </c>
      <c r="BC41">
        <v>4</v>
      </c>
      <c r="BD41" s="149">
        <v>0.15187714333192648</v>
      </c>
      <c r="BE41" s="138">
        <v>20.171894636451416</v>
      </c>
      <c r="BF41" s="133" t="s">
        <v>162</v>
      </c>
      <c r="BG41" s="147">
        <v>0.33</v>
      </c>
      <c r="BH41" s="136" t="s">
        <v>227</v>
      </c>
      <c r="BI41" s="136" t="s">
        <v>227</v>
      </c>
      <c r="BJ41" s="143" t="s">
        <v>227</v>
      </c>
      <c r="BK41" s="150">
        <v>-4.2</v>
      </c>
      <c r="BL41" s="136" t="s">
        <v>227</v>
      </c>
      <c r="BM41" s="129" t="s">
        <v>226</v>
      </c>
      <c r="BN41" s="139" t="s">
        <v>204</v>
      </c>
      <c r="BO41" s="133" t="s">
        <v>205</v>
      </c>
      <c r="BP41" s="129" t="s">
        <v>227</v>
      </c>
      <c r="BQ41" s="129" t="s">
        <v>227</v>
      </c>
      <c r="BR41" s="129" t="s">
        <v>227</v>
      </c>
      <c r="BS41" s="129" t="s">
        <v>227</v>
      </c>
      <c r="BT41" s="129" t="s">
        <v>227</v>
      </c>
      <c r="BU41" s="129">
        <v>0</v>
      </c>
      <c r="BV41" s="136" t="s">
        <v>227</v>
      </c>
      <c r="BW41" s="129" t="s">
        <v>226</v>
      </c>
      <c r="BX41" s="138">
        <v>23.101458292823892</v>
      </c>
      <c r="BY41" s="135" t="s">
        <v>156</v>
      </c>
      <c r="BZ41" s="152">
        <v>1</v>
      </c>
      <c r="CA41" s="152">
        <v>1</v>
      </c>
      <c r="CB41" s="133" t="s">
        <v>228</v>
      </c>
      <c r="CC41" s="153" t="s">
        <v>227</v>
      </c>
      <c r="CD41" s="135" t="s">
        <v>227</v>
      </c>
      <c r="CE41" s="154" t="s">
        <v>227</v>
      </c>
      <c r="CF41" s="142" t="s">
        <v>227</v>
      </c>
      <c r="CG41" s="142" t="s">
        <v>227</v>
      </c>
      <c r="CH41" s="129" t="s">
        <v>227</v>
      </c>
      <c r="CI41" s="142" t="s">
        <v>227</v>
      </c>
      <c r="CJ41" s="142" t="s">
        <v>227</v>
      </c>
      <c r="CK41" s="142" t="s">
        <v>226</v>
      </c>
      <c r="CL41" s="129" t="s">
        <v>227</v>
      </c>
      <c r="CM41" s="142" t="s">
        <v>226</v>
      </c>
      <c r="CN41" s="142" t="s">
        <v>227</v>
      </c>
      <c r="CO41" s="142" t="s">
        <v>227</v>
      </c>
      <c r="CP41" s="142" t="s">
        <v>227</v>
      </c>
      <c r="CQ41" s="142" t="s">
        <v>227</v>
      </c>
      <c r="CR41" s="142" t="s">
        <v>227</v>
      </c>
      <c r="CS41" s="142" t="s">
        <v>227</v>
      </c>
      <c r="CT41" s="142" t="s">
        <v>227</v>
      </c>
      <c r="CU41" s="155">
        <v>35.874386473319568</v>
      </c>
      <c r="CV41" s="135" t="s">
        <v>156</v>
      </c>
      <c r="CW41" s="129">
        <v>1</v>
      </c>
      <c r="CX41" s="133" t="s">
        <v>206</v>
      </c>
      <c r="CY41" s="169">
        <v>1.1024300000000001E-2</v>
      </c>
      <c r="CZ41" s="129" t="s">
        <v>227</v>
      </c>
      <c r="DA41" s="129" t="s">
        <v>227</v>
      </c>
      <c r="DB41" s="141" t="s">
        <v>207</v>
      </c>
      <c r="DC41" s="169">
        <v>4.9469900000000004E-2</v>
      </c>
      <c r="DD41" s="129" t="s">
        <v>227</v>
      </c>
      <c r="DE41" s="129" t="s">
        <v>227</v>
      </c>
      <c r="DF41" s="133" t="s">
        <v>207</v>
      </c>
      <c r="DH41" s="129" t="s">
        <v>227</v>
      </c>
      <c r="DI41" s="129" t="s">
        <v>227</v>
      </c>
      <c r="DJ41" s="129" t="s">
        <v>227</v>
      </c>
      <c r="DK41" s="156">
        <f t="shared" si="7"/>
        <v>4.326E-4</v>
      </c>
      <c r="DL41" s="129" t="s">
        <v>227</v>
      </c>
      <c r="DM41" s="129" t="s">
        <v>227</v>
      </c>
      <c r="DN41" s="133" t="s">
        <v>209</v>
      </c>
      <c r="DO41" s="129">
        <v>39.61</v>
      </c>
      <c r="DP41" s="133" t="s">
        <v>210</v>
      </c>
      <c r="DQ41" s="129" t="s">
        <v>226</v>
      </c>
      <c r="DR41" s="133" t="s">
        <v>211</v>
      </c>
      <c r="DS41" s="133" t="s">
        <v>212</v>
      </c>
      <c r="DT41" s="157" t="s">
        <v>229</v>
      </c>
      <c r="DU41" s="158">
        <f t="shared" si="8"/>
        <v>1.0194632927447016</v>
      </c>
      <c r="DV41" s="156" t="s">
        <v>227</v>
      </c>
      <c r="DW41" s="156" t="s">
        <v>226</v>
      </c>
      <c r="DX41" s="157" t="s">
        <v>232</v>
      </c>
      <c r="DY41" s="159" t="s">
        <v>213</v>
      </c>
      <c r="DZ41" s="157" t="s">
        <v>214</v>
      </c>
      <c r="EA41" s="1" t="s">
        <v>217</v>
      </c>
      <c r="EB41" s="129" t="s">
        <v>218</v>
      </c>
      <c r="EC41" s="133" t="s">
        <v>219</v>
      </c>
      <c r="ED41" s="133" t="s">
        <v>219</v>
      </c>
      <c r="EE41" s="133" t="s">
        <v>220</v>
      </c>
      <c r="EH41" s="129" t="s">
        <v>215</v>
      </c>
      <c r="EI41" s="133" t="s">
        <v>216</v>
      </c>
      <c r="EJ41" s="153" t="s">
        <v>227</v>
      </c>
      <c r="EK41">
        <v>263.3</v>
      </c>
      <c r="EL41" s="133" t="s">
        <v>221</v>
      </c>
      <c r="EM41">
        <v>25</v>
      </c>
      <c r="EN41">
        <v>25</v>
      </c>
      <c r="EO41" t="s">
        <v>227</v>
      </c>
      <c r="EP41" t="s">
        <v>227</v>
      </c>
      <c r="EQ41" t="s">
        <v>227</v>
      </c>
      <c r="ER41" t="s">
        <v>227</v>
      </c>
      <c r="ES41" s="163">
        <v>8.1017561001888581</v>
      </c>
      <c r="ET41" s="142" t="s">
        <v>222</v>
      </c>
      <c r="EU41" s="164">
        <v>4.0549448349048944E-2</v>
      </c>
      <c r="EV41" s="164">
        <v>4.0549448349048944E-2</v>
      </c>
      <c r="EW41" s="165">
        <v>407.9</v>
      </c>
      <c r="EX41" s="129">
        <v>17</v>
      </c>
      <c r="EY41" s="139" t="s">
        <v>223</v>
      </c>
      <c r="EZ41" s="148">
        <f t="shared" si="9"/>
        <v>390.9</v>
      </c>
      <c r="FA41" s="162">
        <v>72.895549330874786</v>
      </c>
      <c r="FB41" s="162">
        <v>86.251355931370725</v>
      </c>
      <c r="FC41" s="133" t="s">
        <v>224</v>
      </c>
      <c r="FD41" s="133" t="s">
        <v>225</v>
      </c>
      <c r="FE41" s="129" t="s">
        <v>227</v>
      </c>
      <c r="FF41" s="129" t="s">
        <v>227</v>
      </c>
      <c r="FG41" s="129" t="s">
        <v>227</v>
      </c>
      <c r="FH41" s="129" t="s">
        <v>227</v>
      </c>
      <c r="FI41" s="129" t="s">
        <v>227</v>
      </c>
      <c r="FJ41" s="129" t="s">
        <v>227</v>
      </c>
      <c r="FK41" s="129" t="s">
        <v>227</v>
      </c>
      <c r="FL41" s="129" t="s">
        <v>227</v>
      </c>
      <c r="FM41" s="129" t="s">
        <v>227</v>
      </c>
      <c r="FN41" s="129" t="s">
        <v>227</v>
      </c>
      <c r="FO41" s="129" t="s">
        <v>227</v>
      </c>
      <c r="FP41" s="129" t="s">
        <v>227</v>
      </c>
    </row>
    <row r="42" spans="1:172" ht="18" x14ac:dyDescent="0.2">
      <c r="A42" s="130" t="s">
        <v>152</v>
      </c>
      <c r="B42" t="s">
        <v>153</v>
      </c>
      <c r="C42">
        <v>2011</v>
      </c>
      <c r="D42" t="s">
        <v>150</v>
      </c>
      <c r="E42" s="149">
        <f t="shared" si="1"/>
        <v>3961.0680000000002</v>
      </c>
      <c r="F42">
        <f t="shared" si="2"/>
        <v>6</v>
      </c>
      <c r="G42">
        <f t="shared" si="3"/>
        <v>6</v>
      </c>
      <c r="H42" s="167">
        <f t="shared" si="4"/>
        <v>277.5</v>
      </c>
      <c r="I42" s="167">
        <f t="shared" si="5"/>
        <v>56.082359581690213</v>
      </c>
      <c r="J42" s="167">
        <f t="shared" si="6"/>
        <v>65.216638981167989</v>
      </c>
      <c r="K42" s="141" t="s">
        <v>147</v>
      </c>
      <c r="L42" s="140" t="s">
        <v>148</v>
      </c>
      <c r="M42" s="139" t="s">
        <v>149</v>
      </c>
      <c r="N42" s="128" t="s">
        <v>150</v>
      </c>
      <c r="O42" s="129" t="s">
        <v>151</v>
      </c>
      <c r="P42" s="129" t="s">
        <v>154</v>
      </c>
      <c r="Q42" s="137">
        <v>14</v>
      </c>
      <c r="R42" s="137">
        <v>3</v>
      </c>
      <c r="S42" s="137">
        <v>7</v>
      </c>
      <c r="T42" s="137">
        <v>9</v>
      </c>
      <c r="U42" s="138">
        <v>124.67</v>
      </c>
      <c r="V42" s="136" t="s">
        <v>227</v>
      </c>
      <c r="W42" s="136" t="s">
        <v>227</v>
      </c>
      <c r="X42" s="133" t="s">
        <v>155</v>
      </c>
      <c r="Y42" s="134">
        <v>12.910833330000001</v>
      </c>
      <c r="Z42" s="134">
        <v>-78.833333330000002</v>
      </c>
      <c r="AA42" s="129" t="s">
        <v>227</v>
      </c>
      <c r="AB42" s="129" t="s">
        <v>227</v>
      </c>
      <c r="AC42" s="129">
        <v>-2838.9</v>
      </c>
      <c r="AD42" s="129" t="s">
        <v>227</v>
      </c>
      <c r="AE42" s="129" t="s">
        <v>227</v>
      </c>
      <c r="AF42" s="135" t="s">
        <v>227</v>
      </c>
      <c r="AG42" s="168">
        <v>3961.0680000000002</v>
      </c>
      <c r="AH42" s="142" t="s">
        <v>156</v>
      </c>
      <c r="AI42" s="129">
        <v>6</v>
      </c>
      <c r="AJ42">
        <v>6</v>
      </c>
      <c r="AK42" s="129" t="s">
        <v>227</v>
      </c>
      <c r="AL42" t="s">
        <v>227</v>
      </c>
      <c r="AM42" s="133" t="s">
        <v>157</v>
      </c>
      <c r="AN42" t="s">
        <v>227</v>
      </c>
      <c r="AO42" t="s">
        <v>227</v>
      </c>
      <c r="AP42" t="s">
        <v>227</v>
      </c>
      <c r="AQ42" t="s">
        <v>227</v>
      </c>
      <c r="AR42" t="s">
        <v>227</v>
      </c>
      <c r="AS42" t="s">
        <v>227</v>
      </c>
      <c r="AT42" t="s">
        <v>227</v>
      </c>
      <c r="AU42" s="133" t="s">
        <v>160</v>
      </c>
      <c r="AV42" s="170" t="s">
        <v>230</v>
      </c>
      <c r="AW42" s="139" t="s">
        <v>158</v>
      </c>
      <c r="AX42" s="145">
        <v>50.42</v>
      </c>
      <c r="AY42" s="139" t="s">
        <v>149</v>
      </c>
      <c r="AZ42" s="129" t="s">
        <v>227</v>
      </c>
      <c r="BA42" s="133" t="s">
        <v>159</v>
      </c>
      <c r="BB42" s="136" t="s">
        <v>200</v>
      </c>
      <c r="BC42">
        <v>4</v>
      </c>
      <c r="BD42" s="149">
        <v>0.10045728777279705</v>
      </c>
      <c r="BE42" s="138">
        <v>20.74584240215739</v>
      </c>
      <c r="BF42" s="133" t="s">
        <v>162</v>
      </c>
      <c r="BG42" s="147">
        <v>0.33</v>
      </c>
      <c r="BH42" s="136" t="s">
        <v>227</v>
      </c>
      <c r="BI42" s="136" t="s">
        <v>227</v>
      </c>
      <c r="BJ42" s="143" t="s">
        <v>227</v>
      </c>
      <c r="BK42" s="150">
        <v>-4.2</v>
      </c>
      <c r="BL42" s="136" t="s">
        <v>227</v>
      </c>
      <c r="BM42" s="129" t="s">
        <v>226</v>
      </c>
      <c r="BN42" s="139" t="s">
        <v>204</v>
      </c>
      <c r="BO42" s="133" t="s">
        <v>205</v>
      </c>
      <c r="BP42" s="129" t="s">
        <v>227</v>
      </c>
      <c r="BQ42" s="129" t="s">
        <v>227</v>
      </c>
      <c r="BR42" s="129" t="s">
        <v>227</v>
      </c>
      <c r="BS42" s="129" t="s">
        <v>227</v>
      </c>
      <c r="BT42" s="129" t="s">
        <v>227</v>
      </c>
      <c r="BU42" s="129">
        <v>0</v>
      </c>
      <c r="BV42" s="136" t="s">
        <v>227</v>
      </c>
      <c r="BW42" s="129" t="s">
        <v>226</v>
      </c>
      <c r="BX42" s="138">
        <v>25.26358773044355</v>
      </c>
      <c r="BY42" s="135" t="s">
        <v>156</v>
      </c>
      <c r="BZ42" s="152">
        <v>1</v>
      </c>
      <c r="CA42" s="152">
        <v>1</v>
      </c>
      <c r="CB42" s="133" t="s">
        <v>228</v>
      </c>
      <c r="CC42" s="153" t="s">
        <v>227</v>
      </c>
      <c r="CD42" s="135" t="s">
        <v>227</v>
      </c>
      <c r="CE42" s="154" t="s">
        <v>227</v>
      </c>
      <c r="CF42" s="142" t="s">
        <v>227</v>
      </c>
      <c r="CG42" s="142" t="s">
        <v>227</v>
      </c>
      <c r="CH42" s="129" t="s">
        <v>227</v>
      </c>
      <c r="CI42" s="142" t="s">
        <v>227</v>
      </c>
      <c r="CJ42" s="142" t="s">
        <v>227</v>
      </c>
      <c r="CK42" s="142" t="s">
        <v>226</v>
      </c>
      <c r="CL42" s="129" t="s">
        <v>227</v>
      </c>
      <c r="CM42" s="142" t="s">
        <v>226</v>
      </c>
      <c r="CN42" s="142" t="s">
        <v>227</v>
      </c>
      <c r="CO42" s="142" t="s">
        <v>227</v>
      </c>
      <c r="CP42" s="142" t="s">
        <v>227</v>
      </c>
      <c r="CQ42" s="142" t="s">
        <v>227</v>
      </c>
      <c r="CR42" s="142" t="s">
        <v>227</v>
      </c>
      <c r="CS42" s="142" t="s">
        <v>227</v>
      </c>
      <c r="CT42" s="142" t="s">
        <v>227</v>
      </c>
      <c r="CU42" s="155">
        <v>33.868030458569407</v>
      </c>
      <c r="CV42" s="135" t="s">
        <v>156</v>
      </c>
      <c r="CW42" s="129">
        <v>1</v>
      </c>
      <c r="CX42" s="133" t="s">
        <v>206</v>
      </c>
      <c r="CY42" s="169">
        <v>1.10414E-2</v>
      </c>
      <c r="CZ42" s="129" t="s">
        <v>227</v>
      </c>
      <c r="DA42" s="129" t="s">
        <v>227</v>
      </c>
      <c r="DB42" s="141" t="s">
        <v>207</v>
      </c>
      <c r="DC42" s="169">
        <v>4.9395700000000001E-2</v>
      </c>
      <c r="DD42" s="129" t="s">
        <v>227</v>
      </c>
      <c r="DE42" s="129" t="s">
        <v>227</v>
      </c>
      <c r="DF42" s="133" t="s">
        <v>207</v>
      </c>
      <c r="DH42" s="129" t="s">
        <v>227</v>
      </c>
      <c r="DI42" s="129" t="s">
        <v>227</v>
      </c>
      <c r="DJ42" s="129" t="s">
        <v>227</v>
      </c>
      <c r="DK42" s="156">
        <f t="shared" si="7"/>
        <v>4.326E-4</v>
      </c>
      <c r="DL42" s="129" t="s">
        <v>227</v>
      </c>
      <c r="DM42" s="129" t="s">
        <v>227</v>
      </c>
      <c r="DN42" s="133" t="s">
        <v>209</v>
      </c>
      <c r="DO42" s="129">
        <v>39.61</v>
      </c>
      <c r="DP42" s="133" t="s">
        <v>210</v>
      </c>
      <c r="DQ42" s="129" t="s">
        <v>226</v>
      </c>
      <c r="DR42" s="133" t="s">
        <v>211</v>
      </c>
      <c r="DS42" s="133" t="s">
        <v>212</v>
      </c>
      <c r="DT42" s="157" t="s">
        <v>229</v>
      </c>
      <c r="DU42" s="158">
        <f t="shared" si="8"/>
        <v>1.0193569051657234</v>
      </c>
      <c r="DV42" s="156" t="s">
        <v>227</v>
      </c>
      <c r="DW42" s="156" t="s">
        <v>226</v>
      </c>
      <c r="DX42" s="157" t="s">
        <v>232</v>
      </c>
      <c r="DY42" s="159" t="s">
        <v>213</v>
      </c>
      <c r="DZ42" s="157" t="s">
        <v>214</v>
      </c>
      <c r="EA42" s="1" t="s">
        <v>217</v>
      </c>
      <c r="EB42" s="129" t="s">
        <v>218</v>
      </c>
      <c r="EC42" s="133" t="s">
        <v>219</v>
      </c>
      <c r="ED42" s="133" t="s">
        <v>219</v>
      </c>
      <c r="EE42" s="133" t="s">
        <v>220</v>
      </c>
      <c r="EH42" s="129" t="s">
        <v>215</v>
      </c>
      <c r="EI42" s="133" t="s">
        <v>216</v>
      </c>
      <c r="EJ42" s="153" t="s">
        <v>227</v>
      </c>
      <c r="EK42">
        <v>242.7</v>
      </c>
      <c r="EL42" s="133" t="s">
        <v>221</v>
      </c>
      <c r="EM42">
        <v>25</v>
      </c>
      <c r="EN42">
        <v>25</v>
      </c>
      <c r="EO42" t="s">
        <v>227</v>
      </c>
      <c r="EP42" t="s">
        <v>227</v>
      </c>
      <c r="EQ42" t="s">
        <v>227</v>
      </c>
      <c r="ER42" t="s">
        <v>227</v>
      </c>
      <c r="ES42" s="163">
        <v>8.1465521004487318</v>
      </c>
      <c r="ET42" s="142" t="s">
        <v>222</v>
      </c>
      <c r="EU42" s="164">
        <v>3.8041617135583294E-2</v>
      </c>
      <c r="EV42" s="164">
        <v>3.8041617135583294E-2</v>
      </c>
      <c r="EW42" s="165">
        <v>294.5</v>
      </c>
      <c r="EX42" s="129">
        <v>17</v>
      </c>
      <c r="EY42" s="139" t="s">
        <v>223</v>
      </c>
      <c r="EZ42" s="148">
        <f t="shared" si="9"/>
        <v>277.5</v>
      </c>
      <c r="FA42" s="162">
        <v>56.082359581690213</v>
      </c>
      <c r="FB42" s="162">
        <v>65.216638981167989</v>
      </c>
      <c r="FC42" s="133" t="s">
        <v>224</v>
      </c>
      <c r="FD42" s="133" t="s">
        <v>225</v>
      </c>
      <c r="FE42" s="129" t="s">
        <v>227</v>
      </c>
      <c r="FF42" s="129" t="s">
        <v>227</v>
      </c>
      <c r="FG42" s="129" t="s">
        <v>227</v>
      </c>
      <c r="FH42" s="129" t="s">
        <v>227</v>
      </c>
      <c r="FI42" s="129" t="s">
        <v>227</v>
      </c>
      <c r="FJ42" s="129" t="s">
        <v>227</v>
      </c>
      <c r="FK42" s="129" t="s">
        <v>227</v>
      </c>
      <c r="FL42" s="129" t="s">
        <v>227</v>
      </c>
      <c r="FM42" s="129" t="s">
        <v>227</v>
      </c>
      <c r="FN42" s="129" t="s">
        <v>227</v>
      </c>
      <c r="FO42" s="129" t="s">
        <v>227</v>
      </c>
      <c r="FP42" s="129" t="s">
        <v>227</v>
      </c>
    </row>
    <row r="43" spans="1:172" ht="18" x14ac:dyDescent="0.2">
      <c r="A43" s="130" t="s">
        <v>152</v>
      </c>
      <c r="B43" t="s">
        <v>153</v>
      </c>
      <c r="C43">
        <v>2011</v>
      </c>
      <c r="D43" t="s">
        <v>150</v>
      </c>
      <c r="E43" s="149">
        <f t="shared" si="1"/>
        <v>4036.1840000000002</v>
      </c>
      <c r="F43">
        <f t="shared" si="2"/>
        <v>6</v>
      </c>
      <c r="G43">
        <f t="shared" si="3"/>
        <v>6</v>
      </c>
      <c r="H43" s="167">
        <f t="shared" si="4"/>
        <v>317.39999999999998</v>
      </c>
      <c r="I43" s="167">
        <f t="shared" si="5"/>
        <v>61.87399272715475</v>
      </c>
      <c r="J43" s="167">
        <f t="shared" si="6"/>
        <v>72.504719846365859</v>
      </c>
      <c r="K43" s="141" t="s">
        <v>147</v>
      </c>
      <c r="L43" s="140" t="s">
        <v>148</v>
      </c>
      <c r="M43" s="139" t="s">
        <v>149</v>
      </c>
      <c r="N43" s="128" t="s">
        <v>150</v>
      </c>
      <c r="O43" s="136" t="s">
        <v>151</v>
      </c>
      <c r="P43" s="129" t="s">
        <v>154</v>
      </c>
      <c r="Q43" s="137">
        <v>14</v>
      </c>
      <c r="R43" s="137">
        <v>4</v>
      </c>
      <c r="S43" s="137">
        <v>98</v>
      </c>
      <c r="T43" s="137">
        <v>100</v>
      </c>
      <c r="U43" s="138">
        <v>127.08</v>
      </c>
      <c r="V43" s="136" t="s">
        <v>227</v>
      </c>
      <c r="W43" s="136" t="s">
        <v>227</v>
      </c>
      <c r="X43" s="133" t="s">
        <v>155</v>
      </c>
      <c r="Y43" s="134">
        <v>12.910833330000001</v>
      </c>
      <c r="Z43" s="134">
        <v>-78.833333330000002</v>
      </c>
      <c r="AA43" s="129" t="s">
        <v>227</v>
      </c>
      <c r="AB43" s="129" t="s">
        <v>227</v>
      </c>
      <c r="AC43" s="129">
        <v>-2838.9</v>
      </c>
      <c r="AD43" s="129" t="s">
        <v>227</v>
      </c>
      <c r="AE43" s="129" t="s">
        <v>227</v>
      </c>
      <c r="AF43" s="135" t="s">
        <v>227</v>
      </c>
      <c r="AG43" s="168">
        <v>4036.1840000000002</v>
      </c>
      <c r="AH43" s="142" t="s">
        <v>156</v>
      </c>
      <c r="AI43" s="129">
        <v>6</v>
      </c>
      <c r="AJ43">
        <v>6</v>
      </c>
      <c r="AK43" s="129" t="s">
        <v>227</v>
      </c>
      <c r="AL43" t="s">
        <v>227</v>
      </c>
      <c r="AM43" s="133" t="s">
        <v>157</v>
      </c>
      <c r="AN43" t="s">
        <v>227</v>
      </c>
      <c r="AO43" t="s">
        <v>227</v>
      </c>
      <c r="AP43" t="s">
        <v>227</v>
      </c>
      <c r="AQ43" t="s">
        <v>227</v>
      </c>
      <c r="AR43" t="s">
        <v>227</v>
      </c>
      <c r="AS43" t="s">
        <v>227</v>
      </c>
      <c r="AT43" t="s">
        <v>227</v>
      </c>
      <c r="AU43" s="133" t="s">
        <v>160</v>
      </c>
      <c r="AV43" s="170" t="s">
        <v>230</v>
      </c>
      <c r="AW43" s="139" t="s">
        <v>158</v>
      </c>
      <c r="AX43" s="145">
        <v>40.82</v>
      </c>
      <c r="AY43" s="139" t="s">
        <v>149</v>
      </c>
      <c r="AZ43" s="129" t="s">
        <v>227</v>
      </c>
      <c r="BA43" s="133" t="s">
        <v>159</v>
      </c>
      <c r="BB43" s="136" t="s">
        <v>201</v>
      </c>
      <c r="BC43">
        <v>4</v>
      </c>
      <c r="BD43" s="149">
        <v>0.18536001007049302</v>
      </c>
      <c r="BE43" s="138">
        <v>20.547686854445693</v>
      </c>
      <c r="BF43" s="133" t="s">
        <v>162</v>
      </c>
      <c r="BG43" s="147">
        <v>0.33</v>
      </c>
      <c r="BH43" s="136" t="s">
        <v>227</v>
      </c>
      <c r="BI43" s="136" t="s">
        <v>227</v>
      </c>
      <c r="BJ43" s="143" t="s">
        <v>227</v>
      </c>
      <c r="BK43" s="150">
        <v>-4.2</v>
      </c>
      <c r="BL43" s="136" t="s">
        <v>227</v>
      </c>
      <c r="BM43" s="129" t="s">
        <v>226</v>
      </c>
      <c r="BN43" s="139" t="s">
        <v>204</v>
      </c>
      <c r="BO43" s="133" t="s">
        <v>205</v>
      </c>
      <c r="BP43" s="129" t="s">
        <v>227</v>
      </c>
      <c r="BQ43" s="129" t="s">
        <v>227</v>
      </c>
      <c r="BR43" s="129" t="s">
        <v>227</v>
      </c>
      <c r="BS43" s="129" t="s">
        <v>227</v>
      </c>
      <c r="BT43" s="129" t="s">
        <v>227</v>
      </c>
      <c r="BU43" s="129">
        <v>0</v>
      </c>
      <c r="BV43" s="136" t="s">
        <v>227</v>
      </c>
      <c r="BW43" s="129" t="s">
        <v>226</v>
      </c>
      <c r="BX43" s="138">
        <v>24.455789599590968</v>
      </c>
      <c r="BY43" s="135" t="s">
        <v>156</v>
      </c>
      <c r="BZ43" s="152">
        <v>1</v>
      </c>
      <c r="CA43" s="152">
        <v>1</v>
      </c>
      <c r="CB43" s="133" t="s">
        <v>228</v>
      </c>
      <c r="CC43" s="153" t="s">
        <v>227</v>
      </c>
      <c r="CD43" s="135" t="s">
        <v>227</v>
      </c>
      <c r="CE43" s="154" t="s">
        <v>227</v>
      </c>
      <c r="CF43" s="142" t="s">
        <v>227</v>
      </c>
      <c r="CG43" s="142" t="s">
        <v>227</v>
      </c>
      <c r="CH43" s="129" t="s">
        <v>227</v>
      </c>
      <c r="CI43" s="142" t="s">
        <v>227</v>
      </c>
      <c r="CJ43" s="142" t="s">
        <v>227</v>
      </c>
      <c r="CK43" s="142" t="s">
        <v>226</v>
      </c>
      <c r="CL43" s="129" t="s">
        <v>227</v>
      </c>
      <c r="CM43" s="142" t="s">
        <v>226</v>
      </c>
      <c r="CN43" s="142" t="s">
        <v>227</v>
      </c>
      <c r="CO43" s="142" t="s">
        <v>227</v>
      </c>
      <c r="CP43" s="142" t="s">
        <v>227</v>
      </c>
      <c r="CQ43" s="142" t="s">
        <v>227</v>
      </c>
      <c r="CR43" s="142" t="s">
        <v>227</v>
      </c>
      <c r="CS43" s="142" t="s">
        <v>227</v>
      </c>
      <c r="CT43" s="142" t="s">
        <v>227</v>
      </c>
      <c r="CU43" s="155">
        <v>34.994047346034066</v>
      </c>
      <c r="CV43" s="135" t="s">
        <v>156</v>
      </c>
      <c r="CW43" s="129">
        <v>1</v>
      </c>
      <c r="CX43" s="133" t="s">
        <v>206</v>
      </c>
      <c r="CY43" s="169">
        <v>1.10556E-2</v>
      </c>
      <c r="CZ43" s="129" t="s">
        <v>227</v>
      </c>
      <c r="DA43" s="129" t="s">
        <v>227</v>
      </c>
      <c r="DB43" s="141" t="s">
        <v>207</v>
      </c>
      <c r="DC43" s="169">
        <v>4.9334499999999996E-2</v>
      </c>
      <c r="DD43" s="129" t="s">
        <v>227</v>
      </c>
      <c r="DE43" s="129" t="s">
        <v>227</v>
      </c>
      <c r="DF43" s="133" t="s">
        <v>207</v>
      </c>
      <c r="DH43" s="129" t="s">
        <v>227</v>
      </c>
      <c r="DI43" s="129" t="s">
        <v>227</v>
      </c>
      <c r="DJ43" s="129" t="s">
        <v>227</v>
      </c>
      <c r="DK43" s="156">
        <f t="shared" si="7"/>
        <v>4.326E-4</v>
      </c>
      <c r="DL43" s="129" t="s">
        <v>227</v>
      </c>
      <c r="DM43" s="129" t="s">
        <v>227</v>
      </c>
      <c r="DN43" s="133" t="s">
        <v>209</v>
      </c>
      <c r="DO43" s="129">
        <v>39.61</v>
      </c>
      <c r="DP43" s="133" t="s">
        <v>210</v>
      </c>
      <c r="DQ43" s="129" t="s">
        <v>226</v>
      </c>
      <c r="DR43" s="133" t="s">
        <v>211</v>
      </c>
      <c r="DS43" s="133" t="s">
        <v>212</v>
      </c>
      <c r="DT43" s="157" t="s">
        <v>229</v>
      </c>
      <c r="DU43" s="158">
        <f t="shared" si="8"/>
        <v>1.0193966528727521</v>
      </c>
      <c r="DV43" s="156" t="s">
        <v>227</v>
      </c>
      <c r="DW43" s="156" t="s">
        <v>226</v>
      </c>
      <c r="DX43" s="157" t="s">
        <v>232</v>
      </c>
      <c r="DY43" s="159" t="s">
        <v>213</v>
      </c>
      <c r="DZ43" s="157" t="s">
        <v>214</v>
      </c>
      <c r="EA43" s="1" t="s">
        <v>217</v>
      </c>
      <c r="EB43" s="129" t="s">
        <v>218</v>
      </c>
      <c r="EC43" s="133" t="s">
        <v>219</v>
      </c>
      <c r="ED43" s="133" t="s">
        <v>219</v>
      </c>
      <c r="EE43" s="133" t="s">
        <v>220</v>
      </c>
      <c r="EH43" s="129" t="s">
        <v>215</v>
      </c>
      <c r="EI43" s="133" t="s">
        <v>216</v>
      </c>
      <c r="EJ43" s="153" t="s">
        <v>227</v>
      </c>
      <c r="EK43">
        <v>252.4</v>
      </c>
      <c r="EL43" s="133" t="s">
        <v>221</v>
      </c>
      <c r="EM43">
        <v>25</v>
      </c>
      <c r="EN43">
        <v>25</v>
      </c>
      <c r="EO43" t="s">
        <v>227</v>
      </c>
      <c r="EP43" t="s">
        <v>227</v>
      </c>
      <c r="EQ43" t="s">
        <v>227</v>
      </c>
      <c r="ER43" t="s">
        <v>227</v>
      </c>
      <c r="ES43" s="163">
        <v>8.1298481965122882</v>
      </c>
      <c r="ET43" s="142" t="s">
        <v>222</v>
      </c>
      <c r="EU43" s="164">
        <v>3.8824128041654582E-2</v>
      </c>
      <c r="EV43" s="164">
        <v>3.8824128041654582E-2</v>
      </c>
      <c r="EW43" s="165">
        <v>334.4</v>
      </c>
      <c r="EX43" s="129">
        <v>17</v>
      </c>
      <c r="EY43" s="139" t="s">
        <v>223</v>
      </c>
      <c r="EZ43" s="148">
        <f t="shared" si="9"/>
        <v>317.39999999999998</v>
      </c>
      <c r="FA43" s="162">
        <v>61.87399272715475</v>
      </c>
      <c r="FB43" s="162">
        <v>72.504719846365859</v>
      </c>
      <c r="FC43" s="133" t="s">
        <v>224</v>
      </c>
      <c r="FD43" s="133" t="s">
        <v>225</v>
      </c>
      <c r="FE43" s="129" t="s">
        <v>227</v>
      </c>
      <c r="FF43" s="129" t="s">
        <v>227</v>
      </c>
      <c r="FG43" s="129" t="s">
        <v>227</v>
      </c>
      <c r="FH43" s="129" t="s">
        <v>227</v>
      </c>
      <c r="FI43" s="129" t="s">
        <v>227</v>
      </c>
      <c r="FJ43" s="129" t="s">
        <v>227</v>
      </c>
      <c r="FK43" s="129" t="s">
        <v>227</v>
      </c>
      <c r="FL43" s="129" t="s">
        <v>227</v>
      </c>
      <c r="FM43" s="129" t="s">
        <v>227</v>
      </c>
      <c r="FN43" s="129" t="s">
        <v>227</v>
      </c>
      <c r="FO43" s="129" t="s">
        <v>227</v>
      </c>
      <c r="FP43" s="129" t="s">
        <v>227</v>
      </c>
    </row>
    <row r="44" spans="1:172" ht="18" x14ac:dyDescent="0.2">
      <c r="A44" s="130" t="s">
        <v>152</v>
      </c>
      <c r="B44" t="s">
        <v>153</v>
      </c>
      <c r="C44">
        <v>2011</v>
      </c>
      <c r="D44" t="s">
        <v>150</v>
      </c>
      <c r="E44" s="149">
        <f t="shared" si="1"/>
        <v>4117.1319999999996</v>
      </c>
      <c r="F44">
        <f t="shared" si="2"/>
        <v>6</v>
      </c>
      <c r="G44">
        <f t="shared" si="3"/>
        <v>6</v>
      </c>
      <c r="H44" s="167">
        <f t="shared" si="4"/>
        <v>376.7</v>
      </c>
      <c r="I44" s="167">
        <f t="shared" si="5"/>
        <v>70.738013544698859</v>
      </c>
      <c r="J44" s="167">
        <f t="shared" si="6"/>
        <v>83.570255474062066</v>
      </c>
      <c r="K44" s="141" t="s">
        <v>147</v>
      </c>
      <c r="L44" s="140" t="s">
        <v>148</v>
      </c>
      <c r="M44" s="139" t="s">
        <v>149</v>
      </c>
      <c r="N44" s="128" t="s">
        <v>150</v>
      </c>
      <c r="O44" s="129" t="s">
        <v>151</v>
      </c>
      <c r="P44" s="129" t="s">
        <v>154</v>
      </c>
      <c r="Q44" s="137">
        <v>14</v>
      </c>
      <c r="R44" s="137">
        <v>6</v>
      </c>
      <c r="S44" s="137">
        <v>38</v>
      </c>
      <c r="T44" s="137">
        <v>40</v>
      </c>
      <c r="U44" s="138">
        <v>129.51</v>
      </c>
      <c r="V44" s="136" t="s">
        <v>227</v>
      </c>
      <c r="W44" s="136" t="s">
        <v>227</v>
      </c>
      <c r="X44" s="133" t="s">
        <v>155</v>
      </c>
      <c r="Y44" s="134">
        <v>12.910833330000001</v>
      </c>
      <c r="Z44" s="134">
        <v>-78.833333330000002</v>
      </c>
      <c r="AA44" s="129" t="s">
        <v>227</v>
      </c>
      <c r="AB44" s="129" t="s">
        <v>227</v>
      </c>
      <c r="AC44" s="129">
        <v>-2838.9</v>
      </c>
      <c r="AD44" s="129" t="s">
        <v>227</v>
      </c>
      <c r="AE44" s="129" t="s">
        <v>227</v>
      </c>
      <c r="AF44" s="135" t="s">
        <v>227</v>
      </c>
      <c r="AG44" s="168">
        <v>4117.1319999999996</v>
      </c>
      <c r="AH44" s="142" t="s">
        <v>156</v>
      </c>
      <c r="AI44" s="129">
        <v>6</v>
      </c>
      <c r="AJ44">
        <v>6</v>
      </c>
      <c r="AK44" s="129" t="s">
        <v>227</v>
      </c>
      <c r="AL44" t="s">
        <v>227</v>
      </c>
      <c r="AM44" s="133" t="s">
        <v>157</v>
      </c>
      <c r="AN44" t="s">
        <v>227</v>
      </c>
      <c r="AO44" t="s">
        <v>227</v>
      </c>
      <c r="AP44" t="s">
        <v>227</v>
      </c>
      <c r="AQ44" t="s">
        <v>227</v>
      </c>
      <c r="AR44" t="s">
        <v>227</v>
      </c>
      <c r="AS44" t="s">
        <v>227</v>
      </c>
      <c r="AT44" t="s">
        <v>227</v>
      </c>
      <c r="AU44" s="133" t="s">
        <v>160</v>
      </c>
      <c r="AV44" s="170" t="s">
        <v>230</v>
      </c>
      <c r="AW44" s="139" t="s">
        <v>158</v>
      </c>
      <c r="AX44" s="145">
        <v>39.79</v>
      </c>
      <c r="AY44" s="139" t="s">
        <v>149</v>
      </c>
      <c r="AZ44" s="129" t="s">
        <v>227</v>
      </c>
      <c r="BA44" s="133" t="s">
        <v>159</v>
      </c>
      <c r="BB44" s="136" t="s">
        <v>202</v>
      </c>
      <c r="BC44">
        <v>5</v>
      </c>
      <c r="BD44" s="149">
        <v>0.35929931811791677</v>
      </c>
      <c r="BE44" s="138">
        <v>20.312165494110701</v>
      </c>
      <c r="BF44" s="133" t="s">
        <v>162</v>
      </c>
      <c r="BG44" s="147">
        <v>0.36</v>
      </c>
      <c r="BH44" s="136" t="s">
        <v>227</v>
      </c>
      <c r="BI44" s="136" t="s">
        <v>227</v>
      </c>
      <c r="BJ44" s="143" t="s">
        <v>227</v>
      </c>
      <c r="BK44" s="150">
        <v>-4.2</v>
      </c>
      <c r="BL44" s="136" t="s">
        <v>227</v>
      </c>
      <c r="BM44" s="129" t="s">
        <v>226</v>
      </c>
      <c r="BN44" s="139" t="s">
        <v>204</v>
      </c>
      <c r="BO44" s="133" t="s">
        <v>205</v>
      </c>
      <c r="BP44" s="129" t="s">
        <v>227</v>
      </c>
      <c r="BQ44" s="129" t="s">
        <v>227</v>
      </c>
      <c r="BR44" s="129" t="s">
        <v>227</v>
      </c>
      <c r="BS44" s="129" t="s">
        <v>227</v>
      </c>
      <c r="BT44" s="129" t="s">
        <v>227</v>
      </c>
      <c r="BU44" s="129">
        <v>0</v>
      </c>
      <c r="BV44" s="136" t="s">
        <v>227</v>
      </c>
      <c r="BW44" s="129" t="s">
        <v>226</v>
      </c>
      <c r="BX44" s="138">
        <v>24.954448779340222</v>
      </c>
      <c r="BY44" s="135" t="s">
        <v>156</v>
      </c>
      <c r="BZ44" s="152">
        <v>1</v>
      </c>
      <c r="CA44" s="152">
        <v>1</v>
      </c>
      <c r="CB44" s="133" t="s">
        <v>228</v>
      </c>
      <c r="CC44" s="153" t="s">
        <v>227</v>
      </c>
      <c r="CD44" s="135" t="s">
        <v>227</v>
      </c>
      <c r="CE44" s="154" t="s">
        <v>227</v>
      </c>
      <c r="CF44" s="142" t="s">
        <v>227</v>
      </c>
      <c r="CG44" s="142" t="s">
        <v>227</v>
      </c>
      <c r="CH44" s="129" t="s">
        <v>227</v>
      </c>
      <c r="CI44" s="142" t="s">
        <v>227</v>
      </c>
      <c r="CJ44" s="142" t="s">
        <v>227</v>
      </c>
      <c r="CK44" s="142" t="s">
        <v>226</v>
      </c>
      <c r="CL44" s="129" t="s">
        <v>227</v>
      </c>
      <c r="CM44" s="142" t="s">
        <v>226</v>
      </c>
      <c r="CN44" s="142" t="s">
        <v>227</v>
      </c>
      <c r="CO44" s="142" t="s">
        <v>227</v>
      </c>
      <c r="CP44" s="142" t="s">
        <v>227</v>
      </c>
      <c r="CQ44" s="142" t="s">
        <v>227</v>
      </c>
      <c r="CR44" s="142" t="s">
        <v>227</v>
      </c>
      <c r="CS44" s="142" t="s">
        <v>227</v>
      </c>
      <c r="CT44" s="142" t="s">
        <v>227</v>
      </c>
      <c r="CU44" s="155">
        <v>34.823457861146693</v>
      </c>
      <c r="CV44" s="135" t="s">
        <v>156</v>
      </c>
      <c r="CW44" s="129">
        <v>1</v>
      </c>
      <c r="CX44" s="133" t="s">
        <v>206</v>
      </c>
      <c r="CY44" s="169">
        <v>1.1070700000000001E-2</v>
      </c>
      <c r="CZ44" s="129" t="s">
        <v>227</v>
      </c>
      <c r="DA44" s="129" t="s">
        <v>227</v>
      </c>
      <c r="DB44" s="141" t="s">
        <v>207</v>
      </c>
      <c r="DC44" s="169">
        <v>4.9268700000000006E-2</v>
      </c>
      <c r="DD44" s="129" t="s">
        <v>227</v>
      </c>
      <c r="DE44" s="129" t="s">
        <v>227</v>
      </c>
      <c r="DF44" s="133" t="s">
        <v>207</v>
      </c>
      <c r="DH44" s="129" t="s">
        <v>227</v>
      </c>
      <c r="DI44" s="129" t="s">
        <v>227</v>
      </c>
      <c r="DJ44" s="129" t="s">
        <v>227</v>
      </c>
      <c r="DK44" s="156">
        <f t="shared" si="7"/>
        <v>4.326E-4</v>
      </c>
      <c r="DL44" s="129" t="s">
        <v>227</v>
      </c>
      <c r="DM44" s="129" t="s">
        <v>227</v>
      </c>
      <c r="DN44" s="133" t="s">
        <v>209</v>
      </c>
      <c r="DO44" s="129">
        <v>39.61</v>
      </c>
      <c r="DP44" s="133" t="s">
        <v>210</v>
      </c>
      <c r="DQ44" s="129" t="s">
        <v>226</v>
      </c>
      <c r="DR44" s="133" t="s">
        <v>211</v>
      </c>
      <c r="DS44" s="133" t="s">
        <v>212</v>
      </c>
      <c r="DT44" s="157" t="s">
        <v>229</v>
      </c>
      <c r="DU44" s="158">
        <f t="shared" si="8"/>
        <v>1.0193721163478124</v>
      </c>
      <c r="DV44" s="156" t="s">
        <v>227</v>
      </c>
      <c r="DW44" s="156" t="s">
        <v>226</v>
      </c>
      <c r="DX44" s="157" t="s">
        <v>232</v>
      </c>
      <c r="DY44" s="159" t="s">
        <v>213</v>
      </c>
      <c r="DZ44" s="157" t="s">
        <v>214</v>
      </c>
      <c r="EA44" s="1" t="s">
        <v>217</v>
      </c>
      <c r="EB44" s="129" t="s">
        <v>218</v>
      </c>
      <c r="EC44" s="133" t="s">
        <v>219</v>
      </c>
      <c r="ED44" s="133" t="s">
        <v>219</v>
      </c>
      <c r="EE44" s="133" t="s">
        <v>220</v>
      </c>
      <c r="EH44" s="129" t="s">
        <v>215</v>
      </c>
      <c r="EI44" s="133" t="s">
        <v>216</v>
      </c>
      <c r="EJ44" s="153" t="s">
        <v>227</v>
      </c>
      <c r="EK44">
        <v>249.7</v>
      </c>
      <c r="EL44" s="133" t="s">
        <v>221</v>
      </c>
      <c r="EM44">
        <v>25</v>
      </c>
      <c r="EN44">
        <v>25</v>
      </c>
      <c r="EO44" t="s">
        <v>227</v>
      </c>
      <c r="EP44" t="s">
        <v>227</v>
      </c>
      <c r="EQ44" t="s">
        <v>227</v>
      </c>
      <c r="ER44" t="s">
        <v>227</v>
      </c>
      <c r="ES44" s="163">
        <v>8.0946082583093659</v>
      </c>
      <c r="ET44" s="142" t="s">
        <v>222</v>
      </c>
      <c r="EU44" s="164">
        <v>4.90710276312738E-2</v>
      </c>
      <c r="EV44" s="164">
        <v>4.90710276312738E-2</v>
      </c>
      <c r="EW44" s="165">
        <v>393.7</v>
      </c>
      <c r="EX44" s="129">
        <v>17</v>
      </c>
      <c r="EY44" s="139" t="s">
        <v>223</v>
      </c>
      <c r="EZ44" s="148">
        <f t="shared" si="9"/>
        <v>376.7</v>
      </c>
      <c r="FA44" s="162">
        <v>70.738013544698859</v>
      </c>
      <c r="FB44" s="162">
        <v>83.570255474062066</v>
      </c>
      <c r="FC44" s="133" t="s">
        <v>224</v>
      </c>
      <c r="FD44" s="133" t="s">
        <v>225</v>
      </c>
      <c r="FE44" s="129" t="s">
        <v>227</v>
      </c>
      <c r="FF44" s="129" t="s">
        <v>227</v>
      </c>
      <c r="FG44" s="129" t="s">
        <v>227</v>
      </c>
      <c r="FH44" s="129" t="s">
        <v>227</v>
      </c>
      <c r="FI44" s="129" t="s">
        <v>227</v>
      </c>
      <c r="FJ44" s="129" t="s">
        <v>227</v>
      </c>
      <c r="FK44" s="129" t="s">
        <v>227</v>
      </c>
      <c r="FL44" s="129" t="s">
        <v>227</v>
      </c>
      <c r="FM44" s="129" t="s">
        <v>227</v>
      </c>
      <c r="FN44" s="129" t="s">
        <v>227</v>
      </c>
      <c r="FO44" s="129" t="s">
        <v>227</v>
      </c>
      <c r="FP44" s="129" t="s">
        <v>227</v>
      </c>
    </row>
    <row r="45" spans="1:172" ht="18" x14ac:dyDescent="0.2">
      <c r="A45" s="130" t="s">
        <v>152</v>
      </c>
      <c r="B45" t="s">
        <v>153</v>
      </c>
      <c r="C45">
        <v>2011</v>
      </c>
      <c r="D45" t="s">
        <v>150</v>
      </c>
      <c r="E45" s="149">
        <f t="shared" si="1"/>
        <v>4580.2950000000001</v>
      </c>
      <c r="F45">
        <f t="shared" si="2"/>
        <v>6</v>
      </c>
      <c r="G45">
        <f t="shared" si="3"/>
        <v>6</v>
      </c>
      <c r="H45" s="167">
        <f t="shared" si="4"/>
        <v>407.7</v>
      </c>
      <c r="I45" s="167">
        <f t="shared" si="5"/>
        <v>75.462412499535162</v>
      </c>
      <c r="J45" s="167">
        <f t="shared" si="6"/>
        <v>89.436030770601619</v>
      </c>
      <c r="K45" s="141" t="s">
        <v>147</v>
      </c>
      <c r="L45" s="140" t="s">
        <v>148</v>
      </c>
      <c r="M45" s="139" t="s">
        <v>149</v>
      </c>
      <c r="N45" s="128" t="s">
        <v>150</v>
      </c>
      <c r="O45" s="136" t="s">
        <v>151</v>
      </c>
      <c r="P45" s="129" t="s">
        <v>154</v>
      </c>
      <c r="Q45" s="137">
        <v>16</v>
      </c>
      <c r="R45" s="137">
        <v>1</v>
      </c>
      <c r="S45" s="137">
        <v>18</v>
      </c>
      <c r="T45" s="137">
        <v>20</v>
      </c>
      <c r="U45" s="138">
        <v>140.78</v>
      </c>
      <c r="V45" s="136" t="s">
        <v>227</v>
      </c>
      <c r="W45" s="136" t="s">
        <v>227</v>
      </c>
      <c r="X45" s="133" t="s">
        <v>155</v>
      </c>
      <c r="Y45" s="134">
        <v>12.910833330000001</v>
      </c>
      <c r="Z45" s="134">
        <v>-78.833333330000002</v>
      </c>
      <c r="AA45" s="129" t="s">
        <v>227</v>
      </c>
      <c r="AB45" s="129" t="s">
        <v>227</v>
      </c>
      <c r="AC45" s="129">
        <v>-2838.9</v>
      </c>
      <c r="AD45" s="129" t="s">
        <v>227</v>
      </c>
      <c r="AE45" s="129" t="s">
        <v>227</v>
      </c>
      <c r="AF45" s="135" t="s">
        <v>227</v>
      </c>
      <c r="AG45" s="168">
        <v>4580.2950000000001</v>
      </c>
      <c r="AH45" s="142" t="s">
        <v>156</v>
      </c>
      <c r="AI45" s="129">
        <v>6</v>
      </c>
      <c r="AJ45">
        <v>6</v>
      </c>
      <c r="AK45" s="129" t="s">
        <v>227</v>
      </c>
      <c r="AL45" t="s">
        <v>227</v>
      </c>
      <c r="AM45" s="133" t="s">
        <v>157</v>
      </c>
      <c r="AN45" t="s">
        <v>227</v>
      </c>
      <c r="AO45" t="s">
        <v>227</v>
      </c>
      <c r="AP45" t="s">
        <v>227</v>
      </c>
      <c r="AQ45" t="s">
        <v>227</v>
      </c>
      <c r="AR45" t="s">
        <v>227</v>
      </c>
      <c r="AS45" t="s">
        <v>227</v>
      </c>
      <c r="AT45" t="s">
        <v>227</v>
      </c>
      <c r="AU45" s="133" t="s">
        <v>160</v>
      </c>
      <c r="AV45" s="170" t="s">
        <v>230</v>
      </c>
      <c r="AW45" s="139" t="s">
        <v>158</v>
      </c>
      <c r="AX45" s="145">
        <v>50.05</v>
      </c>
      <c r="AY45" s="139" t="s">
        <v>149</v>
      </c>
      <c r="AZ45" s="129" t="s">
        <v>227</v>
      </c>
      <c r="BA45" s="133" t="s">
        <v>159</v>
      </c>
      <c r="BB45" s="136" t="s">
        <v>203</v>
      </c>
      <c r="BC45">
        <v>4</v>
      </c>
      <c r="BD45" s="149">
        <v>9.9999999999999409E-2</v>
      </c>
      <c r="BE45" s="138">
        <v>20.108446357616216</v>
      </c>
      <c r="BF45" s="133" t="s">
        <v>162</v>
      </c>
      <c r="BG45" s="147">
        <v>0.33</v>
      </c>
      <c r="BH45" s="136" t="s">
        <v>227</v>
      </c>
      <c r="BI45" s="136" t="s">
        <v>227</v>
      </c>
      <c r="BJ45" s="143" t="s">
        <v>227</v>
      </c>
      <c r="BK45" s="150">
        <v>-4.2</v>
      </c>
      <c r="BL45" s="136" t="s">
        <v>227</v>
      </c>
      <c r="BM45" s="129" t="s">
        <v>226</v>
      </c>
      <c r="BN45" s="139" t="s">
        <v>204</v>
      </c>
      <c r="BO45" s="133" t="s">
        <v>205</v>
      </c>
      <c r="BP45" s="129" t="s">
        <v>227</v>
      </c>
      <c r="BQ45" s="129" t="s">
        <v>227</v>
      </c>
      <c r="BR45" s="129" t="s">
        <v>227</v>
      </c>
      <c r="BS45" s="129" t="s">
        <v>227</v>
      </c>
      <c r="BT45" s="129" t="s">
        <v>227</v>
      </c>
      <c r="BU45" s="129">
        <v>0</v>
      </c>
      <c r="BV45" s="136" t="s">
        <v>227</v>
      </c>
      <c r="BW45" s="129" t="s">
        <v>226</v>
      </c>
      <c r="BX45" s="138">
        <v>24.778914147378103</v>
      </c>
      <c r="BY45" s="135" t="s">
        <v>156</v>
      </c>
      <c r="BZ45" s="152">
        <v>1</v>
      </c>
      <c r="CA45" s="152">
        <v>1</v>
      </c>
      <c r="CB45" s="133" t="s">
        <v>228</v>
      </c>
      <c r="CC45" s="153" t="s">
        <v>227</v>
      </c>
      <c r="CD45" s="135" t="s">
        <v>227</v>
      </c>
      <c r="CE45" s="154" t="s">
        <v>227</v>
      </c>
      <c r="CF45" s="142" t="s">
        <v>227</v>
      </c>
      <c r="CG45" s="142" t="s">
        <v>227</v>
      </c>
      <c r="CH45" s="129" t="s">
        <v>227</v>
      </c>
      <c r="CI45" s="142" t="s">
        <v>227</v>
      </c>
      <c r="CJ45" s="142" t="s">
        <v>227</v>
      </c>
      <c r="CK45" s="142" t="s">
        <v>226</v>
      </c>
      <c r="CL45" s="129" t="s">
        <v>227</v>
      </c>
      <c r="CM45" s="142" t="s">
        <v>226</v>
      </c>
      <c r="CN45" s="142" t="s">
        <v>227</v>
      </c>
      <c r="CO45" s="142" t="s">
        <v>227</v>
      </c>
      <c r="CP45" s="142" t="s">
        <v>227</v>
      </c>
      <c r="CQ45" s="142" t="s">
        <v>227</v>
      </c>
      <c r="CR45" s="142" t="s">
        <v>227</v>
      </c>
      <c r="CS45" s="142" t="s">
        <v>227</v>
      </c>
      <c r="CT45" s="142" t="s">
        <v>227</v>
      </c>
      <c r="CU45" s="155">
        <v>34.456334215465368</v>
      </c>
      <c r="CV45" s="135" t="s">
        <v>156</v>
      </c>
      <c r="CW45" s="129">
        <v>1</v>
      </c>
      <c r="CX45" s="133" t="s">
        <v>206</v>
      </c>
      <c r="CY45" s="169">
        <v>1.1157400000000001E-2</v>
      </c>
      <c r="CZ45" s="129" t="s">
        <v>227</v>
      </c>
      <c r="DA45" s="129" t="s">
        <v>227</v>
      </c>
      <c r="DB45" s="141" t="s">
        <v>207</v>
      </c>
      <c r="DC45" s="169">
        <v>4.8895400000000006E-2</v>
      </c>
      <c r="DD45" s="129" t="s">
        <v>227</v>
      </c>
      <c r="DE45" s="129" t="s">
        <v>227</v>
      </c>
      <c r="DF45" s="133" t="s">
        <v>207</v>
      </c>
      <c r="DH45" s="129" t="s">
        <v>227</v>
      </c>
      <c r="DI45" s="129" t="s">
        <v>227</v>
      </c>
      <c r="DJ45" s="129" t="s">
        <v>227</v>
      </c>
      <c r="DK45" s="156">
        <f t="shared" si="7"/>
        <v>4.326E-4</v>
      </c>
      <c r="DL45" s="129" t="s">
        <v>227</v>
      </c>
      <c r="DM45" s="129" t="s">
        <v>227</v>
      </c>
      <c r="DN45" s="133" t="s">
        <v>209</v>
      </c>
      <c r="DO45" s="129">
        <v>39.61</v>
      </c>
      <c r="DP45" s="133" t="s">
        <v>210</v>
      </c>
      <c r="DQ45" s="129" t="s">
        <v>226</v>
      </c>
      <c r="DR45" s="133" t="s">
        <v>211</v>
      </c>
      <c r="DS45" s="133" t="s">
        <v>212</v>
      </c>
      <c r="DT45" s="157" t="s">
        <v>229</v>
      </c>
      <c r="DU45" s="158">
        <f t="shared" si="8"/>
        <v>1.0193807535293782</v>
      </c>
      <c r="DV45" s="156" t="s">
        <v>227</v>
      </c>
      <c r="DW45" s="156" t="s">
        <v>226</v>
      </c>
      <c r="DX45" s="157" t="s">
        <v>232</v>
      </c>
      <c r="DY45" s="159" t="s">
        <v>213</v>
      </c>
      <c r="DZ45" s="157" t="s">
        <v>214</v>
      </c>
      <c r="EA45" s="1" t="s">
        <v>217</v>
      </c>
      <c r="EB45" s="129" t="s">
        <v>218</v>
      </c>
      <c r="EC45" s="133" t="s">
        <v>219</v>
      </c>
      <c r="ED45" s="133" t="s">
        <v>219</v>
      </c>
      <c r="EE45" s="133" t="s">
        <v>220</v>
      </c>
      <c r="EH45" s="129" t="s">
        <v>215</v>
      </c>
      <c r="EI45" s="133" t="s">
        <v>216</v>
      </c>
      <c r="EJ45" s="153" t="s">
        <v>227</v>
      </c>
      <c r="EK45">
        <v>241.2</v>
      </c>
      <c r="EL45" s="133" t="s">
        <v>221</v>
      </c>
      <c r="EM45">
        <v>25</v>
      </c>
      <c r="EN45">
        <v>25</v>
      </c>
      <c r="EO45" t="s">
        <v>227</v>
      </c>
      <c r="EP45" t="s">
        <v>227</v>
      </c>
      <c r="EQ45" t="s">
        <v>227</v>
      </c>
      <c r="ER45" t="s">
        <v>227</v>
      </c>
      <c r="ES45" s="163">
        <v>8.0743354470422553</v>
      </c>
      <c r="ET45" s="142" t="s">
        <v>222</v>
      </c>
      <c r="EU45" s="164">
        <v>4.153283338130187E-2</v>
      </c>
      <c r="EV45" s="164">
        <v>4.153283338130187E-2</v>
      </c>
      <c r="EW45" s="165">
        <v>424.7</v>
      </c>
      <c r="EX45" s="129">
        <v>17</v>
      </c>
      <c r="EY45" s="139" t="s">
        <v>223</v>
      </c>
      <c r="EZ45" s="148">
        <f t="shared" si="9"/>
        <v>407.7</v>
      </c>
      <c r="FA45" s="162">
        <v>75.462412499535162</v>
      </c>
      <c r="FB45" s="162">
        <v>89.436030770601619</v>
      </c>
      <c r="FC45" s="133" t="s">
        <v>224</v>
      </c>
      <c r="FD45" s="133" t="s">
        <v>225</v>
      </c>
      <c r="FE45" s="129" t="s">
        <v>227</v>
      </c>
      <c r="FF45" s="129" t="s">
        <v>227</v>
      </c>
      <c r="FG45" s="129" t="s">
        <v>227</v>
      </c>
      <c r="FH45" s="129" t="s">
        <v>227</v>
      </c>
      <c r="FI45" s="129" t="s">
        <v>227</v>
      </c>
      <c r="FJ45" s="129" t="s">
        <v>227</v>
      </c>
      <c r="FK45" s="129" t="s">
        <v>227</v>
      </c>
      <c r="FL45" s="129" t="s">
        <v>227</v>
      </c>
      <c r="FM45" s="129" t="s">
        <v>227</v>
      </c>
      <c r="FN45" s="129" t="s">
        <v>227</v>
      </c>
      <c r="FO45" s="129" t="s">
        <v>227</v>
      </c>
      <c r="FP45" s="129" t="s">
        <v>227</v>
      </c>
    </row>
    <row r="46" spans="1:172" x14ac:dyDescent="0.2">
      <c r="CB46" s="169"/>
    </row>
    <row r="47" spans="1:172" x14ac:dyDescent="0.2">
      <c r="CB47" s="169"/>
    </row>
    <row r="48" spans="1:172" x14ac:dyDescent="0.2">
      <c r="CB48" s="169"/>
    </row>
    <row r="49" spans="80:80" x14ac:dyDescent="0.2">
      <c r="CB49" s="169"/>
    </row>
    <row r="50" spans="80:80" x14ac:dyDescent="0.2">
      <c r="CB50" s="169"/>
    </row>
    <row r="51" spans="80:80" x14ac:dyDescent="0.2">
      <c r="CB51" s="169"/>
    </row>
    <row r="52" spans="80:80" x14ac:dyDescent="0.2">
      <c r="CB52" s="169"/>
    </row>
    <row r="53" spans="80:80" x14ac:dyDescent="0.2">
      <c r="CB53" s="169"/>
    </row>
    <row r="54" spans="80:80" x14ac:dyDescent="0.2">
      <c r="CB54" s="169"/>
    </row>
    <row r="55" spans="80:80" x14ac:dyDescent="0.2">
      <c r="CB55" s="169"/>
    </row>
    <row r="56" spans="80:80" x14ac:dyDescent="0.2">
      <c r="CB56" s="169"/>
    </row>
    <row r="57" spans="80:80" x14ac:dyDescent="0.2">
      <c r="CB57" s="169"/>
    </row>
    <row r="58" spans="80:80" x14ac:dyDescent="0.2">
      <c r="CB58" s="169"/>
    </row>
    <row r="59" spans="80:80" x14ac:dyDescent="0.2">
      <c r="CB59" s="169"/>
    </row>
    <row r="60" spans="80:80" x14ac:dyDescent="0.2">
      <c r="CB60" s="169"/>
    </row>
    <row r="61" spans="80:80" x14ac:dyDescent="0.2">
      <c r="CB61" s="169"/>
    </row>
    <row r="62" spans="80:80" x14ac:dyDescent="0.2">
      <c r="CB62" s="169"/>
    </row>
    <row r="63" spans="80:80" x14ac:dyDescent="0.2">
      <c r="CB63" s="169"/>
    </row>
    <row r="64" spans="80:80" x14ac:dyDescent="0.2">
      <c r="CB64" s="169"/>
    </row>
    <row r="65" spans="80:80" x14ac:dyDescent="0.2">
      <c r="CB65" s="169"/>
    </row>
    <row r="66" spans="80:80" x14ac:dyDescent="0.2">
      <c r="CB66" s="169"/>
    </row>
    <row r="67" spans="80:80" x14ac:dyDescent="0.2">
      <c r="CB67" s="169"/>
    </row>
    <row r="68" spans="80:80" x14ac:dyDescent="0.2">
      <c r="CB68" s="169"/>
    </row>
    <row r="69" spans="80:80" x14ac:dyDescent="0.2">
      <c r="CB69" s="169"/>
    </row>
    <row r="70" spans="80:80" x14ac:dyDescent="0.2">
      <c r="CB70" s="169"/>
    </row>
    <row r="71" spans="80:80" x14ac:dyDescent="0.2">
      <c r="CB71" s="169"/>
    </row>
    <row r="72" spans="80:80" x14ac:dyDescent="0.2">
      <c r="CB72" s="169"/>
    </row>
    <row r="73" spans="80:80" x14ac:dyDescent="0.2">
      <c r="CB73" s="169"/>
    </row>
    <row r="74" spans="80:80" x14ac:dyDescent="0.2">
      <c r="CB74" s="169"/>
    </row>
    <row r="75" spans="80:80" x14ac:dyDescent="0.2">
      <c r="CB75" s="169"/>
    </row>
    <row r="76" spans="80:80" x14ac:dyDescent="0.2">
      <c r="CB76" s="169"/>
    </row>
    <row r="77" spans="80:80" x14ac:dyDescent="0.2">
      <c r="CB77" s="169"/>
    </row>
    <row r="78" spans="80:80" x14ac:dyDescent="0.2">
      <c r="CB78" s="169"/>
    </row>
    <row r="79" spans="80:80" x14ac:dyDescent="0.2">
      <c r="CB79" s="169"/>
    </row>
    <row r="80" spans="80:80" x14ac:dyDescent="0.2">
      <c r="CB80" s="169"/>
    </row>
    <row r="81" spans="80:80" x14ac:dyDescent="0.2">
      <c r="CB81" s="169"/>
    </row>
    <row r="82" spans="80:80" x14ac:dyDescent="0.2">
      <c r="CB82" s="169"/>
    </row>
    <row r="83" spans="80:80" x14ac:dyDescent="0.2">
      <c r="CB83" s="169"/>
    </row>
    <row r="84" spans="80:80" x14ac:dyDescent="0.2">
      <c r="CB84" s="169"/>
    </row>
    <row r="85" spans="80:80" x14ac:dyDescent="0.2">
      <c r="CB85" s="169"/>
    </row>
    <row r="86" spans="80:80" x14ac:dyDescent="0.2">
      <c r="CB86" s="169"/>
    </row>
    <row r="87" spans="80:80" x14ac:dyDescent="0.2">
      <c r="CB87" s="169"/>
    </row>
    <row r="88" spans="80:80" x14ac:dyDescent="0.2">
      <c r="CB88" s="169"/>
    </row>
    <row r="89" spans="80:80" x14ac:dyDescent="0.2">
      <c r="CB89" s="169"/>
    </row>
    <row r="90" spans="80:80" x14ac:dyDescent="0.2">
      <c r="CB90" s="169"/>
    </row>
    <row r="91" spans="80:80" x14ac:dyDescent="0.2">
      <c r="CB91" s="169"/>
    </row>
    <row r="92" spans="80:80" x14ac:dyDescent="0.2">
      <c r="CB92" s="169"/>
    </row>
    <row r="93" spans="80:80" x14ac:dyDescent="0.2">
      <c r="CB93" s="169"/>
    </row>
    <row r="94" spans="80:80" x14ac:dyDescent="0.2">
      <c r="CB94" s="169"/>
    </row>
    <row r="95" spans="80:80" x14ac:dyDescent="0.2">
      <c r="CB95" s="169"/>
    </row>
    <row r="96" spans="80:80" x14ac:dyDescent="0.2">
      <c r="CB96" s="169"/>
    </row>
    <row r="97" spans="80:80" x14ac:dyDescent="0.2">
      <c r="CB97" s="169"/>
    </row>
    <row r="98" spans="80:80" x14ac:dyDescent="0.2">
      <c r="CB98" s="169"/>
    </row>
    <row r="99" spans="80:80" x14ac:dyDescent="0.2">
      <c r="CB99" s="169"/>
    </row>
    <row r="100" spans="80:80" x14ac:dyDescent="0.2">
      <c r="CB100" s="169"/>
    </row>
    <row r="101" spans="80:80" x14ac:dyDescent="0.2">
      <c r="CB101" s="169"/>
    </row>
    <row r="102" spans="80:80" x14ac:dyDescent="0.2">
      <c r="CB102" s="169"/>
    </row>
    <row r="103" spans="80:80" x14ac:dyDescent="0.2">
      <c r="CB103" s="169"/>
    </row>
    <row r="104" spans="80:80" x14ac:dyDescent="0.2">
      <c r="CB104" s="169"/>
    </row>
    <row r="105" spans="80:80" x14ac:dyDescent="0.2">
      <c r="CB105" s="169"/>
    </row>
    <row r="106" spans="80:80" x14ac:dyDescent="0.2">
      <c r="CB106" s="169"/>
    </row>
    <row r="107" spans="80:80" x14ac:dyDescent="0.2">
      <c r="CB107" s="169"/>
    </row>
    <row r="108" spans="80:80" x14ac:dyDescent="0.2">
      <c r="CB108" s="169"/>
    </row>
    <row r="109" spans="80:80" x14ac:dyDescent="0.2">
      <c r="CB109" s="169"/>
    </row>
    <row r="110" spans="80:80" x14ac:dyDescent="0.2">
      <c r="CB110" s="169"/>
    </row>
    <row r="111" spans="80:80" x14ac:dyDescent="0.2">
      <c r="CB111" s="169"/>
    </row>
    <row r="112" spans="80:80" x14ac:dyDescent="0.2">
      <c r="CB112" s="169"/>
    </row>
    <row r="113" spans="80:80" x14ac:dyDescent="0.2">
      <c r="CB113" s="169"/>
    </row>
    <row r="114" spans="80:80" x14ac:dyDescent="0.2">
      <c r="CB114" s="169"/>
    </row>
    <row r="115" spans="80:80" x14ac:dyDescent="0.2">
      <c r="CB115" s="169"/>
    </row>
    <row r="116" spans="80:80" x14ac:dyDescent="0.2">
      <c r="CB116" s="169"/>
    </row>
    <row r="117" spans="80:80" x14ac:dyDescent="0.2">
      <c r="CB117" s="169"/>
    </row>
    <row r="118" spans="80:80" x14ac:dyDescent="0.2">
      <c r="CB118" s="169"/>
    </row>
    <row r="119" spans="80:80" x14ac:dyDescent="0.2">
      <c r="CB119" s="169"/>
    </row>
    <row r="120" spans="80:80" x14ac:dyDescent="0.2">
      <c r="CB120" s="169"/>
    </row>
    <row r="121" spans="80:80" x14ac:dyDescent="0.2">
      <c r="CB121" s="169"/>
    </row>
    <row r="122" spans="80:80" x14ac:dyDescent="0.2">
      <c r="CB122" s="169"/>
    </row>
    <row r="123" spans="80:80" x14ac:dyDescent="0.2">
      <c r="CB123" s="169"/>
    </row>
    <row r="124" spans="80:80" x14ac:dyDescent="0.2">
      <c r="CB124" s="169"/>
    </row>
    <row r="125" spans="80:80" x14ac:dyDescent="0.2">
      <c r="CB125" s="169"/>
    </row>
    <row r="126" spans="80:80" x14ac:dyDescent="0.2">
      <c r="CB126" s="169"/>
    </row>
    <row r="127" spans="80:80" x14ac:dyDescent="0.2">
      <c r="CB127" s="169"/>
    </row>
    <row r="128" spans="80:80" x14ac:dyDescent="0.2">
      <c r="CB128" s="169"/>
    </row>
    <row r="129" spans="80:80" x14ac:dyDescent="0.2">
      <c r="CB129" s="169"/>
    </row>
    <row r="130" spans="80:80" x14ac:dyDescent="0.2">
      <c r="CB130" s="169"/>
    </row>
    <row r="131" spans="80:80" x14ac:dyDescent="0.2">
      <c r="CB131" s="169"/>
    </row>
    <row r="132" spans="80:80" x14ac:dyDescent="0.2">
      <c r="CB132" s="169"/>
    </row>
    <row r="133" spans="80:80" x14ac:dyDescent="0.2">
      <c r="CB133" s="169"/>
    </row>
    <row r="134" spans="80:80" x14ac:dyDescent="0.2">
      <c r="CB134" s="169"/>
    </row>
    <row r="135" spans="80:80" x14ac:dyDescent="0.2">
      <c r="CB135" s="169"/>
    </row>
    <row r="136" spans="80:80" x14ac:dyDescent="0.2">
      <c r="CB136" s="169"/>
    </row>
    <row r="137" spans="80:80" x14ac:dyDescent="0.2">
      <c r="CB137" s="169"/>
    </row>
    <row r="138" spans="80:80" x14ac:dyDescent="0.2">
      <c r="CB138" s="169"/>
    </row>
    <row r="139" spans="80:80" x14ac:dyDescent="0.2">
      <c r="CB139" s="169"/>
    </row>
    <row r="140" spans="80:80" x14ac:dyDescent="0.2">
      <c r="CB140" s="169"/>
    </row>
    <row r="141" spans="80:80" x14ac:dyDescent="0.2">
      <c r="CB141" s="169"/>
    </row>
    <row r="142" spans="80:80" x14ac:dyDescent="0.2">
      <c r="CB142" s="169"/>
    </row>
    <row r="143" spans="80:80" x14ac:dyDescent="0.2">
      <c r="CB143" s="169"/>
    </row>
    <row r="144" spans="80:80" x14ac:dyDescent="0.2">
      <c r="CB144" s="169"/>
    </row>
    <row r="145" spans="80:80" x14ac:dyDescent="0.2">
      <c r="CB145" s="169"/>
    </row>
    <row r="146" spans="80:80" x14ac:dyDescent="0.2">
      <c r="CB146" s="169"/>
    </row>
    <row r="147" spans="80:80" x14ac:dyDescent="0.2">
      <c r="CB147" s="169"/>
    </row>
    <row r="148" spans="80:80" x14ac:dyDescent="0.2">
      <c r="CB148" s="169"/>
    </row>
    <row r="149" spans="80:80" x14ac:dyDescent="0.2">
      <c r="CB149" s="169"/>
    </row>
    <row r="150" spans="80:80" x14ac:dyDescent="0.2">
      <c r="CB150" s="169"/>
    </row>
    <row r="151" spans="80:80" x14ac:dyDescent="0.2">
      <c r="CB151" s="169"/>
    </row>
    <row r="152" spans="80:80" x14ac:dyDescent="0.2">
      <c r="CB152" s="169"/>
    </row>
    <row r="153" spans="80:80" x14ac:dyDescent="0.2">
      <c r="CB153" s="169"/>
    </row>
    <row r="154" spans="80:80" x14ac:dyDescent="0.2">
      <c r="CB154" s="169"/>
    </row>
    <row r="155" spans="80:80" x14ac:dyDescent="0.2">
      <c r="CB155" s="169"/>
    </row>
  </sheetData>
  <hyperlinks>
    <hyperlink ref="L4" r:id="rId1" display="hoenisch@ldeo.columbia.edu" xr:uid="{EBF14A3B-E7C7-BF46-986F-33768193C29E}"/>
    <hyperlink ref="L5" r:id="rId2" display="hoenisch@ldeo.columbia.edu" xr:uid="{60DBA6D9-BF9E-EB47-835D-833E3F76E0BB}"/>
    <hyperlink ref="L6" r:id="rId3" display="hoenisch@ldeo.columbia.edu" xr:uid="{0D632C66-20F1-014C-B4FF-9A8204065260}"/>
    <hyperlink ref="L7" r:id="rId4" display="hoenisch@ldeo.columbia.edu" xr:uid="{5FA38379-2BDC-004E-80CD-5E9382E49984}"/>
    <hyperlink ref="L8" r:id="rId5" display="hoenisch@ldeo.columbia.edu" xr:uid="{A0752F3A-7601-3F48-973D-0D3513317DB6}"/>
    <hyperlink ref="L9" r:id="rId6" display="hoenisch@ldeo.columbia.edu" xr:uid="{E57F280A-0B89-D146-B3F3-7DA9167F7747}"/>
    <hyperlink ref="L10" r:id="rId7" display="hoenisch@ldeo.columbia.edu" xr:uid="{2BF5740C-7F70-C14B-9F42-3A53A682B7A8}"/>
    <hyperlink ref="L11" r:id="rId8" display="hoenisch@ldeo.columbia.edu" xr:uid="{B263A9DD-0998-8A4F-9FDD-C93E9B39D8E5}"/>
    <hyperlink ref="L12" r:id="rId9" display="hoenisch@ldeo.columbia.edu" xr:uid="{DA7A208B-E45A-E142-8797-1DF7EAD34104}"/>
    <hyperlink ref="L13" r:id="rId10" display="hoenisch@ldeo.columbia.edu" xr:uid="{2DC9D798-59A6-9244-9EF8-DC60175DBA4D}"/>
    <hyperlink ref="L14" r:id="rId11" display="hoenisch@ldeo.columbia.edu" xr:uid="{4890DED1-F769-564E-AECB-D0C94489EFF5}"/>
    <hyperlink ref="L15" r:id="rId12" display="hoenisch@ldeo.columbia.edu" xr:uid="{08EF06A8-7A77-2D4E-8338-1D700E974BC2}"/>
    <hyperlink ref="L16" r:id="rId13" display="hoenisch@ldeo.columbia.edu" xr:uid="{A5761290-777F-D14F-A85F-DA802EAFF6FF}"/>
    <hyperlink ref="L17" r:id="rId14" display="hoenisch@ldeo.columbia.edu" xr:uid="{B14C2A56-ECE9-C944-9D1F-665458D59032}"/>
    <hyperlink ref="L18" r:id="rId15" display="hoenisch@ldeo.columbia.edu" xr:uid="{9F7489CA-0F41-F145-8782-CBD164AE9791}"/>
    <hyperlink ref="L19" r:id="rId16" display="hoenisch@ldeo.columbia.edu" xr:uid="{3CFF6A5B-A1DD-B84C-B53C-4B194AA5FD57}"/>
    <hyperlink ref="L20" r:id="rId17" display="hoenisch@ldeo.columbia.edu" xr:uid="{A8673450-2FD9-264D-8B2B-23CA7A9692C9}"/>
    <hyperlink ref="L21" r:id="rId18" display="hoenisch@ldeo.columbia.edu" xr:uid="{E3EDFCAB-25F2-2B4A-9379-90A904310828}"/>
    <hyperlink ref="L22" r:id="rId19" display="hoenisch@ldeo.columbia.edu" xr:uid="{472D035D-305F-A949-A1E3-DC41DA977570}"/>
    <hyperlink ref="L23" r:id="rId20" display="hoenisch@ldeo.columbia.edu" xr:uid="{AD43A3D9-4231-DC41-8A5F-33F69B2B6724}"/>
    <hyperlink ref="L24" r:id="rId21" display="hoenisch@ldeo.columbia.edu" xr:uid="{CF5C97BB-AE2E-2C4A-A3C4-F5E45DB836B8}"/>
    <hyperlink ref="L25" r:id="rId22" display="hoenisch@ldeo.columbia.edu" xr:uid="{4139C1FD-05AF-754F-B2C7-B6E7D8D95A04}"/>
    <hyperlink ref="L26" r:id="rId23" display="hoenisch@ldeo.columbia.edu" xr:uid="{5AE33BCC-7D6F-5A4F-B15B-12074D2648DD}"/>
    <hyperlink ref="L27" r:id="rId24" display="hoenisch@ldeo.columbia.edu" xr:uid="{4BC798B7-2802-A74A-B62C-2E8052BF9788}"/>
    <hyperlink ref="L28" r:id="rId25" display="hoenisch@ldeo.columbia.edu" xr:uid="{BC4F45B9-8406-5F46-B3CF-2359E5263BD4}"/>
    <hyperlink ref="L29" r:id="rId26" display="hoenisch@ldeo.columbia.edu" xr:uid="{40704F3F-B51D-3648-A48B-2CE0BB2CBB95}"/>
    <hyperlink ref="L30" r:id="rId27" display="hoenisch@ldeo.columbia.edu" xr:uid="{59851BEF-F7F0-8B41-BB39-49D6FA0DB2DB}"/>
    <hyperlink ref="L31" r:id="rId28" display="hoenisch@ldeo.columbia.edu" xr:uid="{F9CFA321-0A0C-7D48-AFA6-60DD4C7B9856}"/>
    <hyperlink ref="L32" r:id="rId29" display="hoenisch@ldeo.columbia.edu" xr:uid="{3166E1D5-4C38-C14E-A204-9A99133CC726}"/>
    <hyperlink ref="L33" r:id="rId30" display="hoenisch@ldeo.columbia.edu" xr:uid="{B601F69B-FBAB-6F46-925B-2F07AB27B510}"/>
    <hyperlink ref="L34" r:id="rId31" display="hoenisch@ldeo.columbia.edu" xr:uid="{70B2AC0E-200E-194D-ADB8-7D6B9A6010E0}"/>
    <hyperlink ref="L35" r:id="rId32" display="hoenisch@ldeo.columbia.edu" xr:uid="{4D519AEE-8E64-4E4D-8DB3-50E6DAD8F73D}"/>
    <hyperlink ref="L36" r:id="rId33" display="hoenisch@ldeo.columbia.edu" xr:uid="{BF8E5E84-9769-ED40-AFD0-11A86B798F36}"/>
    <hyperlink ref="L37" r:id="rId34" display="hoenisch@ldeo.columbia.edu" xr:uid="{FD39B3A0-A16D-9344-B8EC-6CDBDD31BE49}"/>
    <hyperlink ref="L38" r:id="rId35" display="hoenisch@ldeo.columbia.edu" xr:uid="{81617D61-3AE3-7243-833A-4A7543CD8896}"/>
    <hyperlink ref="L39" r:id="rId36" display="hoenisch@ldeo.columbia.edu" xr:uid="{B3967A90-AACE-654C-A520-91607A820A15}"/>
    <hyperlink ref="L40" r:id="rId37" display="hoenisch@ldeo.columbia.edu" xr:uid="{138E8966-161B-BF49-85BD-6DA2F4F83442}"/>
    <hyperlink ref="L41" r:id="rId38" display="hoenisch@ldeo.columbia.edu" xr:uid="{A7A4F95C-74C3-8E40-AA10-5627735073DB}"/>
    <hyperlink ref="L42" r:id="rId39" display="hoenisch@ldeo.columbia.edu" xr:uid="{790AEC9D-8774-F141-82B8-E9E5B319859B}"/>
    <hyperlink ref="L43" r:id="rId40" display="hoenisch@ldeo.columbia.edu" xr:uid="{DAFF273A-9C02-3C43-B68A-04FD1794A69E}"/>
    <hyperlink ref="L44" r:id="rId41" display="hoenisch@ldeo.columbia.edu" xr:uid="{8FB1F8A8-3DBE-F44B-B16D-C22E44573A16}"/>
    <hyperlink ref="L45" r:id="rId42" display="hoenisch@ldeo.columbia.edu" xr:uid="{14B68FB5-D8EE-9A40-8527-ED2B4A2491C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88209-BA82-D243-A32D-462E14EDEBCF}">
  <dimension ref="A1:A3"/>
  <sheetViews>
    <sheetView workbookViewId="0">
      <selection sqref="A1:A3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250</v>
      </c>
    </row>
    <row r="3" spans="1:1" x14ac:dyDescent="0.2">
      <c r="A3" t="s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boron isotopes</vt:lpstr>
      <vt:lpstr>Column specifications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Bärbel Hönisch</cp:lastModifiedBy>
  <dcterms:created xsi:type="dcterms:W3CDTF">2017-12-08T17:15:47Z</dcterms:created>
  <dcterms:modified xsi:type="dcterms:W3CDTF">2021-03-16T16:37:27Z</dcterms:modified>
</cp:coreProperties>
</file>