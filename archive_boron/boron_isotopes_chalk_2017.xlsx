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5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05DA0CFE-CBF0-1C43-BA1C-81150FDA4B10}" xr6:coauthVersionLast="36" xr6:coauthVersionMax="43" xr10:uidLastSave="{00000000-0000-0000-0000-000000000000}"/>
  <bookViews>
    <workbookView xWindow="3120" yWindow="460" windowWidth="25600" windowHeight="14680" tabRatio="500" xr2:uid="{00000000-000D-0000-FFFF-FFFF00000000}"/>
  </bookViews>
  <sheets>
    <sheet name="boron isotopes" sheetId="2" r:id="rId1"/>
    <sheet name="Column specifications" sheetId="3" r:id="rId2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P5" i="2" l="1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4" i="2"/>
  <c r="E5" i="2" l="1"/>
  <c r="F5" i="2"/>
  <c r="G5" i="2"/>
  <c r="H5" i="2"/>
  <c r="I5" i="2"/>
  <c r="J5" i="2"/>
  <c r="E6" i="2"/>
  <c r="F6" i="2"/>
  <c r="G6" i="2"/>
  <c r="H6" i="2"/>
  <c r="I6" i="2"/>
  <c r="J6" i="2"/>
  <c r="E7" i="2"/>
  <c r="F7" i="2"/>
  <c r="G7" i="2"/>
  <c r="H7" i="2"/>
  <c r="I7" i="2"/>
  <c r="J7" i="2"/>
  <c r="E8" i="2"/>
  <c r="F8" i="2"/>
  <c r="G8" i="2"/>
  <c r="H8" i="2"/>
  <c r="I8" i="2"/>
  <c r="J8" i="2"/>
  <c r="E9" i="2"/>
  <c r="F9" i="2"/>
  <c r="G9" i="2"/>
  <c r="H9" i="2"/>
  <c r="I9" i="2"/>
  <c r="J9" i="2"/>
  <c r="E10" i="2"/>
  <c r="F10" i="2"/>
  <c r="G10" i="2"/>
  <c r="H10" i="2"/>
  <c r="I10" i="2"/>
  <c r="J10" i="2"/>
  <c r="E11" i="2"/>
  <c r="F11" i="2"/>
  <c r="G11" i="2"/>
  <c r="H11" i="2"/>
  <c r="I11" i="2"/>
  <c r="J11" i="2"/>
  <c r="E12" i="2"/>
  <c r="F12" i="2"/>
  <c r="G12" i="2"/>
  <c r="H12" i="2"/>
  <c r="I12" i="2"/>
  <c r="J12" i="2"/>
  <c r="E13" i="2"/>
  <c r="F13" i="2"/>
  <c r="G13" i="2"/>
  <c r="H13" i="2"/>
  <c r="I13" i="2"/>
  <c r="J13" i="2"/>
  <c r="E14" i="2"/>
  <c r="F14" i="2"/>
  <c r="G14" i="2"/>
  <c r="H14" i="2"/>
  <c r="I14" i="2"/>
  <c r="J14" i="2"/>
  <c r="E15" i="2"/>
  <c r="F15" i="2"/>
  <c r="G15" i="2"/>
  <c r="H15" i="2"/>
  <c r="I15" i="2"/>
  <c r="J15" i="2"/>
  <c r="E16" i="2"/>
  <c r="F16" i="2"/>
  <c r="G16" i="2"/>
  <c r="H16" i="2"/>
  <c r="I16" i="2"/>
  <c r="J16" i="2"/>
  <c r="E17" i="2"/>
  <c r="F17" i="2"/>
  <c r="G17" i="2"/>
  <c r="H17" i="2"/>
  <c r="I17" i="2"/>
  <c r="J17" i="2"/>
  <c r="E18" i="2"/>
  <c r="F18" i="2"/>
  <c r="G18" i="2"/>
  <c r="H18" i="2"/>
  <c r="I18" i="2"/>
  <c r="J18" i="2"/>
  <c r="E19" i="2"/>
  <c r="F19" i="2"/>
  <c r="G19" i="2"/>
  <c r="H19" i="2"/>
  <c r="I19" i="2"/>
  <c r="J19" i="2"/>
  <c r="E20" i="2"/>
  <c r="F20" i="2"/>
  <c r="G20" i="2"/>
  <c r="H20" i="2"/>
  <c r="I20" i="2"/>
  <c r="J20" i="2"/>
  <c r="E21" i="2"/>
  <c r="F21" i="2"/>
  <c r="G21" i="2"/>
  <c r="H21" i="2"/>
  <c r="I21" i="2"/>
  <c r="J21" i="2"/>
  <c r="E22" i="2"/>
  <c r="F22" i="2"/>
  <c r="G22" i="2"/>
  <c r="H22" i="2"/>
  <c r="I22" i="2"/>
  <c r="J22" i="2"/>
  <c r="E23" i="2"/>
  <c r="F23" i="2"/>
  <c r="G23" i="2"/>
  <c r="H23" i="2"/>
  <c r="I23" i="2"/>
  <c r="J23" i="2"/>
  <c r="E24" i="2"/>
  <c r="F24" i="2"/>
  <c r="G24" i="2"/>
  <c r="H24" i="2"/>
  <c r="I24" i="2"/>
  <c r="J24" i="2"/>
  <c r="E25" i="2"/>
  <c r="F25" i="2"/>
  <c r="G25" i="2"/>
  <c r="H25" i="2"/>
  <c r="I25" i="2"/>
  <c r="J25" i="2"/>
  <c r="E26" i="2"/>
  <c r="F26" i="2"/>
  <c r="G26" i="2"/>
  <c r="H26" i="2"/>
  <c r="I26" i="2"/>
  <c r="J26" i="2"/>
  <c r="E27" i="2"/>
  <c r="F27" i="2"/>
  <c r="G27" i="2"/>
  <c r="H27" i="2"/>
  <c r="I27" i="2"/>
  <c r="J27" i="2"/>
  <c r="E28" i="2"/>
  <c r="F28" i="2"/>
  <c r="G28" i="2"/>
  <c r="H28" i="2"/>
  <c r="I28" i="2"/>
  <c r="J28" i="2"/>
  <c r="E29" i="2"/>
  <c r="F29" i="2"/>
  <c r="G29" i="2"/>
  <c r="H29" i="2"/>
  <c r="I29" i="2"/>
  <c r="J29" i="2"/>
  <c r="E30" i="2"/>
  <c r="F30" i="2"/>
  <c r="G30" i="2"/>
  <c r="H30" i="2"/>
  <c r="I30" i="2"/>
  <c r="J30" i="2"/>
  <c r="E31" i="2"/>
  <c r="F31" i="2"/>
  <c r="G31" i="2"/>
  <c r="H31" i="2"/>
  <c r="I31" i="2"/>
  <c r="J31" i="2"/>
  <c r="E32" i="2"/>
  <c r="F32" i="2"/>
  <c r="G32" i="2"/>
  <c r="H32" i="2"/>
  <c r="I32" i="2"/>
  <c r="J32" i="2"/>
  <c r="E33" i="2"/>
  <c r="F33" i="2"/>
  <c r="G33" i="2"/>
  <c r="H33" i="2"/>
  <c r="I33" i="2"/>
  <c r="J33" i="2"/>
  <c r="E34" i="2"/>
  <c r="F34" i="2"/>
  <c r="G34" i="2"/>
  <c r="H34" i="2"/>
  <c r="I34" i="2"/>
  <c r="J34" i="2"/>
  <c r="E35" i="2"/>
  <c r="F35" i="2"/>
  <c r="G35" i="2"/>
  <c r="H35" i="2"/>
  <c r="I35" i="2"/>
  <c r="J35" i="2"/>
  <c r="E36" i="2"/>
  <c r="F36" i="2"/>
  <c r="G36" i="2"/>
  <c r="H36" i="2"/>
  <c r="I36" i="2"/>
  <c r="J36" i="2"/>
  <c r="E37" i="2"/>
  <c r="F37" i="2"/>
  <c r="G37" i="2"/>
  <c r="H37" i="2"/>
  <c r="I37" i="2"/>
  <c r="J37" i="2"/>
  <c r="E38" i="2"/>
  <c r="F38" i="2"/>
  <c r="G38" i="2"/>
  <c r="H38" i="2"/>
  <c r="I38" i="2"/>
  <c r="J38" i="2"/>
  <c r="E39" i="2"/>
  <c r="F39" i="2"/>
  <c r="G39" i="2"/>
  <c r="H39" i="2"/>
  <c r="I39" i="2"/>
  <c r="J39" i="2"/>
  <c r="E40" i="2"/>
  <c r="F40" i="2"/>
  <c r="G40" i="2"/>
  <c r="H40" i="2"/>
  <c r="I40" i="2"/>
  <c r="J40" i="2"/>
  <c r="E41" i="2"/>
  <c r="F41" i="2"/>
  <c r="G41" i="2"/>
  <c r="H41" i="2"/>
  <c r="I41" i="2"/>
  <c r="J41" i="2"/>
  <c r="E42" i="2"/>
  <c r="F42" i="2"/>
  <c r="G42" i="2"/>
  <c r="H42" i="2"/>
  <c r="I42" i="2"/>
  <c r="J42" i="2"/>
  <c r="E43" i="2"/>
  <c r="F43" i="2"/>
  <c r="G43" i="2"/>
  <c r="H43" i="2"/>
  <c r="I43" i="2"/>
  <c r="J43" i="2"/>
  <c r="E44" i="2"/>
  <c r="F44" i="2"/>
  <c r="G44" i="2"/>
  <c r="H44" i="2"/>
  <c r="I44" i="2"/>
  <c r="J44" i="2"/>
  <c r="E45" i="2"/>
  <c r="F45" i="2"/>
  <c r="G45" i="2"/>
  <c r="H45" i="2"/>
  <c r="I45" i="2"/>
  <c r="J45" i="2"/>
  <c r="E46" i="2"/>
  <c r="F46" i="2"/>
  <c r="G46" i="2"/>
  <c r="H46" i="2"/>
  <c r="I46" i="2"/>
  <c r="J46" i="2"/>
  <c r="E47" i="2"/>
  <c r="F47" i="2"/>
  <c r="G47" i="2"/>
  <c r="H47" i="2"/>
  <c r="I47" i="2"/>
  <c r="J47" i="2"/>
  <c r="E48" i="2"/>
  <c r="F48" i="2"/>
  <c r="G48" i="2"/>
  <c r="H48" i="2"/>
  <c r="I48" i="2"/>
  <c r="J48" i="2"/>
  <c r="E49" i="2"/>
  <c r="F49" i="2"/>
  <c r="G49" i="2"/>
  <c r="H49" i="2"/>
  <c r="I49" i="2"/>
  <c r="J49" i="2"/>
  <c r="E50" i="2"/>
  <c r="F50" i="2"/>
  <c r="G50" i="2"/>
  <c r="H50" i="2"/>
  <c r="I50" i="2"/>
  <c r="J50" i="2"/>
  <c r="E51" i="2"/>
  <c r="F51" i="2"/>
  <c r="G51" i="2"/>
  <c r="H51" i="2"/>
  <c r="I51" i="2"/>
  <c r="J51" i="2"/>
  <c r="E52" i="2"/>
  <c r="F52" i="2"/>
  <c r="G52" i="2"/>
  <c r="H52" i="2"/>
  <c r="I52" i="2"/>
  <c r="J52" i="2"/>
  <c r="E53" i="2"/>
  <c r="F53" i="2"/>
  <c r="G53" i="2"/>
  <c r="H53" i="2"/>
  <c r="I53" i="2"/>
  <c r="J53" i="2"/>
  <c r="E54" i="2"/>
  <c r="F54" i="2"/>
  <c r="G54" i="2"/>
  <c r="H54" i="2"/>
  <c r="I54" i="2"/>
  <c r="J54" i="2"/>
  <c r="E55" i="2"/>
  <c r="F55" i="2"/>
  <c r="G55" i="2"/>
  <c r="H55" i="2"/>
  <c r="I55" i="2"/>
  <c r="J55" i="2"/>
  <c r="E56" i="2"/>
  <c r="F56" i="2"/>
  <c r="G56" i="2"/>
  <c r="H56" i="2"/>
  <c r="I56" i="2"/>
  <c r="J56" i="2"/>
  <c r="E57" i="2"/>
  <c r="F57" i="2"/>
  <c r="G57" i="2"/>
  <c r="H57" i="2"/>
  <c r="I57" i="2"/>
  <c r="J57" i="2"/>
  <c r="E58" i="2"/>
  <c r="F58" i="2"/>
  <c r="G58" i="2"/>
  <c r="H58" i="2"/>
  <c r="I58" i="2"/>
  <c r="J58" i="2"/>
  <c r="E59" i="2"/>
  <c r="F59" i="2"/>
  <c r="G59" i="2"/>
  <c r="H59" i="2"/>
  <c r="I59" i="2"/>
  <c r="J59" i="2"/>
  <c r="E60" i="2"/>
  <c r="F60" i="2"/>
  <c r="G60" i="2"/>
  <c r="H60" i="2"/>
  <c r="I60" i="2"/>
  <c r="J60" i="2"/>
  <c r="E61" i="2"/>
  <c r="F61" i="2"/>
  <c r="G61" i="2"/>
  <c r="H61" i="2"/>
  <c r="I61" i="2"/>
  <c r="J61" i="2"/>
  <c r="E62" i="2"/>
  <c r="F62" i="2"/>
  <c r="G62" i="2"/>
  <c r="H62" i="2"/>
  <c r="I62" i="2"/>
  <c r="J62" i="2"/>
  <c r="E63" i="2"/>
  <c r="F63" i="2"/>
  <c r="G63" i="2"/>
  <c r="H63" i="2"/>
  <c r="I63" i="2"/>
  <c r="J63" i="2"/>
  <c r="E64" i="2"/>
  <c r="F64" i="2"/>
  <c r="G64" i="2"/>
  <c r="H64" i="2"/>
  <c r="I64" i="2"/>
  <c r="J64" i="2"/>
  <c r="E65" i="2"/>
  <c r="F65" i="2"/>
  <c r="G65" i="2"/>
  <c r="H65" i="2"/>
  <c r="I65" i="2"/>
  <c r="J65" i="2"/>
  <c r="E66" i="2"/>
  <c r="F66" i="2"/>
  <c r="G66" i="2"/>
  <c r="H66" i="2"/>
  <c r="I66" i="2"/>
  <c r="J66" i="2"/>
  <c r="E67" i="2"/>
  <c r="F67" i="2"/>
  <c r="G67" i="2"/>
  <c r="H67" i="2"/>
  <c r="I67" i="2"/>
  <c r="J67" i="2"/>
  <c r="E68" i="2"/>
  <c r="F68" i="2"/>
  <c r="G68" i="2"/>
  <c r="H68" i="2"/>
  <c r="I68" i="2"/>
  <c r="J68" i="2"/>
  <c r="E69" i="2"/>
  <c r="F69" i="2"/>
  <c r="G69" i="2"/>
  <c r="H69" i="2"/>
  <c r="I69" i="2"/>
  <c r="J69" i="2"/>
  <c r="E70" i="2"/>
  <c r="F70" i="2"/>
  <c r="G70" i="2"/>
  <c r="H70" i="2"/>
  <c r="I70" i="2"/>
  <c r="J70" i="2"/>
  <c r="E71" i="2"/>
  <c r="F71" i="2"/>
  <c r="G71" i="2"/>
  <c r="H71" i="2"/>
  <c r="I71" i="2"/>
  <c r="J71" i="2"/>
  <c r="E72" i="2"/>
  <c r="F72" i="2"/>
  <c r="G72" i="2"/>
  <c r="H72" i="2"/>
  <c r="I72" i="2"/>
  <c r="J72" i="2"/>
  <c r="E73" i="2"/>
  <c r="F73" i="2"/>
  <c r="G73" i="2"/>
  <c r="H73" i="2"/>
  <c r="I73" i="2"/>
  <c r="J73" i="2"/>
  <c r="E74" i="2"/>
  <c r="F74" i="2"/>
  <c r="G74" i="2"/>
  <c r="H74" i="2"/>
  <c r="I74" i="2"/>
  <c r="J74" i="2"/>
  <c r="E75" i="2"/>
  <c r="F75" i="2"/>
  <c r="G75" i="2"/>
  <c r="H75" i="2"/>
  <c r="I75" i="2"/>
  <c r="J75" i="2"/>
  <c r="E76" i="2"/>
  <c r="F76" i="2"/>
  <c r="G76" i="2"/>
  <c r="H76" i="2"/>
  <c r="I76" i="2"/>
  <c r="J76" i="2"/>
  <c r="E77" i="2"/>
  <c r="F77" i="2"/>
  <c r="G77" i="2"/>
  <c r="H77" i="2"/>
  <c r="I77" i="2"/>
  <c r="J77" i="2"/>
  <c r="E78" i="2"/>
  <c r="F78" i="2"/>
  <c r="G78" i="2"/>
  <c r="H78" i="2"/>
  <c r="I78" i="2"/>
  <c r="J78" i="2"/>
  <c r="E79" i="2"/>
  <c r="F79" i="2"/>
  <c r="G79" i="2"/>
  <c r="H79" i="2"/>
  <c r="I79" i="2"/>
  <c r="J79" i="2"/>
  <c r="E80" i="2"/>
  <c r="F80" i="2"/>
  <c r="G80" i="2"/>
  <c r="H80" i="2"/>
  <c r="I80" i="2"/>
  <c r="J80" i="2"/>
  <c r="E81" i="2"/>
  <c r="F81" i="2"/>
  <c r="G81" i="2"/>
  <c r="H81" i="2"/>
  <c r="I81" i="2"/>
  <c r="J81" i="2"/>
  <c r="E82" i="2"/>
  <c r="F82" i="2"/>
  <c r="G82" i="2"/>
  <c r="H82" i="2"/>
  <c r="I82" i="2"/>
  <c r="J82" i="2"/>
  <c r="E83" i="2"/>
  <c r="F83" i="2"/>
  <c r="G83" i="2"/>
  <c r="H83" i="2"/>
  <c r="I83" i="2"/>
  <c r="J83" i="2"/>
  <c r="E84" i="2"/>
  <c r="F84" i="2"/>
  <c r="G84" i="2"/>
  <c r="H84" i="2"/>
  <c r="I84" i="2"/>
  <c r="J84" i="2"/>
  <c r="E85" i="2"/>
  <c r="F85" i="2"/>
  <c r="G85" i="2"/>
  <c r="H85" i="2"/>
  <c r="I85" i="2"/>
  <c r="J85" i="2"/>
  <c r="E86" i="2"/>
  <c r="F86" i="2"/>
  <c r="G86" i="2"/>
  <c r="H86" i="2"/>
  <c r="I86" i="2"/>
  <c r="J86" i="2"/>
  <c r="E87" i="2"/>
  <c r="F87" i="2"/>
  <c r="G87" i="2"/>
  <c r="H87" i="2"/>
  <c r="I87" i="2"/>
  <c r="J87" i="2"/>
  <c r="E88" i="2"/>
  <c r="F88" i="2"/>
  <c r="G88" i="2"/>
  <c r="H88" i="2"/>
  <c r="I88" i="2"/>
  <c r="J88" i="2"/>
  <c r="E89" i="2"/>
  <c r="F89" i="2"/>
  <c r="G89" i="2"/>
  <c r="H89" i="2"/>
  <c r="I89" i="2"/>
  <c r="J89" i="2"/>
  <c r="E90" i="2"/>
  <c r="F90" i="2"/>
  <c r="G90" i="2"/>
  <c r="H90" i="2"/>
  <c r="I90" i="2"/>
  <c r="J90" i="2"/>
  <c r="E91" i="2"/>
  <c r="F91" i="2"/>
  <c r="G91" i="2"/>
  <c r="H91" i="2"/>
  <c r="I91" i="2"/>
  <c r="J91" i="2"/>
  <c r="E92" i="2"/>
  <c r="F92" i="2"/>
  <c r="G92" i="2"/>
  <c r="H92" i="2"/>
  <c r="I92" i="2"/>
  <c r="J92" i="2"/>
  <c r="E93" i="2"/>
  <c r="F93" i="2"/>
  <c r="G93" i="2"/>
  <c r="H93" i="2"/>
  <c r="I93" i="2"/>
  <c r="J93" i="2"/>
  <c r="E94" i="2"/>
  <c r="F94" i="2"/>
  <c r="G94" i="2"/>
  <c r="H94" i="2"/>
  <c r="I94" i="2"/>
  <c r="J94" i="2"/>
  <c r="E95" i="2"/>
  <c r="F95" i="2"/>
  <c r="G95" i="2"/>
  <c r="H95" i="2"/>
  <c r="I95" i="2"/>
  <c r="J95" i="2"/>
  <c r="E96" i="2"/>
  <c r="F96" i="2"/>
  <c r="G96" i="2"/>
  <c r="H96" i="2"/>
  <c r="I96" i="2"/>
  <c r="J96" i="2"/>
  <c r="E97" i="2"/>
  <c r="F97" i="2"/>
  <c r="G97" i="2"/>
  <c r="H97" i="2"/>
  <c r="I97" i="2"/>
  <c r="J97" i="2"/>
  <c r="E98" i="2"/>
  <c r="F98" i="2"/>
  <c r="G98" i="2"/>
  <c r="H98" i="2"/>
  <c r="I98" i="2"/>
  <c r="J98" i="2"/>
  <c r="E99" i="2"/>
  <c r="F99" i="2"/>
  <c r="G99" i="2"/>
  <c r="H99" i="2"/>
  <c r="I99" i="2"/>
  <c r="J99" i="2"/>
  <c r="E100" i="2"/>
  <c r="F100" i="2"/>
  <c r="G100" i="2"/>
  <c r="H100" i="2"/>
  <c r="I100" i="2"/>
  <c r="J100" i="2"/>
  <c r="E101" i="2"/>
  <c r="F101" i="2"/>
  <c r="G101" i="2"/>
  <c r="H101" i="2"/>
  <c r="I101" i="2"/>
  <c r="J101" i="2"/>
  <c r="E102" i="2"/>
  <c r="F102" i="2"/>
  <c r="G102" i="2"/>
  <c r="H102" i="2"/>
  <c r="I102" i="2"/>
  <c r="J102" i="2"/>
  <c r="E103" i="2"/>
  <c r="F103" i="2"/>
  <c r="G103" i="2"/>
  <c r="H103" i="2"/>
  <c r="I103" i="2"/>
  <c r="J103" i="2"/>
  <c r="E104" i="2"/>
  <c r="F104" i="2"/>
  <c r="G104" i="2"/>
  <c r="H104" i="2"/>
  <c r="I104" i="2"/>
  <c r="J104" i="2"/>
  <c r="E105" i="2"/>
  <c r="F105" i="2"/>
  <c r="G105" i="2"/>
  <c r="H105" i="2"/>
  <c r="I105" i="2"/>
  <c r="J105" i="2"/>
  <c r="E106" i="2"/>
  <c r="F106" i="2"/>
  <c r="G106" i="2"/>
  <c r="H106" i="2"/>
  <c r="I106" i="2"/>
  <c r="J106" i="2"/>
  <c r="E107" i="2"/>
  <c r="F107" i="2"/>
  <c r="G107" i="2"/>
  <c r="H107" i="2"/>
  <c r="I107" i="2"/>
  <c r="J107" i="2"/>
  <c r="E108" i="2"/>
  <c r="F108" i="2"/>
  <c r="G108" i="2"/>
  <c r="H108" i="2"/>
  <c r="I108" i="2"/>
  <c r="J108" i="2"/>
  <c r="E109" i="2"/>
  <c r="F109" i="2"/>
  <c r="G109" i="2"/>
  <c r="H109" i="2"/>
  <c r="I109" i="2"/>
  <c r="J109" i="2"/>
  <c r="E110" i="2"/>
  <c r="F110" i="2"/>
  <c r="G110" i="2"/>
  <c r="H110" i="2"/>
  <c r="I110" i="2"/>
  <c r="J110" i="2"/>
  <c r="E111" i="2"/>
  <c r="F111" i="2"/>
  <c r="G111" i="2"/>
  <c r="H111" i="2"/>
  <c r="I111" i="2"/>
  <c r="J111" i="2"/>
  <c r="E112" i="2"/>
  <c r="F112" i="2"/>
  <c r="G112" i="2"/>
  <c r="H112" i="2"/>
  <c r="I112" i="2"/>
  <c r="J112" i="2"/>
  <c r="E113" i="2"/>
  <c r="F113" i="2"/>
  <c r="G113" i="2"/>
  <c r="H113" i="2"/>
  <c r="I113" i="2"/>
  <c r="J113" i="2"/>
  <c r="J4" i="2"/>
  <c r="I4" i="2"/>
  <c r="H4" i="2"/>
  <c r="G4" i="2"/>
  <c r="F4" i="2"/>
  <c r="E4" i="2"/>
  <c r="DQ64" i="2" l="1"/>
  <c r="DQ65" i="2"/>
  <c r="DQ66" i="2"/>
  <c r="DQ67" i="2"/>
  <c r="DQ68" i="2"/>
  <c r="DQ69" i="2"/>
  <c r="DQ70" i="2"/>
  <c r="DQ71" i="2"/>
  <c r="DQ72" i="2"/>
  <c r="DQ73" i="2"/>
  <c r="DQ74" i="2"/>
  <c r="DQ75" i="2"/>
  <c r="DQ76" i="2"/>
  <c r="DQ77" i="2"/>
  <c r="DQ78" i="2"/>
  <c r="DQ79" i="2"/>
  <c r="DQ80" i="2"/>
  <c r="DQ81" i="2"/>
  <c r="DQ82" i="2"/>
  <c r="DQ83" i="2"/>
  <c r="DQ84" i="2"/>
  <c r="DQ85" i="2"/>
  <c r="DQ86" i="2"/>
  <c r="DQ87" i="2"/>
  <c r="DQ88" i="2"/>
  <c r="DQ89" i="2"/>
  <c r="DQ90" i="2"/>
  <c r="DQ91" i="2"/>
  <c r="DQ92" i="2"/>
  <c r="DQ93" i="2"/>
  <c r="DQ94" i="2"/>
  <c r="DQ95" i="2"/>
  <c r="DQ96" i="2"/>
  <c r="DQ97" i="2"/>
  <c r="DQ98" i="2"/>
  <c r="DQ99" i="2"/>
  <c r="DQ100" i="2"/>
  <c r="DQ101" i="2"/>
  <c r="DQ102" i="2"/>
  <c r="DQ103" i="2"/>
  <c r="DQ104" i="2"/>
  <c r="DQ105" i="2"/>
  <c r="DQ106" i="2"/>
  <c r="DQ107" i="2"/>
  <c r="DQ108" i="2"/>
  <c r="DQ109" i="2"/>
  <c r="DQ110" i="2"/>
  <c r="DQ111" i="2"/>
  <c r="DQ112" i="2"/>
  <c r="DQ113" i="2"/>
  <c r="DQ63" i="2"/>
  <c r="DQ5" i="2"/>
  <c r="DQ6" i="2"/>
  <c r="DQ7" i="2"/>
  <c r="DQ8" i="2"/>
  <c r="DQ9" i="2"/>
  <c r="DQ10" i="2"/>
  <c r="DQ11" i="2"/>
  <c r="DQ12" i="2"/>
  <c r="DQ13" i="2"/>
  <c r="DQ14" i="2"/>
  <c r="DQ15" i="2"/>
  <c r="DQ16" i="2"/>
  <c r="DQ17" i="2"/>
  <c r="DQ18" i="2"/>
  <c r="DQ19" i="2"/>
  <c r="DQ20" i="2"/>
  <c r="DQ21" i="2"/>
  <c r="DQ22" i="2"/>
  <c r="DQ23" i="2"/>
  <c r="DQ24" i="2"/>
  <c r="DQ25" i="2"/>
  <c r="DQ26" i="2"/>
  <c r="DQ27" i="2"/>
  <c r="DQ28" i="2"/>
  <c r="DQ29" i="2"/>
  <c r="DQ30" i="2"/>
  <c r="DQ31" i="2"/>
  <c r="DQ32" i="2"/>
  <c r="DQ33" i="2"/>
  <c r="DQ34" i="2"/>
  <c r="DQ35" i="2"/>
  <c r="DQ36" i="2"/>
  <c r="DQ37" i="2"/>
  <c r="DQ38" i="2"/>
  <c r="DQ39" i="2"/>
  <c r="DQ40" i="2"/>
  <c r="DQ41" i="2"/>
  <c r="DQ42" i="2"/>
  <c r="DQ43" i="2"/>
  <c r="DQ44" i="2"/>
  <c r="DQ45" i="2"/>
  <c r="DQ46" i="2"/>
  <c r="DQ47" i="2"/>
  <c r="DQ48" i="2"/>
  <c r="DQ49" i="2"/>
  <c r="DQ50" i="2"/>
  <c r="DQ51" i="2"/>
  <c r="DQ52" i="2"/>
  <c r="DQ53" i="2"/>
  <c r="DQ54" i="2"/>
  <c r="DQ55" i="2"/>
  <c r="DQ56" i="2"/>
  <c r="DQ57" i="2"/>
  <c r="DQ58" i="2"/>
  <c r="DQ59" i="2"/>
  <c r="DQ60" i="2"/>
  <c r="DQ61" i="2"/>
  <c r="DQ62" i="2"/>
  <c r="DQ4" i="2"/>
  <c r="CE113" i="2" l="1"/>
  <c r="CE112" i="2"/>
  <c r="CE111" i="2"/>
  <c r="CE110" i="2"/>
  <c r="CE109" i="2"/>
  <c r="CE108" i="2"/>
  <c r="CE107" i="2"/>
  <c r="CE106" i="2"/>
  <c r="CE105" i="2"/>
  <c r="CE104" i="2"/>
  <c r="CE103" i="2"/>
  <c r="CE102" i="2"/>
  <c r="CE101" i="2"/>
  <c r="CE100" i="2"/>
  <c r="CE99" i="2"/>
  <c r="CE98" i="2"/>
  <c r="CE97" i="2"/>
  <c r="CE96" i="2"/>
  <c r="CE95" i="2"/>
  <c r="CE94" i="2"/>
  <c r="CE93" i="2"/>
  <c r="CE92" i="2"/>
  <c r="CE91" i="2"/>
  <c r="CE90" i="2"/>
  <c r="CE89" i="2"/>
  <c r="CE88" i="2"/>
  <c r="CE87" i="2"/>
  <c r="CE86" i="2"/>
  <c r="CE85" i="2"/>
  <c r="CE84" i="2"/>
  <c r="CE83" i="2"/>
  <c r="CE82" i="2"/>
  <c r="CE81" i="2"/>
  <c r="CE80" i="2"/>
  <c r="CE79" i="2"/>
  <c r="CE78" i="2"/>
  <c r="CE77" i="2"/>
  <c r="CE76" i="2"/>
  <c r="CE75" i="2"/>
  <c r="CE74" i="2"/>
  <c r="CE73" i="2"/>
  <c r="CE72" i="2"/>
  <c r="CE71" i="2"/>
  <c r="CE70" i="2"/>
  <c r="CE69" i="2"/>
  <c r="CE68" i="2"/>
  <c r="CE67" i="2"/>
  <c r="CE66" i="2"/>
  <c r="CE65" i="2"/>
  <c r="CE64" i="2"/>
  <c r="CE63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0" i="2"/>
  <c r="T59" i="2"/>
  <c r="T58" i="2"/>
  <c r="T57" i="2"/>
  <c r="T56" i="2"/>
  <c r="T55" i="2"/>
  <c r="T54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8" i="2"/>
  <c r="T36" i="2"/>
  <c r="T34" i="2"/>
  <c r="S33" i="2"/>
  <c r="S32" i="2"/>
  <c r="T31" i="2"/>
  <c r="S30" i="2"/>
  <c r="S29" i="2"/>
  <c r="S28" i="2"/>
  <c r="S27" i="2"/>
  <c r="S26" i="2"/>
  <c r="S25" i="2"/>
  <c r="S24" i="2"/>
  <c r="S23" i="2"/>
  <c r="S22" i="2"/>
</calcChain>
</file>

<file path=xl/sharedStrings.xml><?xml version="1.0" encoding="utf-8"?>
<sst xmlns="http://schemas.openxmlformats.org/spreadsheetml/2006/main" count="13520" uniqueCount="223">
  <si>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</si>
  <si>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</si>
  <si>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</si>
  <si>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</si>
  <si>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</si>
  <si>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</si>
  <si>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</si>
  <si>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</si>
  <si>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</si>
  <si>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</si>
  <si>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</si>
  <si>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</si>
  <si>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</si>
  <si>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</si>
  <si>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</si>
  <si>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</si>
  <si>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</si>
  <si>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</si>
  <si>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</si>
  <si>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</si>
  <si>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</si>
  <si>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</si>
  <si>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</si>
  <si>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</si>
  <si>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</si>
  <si>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</si>
  <si>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</si>
  <si>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</si>
  <si>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</si>
  <si>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</si>
  <si>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</si>
  <si>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</si>
  <si>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</si>
  <si>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</si>
  <si>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</si>
  <si>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</si>
  <si>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</si>
  <si>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</si>
  <si>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</si>
  <si>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</si>
  <si>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</si>
  <si>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</si>
  <si>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</si>
  <si>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</si>
  <si>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</si>
  <si>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</si>
  <si>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</si>
  <si>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</si>
  <si>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</si>
  <si>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</si>
  <si>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</si>
  <si>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</si>
  <si>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</si>
  <si>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</si>
  <si>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</si>
  <si>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</si>
  <si>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</si>
  <si>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</si>
  <si>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</si>
  <si>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</si>
  <si>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</si>
  <si>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</si>
  <si>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</si>
  <si>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</si>
  <si>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</si>
  <si>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</si>
  <si>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</si>
  <si>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</si>
  <si>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</si>
  <si>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</si>
  <si>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</si>
  <si>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</si>
  <si>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</si>
  <si>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</si>
  <si>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</si>
  <si>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</si>
  <si>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</si>
  <si>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</si>
  <si>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</si>
  <si>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</si>
  <si>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</si>
  <si>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</si>
  <si>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</si>
  <si>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</si>
  <si>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</si>
  <si>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</si>
  <si>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</si>
  <si>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</si>
  <si>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</si>
  <si>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</si>
  <si>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</si>
  <si>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</si>
  <si>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</si>
  <si>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</si>
  <si>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</si>
  <si>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</si>
  <si>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</si>
  <si>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</si>
  <si>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</si>
  <si>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</si>
  <si>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</si>
  <si>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</si>
  <si>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</si>
  <si>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</si>
  <si>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</si>
  <si>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</si>
  <si>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</si>
  <si>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</si>
  <si>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</si>
  <si>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</si>
  <si>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</si>
  <si>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</si>
  <si>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</si>
  <si>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</si>
  <si>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</si>
  <si>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</si>
  <si>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</si>
  <si>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</si>
  <si>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</si>
  <si>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</si>
  <si>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</si>
  <si>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</si>
  <si>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</si>
  <si>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</si>
  <si>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</si>
  <si>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</si>
  <si>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</si>
  <si>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</si>
  <si>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</si>
  <si>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</si>
  <si>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</si>
  <si>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</si>
  <si>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</si>
  <si>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</si>
  <si>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</si>
  <si>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</si>
  <si>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</si>
  <si>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</si>
  <si>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</si>
  <si>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</si>
  <si>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</si>
  <si>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</si>
  <si>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t>[Ca] (mmol/kg)</t>
  </si>
  <si>
    <t>[Mg] (mmol/kg)</t>
  </si>
  <si>
    <t>[SO4] (mmol/kg)</t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</si>
  <si>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</si>
  <si>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</si>
  <si>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</si>
  <si>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</si>
  <si>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</si>
  <si>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</si>
  <si>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modern reference pH scale (e.g., total scale, seawater scale)</t>
  </si>
  <si>
    <t>N number of replicates</t>
  </si>
  <si>
    <t>2se of replicates</t>
  </si>
  <si>
    <t>boron isotopes</t>
  </si>
  <si>
    <t>Chalk</t>
  </si>
  <si>
    <t>10.1073/pnas.1702143114</t>
  </si>
  <si>
    <t>Chalk, T.B., Hain, M.P., Foster, G.L., Rohling, E.J., Sexton, P.F., Badger, M.P.S., Cherry, S.G., Hasenfratz, A.P., Haug, G.H., Jaccard, S.L., Martínez-García, A., Pälike, H., Pancost, R.D. and Wilson, P.A. (2017) Causes of ice age intensification across the Mid-Pleistocene Transition. Proceedings of the National Academy of Sciences</t>
  </si>
  <si>
    <t>ODP 999</t>
  </si>
  <si>
    <t>A</t>
  </si>
  <si>
    <t>Caribbean Sea</t>
  </si>
  <si>
    <t>CC</t>
  </si>
  <si>
    <t>A</t>
    <phoneticPr fontId="2" type="noConversion"/>
  </si>
  <si>
    <t>normal distribution</t>
  </si>
  <si>
    <t>magnetic polarity/d18O stratigraphy</t>
  </si>
  <si>
    <t>NA</t>
  </si>
  <si>
    <t>Globigerinoides ruber white (sensu stricto)</t>
  </si>
  <si>
    <t>300-355</t>
  </si>
  <si>
    <t>~200</t>
  </si>
  <si>
    <t>Barker et al. (2003)</t>
  </si>
  <si>
    <t>column chemistry</t>
  </si>
  <si>
    <t>MC-ICPMS (Neptune)</t>
  </si>
  <si>
    <t>external, standard deviation</t>
  </si>
  <si>
    <t xml:space="preserve">normal distribution </t>
  </si>
  <si>
    <t>Henehan et al. 2013</t>
  </si>
  <si>
    <t>Size corrected</t>
  </si>
  <si>
    <t>Monte Carlo (n=10,000)</t>
  </si>
  <si>
    <t>Notes (e.g., shell size and/or d11Bsw corrected?)</t>
  </si>
  <si>
    <t>Fantle and DePaolo (2006)</t>
  </si>
  <si>
    <t>set value</t>
  </si>
  <si>
    <t>normal distributions</t>
  </si>
  <si>
    <t>none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</si>
  <si>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</t>
    </r>
  </si>
  <si>
    <t>normal</t>
  </si>
  <si>
    <t>Foster 2010</t>
  </si>
  <si>
    <t>alkalinity</t>
  </si>
  <si>
    <t>annual average</t>
  </si>
  <si>
    <t>total scale</t>
  </si>
  <si>
    <t xml:space="preserve">calibration, d11Bsw, T, S, Alkalinity, age (in manuscript), K0, K1, K2, pKb, disequilibrium, boron content 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</si>
  <si>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</si>
  <si>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</si>
  <si>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</si>
  <si>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</si>
  <si>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</si>
  <si>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</si>
  <si>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</si>
  <si>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</si>
  <si>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</si>
  <si>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t>Not accounted</t>
  </si>
  <si>
    <t>modern value</t>
  </si>
  <si>
    <t>Dickson 1990</t>
  </si>
  <si>
    <t xml:space="preserve">None applied, surface pressure </t>
  </si>
  <si>
    <t xml:space="preserve"> R including seacarb</t>
  </si>
  <si>
    <t>Henry's law, as of Weiss 1974, Zeebe Wolf-Gladrow 2001</t>
  </si>
  <si>
    <t>set salinity value- uncertainty on B/Salinity relationship not included</t>
  </si>
  <si>
    <t>Lee et al 2010</t>
  </si>
  <si>
    <t>Lueker et al. (2000)</t>
  </si>
  <si>
    <t>Delaney et al (1985), Evans and Muller (2012)</t>
  </si>
  <si>
    <t xml:space="preserve">NA </t>
  </si>
  <si>
    <t xml:space="preserve">Thomas B. Chalk, Elwyn de la Vega </t>
  </si>
  <si>
    <t>t.chalk@noc.soton.ac.uk, elwyn.de-la-vega@soton.ac.uk</t>
  </si>
  <si>
    <t>set value (uniform/flat probability)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</si>
  <si>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</si>
  <si>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</si>
  <si>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</si>
  <si>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</si>
  <si>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</si>
  <si>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</si>
  <si>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</si>
  <si>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notes about uncertainty estimate: e.g., included calibration slope and intercept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</si>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</sst>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Verdana"/>
      <family val="2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Verdana"/>
      <family val="2"/>
      <charset val="2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name val="Calibri"/>
      <family val="2"/>
      <scheme val="minor"/>
    </font>
    <font>
      <sz val="10"/>
      <name val="Verdana"/>
      <family val="2"/>
    </font>
    <font>
      <sz val="12"/>
      <color rgb="FF000000"/>
      <name val="Calibri"/>
      <family val="2"/>
      <scheme val="minor"/>
    </font>
    <font>
      <vertAlign val="subscript"/>
      <sz val="12"/>
      <color rgb="FF000000"/>
      <name val="Verdana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8" fillId="0" borderId="0"/>
    <xf numFmtId="0" fontId="1" fillId="0" borderId="0"/>
    <xf numFmtId="0" fontId="31" fillId="0" borderId="0" applyNumberFormat="0" applyFill="0" applyBorder="0" applyAlignment="0" applyProtection="0"/>
    <xf numFmtId="0" fontId="32" fillId="0" borderId="0"/>
  </cellStyleXfs>
  <cellXfs count="161">
    <xf numFmtId="0" fontId="0" fillId="0" borderId="0" xfId="0"/>
    <xf numFmtId="0" fontId="0" fillId="0" borderId="0" xfId="0" applyAlignment="1">
      <alignment vertical="top"/>
    </xf>
    <xf numFmtId="0" fontId="5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6" fillId="2" borderId="1" xfId="0" applyFont="1" applyFill="1" applyBorder="1"/>
    <xf numFmtId="0" fontId="6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wrapText="1"/>
    </xf>
    <xf numFmtId="0" fontId="6" fillId="3" borderId="5" xfId="0" applyFont="1" applyFill="1" applyBorder="1"/>
    <xf numFmtId="0" fontId="0" fillId="3" borderId="5" xfId="0" applyFill="1" applyBorder="1"/>
    <xf numFmtId="0" fontId="7" fillId="3" borderId="4" xfId="0" applyFont="1" applyFill="1" applyBorder="1"/>
    <xf numFmtId="0" fontId="6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6" fillId="4" borderId="2" xfId="0" applyFont="1" applyFill="1" applyBorder="1"/>
    <xf numFmtId="0" fontId="6" fillId="4" borderId="3" xfId="0" applyFont="1" applyFill="1" applyBorder="1"/>
    <xf numFmtId="0" fontId="6" fillId="5" borderId="1" xfId="0" applyFont="1" applyFill="1" applyBorder="1"/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center" vertical="center" wrapText="1"/>
    </xf>
    <xf numFmtId="0" fontId="6" fillId="6" borderId="1" xfId="0" applyFont="1" applyFill="1" applyBorder="1"/>
    <xf numFmtId="0" fontId="6" fillId="7" borderId="2" xfId="0" applyFont="1" applyFill="1" applyBorder="1"/>
    <xf numFmtId="0" fontId="6" fillId="7" borderId="3" xfId="0" applyFont="1" applyFill="1" applyBorder="1"/>
    <xf numFmtId="0" fontId="6" fillId="6" borderId="2" xfId="0" applyFont="1" applyFill="1" applyBorder="1"/>
    <xf numFmtId="0" fontId="6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6" fillId="7" borderId="1" xfId="0" applyFont="1" applyFill="1" applyBorder="1"/>
    <xf numFmtId="0" fontId="6" fillId="7" borderId="5" xfId="0" applyFont="1" applyFill="1" applyBorder="1"/>
    <xf numFmtId="0" fontId="6" fillId="8" borderId="2" xfId="0" applyFont="1" applyFill="1" applyBorder="1"/>
    <xf numFmtId="0" fontId="6" fillId="9" borderId="1" xfId="0" applyFont="1" applyFill="1" applyBorder="1"/>
    <xf numFmtId="0" fontId="6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5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6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6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16" fillId="5" borderId="0" xfId="0" applyFont="1" applyFill="1" applyBorder="1"/>
    <xf numFmtId="0" fontId="7" fillId="5" borderId="0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/>
    </xf>
    <xf numFmtId="0" fontId="6" fillId="7" borderId="4" xfId="0" applyFont="1" applyFill="1" applyBorder="1"/>
    <xf numFmtId="0" fontId="6" fillId="7" borderId="0" xfId="0" applyFont="1" applyFill="1" applyBorder="1"/>
    <xf numFmtId="0" fontId="6" fillId="6" borderId="0" xfId="0" applyFont="1" applyFill="1" applyBorder="1"/>
    <xf numFmtId="0" fontId="0" fillId="6" borderId="0" xfId="0" applyFill="1"/>
    <xf numFmtId="0" fontId="8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12" xfId="0" applyFont="1" applyFill="1" applyBorder="1" applyAlignment="1">
      <alignment horizontal="left" vertical="center"/>
    </xf>
    <xf numFmtId="0" fontId="6" fillId="7" borderId="12" xfId="0" applyFont="1" applyFill="1" applyBorder="1"/>
    <xf numFmtId="0" fontId="16" fillId="7" borderId="4" xfId="0" applyFont="1" applyFill="1" applyBorder="1"/>
    <xf numFmtId="0" fontId="8" fillId="7" borderId="0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horizontal="left" vertical="center"/>
    </xf>
    <xf numFmtId="0" fontId="6" fillId="6" borderId="4" xfId="0" applyFont="1" applyFill="1" applyBorder="1"/>
    <xf numFmtId="0" fontId="6" fillId="6" borderId="10" xfId="0" applyFont="1" applyFill="1" applyBorder="1"/>
    <xf numFmtId="0" fontId="8" fillId="7" borderId="11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6" fillId="7" borderId="11" xfId="0" applyFont="1" applyFill="1" applyBorder="1"/>
    <xf numFmtId="0" fontId="6" fillId="8" borderId="0" xfId="0" applyFont="1" applyFill="1" applyBorder="1"/>
    <xf numFmtId="0" fontId="6" fillId="8" borderId="8" xfId="0" applyFont="1" applyFill="1" applyBorder="1"/>
    <xf numFmtId="0" fontId="6" fillId="2" borderId="7" xfId="0" applyFont="1" applyFill="1" applyBorder="1"/>
    <xf numFmtId="0" fontId="0" fillId="0" borderId="13" xfId="0" applyBorder="1"/>
    <xf numFmtId="0" fontId="21" fillId="10" borderId="14" xfId="0" applyFont="1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center" vertical="center" wrapText="1"/>
    </xf>
    <xf numFmtId="0" fontId="21" fillId="10" borderId="1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2" fillId="5" borderId="8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9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/>
    </xf>
    <xf numFmtId="0" fontId="29" fillId="4" borderId="2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31" fillId="0" borderId="0" xfId="3"/>
    <xf numFmtId="0" fontId="0" fillId="0" borderId="0" xfId="0" applyFill="1"/>
    <xf numFmtId="0" fontId="32" fillId="0" borderId="0" xfId="4"/>
    <xf numFmtId="0" fontId="33" fillId="0" borderId="0" xfId="0" applyFont="1"/>
    <xf numFmtId="0" fontId="34" fillId="0" borderId="0" xfId="0" applyFont="1" applyFill="1"/>
    <xf numFmtId="0" fontId="35" fillId="0" borderId="0" xfId="0" applyFont="1" applyFill="1"/>
    <xf numFmtId="0" fontId="35" fillId="0" borderId="0" xfId="0" applyFont="1" applyFill="1" applyAlignment="1">
      <alignment horizontal="right"/>
    </xf>
    <xf numFmtId="0" fontId="34" fillId="0" borderId="0" xfId="0" applyFont="1" applyFill="1" applyAlignment="1">
      <alignment horizontal="center"/>
    </xf>
    <xf numFmtId="1" fontId="34" fillId="0" borderId="0" xfId="0" applyNumberFormat="1" applyFont="1" applyFill="1" applyAlignment="1">
      <alignment horizontal="center"/>
    </xf>
    <xf numFmtId="2" fontId="34" fillId="0" borderId="0" xfId="0" applyNumberFormat="1" applyFont="1" applyFill="1"/>
    <xf numFmtId="0" fontId="35" fillId="0" borderId="0" xfId="0" applyFont="1" applyFill="1" applyAlignment="1">
      <alignment horizontal="center"/>
    </xf>
    <xf numFmtId="1" fontId="35" fillId="0" borderId="0" xfId="0" applyNumberFormat="1" applyFont="1" applyFill="1" applyAlignment="1">
      <alignment horizontal="center"/>
    </xf>
    <xf numFmtId="2" fontId="35" fillId="0" borderId="0" xfId="0" applyNumberFormat="1" applyFont="1" applyFill="1"/>
    <xf numFmtId="164" fontId="0" fillId="0" borderId="0" xfId="0" applyNumberFormat="1"/>
    <xf numFmtId="2" fontId="0" fillId="0" borderId="0" xfId="0" applyNumberFormat="1"/>
    <xf numFmtId="0" fontId="36" fillId="0" borderId="0" xfId="0" applyFont="1"/>
    <xf numFmtId="165" fontId="0" fillId="0" borderId="0" xfId="0" applyNumberFormat="1"/>
    <xf numFmtId="1" fontId="0" fillId="0" borderId="0" xfId="0" applyNumberFormat="1"/>
    <xf numFmtId="1" fontId="3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7" fillId="16" borderId="8" xfId="0" quotePrefix="1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Fill="1"/>
    <xf numFmtId="0" fontId="0" fillId="0" borderId="0" xfId="0" applyFill="1" applyAlignment="1">
      <alignment horizontal="center"/>
    </xf>
    <xf numFmtId="0" fontId="21" fillId="16" borderId="0" xfId="0" applyFont="1" applyFill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5">
    <cellStyle name="Hyperlink" xfId="3" builtinId="8"/>
    <cellStyle name="Normal" xfId="0" builtinId="0"/>
    <cellStyle name="Normal 2" xfId="4" xr:uid="{00000000-0005-0000-0000-000002000000}"/>
    <cellStyle name="Normal 3" xfId="1" xr:uid="{00000000-0005-0000-0000-000003000000}"/>
    <cellStyle name="Normal 4" xfId="2" xr:uid="{00000000-0005-0000-0000-000004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73/pnas.1702143114" TargetMode="External"/><Relationship Id="rId21" Type="http://schemas.openxmlformats.org/officeDocument/2006/relationships/hyperlink" Target="https://doi.org/10.1073/pnas.1702143114" TargetMode="External"/><Relationship Id="rId42" Type="http://schemas.openxmlformats.org/officeDocument/2006/relationships/hyperlink" Target="https://doi.org/10.1073/pnas.1702143114" TargetMode="External"/><Relationship Id="rId63" Type="http://schemas.openxmlformats.org/officeDocument/2006/relationships/hyperlink" Target="https://doi.org/10.1073/pnas.1702143114" TargetMode="External"/><Relationship Id="rId84" Type="http://schemas.openxmlformats.org/officeDocument/2006/relationships/hyperlink" Target="https://doi.org/10.1073/pnas.1702143114" TargetMode="External"/><Relationship Id="rId138" Type="http://schemas.openxmlformats.org/officeDocument/2006/relationships/hyperlink" Target="https://doi.org/10.1073/pnas.1702143114" TargetMode="External"/><Relationship Id="rId159" Type="http://schemas.openxmlformats.org/officeDocument/2006/relationships/hyperlink" Target="https://doi.org/10.1073/pnas.1702143114" TargetMode="External"/><Relationship Id="rId170" Type="http://schemas.openxmlformats.org/officeDocument/2006/relationships/hyperlink" Target="https://doi.org/10.1073/pnas.1702143114" TargetMode="External"/><Relationship Id="rId191" Type="http://schemas.openxmlformats.org/officeDocument/2006/relationships/hyperlink" Target="https://doi.org/10.1073/pnas.1702143114" TargetMode="External"/><Relationship Id="rId205" Type="http://schemas.openxmlformats.org/officeDocument/2006/relationships/hyperlink" Target="https://doi.org/10.1073/pnas.1702143114" TargetMode="External"/><Relationship Id="rId107" Type="http://schemas.openxmlformats.org/officeDocument/2006/relationships/hyperlink" Target="https://doi.org/10.1073/pnas.1702143114" TargetMode="External"/><Relationship Id="rId11" Type="http://schemas.openxmlformats.org/officeDocument/2006/relationships/hyperlink" Target="https://doi.org/10.1073/pnas.1702143114" TargetMode="External"/><Relationship Id="rId32" Type="http://schemas.openxmlformats.org/officeDocument/2006/relationships/hyperlink" Target="https://doi.org/10.1073/pnas.1702143114" TargetMode="External"/><Relationship Id="rId53" Type="http://schemas.openxmlformats.org/officeDocument/2006/relationships/hyperlink" Target="https://doi.org/10.1073/pnas.1702143114" TargetMode="External"/><Relationship Id="rId74" Type="http://schemas.openxmlformats.org/officeDocument/2006/relationships/hyperlink" Target="https://doi.org/10.1073/pnas.1702143114" TargetMode="External"/><Relationship Id="rId128" Type="http://schemas.openxmlformats.org/officeDocument/2006/relationships/hyperlink" Target="https://doi.org/10.1073/pnas.1702143114" TargetMode="External"/><Relationship Id="rId149" Type="http://schemas.openxmlformats.org/officeDocument/2006/relationships/hyperlink" Target="https://doi.org/10.1073/pnas.1702143114" TargetMode="External"/><Relationship Id="rId5" Type="http://schemas.openxmlformats.org/officeDocument/2006/relationships/hyperlink" Target="https://doi.org/10.1073/pnas.1702143114" TargetMode="External"/><Relationship Id="rId95" Type="http://schemas.openxmlformats.org/officeDocument/2006/relationships/hyperlink" Target="https://doi.org/10.1073/pnas.1702143114" TargetMode="External"/><Relationship Id="rId160" Type="http://schemas.openxmlformats.org/officeDocument/2006/relationships/hyperlink" Target="https://doi.org/10.1073/pnas.1702143114" TargetMode="External"/><Relationship Id="rId181" Type="http://schemas.openxmlformats.org/officeDocument/2006/relationships/hyperlink" Target="https://doi.org/10.1073/pnas.1702143114" TargetMode="External"/><Relationship Id="rId216" Type="http://schemas.openxmlformats.org/officeDocument/2006/relationships/hyperlink" Target="https://doi.org/10.1073/pnas.1702143114" TargetMode="External"/><Relationship Id="rId22" Type="http://schemas.openxmlformats.org/officeDocument/2006/relationships/hyperlink" Target="https://doi.org/10.1073/pnas.1702143114" TargetMode="External"/><Relationship Id="rId43" Type="http://schemas.openxmlformats.org/officeDocument/2006/relationships/hyperlink" Target="https://doi.org/10.1073/pnas.1702143114" TargetMode="External"/><Relationship Id="rId64" Type="http://schemas.openxmlformats.org/officeDocument/2006/relationships/hyperlink" Target="https://doi.org/10.1073/pnas.1702143114" TargetMode="External"/><Relationship Id="rId118" Type="http://schemas.openxmlformats.org/officeDocument/2006/relationships/hyperlink" Target="https://doi.org/10.1073/pnas.1702143114" TargetMode="External"/><Relationship Id="rId139" Type="http://schemas.openxmlformats.org/officeDocument/2006/relationships/hyperlink" Target="https://doi.org/10.1073/pnas.1702143114" TargetMode="External"/><Relationship Id="rId85" Type="http://schemas.openxmlformats.org/officeDocument/2006/relationships/hyperlink" Target="https://doi.org/10.1073/pnas.1702143114" TargetMode="External"/><Relationship Id="rId150" Type="http://schemas.openxmlformats.org/officeDocument/2006/relationships/hyperlink" Target="https://doi.org/10.1073/pnas.1702143114" TargetMode="External"/><Relationship Id="rId171" Type="http://schemas.openxmlformats.org/officeDocument/2006/relationships/hyperlink" Target="https://doi.org/10.1073/pnas.1702143114" TargetMode="External"/><Relationship Id="rId192" Type="http://schemas.openxmlformats.org/officeDocument/2006/relationships/hyperlink" Target="https://doi.org/10.1073/pnas.1702143114" TargetMode="External"/><Relationship Id="rId206" Type="http://schemas.openxmlformats.org/officeDocument/2006/relationships/hyperlink" Target="https://doi.org/10.1073/pnas.1702143114" TargetMode="External"/><Relationship Id="rId12" Type="http://schemas.openxmlformats.org/officeDocument/2006/relationships/hyperlink" Target="https://doi.org/10.1073/pnas.1702143114" TargetMode="External"/><Relationship Id="rId33" Type="http://schemas.openxmlformats.org/officeDocument/2006/relationships/hyperlink" Target="https://doi.org/10.1073/pnas.1702143114" TargetMode="External"/><Relationship Id="rId108" Type="http://schemas.openxmlformats.org/officeDocument/2006/relationships/hyperlink" Target="https://doi.org/10.1073/pnas.1702143114" TargetMode="External"/><Relationship Id="rId129" Type="http://schemas.openxmlformats.org/officeDocument/2006/relationships/hyperlink" Target="https://doi.org/10.1073/pnas.1702143114" TargetMode="External"/><Relationship Id="rId54" Type="http://schemas.openxmlformats.org/officeDocument/2006/relationships/hyperlink" Target="https://doi.org/10.1073/pnas.1702143114" TargetMode="External"/><Relationship Id="rId75" Type="http://schemas.openxmlformats.org/officeDocument/2006/relationships/hyperlink" Target="https://doi.org/10.1073/pnas.1702143114" TargetMode="External"/><Relationship Id="rId96" Type="http://schemas.openxmlformats.org/officeDocument/2006/relationships/hyperlink" Target="https://doi.org/10.1073/pnas.1702143114" TargetMode="External"/><Relationship Id="rId140" Type="http://schemas.openxmlformats.org/officeDocument/2006/relationships/hyperlink" Target="https://doi.org/10.1073/pnas.1702143114" TargetMode="External"/><Relationship Id="rId161" Type="http://schemas.openxmlformats.org/officeDocument/2006/relationships/hyperlink" Target="https://doi.org/10.1073/pnas.1702143114" TargetMode="External"/><Relationship Id="rId182" Type="http://schemas.openxmlformats.org/officeDocument/2006/relationships/hyperlink" Target="https://doi.org/10.1073/pnas.1702143114" TargetMode="External"/><Relationship Id="rId217" Type="http://schemas.openxmlformats.org/officeDocument/2006/relationships/hyperlink" Target="https://doi.org/10.1073/pnas.1702143114" TargetMode="External"/><Relationship Id="rId6" Type="http://schemas.openxmlformats.org/officeDocument/2006/relationships/hyperlink" Target="https://doi.org/10.1073/pnas.1702143114" TargetMode="External"/><Relationship Id="rId23" Type="http://schemas.openxmlformats.org/officeDocument/2006/relationships/hyperlink" Target="https://doi.org/10.1073/pnas.1702143114" TargetMode="External"/><Relationship Id="rId119" Type="http://schemas.openxmlformats.org/officeDocument/2006/relationships/hyperlink" Target="https://doi.org/10.1073/pnas.1702143114" TargetMode="External"/><Relationship Id="rId44" Type="http://schemas.openxmlformats.org/officeDocument/2006/relationships/hyperlink" Target="https://doi.org/10.1073/pnas.1702143114" TargetMode="External"/><Relationship Id="rId65" Type="http://schemas.openxmlformats.org/officeDocument/2006/relationships/hyperlink" Target="https://doi.org/10.1073/pnas.1702143114" TargetMode="External"/><Relationship Id="rId86" Type="http://schemas.openxmlformats.org/officeDocument/2006/relationships/hyperlink" Target="https://doi.org/10.1073/pnas.1702143114" TargetMode="External"/><Relationship Id="rId130" Type="http://schemas.openxmlformats.org/officeDocument/2006/relationships/hyperlink" Target="https://doi.org/10.1073/pnas.1702143114" TargetMode="External"/><Relationship Id="rId151" Type="http://schemas.openxmlformats.org/officeDocument/2006/relationships/hyperlink" Target="https://doi.org/10.1073/pnas.1702143114" TargetMode="External"/><Relationship Id="rId172" Type="http://schemas.openxmlformats.org/officeDocument/2006/relationships/hyperlink" Target="https://doi.org/10.1073/pnas.1702143114" TargetMode="External"/><Relationship Id="rId193" Type="http://schemas.openxmlformats.org/officeDocument/2006/relationships/hyperlink" Target="https://doi.org/10.1073/pnas.1702143114" TargetMode="External"/><Relationship Id="rId207" Type="http://schemas.openxmlformats.org/officeDocument/2006/relationships/hyperlink" Target="https://doi.org/10.1073/pnas.1702143114" TargetMode="External"/><Relationship Id="rId13" Type="http://schemas.openxmlformats.org/officeDocument/2006/relationships/hyperlink" Target="https://doi.org/10.1073/pnas.1702143114" TargetMode="External"/><Relationship Id="rId109" Type="http://schemas.openxmlformats.org/officeDocument/2006/relationships/hyperlink" Target="https://doi.org/10.1073/pnas.1702143114" TargetMode="External"/><Relationship Id="rId34" Type="http://schemas.openxmlformats.org/officeDocument/2006/relationships/hyperlink" Target="https://doi.org/10.1073/pnas.1702143114" TargetMode="External"/><Relationship Id="rId55" Type="http://schemas.openxmlformats.org/officeDocument/2006/relationships/hyperlink" Target="https://doi.org/10.1073/pnas.1702143114" TargetMode="External"/><Relationship Id="rId76" Type="http://schemas.openxmlformats.org/officeDocument/2006/relationships/hyperlink" Target="https://doi.org/10.1073/pnas.1702143114" TargetMode="External"/><Relationship Id="rId97" Type="http://schemas.openxmlformats.org/officeDocument/2006/relationships/hyperlink" Target="https://doi.org/10.1073/pnas.1702143114" TargetMode="External"/><Relationship Id="rId120" Type="http://schemas.openxmlformats.org/officeDocument/2006/relationships/hyperlink" Target="https://doi.org/10.1073/pnas.1702143114" TargetMode="External"/><Relationship Id="rId141" Type="http://schemas.openxmlformats.org/officeDocument/2006/relationships/hyperlink" Target="https://doi.org/10.1073/pnas.1702143114" TargetMode="External"/><Relationship Id="rId7" Type="http://schemas.openxmlformats.org/officeDocument/2006/relationships/hyperlink" Target="https://doi.org/10.1073/pnas.1702143114" TargetMode="External"/><Relationship Id="rId162" Type="http://schemas.openxmlformats.org/officeDocument/2006/relationships/hyperlink" Target="https://doi.org/10.1073/pnas.1702143114" TargetMode="External"/><Relationship Id="rId183" Type="http://schemas.openxmlformats.org/officeDocument/2006/relationships/hyperlink" Target="https://doi.org/10.1073/pnas.1702143114" TargetMode="External"/><Relationship Id="rId218" Type="http://schemas.openxmlformats.org/officeDocument/2006/relationships/hyperlink" Target="https://doi.org/10.1073/pnas.1702143114" TargetMode="External"/><Relationship Id="rId24" Type="http://schemas.openxmlformats.org/officeDocument/2006/relationships/hyperlink" Target="https://doi.org/10.1073/pnas.1702143114" TargetMode="External"/><Relationship Id="rId45" Type="http://schemas.openxmlformats.org/officeDocument/2006/relationships/hyperlink" Target="https://doi.org/10.1073/pnas.1702143114" TargetMode="External"/><Relationship Id="rId66" Type="http://schemas.openxmlformats.org/officeDocument/2006/relationships/hyperlink" Target="https://doi.org/10.1073/pnas.1702143114" TargetMode="External"/><Relationship Id="rId87" Type="http://schemas.openxmlformats.org/officeDocument/2006/relationships/hyperlink" Target="https://doi.org/10.1073/pnas.1702143114" TargetMode="External"/><Relationship Id="rId110" Type="http://schemas.openxmlformats.org/officeDocument/2006/relationships/hyperlink" Target="https://doi.org/10.1073/pnas.1702143114" TargetMode="External"/><Relationship Id="rId131" Type="http://schemas.openxmlformats.org/officeDocument/2006/relationships/hyperlink" Target="https://doi.org/10.1073/pnas.1702143114" TargetMode="External"/><Relationship Id="rId152" Type="http://schemas.openxmlformats.org/officeDocument/2006/relationships/hyperlink" Target="https://doi.org/10.1073/pnas.1702143114" TargetMode="External"/><Relationship Id="rId173" Type="http://schemas.openxmlformats.org/officeDocument/2006/relationships/hyperlink" Target="https://doi.org/10.1073/pnas.1702143114" TargetMode="External"/><Relationship Id="rId194" Type="http://schemas.openxmlformats.org/officeDocument/2006/relationships/hyperlink" Target="https://doi.org/10.1073/pnas.1702143114" TargetMode="External"/><Relationship Id="rId208" Type="http://schemas.openxmlformats.org/officeDocument/2006/relationships/hyperlink" Target="https://doi.org/10.1073/pnas.1702143114" TargetMode="External"/><Relationship Id="rId14" Type="http://schemas.openxmlformats.org/officeDocument/2006/relationships/hyperlink" Target="https://doi.org/10.1073/pnas.1702143114" TargetMode="External"/><Relationship Id="rId35" Type="http://schemas.openxmlformats.org/officeDocument/2006/relationships/hyperlink" Target="https://doi.org/10.1073/pnas.1702143114" TargetMode="External"/><Relationship Id="rId56" Type="http://schemas.openxmlformats.org/officeDocument/2006/relationships/hyperlink" Target="https://doi.org/10.1073/pnas.1702143114" TargetMode="External"/><Relationship Id="rId77" Type="http://schemas.openxmlformats.org/officeDocument/2006/relationships/hyperlink" Target="https://doi.org/10.1073/pnas.1702143114" TargetMode="External"/><Relationship Id="rId100" Type="http://schemas.openxmlformats.org/officeDocument/2006/relationships/hyperlink" Target="https://doi.org/10.1073/pnas.1702143114" TargetMode="External"/><Relationship Id="rId8" Type="http://schemas.openxmlformats.org/officeDocument/2006/relationships/hyperlink" Target="https://doi.org/10.1073/pnas.1702143114" TargetMode="External"/><Relationship Id="rId51" Type="http://schemas.openxmlformats.org/officeDocument/2006/relationships/hyperlink" Target="https://doi.org/10.1073/pnas.1702143114" TargetMode="External"/><Relationship Id="rId72" Type="http://schemas.openxmlformats.org/officeDocument/2006/relationships/hyperlink" Target="https://doi.org/10.1073/pnas.1702143114" TargetMode="External"/><Relationship Id="rId93" Type="http://schemas.openxmlformats.org/officeDocument/2006/relationships/hyperlink" Target="https://doi.org/10.1073/pnas.1702143114" TargetMode="External"/><Relationship Id="rId98" Type="http://schemas.openxmlformats.org/officeDocument/2006/relationships/hyperlink" Target="https://doi.org/10.1073/pnas.1702143114" TargetMode="External"/><Relationship Id="rId121" Type="http://schemas.openxmlformats.org/officeDocument/2006/relationships/hyperlink" Target="https://doi.org/10.1073/pnas.1702143114" TargetMode="External"/><Relationship Id="rId142" Type="http://schemas.openxmlformats.org/officeDocument/2006/relationships/hyperlink" Target="https://doi.org/10.1073/pnas.1702143114" TargetMode="External"/><Relationship Id="rId163" Type="http://schemas.openxmlformats.org/officeDocument/2006/relationships/hyperlink" Target="https://doi.org/10.1073/pnas.1702143114" TargetMode="External"/><Relationship Id="rId184" Type="http://schemas.openxmlformats.org/officeDocument/2006/relationships/hyperlink" Target="https://doi.org/10.1073/pnas.1702143114" TargetMode="External"/><Relationship Id="rId189" Type="http://schemas.openxmlformats.org/officeDocument/2006/relationships/hyperlink" Target="https://doi.org/10.1073/pnas.1702143114" TargetMode="External"/><Relationship Id="rId219" Type="http://schemas.openxmlformats.org/officeDocument/2006/relationships/hyperlink" Target="https://doi.org/10.1073/pnas.1702143114" TargetMode="External"/><Relationship Id="rId3" Type="http://schemas.openxmlformats.org/officeDocument/2006/relationships/hyperlink" Target="mailto:t.chalk@noc.soton.ac.uk,%20elwyn" TargetMode="External"/><Relationship Id="rId214" Type="http://schemas.openxmlformats.org/officeDocument/2006/relationships/hyperlink" Target="https://doi.org/10.1073/pnas.1702143114" TargetMode="External"/><Relationship Id="rId25" Type="http://schemas.openxmlformats.org/officeDocument/2006/relationships/hyperlink" Target="https://doi.org/10.1073/pnas.1702143114" TargetMode="External"/><Relationship Id="rId46" Type="http://schemas.openxmlformats.org/officeDocument/2006/relationships/hyperlink" Target="https://doi.org/10.1073/pnas.1702143114" TargetMode="External"/><Relationship Id="rId67" Type="http://schemas.openxmlformats.org/officeDocument/2006/relationships/hyperlink" Target="https://doi.org/10.1073/pnas.1702143114" TargetMode="External"/><Relationship Id="rId116" Type="http://schemas.openxmlformats.org/officeDocument/2006/relationships/hyperlink" Target="https://doi.org/10.1073/pnas.1702143114" TargetMode="External"/><Relationship Id="rId137" Type="http://schemas.openxmlformats.org/officeDocument/2006/relationships/hyperlink" Target="https://doi.org/10.1073/pnas.1702143114" TargetMode="External"/><Relationship Id="rId158" Type="http://schemas.openxmlformats.org/officeDocument/2006/relationships/hyperlink" Target="https://doi.org/10.1073/pnas.1702143114" TargetMode="External"/><Relationship Id="rId20" Type="http://schemas.openxmlformats.org/officeDocument/2006/relationships/hyperlink" Target="https://doi.org/10.1073/pnas.1702143114" TargetMode="External"/><Relationship Id="rId41" Type="http://schemas.openxmlformats.org/officeDocument/2006/relationships/hyperlink" Target="https://doi.org/10.1073/pnas.1702143114" TargetMode="External"/><Relationship Id="rId62" Type="http://schemas.openxmlformats.org/officeDocument/2006/relationships/hyperlink" Target="https://doi.org/10.1073/pnas.1702143114" TargetMode="External"/><Relationship Id="rId83" Type="http://schemas.openxmlformats.org/officeDocument/2006/relationships/hyperlink" Target="https://doi.org/10.1073/pnas.1702143114" TargetMode="External"/><Relationship Id="rId88" Type="http://schemas.openxmlformats.org/officeDocument/2006/relationships/hyperlink" Target="https://doi.org/10.1073/pnas.1702143114" TargetMode="External"/><Relationship Id="rId111" Type="http://schemas.openxmlformats.org/officeDocument/2006/relationships/hyperlink" Target="https://doi.org/10.1073/pnas.1702143114" TargetMode="External"/><Relationship Id="rId132" Type="http://schemas.openxmlformats.org/officeDocument/2006/relationships/hyperlink" Target="https://doi.org/10.1073/pnas.1702143114" TargetMode="External"/><Relationship Id="rId153" Type="http://schemas.openxmlformats.org/officeDocument/2006/relationships/hyperlink" Target="https://doi.org/10.1073/pnas.1702143114" TargetMode="External"/><Relationship Id="rId174" Type="http://schemas.openxmlformats.org/officeDocument/2006/relationships/hyperlink" Target="https://doi.org/10.1073/pnas.1702143114" TargetMode="External"/><Relationship Id="rId179" Type="http://schemas.openxmlformats.org/officeDocument/2006/relationships/hyperlink" Target="https://doi.org/10.1073/pnas.1702143114" TargetMode="External"/><Relationship Id="rId195" Type="http://schemas.openxmlformats.org/officeDocument/2006/relationships/hyperlink" Target="https://doi.org/10.1073/pnas.1702143114" TargetMode="External"/><Relationship Id="rId209" Type="http://schemas.openxmlformats.org/officeDocument/2006/relationships/hyperlink" Target="https://doi.org/10.1073/pnas.1702143114" TargetMode="External"/><Relationship Id="rId190" Type="http://schemas.openxmlformats.org/officeDocument/2006/relationships/hyperlink" Target="https://doi.org/10.1073/pnas.1702143114" TargetMode="External"/><Relationship Id="rId204" Type="http://schemas.openxmlformats.org/officeDocument/2006/relationships/hyperlink" Target="https://doi.org/10.1073/pnas.1702143114" TargetMode="External"/><Relationship Id="rId220" Type="http://schemas.openxmlformats.org/officeDocument/2006/relationships/hyperlink" Target="https://doi.org/10.1073/pnas.1702143114" TargetMode="External"/><Relationship Id="rId15" Type="http://schemas.openxmlformats.org/officeDocument/2006/relationships/hyperlink" Target="https://doi.org/10.1073/pnas.1702143114" TargetMode="External"/><Relationship Id="rId36" Type="http://schemas.openxmlformats.org/officeDocument/2006/relationships/hyperlink" Target="https://doi.org/10.1073/pnas.1702143114" TargetMode="External"/><Relationship Id="rId57" Type="http://schemas.openxmlformats.org/officeDocument/2006/relationships/hyperlink" Target="https://doi.org/10.1073/pnas.1702143114" TargetMode="External"/><Relationship Id="rId106" Type="http://schemas.openxmlformats.org/officeDocument/2006/relationships/hyperlink" Target="https://doi.org/10.1073/pnas.1702143114" TargetMode="External"/><Relationship Id="rId127" Type="http://schemas.openxmlformats.org/officeDocument/2006/relationships/hyperlink" Target="https://doi.org/10.1073/pnas.1702143114" TargetMode="External"/><Relationship Id="rId10" Type="http://schemas.openxmlformats.org/officeDocument/2006/relationships/hyperlink" Target="https://doi.org/10.1073/pnas.1702143114" TargetMode="External"/><Relationship Id="rId31" Type="http://schemas.openxmlformats.org/officeDocument/2006/relationships/hyperlink" Target="https://doi.org/10.1073/pnas.1702143114" TargetMode="External"/><Relationship Id="rId52" Type="http://schemas.openxmlformats.org/officeDocument/2006/relationships/hyperlink" Target="https://doi.org/10.1073/pnas.1702143114" TargetMode="External"/><Relationship Id="rId73" Type="http://schemas.openxmlformats.org/officeDocument/2006/relationships/hyperlink" Target="https://doi.org/10.1073/pnas.1702143114" TargetMode="External"/><Relationship Id="rId78" Type="http://schemas.openxmlformats.org/officeDocument/2006/relationships/hyperlink" Target="https://doi.org/10.1073/pnas.1702143114" TargetMode="External"/><Relationship Id="rId94" Type="http://schemas.openxmlformats.org/officeDocument/2006/relationships/hyperlink" Target="https://doi.org/10.1073/pnas.1702143114" TargetMode="External"/><Relationship Id="rId99" Type="http://schemas.openxmlformats.org/officeDocument/2006/relationships/hyperlink" Target="https://doi.org/10.1073/pnas.1702143114" TargetMode="External"/><Relationship Id="rId101" Type="http://schemas.openxmlformats.org/officeDocument/2006/relationships/hyperlink" Target="https://doi.org/10.1073/pnas.1702143114" TargetMode="External"/><Relationship Id="rId122" Type="http://schemas.openxmlformats.org/officeDocument/2006/relationships/hyperlink" Target="https://doi.org/10.1073/pnas.1702143114" TargetMode="External"/><Relationship Id="rId143" Type="http://schemas.openxmlformats.org/officeDocument/2006/relationships/hyperlink" Target="https://doi.org/10.1073/pnas.1702143114" TargetMode="External"/><Relationship Id="rId148" Type="http://schemas.openxmlformats.org/officeDocument/2006/relationships/hyperlink" Target="https://doi.org/10.1073/pnas.1702143114" TargetMode="External"/><Relationship Id="rId164" Type="http://schemas.openxmlformats.org/officeDocument/2006/relationships/hyperlink" Target="https://doi.org/10.1073/pnas.1702143114" TargetMode="External"/><Relationship Id="rId169" Type="http://schemas.openxmlformats.org/officeDocument/2006/relationships/hyperlink" Target="https://doi.org/10.1073/pnas.1702143114" TargetMode="External"/><Relationship Id="rId185" Type="http://schemas.openxmlformats.org/officeDocument/2006/relationships/hyperlink" Target="https://doi.org/10.1073/pnas.1702143114" TargetMode="External"/><Relationship Id="rId4" Type="http://schemas.openxmlformats.org/officeDocument/2006/relationships/hyperlink" Target="https://doi.org/10.1073/pnas.1702143114" TargetMode="External"/><Relationship Id="rId9" Type="http://schemas.openxmlformats.org/officeDocument/2006/relationships/hyperlink" Target="https://doi.org/10.1073/pnas.1702143114" TargetMode="External"/><Relationship Id="rId180" Type="http://schemas.openxmlformats.org/officeDocument/2006/relationships/hyperlink" Target="https://doi.org/10.1073/pnas.1702143114" TargetMode="External"/><Relationship Id="rId210" Type="http://schemas.openxmlformats.org/officeDocument/2006/relationships/hyperlink" Target="https://doi.org/10.1073/pnas.1702143114" TargetMode="External"/><Relationship Id="rId215" Type="http://schemas.openxmlformats.org/officeDocument/2006/relationships/hyperlink" Target="https://doi.org/10.1073/pnas.1702143114" TargetMode="External"/><Relationship Id="rId26" Type="http://schemas.openxmlformats.org/officeDocument/2006/relationships/hyperlink" Target="https://doi.org/10.1073/pnas.1702143114" TargetMode="External"/><Relationship Id="rId47" Type="http://schemas.openxmlformats.org/officeDocument/2006/relationships/hyperlink" Target="https://doi.org/10.1073/pnas.1702143114" TargetMode="External"/><Relationship Id="rId68" Type="http://schemas.openxmlformats.org/officeDocument/2006/relationships/hyperlink" Target="https://doi.org/10.1073/pnas.1702143114" TargetMode="External"/><Relationship Id="rId89" Type="http://schemas.openxmlformats.org/officeDocument/2006/relationships/hyperlink" Target="https://doi.org/10.1073/pnas.1702143114" TargetMode="External"/><Relationship Id="rId112" Type="http://schemas.openxmlformats.org/officeDocument/2006/relationships/hyperlink" Target="https://doi.org/10.1073/pnas.1702143114" TargetMode="External"/><Relationship Id="rId133" Type="http://schemas.openxmlformats.org/officeDocument/2006/relationships/hyperlink" Target="https://doi.org/10.1073/pnas.1702143114" TargetMode="External"/><Relationship Id="rId154" Type="http://schemas.openxmlformats.org/officeDocument/2006/relationships/hyperlink" Target="https://doi.org/10.1073/pnas.1702143114" TargetMode="External"/><Relationship Id="rId175" Type="http://schemas.openxmlformats.org/officeDocument/2006/relationships/hyperlink" Target="https://doi.org/10.1073/pnas.1702143114" TargetMode="External"/><Relationship Id="rId196" Type="http://schemas.openxmlformats.org/officeDocument/2006/relationships/hyperlink" Target="https://doi.org/10.1073/pnas.1702143114" TargetMode="External"/><Relationship Id="rId200" Type="http://schemas.openxmlformats.org/officeDocument/2006/relationships/hyperlink" Target="https://doi.org/10.1073/pnas.1702143114" TargetMode="External"/><Relationship Id="rId16" Type="http://schemas.openxmlformats.org/officeDocument/2006/relationships/hyperlink" Target="https://doi.org/10.1073/pnas.1702143114" TargetMode="External"/><Relationship Id="rId221" Type="http://schemas.openxmlformats.org/officeDocument/2006/relationships/hyperlink" Target="https://doi.org/10.1073/pnas.1702143114" TargetMode="External"/><Relationship Id="rId37" Type="http://schemas.openxmlformats.org/officeDocument/2006/relationships/hyperlink" Target="https://doi.org/10.1073/pnas.1702143114" TargetMode="External"/><Relationship Id="rId58" Type="http://schemas.openxmlformats.org/officeDocument/2006/relationships/hyperlink" Target="https://doi.org/10.1073/pnas.1702143114" TargetMode="External"/><Relationship Id="rId79" Type="http://schemas.openxmlformats.org/officeDocument/2006/relationships/hyperlink" Target="https://doi.org/10.1073/pnas.1702143114" TargetMode="External"/><Relationship Id="rId102" Type="http://schemas.openxmlformats.org/officeDocument/2006/relationships/hyperlink" Target="https://doi.org/10.1073/pnas.1702143114" TargetMode="External"/><Relationship Id="rId123" Type="http://schemas.openxmlformats.org/officeDocument/2006/relationships/hyperlink" Target="https://doi.org/10.1073/pnas.1702143114" TargetMode="External"/><Relationship Id="rId144" Type="http://schemas.openxmlformats.org/officeDocument/2006/relationships/hyperlink" Target="https://doi.org/10.1073/pnas.1702143114" TargetMode="External"/><Relationship Id="rId90" Type="http://schemas.openxmlformats.org/officeDocument/2006/relationships/hyperlink" Target="https://doi.org/10.1073/pnas.1702143114" TargetMode="External"/><Relationship Id="rId165" Type="http://schemas.openxmlformats.org/officeDocument/2006/relationships/hyperlink" Target="https://doi.org/10.1073/pnas.1702143114" TargetMode="External"/><Relationship Id="rId186" Type="http://schemas.openxmlformats.org/officeDocument/2006/relationships/hyperlink" Target="https://doi.org/10.1073/pnas.1702143114" TargetMode="External"/><Relationship Id="rId211" Type="http://schemas.openxmlformats.org/officeDocument/2006/relationships/hyperlink" Target="https://doi.org/10.1073/pnas.1702143114" TargetMode="External"/><Relationship Id="rId27" Type="http://schemas.openxmlformats.org/officeDocument/2006/relationships/hyperlink" Target="https://doi.org/10.1073/pnas.1702143114" TargetMode="External"/><Relationship Id="rId48" Type="http://schemas.openxmlformats.org/officeDocument/2006/relationships/hyperlink" Target="https://doi.org/10.1073/pnas.1702143114" TargetMode="External"/><Relationship Id="rId69" Type="http://schemas.openxmlformats.org/officeDocument/2006/relationships/hyperlink" Target="https://doi.org/10.1073/pnas.1702143114" TargetMode="External"/><Relationship Id="rId113" Type="http://schemas.openxmlformats.org/officeDocument/2006/relationships/hyperlink" Target="https://doi.org/10.1073/pnas.1702143114" TargetMode="External"/><Relationship Id="rId134" Type="http://schemas.openxmlformats.org/officeDocument/2006/relationships/hyperlink" Target="https://doi.org/10.1073/pnas.1702143114" TargetMode="External"/><Relationship Id="rId80" Type="http://schemas.openxmlformats.org/officeDocument/2006/relationships/hyperlink" Target="https://doi.org/10.1073/pnas.1702143114" TargetMode="External"/><Relationship Id="rId155" Type="http://schemas.openxmlformats.org/officeDocument/2006/relationships/hyperlink" Target="https://doi.org/10.1073/pnas.1702143114" TargetMode="External"/><Relationship Id="rId176" Type="http://schemas.openxmlformats.org/officeDocument/2006/relationships/hyperlink" Target="https://doi.org/10.1073/pnas.1702143114" TargetMode="External"/><Relationship Id="rId197" Type="http://schemas.openxmlformats.org/officeDocument/2006/relationships/hyperlink" Target="https://doi.org/10.1073/pnas.1702143114" TargetMode="External"/><Relationship Id="rId201" Type="http://schemas.openxmlformats.org/officeDocument/2006/relationships/hyperlink" Target="https://doi.org/10.1073/pnas.1702143114" TargetMode="External"/><Relationship Id="rId222" Type="http://schemas.openxmlformats.org/officeDocument/2006/relationships/hyperlink" Target="mailto:t.chalk@noc.soton.ac.uk,%20elwyn" TargetMode="External"/><Relationship Id="rId17" Type="http://schemas.openxmlformats.org/officeDocument/2006/relationships/hyperlink" Target="https://doi.org/10.1073/pnas.1702143114" TargetMode="External"/><Relationship Id="rId38" Type="http://schemas.openxmlformats.org/officeDocument/2006/relationships/hyperlink" Target="https://doi.org/10.1073/pnas.1702143114" TargetMode="External"/><Relationship Id="rId59" Type="http://schemas.openxmlformats.org/officeDocument/2006/relationships/hyperlink" Target="https://doi.org/10.1073/pnas.1702143114" TargetMode="External"/><Relationship Id="rId103" Type="http://schemas.openxmlformats.org/officeDocument/2006/relationships/hyperlink" Target="https://doi.org/10.1073/pnas.1702143114" TargetMode="External"/><Relationship Id="rId124" Type="http://schemas.openxmlformats.org/officeDocument/2006/relationships/hyperlink" Target="https://doi.org/10.1073/pnas.1702143114" TargetMode="External"/><Relationship Id="rId70" Type="http://schemas.openxmlformats.org/officeDocument/2006/relationships/hyperlink" Target="https://doi.org/10.1073/pnas.1702143114" TargetMode="External"/><Relationship Id="rId91" Type="http://schemas.openxmlformats.org/officeDocument/2006/relationships/hyperlink" Target="https://doi.org/10.1073/pnas.1702143114" TargetMode="External"/><Relationship Id="rId145" Type="http://schemas.openxmlformats.org/officeDocument/2006/relationships/hyperlink" Target="https://doi.org/10.1073/pnas.1702143114" TargetMode="External"/><Relationship Id="rId166" Type="http://schemas.openxmlformats.org/officeDocument/2006/relationships/hyperlink" Target="https://doi.org/10.1073/pnas.1702143114" TargetMode="External"/><Relationship Id="rId187" Type="http://schemas.openxmlformats.org/officeDocument/2006/relationships/hyperlink" Target="https://doi.org/10.1073/pnas.1702143114" TargetMode="External"/><Relationship Id="rId1" Type="http://schemas.openxmlformats.org/officeDocument/2006/relationships/hyperlink" Target="https://doi.org/10.1073/pnas.1702143114" TargetMode="External"/><Relationship Id="rId212" Type="http://schemas.openxmlformats.org/officeDocument/2006/relationships/hyperlink" Target="https://doi.org/10.1073/pnas.1702143114" TargetMode="External"/><Relationship Id="rId28" Type="http://schemas.openxmlformats.org/officeDocument/2006/relationships/hyperlink" Target="https://doi.org/10.1073/pnas.1702143114" TargetMode="External"/><Relationship Id="rId49" Type="http://schemas.openxmlformats.org/officeDocument/2006/relationships/hyperlink" Target="https://doi.org/10.1073/pnas.1702143114" TargetMode="External"/><Relationship Id="rId114" Type="http://schemas.openxmlformats.org/officeDocument/2006/relationships/hyperlink" Target="https://doi.org/10.1073/pnas.1702143114" TargetMode="External"/><Relationship Id="rId60" Type="http://schemas.openxmlformats.org/officeDocument/2006/relationships/hyperlink" Target="https://doi.org/10.1073/pnas.1702143114" TargetMode="External"/><Relationship Id="rId81" Type="http://schemas.openxmlformats.org/officeDocument/2006/relationships/hyperlink" Target="https://doi.org/10.1073/pnas.1702143114" TargetMode="External"/><Relationship Id="rId135" Type="http://schemas.openxmlformats.org/officeDocument/2006/relationships/hyperlink" Target="https://doi.org/10.1073/pnas.1702143114" TargetMode="External"/><Relationship Id="rId156" Type="http://schemas.openxmlformats.org/officeDocument/2006/relationships/hyperlink" Target="https://doi.org/10.1073/pnas.1702143114" TargetMode="External"/><Relationship Id="rId177" Type="http://schemas.openxmlformats.org/officeDocument/2006/relationships/hyperlink" Target="https://doi.org/10.1073/pnas.1702143114" TargetMode="External"/><Relationship Id="rId198" Type="http://schemas.openxmlformats.org/officeDocument/2006/relationships/hyperlink" Target="https://doi.org/10.1073/pnas.1702143114" TargetMode="External"/><Relationship Id="rId202" Type="http://schemas.openxmlformats.org/officeDocument/2006/relationships/hyperlink" Target="https://doi.org/10.1073/pnas.1702143114" TargetMode="External"/><Relationship Id="rId18" Type="http://schemas.openxmlformats.org/officeDocument/2006/relationships/hyperlink" Target="https://doi.org/10.1073/pnas.1702143114" TargetMode="External"/><Relationship Id="rId39" Type="http://schemas.openxmlformats.org/officeDocument/2006/relationships/hyperlink" Target="https://doi.org/10.1073/pnas.1702143114" TargetMode="External"/><Relationship Id="rId50" Type="http://schemas.openxmlformats.org/officeDocument/2006/relationships/hyperlink" Target="https://doi.org/10.1073/pnas.1702143114" TargetMode="External"/><Relationship Id="rId104" Type="http://schemas.openxmlformats.org/officeDocument/2006/relationships/hyperlink" Target="https://doi.org/10.1073/pnas.1702143114" TargetMode="External"/><Relationship Id="rId125" Type="http://schemas.openxmlformats.org/officeDocument/2006/relationships/hyperlink" Target="https://doi.org/10.1073/pnas.1702143114" TargetMode="External"/><Relationship Id="rId146" Type="http://schemas.openxmlformats.org/officeDocument/2006/relationships/hyperlink" Target="https://doi.org/10.1073/pnas.1702143114" TargetMode="External"/><Relationship Id="rId167" Type="http://schemas.openxmlformats.org/officeDocument/2006/relationships/hyperlink" Target="https://doi.org/10.1073/pnas.1702143114" TargetMode="External"/><Relationship Id="rId188" Type="http://schemas.openxmlformats.org/officeDocument/2006/relationships/hyperlink" Target="https://doi.org/10.1073/pnas.1702143114" TargetMode="External"/><Relationship Id="rId71" Type="http://schemas.openxmlformats.org/officeDocument/2006/relationships/hyperlink" Target="https://doi.org/10.1073/pnas.1702143114" TargetMode="External"/><Relationship Id="rId92" Type="http://schemas.openxmlformats.org/officeDocument/2006/relationships/hyperlink" Target="https://doi.org/10.1073/pnas.1702143114" TargetMode="External"/><Relationship Id="rId213" Type="http://schemas.openxmlformats.org/officeDocument/2006/relationships/hyperlink" Target="https://doi.org/10.1073/pnas.1702143114" TargetMode="External"/><Relationship Id="rId2" Type="http://schemas.openxmlformats.org/officeDocument/2006/relationships/hyperlink" Target="https://doi.org/10.1073/pnas.1702143114" TargetMode="External"/><Relationship Id="rId29" Type="http://schemas.openxmlformats.org/officeDocument/2006/relationships/hyperlink" Target="https://doi.org/10.1073/pnas.1702143114" TargetMode="External"/><Relationship Id="rId40" Type="http://schemas.openxmlformats.org/officeDocument/2006/relationships/hyperlink" Target="https://doi.org/10.1073/pnas.1702143114" TargetMode="External"/><Relationship Id="rId115" Type="http://schemas.openxmlformats.org/officeDocument/2006/relationships/hyperlink" Target="https://doi.org/10.1073/pnas.1702143114" TargetMode="External"/><Relationship Id="rId136" Type="http://schemas.openxmlformats.org/officeDocument/2006/relationships/hyperlink" Target="https://doi.org/10.1073/pnas.1702143114" TargetMode="External"/><Relationship Id="rId157" Type="http://schemas.openxmlformats.org/officeDocument/2006/relationships/hyperlink" Target="https://doi.org/10.1073/pnas.1702143114" TargetMode="External"/><Relationship Id="rId178" Type="http://schemas.openxmlformats.org/officeDocument/2006/relationships/hyperlink" Target="https://doi.org/10.1073/pnas.1702143114" TargetMode="External"/><Relationship Id="rId61" Type="http://schemas.openxmlformats.org/officeDocument/2006/relationships/hyperlink" Target="https://doi.org/10.1073/pnas.1702143114" TargetMode="External"/><Relationship Id="rId82" Type="http://schemas.openxmlformats.org/officeDocument/2006/relationships/hyperlink" Target="https://doi.org/10.1073/pnas.1702143114" TargetMode="External"/><Relationship Id="rId199" Type="http://schemas.openxmlformats.org/officeDocument/2006/relationships/hyperlink" Target="https://doi.org/10.1073/pnas.1702143114" TargetMode="External"/><Relationship Id="rId203" Type="http://schemas.openxmlformats.org/officeDocument/2006/relationships/hyperlink" Target="https://doi.org/10.1073/pnas.1702143114" TargetMode="External"/><Relationship Id="rId19" Type="http://schemas.openxmlformats.org/officeDocument/2006/relationships/hyperlink" Target="https://doi.org/10.1073/pnas.1702143114" TargetMode="External"/><Relationship Id="rId30" Type="http://schemas.openxmlformats.org/officeDocument/2006/relationships/hyperlink" Target="https://doi.org/10.1073/pnas.1702143114" TargetMode="External"/><Relationship Id="rId105" Type="http://schemas.openxmlformats.org/officeDocument/2006/relationships/hyperlink" Target="https://doi.org/10.1073/pnas.1702143114" TargetMode="External"/><Relationship Id="rId126" Type="http://schemas.openxmlformats.org/officeDocument/2006/relationships/hyperlink" Target="https://doi.org/10.1073/pnas.1702143114" TargetMode="External"/><Relationship Id="rId147" Type="http://schemas.openxmlformats.org/officeDocument/2006/relationships/hyperlink" Target="https://doi.org/10.1073/pnas.1702143114" TargetMode="External"/><Relationship Id="rId168" Type="http://schemas.openxmlformats.org/officeDocument/2006/relationships/hyperlink" Target="https://doi.org/10.1073/pnas.17021431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13"/>
  <sheetViews>
    <sheetView tabSelected="1" topLeftCell="I1" zoomScale="90" zoomScaleNormal="90" workbookViewId="0">
      <selection activeCell="M9" sqref="M9"/>
    </sheetView>
  </sheetViews>
  <sheetFormatPr baseColWidth="10" defaultColWidth="11" defaultRowHeight="16"/>
  <cols>
    <col min="1" max="1" width="16.5" customWidth="1"/>
    <col min="11" max="11" width="33.1640625" customWidth="1"/>
    <col min="12" max="12" width="51" customWidth="1"/>
    <col min="13" max="13" width="53.5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33.83203125" customWidth="1"/>
    <col min="39" max="39" width="13.5" customWidth="1"/>
    <col min="47" max="47" width="39.1640625" customWidth="1"/>
    <col min="48" max="48" width="13.83203125" customWidth="1"/>
    <col min="49" max="50" width="14.1640625" customWidth="1"/>
    <col min="51" max="51" width="18.33203125" customWidth="1"/>
    <col min="52" max="52" width="18.5" customWidth="1"/>
    <col min="53" max="53" width="18.83203125" customWidth="1"/>
    <col min="54" max="54" width="16.33203125" customWidth="1"/>
    <col min="55" max="55" width="13" customWidth="1"/>
    <col min="56" max="56" width="16.33203125" customWidth="1"/>
    <col min="57" max="57" width="14.33203125" customWidth="1"/>
    <col min="58" max="58" width="25.1640625" customWidth="1"/>
    <col min="59" max="59" width="16.5" customWidth="1"/>
    <col min="61" max="61" width="14.5" customWidth="1"/>
    <col min="62" max="62" width="14.1640625" customWidth="1"/>
    <col min="64" max="64" width="18.33203125" customWidth="1"/>
    <col min="65" max="65" width="13.33203125" customWidth="1"/>
    <col min="66" max="66" width="19.1640625" customWidth="1"/>
    <col min="67" max="67" width="14" customWidth="1"/>
    <col min="69" max="69" width="13.6640625" customWidth="1"/>
    <col min="70" max="70" width="12.83203125" customWidth="1"/>
    <col min="71" max="71" width="28.1640625" customWidth="1"/>
    <col min="72" max="72" width="21.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customWidth="1"/>
    <col min="82" max="82" width="20.5" customWidth="1"/>
    <col min="83" max="84" width="16" customWidth="1"/>
    <col min="85" max="85" width="20" customWidth="1"/>
    <col min="86" max="86" width="39.5" customWidth="1"/>
    <col min="87" max="88" width="25.83203125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07" max="107" width="11.83203125" customWidth="1"/>
    <col min="116" max="116" width="59.1640625" customWidth="1"/>
    <col min="117" max="117" width="13.1640625" customWidth="1"/>
    <col min="118" max="118" width="15" customWidth="1"/>
    <col min="120" max="121" width="15.33203125" customWidth="1"/>
    <col min="123" max="123" width="14.1640625" customWidth="1"/>
    <col min="124" max="124" width="29.5" customWidth="1"/>
    <col min="126" max="126" width="14.33203125" customWidth="1"/>
    <col min="127" max="127" width="13.83203125" customWidth="1"/>
    <col min="128" max="128" width="19" customWidth="1"/>
    <col min="129" max="129" width="15.1640625" customWidth="1"/>
    <col min="130" max="130" width="14.6640625" customWidth="1"/>
    <col min="131" max="131" width="17.83203125" customWidth="1"/>
    <col min="132" max="132" width="48.5" customWidth="1"/>
    <col min="133" max="133" width="17.1640625" customWidth="1"/>
    <col min="134" max="134" width="18.83203125" customWidth="1"/>
    <col min="135" max="135" width="12.66406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1" max="141" width="13.33203125" customWidth="1"/>
    <col min="142" max="142" width="31.66406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22.1640625" customWidth="1"/>
    <col min="160" max="160" width="88.5" customWidth="1"/>
    <col min="161" max="162" width="13.1640625" customWidth="1"/>
    <col min="163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91" ht="18">
      <c r="A1" s="111" t="s">
        <v>123</v>
      </c>
      <c r="B1" s="112"/>
      <c r="C1" s="112"/>
      <c r="D1" s="112"/>
      <c r="E1" s="112"/>
      <c r="F1" s="112"/>
      <c r="G1" s="112"/>
      <c r="H1" s="112"/>
      <c r="I1" s="112"/>
      <c r="J1" s="113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9"/>
      <c r="W1" s="8"/>
      <c r="X1" s="7"/>
      <c r="Y1" s="7"/>
      <c r="Z1" s="7"/>
      <c r="AA1" s="7"/>
      <c r="AB1" s="7"/>
      <c r="AC1" s="7"/>
      <c r="AD1" s="7"/>
      <c r="AE1" s="7"/>
      <c r="AF1" s="7"/>
      <c r="AG1" s="10" t="s">
        <v>3</v>
      </c>
      <c r="AH1" s="11"/>
      <c r="AI1" s="12"/>
      <c r="AJ1" s="12"/>
      <c r="AK1" s="13"/>
      <c r="AL1" s="13"/>
      <c r="AM1" s="13"/>
      <c r="AN1" s="14"/>
      <c r="AO1" s="13"/>
      <c r="AP1" s="13"/>
      <c r="AQ1" s="13"/>
      <c r="AR1" s="13"/>
      <c r="AS1" s="13"/>
      <c r="AT1" s="13"/>
      <c r="AU1" s="15" t="s">
        <v>4</v>
      </c>
      <c r="AV1" s="16"/>
      <c r="AW1" s="16"/>
      <c r="AX1" s="16"/>
      <c r="AY1" s="16"/>
      <c r="AZ1" s="16"/>
      <c r="BA1" s="16"/>
      <c r="BB1" s="17"/>
      <c r="BC1" s="18"/>
      <c r="BD1" s="18"/>
      <c r="BE1" s="18"/>
      <c r="BF1" s="19"/>
      <c r="BG1" s="20"/>
      <c r="BH1" s="21" t="s">
        <v>5</v>
      </c>
      <c r="BI1" s="22"/>
      <c r="BJ1" s="22"/>
      <c r="BK1" s="22"/>
      <c r="BL1" s="22"/>
      <c r="BM1" s="22"/>
      <c r="BN1" s="22"/>
      <c r="BO1" s="23"/>
      <c r="BP1" s="24" t="s">
        <v>6</v>
      </c>
      <c r="BQ1" s="24"/>
      <c r="BR1" s="25"/>
      <c r="BS1" s="25"/>
      <c r="BT1" s="25"/>
      <c r="BU1" s="26" t="s">
        <v>7</v>
      </c>
      <c r="BV1" s="27"/>
      <c r="BW1" s="27"/>
      <c r="BX1" s="26"/>
      <c r="BY1" s="29"/>
      <c r="BZ1" s="29"/>
      <c r="CA1" s="30"/>
      <c r="CB1" s="29" t="s">
        <v>8</v>
      </c>
      <c r="CC1" s="31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6" t="s">
        <v>9</v>
      </c>
      <c r="CO1" s="29"/>
      <c r="CP1" s="29"/>
      <c r="CQ1" s="29"/>
      <c r="CR1" s="29"/>
      <c r="CS1" s="29"/>
      <c r="CT1" s="30"/>
      <c r="CU1" s="27" t="s">
        <v>10</v>
      </c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32"/>
      <c r="DP1" s="29"/>
      <c r="DQ1" s="29"/>
      <c r="DR1" s="30"/>
      <c r="DS1" s="27"/>
      <c r="DT1" s="27"/>
      <c r="DU1" s="33" t="s">
        <v>11</v>
      </c>
      <c r="DV1" s="27"/>
      <c r="DW1" s="27"/>
      <c r="DX1" s="27"/>
      <c r="DY1" s="27"/>
      <c r="DZ1" s="28"/>
      <c r="EA1" s="33" t="s">
        <v>12</v>
      </c>
      <c r="EB1" s="27"/>
      <c r="EC1" s="27"/>
      <c r="ED1" s="27"/>
      <c r="EE1" s="27"/>
      <c r="EF1" s="34"/>
      <c r="EG1" s="63"/>
      <c r="EH1" s="35" t="s">
        <v>13</v>
      </c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6" t="s">
        <v>14</v>
      </c>
      <c r="ET1" s="37"/>
      <c r="EU1" s="37"/>
      <c r="EV1" s="37"/>
      <c r="EW1" s="38"/>
      <c r="EX1" s="38"/>
      <c r="EY1" s="38"/>
      <c r="EZ1" s="38"/>
      <c r="FA1" s="37"/>
      <c r="FB1" s="37"/>
      <c r="FC1" s="37"/>
      <c r="FD1" s="37"/>
      <c r="FE1" s="36"/>
      <c r="FF1" s="37"/>
      <c r="FG1" s="37"/>
      <c r="FH1" s="37"/>
      <c r="FI1" s="37"/>
      <c r="FJ1" s="37"/>
      <c r="FK1" s="7"/>
      <c r="FL1" s="7"/>
      <c r="FM1" s="7"/>
      <c r="FN1" s="7"/>
      <c r="FO1" s="7"/>
      <c r="FP1" s="7"/>
      <c r="FQ1" s="39"/>
    </row>
    <row r="2" spans="1:191" ht="20">
      <c r="A2" s="114"/>
      <c r="B2" s="41"/>
      <c r="C2" s="41"/>
      <c r="D2" s="41"/>
      <c r="E2" s="41"/>
      <c r="F2" s="41"/>
      <c r="G2" s="41"/>
      <c r="H2" s="41"/>
      <c r="I2" s="41"/>
      <c r="J2" s="43"/>
      <c r="K2" s="40"/>
      <c r="L2" s="41"/>
      <c r="M2" s="42"/>
      <c r="N2" s="43"/>
      <c r="O2" s="44"/>
      <c r="P2" s="44"/>
      <c r="Q2" s="44"/>
      <c r="R2" s="44"/>
      <c r="S2" s="44"/>
      <c r="T2" s="44"/>
      <c r="U2" s="45"/>
      <c r="V2" s="46"/>
      <c r="W2" s="45"/>
      <c r="X2" s="44"/>
      <c r="Y2" s="44"/>
      <c r="Z2" s="44"/>
      <c r="AA2" s="44"/>
      <c r="AB2" s="44"/>
      <c r="AC2" s="44"/>
      <c r="AD2" s="44"/>
      <c r="AE2" s="44"/>
      <c r="AF2" s="44"/>
      <c r="AG2" s="47"/>
      <c r="AH2" s="11"/>
      <c r="AI2" s="12"/>
      <c r="AJ2" s="12"/>
      <c r="AK2" s="13"/>
      <c r="AL2" s="13"/>
      <c r="AM2" s="13"/>
      <c r="AN2" s="14" t="s">
        <v>15</v>
      </c>
      <c r="AO2" s="13"/>
      <c r="AP2" s="13"/>
      <c r="AQ2" s="13"/>
      <c r="AR2" s="13"/>
      <c r="AS2" s="13"/>
      <c r="AT2" s="13"/>
      <c r="AU2" s="17"/>
      <c r="AV2" s="18"/>
      <c r="AW2" s="16"/>
      <c r="AX2" s="16"/>
      <c r="AY2" s="16"/>
      <c r="AZ2" s="16"/>
      <c r="BA2" s="18"/>
      <c r="BB2" s="48" t="s">
        <v>16</v>
      </c>
      <c r="BC2" s="129"/>
      <c r="BD2" s="129"/>
      <c r="BE2" s="18"/>
      <c r="BF2" s="19"/>
      <c r="BG2" s="20"/>
      <c r="BH2" s="49" t="s">
        <v>17</v>
      </c>
      <c r="BI2" s="50"/>
      <c r="BJ2" s="50"/>
      <c r="BK2" s="51" t="s">
        <v>18</v>
      </c>
      <c r="BL2" s="52"/>
      <c r="BM2" s="53"/>
      <c r="BN2" s="53"/>
      <c r="BO2" s="54"/>
      <c r="BP2" s="55"/>
      <c r="BQ2" s="55"/>
      <c r="BR2" s="22"/>
      <c r="BS2" s="22"/>
      <c r="BT2" s="22"/>
      <c r="BU2" s="56" t="s">
        <v>19</v>
      </c>
      <c r="BV2" s="57"/>
      <c r="BW2" s="57"/>
      <c r="BX2" s="26" t="s">
        <v>20</v>
      </c>
      <c r="BY2" s="29"/>
      <c r="BZ2" s="29"/>
      <c r="CA2" s="30"/>
      <c r="CB2" s="121" t="s">
        <v>21</v>
      </c>
      <c r="CC2" s="59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26" t="s">
        <v>22</v>
      </c>
      <c r="CO2" s="31"/>
      <c r="CP2" s="29"/>
      <c r="CQ2" s="29"/>
      <c r="CR2" s="29"/>
      <c r="CS2" s="29"/>
      <c r="CT2" s="30"/>
      <c r="CU2" s="57" t="s">
        <v>23</v>
      </c>
      <c r="CV2" s="57"/>
      <c r="CW2" s="57"/>
      <c r="CX2" s="57"/>
      <c r="CY2" s="60" t="s">
        <v>24</v>
      </c>
      <c r="CZ2" s="61"/>
      <c r="DA2" s="61"/>
      <c r="DB2" s="62"/>
      <c r="DC2" s="60" t="s">
        <v>25</v>
      </c>
      <c r="DD2" s="34"/>
      <c r="DE2" s="34"/>
      <c r="DF2" s="63"/>
      <c r="DG2" s="64" t="s">
        <v>26</v>
      </c>
      <c r="DH2" s="34"/>
      <c r="DI2" s="34"/>
      <c r="DJ2" s="63"/>
      <c r="DK2" s="65" t="s">
        <v>27</v>
      </c>
      <c r="DL2" s="66"/>
      <c r="DM2" s="57"/>
      <c r="DN2" s="57"/>
      <c r="DO2" s="67" t="s">
        <v>28</v>
      </c>
      <c r="DP2" s="58"/>
      <c r="DQ2" s="58"/>
      <c r="DR2" s="68"/>
      <c r="DS2" s="57" t="s">
        <v>29</v>
      </c>
      <c r="DT2" s="57"/>
      <c r="DU2" s="69" t="s">
        <v>30</v>
      </c>
      <c r="DV2" s="70"/>
      <c r="DW2" s="70"/>
      <c r="DX2" s="70"/>
      <c r="DY2" s="57"/>
      <c r="DZ2" s="57"/>
      <c r="EA2" s="71"/>
      <c r="EB2" s="57"/>
      <c r="EC2" s="57"/>
      <c r="ED2" s="57"/>
      <c r="EE2" s="34"/>
      <c r="EF2" s="56" t="s">
        <v>31</v>
      </c>
      <c r="EG2" s="28"/>
      <c r="EH2" s="35"/>
      <c r="EI2" s="35"/>
      <c r="EJ2" s="35"/>
      <c r="EK2" s="72"/>
      <c r="EL2" s="72"/>
      <c r="EM2" s="72"/>
      <c r="EN2" s="72"/>
      <c r="EO2" s="73"/>
      <c r="EP2" s="73"/>
      <c r="EQ2" s="73"/>
      <c r="ER2" s="73"/>
      <c r="ES2" s="7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44"/>
      <c r="FQ2" s="75"/>
    </row>
    <row r="3" spans="1:191" ht="223">
      <c r="A3" s="115" t="s">
        <v>124</v>
      </c>
      <c r="B3" s="116" t="s">
        <v>125</v>
      </c>
      <c r="C3" s="116" t="s">
        <v>126</v>
      </c>
      <c r="D3" s="3" t="s">
        <v>127</v>
      </c>
      <c r="E3" s="3" t="s">
        <v>128</v>
      </c>
      <c r="F3" s="117" t="s">
        <v>129</v>
      </c>
      <c r="G3" s="117" t="s">
        <v>130</v>
      </c>
      <c r="H3" s="158" t="s">
        <v>220</v>
      </c>
      <c r="I3" s="159" t="s">
        <v>221</v>
      </c>
      <c r="J3" s="160" t="s">
        <v>222</v>
      </c>
      <c r="K3" s="76" t="s">
        <v>32</v>
      </c>
      <c r="L3" s="77" t="s">
        <v>33</v>
      </c>
      <c r="M3" s="77" t="s">
        <v>34</v>
      </c>
      <c r="N3" s="78" t="s">
        <v>35</v>
      </c>
      <c r="O3" s="79" t="s">
        <v>36</v>
      </c>
      <c r="P3" s="79" t="s">
        <v>37</v>
      </c>
      <c r="Q3" s="79" t="s">
        <v>38</v>
      </c>
      <c r="R3" s="79" t="s">
        <v>39</v>
      </c>
      <c r="S3" s="79" t="s">
        <v>40</v>
      </c>
      <c r="T3" s="79" t="s">
        <v>41</v>
      </c>
      <c r="U3" s="79" t="s">
        <v>42</v>
      </c>
      <c r="V3" s="80" t="s">
        <v>43</v>
      </c>
      <c r="W3" s="79" t="s">
        <v>44</v>
      </c>
      <c r="X3" s="79" t="s">
        <v>45</v>
      </c>
      <c r="Y3" s="79" t="s">
        <v>46</v>
      </c>
      <c r="Z3" s="79" t="s">
        <v>47</v>
      </c>
      <c r="AA3" s="79" t="s">
        <v>48</v>
      </c>
      <c r="AB3" s="79" t="s">
        <v>49</v>
      </c>
      <c r="AC3" s="79" t="s">
        <v>50</v>
      </c>
      <c r="AD3" s="79" t="s">
        <v>51</v>
      </c>
      <c r="AE3" s="79" t="s">
        <v>52</v>
      </c>
      <c r="AF3" s="79" t="s">
        <v>53</v>
      </c>
      <c r="AG3" s="81" t="s">
        <v>135</v>
      </c>
      <c r="AH3" s="82" t="s">
        <v>54</v>
      </c>
      <c r="AI3" s="119" t="s">
        <v>136</v>
      </c>
      <c r="AJ3" s="119" t="s">
        <v>137</v>
      </c>
      <c r="AK3" s="83" t="s">
        <v>56</v>
      </c>
      <c r="AL3" s="83" t="s">
        <v>57</v>
      </c>
      <c r="AM3" s="84" t="s">
        <v>58</v>
      </c>
      <c r="AN3" s="81" t="s">
        <v>135</v>
      </c>
      <c r="AO3" s="82" t="s">
        <v>54</v>
      </c>
      <c r="AP3" s="119" t="s">
        <v>136</v>
      </c>
      <c r="AQ3" s="119" t="s">
        <v>137</v>
      </c>
      <c r="AR3" s="83" t="s">
        <v>56</v>
      </c>
      <c r="AS3" s="83" t="s">
        <v>57</v>
      </c>
      <c r="AT3" s="83" t="s">
        <v>58</v>
      </c>
      <c r="AU3" s="85" t="s">
        <v>59</v>
      </c>
      <c r="AV3" s="86" t="s">
        <v>60</v>
      </c>
      <c r="AW3" s="86" t="s">
        <v>61</v>
      </c>
      <c r="AX3" s="86" t="s">
        <v>62</v>
      </c>
      <c r="AY3" s="86" t="s">
        <v>63</v>
      </c>
      <c r="AZ3" s="86" t="s">
        <v>64</v>
      </c>
      <c r="BA3" s="86" t="s">
        <v>65</v>
      </c>
      <c r="BB3" s="118" t="s">
        <v>131</v>
      </c>
      <c r="BC3" s="130" t="s">
        <v>152</v>
      </c>
      <c r="BD3" s="130" t="s">
        <v>153</v>
      </c>
      <c r="BE3" s="87" t="s">
        <v>66</v>
      </c>
      <c r="BF3" s="88" t="s">
        <v>67</v>
      </c>
      <c r="BG3" s="88" t="s">
        <v>68</v>
      </c>
      <c r="BH3" s="89" t="s">
        <v>69</v>
      </c>
      <c r="BI3" s="90" t="s">
        <v>70</v>
      </c>
      <c r="BJ3" s="91" t="s">
        <v>71</v>
      </c>
      <c r="BK3" s="92" t="s">
        <v>72</v>
      </c>
      <c r="BL3" s="93" t="s">
        <v>70</v>
      </c>
      <c r="BM3" s="94" t="s">
        <v>71</v>
      </c>
      <c r="BN3" s="53" t="s">
        <v>73</v>
      </c>
      <c r="BO3" s="54" t="s">
        <v>177</v>
      </c>
      <c r="BP3" s="94" t="s">
        <v>74</v>
      </c>
      <c r="BQ3" s="90" t="s">
        <v>70</v>
      </c>
      <c r="BR3" s="91" t="s">
        <v>71</v>
      </c>
      <c r="BS3" s="53" t="s">
        <v>219</v>
      </c>
      <c r="BT3" s="53" t="s">
        <v>75</v>
      </c>
      <c r="BU3" s="95" t="s">
        <v>76</v>
      </c>
      <c r="BV3" s="96" t="s">
        <v>54</v>
      </c>
      <c r="BW3" s="96" t="s">
        <v>182</v>
      </c>
      <c r="BX3" s="95" t="s">
        <v>77</v>
      </c>
      <c r="BY3" s="96" t="s">
        <v>54</v>
      </c>
      <c r="BZ3" s="120" t="s">
        <v>138</v>
      </c>
      <c r="CA3" s="122" t="s">
        <v>139</v>
      </c>
      <c r="CB3" s="98" t="s">
        <v>132</v>
      </c>
      <c r="CC3" s="97" t="s">
        <v>78</v>
      </c>
      <c r="CD3" s="96" t="s">
        <v>54</v>
      </c>
      <c r="CE3" s="120" t="s">
        <v>140</v>
      </c>
      <c r="CF3" s="122" t="s">
        <v>141</v>
      </c>
      <c r="CG3" s="98" t="s">
        <v>79</v>
      </c>
      <c r="CH3" s="98" t="s">
        <v>80</v>
      </c>
      <c r="CI3" s="98" t="s">
        <v>214</v>
      </c>
      <c r="CJ3" s="98" t="s">
        <v>215</v>
      </c>
      <c r="CK3" s="98" t="s">
        <v>81</v>
      </c>
      <c r="CL3" s="98" t="s">
        <v>82</v>
      </c>
      <c r="CM3" s="98" t="s">
        <v>83</v>
      </c>
      <c r="CN3" s="99" t="s">
        <v>133</v>
      </c>
      <c r="CO3" s="97" t="s">
        <v>84</v>
      </c>
      <c r="CP3" s="96" t="s">
        <v>54</v>
      </c>
      <c r="CQ3" s="96" t="s">
        <v>55</v>
      </c>
      <c r="CR3" s="98" t="s">
        <v>85</v>
      </c>
      <c r="CS3" s="98" t="s">
        <v>80</v>
      </c>
      <c r="CT3" s="98" t="s">
        <v>86</v>
      </c>
      <c r="CU3" s="95" t="s">
        <v>87</v>
      </c>
      <c r="CV3" s="96" t="s">
        <v>54</v>
      </c>
      <c r="CW3" s="96" t="s">
        <v>146</v>
      </c>
      <c r="CX3" s="100" t="s">
        <v>88</v>
      </c>
      <c r="CY3" s="97" t="s">
        <v>142</v>
      </c>
      <c r="CZ3" s="96" t="s">
        <v>54</v>
      </c>
      <c r="DA3" s="96" t="s">
        <v>146</v>
      </c>
      <c r="DB3" s="100" t="s">
        <v>89</v>
      </c>
      <c r="DC3" s="97" t="s">
        <v>143</v>
      </c>
      <c r="DD3" s="96" t="s">
        <v>54</v>
      </c>
      <c r="DE3" s="96" t="s">
        <v>146</v>
      </c>
      <c r="DF3" s="100" t="s">
        <v>90</v>
      </c>
      <c r="DG3" s="97" t="s">
        <v>144</v>
      </c>
      <c r="DH3" s="96" t="s">
        <v>54</v>
      </c>
      <c r="DI3" s="96" t="s">
        <v>146</v>
      </c>
      <c r="DJ3" s="100" t="s">
        <v>91</v>
      </c>
      <c r="DK3" s="97" t="s">
        <v>145</v>
      </c>
      <c r="DL3" s="96" t="s">
        <v>54</v>
      </c>
      <c r="DM3" s="96" t="s">
        <v>146</v>
      </c>
      <c r="DN3" s="101" t="s">
        <v>92</v>
      </c>
      <c r="DO3" s="123" t="s">
        <v>93</v>
      </c>
      <c r="DP3" s="96" t="s">
        <v>54</v>
      </c>
      <c r="DQ3" s="96" t="s">
        <v>146</v>
      </c>
      <c r="DR3" s="102" t="s">
        <v>94</v>
      </c>
      <c r="DS3" s="101" t="s">
        <v>95</v>
      </c>
      <c r="DT3" s="101" t="s">
        <v>96</v>
      </c>
      <c r="DU3" s="95" t="s">
        <v>97</v>
      </c>
      <c r="DV3" s="96" t="s">
        <v>54</v>
      </c>
      <c r="DW3" s="96" t="s">
        <v>146</v>
      </c>
      <c r="DX3" s="96" t="s">
        <v>196</v>
      </c>
      <c r="DY3" s="101" t="s">
        <v>98</v>
      </c>
      <c r="DZ3" s="100" t="s">
        <v>99</v>
      </c>
      <c r="EA3" s="98" t="s">
        <v>100</v>
      </c>
      <c r="EB3" s="101" t="s">
        <v>101</v>
      </c>
      <c r="EC3" s="101" t="s">
        <v>102</v>
      </c>
      <c r="ED3" s="101" t="s">
        <v>103</v>
      </c>
      <c r="EE3" s="103" t="s">
        <v>104</v>
      </c>
      <c r="EF3" s="104" t="s">
        <v>105</v>
      </c>
      <c r="EG3" s="100" t="s">
        <v>106</v>
      </c>
      <c r="EH3" s="124" t="s">
        <v>107</v>
      </c>
      <c r="EI3" s="125" t="s">
        <v>108</v>
      </c>
      <c r="EJ3" s="125" t="s">
        <v>109</v>
      </c>
      <c r="EK3" s="105" t="s">
        <v>134</v>
      </c>
      <c r="EL3" s="106" t="s">
        <v>54</v>
      </c>
      <c r="EM3" s="126" t="s">
        <v>212</v>
      </c>
      <c r="EN3" s="127" t="s">
        <v>213</v>
      </c>
      <c r="EO3" s="105" t="s">
        <v>110</v>
      </c>
      <c r="EP3" s="106" t="s">
        <v>54</v>
      </c>
      <c r="EQ3" s="126" t="s">
        <v>147</v>
      </c>
      <c r="ER3" s="127" t="s">
        <v>148</v>
      </c>
      <c r="ES3" s="107" t="s">
        <v>111</v>
      </c>
      <c r="ET3" s="79" t="s">
        <v>151</v>
      </c>
      <c r="EU3" s="128" t="s">
        <v>147</v>
      </c>
      <c r="EV3" s="128" t="s">
        <v>148</v>
      </c>
      <c r="EW3" s="79" t="s">
        <v>112</v>
      </c>
      <c r="EX3" s="79" t="s">
        <v>113</v>
      </c>
      <c r="EY3" s="79" t="s">
        <v>114</v>
      </c>
      <c r="EZ3" s="79" t="s">
        <v>115</v>
      </c>
      <c r="FA3" s="128" t="s">
        <v>149</v>
      </c>
      <c r="FB3" s="128" t="s">
        <v>150</v>
      </c>
      <c r="FC3" s="79" t="s">
        <v>116</v>
      </c>
      <c r="FD3" s="79" t="s">
        <v>117</v>
      </c>
      <c r="FE3" s="107" t="s">
        <v>118</v>
      </c>
      <c r="FF3" s="152" t="s">
        <v>189</v>
      </c>
      <c r="FG3" s="152" t="s">
        <v>190</v>
      </c>
      <c r="FH3" s="79" t="s">
        <v>119</v>
      </c>
      <c r="FI3" s="152" t="s">
        <v>191</v>
      </c>
      <c r="FJ3" s="152" t="s">
        <v>192</v>
      </c>
      <c r="FK3" s="108" t="s">
        <v>120</v>
      </c>
      <c r="FL3" s="108" t="s">
        <v>193</v>
      </c>
      <c r="FM3" s="108" t="s">
        <v>194</v>
      </c>
      <c r="FN3" s="108" t="s">
        <v>121</v>
      </c>
      <c r="FO3" s="153" t="s">
        <v>195</v>
      </c>
      <c r="FP3" s="157" t="s">
        <v>218</v>
      </c>
      <c r="FQ3" s="109" t="s">
        <v>122</v>
      </c>
      <c r="FR3" s="110"/>
      <c r="FS3" s="110"/>
      <c r="FT3" s="110"/>
      <c r="FU3" s="110"/>
      <c r="FV3" s="110"/>
      <c r="FW3" s="110"/>
      <c r="FX3" s="110"/>
      <c r="FY3" s="110"/>
      <c r="FZ3" s="110"/>
      <c r="GA3" s="110"/>
      <c r="GB3" s="110"/>
      <c r="GC3" s="110"/>
      <c r="GD3" s="110"/>
      <c r="GE3" s="110"/>
      <c r="GF3" s="110"/>
      <c r="GG3" s="110"/>
      <c r="GH3" s="110"/>
      <c r="GI3" s="110"/>
    </row>
    <row r="4" spans="1:191">
      <c r="A4" s="131" t="s">
        <v>154</v>
      </c>
      <c r="B4" t="s">
        <v>155</v>
      </c>
      <c r="C4">
        <v>2017</v>
      </c>
      <c r="D4" s="132" t="s">
        <v>156</v>
      </c>
      <c r="E4" s="145">
        <f>AG4</f>
        <v>3.9110250469999999</v>
      </c>
      <c r="F4">
        <f>AI4</f>
        <v>2</v>
      </c>
      <c r="G4">
        <f>AJ4</f>
        <v>2</v>
      </c>
      <c r="H4" s="149">
        <f>EZ4</f>
        <v>276.02944340642199</v>
      </c>
      <c r="I4" s="149">
        <f>FA4</f>
        <v>46.371211319374027</v>
      </c>
      <c r="J4" s="149">
        <f>FB4</f>
        <v>41.820848630771991</v>
      </c>
      <c r="K4" t="s">
        <v>209</v>
      </c>
      <c r="L4" s="132" t="s">
        <v>210</v>
      </c>
      <c r="M4" s="1" t="s">
        <v>157</v>
      </c>
      <c r="N4" s="132" t="s">
        <v>156</v>
      </c>
      <c r="O4" t="s">
        <v>158</v>
      </c>
      <c r="P4" t="s">
        <v>159</v>
      </c>
      <c r="Q4" s="133">
        <v>1</v>
      </c>
      <c r="R4" s="133">
        <v>1</v>
      </c>
      <c r="S4" s="133">
        <v>4</v>
      </c>
      <c r="T4" s="133">
        <v>5</v>
      </c>
      <c r="U4" s="134">
        <v>4.4999999999999998E-2</v>
      </c>
      <c r="V4" s="134">
        <v>4.4999999999999998E-2</v>
      </c>
      <c r="W4" t="s">
        <v>165</v>
      </c>
      <c r="X4" t="s">
        <v>160</v>
      </c>
      <c r="Y4" s="135">
        <v>12.74</v>
      </c>
      <c r="Z4" s="135">
        <v>-78.739999999999995</v>
      </c>
      <c r="AA4" t="s">
        <v>165</v>
      </c>
      <c r="AB4" t="s">
        <v>165</v>
      </c>
      <c r="AC4">
        <v>-2839</v>
      </c>
      <c r="AD4" t="s">
        <v>165</v>
      </c>
      <c r="AE4" t="s">
        <v>165</v>
      </c>
      <c r="AF4" t="s">
        <v>165</v>
      </c>
      <c r="AG4" s="145">
        <v>3.9110250469999999</v>
      </c>
      <c r="AH4" t="s">
        <v>163</v>
      </c>
      <c r="AI4">
        <v>2</v>
      </c>
      <c r="AJ4">
        <v>2</v>
      </c>
      <c r="AK4" t="s">
        <v>165</v>
      </c>
      <c r="AL4" t="s">
        <v>164</v>
      </c>
      <c r="AM4" t="s">
        <v>165</v>
      </c>
      <c r="AN4" t="s">
        <v>165</v>
      </c>
      <c r="AO4" t="s">
        <v>165</v>
      </c>
      <c r="AP4" t="s">
        <v>165</v>
      </c>
      <c r="AQ4" t="s">
        <v>165</v>
      </c>
      <c r="AR4" t="s">
        <v>165</v>
      </c>
      <c r="AS4" t="s">
        <v>165</v>
      </c>
      <c r="AT4" t="s">
        <v>165</v>
      </c>
      <c r="AU4" t="s">
        <v>166</v>
      </c>
      <c r="AV4" t="s">
        <v>167</v>
      </c>
      <c r="AW4" t="s">
        <v>168</v>
      </c>
      <c r="AX4" s="154">
        <v>2</v>
      </c>
      <c r="AY4" t="s">
        <v>169</v>
      </c>
      <c r="AZ4" t="s">
        <v>170</v>
      </c>
      <c r="BA4" t="s">
        <v>171</v>
      </c>
      <c r="BB4" t="s">
        <v>165</v>
      </c>
      <c r="BC4" s="154">
        <v>2</v>
      </c>
      <c r="BD4" s="133" t="s">
        <v>165</v>
      </c>
      <c r="BE4" s="134">
        <v>20.67</v>
      </c>
      <c r="BF4" t="s">
        <v>172</v>
      </c>
      <c r="BG4">
        <v>0.18</v>
      </c>
      <c r="BH4">
        <v>0.64</v>
      </c>
      <c r="BI4" t="s">
        <v>173</v>
      </c>
      <c r="BJ4">
        <v>3.4000000000000002E-2</v>
      </c>
      <c r="BK4">
        <v>9.1</v>
      </c>
      <c r="BL4" t="s">
        <v>163</v>
      </c>
      <c r="BM4">
        <v>0.56000000000000005</v>
      </c>
      <c r="BN4" t="s">
        <v>174</v>
      </c>
      <c r="BO4" t="s">
        <v>175</v>
      </c>
      <c r="BP4" s="155">
        <f>(BE4-8.87)/0.6</f>
        <v>19.666666666666671</v>
      </c>
      <c r="BQ4" s="133" t="s">
        <v>183</v>
      </c>
      <c r="BR4" s="133" t="s">
        <v>165</v>
      </c>
      <c r="BS4" s="133" t="s">
        <v>165</v>
      </c>
      <c r="BT4" t="s">
        <v>176</v>
      </c>
      <c r="BU4" s="133">
        <v>10</v>
      </c>
      <c r="BV4" s="133" t="s">
        <v>198</v>
      </c>
      <c r="BW4" s="133" t="s">
        <v>165</v>
      </c>
      <c r="BX4" s="145">
        <v>28.3</v>
      </c>
      <c r="BY4" t="s">
        <v>163</v>
      </c>
      <c r="BZ4">
        <v>3</v>
      </c>
      <c r="CA4">
        <v>3</v>
      </c>
      <c r="CB4" t="s">
        <v>165</v>
      </c>
      <c r="CC4">
        <v>4.1399999999999997</v>
      </c>
      <c r="CD4" t="s">
        <v>180</v>
      </c>
      <c r="CE4" s="146">
        <v>0.1656</v>
      </c>
      <c r="CF4" s="146">
        <v>0.1656</v>
      </c>
      <c r="CG4" s="156" t="s">
        <v>165</v>
      </c>
      <c r="CH4" t="s">
        <v>207</v>
      </c>
      <c r="CI4" t="s">
        <v>165</v>
      </c>
      <c r="CJ4" t="s">
        <v>178</v>
      </c>
      <c r="CK4" t="s">
        <v>181</v>
      </c>
      <c r="CL4" t="s">
        <v>181</v>
      </c>
      <c r="CM4" t="s">
        <v>181</v>
      </c>
      <c r="CN4" t="s">
        <v>165</v>
      </c>
      <c r="CO4" t="s">
        <v>165</v>
      </c>
      <c r="CP4" t="s">
        <v>165</v>
      </c>
      <c r="CQ4" t="s">
        <v>165</v>
      </c>
      <c r="CR4" t="s">
        <v>165</v>
      </c>
      <c r="CS4" t="s">
        <v>165</v>
      </c>
      <c r="CT4" t="s">
        <v>165</v>
      </c>
      <c r="CU4">
        <v>35</v>
      </c>
      <c r="CV4" t="s">
        <v>183</v>
      </c>
      <c r="CW4" s="154">
        <v>3</v>
      </c>
      <c r="CX4" s="133" t="s">
        <v>199</v>
      </c>
      <c r="CY4" s="133" t="s">
        <v>165</v>
      </c>
      <c r="CZ4" s="133" t="s">
        <v>165</v>
      </c>
      <c r="DA4" s="133" t="s">
        <v>165</v>
      </c>
      <c r="DB4" s="133" t="s">
        <v>165</v>
      </c>
      <c r="DC4" s="133" t="s">
        <v>165</v>
      </c>
      <c r="DD4" s="133" t="s">
        <v>165</v>
      </c>
      <c r="DE4" s="133" t="s">
        <v>165</v>
      </c>
      <c r="DF4" s="133" t="s">
        <v>165</v>
      </c>
      <c r="DG4" s="133" t="s">
        <v>165</v>
      </c>
      <c r="DH4" s="133" t="s">
        <v>165</v>
      </c>
      <c r="DI4" s="133" t="s">
        <v>165</v>
      </c>
      <c r="DJ4" s="133" t="s">
        <v>165</v>
      </c>
      <c r="DK4" s="145">
        <v>432.56244218316402</v>
      </c>
      <c r="DL4" t="s">
        <v>204</v>
      </c>
      <c r="DM4">
        <v>37.1</v>
      </c>
      <c r="DN4" t="s">
        <v>205</v>
      </c>
      <c r="DO4">
        <v>39.61</v>
      </c>
      <c r="DP4" t="s">
        <v>183</v>
      </c>
      <c r="DQ4" s="146">
        <f t="shared" ref="DQ4:DQ35" si="0">0.1+0.1*AG4/1000</f>
        <v>0.1003911025047</v>
      </c>
      <c r="DR4" t="s">
        <v>184</v>
      </c>
      <c r="DS4" t="s">
        <v>200</v>
      </c>
      <c r="DT4" t="s">
        <v>201</v>
      </c>
      <c r="DU4">
        <v>1.0271999999999999</v>
      </c>
      <c r="DV4" t="s">
        <v>165</v>
      </c>
      <c r="DW4" t="s">
        <v>165</v>
      </c>
      <c r="DX4" t="s">
        <v>197</v>
      </c>
      <c r="DY4" t="s">
        <v>181</v>
      </c>
      <c r="DZ4" t="s">
        <v>181</v>
      </c>
      <c r="EA4" t="s">
        <v>202</v>
      </c>
      <c r="EB4" t="s">
        <v>203</v>
      </c>
      <c r="EC4" s="147" t="s">
        <v>206</v>
      </c>
      <c r="ED4" s="147" t="s">
        <v>206</v>
      </c>
      <c r="EE4" s="133" t="s">
        <v>165</v>
      </c>
      <c r="EF4" s="133" t="s">
        <v>165</v>
      </c>
      <c r="EG4" s="133" t="s">
        <v>165</v>
      </c>
      <c r="EH4" t="s">
        <v>185</v>
      </c>
      <c r="EI4" t="s">
        <v>179</v>
      </c>
      <c r="EJ4" t="s">
        <v>165</v>
      </c>
      <c r="EK4">
        <v>2330</v>
      </c>
      <c r="EL4" s="147" t="s">
        <v>211</v>
      </c>
      <c r="EM4" s="147">
        <v>175</v>
      </c>
      <c r="EN4">
        <v>175</v>
      </c>
      <c r="EO4" t="s">
        <v>165</v>
      </c>
      <c r="EP4" t="s">
        <v>165</v>
      </c>
      <c r="EQ4" t="s">
        <v>165</v>
      </c>
      <c r="ER4" t="s">
        <v>165</v>
      </c>
      <c r="ES4" s="148">
        <v>8.1409498368333502</v>
      </c>
      <c r="ET4" t="s">
        <v>187</v>
      </c>
      <c r="EU4" s="133" t="s">
        <v>208</v>
      </c>
      <c r="EV4" s="133" t="s">
        <v>165</v>
      </c>
      <c r="EW4" s="149">
        <v>297.02944340642199</v>
      </c>
      <c r="EX4">
        <v>21</v>
      </c>
      <c r="EY4" t="s">
        <v>186</v>
      </c>
      <c r="EZ4" s="149">
        <v>276.02944340642199</v>
      </c>
      <c r="FA4" s="149">
        <v>46.371211319374027</v>
      </c>
      <c r="FB4" s="149">
        <v>41.820848630771991</v>
      </c>
      <c r="FC4" t="s">
        <v>176</v>
      </c>
      <c r="FD4" t="s">
        <v>188</v>
      </c>
      <c r="FE4" t="s">
        <v>165</v>
      </c>
      <c r="FF4" t="s">
        <v>165</v>
      </c>
      <c r="FG4" t="s">
        <v>165</v>
      </c>
      <c r="FH4" t="s">
        <v>165</v>
      </c>
      <c r="FI4" t="s">
        <v>165</v>
      </c>
      <c r="FJ4" t="s">
        <v>165</v>
      </c>
      <c r="FK4" t="s">
        <v>165</v>
      </c>
      <c r="FL4" t="s">
        <v>165</v>
      </c>
      <c r="FM4" t="s">
        <v>165</v>
      </c>
      <c r="FN4" t="s">
        <v>165</v>
      </c>
      <c r="FO4" t="s">
        <v>165</v>
      </c>
      <c r="FP4" t="s">
        <v>165</v>
      </c>
    </row>
    <row r="5" spans="1:191">
      <c r="A5" s="131" t="s">
        <v>154</v>
      </c>
      <c r="B5" t="s">
        <v>155</v>
      </c>
      <c r="C5">
        <v>2017</v>
      </c>
      <c r="D5" s="132" t="s">
        <v>156</v>
      </c>
      <c r="E5" s="145">
        <f t="shared" ref="E5:E68" si="1">AG5</f>
        <v>4.63</v>
      </c>
      <c r="F5">
        <f t="shared" ref="F5:F68" si="2">AI5</f>
        <v>2</v>
      </c>
      <c r="G5">
        <f t="shared" ref="G5:G68" si="3">AJ5</f>
        <v>2</v>
      </c>
      <c r="H5" s="149">
        <f t="shared" ref="H5:H68" si="4">EZ5</f>
        <v>263.95457066781103</v>
      </c>
      <c r="I5" s="149">
        <f t="shared" ref="I5:I68" si="5">FA5</f>
        <v>40.93324227623998</v>
      </c>
      <c r="J5" s="149">
        <f t="shared" ref="J5:J68" si="6">FB5</f>
        <v>36.969895208388039</v>
      </c>
      <c r="K5" t="s">
        <v>209</v>
      </c>
      <c r="L5" s="132" t="s">
        <v>210</v>
      </c>
      <c r="M5" s="1" t="s">
        <v>157</v>
      </c>
      <c r="N5" s="132" t="s">
        <v>156</v>
      </c>
      <c r="O5" t="s">
        <v>158</v>
      </c>
      <c r="P5" t="s">
        <v>159</v>
      </c>
      <c r="Q5" s="133">
        <v>1</v>
      </c>
      <c r="R5" s="133">
        <v>1</v>
      </c>
      <c r="S5" s="133">
        <v>11</v>
      </c>
      <c r="T5" s="133">
        <v>13</v>
      </c>
      <c r="U5" s="134">
        <v>0.11</v>
      </c>
      <c r="V5" s="134">
        <v>0.11</v>
      </c>
      <c r="W5" t="s">
        <v>165</v>
      </c>
      <c r="X5" t="s">
        <v>160</v>
      </c>
      <c r="Y5" s="135">
        <v>12.74</v>
      </c>
      <c r="Z5" s="135">
        <v>-78.739999999999995</v>
      </c>
      <c r="AA5" t="s">
        <v>165</v>
      </c>
      <c r="AB5" t="s">
        <v>165</v>
      </c>
      <c r="AC5">
        <v>-2839</v>
      </c>
      <c r="AD5" t="s">
        <v>165</v>
      </c>
      <c r="AE5" t="s">
        <v>165</v>
      </c>
      <c r="AF5" t="s">
        <v>165</v>
      </c>
      <c r="AG5" s="145">
        <v>4.63</v>
      </c>
      <c r="AH5" t="s">
        <v>163</v>
      </c>
      <c r="AI5">
        <v>2</v>
      </c>
      <c r="AJ5">
        <v>2</v>
      </c>
      <c r="AK5" t="s">
        <v>165</v>
      </c>
      <c r="AL5" t="s">
        <v>164</v>
      </c>
      <c r="AM5" t="s">
        <v>165</v>
      </c>
      <c r="AN5" t="s">
        <v>165</v>
      </c>
      <c r="AO5" t="s">
        <v>165</v>
      </c>
      <c r="AP5" t="s">
        <v>165</v>
      </c>
      <c r="AQ5" t="s">
        <v>165</v>
      </c>
      <c r="AR5" t="s">
        <v>165</v>
      </c>
      <c r="AS5" t="s">
        <v>165</v>
      </c>
      <c r="AT5" t="s">
        <v>165</v>
      </c>
      <c r="AU5" t="s">
        <v>166</v>
      </c>
      <c r="AV5" t="s">
        <v>167</v>
      </c>
      <c r="AW5" t="s">
        <v>168</v>
      </c>
      <c r="AX5" s="154">
        <v>2</v>
      </c>
      <c r="AY5" t="s">
        <v>169</v>
      </c>
      <c r="AZ5" t="s">
        <v>170</v>
      </c>
      <c r="BA5" t="s">
        <v>171</v>
      </c>
      <c r="BB5" t="s">
        <v>165</v>
      </c>
      <c r="BC5" s="154">
        <v>2</v>
      </c>
      <c r="BD5" s="133" t="s">
        <v>165</v>
      </c>
      <c r="BE5" s="134">
        <v>20.79</v>
      </c>
      <c r="BF5" t="s">
        <v>172</v>
      </c>
      <c r="BG5" s="146">
        <v>0.12</v>
      </c>
      <c r="BH5">
        <v>0.64</v>
      </c>
      <c r="BI5" t="s">
        <v>173</v>
      </c>
      <c r="BJ5">
        <v>3.4000000000000002E-2</v>
      </c>
      <c r="BK5">
        <v>9.1</v>
      </c>
      <c r="BL5" t="s">
        <v>163</v>
      </c>
      <c r="BM5">
        <v>0.56000000000000005</v>
      </c>
      <c r="BN5" t="s">
        <v>174</v>
      </c>
      <c r="BO5" t="s">
        <v>175</v>
      </c>
      <c r="BP5" s="155">
        <f t="shared" ref="BP5:BP68" si="7">(BE5-8.87)/0.6</f>
        <v>19.866666666666667</v>
      </c>
      <c r="BQ5" s="133" t="s">
        <v>183</v>
      </c>
      <c r="BR5" s="133" t="s">
        <v>165</v>
      </c>
      <c r="BS5" s="133" t="s">
        <v>165</v>
      </c>
      <c r="BT5" t="s">
        <v>176</v>
      </c>
      <c r="BU5" s="133">
        <v>10</v>
      </c>
      <c r="BV5" s="133" t="s">
        <v>198</v>
      </c>
      <c r="BW5" s="133" t="s">
        <v>165</v>
      </c>
      <c r="BX5" s="145">
        <v>28.54</v>
      </c>
      <c r="BY5" t="s">
        <v>163</v>
      </c>
      <c r="BZ5">
        <v>3</v>
      </c>
      <c r="CA5">
        <v>3</v>
      </c>
      <c r="CB5" t="s">
        <v>165</v>
      </c>
      <c r="CC5" s="146">
        <v>4.1609999999999996</v>
      </c>
      <c r="CD5" t="s">
        <v>180</v>
      </c>
      <c r="CE5" s="146">
        <v>0.16643999999999998</v>
      </c>
      <c r="CF5" s="146">
        <v>0.16643999999999998</v>
      </c>
      <c r="CG5" s="156" t="s">
        <v>165</v>
      </c>
      <c r="CH5" t="s">
        <v>207</v>
      </c>
      <c r="CI5" t="s">
        <v>165</v>
      </c>
      <c r="CJ5" t="s">
        <v>178</v>
      </c>
      <c r="CK5" t="s">
        <v>181</v>
      </c>
      <c r="CL5" t="s">
        <v>181</v>
      </c>
      <c r="CM5" t="s">
        <v>181</v>
      </c>
      <c r="CN5" t="s">
        <v>165</v>
      </c>
      <c r="CO5" t="s">
        <v>165</v>
      </c>
      <c r="CP5" t="s">
        <v>165</v>
      </c>
      <c r="CQ5" t="s">
        <v>165</v>
      </c>
      <c r="CR5" t="s">
        <v>165</v>
      </c>
      <c r="CS5" t="s">
        <v>165</v>
      </c>
      <c r="CT5" t="s">
        <v>165</v>
      </c>
      <c r="CU5">
        <v>35</v>
      </c>
      <c r="CV5" t="s">
        <v>183</v>
      </c>
      <c r="CW5" s="154">
        <v>3</v>
      </c>
      <c r="CX5" s="133" t="s">
        <v>199</v>
      </c>
      <c r="CY5" s="133" t="s">
        <v>165</v>
      </c>
      <c r="CZ5" s="133" t="s">
        <v>165</v>
      </c>
      <c r="DA5" s="133" t="s">
        <v>165</v>
      </c>
      <c r="DB5" s="133" t="s">
        <v>165</v>
      </c>
      <c r="DC5" s="133" t="s">
        <v>165</v>
      </c>
      <c r="DD5" s="133" t="s">
        <v>165</v>
      </c>
      <c r="DE5" s="133" t="s">
        <v>165</v>
      </c>
      <c r="DF5" s="133" t="s">
        <v>165</v>
      </c>
      <c r="DG5" s="133" t="s">
        <v>165</v>
      </c>
      <c r="DH5" s="133" t="s">
        <v>165</v>
      </c>
      <c r="DI5" s="133" t="s">
        <v>165</v>
      </c>
      <c r="DJ5" s="133" t="s">
        <v>165</v>
      </c>
      <c r="DK5" s="145">
        <v>432.56244218316402</v>
      </c>
      <c r="DL5" t="s">
        <v>204</v>
      </c>
      <c r="DM5">
        <v>37.1</v>
      </c>
      <c r="DN5" t="s">
        <v>205</v>
      </c>
      <c r="DO5">
        <v>39.61</v>
      </c>
      <c r="DP5" t="s">
        <v>183</v>
      </c>
      <c r="DQ5" s="146">
        <f t="shared" si="0"/>
        <v>0.10046300000000001</v>
      </c>
      <c r="DR5" t="s">
        <v>184</v>
      </c>
      <c r="DS5" t="s">
        <v>200</v>
      </c>
      <c r="DT5" t="s">
        <v>201</v>
      </c>
      <c r="DU5">
        <v>1.0271999999999999</v>
      </c>
      <c r="DV5" t="s">
        <v>165</v>
      </c>
      <c r="DW5" t="s">
        <v>165</v>
      </c>
      <c r="DX5" t="s">
        <v>197</v>
      </c>
      <c r="DY5" t="s">
        <v>181</v>
      </c>
      <c r="DZ5" t="s">
        <v>181</v>
      </c>
      <c r="EA5" t="s">
        <v>202</v>
      </c>
      <c r="EB5" t="s">
        <v>203</v>
      </c>
      <c r="EC5" s="147" t="s">
        <v>206</v>
      </c>
      <c r="ED5" s="147" t="s">
        <v>206</v>
      </c>
      <c r="EE5" s="133" t="s">
        <v>165</v>
      </c>
      <c r="EF5" s="133" t="s">
        <v>165</v>
      </c>
      <c r="EG5" s="133" t="s">
        <v>165</v>
      </c>
      <c r="EH5" t="s">
        <v>185</v>
      </c>
      <c r="EI5" t="s">
        <v>179</v>
      </c>
      <c r="EJ5" t="s">
        <v>165</v>
      </c>
      <c r="EK5">
        <v>2331</v>
      </c>
      <c r="EL5" s="147" t="s">
        <v>211</v>
      </c>
      <c r="EM5" s="147">
        <v>175</v>
      </c>
      <c r="EN5">
        <v>175</v>
      </c>
      <c r="EO5" t="s">
        <v>165</v>
      </c>
      <c r="EP5" t="s">
        <v>165</v>
      </c>
      <c r="EQ5" t="s">
        <v>165</v>
      </c>
      <c r="ER5" t="s">
        <v>165</v>
      </c>
      <c r="ES5" s="148">
        <v>8.1543212809300698</v>
      </c>
      <c r="ET5" t="s">
        <v>187</v>
      </c>
      <c r="EU5" s="133" t="s">
        <v>165</v>
      </c>
      <c r="EV5" s="133" t="s">
        <v>165</v>
      </c>
      <c r="EW5" s="149">
        <v>284.95457066781103</v>
      </c>
      <c r="EX5">
        <v>21</v>
      </c>
      <c r="EY5" t="s">
        <v>186</v>
      </c>
      <c r="EZ5" s="149">
        <v>263.95457066781103</v>
      </c>
      <c r="FA5" s="149">
        <v>40.93324227623998</v>
      </c>
      <c r="FB5" s="149">
        <v>36.969895208388039</v>
      </c>
      <c r="FC5" t="s">
        <v>176</v>
      </c>
      <c r="FD5" t="s">
        <v>188</v>
      </c>
      <c r="FE5" t="s">
        <v>165</v>
      </c>
      <c r="FF5" t="s">
        <v>165</v>
      </c>
      <c r="FG5" t="s">
        <v>165</v>
      </c>
      <c r="FH5" t="s">
        <v>165</v>
      </c>
      <c r="FI5" t="s">
        <v>165</v>
      </c>
      <c r="FJ5" t="s">
        <v>165</v>
      </c>
      <c r="FK5" t="s">
        <v>165</v>
      </c>
      <c r="FL5" t="s">
        <v>165</v>
      </c>
      <c r="FM5" t="s">
        <v>165</v>
      </c>
      <c r="FN5" t="s">
        <v>165</v>
      </c>
      <c r="FO5" t="s">
        <v>165</v>
      </c>
      <c r="FP5" t="s">
        <v>165</v>
      </c>
    </row>
    <row r="6" spans="1:191">
      <c r="A6" s="131" t="s">
        <v>154</v>
      </c>
      <c r="B6" t="s">
        <v>155</v>
      </c>
      <c r="C6">
        <v>2017</v>
      </c>
      <c r="D6" s="132" t="s">
        <v>156</v>
      </c>
      <c r="E6" s="145">
        <f t="shared" si="1"/>
        <v>5.0199999999999996</v>
      </c>
      <c r="F6">
        <f t="shared" si="2"/>
        <v>2</v>
      </c>
      <c r="G6">
        <f t="shared" si="3"/>
        <v>2</v>
      </c>
      <c r="H6" s="149">
        <f t="shared" si="4"/>
        <v>284.33799067224601</v>
      </c>
      <c r="I6" s="149">
        <f t="shared" si="5"/>
        <v>47.454974458698018</v>
      </c>
      <c r="J6" s="149">
        <f t="shared" si="6"/>
        <v>42.05395543481302</v>
      </c>
      <c r="K6" t="s">
        <v>209</v>
      </c>
      <c r="L6" s="132" t="s">
        <v>210</v>
      </c>
      <c r="M6" s="1" t="s">
        <v>157</v>
      </c>
      <c r="N6" s="132" t="s">
        <v>156</v>
      </c>
      <c r="O6" t="s">
        <v>158</v>
      </c>
      <c r="P6" t="s">
        <v>159</v>
      </c>
      <c r="Q6" s="133">
        <v>1</v>
      </c>
      <c r="R6" s="133">
        <v>1</v>
      </c>
      <c r="S6" s="133">
        <v>14.5</v>
      </c>
      <c r="T6" s="133">
        <v>16.5</v>
      </c>
      <c r="U6" s="134">
        <v>0.14499999999999999</v>
      </c>
      <c r="V6" s="134">
        <v>0.14499999999999999</v>
      </c>
      <c r="W6" t="s">
        <v>165</v>
      </c>
      <c r="X6" t="s">
        <v>160</v>
      </c>
      <c r="Y6" s="135">
        <v>12.74</v>
      </c>
      <c r="Z6" s="135">
        <v>-78.739999999999995</v>
      </c>
      <c r="AA6" t="s">
        <v>165</v>
      </c>
      <c r="AB6" t="s">
        <v>165</v>
      </c>
      <c r="AC6">
        <v>-2839</v>
      </c>
      <c r="AD6" t="s">
        <v>165</v>
      </c>
      <c r="AE6" t="s">
        <v>165</v>
      </c>
      <c r="AF6" t="s">
        <v>165</v>
      </c>
      <c r="AG6" s="145">
        <v>5.0199999999999996</v>
      </c>
      <c r="AH6" t="s">
        <v>163</v>
      </c>
      <c r="AI6">
        <v>2</v>
      </c>
      <c r="AJ6">
        <v>2</v>
      </c>
      <c r="AK6" t="s">
        <v>165</v>
      </c>
      <c r="AL6" t="s">
        <v>164</v>
      </c>
      <c r="AM6" t="s">
        <v>165</v>
      </c>
      <c r="AN6" t="s">
        <v>165</v>
      </c>
      <c r="AO6" t="s">
        <v>165</v>
      </c>
      <c r="AP6" t="s">
        <v>165</v>
      </c>
      <c r="AQ6" t="s">
        <v>165</v>
      </c>
      <c r="AR6" t="s">
        <v>165</v>
      </c>
      <c r="AS6" t="s">
        <v>165</v>
      </c>
      <c r="AT6" t="s">
        <v>165</v>
      </c>
      <c r="AU6" t="s">
        <v>166</v>
      </c>
      <c r="AV6" t="s">
        <v>167</v>
      </c>
      <c r="AW6" t="s">
        <v>168</v>
      </c>
      <c r="AX6" s="154">
        <v>2</v>
      </c>
      <c r="AY6" t="s">
        <v>169</v>
      </c>
      <c r="AZ6" t="s">
        <v>170</v>
      </c>
      <c r="BA6" t="s">
        <v>171</v>
      </c>
      <c r="BB6" t="s">
        <v>165</v>
      </c>
      <c r="BC6" s="154">
        <v>2</v>
      </c>
      <c r="BD6" s="133" t="s">
        <v>165</v>
      </c>
      <c r="BE6" s="134">
        <v>20.59</v>
      </c>
      <c r="BF6" t="s">
        <v>172</v>
      </c>
      <c r="BG6" s="146">
        <v>0.16</v>
      </c>
      <c r="BH6">
        <v>0.64</v>
      </c>
      <c r="BI6" t="s">
        <v>173</v>
      </c>
      <c r="BJ6">
        <v>3.4000000000000002E-2</v>
      </c>
      <c r="BK6">
        <v>9.1</v>
      </c>
      <c r="BL6" t="s">
        <v>163</v>
      </c>
      <c r="BM6">
        <v>0.56000000000000005</v>
      </c>
      <c r="BN6" t="s">
        <v>174</v>
      </c>
      <c r="BO6" t="s">
        <v>175</v>
      </c>
      <c r="BP6" s="155">
        <f t="shared" si="7"/>
        <v>19.533333333333335</v>
      </c>
      <c r="BQ6" s="133" t="s">
        <v>183</v>
      </c>
      <c r="BR6" s="133" t="s">
        <v>165</v>
      </c>
      <c r="BS6" s="133" t="s">
        <v>165</v>
      </c>
      <c r="BT6" t="s">
        <v>176</v>
      </c>
      <c r="BU6" s="133">
        <v>10</v>
      </c>
      <c r="BV6" s="133" t="s">
        <v>198</v>
      </c>
      <c r="BW6" s="133" t="s">
        <v>165</v>
      </c>
      <c r="BX6" s="145">
        <v>28.13</v>
      </c>
      <c r="BY6" t="s">
        <v>163</v>
      </c>
      <c r="BZ6">
        <v>3</v>
      </c>
      <c r="CA6">
        <v>3</v>
      </c>
      <c r="CB6" t="s">
        <v>165</v>
      </c>
      <c r="CC6" s="146">
        <v>4.0620000000000003</v>
      </c>
      <c r="CD6" t="s">
        <v>180</v>
      </c>
      <c r="CE6" s="146">
        <v>0.16248000000000001</v>
      </c>
      <c r="CF6" s="146">
        <v>0.16248000000000001</v>
      </c>
      <c r="CG6" s="156" t="s">
        <v>165</v>
      </c>
      <c r="CH6" t="s">
        <v>207</v>
      </c>
      <c r="CI6" t="s">
        <v>165</v>
      </c>
      <c r="CJ6" t="s">
        <v>178</v>
      </c>
      <c r="CK6" t="s">
        <v>181</v>
      </c>
      <c r="CL6" t="s">
        <v>181</v>
      </c>
      <c r="CM6" t="s">
        <v>181</v>
      </c>
      <c r="CN6" t="s">
        <v>165</v>
      </c>
      <c r="CO6" t="s">
        <v>165</v>
      </c>
      <c r="CP6" t="s">
        <v>165</v>
      </c>
      <c r="CQ6" t="s">
        <v>165</v>
      </c>
      <c r="CR6" t="s">
        <v>165</v>
      </c>
      <c r="CS6" t="s">
        <v>165</v>
      </c>
      <c r="CT6" t="s">
        <v>165</v>
      </c>
      <c r="CU6">
        <v>35</v>
      </c>
      <c r="CV6" t="s">
        <v>183</v>
      </c>
      <c r="CW6" s="154">
        <v>3</v>
      </c>
      <c r="CX6" s="133" t="s">
        <v>199</v>
      </c>
      <c r="CY6" s="133" t="s">
        <v>165</v>
      </c>
      <c r="CZ6" s="133" t="s">
        <v>165</v>
      </c>
      <c r="DA6" s="133" t="s">
        <v>165</v>
      </c>
      <c r="DB6" s="133" t="s">
        <v>165</v>
      </c>
      <c r="DC6" s="133" t="s">
        <v>165</v>
      </c>
      <c r="DD6" s="133" t="s">
        <v>165</v>
      </c>
      <c r="DE6" s="133" t="s">
        <v>165</v>
      </c>
      <c r="DF6" s="133" t="s">
        <v>165</v>
      </c>
      <c r="DG6" s="133" t="s">
        <v>165</v>
      </c>
      <c r="DH6" s="133" t="s">
        <v>165</v>
      </c>
      <c r="DI6" s="133" t="s">
        <v>165</v>
      </c>
      <c r="DJ6" s="133" t="s">
        <v>165</v>
      </c>
      <c r="DK6" s="145">
        <v>432.56244218316402</v>
      </c>
      <c r="DL6" t="s">
        <v>204</v>
      </c>
      <c r="DM6">
        <v>37.1</v>
      </c>
      <c r="DN6" t="s">
        <v>205</v>
      </c>
      <c r="DO6">
        <v>39.61</v>
      </c>
      <c r="DP6" t="s">
        <v>183</v>
      </c>
      <c r="DQ6" s="146">
        <f t="shared" si="0"/>
        <v>0.10050200000000001</v>
      </c>
      <c r="DR6" t="s">
        <v>184</v>
      </c>
      <c r="DS6" t="s">
        <v>200</v>
      </c>
      <c r="DT6" t="s">
        <v>201</v>
      </c>
      <c r="DU6">
        <v>1.0271999999999999</v>
      </c>
      <c r="DV6" t="s">
        <v>165</v>
      </c>
      <c r="DW6" t="s">
        <v>165</v>
      </c>
      <c r="DX6" t="s">
        <v>197</v>
      </c>
      <c r="DY6" t="s">
        <v>181</v>
      </c>
      <c r="DZ6" t="s">
        <v>181</v>
      </c>
      <c r="EA6" t="s">
        <v>202</v>
      </c>
      <c r="EB6" t="s">
        <v>203</v>
      </c>
      <c r="EC6" s="147" t="s">
        <v>206</v>
      </c>
      <c r="ED6" s="147" t="s">
        <v>206</v>
      </c>
      <c r="EE6" s="133" t="s">
        <v>165</v>
      </c>
      <c r="EF6" s="133" t="s">
        <v>165</v>
      </c>
      <c r="EG6" s="133" t="s">
        <v>165</v>
      </c>
      <c r="EH6" t="s">
        <v>185</v>
      </c>
      <c r="EI6" t="s">
        <v>179</v>
      </c>
      <c r="EJ6" t="s">
        <v>165</v>
      </c>
      <c r="EK6">
        <v>2332</v>
      </c>
      <c r="EL6" s="147" t="s">
        <v>211</v>
      </c>
      <c r="EM6" s="147">
        <v>175</v>
      </c>
      <c r="EN6">
        <v>175</v>
      </c>
      <c r="EO6" t="s">
        <v>165</v>
      </c>
      <c r="EP6" t="s">
        <v>165</v>
      </c>
      <c r="EQ6" t="s">
        <v>165</v>
      </c>
      <c r="ER6" t="s">
        <v>165</v>
      </c>
      <c r="ES6" s="148">
        <v>8.1317646319929597</v>
      </c>
      <c r="ET6" t="s">
        <v>187</v>
      </c>
      <c r="EU6" s="133" t="s">
        <v>165</v>
      </c>
      <c r="EV6" s="133" t="s">
        <v>165</v>
      </c>
      <c r="EW6" s="149">
        <v>305.33799067224601</v>
      </c>
      <c r="EX6">
        <v>21</v>
      </c>
      <c r="EY6" t="s">
        <v>186</v>
      </c>
      <c r="EZ6" s="149">
        <v>284.33799067224601</v>
      </c>
      <c r="FA6" s="149">
        <v>47.454974458698018</v>
      </c>
      <c r="FB6" s="149">
        <v>42.05395543481302</v>
      </c>
      <c r="FC6" t="s">
        <v>176</v>
      </c>
      <c r="FD6" t="s">
        <v>188</v>
      </c>
      <c r="FE6" t="s">
        <v>165</v>
      </c>
      <c r="FF6" t="s">
        <v>165</v>
      </c>
      <c r="FG6" t="s">
        <v>165</v>
      </c>
      <c r="FH6" t="s">
        <v>165</v>
      </c>
      <c r="FI6" t="s">
        <v>165</v>
      </c>
      <c r="FJ6" t="s">
        <v>165</v>
      </c>
      <c r="FK6" t="s">
        <v>165</v>
      </c>
      <c r="FL6" t="s">
        <v>165</v>
      </c>
      <c r="FM6" t="s">
        <v>165</v>
      </c>
      <c r="FN6" t="s">
        <v>165</v>
      </c>
      <c r="FO6" t="s">
        <v>165</v>
      </c>
      <c r="FP6" t="s">
        <v>165</v>
      </c>
    </row>
    <row r="7" spans="1:191">
      <c r="A7" s="131" t="s">
        <v>154</v>
      </c>
      <c r="B7" t="s">
        <v>155</v>
      </c>
      <c r="C7">
        <v>2017</v>
      </c>
      <c r="D7" s="132" t="s">
        <v>156</v>
      </c>
      <c r="E7" s="145">
        <f t="shared" si="1"/>
        <v>7.82</v>
      </c>
      <c r="F7">
        <f t="shared" si="2"/>
        <v>2</v>
      </c>
      <c r="G7">
        <f t="shared" si="3"/>
        <v>2</v>
      </c>
      <c r="H7" s="149">
        <f t="shared" si="4"/>
        <v>258.23868740788299</v>
      </c>
      <c r="I7" s="149">
        <f t="shared" si="5"/>
        <v>45.112509158915032</v>
      </c>
      <c r="J7" s="149">
        <f t="shared" si="6"/>
        <v>38.858673762695986</v>
      </c>
      <c r="K7" t="s">
        <v>209</v>
      </c>
      <c r="L7" s="132" t="s">
        <v>210</v>
      </c>
      <c r="M7" s="1" t="s">
        <v>157</v>
      </c>
      <c r="N7" s="132" t="s">
        <v>156</v>
      </c>
      <c r="O7" t="s">
        <v>158</v>
      </c>
      <c r="P7" t="s">
        <v>159</v>
      </c>
      <c r="Q7" s="133">
        <v>1</v>
      </c>
      <c r="R7" s="133">
        <v>1</v>
      </c>
      <c r="S7" s="133">
        <v>31</v>
      </c>
      <c r="T7" s="133">
        <v>33</v>
      </c>
      <c r="U7" s="134">
        <v>0.31</v>
      </c>
      <c r="V7" s="134">
        <v>0.31</v>
      </c>
      <c r="W7" t="s">
        <v>165</v>
      </c>
      <c r="X7" t="s">
        <v>160</v>
      </c>
      <c r="Y7" s="135">
        <v>12.74</v>
      </c>
      <c r="Z7" s="135">
        <v>-78.739999999999995</v>
      </c>
      <c r="AA7" t="s">
        <v>165</v>
      </c>
      <c r="AB7" t="s">
        <v>165</v>
      </c>
      <c r="AC7">
        <v>-2839</v>
      </c>
      <c r="AD7" t="s">
        <v>165</v>
      </c>
      <c r="AE7" t="s">
        <v>165</v>
      </c>
      <c r="AF7" t="s">
        <v>165</v>
      </c>
      <c r="AG7" s="145">
        <v>7.82</v>
      </c>
      <c r="AH7" t="s">
        <v>163</v>
      </c>
      <c r="AI7">
        <v>2</v>
      </c>
      <c r="AJ7">
        <v>2</v>
      </c>
      <c r="AK7" t="s">
        <v>165</v>
      </c>
      <c r="AL7" t="s">
        <v>164</v>
      </c>
      <c r="AM7" t="s">
        <v>165</v>
      </c>
      <c r="AN7" t="s">
        <v>165</v>
      </c>
      <c r="AO7" t="s">
        <v>165</v>
      </c>
      <c r="AP7" t="s">
        <v>165</v>
      </c>
      <c r="AQ7" t="s">
        <v>165</v>
      </c>
      <c r="AR7" t="s">
        <v>165</v>
      </c>
      <c r="AS7" t="s">
        <v>165</v>
      </c>
      <c r="AT7" t="s">
        <v>165</v>
      </c>
      <c r="AU7" t="s">
        <v>166</v>
      </c>
      <c r="AV7" t="s">
        <v>167</v>
      </c>
      <c r="AW7" t="s">
        <v>168</v>
      </c>
      <c r="AX7" s="154">
        <v>2</v>
      </c>
      <c r="AY7" t="s">
        <v>169</v>
      </c>
      <c r="AZ7" t="s">
        <v>170</v>
      </c>
      <c r="BA7" t="s">
        <v>171</v>
      </c>
      <c r="BB7" t="s">
        <v>165</v>
      </c>
      <c r="BC7" s="154">
        <v>2</v>
      </c>
      <c r="BD7" s="133" t="s">
        <v>165</v>
      </c>
      <c r="BE7" s="134">
        <v>20.82</v>
      </c>
      <c r="BF7" t="s">
        <v>172</v>
      </c>
      <c r="BG7" s="146">
        <v>0.18</v>
      </c>
      <c r="BH7">
        <v>0.64</v>
      </c>
      <c r="BI7" t="s">
        <v>173</v>
      </c>
      <c r="BJ7">
        <v>3.4000000000000002E-2</v>
      </c>
      <c r="BK7">
        <v>9.1</v>
      </c>
      <c r="BL7" t="s">
        <v>163</v>
      </c>
      <c r="BM7">
        <v>0.56000000000000005</v>
      </c>
      <c r="BN7" t="s">
        <v>174</v>
      </c>
      <c r="BO7" t="s">
        <v>175</v>
      </c>
      <c r="BP7" s="155">
        <f t="shared" si="7"/>
        <v>19.916666666666668</v>
      </c>
      <c r="BQ7" s="133" t="s">
        <v>183</v>
      </c>
      <c r="BR7" s="133" t="s">
        <v>165</v>
      </c>
      <c r="BS7" s="133" t="s">
        <v>165</v>
      </c>
      <c r="BT7" t="s">
        <v>176</v>
      </c>
      <c r="BU7" s="133">
        <v>10</v>
      </c>
      <c r="BV7" s="133" t="s">
        <v>198</v>
      </c>
      <c r="BW7" s="133" t="s">
        <v>165</v>
      </c>
      <c r="BX7" s="145">
        <v>28.26</v>
      </c>
      <c r="BY7" t="s">
        <v>163</v>
      </c>
      <c r="BZ7">
        <v>3</v>
      </c>
      <c r="CA7">
        <v>3</v>
      </c>
      <c r="CB7" t="s">
        <v>165</v>
      </c>
      <c r="CC7" s="146">
        <v>4.0570000000000004</v>
      </c>
      <c r="CD7" t="s">
        <v>180</v>
      </c>
      <c r="CE7" s="146">
        <v>0.16228000000000001</v>
      </c>
      <c r="CF7" s="146">
        <v>0.16228000000000001</v>
      </c>
      <c r="CG7" s="156" t="s">
        <v>165</v>
      </c>
      <c r="CH7" t="s">
        <v>207</v>
      </c>
      <c r="CI7" t="s">
        <v>165</v>
      </c>
      <c r="CJ7" t="s">
        <v>178</v>
      </c>
      <c r="CK7" t="s">
        <v>181</v>
      </c>
      <c r="CL7" t="s">
        <v>181</v>
      </c>
      <c r="CM7" t="s">
        <v>181</v>
      </c>
      <c r="CN7" t="s">
        <v>165</v>
      </c>
      <c r="CO7" t="s">
        <v>165</v>
      </c>
      <c r="CP7" t="s">
        <v>165</v>
      </c>
      <c r="CQ7" t="s">
        <v>165</v>
      </c>
      <c r="CR7" t="s">
        <v>165</v>
      </c>
      <c r="CS7" t="s">
        <v>165</v>
      </c>
      <c r="CT7" t="s">
        <v>165</v>
      </c>
      <c r="CU7">
        <v>35</v>
      </c>
      <c r="CV7" t="s">
        <v>183</v>
      </c>
      <c r="CW7" s="154">
        <v>3</v>
      </c>
      <c r="CX7" s="133" t="s">
        <v>199</v>
      </c>
      <c r="CY7" s="133" t="s">
        <v>165</v>
      </c>
      <c r="CZ7" s="133" t="s">
        <v>165</v>
      </c>
      <c r="DA7" s="133" t="s">
        <v>165</v>
      </c>
      <c r="DB7" s="133" t="s">
        <v>165</v>
      </c>
      <c r="DC7" s="133" t="s">
        <v>165</v>
      </c>
      <c r="DD7" s="133" t="s">
        <v>165</v>
      </c>
      <c r="DE7" s="133" t="s">
        <v>165</v>
      </c>
      <c r="DF7" s="133" t="s">
        <v>165</v>
      </c>
      <c r="DG7" s="133" t="s">
        <v>165</v>
      </c>
      <c r="DH7" s="133" t="s">
        <v>165</v>
      </c>
      <c r="DI7" s="133" t="s">
        <v>165</v>
      </c>
      <c r="DJ7" s="133" t="s">
        <v>165</v>
      </c>
      <c r="DK7" s="145">
        <v>432.56244218316402</v>
      </c>
      <c r="DL7" t="s">
        <v>204</v>
      </c>
      <c r="DM7">
        <v>37.1</v>
      </c>
      <c r="DN7" t="s">
        <v>205</v>
      </c>
      <c r="DO7">
        <v>39.61</v>
      </c>
      <c r="DP7" t="s">
        <v>183</v>
      </c>
      <c r="DQ7" s="146">
        <f t="shared" si="0"/>
        <v>0.10078200000000001</v>
      </c>
      <c r="DR7" t="s">
        <v>184</v>
      </c>
      <c r="DS7" t="s">
        <v>200</v>
      </c>
      <c r="DT7" t="s">
        <v>201</v>
      </c>
      <c r="DU7">
        <v>1.0271999999999999</v>
      </c>
      <c r="DV7" t="s">
        <v>165</v>
      </c>
      <c r="DW7" t="s">
        <v>165</v>
      </c>
      <c r="DX7" t="s">
        <v>197</v>
      </c>
      <c r="DY7" t="s">
        <v>181</v>
      </c>
      <c r="DZ7" t="s">
        <v>181</v>
      </c>
      <c r="EA7" t="s">
        <v>202</v>
      </c>
      <c r="EB7" t="s">
        <v>203</v>
      </c>
      <c r="EC7" s="147" t="s">
        <v>206</v>
      </c>
      <c r="ED7" s="147" t="s">
        <v>206</v>
      </c>
      <c r="EE7" s="133" t="s">
        <v>165</v>
      </c>
      <c r="EF7" s="133" t="s">
        <v>165</v>
      </c>
      <c r="EG7" s="133" t="s">
        <v>165</v>
      </c>
      <c r="EH7" t="s">
        <v>185</v>
      </c>
      <c r="EI7" t="s">
        <v>179</v>
      </c>
      <c r="EJ7" t="s">
        <v>165</v>
      </c>
      <c r="EK7">
        <v>2333</v>
      </c>
      <c r="EL7" s="147" t="s">
        <v>211</v>
      </c>
      <c r="EM7" s="147">
        <v>175</v>
      </c>
      <c r="EN7">
        <v>175</v>
      </c>
      <c r="EO7" t="s">
        <v>165</v>
      </c>
      <c r="EP7" t="s">
        <v>165</v>
      </c>
      <c r="EQ7" t="s">
        <v>165</v>
      </c>
      <c r="ER7" t="s">
        <v>165</v>
      </c>
      <c r="ES7" s="148">
        <v>8.1613054467181403</v>
      </c>
      <c r="ET7" t="s">
        <v>187</v>
      </c>
      <c r="EU7" s="133" t="s">
        <v>165</v>
      </c>
      <c r="EV7" s="133" t="s">
        <v>165</v>
      </c>
      <c r="EW7" s="149">
        <v>279.23868740788299</v>
      </c>
      <c r="EX7">
        <v>21</v>
      </c>
      <c r="EY7" t="s">
        <v>186</v>
      </c>
      <c r="EZ7" s="149">
        <v>258.23868740788299</v>
      </c>
      <c r="FA7" s="149">
        <v>45.112509158915032</v>
      </c>
      <c r="FB7" s="149">
        <v>38.858673762695986</v>
      </c>
      <c r="FC7" t="s">
        <v>176</v>
      </c>
      <c r="FD7" t="s">
        <v>188</v>
      </c>
      <c r="FE7" t="s">
        <v>165</v>
      </c>
      <c r="FF7" t="s">
        <v>165</v>
      </c>
      <c r="FG7" t="s">
        <v>165</v>
      </c>
      <c r="FH7" t="s">
        <v>165</v>
      </c>
      <c r="FI7" t="s">
        <v>165</v>
      </c>
      <c r="FJ7" t="s">
        <v>165</v>
      </c>
      <c r="FK7" t="s">
        <v>165</v>
      </c>
      <c r="FL7" t="s">
        <v>165</v>
      </c>
      <c r="FM7" t="s">
        <v>165</v>
      </c>
      <c r="FN7" t="s">
        <v>165</v>
      </c>
      <c r="FO7" t="s">
        <v>165</v>
      </c>
      <c r="FP7" t="s">
        <v>165</v>
      </c>
    </row>
    <row r="8" spans="1:191">
      <c r="A8" s="131" t="s">
        <v>154</v>
      </c>
      <c r="B8" t="s">
        <v>155</v>
      </c>
      <c r="C8">
        <v>2017</v>
      </c>
      <c r="D8" s="132" t="s">
        <v>156</v>
      </c>
      <c r="E8" s="145">
        <f t="shared" si="1"/>
        <v>7.82</v>
      </c>
      <c r="F8">
        <f t="shared" si="2"/>
        <v>2</v>
      </c>
      <c r="G8">
        <f t="shared" si="3"/>
        <v>2</v>
      </c>
      <c r="H8" s="149">
        <f t="shared" si="4"/>
        <v>269.698564876918</v>
      </c>
      <c r="I8" s="149">
        <f t="shared" si="5"/>
        <v>50.495086765432006</v>
      </c>
      <c r="J8" s="149">
        <f t="shared" si="6"/>
        <v>43.821782160427006</v>
      </c>
      <c r="K8" t="s">
        <v>209</v>
      </c>
      <c r="L8" s="132" t="s">
        <v>210</v>
      </c>
      <c r="M8" s="1" t="s">
        <v>157</v>
      </c>
      <c r="N8" s="132" t="s">
        <v>156</v>
      </c>
      <c r="O8" t="s">
        <v>158</v>
      </c>
      <c r="P8" t="s">
        <v>159</v>
      </c>
      <c r="Q8" s="133">
        <v>1</v>
      </c>
      <c r="R8" s="133">
        <v>1</v>
      </c>
      <c r="S8" s="133">
        <v>31</v>
      </c>
      <c r="T8" s="133">
        <v>33</v>
      </c>
      <c r="U8" s="134">
        <v>0.31</v>
      </c>
      <c r="V8" s="134">
        <v>0.31</v>
      </c>
      <c r="W8" t="s">
        <v>165</v>
      </c>
      <c r="X8" t="s">
        <v>160</v>
      </c>
      <c r="Y8" s="135">
        <v>12.74</v>
      </c>
      <c r="Z8" s="135">
        <v>-78.739999999999995</v>
      </c>
      <c r="AA8" t="s">
        <v>165</v>
      </c>
      <c r="AB8" t="s">
        <v>165</v>
      </c>
      <c r="AC8">
        <v>-2839</v>
      </c>
      <c r="AD8" t="s">
        <v>165</v>
      </c>
      <c r="AE8" t="s">
        <v>165</v>
      </c>
      <c r="AF8" t="s">
        <v>165</v>
      </c>
      <c r="AG8" s="145">
        <v>7.82</v>
      </c>
      <c r="AH8" t="s">
        <v>163</v>
      </c>
      <c r="AI8">
        <v>2</v>
      </c>
      <c r="AJ8">
        <v>2</v>
      </c>
      <c r="AK8" t="s">
        <v>165</v>
      </c>
      <c r="AL8" t="s">
        <v>164</v>
      </c>
      <c r="AM8" t="s">
        <v>165</v>
      </c>
      <c r="AN8" t="s">
        <v>165</v>
      </c>
      <c r="AO8" t="s">
        <v>165</v>
      </c>
      <c r="AP8" t="s">
        <v>165</v>
      </c>
      <c r="AQ8" t="s">
        <v>165</v>
      </c>
      <c r="AR8" t="s">
        <v>165</v>
      </c>
      <c r="AS8" t="s">
        <v>165</v>
      </c>
      <c r="AT8" t="s">
        <v>165</v>
      </c>
      <c r="AU8" t="s">
        <v>166</v>
      </c>
      <c r="AV8" t="s">
        <v>167</v>
      </c>
      <c r="AW8" t="s">
        <v>168</v>
      </c>
      <c r="AX8" s="154">
        <v>2</v>
      </c>
      <c r="AY8" t="s">
        <v>169</v>
      </c>
      <c r="AZ8" t="s">
        <v>170</v>
      </c>
      <c r="BA8" t="s">
        <v>171</v>
      </c>
      <c r="BB8" t="s">
        <v>165</v>
      </c>
      <c r="BC8" s="154">
        <v>2</v>
      </c>
      <c r="BD8" s="133" t="s">
        <v>165</v>
      </c>
      <c r="BE8" s="134">
        <v>20.72</v>
      </c>
      <c r="BF8" t="s">
        <v>172</v>
      </c>
      <c r="BG8" s="146">
        <v>0.22</v>
      </c>
      <c r="BH8">
        <v>0.64</v>
      </c>
      <c r="BI8" t="s">
        <v>173</v>
      </c>
      <c r="BJ8">
        <v>3.4000000000000002E-2</v>
      </c>
      <c r="BK8">
        <v>9.1</v>
      </c>
      <c r="BL8" t="s">
        <v>163</v>
      </c>
      <c r="BM8">
        <v>0.56000000000000005</v>
      </c>
      <c r="BN8" t="s">
        <v>174</v>
      </c>
      <c r="BO8" t="s">
        <v>175</v>
      </c>
      <c r="BP8" s="155">
        <f t="shared" si="7"/>
        <v>19.75</v>
      </c>
      <c r="BQ8" s="133" t="s">
        <v>183</v>
      </c>
      <c r="BR8" s="133" t="s">
        <v>165</v>
      </c>
      <c r="BS8" s="133" t="s">
        <v>165</v>
      </c>
      <c r="BT8" t="s">
        <v>176</v>
      </c>
      <c r="BU8" s="133">
        <v>10</v>
      </c>
      <c r="BV8" s="133" t="s">
        <v>198</v>
      </c>
      <c r="BW8" s="133" t="s">
        <v>165</v>
      </c>
      <c r="BX8" s="145">
        <v>28.26</v>
      </c>
      <c r="BY8" t="s">
        <v>163</v>
      </c>
      <c r="BZ8">
        <v>3</v>
      </c>
      <c r="CA8">
        <v>3</v>
      </c>
      <c r="CB8" t="s">
        <v>165</v>
      </c>
      <c r="CC8" s="146">
        <v>4.2530000000000001</v>
      </c>
      <c r="CD8" t="s">
        <v>180</v>
      </c>
      <c r="CE8" s="146">
        <v>0.17012000000000002</v>
      </c>
      <c r="CF8" s="146">
        <v>0.17012000000000002</v>
      </c>
      <c r="CG8" s="156" t="s">
        <v>165</v>
      </c>
      <c r="CH8" t="s">
        <v>207</v>
      </c>
      <c r="CI8" t="s">
        <v>165</v>
      </c>
      <c r="CJ8" t="s">
        <v>178</v>
      </c>
      <c r="CK8" t="s">
        <v>181</v>
      </c>
      <c r="CL8" t="s">
        <v>181</v>
      </c>
      <c r="CM8" t="s">
        <v>181</v>
      </c>
      <c r="CN8" t="s">
        <v>165</v>
      </c>
      <c r="CO8" t="s">
        <v>165</v>
      </c>
      <c r="CP8" t="s">
        <v>165</v>
      </c>
      <c r="CQ8" t="s">
        <v>165</v>
      </c>
      <c r="CR8" t="s">
        <v>165</v>
      </c>
      <c r="CS8" t="s">
        <v>165</v>
      </c>
      <c r="CT8" t="s">
        <v>165</v>
      </c>
      <c r="CU8">
        <v>35</v>
      </c>
      <c r="CV8" t="s">
        <v>183</v>
      </c>
      <c r="CW8" s="154">
        <v>3</v>
      </c>
      <c r="CX8" s="133" t="s">
        <v>199</v>
      </c>
      <c r="CY8" s="133" t="s">
        <v>165</v>
      </c>
      <c r="CZ8" s="133" t="s">
        <v>165</v>
      </c>
      <c r="DA8" s="133" t="s">
        <v>165</v>
      </c>
      <c r="DB8" s="133" t="s">
        <v>165</v>
      </c>
      <c r="DC8" s="133" t="s">
        <v>165</v>
      </c>
      <c r="DD8" s="133" t="s">
        <v>165</v>
      </c>
      <c r="DE8" s="133" t="s">
        <v>165</v>
      </c>
      <c r="DF8" s="133" t="s">
        <v>165</v>
      </c>
      <c r="DG8" s="133" t="s">
        <v>165</v>
      </c>
      <c r="DH8" s="133" t="s">
        <v>165</v>
      </c>
      <c r="DI8" s="133" t="s">
        <v>165</v>
      </c>
      <c r="DJ8" s="133" t="s">
        <v>165</v>
      </c>
      <c r="DK8" s="145">
        <v>432.56244218316402</v>
      </c>
      <c r="DL8" t="s">
        <v>204</v>
      </c>
      <c r="DM8">
        <v>37.1</v>
      </c>
      <c r="DN8" t="s">
        <v>205</v>
      </c>
      <c r="DO8">
        <v>39.61</v>
      </c>
      <c r="DP8" t="s">
        <v>183</v>
      </c>
      <c r="DQ8" s="146">
        <f t="shared" si="0"/>
        <v>0.10078200000000001</v>
      </c>
      <c r="DR8" t="s">
        <v>184</v>
      </c>
      <c r="DS8" t="s">
        <v>200</v>
      </c>
      <c r="DT8" t="s">
        <v>201</v>
      </c>
      <c r="DU8">
        <v>1.0271999999999999</v>
      </c>
      <c r="DV8" t="s">
        <v>165</v>
      </c>
      <c r="DW8" t="s">
        <v>165</v>
      </c>
      <c r="DX8" t="s">
        <v>197</v>
      </c>
      <c r="DY8" t="s">
        <v>181</v>
      </c>
      <c r="DZ8" t="s">
        <v>181</v>
      </c>
      <c r="EA8" t="s">
        <v>202</v>
      </c>
      <c r="EB8" t="s">
        <v>203</v>
      </c>
      <c r="EC8" s="147" t="s">
        <v>206</v>
      </c>
      <c r="ED8" s="147" t="s">
        <v>206</v>
      </c>
      <c r="EE8" s="133" t="s">
        <v>165</v>
      </c>
      <c r="EF8" s="133" t="s">
        <v>165</v>
      </c>
      <c r="EG8" s="133" t="s">
        <v>165</v>
      </c>
      <c r="EH8" t="s">
        <v>185</v>
      </c>
      <c r="EI8" t="s">
        <v>179</v>
      </c>
      <c r="EJ8" t="s">
        <v>165</v>
      </c>
      <c r="EK8">
        <v>2334</v>
      </c>
      <c r="EL8" s="147" t="s">
        <v>211</v>
      </c>
      <c r="EM8" s="147">
        <v>175</v>
      </c>
      <c r="EN8">
        <v>175</v>
      </c>
      <c r="EO8" t="s">
        <v>165</v>
      </c>
      <c r="EP8" t="s">
        <v>165</v>
      </c>
      <c r="EQ8" t="s">
        <v>165</v>
      </c>
      <c r="ER8" t="s">
        <v>165</v>
      </c>
      <c r="ES8" s="148">
        <v>8.1476465160694094</v>
      </c>
      <c r="ET8" t="s">
        <v>187</v>
      </c>
      <c r="EU8" s="133" t="s">
        <v>165</v>
      </c>
      <c r="EV8" s="133" t="s">
        <v>165</v>
      </c>
      <c r="EW8" s="149">
        <v>290.698564876918</v>
      </c>
      <c r="EX8">
        <v>21</v>
      </c>
      <c r="EY8" t="s">
        <v>186</v>
      </c>
      <c r="EZ8" s="149">
        <v>269.698564876918</v>
      </c>
      <c r="FA8" s="149">
        <v>50.495086765432006</v>
      </c>
      <c r="FB8" s="149">
        <v>43.821782160427006</v>
      </c>
      <c r="FC8" t="s">
        <v>176</v>
      </c>
      <c r="FD8" t="s">
        <v>188</v>
      </c>
      <c r="FE8" t="s">
        <v>165</v>
      </c>
      <c r="FF8" t="s">
        <v>165</v>
      </c>
      <c r="FG8" t="s">
        <v>165</v>
      </c>
      <c r="FH8" t="s">
        <v>165</v>
      </c>
      <c r="FI8" t="s">
        <v>165</v>
      </c>
      <c r="FJ8" t="s">
        <v>165</v>
      </c>
      <c r="FK8" t="s">
        <v>165</v>
      </c>
      <c r="FL8" t="s">
        <v>165</v>
      </c>
      <c r="FM8" t="s">
        <v>165</v>
      </c>
      <c r="FN8" t="s">
        <v>165</v>
      </c>
      <c r="FO8" t="s">
        <v>165</v>
      </c>
      <c r="FP8" t="s">
        <v>165</v>
      </c>
    </row>
    <row r="9" spans="1:191">
      <c r="A9" s="131" t="s">
        <v>154</v>
      </c>
      <c r="B9" t="s">
        <v>155</v>
      </c>
      <c r="C9">
        <v>2017</v>
      </c>
      <c r="D9" s="132" t="s">
        <v>156</v>
      </c>
      <c r="E9" s="145">
        <f t="shared" si="1"/>
        <v>9.49</v>
      </c>
      <c r="F9">
        <f t="shared" si="2"/>
        <v>2</v>
      </c>
      <c r="G9">
        <f t="shared" si="3"/>
        <v>2</v>
      </c>
      <c r="H9" s="149">
        <f t="shared" si="4"/>
        <v>267.94412740060301</v>
      </c>
      <c r="I9" s="149">
        <f t="shared" si="5"/>
        <v>46.002275590934971</v>
      </c>
      <c r="J9" s="149">
        <f t="shared" si="6"/>
        <v>41.056319917010001</v>
      </c>
      <c r="K9" t="s">
        <v>209</v>
      </c>
      <c r="L9" s="132" t="s">
        <v>210</v>
      </c>
      <c r="M9" s="1" t="s">
        <v>157</v>
      </c>
      <c r="N9" s="132" t="s">
        <v>156</v>
      </c>
      <c r="O9" t="s">
        <v>158</v>
      </c>
      <c r="P9" t="s">
        <v>159</v>
      </c>
      <c r="Q9" s="133">
        <v>1</v>
      </c>
      <c r="R9" s="133">
        <v>1</v>
      </c>
      <c r="S9" s="133">
        <v>39</v>
      </c>
      <c r="T9" s="133">
        <v>41</v>
      </c>
      <c r="U9" s="134">
        <v>0.39</v>
      </c>
      <c r="V9" s="134">
        <v>0.39</v>
      </c>
      <c r="W9" t="s">
        <v>165</v>
      </c>
      <c r="X9" t="s">
        <v>160</v>
      </c>
      <c r="Y9" s="135">
        <v>12.74</v>
      </c>
      <c r="Z9" s="135">
        <v>-78.739999999999995</v>
      </c>
      <c r="AA9" t="s">
        <v>165</v>
      </c>
      <c r="AB9" t="s">
        <v>165</v>
      </c>
      <c r="AC9">
        <v>-2839</v>
      </c>
      <c r="AD9" t="s">
        <v>165</v>
      </c>
      <c r="AE9" t="s">
        <v>165</v>
      </c>
      <c r="AF9" t="s">
        <v>165</v>
      </c>
      <c r="AG9" s="145">
        <v>9.49</v>
      </c>
      <c r="AH9" t="s">
        <v>163</v>
      </c>
      <c r="AI9">
        <v>2</v>
      </c>
      <c r="AJ9">
        <v>2</v>
      </c>
      <c r="AK9" t="s">
        <v>165</v>
      </c>
      <c r="AL9" t="s">
        <v>164</v>
      </c>
      <c r="AM9" t="s">
        <v>165</v>
      </c>
      <c r="AN9" t="s">
        <v>165</v>
      </c>
      <c r="AO9" t="s">
        <v>165</v>
      </c>
      <c r="AP9" t="s">
        <v>165</v>
      </c>
      <c r="AQ9" t="s">
        <v>165</v>
      </c>
      <c r="AR9" t="s">
        <v>165</v>
      </c>
      <c r="AS9" t="s">
        <v>165</v>
      </c>
      <c r="AT9" t="s">
        <v>165</v>
      </c>
      <c r="AU9" t="s">
        <v>166</v>
      </c>
      <c r="AV9" t="s">
        <v>167</v>
      </c>
      <c r="AW9" t="s">
        <v>168</v>
      </c>
      <c r="AX9" s="154">
        <v>2</v>
      </c>
      <c r="AY9" t="s">
        <v>169</v>
      </c>
      <c r="AZ9" t="s">
        <v>170</v>
      </c>
      <c r="BA9" t="s">
        <v>171</v>
      </c>
      <c r="BB9" t="s">
        <v>165</v>
      </c>
      <c r="BC9" s="154">
        <v>2</v>
      </c>
      <c r="BD9" s="133" t="s">
        <v>165</v>
      </c>
      <c r="BE9" s="134">
        <v>20.68</v>
      </c>
      <c r="BF9" t="s">
        <v>172</v>
      </c>
      <c r="BG9" s="146">
        <v>0.18</v>
      </c>
      <c r="BH9">
        <v>0.64</v>
      </c>
      <c r="BI9" t="s">
        <v>173</v>
      </c>
      <c r="BJ9">
        <v>3.4000000000000002E-2</v>
      </c>
      <c r="BK9">
        <v>9.1</v>
      </c>
      <c r="BL9" t="s">
        <v>163</v>
      </c>
      <c r="BM9">
        <v>0.56000000000000005</v>
      </c>
      <c r="BN9" t="s">
        <v>174</v>
      </c>
      <c r="BO9" t="s">
        <v>175</v>
      </c>
      <c r="BP9" s="155">
        <f t="shared" si="7"/>
        <v>19.683333333333334</v>
      </c>
      <c r="BQ9" s="133" t="s">
        <v>183</v>
      </c>
      <c r="BR9" s="133" t="s">
        <v>165</v>
      </c>
      <c r="BS9" s="133" t="s">
        <v>165</v>
      </c>
      <c r="BT9" t="s">
        <v>176</v>
      </c>
      <c r="BU9" s="133">
        <v>10</v>
      </c>
      <c r="BV9" s="133" t="s">
        <v>198</v>
      </c>
      <c r="BW9" s="133" t="s">
        <v>165</v>
      </c>
      <c r="BX9" s="145">
        <v>27.5</v>
      </c>
      <c r="BY9" t="s">
        <v>163</v>
      </c>
      <c r="BZ9">
        <v>3</v>
      </c>
      <c r="CA9">
        <v>3</v>
      </c>
      <c r="CB9" t="s">
        <v>165</v>
      </c>
      <c r="CC9" s="146">
        <v>4.2290000000000001</v>
      </c>
      <c r="CD9" t="s">
        <v>180</v>
      </c>
      <c r="CE9" s="146">
        <v>0.16916</v>
      </c>
      <c r="CF9" s="146">
        <v>0.16916</v>
      </c>
      <c r="CG9" s="156" t="s">
        <v>165</v>
      </c>
      <c r="CH9" t="s">
        <v>207</v>
      </c>
      <c r="CI9" t="s">
        <v>165</v>
      </c>
      <c r="CJ9" t="s">
        <v>178</v>
      </c>
      <c r="CK9" t="s">
        <v>181</v>
      </c>
      <c r="CL9" t="s">
        <v>181</v>
      </c>
      <c r="CM9" t="s">
        <v>181</v>
      </c>
      <c r="CN9" t="s">
        <v>165</v>
      </c>
      <c r="CO9" t="s">
        <v>165</v>
      </c>
      <c r="CP9" t="s">
        <v>165</v>
      </c>
      <c r="CQ9" t="s">
        <v>165</v>
      </c>
      <c r="CR9" t="s">
        <v>165</v>
      </c>
      <c r="CS9" t="s">
        <v>165</v>
      </c>
      <c r="CT9" t="s">
        <v>165</v>
      </c>
      <c r="CU9">
        <v>35</v>
      </c>
      <c r="CV9" t="s">
        <v>183</v>
      </c>
      <c r="CW9" s="154">
        <v>3</v>
      </c>
      <c r="CX9" s="133" t="s">
        <v>199</v>
      </c>
      <c r="CY9" s="133" t="s">
        <v>165</v>
      </c>
      <c r="CZ9" s="133" t="s">
        <v>165</v>
      </c>
      <c r="DA9" s="133" t="s">
        <v>165</v>
      </c>
      <c r="DB9" s="133" t="s">
        <v>165</v>
      </c>
      <c r="DC9" s="133" t="s">
        <v>165</v>
      </c>
      <c r="DD9" s="133" t="s">
        <v>165</v>
      </c>
      <c r="DE9" s="133" t="s">
        <v>165</v>
      </c>
      <c r="DF9" s="133" t="s">
        <v>165</v>
      </c>
      <c r="DG9" s="133" t="s">
        <v>165</v>
      </c>
      <c r="DH9" s="133" t="s">
        <v>165</v>
      </c>
      <c r="DI9" s="133" t="s">
        <v>165</v>
      </c>
      <c r="DJ9" s="133" t="s">
        <v>165</v>
      </c>
      <c r="DK9" s="145">
        <v>432.56244218316402</v>
      </c>
      <c r="DL9" t="s">
        <v>204</v>
      </c>
      <c r="DM9">
        <v>37.1</v>
      </c>
      <c r="DN9" t="s">
        <v>205</v>
      </c>
      <c r="DO9">
        <v>39.61</v>
      </c>
      <c r="DP9" t="s">
        <v>183</v>
      </c>
      <c r="DQ9" s="146">
        <f t="shared" si="0"/>
        <v>0.10094900000000001</v>
      </c>
      <c r="DR9" t="s">
        <v>184</v>
      </c>
      <c r="DS9" t="s">
        <v>200</v>
      </c>
      <c r="DT9" t="s">
        <v>201</v>
      </c>
      <c r="DU9">
        <v>1.0271999999999999</v>
      </c>
      <c r="DV9" t="s">
        <v>165</v>
      </c>
      <c r="DW9" t="s">
        <v>165</v>
      </c>
      <c r="DX9" t="s">
        <v>197</v>
      </c>
      <c r="DY9" t="s">
        <v>181</v>
      </c>
      <c r="DZ9" t="s">
        <v>181</v>
      </c>
      <c r="EA9" t="s">
        <v>202</v>
      </c>
      <c r="EB9" t="s">
        <v>203</v>
      </c>
      <c r="EC9" s="147" t="s">
        <v>206</v>
      </c>
      <c r="ED9" s="147" t="s">
        <v>206</v>
      </c>
      <c r="EE9" s="133" t="s">
        <v>165</v>
      </c>
      <c r="EF9" s="133" t="s">
        <v>165</v>
      </c>
      <c r="EG9" s="133" t="s">
        <v>165</v>
      </c>
      <c r="EH9" t="s">
        <v>185</v>
      </c>
      <c r="EI9" t="s">
        <v>179</v>
      </c>
      <c r="EJ9" t="s">
        <v>165</v>
      </c>
      <c r="EK9">
        <v>2335</v>
      </c>
      <c r="EL9" s="147" t="s">
        <v>211</v>
      </c>
      <c r="EM9" s="147">
        <v>175</v>
      </c>
      <c r="EN9">
        <v>175</v>
      </c>
      <c r="EO9" t="s">
        <v>165</v>
      </c>
      <c r="EP9" t="s">
        <v>165</v>
      </c>
      <c r="EQ9" t="s">
        <v>165</v>
      </c>
      <c r="ER9" t="s">
        <v>165</v>
      </c>
      <c r="ES9" s="148">
        <v>8.1516318413450506</v>
      </c>
      <c r="ET9" t="s">
        <v>187</v>
      </c>
      <c r="EU9" s="133" t="s">
        <v>165</v>
      </c>
      <c r="EV9" s="133" t="s">
        <v>165</v>
      </c>
      <c r="EW9" s="149">
        <v>288.94412740060301</v>
      </c>
      <c r="EX9">
        <v>21</v>
      </c>
      <c r="EY9" t="s">
        <v>186</v>
      </c>
      <c r="EZ9" s="149">
        <v>267.94412740060301</v>
      </c>
      <c r="FA9" s="149">
        <v>46.002275590934971</v>
      </c>
      <c r="FB9" s="149">
        <v>41.056319917010001</v>
      </c>
      <c r="FC9" t="s">
        <v>176</v>
      </c>
      <c r="FD9" t="s">
        <v>188</v>
      </c>
      <c r="FE9" t="s">
        <v>165</v>
      </c>
      <c r="FF9" t="s">
        <v>165</v>
      </c>
      <c r="FG9" t="s">
        <v>165</v>
      </c>
      <c r="FH9" t="s">
        <v>165</v>
      </c>
      <c r="FI9" t="s">
        <v>165</v>
      </c>
      <c r="FJ9" t="s">
        <v>165</v>
      </c>
      <c r="FK9" t="s">
        <v>165</v>
      </c>
      <c r="FL9" t="s">
        <v>165</v>
      </c>
      <c r="FM9" t="s">
        <v>165</v>
      </c>
      <c r="FN9" t="s">
        <v>165</v>
      </c>
      <c r="FO9" t="s">
        <v>165</v>
      </c>
      <c r="FP9" t="s">
        <v>165</v>
      </c>
    </row>
    <row r="10" spans="1:191">
      <c r="A10" s="131" t="s">
        <v>154</v>
      </c>
      <c r="B10" t="s">
        <v>155</v>
      </c>
      <c r="C10">
        <v>2017</v>
      </c>
      <c r="D10" s="132" t="s">
        <v>156</v>
      </c>
      <c r="E10" s="145">
        <f t="shared" si="1"/>
        <v>10.32</v>
      </c>
      <c r="F10">
        <f t="shared" si="2"/>
        <v>2</v>
      </c>
      <c r="G10">
        <f t="shared" si="3"/>
        <v>2</v>
      </c>
      <c r="H10" s="149">
        <f t="shared" si="4"/>
        <v>240.025390319282</v>
      </c>
      <c r="I10" s="149">
        <f t="shared" si="5"/>
        <v>47.982483779893016</v>
      </c>
      <c r="J10" s="149">
        <f t="shared" si="6"/>
        <v>42.093956596685985</v>
      </c>
      <c r="K10" t="s">
        <v>209</v>
      </c>
      <c r="L10" s="132" t="s">
        <v>210</v>
      </c>
      <c r="M10" s="1" t="s">
        <v>157</v>
      </c>
      <c r="N10" s="132" t="s">
        <v>156</v>
      </c>
      <c r="O10" t="s">
        <v>158</v>
      </c>
      <c r="P10" t="s">
        <v>159</v>
      </c>
      <c r="Q10" s="133">
        <v>1</v>
      </c>
      <c r="R10" s="133">
        <v>1</v>
      </c>
      <c r="S10" s="133">
        <v>43</v>
      </c>
      <c r="T10" s="133">
        <v>45</v>
      </c>
      <c r="U10" s="134">
        <v>0.43</v>
      </c>
      <c r="V10" s="134">
        <v>0.43</v>
      </c>
      <c r="W10" t="s">
        <v>165</v>
      </c>
      <c r="X10" t="s">
        <v>160</v>
      </c>
      <c r="Y10" s="135">
        <v>12.74</v>
      </c>
      <c r="Z10" s="135">
        <v>-78.739999999999995</v>
      </c>
      <c r="AA10" t="s">
        <v>165</v>
      </c>
      <c r="AB10" t="s">
        <v>165</v>
      </c>
      <c r="AC10">
        <v>-2839</v>
      </c>
      <c r="AD10" t="s">
        <v>165</v>
      </c>
      <c r="AE10" t="s">
        <v>165</v>
      </c>
      <c r="AF10" t="s">
        <v>165</v>
      </c>
      <c r="AG10" s="145">
        <v>10.32</v>
      </c>
      <c r="AH10" t="s">
        <v>163</v>
      </c>
      <c r="AI10">
        <v>2</v>
      </c>
      <c r="AJ10">
        <v>2</v>
      </c>
      <c r="AK10" t="s">
        <v>165</v>
      </c>
      <c r="AL10" t="s">
        <v>164</v>
      </c>
      <c r="AM10" t="s">
        <v>165</v>
      </c>
      <c r="AN10" t="s">
        <v>165</v>
      </c>
      <c r="AO10" t="s">
        <v>165</v>
      </c>
      <c r="AP10" t="s">
        <v>165</v>
      </c>
      <c r="AQ10" t="s">
        <v>165</v>
      </c>
      <c r="AR10" t="s">
        <v>165</v>
      </c>
      <c r="AS10" t="s">
        <v>165</v>
      </c>
      <c r="AT10" t="s">
        <v>165</v>
      </c>
      <c r="AU10" t="s">
        <v>166</v>
      </c>
      <c r="AV10" t="s">
        <v>167</v>
      </c>
      <c r="AW10" t="s">
        <v>168</v>
      </c>
      <c r="AX10" s="154">
        <v>2</v>
      </c>
      <c r="AY10" t="s">
        <v>169</v>
      </c>
      <c r="AZ10" t="s">
        <v>170</v>
      </c>
      <c r="BA10" t="s">
        <v>171</v>
      </c>
      <c r="BB10" t="s">
        <v>165</v>
      </c>
      <c r="BC10" s="154">
        <v>2</v>
      </c>
      <c r="BD10" s="133" t="s">
        <v>165</v>
      </c>
      <c r="BE10" s="134">
        <v>20.93</v>
      </c>
      <c r="BF10" t="s">
        <v>172</v>
      </c>
      <c r="BG10" s="146">
        <v>0.24</v>
      </c>
      <c r="BH10">
        <v>0.64</v>
      </c>
      <c r="BI10" t="s">
        <v>173</v>
      </c>
      <c r="BJ10">
        <v>3.4000000000000002E-2</v>
      </c>
      <c r="BK10">
        <v>9.1</v>
      </c>
      <c r="BL10" t="s">
        <v>163</v>
      </c>
      <c r="BM10">
        <v>0.56000000000000005</v>
      </c>
      <c r="BN10" t="s">
        <v>174</v>
      </c>
      <c r="BO10" t="s">
        <v>175</v>
      </c>
      <c r="BP10" s="155">
        <f t="shared" si="7"/>
        <v>20.100000000000001</v>
      </c>
      <c r="BQ10" s="133" t="s">
        <v>183</v>
      </c>
      <c r="BR10" s="133" t="s">
        <v>165</v>
      </c>
      <c r="BS10" s="133" t="s">
        <v>165</v>
      </c>
      <c r="BT10" t="s">
        <v>176</v>
      </c>
      <c r="BU10" s="133">
        <v>10</v>
      </c>
      <c r="BV10" s="133" t="s">
        <v>198</v>
      </c>
      <c r="BW10" s="133" t="s">
        <v>165</v>
      </c>
      <c r="BX10" s="145">
        <v>27.45</v>
      </c>
      <c r="BY10" t="s">
        <v>163</v>
      </c>
      <c r="BZ10">
        <v>3</v>
      </c>
      <c r="CA10">
        <v>3</v>
      </c>
      <c r="CB10" t="s">
        <v>165</v>
      </c>
      <c r="CC10" s="146">
        <v>3.9670000000000001</v>
      </c>
      <c r="CD10" t="s">
        <v>180</v>
      </c>
      <c r="CE10" s="146">
        <v>0.15868000000000002</v>
      </c>
      <c r="CF10" s="146">
        <v>0.15868000000000002</v>
      </c>
      <c r="CG10" s="156" t="s">
        <v>165</v>
      </c>
      <c r="CH10" t="s">
        <v>207</v>
      </c>
      <c r="CI10" t="s">
        <v>165</v>
      </c>
      <c r="CJ10" t="s">
        <v>178</v>
      </c>
      <c r="CK10" t="s">
        <v>181</v>
      </c>
      <c r="CL10" t="s">
        <v>181</v>
      </c>
      <c r="CM10" t="s">
        <v>181</v>
      </c>
      <c r="CN10" t="s">
        <v>165</v>
      </c>
      <c r="CO10" t="s">
        <v>165</v>
      </c>
      <c r="CP10" t="s">
        <v>165</v>
      </c>
      <c r="CQ10" t="s">
        <v>165</v>
      </c>
      <c r="CR10" t="s">
        <v>165</v>
      </c>
      <c r="CS10" t="s">
        <v>165</v>
      </c>
      <c r="CT10" t="s">
        <v>165</v>
      </c>
      <c r="CU10">
        <v>35</v>
      </c>
      <c r="CV10" t="s">
        <v>183</v>
      </c>
      <c r="CW10" s="154">
        <v>3</v>
      </c>
      <c r="CX10" s="133" t="s">
        <v>199</v>
      </c>
      <c r="CY10" s="133" t="s">
        <v>165</v>
      </c>
      <c r="CZ10" s="133" t="s">
        <v>165</v>
      </c>
      <c r="DA10" s="133" t="s">
        <v>165</v>
      </c>
      <c r="DB10" s="133" t="s">
        <v>165</v>
      </c>
      <c r="DC10" s="133" t="s">
        <v>165</v>
      </c>
      <c r="DD10" s="133" t="s">
        <v>165</v>
      </c>
      <c r="DE10" s="133" t="s">
        <v>165</v>
      </c>
      <c r="DF10" s="133" t="s">
        <v>165</v>
      </c>
      <c r="DG10" s="133" t="s">
        <v>165</v>
      </c>
      <c r="DH10" s="133" t="s">
        <v>165</v>
      </c>
      <c r="DI10" s="133" t="s">
        <v>165</v>
      </c>
      <c r="DJ10" s="133" t="s">
        <v>165</v>
      </c>
      <c r="DK10" s="145">
        <v>432.56244218316402</v>
      </c>
      <c r="DL10" t="s">
        <v>204</v>
      </c>
      <c r="DM10">
        <v>37.1</v>
      </c>
      <c r="DN10" t="s">
        <v>205</v>
      </c>
      <c r="DO10">
        <v>39.61</v>
      </c>
      <c r="DP10" t="s">
        <v>183</v>
      </c>
      <c r="DQ10" s="146">
        <f t="shared" si="0"/>
        <v>0.10103200000000001</v>
      </c>
      <c r="DR10" t="s">
        <v>184</v>
      </c>
      <c r="DS10" t="s">
        <v>200</v>
      </c>
      <c r="DT10" t="s">
        <v>201</v>
      </c>
      <c r="DU10">
        <v>1.0271999999999999</v>
      </c>
      <c r="DV10" t="s">
        <v>165</v>
      </c>
      <c r="DW10" t="s">
        <v>165</v>
      </c>
      <c r="DX10" t="s">
        <v>197</v>
      </c>
      <c r="DY10" t="s">
        <v>181</v>
      </c>
      <c r="DZ10" t="s">
        <v>181</v>
      </c>
      <c r="EA10" t="s">
        <v>202</v>
      </c>
      <c r="EB10" t="s">
        <v>203</v>
      </c>
      <c r="EC10" s="147" t="s">
        <v>206</v>
      </c>
      <c r="ED10" s="147" t="s">
        <v>206</v>
      </c>
      <c r="EE10" s="133" t="s">
        <v>165</v>
      </c>
      <c r="EF10" s="133" t="s">
        <v>165</v>
      </c>
      <c r="EG10" s="133" t="s">
        <v>165</v>
      </c>
      <c r="EH10" t="s">
        <v>185</v>
      </c>
      <c r="EI10" t="s">
        <v>179</v>
      </c>
      <c r="EJ10" t="s">
        <v>165</v>
      </c>
      <c r="EK10">
        <v>2336</v>
      </c>
      <c r="EL10" s="147" t="s">
        <v>211</v>
      </c>
      <c r="EM10" s="147">
        <v>175</v>
      </c>
      <c r="EN10">
        <v>175</v>
      </c>
      <c r="EO10" t="s">
        <v>165</v>
      </c>
      <c r="EP10" t="s">
        <v>165</v>
      </c>
      <c r="EQ10" t="s">
        <v>165</v>
      </c>
      <c r="ER10" t="s">
        <v>165</v>
      </c>
      <c r="ES10" s="148">
        <v>8.1850872184094996</v>
      </c>
      <c r="ET10" t="s">
        <v>187</v>
      </c>
      <c r="EU10" s="133" t="s">
        <v>165</v>
      </c>
      <c r="EV10" s="133" t="s">
        <v>165</v>
      </c>
      <c r="EW10" s="149">
        <v>261.025390319282</v>
      </c>
      <c r="EX10">
        <v>21</v>
      </c>
      <c r="EY10" t="s">
        <v>186</v>
      </c>
      <c r="EZ10" s="149">
        <v>240.025390319282</v>
      </c>
      <c r="FA10" s="149">
        <v>47.982483779893016</v>
      </c>
      <c r="FB10" s="149">
        <v>42.093956596685985</v>
      </c>
      <c r="FC10" t="s">
        <v>176</v>
      </c>
      <c r="FD10" t="s">
        <v>188</v>
      </c>
      <c r="FE10" t="s">
        <v>165</v>
      </c>
      <c r="FF10" t="s">
        <v>165</v>
      </c>
      <c r="FG10" t="s">
        <v>165</v>
      </c>
      <c r="FH10" t="s">
        <v>165</v>
      </c>
      <c r="FI10" t="s">
        <v>165</v>
      </c>
      <c r="FJ10" t="s">
        <v>165</v>
      </c>
      <c r="FK10" t="s">
        <v>165</v>
      </c>
      <c r="FL10" t="s">
        <v>165</v>
      </c>
      <c r="FM10" t="s">
        <v>165</v>
      </c>
      <c r="FN10" t="s">
        <v>165</v>
      </c>
      <c r="FO10" t="s">
        <v>165</v>
      </c>
      <c r="FP10" t="s">
        <v>165</v>
      </c>
    </row>
    <row r="11" spans="1:191">
      <c r="A11" s="131" t="s">
        <v>154</v>
      </c>
      <c r="B11" t="s">
        <v>155</v>
      </c>
      <c r="C11">
        <v>2017</v>
      </c>
      <c r="D11" s="132" t="s">
        <v>156</v>
      </c>
      <c r="E11" s="145">
        <f t="shared" si="1"/>
        <v>11.65</v>
      </c>
      <c r="F11">
        <f t="shared" si="2"/>
        <v>2</v>
      </c>
      <c r="G11">
        <f t="shared" si="3"/>
        <v>2</v>
      </c>
      <c r="H11" s="149">
        <f t="shared" si="4"/>
        <v>258.41736660734603</v>
      </c>
      <c r="I11" s="149">
        <f t="shared" si="5"/>
        <v>46.628151380719999</v>
      </c>
      <c r="J11" s="149">
        <f t="shared" si="6"/>
        <v>41.234099034193036</v>
      </c>
      <c r="K11" t="s">
        <v>209</v>
      </c>
      <c r="L11" s="132" t="s">
        <v>210</v>
      </c>
      <c r="M11" s="1" t="s">
        <v>157</v>
      </c>
      <c r="N11" s="132" t="s">
        <v>156</v>
      </c>
      <c r="O11" t="s">
        <v>158</v>
      </c>
      <c r="P11" t="s">
        <v>159</v>
      </c>
      <c r="Q11" s="133">
        <v>1</v>
      </c>
      <c r="R11" s="133">
        <v>1</v>
      </c>
      <c r="S11" s="133">
        <v>48</v>
      </c>
      <c r="T11" s="133">
        <v>50</v>
      </c>
      <c r="U11" s="134">
        <v>0.48</v>
      </c>
      <c r="V11" s="134">
        <v>0.48</v>
      </c>
      <c r="W11" t="s">
        <v>165</v>
      </c>
      <c r="X11" t="s">
        <v>160</v>
      </c>
      <c r="Y11" s="135">
        <v>12.74</v>
      </c>
      <c r="Z11" s="135">
        <v>-78.739999999999995</v>
      </c>
      <c r="AA11" t="s">
        <v>165</v>
      </c>
      <c r="AB11" t="s">
        <v>165</v>
      </c>
      <c r="AC11">
        <v>-2839</v>
      </c>
      <c r="AD11" t="s">
        <v>165</v>
      </c>
      <c r="AE11" t="s">
        <v>165</v>
      </c>
      <c r="AF11" t="s">
        <v>165</v>
      </c>
      <c r="AG11" s="145">
        <v>11.65</v>
      </c>
      <c r="AH11" t="s">
        <v>163</v>
      </c>
      <c r="AI11">
        <v>2</v>
      </c>
      <c r="AJ11">
        <v>2</v>
      </c>
      <c r="AK11" t="s">
        <v>165</v>
      </c>
      <c r="AL11" t="s">
        <v>164</v>
      </c>
      <c r="AM11" t="s">
        <v>165</v>
      </c>
      <c r="AN11" t="s">
        <v>165</v>
      </c>
      <c r="AO11" t="s">
        <v>165</v>
      </c>
      <c r="AP11" t="s">
        <v>165</v>
      </c>
      <c r="AQ11" t="s">
        <v>165</v>
      </c>
      <c r="AR11" t="s">
        <v>165</v>
      </c>
      <c r="AS11" t="s">
        <v>165</v>
      </c>
      <c r="AT11" t="s">
        <v>165</v>
      </c>
      <c r="AU11" t="s">
        <v>166</v>
      </c>
      <c r="AV11" t="s">
        <v>167</v>
      </c>
      <c r="AW11" t="s">
        <v>168</v>
      </c>
      <c r="AX11" s="154">
        <v>2</v>
      </c>
      <c r="AY11" t="s">
        <v>169</v>
      </c>
      <c r="AZ11" t="s">
        <v>170</v>
      </c>
      <c r="BA11" t="s">
        <v>171</v>
      </c>
      <c r="BB11" t="s">
        <v>165</v>
      </c>
      <c r="BC11" s="154">
        <v>2</v>
      </c>
      <c r="BD11" s="133" t="s">
        <v>165</v>
      </c>
      <c r="BE11" s="134">
        <v>20.72</v>
      </c>
      <c r="BF11" t="s">
        <v>172</v>
      </c>
      <c r="BG11" s="146">
        <v>0.2</v>
      </c>
      <c r="BH11">
        <v>0.64</v>
      </c>
      <c r="BI11" t="s">
        <v>173</v>
      </c>
      <c r="BJ11">
        <v>3.4000000000000002E-2</v>
      </c>
      <c r="BK11">
        <v>9.1</v>
      </c>
      <c r="BL11" t="s">
        <v>163</v>
      </c>
      <c r="BM11">
        <v>0.56000000000000005</v>
      </c>
      <c r="BN11" t="s">
        <v>174</v>
      </c>
      <c r="BO11" t="s">
        <v>175</v>
      </c>
      <c r="BP11" s="155">
        <f t="shared" si="7"/>
        <v>19.75</v>
      </c>
      <c r="BQ11" s="133" t="s">
        <v>183</v>
      </c>
      <c r="BR11" s="133" t="s">
        <v>165</v>
      </c>
      <c r="BS11" s="133" t="s">
        <v>165</v>
      </c>
      <c r="BT11" t="s">
        <v>176</v>
      </c>
      <c r="BU11" s="133">
        <v>10</v>
      </c>
      <c r="BV11" s="133" t="s">
        <v>198</v>
      </c>
      <c r="BW11" s="133" t="s">
        <v>165</v>
      </c>
      <c r="BX11" s="145">
        <v>26.91</v>
      </c>
      <c r="BY11" t="s">
        <v>163</v>
      </c>
      <c r="BZ11">
        <v>3</v>
      </c>
      <c r="CA11">
        <v>3</v>
      </c>
      <c r="CB11" t="s">
        <v>165</v>
      </c>
      <c r="CC11" s="146">
        <v>4.1470000000000002</v>
      </c>
      <c r="CD11" t="s">
        <v>180</v>
      </c>
      <c r="CE11" s="146">
        <v>0.16588</v>
      </c>
      <c r="CF11" s="146">
        <v>0.16588</v>
      </c>
      <c r="CG11" s="156" t="s">
        <v>165</v>
      </c>
      <c r="CH11" t="s">
        <v>207</v>
      </c>
      <c r="CI11" t="s">
        <v>165</v>
      </c>
      <c r="CJ11" t="s">
        <v>178</v>
      </c>
      <c r="CK11" t="s">
        <v>181</v>
      </c>
      <c r="CL11" t="s">
        <v>181</v>
      </c>
      <c r="CM11" t="s">
        <v>181</v>
      </c>
      <c r="CN11" t="s">
        <v>165</v>
      </c>
      <c r="CO11" t="s">
        <v>165</v>
      </c>
      <c r="CP11" t="s">
        <v>165</v>
      </c>
      <c r="CQ11" t="s">
        <v>165</v>
      </c>
      <c r="CR11" t="s">
        <v>165</v>
      </c>
      <c r="CS11" t="s">
        <v>165</v>
      </c>
      <c r="CT11" t="s">
        <v>165</v>
      </c>
      <c r="CU11">
        <v>35</v>
      </c>
      <c r="CV11" t="s">
        <v>183</v>
      </c>
      <c r="CW11" s="154">
        <v>3</v>
      </c>
      <c r="CX11" s="133" t="s">
        <v>199</v>
      </c>
      <c r="CY11" s="133" t="s">
        <v>165</v>
      </c>
      <c r="CZ11" s="133" t="s">
        <v>165</v>
      </c>
      <c r="DA11" s="133" t="s">
        <v>165</v>
      </c>
      <c r="DB11" s="133" t="s">
        <v>165</v>
      </c>
      <c r="DC11" s="133" t="s">
        <v>165</v>
      </c>
      <c r="DD11" s="133" t="s">
        <v>165</v>
      </c>
      <c r="DE11" s="133" t="s">
        <v>165</v>
      </c>
      <c r="DF11" s="133" t="s">
        <v>165</v>
      </c>
      <c r="DG11" s="133" t="s">
        <v>165</v>
      </c>
      <c r="DH11" s="133" t="s">
        <v>165</v>
      </c>
      <c r="DI11" s="133" t="s">
        <v>165</v>
      </c>
      <c r="DJ11" s="133" t="s">
        <v>165</v>
      </c>
      <c r="DK11" s="145">
        <v>432.56244218316402</v>
      </c>
      <c r="DL11" t="s">
        <v>204</v>
      </c>
      <c r="DM11">
        <v>37.1</v>
      </c>
      <c r="DN11" t="s">
        <v>205</v>
      </c>
      <c r="DO11">
        <v>39.61</v>
      </c>
      <c r="DP11" t="s">
        <v>183</v>
      </c>
      <c r="DQ11" s="146">
        <f t="shared" si="0"/>
        <v>0.101165</v>
      </c>
      <c r="DR11" t="s">
        <v>184</v>
      </c>
      <c r="DS11" t="s">
        <v>200</v>
      </c>
      <c r="DT11" t="s">
        <v>201</v>
      </c>
      <c r="DU11">
        <v>1.0271999999999999</v>
      </c>
      <c r="DV11" t="s">
        <v>165</v>
      </c>
      <c r="DW11" t="s">
        <v>165</v>
      </c>
      <c r="DX11" t="s">
        <v>197</v>
      </c>
      <c r="DY11" t="s">
        <v>181</v>
      </c>
      <c r="DZ11" t="s">
        <v>181</v>
      </c>
      <c r="EA11" t="s">
        <v>202</v>
      </c>
      <c r="EB11" t="s">
        <v>203</v>
      </c>
      <c r="EC11" s="147" t="s">
        <v>206</v>
      </c>
      <c r="ED11" s="147" t="s">
        <v>206</v>
      </c>
      <c r="EE11" s="133" t="s">
        <v>165</v>
      </c>
      <c r="EF11" s="133" t="s">
        <v>165</v>
      </c>
      <c r="EG11" s="133" t="s">
        <v>165</v>
      </c>
      <c r="EH11" t="s">
        <v>185</v>
      </c>
      <c r="EI11" t="s">
        <v>179</v>
      </c>
      <c r="EJ11" t="s">
        <v>165</v>
      </c>
      <c r="EK11">
        <v>2337</v>
      </c>
      <c r="EL11" s="147" t="s">
        <v>211</v>
      </c>
      <c r="EM11" s="147">
        <v>175</v>
      </c>
      <c r="EN11">
        <v>175</v>
      </c>
      <c r="EO11" t="s">
        <v>165</v>
      </c>
      <c r="EP11" t="s">
        <v>165</v>
      </c>
      <c r="EQ11" t="s">
        <v>165</v>
      </c>
      <c r="ER11" t="s">
        <v>165</v>
      </c>
      <c r="ES11" s="148">
        <v>8.1635943944188192</v>
      </c>
      <c r="ET11" t="s">
        <v>187</v>
      </c>
      <c r="EU11" s="133" t="s">
        <v>165</v>
      </c>
      <c r="EV11" s="133" t="s">
        <v>165</v>
      </c>
      <c r="EW11" s="149">
        <v>279.41736660734603</v>
      </c>
      <c r="EX11">
        <v>21</v>
      </c>
      <c r="EY11" t="s">
        <v>186</v>
      </c>
      <c r="EZ11" s="149">
        <v>258.41736660734603</v>
      </c>
      <c r="FA11" s="149">
        <v>46.628151380719999</v>
      </c>
      <c r="FB11" s="149">
        <v>41.234099034193036</v>
      </c>
      <c r="FC11" t="s">
        <v>176</v>
      </c>
      <c r="FD11" t="s">
        <v>188</v>
      </c>
      <c r="FE11" t="s">
        <v>165</v>
      </c>
      <c r="FF11" t="s">
        <v>165</v>
      </c>
      <c r="FG11" t="s">
        <v>165</v>
      </c>
      <c r="FH11" t="s">
        <v>165</v>
      </c>
      <c r="FI11" t="s">
        <v>165</v>
      </c>
      <c r="FJ11" t="s">
        <v>165</v>
      </c>
      <c r="FK11" t="s">
        <v>165</v>
      </c>
      <c r="FL11" t="s">
        <v>165</v>
      </c>
      <c r="FM11" t="s">
        <v>165</v>
      </c>
      <c r="FN11" t="s">
        <v>165</v>
      </c>
      <c r="FO11" t="s">
        <v>165</v>
      </c>
      <c r="FP11" t="s">
        <v>165</v>
      </c>
    </row>
    <row r="12" spans="1:191">
      <c r="A12" s="131" t="s">
        <v>154</v>
      </c>
      <c r="B12" t="s">
        <v>155</v>
      </c>
      <c r="C12">
        <v>2017</v>
      </c>
      <c r="D12" s="132" t="s">
        <v>156</v>
      </c>
      <c r="E12" s="145">
        <f t="shared" si="1"/>
        <v>14.01</v>
      </c>
      <c r="F12">
        <f t="shared" si="2"/>
        <v>2</v>
      </c>
      <c r="G12">
        <f t="shared" si="3"/>
        <v>2</v>
      </c>
      <c r="H12" s="149">
        <f t="shared" si="4"/>
        <v>233.98939885620399</v>
      </c>
      <c r="I12" s="149">
        <f t="shared" si="5"/>
        <v>42.307596886395004</v>
      </c>
      <c r="J12" s="149">
        <f t="shared" si="6"/>
        <v>37.246060191017989</v>
      </c>
      <c r="K12" t="s">
        <v>209</v>
      </c>
      <c r="L12" s="132" t="s">
        <v>210</v>
      </c>
      <c r="M12" s="1" t="s">
        <v>157</v>
      </c>
      <c r="N12" s="132" t="s">
        <v>156</v>
      </c>
      <c r="O12" t="s">
        <v>158</v>
      </c>
      <c r="P12" t="s">
        <v>159</v>
      </c>
      <c r="Q12" s="133">
        <v>1</v>
      </c>
      <c r="R12" s="133">
        <v>1</v>
      </c>
      <c r="S12" s="133">
        <v>57</v>
      </c>
      <c r="T12" s="133">
        <v>59</v>
      </c>
      <c r="U12" s="134">
        <v>0.56999999999999995</v>
      </c>
      <c r="V12" s="134">
        <v>0.56999999999999995</v>
      </c>
      <c r="W12" t="s">
        <v>165</v>
      </c>
      <c r="X12" t="s">
        <v>160</v>
      </c>
      <c r="Y12" s="135">
        <v>12.74</v>
      </c>
      <c r="Z12" s="135">
        <v>-78.739999999999995</v>
      </c>
      <c r="AA12" t="s">
        <v>165</v>
      </c>
      <c r="AB12" t="s">
        <v>165</v>
      </c>
      <c r="AC12">
        <v>-2839</v>
      </c>
      <c r="AD12" t="s">
        <v>165</v>
      </c>
      <c r="AE12" t="s">
        <v>165</v>
      </c>
      <c r="AF12" t="s">
        <v>165</v>
      </c>
      <c r="AG12" s="145">
        <v>14.01</v>
      </c>
      <c r="AH12" t="s">
        <v>163</v>
      </c>
      <c r="AI12">
        <v>2</v>
      </c>
      <c r="AJ12">
        <v>2</v>
      </c>
      <c r="AK12" t="s">
        <v>165</v>
      </c>
      <c r="AL12" t="s">
        <v>164</v>
      </c>
      <c r="AM12" t="s">
        <v>165</v>
      </c>
      <c r="AN12" t="s">
        <v>165</v>
      </c>
      <c r="AO12" t="s">
        <v>165</v>
      </c>
      <c r="AP12" t="s">
        <v>165</v>
      </c>
      <c r="AQ12" t="s">
        <v>165</v>
      </c>
      <c r="AR12" t="s">
        <v>165</v>
      </c>
      <c r="AS12" t="s">
        <v>165</v>
      </c>
      <c r="AT12" t="s">
        <v>165</v>
      </c>
      <c r="AU12" t="s">
        <v>166</v>
      </c>
      <c r="AV12" t="s">
        <v>167</v>
      </c>
      <c r="AW12" t="s">
        <v>168</v>
      </c>
      <c r="AX12" s="154">
        <v>2</v>
      </c>
      <c r="AY12" t="s">
        <v>169</v>
      </c>
      <c r="AZ12" t="s">
        <v>170</v>
      </c>
      <c r="BA12" t="s">
        <v>171</v>
      </c>
      <c r="BB12" t="s">
        <v>165</v>
      </c>
      <c r="BC12" s="154">
        <v>2</v>
      </c>
      <c r="BD12" s="133" t="s">
        <v>165</v>
      </c>
      <c r="BE12" s="134">
        <v>20.98</v>
      </c>
      <c r="BF12" t="s">
        <v>172</v>
      </c>
      <c r="BG12" s="146">
        <v>0.18</v>
      </c>
      <c r="BH12">
        <v>0.64</v>
      </c>
      <c r="BI12" t="s">
        <v>173</v>
      </c>
      <c r="BJ12">
        <v>3.4000000000000002E-2</v>
      </c>
      <c r="BK12">
        <v>9.1</v>
      </c>
      <c r="BL12" t="s">
        <v>163</v>
      </c>
      <c r="BM12">
        <v>0.56000000000000005</v>
      </c>
      <c r="BN12" t="s">
        <v>174</v>
      </c>
      <c r="BO12" t="s">
        <v>175</v>
      </c>
      <c r="BP12" s="155">
        <f t="shared" si="7"/>
        <v>20.183333333333337</v>
      </c>
      <c r="BQ12" s="133" t="s">
        <v>183</v>
      </c>
      <c r="BR12" s="133" t="s">
        <v>165</v>
      </c>
      <c r="BS12" s="133" t="s">
        <v>165</v>
      </c>
      <c r="BT12" t="s">
        <v>176</v>
      </c>
      <c r="BU12" s="133">
        <v>10</v>
      </c>
      <c r="BV12" s="133" t="s">
        <v>198</v>
      </c>
      <c r="BW12" s="133" t="s">
        <v>165</v>
      </c>
      <c r="BX12" s="145">
        <v>27.33</v>
      </c>
      <c r="BY12" t="s">
        <v>163</v>
      </c>
      <c r="BZ12">
        <v>3</v>
      </c>
      <c r="CA12">
        <v>3</v>
      </c>
      <c r="CB12" t="s">
        <v>165</v>
      </c>
      <c r="CC12" s="146">
        <v>4.1550000000000002</v>
      </c>
      <c r="CD12" t="s">
        <v>180</v>
      </c>
      <c r="CE12" s="146">
        <v>0.16620000000000001</v>
      </c>
      <c r="CF12" s="146">
        <v>0.16620000000000001</v>
      </c>
      <c r="CG12" s="156" t="s">
        <v>165</v>
      </c>
      <c r="CH12" t="s">
        <v>207</v>
      </c>
      <c r="CI12" t="s">
        <v>165</v>
      </c>
      <c r="CJ12" t="s">
        <v>178</v>
      </c>
      <c r="CK12" t="s">
        <v>181</v>
      </c>
      <c r="CL12" t="s">
        <v>181</v>
      </c>
      <c r="CM12" t="s">
        <v>181</v>
      </c>
      <c r="CN12" t="s">
        <v>165</v>
      </c>
      <c r="CO12" t="s">
        <v>165</v>
      </c>
      <c r="CP12" t="s">
        <v>165</v>
      </c>
      <c r="CQ12" t="s">
        <v>165</v>
      </c>
      <c r="CR12" t="s">
        <v>165</v>
      </c>
      <c r="CS12" t="s">
        <v>165</v>
      </c>
      <c r="CT12" t="s">
        <v>165</v>
      </c>
      <c r="CU12">
        <v>35</v>
      </c>
      <c r="CV12" t="s">
        <v>183</v>
      </c>
      <c r="CW12" s="154">
        <v>3</v>
      </c>
      <c r="CX12" s="133" t="s">
        <v>199</v>
      </c>
      <c r="CY12" s="133" t="s">
        <v>165</v>
      </c>
      <c r="CZ12" s="133" t="s">
        <v>165</v>
      </c>
      <c r="DA12" s="133" t="s">
        <v>165</v>
      </c>
      <c r="DB12" s="133" t="s">
        <v>165</v>
      </c>
      <c r="DC12" s="133" t="s">
        <v>165</v>
      </c>
      <c r="DD12" s="133" t="s">
        <v>165</v>
      </c>
      <c r="DE12" s="133" t="s">
        <v>165</v>
      </c>
      <c r="DF12" s="133" t="s">
        <v>165</v>
      </c>
      <c r="DG12" s="133" t="s">
        <v>165</v>
      </c>
      <c r="DH12" s="133" t="s">
        <v>165</v>
      </c>
      <c r="DI12" s="133" t="s">
        <v>165</v>
      </c>
      <c r="DJ12" s="133" t="s">
        <v>165</v>
      </c>
      <c r="DK12" s="145">
        <v>432.56244218316402</v>
      </c>
      <c r="DL12" t="s">
        <v>204</v>
      </c>
      <c r="DM12">
        <v>37.1</v>
      </c>
      <c r="DN12" t="s">
        <v>205</v>
      </c>
      <c r="DO12">
        <v>39.61</v>
      </c>
      <c r="DP12" t="s">
        <v>183</v>
      </c>
      <c r="DQ12" s="146">
        <f t="shared" si="0"/>
        <v>0.10140100000000001</v>
      </c>
      <c r="DR12" t="s">
        <v>184</v>
      </c>
      <c r="DS12" t="s">
        <v>200</v>
      </c>
      <c r="DT12" t="s">
        <v>201</v>
      </c>
      <c r="DU12">
        <v>1.0271999999999999</v>
      </c>
      <c r="DV12" t="s">
        <v>165</v>
      </c>
      <c r="DW12" t="s">
        <v>165</v>
      </c>
      <c r="DX12" t="s">
        <v>197</v>
      </c>
      <c r="DY12" t="s">
        <v>181</v>
      </c>
      <c r="DZ12" t="s">
        <v>181</v>
      </c>
      <c r="EA12" t="s">
        <v>202</v>
      </c>
      <c r="EB12" t="s">
        <v>203</v>
      </c>
      <c r="EC12" s="147" t="s">
        <v>206</v>
      </c>
      <c r="ED12" s="147" t="s">
        <v>206</v>
      </c>
      <c r="EE12" s="133" t="s">
        <v>165</v>
      </c>
      <c r="EF12" s="133" t="s">
        <v>165</v>
      </c>
      <c r="EG12" s="133" t="s">
        <v>165</v>
      </c>
      <c r="EH12" t="s">
        <v>185</v>
      </c>
      <c r="EI12" t="s">
        <v>179</v>
      </c>
      <c r="EJ12" t="s">
        <v>165</v>
      </c>
      <c r="EK12">
        <v>2338</v>
      </c>
      <c r="EL12" s="147" t="s">
        <v>211</v>
      </c>
      <c r="EM12" s="147">
        <v>175</v>
      </c>
      <c r="EN12">
        <v>175</v>
      </c>
      <c r="EO12" t="s">
        <v>165</v>
      </c>
      <c r="EP12" t="s">
        <v>165</v>
      </c>
      <c r="EQ12" t="s">
        <v>165</v>
      </c>
      <c r="ER12" t="s">
        <v>165</v>
      </c>
      <c r="ES12" s="148">
        <v>8.1932068843554298</v>
      </c>
      <c r="ET12" t="s">
        <v>187</v>
      </c>
      <c r="EU12" s="133" t="s">
        <v>165</v>
      </c>
      <c r="EV12" s="133" t="s">
        <v>165</v>
      </c>
      <c r="EW12" s="149">
        <v>254.98939885620399</v>
      </c>
      <c r="EX12">
        <v>21</v>
      </c>
      <c r="EY12" t="s">
        <v>186</v>
      </c>
      <c r="EZ12" s="149">
        <v>233.98939885620399</v>
      </c>
      <c r="FA12" s="149">
        <v>42.307596886395004</v>
      </c>
      <c r="FB12" s="149">
        <v>37.246060191017989</v>
      </c>
      <c r="FC12" t="s">
        <v>176</v>
      </c>
      <c r="FD12" t="s">
        <v>188</v>
      </c>
      <c r="FE12" t="s">
        <v>165</v>
      </c>
      <c r="FF12" t="s">
        <v>165</v>
      </c>
      <c r="FG12" t="s">
        <v>165</v>
      </c>
      <c r="FH12" t="s">
        <v>165</v>
      </c>
      <c r="FI12" t="s">
        <v>165</v>
      </c>
      <c r="FJ12" t="s">
        <v>165</v>
      </c>
      <c r="FK12" t="s">
        <v>165</v>
      </c>
      <c r="FL12" t="s">
        <v>165</v>
      </c>
      <c r="FM12" t="s">
        <v>165</v>
      </c>
      <c r="FN12" t="s">
        <v>165</v>
      </c>
      <c r="FO12" t="s">
        <v>165</v>
      </c>
      <c r="FP12" t="s">
        <v>165</v>
      </c>
    </row>
    <row r="13" spans="1:191">
      <c r="A13" s="131" t="s">
        <v>154</v>
      </c>
      <c r="B13" t="s">
        <v>155</v>
      </c>
      <c r="C13">
        <v>2017</v>
      </c>
      <c r="D13" s="132" t="s">
        <v>156</v>
      </c>
      <c r="E13" s="145">
        <f t="shared" si="1"/>
        <v>15.07</v>
      </c>
      <c r="F13">
        <f t="shared" si="2"/>
        <v>2</v>
      </c>
      <c r="G13">
        <f t="shared" si="3"/>
        <v>2</v>
      </c>
      <c r="H13" s="149">
        <f t="shared" si="4"/>
        <v>230.137470057755</v>
      </c>
      <c r="I13" s="149">
        <f t="shared" si="5"/>
        <v>41.108814141103977</v>
      </c>
      <c r="J13" s="149">
        <f t="shared" si="6"/>
        <v>35.703682467921993</v>
      </c>
      <c r="K13" t="s">
        <v>209</v>
      </c>
      <c r="L13" s="132" t="s">
        <v>210</v>
      </c>
      <c r="M13" s="1" t="s">
        <v>157</v>
      </c>
      <c r="N13" s="132" t="s">
        <v>156</v>
      </c>
      <c r="O13" t="s">
        <v>158</v>
      </c>
      <c r="P13" t="s">
        <v>159</v>
      </c>
      <c r="Q13" s="133">
        <v>1</v>
      </c>
      <c r="R13" s="133">
        <v>1</v>
      </c>
      <c r="S13" s="133">
        <v>61</v>
      </c>
      <c r="T13" s="133">
        <v>63</v>
      </c>
      <c r="U13" s="134">
        <v>0.61</v>
      </c>
      <c r="V13" s="134">
        <v>0.61</v>
      </c>
      <c r="W13" t="s">
        <v>165</v>
      </c>
      <c r="X13" t="s">
        <v>160</v>
      </c>
      <c r="Y13" s="135">
        <v>12.74</v>
      </c>
      <c r="Z13" s="135">
        <v>-78.739999999999995</v>
      </c>
      <c r="AA13" t="s">
        <v>165</v>
      </c>
      <c r="AB13" t="s">
        <v>165</v>
      </c>
      <c r="AC13">
        <v>-2839</v>
      </c>
      <c r="AD13" t="s">
        <v>165</v>
      </c>
      <c r="AE13" t="s">
        <v>165</v>
      </c>
      <c r="AF13" t="s">
        <v>165</v>
      </c>
      <c r="AG13" s="145">
        <v>15.07</v>
      </c>
      <c r="AH13" t="s">
        <v>163</v>
      </c>
      <c r="AI13">
        <v>2</v>
      </c>
      <c r="AJ13">
        <v>2</v>
      </c>
      <c r="AK13" t="s">
        <v>165</v>
      </c>
      <c r="AL13" t="s">
        <v>164</v>
      </c>
      <c r="AM13" t="s">
        <v>165</v>
      </c>
      <c r="AN13" t="s">
        <v>165</v>
      </c>
      <c r="AO13" t="s">
        <v>165</v>
      </c>
      <c r="AP13" t="s">
        <v>165</v>
      </c>
      <c r="AQ13" t="s">
        <v>165</v>
      </c>
      <c r="AR13" t="s">
        <v>165</v>
      </c>
      <c r="AS13" t="s">
        <v>165</v>
      </c>
      <c r="AT13" t="s">
        <v>165</v>
      </c>
      <c r="AU13" t="s">
        <v>166</v>
      </c>
      <c r="AV13" t="s">
        <v>167</v>
      </c>
      <c r="AW13" t="s">
        <v>168</v>
      </c>
      <c r="AX13" s="154">
        <v>2</v>
      </c>
      <c r="AY13" t="s">
        <v>169</v>
      </c>
      <c r="AZ13" t="s">
        <v>170</v>
      </c>
      <c r="BA13" t="s">
        <v>171</v>
      </c>
      <c r="BB13" t="s">
        <v>165</v>
      </c>
      <c r="BC13" s="154">
        <v>2</v>
      </c>
      <c r="BD13" s="133" t="s">
        <v>165</v>
      </c>
      <c r="BE13" s="134">
        <v>21.02</v>
      </c>
      <c r="BF13" t="s">
        <v>172</v>
      </c>
      <c r="BG13" s="146">
        <v>0.18</v>
      </c>
      <c r="BH13">
        <v>0.64</v>
      </c>
      <c r="BI13" t="s">
        <v>173</v>
      </c>
      <c r="BJ13">
        <v>3.4000000000000002E-2</v>
      </c>
      <c r="BK13">
        <v>9.1</v>
      </c>
      <c r="BL13" t="s">
        <v>163</v>
      </c>
      <c r="BM13">
        <v>0.56000000000000005</v>
      </c>
      <c r="BN13" t="s">
        <v>174</v>
      </c>
      <c r="BO13" t="s">
        <v>175</v>
      </c>
      <c r="BP13" s="155">
        <f t="shared" si="7"/>
        <v>20.25</v>
      </c>
      <c r="BQ13" s="133" t="s">
        <v>183</v>
      </c>
      <c r="BR13" s="133" t="s">
        <v>165</v>
      </c>
      <c r="BS13" s="133" t="s">
        <v>165</v>
      </c>
      <c r="BT13" t="s">
        <v>176</v>
      </c>
      <c r="BU13" s="133">
        <v>10</v>
      </c>
      <c r="BV13" s="133" t="s">
        <v>198</v>
      </c>
      <c r="BW13" s="133" t="s">
        <v>165</v>
      </c>
      <c r="BX13" s="145">
        <v>27.35</v>
      </c>
      <c r="BY13" t="s">
        <v>163</v>
      </c>
      <c r="BZ13">
        <v>3</v>
      </c>
      <c r="CA13">
        <v>3</v>
      </c>
      <c r="CB13" t="s">
        <v>165</v>
      </c>
      <c r="CC13" s="146">
        <v>4.1449999999999996</v>
      </c>
      <c r="CD13" t="s">
        <v>180</v>
      </c>
      <c r="CE13" s="146">
        <v>0.16579999999999998</v>
      </c>
      <c r="CF13" s="146">
        <v>0.16579999999999998</v>
      </c>
      <c r="CG13" s="156" t="s">
        <v>165</v>
      </c>
      <c r="CH13" t="s">
        <v>207</v>
      </c>
      <c r="CI13" t="s">
        <v>165</v>
      </c>
      <c r="CJ13" t="s">
        <v>178</v>
      </c>
      <c r="CK13" t="s">
        <v>181</v>
      </c>
      <c r="CL13" t="s">
        <v>181</v>
      </c>
      <c r="CM13" t="s">
        <v>181</v>
      </c>
      <c r="CN13" t="s">
        <v>165</v>
      </c>
      <c r="CO13" t="s">
        <v>165</v>
      </c>
      <c r="CP13" t="s">
        <v>165</v>
      </c>
      <c r="CQ13" t="s">
        <v>165</v>
      </c>
      <c r="CR13" t="s">
        <v>165</v>
      </c>
      <c r="CS13" t="s">
        <v>165</v>
      </c>
      <c r="CT13" t="s">
        <v>165</v>
      </c>
      <c r="CU13">
        <v>35</v>
      </c>
      <c r="CV13" t="s">
        <v>183</v>
      </c>
      <c r="CW13" s="154">
        <v>3</v>
      </c>
      <c r="CX13" s="133" t="s">
        <v>199</v>
      </c>
      <c r="CY13" s="133" t="s">
        <v>165</v>
      </c>
      <c r="CZ13" s="133" t="s">
        <v>165</v>
      </c>
      <c r="DA13" s="133" t="s">
        <v>165</v>
      </c>
      <c r="DB13" s="133" t="s">
        <v>165</v>
      </c>
      <c r="DC13" s="133" t="s">
        <v>165</v>
      </c>
      <c r="DD13" s="133" t="s">
        <v>165</v>
      </c>
      <c r="DE13" s="133" t="s">
        <v>165</v>
      </c>
      <c r="DF13" s="133" t="s">
        <v>165</v>
      </c>
      <c r="DG13" s="133" t="s">
        <v>165</v>
      </c>
      <c r="DH13" s="133" t="s">
        <v>165</v>
      </c>
      <c r="DI13" s="133" t="s">
        <v>165</v>
      </c>
      <c r="DJ13" s="133" t="s">
        <v>165</v>
      </c>
      <c r="DK13" s="145">
        <v>432.56244218316402</v>
      </c>
      <c r="DL13" t="s">
        <v>204</v>
      </c>
      <c r="DM13">
        <v>37.1</v>
      </c>
      <c r="DN13" t="s">
        <v>205</v>
      </c>
      <c r="DO13">
        <v>39.61</v>
      </c>
      <c r="DP13" t="s">
        <v>183</v>
      </c>
      <c r="DQ13" s="146">
        <f t="shared" si="0"/>
        <v>0.101507</v>
      </c>
      <c r="DR13" t="s">
        <v>184</v>
      </c>
      <c r="DS13" t="s">
        <v>200</v>
      </c>
      <c r="DT13" t="s">
        <v>201</v>
      </c>
      <c r="DU13">
        <v>1.0271999999999999</v>
      </c>
      <c r="DV13" t="s">
        <v>165</v>
      </c>
      <c r="DW13" t="s">
        <v>165</v>
      </c>
      <c r="DX13" t="s">
        <v>197</v>
      </c>
      <c r="DY13" t="s">
        <v>181</v>
      </c>
      <c r="DZ13" t="s">
        <v>181</v>
      </c>
      <c r="EA13" t="s">
        <v>202</v>
      </c>
      <c r="EB13" t="s">
        <v>203</v>
      </c>
      <c r="EC13" s="147" t="s">
        <v>206</v>
      </c>
      <c r="ED13" s="147" t="s">
        <v>206</v>
      </c>
      <c r="EE13" s="133" t="s">
        <v>165</v>
      </c>
      <c r="EF13" s="133" t="s">
        <v>165</v>
      </c>
      <c r="EG13" s="133" t="s">
        <v>165</v>
      </c>
      <c r="EH13" t="s">
        <v>185</v>
      </c>
      <c r="EI13" t="s">
        <v>179</v>
      </c>
      <c r="EJ13" t="s">
        <v>165</v>
      </c>
      <c r="EK13">
        <v>2339</v>
      </c>
      <c r="EL13" s="147" t="s">
        <v>211</v>
      </c>
      <c r="EM13" s="147">
        <v>175</v>
      </c>
      <c r="EN13">
        <v>175</v>
      </c>
      <c r="EO13" t="s">
        <v>165</v>
      </c>
      <c r="EP13" t="s">
        <v>165</v>
      </c>
      <c r="EQ13" t="s">
        <v>165</v>
      </c>
      <c r="ER13" t="s">
        <v>165</v>
      </c>
      <c r="ES13" s="148">
        <v>8.1986998818500396</v>
      </c>
      <c r="ET13" t="s">
        <v>187</v>
      </c>
      <c r="EU13" s="133" t="s">
        <v>165</v>
      </c>
      <c r="EV13" s="133" t="s">
        <v>165</v>
      </c>
      <c r="EW13" s="149">
        <v>251.137470057755</v>
      </c>
      <c r="EX13">
        <v>21</v>
      </c>
      <c r="EY13" t="s">
        <v>186</v>
      </c>
      <c r="EZ13" s="149">
        <v>230.137470057755</v>
      </c>
      <c r="FA13" s="149">
        <v>41.108814141103977</v>
      </c>
      <c r="FB13" s="149">
        <v>35.703682467921993</v>
      </c>
      <c r="FC13" t="s">
        <v>176</v>
      </c>
      <c r="FD13" t="s">
        <v>188</v>
      </c>
      <c r="FE13" t="s">
        <v>165</v>
      </c>
      <c r="FF13" t="s">
        <v>165</v>
      </c>
      <c r="FG13" t="s">
        <v>165</v>
      </c>
      <c r="FH13" t="s">
        <v>165</v>
      </c>
      <c r="FI13" t="s">
        <v>165</v>
      </c>
      <c r="FJ13" t="s">
        <v>165</v>
      </c>
      <c r="FK13" t="s">
        <v>165</v>
      </c>
      <c r="FL13" t="s">
        <v>165</v>
      </c>
      <c r="FM13" t="s">
        <v>165</v>
      </c>
      <c r="FN13" t="s">
        <v>165</v>
      </c>
      <c r="FO13" t="s">
        <v>165</v>
      </c>
      <c r="FP13" t="s">
        <v>165</v>
      </c>
    </row>
    <row r="14" spans="1:191">
      <c r="A14" s="131" t="s">
        <v>154</v>
      </c>
      <c r="B14" t="s">
        <v>155</v>
      </c>
      <c r="C14">
        <v>2017</v>
      </c>
      <c r="D14" s="132" t="s">
        <v>156</v>
      </c>
      <c r="E14" s="145">
        <f t="shared" si="1"/>
        <v>15.07</v>
      </c>
      <c r="F14">
        <f t="shared" si="2"/>
        <v>2</v>
      </c>
      <c r="G14">
        <f t="shared" si="3"/>
        <v>2</v>
      </c>
      <c r="H14" s="149">
        <f t="shared" si="4"/>
        <v>217.66711799163801</v>
      </c>
      <c r="I14" s="149">
        <f t="shared" si="5"/>
        <v>40.653818797148972</v>
      </c>
      <c r="J14" s="149">
        <f t="shared" si="6"/>
        <v>36.542998591773994</v>
      </c>
      <c r="K14" t="s">
        <v>209</v>
      </c>
      <c r="L14" s="132" t="s">
        <v>210</v>
      </c>
      <c r="M14" s="1" t="s">
        <v>157</v>
      </c>
      <c r="N14" s="132" t="s">
        <v>156</v>
      </c>
      <c r="O14" t="s">
        <v>158</v>
      </c>
      <c r="P14" t="s">
        <v>159</v>
      </c>
      <c r="Q14" s="133">
        <v>1</v>
      </c>
      <c r="R14" s="133">
        <v>1</v>
      </c>
      <c r="S14" s="133">
        <v>61</v>
      </c>
      <c r="T14" s="133">
        <v>63</v>
      </c>
      <c r="U14" s="134">
        <v>0.61</v>
      </c>
      <c r="V14" s="134">
        <v>0.61</v>
      </c>
      <c r="W14" t="s">
        <v>165</v>
      </c>
      <c r="X14" t="s">
        <v>160</v>
      </c>
      <c r="Y14" s="135">
        <v>12.74</v>
      </c>
      <c r="Z14" s="135">
        <v>-78.739999999999995</v>
      </c>
      <c r="AA14" t="s">
        <v>165</v>
      </c>
      <c r="AB14" t="s">
        <v>165</v>
      </c>
      <c r="AC14">
        <v>-2839</v>
      </c>
      <c r="AD14" t="s">
        <v>165</v>
      </c>
      <c r="AE14" t="s">
        <v>165</v>
      </c>
      <c r="AF14" t="s">
        <v>165</v>
      </c>
      <c r="AG14" s="145">
        <v>15.07</v>
      </c>
      <c r="AH14" t="s">
        <v>163</v>
      </c>
      <c r="AI14">
        <v>2</v>
      </c>
      <c r="AJ14">
        <v>2</v>
      </c>
      <c r="AK14" t="s">
        <v>165</v>
      </c>
      <c r="AL14" t="s">
        <v>164</v>
      </c>
      <c r="AM14" t="s">
        <v>165</v>
      </c>
      <c r="AN14" t="s">
        <v>165</v>
      </c>
      <c r="AO14" t="s">
        <v>165</v>
      </c>
      <c r="AP14" t="s">
        <v>165</v>
      </c>
      <c r="AQ14" t="s">
        <v>165</v>
      </c>
      <c r="AR14" t="s">
        <v>165</v>
      </c>
      <c r="AS14" t="s">
        <v>165</v>
      </c>
      <c r="AT14" t="s">
        <v>165</v>
      </c>
      <c r="AU14" t="s">
        <v>166</v>
      </c>
      <c r="AV14" t="s">
        <v>167</v>
      </c>
      <c r="AW14" t="s">
        <v>168</v>
      </c>
      <c r="AX14" s="154">
        <v>2</v>
      </c>
      <c r="AY14" t="s">
        <v>169</v>
      </c>
      <c r="AZ14" t="s">
        <v>170</v>
      </c>
      <c r="BA14" t="s">
        <v>171</v>
      </c>
      <c r="BB14" t="s">
        <v>165</v>
      </c>
      <c r="BC14" s="154">
        <v>2</v>
      </c>
      <c r="BD14" s="133" t="s">
        <v>165</v>
      </c>
      <c r="BE14" s="134">
        <v>21.15</v>
      </c>
      <c r="BF14" t="s">
        <v>172</v>
      </c>
      <c r="BG14" s="146">
        <v>0.2</v>
      </c>
      <c r="BH14">
        <v>0.64</v>
      </c>
      <c r="BI14" t="s">
        <v>173</v>
      </c>
      <c r="BJ14">
        <v>3.4000000000000002E-2</v>
      </c>
      <c r="BK14">
        <v>9.1</v>
      </c>
      <c r="BL14" t="s">
        <v>163</v>
      </c>
      <c r="BM14">
        <v>0.56000000000000005</v>
      </c>
      <c r="BN14" t="s">
        <v>174</v>
      </c>
      <c r="BO14" t="s">
        <v>175</v>
      </c>
      <c r="BP14" s="155">
        <f t="shared" si="7"/>
        <v>20.466666666666665</v>
      </c>
      <c r="BQ14" s="133" t="s">
        <v>183</v>
      </c>
      <c r="BR14" s="133" t="s">
        <v>165</v>
      </c>
      <c r="BS14" s="133" t="s">
        <v>165</v>
      </c>
      <c r="BT14" t="s">
        <v>176</v>
      </c>
      <c r="BU14" s="133">
        <v>10</v>
      </c>
      <c r="BV14" s="133" t="s">
        <v>198</v>
      </c>
      <c r="BW14" s="133" t="s">
        <v>165</v>
      </c>
      <c r="BX14" s="145">
        <v>27.35</v>
      </c>
      <c r="BY14" t="s">
        <v>163</v>
      </c>
      <c r="BZ14">
        <v>3</v>
      </c>
      <c r="CA14">
        <v>3</v>
      </c>
      <c r="CB14" t="s">
        <v>165</v>
      </c>
      <c r="CC14" s="146">
        <v>3.891</v>
      </c>
      <c r="CD14" t="s">
        <v>180</v>
      </c>
      <c r="CE14" s="146">
        <v>0.15564</v>
      </c>
      <c r="CF14" s="146">
        <v>0.15564</v>
      </c>
      <c r="CG14" s="156" t="s">
        <v>165</v>
      </c>
      <c r="CH14" t="s">
        <v>207</v>
      </c>
      <c r="CI14" t="s">
        <v>165</v>
      </c>
      <c r="CJ14" t="s">
        <v>178</v>
      </c>
      <c r="CK14" t="s">
        <v>181</v>
      </c>
      <c r="CL14" t="s">
        <v>181</v>
      </c>
      <c r="CM14" t="s">
        <v>181</v>
      </c>
      <c r="CN14" t="s">
        <v>165</v>
      </c>
      <c r="CO14" t="s">
        <v>165</v>
      </c>
      <c r="CP14" t="s">
        <v>165</v>
      </c>
      <c r="CQ14" t="s">
        <v>165</v>
      </c>
      <c r="CR14" t="s">
        <v>165</v>
      </c>
      <c r="CS14" t="s">
        <v>165</v>
      </c>
      <c r="CT14" t="s">
        <v>165</v>
      </c>
      <c r="CU14">
        <v>35</v>
      </c>
      <c r="CV14" t="s">
        <v>183</v>
      </c>
      <c r="CW14" s="154">
        <v>3</v>
      </c>
      <c r="CX14" s="133" t="s">
        <v>199</v>
      </c>
      <c r="CY14" s="133" t="s">
        <v>165</v>
      </c>
      <c r="CZ14" s="133" t="s">
        <v>165</v>
      </c>
      <c r="DA14" s="133" t="s">
        <v>165</v>
      </c>
      <c r="DB14" s="133" t="s">
        <v>165</v>
      </c>
      <c r="DC14" s="133" t="s">
        <v>165</v>
      </c>
      <c r="DD14" s="133" t="s">
        <v>165</v>
      </c>
      <c r="DE14" s="133" t="s">
        <v>165</v>
      </c>
      <c r="DF14" s="133" t="s">
        <v>165</v>
      </c>
      <c r="DG14" s="133" t="s">
        <v>165</v>
      </c>
      <c r="DH14" s="133" t="s">
        <v>165</v>
      </c>
      <c r="DI14" s="133" t="s">
        <v>165</v>
      </c>
      <c r="DJ14" s="133" t="s">
        <v>165</v>
      </c>
      <c r="DK14" s="145">
        <v>432.56244218316402</v>
      </c>
      <c r="DL14" t="s">
        <v>204</v>
      </c>
      <c r="DM14">
        <v>37.1</v>
      </c>
      <c r="DN14" t="s">
        <v>205</v>
      </c>
      <c r="DO14">
        <v>39.61</v>
      </c>
      <c r="DP14" t="s">
        <v>183</v>
      </c>
      <c r="DQ14" s="146">
        <f t="shared" si="0"/>
        <v>0.101507</v>
      </c>
      <c r="DR14" t="s">
        <v>184</v>
      </c>
      <c r="DS14" t="s">
        <v>200</v>
      </c>
      <c r="DT14" t="s">
        <v>201</v>
      </c>
      <c r="DU14">
        <v>1.0271999999999999</v>
      </c>
      <c r="DV14" t="s">
        <v>165</v>
      </c>
      <c r="DW14" t="s">
        <v>165</v>
      </c>
      <c r="DX14" t="s">
        <v>197</v>
      </c>
      <c r="DY14" t="s">
        <v>181</v>
      </c>
      <c r="DZ14" t="s">
        <v>181</v>
      </c>
      <c r="EA14" t="s">
        <v>202</v>
      </c>
      <c r="EB14" t="s">
        <v>203</v>
      </c>
      <c r="EC14" s="147" t="s">
        <v>206</v>
      </c>
      <c r="ED14" s="147" t="s">
        <v>206</v>
      </c>
      <c r="EE14" s="133" t="s">
        <v>165</v>
      </c>
      <c r="EF14" s="133" t="s">
        <v>165</v>
      </c>
      <c r="EG14" s="133" t="s">
        <v>165</v>
      </c>
      <c r="EH14" t="s">
        <v>185</v>
      </c>
      <c r="EI14" t="s">
        <v>179</v>
      </c>
      <c r="EJ14" t="s">
        <v>165</v>
      </c>
      <c r="EK14">
        <v>2340</v>
      </c>
      <c r="EL14" s="147" t="s">
        <v>211</v>
      </c>
      <c r="EM14" s="147">
        <v>175</v>
      </c>
      <c r="EN14">
        <v>175</v>
      </c>
      <c r="EO14" t="s">
        <v>165</v>
      </c>
      <c r="EP14" t="s">
        <v>165</v>
      </c>
      <c r="EQ14" t="s">
        <v>165</v>
      </c>
      <c r="ER14" t="s">
        <v>165</v>
      </c>
      <c r="ES14" s="148">
        <v>8.2150519757173708</v>
      </c>
      <c r="ET14" t="s">
        <v>187</v>
      </c>
      <c r="EU14" s="133" t="s">
        <v>165</v>
      </c>
      <c r="EV14" s="133" t="s">
        <v>165</v>
      </c>
      <c r="EW14" s="149">
        <v>238.66711799163801</v>
      </c>
      <c r="EX14">
        <v>21</v>
      </c>
      <c r="EY14" t="s">
        <v>186</v>
      </c>
      <c r="EZ14" s="149">
        <v>217.66711799163801</v>
      </c>
      <c r="FA14" s="149">
        <v>40.653818797148972</v>
      </c>
      <c r="FB14" s="149">
        <v>36.542998591773994</v>
      </c>
      <c r="FC14" t="s">
        <v>176</v>
      </c>
      <c r="FD14" t="s">
        <v>188</v>
      </c>
      <c r="FE14" t="s">
        <v>165</v>
      </c>
      <c r="FF14" t="s">
        <v>165</v>
      </c>
      <c r="FG14" t="s">
        <v>165</v>
      </c>
      <c r="FH14" t="s">
        <v>165</v>
      </c>
      <c r="FI14" t="s">
        <v>165</v>
      </c>
      <c r="FJ14" t="s">
        <v>165</v>
      </c>
      <c r="FK14" t="s">
        <v>165</v>
      </c>
      <c r="FL14" t="s">
        <v>165</v>
      </c>
      <c r="FM14" t="s">
        <v>165</v>
      </c>
      <c r="FN14" t="s">
        <v>165</v>
      </c>
      <c r="FO14" t="s">
        <v>165</v>
      </c>
      <c r="FP14" t="s">
        <v>165</v>
      </c>
    </row>
    <row r="15" spans="1:191">
      <c r="A15" s="131" t="s">
        <v>154</v>
      </c>
      <c r="B15" t="s">
        <v>155</v>
      </c>
      <c r="C15">
        <v>2017</v>
      </c>
      <c r="D15" s="132" t="s">
        <v>156</v>
      </c>
      <c r="E15" s="145">
        <f t="shared" si="1"/>
        <v>17.260000000000002</v>
      </c>
      <c r="F15">
        <f t="shared" si="2"/>
        <v>2</v>
      </c>
      <c r="G15">
        <f t="shared" si="3"/>
        <v>2</v>
      </c>
      <c r="H15" s="149">
        <f t="shared" si="4"/>
        <v>222.056328700607</v>
      </c>
      <c r="I15" s="149">
        <f t="shared" si="5"/>
        <v>38.032514618314991</v>
      </c>
      <c r="J15" s="149">
        <f t="shared" si="6"/>
        <v>34.456001148024001</v>
      </c>
      <c r="K15" t="s">
        <v>209</v>
      </c>
      <c r="L15" s="132" t="s">
        <v>210</v>
      </c>
      <c r="M15" s="1" t="s">
        <v>157</v>
      </c>
      <c r="N15" s="132" t="s">
        <v>156</v>
      </c>
      <c r="O15" t="s">
        <v>158</v>
      </c>
      <c r="P15" t="s">
        <v>159</v>
      </c>
      <c r="Q15" s="133">
        <v>1</v>
      </c>
      <c r="R15" s="133">
        <v>1</v>
      </c>
      <c r="S15" s="133">
        <v>71</v>
      </c>
      <c r="T15" s="133">
        <v>73</v>
      </c>
      <c r="U15" s="134">
        <v>0.71</v>
      </c>
      <c r="V15" s="134">
        <v>0.71</v>
      </c>
      <c r="W15" t="s">
        <v>165</v>
      </c>
      <c r="X15" t="s">
        <v>160</v>
      </c>
      <c r="Y15" s="135">
        <v>12.74</v>
      </c>
      <c r="Z15" s="135">
        <v>-78.739999999999995</v>
      </c>
      <c r="AA15" t="s">
        <v>165</v>
      </c>
      <c r="AB15" t="s">
        <v>165</v>
      </c>
      <c r="AC15">
        <v>-2839</v>
      </c>
      <c r="AD15" t="s">
        <v>165</v>
      </c>
      <c r="AE15" t="s">
        <v>165</v>
      </c>
      <c r="AF15" t="s">
        <v>165</v>
      </c>
      <c r="AG15" s="145">
        <v>17.260000000000002</v>
      </c>
      <c r="AH15" t="s">
        <v>163</v>
      </c>
      <c r="AI15">
        <v>2</v>
      </c>
      <c r="AJ15">
        <v>2</v>
      </c>
      <c r="AK15" t="s">
        <v>165</v>
      </c>
      <c r="AL15" t="s">
        <v>164</v>
      </c>
      <c r="AM15" t="s">
        <v>165</v>
      </c>
      <c r="AN15" t="s">
        <v>165</v>
      </c>
      <c r="AO15" t="s">
        <v>165</v>
      </c>
      <c r="AP15" t="s">
        <v>165</v>
      </c>
      <c r="AQ15" t="s">
        <v>165</v>
      </c>
      <c r="AR15" t="s">
        <v>165</v>
      </c>
      <c r="AS15" t="s">
        <v>165</v>
      </c>
      <c r="AT15" t="s">
        <v>165</v>
      </c>
      <c r="AU15" t="s">
        <v>166</v>
      </c>
      <c r="AV15" t="s">
        <v>167</v>
      </c>
      <c r="AW15" t="s">
        <v>168</v>
      </c>
      <c r="AX15" s="154">
        <v>2</v>
      </c>
      <c r="AY15" t="s">
        <v>169</v>
      </c>
      <c r="AZ15" t="s">
        <v>170</v>
      </c>
      <c r="BA15" t="s">
        <v>171</v>
      </c>
      <c r="BB15" t="s">
        <v>165</v>
      </c>
      <c r="BC15" s="154">
        <v>2</v>
      </c>
      <c r="BD15" s="133" t="s">
        <v>165</v>
      </c>
      <c r="BE15" s="134">
        <v>21.04</v>
      </c>
      <c r="BF15" t="s">
        <v>172</v>
      </c>
      <c r="BG15" s="146">
        <v>0.16</v>
      </c>
      <c r="BH15">
        <v>0.64</v>
      </c>
      <c r="BI15" t="s">
        <v>173</v>
      </c>
      <c r="BJ15">
        <v>3.4000000000000002E-2</v>
      </c>
      <c r="BK15">
        <v>9.1</v>
      </c>
      <c r="BL15" t="s">
        <v>163</v>
      </c>
      <c r="BM15">
        <v>0.56000000000000005</v>
      </c>
      <c r="BN15" t="s">
        <v>174</v>
      </c>
      <c r="BO15" t="s">
        <v>175</v>
      </c>
      <c r="BP15" s="155">
        <f t="shared" si="7"/>
        <v>20.283333333333335</v>
      </c>
      <c r="BQ15" s="133" t="s">
        <v>183</v>
      </c>
      <c r="BR15" s="133" t="s">
        <v>165</v>
      </c>
      <c r="BS15" s="133" t="s">
        <v>165</v>
      </c>
      <c r="BT15" t="s">
        <v>176</v>
      </c>
      <c r="BU15" s="133">
        <v>10</v>
      </c>
      <c r="BV15" s="133" t="s">
        <v>198</v>
      </c>
      <c r="BW15" s="133" t="s">
        <v>165</v>
      </c>
      <c r="BX15" s="145">
        <v>26.5</v>
      </c>
      <c r="BY15" t="s">
        <v>163</v>
      </c>
      <c r="BZ15">
        <v>3</v>
      </c>
      <c r="CA15">
        <v>3</v>
      </c>
      <c r="CB15" t="s">
        <v>165</v>
      </c>
      <c r="CC15" s="146">
        <v>3.8540000000000001</v>
      </c>
      <c r="CD15" t="s">
        <v>180</v>
      </c>
      <c r="CE15" s="146">
        <v>0.15416000000000002</v>
      </c>
      <c r="CF15" s="146">
        <v>0.15416000000000002</v>
      </c>
      <c r="CG15" s="156" t="s">
        <v>165</v>
      </c>
      <c r="CH15" t="s">
        <v>207</v>
      </c>
      <c r="CI15" t="s">
        <v>165</v>
      </c>
      <c r="CJ15" t="s">
        <v>178</v>
      </c>
      <c r="CK15" t="s">
        <v>181</v>
      </c>
      <c r="CL15" t="s">
        <v>181</v>
      </c>
      <c r="CM15" t="s">
        <v>181</v>
      </c>
      <c r="CN15" t="s">
        <v>165</v>
      </c>
      <c r="CO15" t="s">
        <v>165</v>
      </c>
      <c r="CP15" t="s">
        <v>165</v>
      </c>
      <c r="CQ15" t="s">
        <v>165</v>
      </c>
      <c r="CR15" t="s">
        <v>165</v>
      </c>
      <c r="CS15" t="s">
        <v>165</v>
      </c>
      <c r="CT15" t="s">
        <v>165</v>
      </c>
      <c r="CU15">
        <v>35</v>
      </c>
      <c r="CV15" t="s">
        <v>183</v>
      </c>
      <c r="CW15" s="154">
        <v>3</v>
      </c>
      <c r="CX15" s="133" t="s">
        <v>199</v>
      </c>
      <c r="CY15" s="133" t="s">
        <v>165</v>
      </c>
      <c r="CZ15" s="133" t="s">
        <v>165</v>
      </c>
      <c r="DA15" s="133" t="s">
        <v>165</v>
      </c>
      <c r="DB15" s="133" t="s">
        <v>165</v>
      </c>
      <c r="DC15" s="133" t="s">
        <v>165</v>
      </c>
      <c r="DD15" s="133" t="s">
        <v>165</v>
      </c>
      <c r="DE15" s="133" t="s">
        <v>165</v>
      </c>
      <c r="DF15" s="133" t="s">
        <v>165</v>
      </c>
      <c r="DG15" s="133" t="s">
        <v>165</v>
      </c>
      <c r="DH15" s="133" t="s">
        <v>165</v>
      </c>
      <c r="DI15" s="133" t="s">
        <v>165</v>
      </c>
      <c r="DJ15" s="133" t="s">
        <v>165</v>
      </c>
      <c r="DK15" s="145">
        <v>432.56244218316402</v>
      </c>
      <c r="DL15" t="s">
        <v>204</v>
      </c>
      <c r="DM15">
        <v>37.1</v>
      </c>
      <c r="DN15" t="s">
        <v>205</v>
      </c>
      <c r="DO15">
        <v>39.61</v>
      </c>
      <c r="DP15" t="s">
        <v>183</v>
      </c>
      <c r="DQ15" s="146">
        <f t="shared" si="0"/>
        <v>0.10172600000000001</v>
      </c>
      <c r="DR15" t="s">
        <v>184</v>
      </c>
      <c r="DS15" t="s">
        <v>200</v>
      </c>
      <c r="DT15" t="s">
        <v>201</v>
      </c>
      <c r="DU15">
        <v>1.0271999999999999</v>
      </c>
      <c r="DV15" t="s">
        <v>165</v>
      </c>
      <c r="DW15" t="s">
        <v>165</v>
      </c>
      <c r="DX15" t="s">
        <v>197</v>
      </c>
      <c r="DY15" t="s">
        <v>181</v>
      </c>
      <c r="DZ15" t="s">
        <v>181</v>
      </c>
      <c r="EA15" t="s">
        <v>202</v>
      </c>
      <c r="EB15" t="s">
        <v>203</v>
      </c>
      <c r="EC15" s="147" t="s">
        <v>206</v>
      </c>
      <c r="ED15" s="147" t="s">
        <v>206</v>
      </c>
      <c r="EE15" s="133" t="s">
        <v>165</v>
      </c>
      <c r="EF15" s="133" t="s">
        <v>165</v>
      </c>
      <c r="EG15" s="133" t="s">
        <v>165</v>
      </c>
      <c r="EH15" t="s">
        <v>185</v>
      </c>
      <c r="EI15" t="s">
        <v>179</v>
      </c>
      <c r="EJ15" t="s">
        <v>165</v>
      </c>
      <c r="EK15">
        <v>2341</v>
      </c>
      <c r="EL15" s="147" t="s">
        <v>211</v>
      </c>
      <c r="EM15" s="147">
        <v>175</v>
      </c>
      <c r="EN15">
        <v>175</v>
      </c>
      <c r="EO15" t="s">
        <v>165</v>
      </c>
      <c r="EP15" t="s">
        <v>165</v>
      </c>
      <c r="EQ15" t="s">
        <v>165</v>
      </c>
      <c r="ER15" t="s">
        <v>165</v>
      </c>
      <c r="ES15" s="148">
        <v>8.2105627741040799</v>
      </c>
      <c r="ET15" t="s">
        <v>187</v>
      </c>
      <c r="EU15" s="133" t="s">
        <v>165</v>
      </c>
      <c r="EV15" s="133" t="s">
        <v>165</v>
      </c>
      <c r="EW15" s="149">
        <v>243.056328700607</v>
      </c>
      <c r="EX15">
        <v>21</v>
      </c>
      <c r="EY15" t="s">
        <v>186</v>
      </c>
      <c r="EZ15" s="149">
        <v>222.056328700607</v>
      </c>
      <c r="FA15" s="149">
        <v>38.032514618314991</v>
      </c>
      <c r="FB15" s="149">
        <v>34.456001148024001</v>
      </c>
      <c r="FC15" t="s">
        <v>176</v>
      </c>
      <c r="FD15" t="s">
        <v>188</v>
      </c>
      <c r="FE15" t="s">
        <v>165</v>
      </c>
      <c r="FF15" t="s">
        <v>165</v>
      </c>
      <c r="FG15" t="s">
        <v>165</v>
      </c>
      <c r="FH15" t="s">
        <v>165</v>
      </c>
      <c r="FI15" t="s">
        <v>165</v>
      </c>
      <c r="FJ15" t="s">
        <v>165</v>
      </c>
      <c r="FK15" t="s">
        <v>165</v>
      </c>
      <c r="FL15" t="s">
        <v>165</v>
      </c>
      <c r="FM15" t="s">
        <v>165</v>
      </c>
      <c r="FN15" t="s">
        <v>165</v>
      </c>
      <c r="FO15" t="s">
        <v>165</v>
      </c>
      <c r="FP15" t="s">
        <v>165</v>
      </c>
    </row>
    <row r="16" spans="1:191">
      <c r="A16" s="131" t="s">
        <v>154</v>
      </c>
      <c r="B16" t="s">
        <v>155</v>
      </c>
      <c r="C16">
        <v>2017</v>
      </c>
      <c r="D16" s="132" t="s">
        <v>156</v>
      </c>
      <c r="E16" s="145">
        <f t="shared" si="1"/>
        <v>19.190000000000001</v>
      </c>
      <c r="F16">
        <f t="shared" si="2"/>
        <v>2</v>
      </c>
      <c r="G16">
        <f t="shared" si="3"/>
        <v>2</v>
      </c>
      <c r="H16" s="149">
        <f t="shared" si="4"/>
        <v>161.353140333239</v>
      </c>
      <c r="I16" s="149">
        <f t="shared" si="5"/>
        <v>33.205252156906994</v>
      </c>
      <c r="J16" s="149">
        <f t="shared" si="6"/>
        <v>30.88832554470099</v>
      </c>
      <c r="K16" t="s">
        <v>209</v>
      </c>
      <c r="L16" s="132" t="s">
        <v>210</v>
      </c>
      <c r="M16" s="1" t="s">
        <v>157</v>
      </c>
      <c r="N16" s="132" t="s">
        <v>156</v>
      </c>
      <c r="O16" t="s">
        <v>158</v>
      </c>
      <c r="P16" t="s">
        <v>159</v>
      </c>
      <c r="Q16" s="133">
        <v>1</v>
      </c>
      <c r="R16" s="133">
        <v>1</v>
      </c>
      <c r="S16" s="133">
        <v>82</v>
      </c>
      <c r="T16" s="133">
        <v>84</v>
      </c>
      <c r="U16" s="134">
        <v>0.82</v>
      </c>
      <c r="V16" s="134">
        <v>0.82</v>
      </c>
      <c r="W16" t="s">
        <v>165</v>
      </c>
      <c r="X16" t="s">
        <v>160</v>
      </c>
      <c r="Y16" s="135">
        <v>12.74</v>
      </c>
      <c r="Z16" s="135">
        <v>-78.739999999999995</v>
      </c>
      <c r="AA16" t="s">
        <v>165</v>
      </c>
      <c r="AB16" t="s">
        <v>165</v>
      </c>
      <c r="AC16">
        <v>-2839</v>
      </c>
      <c r="AD16" t="s">
        <v>165</v>
      </c>
      <c r="AE16" t="s">
        <v>165</v>
      </c>
      <c r="AF16" t="s">
        <v>165</v>
      </c>
      <c r="AG16" s="145">
        <v>19.190000000000001</v>
      </c>
      <c r="AH16" t="s">
        <v>163</v>
      </c>
      <c r="AI16">
        <v>2</v>
      </c>
      <c r="AJ16">
        <v>2</v>
      </c>
      <c r="AK16" t="s">
        <v>165</v>
      </c>
      <c r="AL16" t="s">
        <v>164</v>
      </c>
      <c r="AM16" t="s">
        <v>165</v>
      </c>
      <c r="AN16" t="s">
        <v>165</v>
      </c>
      <c r="AO16" t="s">
        <v>165</v>
      </c>
      <c r="AP16" t="s">
        <v>165</v>
      </c>
      <c r="AQ16" t="s">
        <v>165</v>
      </c>
      <c r="AR16" t="s">
        <v>165</v>
      </c>
      <c r="AS16" t="s">
        <v>165</v>
      </c>
      <c r="AT16" t="s">
        <v>165</v>
      </c>
      <c r="AU16" t="s">
        <v>166</v>
      </c>
      <c r="AV16" t="s">
        <v>167</v>
      </c>
      <c r="AW16" t="s">
        <v>168</v>
      </c>
      <c r="AX16" s="154">
        <v>2</v>
      </c>
      <c r="AY16" t="s">
        <v>169</v>
      </c>
      <c r="AZ16" t="s">
        <v>170</v>
      </c>
      <c r="BA16" t="s">
        <v>171</v>
      </c>
      <c r="BB16" t="s">
        <v>165</v>
      </c>
      <c r="BC16" s="154">
        <v>2</v>
      </c>
      <c r="BD16" s="133" t="s">
        <v>165</v>
      </c>
      <c r="BE16" s="134">
        <v>21.75</v>
      </c>
      <c r="BF16" t="s">
        <v>172</v>
      </c>
      <c r="BG16" s="146">
        <v>0.2</v>
      </c>
      <c r="BH16">
        <v>0.64</v>
      </c>
      <c r="BI16" t="s">
        <v>173</v>
      </c>
      <c r="BJ16">
        <v>3.4000000000000002E-2</v>
      </c>
      <c r="BK16">
        <v>9.1</v>
      </c>
      <c r="BL16" t="s">
        <v>163</v>
      </c>
      <c r="BM16">
        <v>0.56000000000000005</v>
      </c>
      <c r="BN16" t="s">
        <v>174</v>
      </c>
      <c r="BO16" t="s">
        <v>175</v>
      </c>
      <c r="BP16" s="155">
        <f t="shared" si="7"/>
        <v>21.466666666666669</v>
      </c>
      <c r="BQ16" s="133" t="s">
        <v>183</v>
      </c>
      <c r="BR16" s="133" t="s">
        <v>165</v>
      </c>
      <c r="BS16" s="133" t="s">
        <v>165</v>
      </c>
      <c r="BT16" t="s">
        <v>176</v>
      </c>
      <c r="BU16" s="133">
        <v>10</v>
      </c>
      <c r="BV16" s="133" t="s">
        <v>198</v>
      </c>
      <c r="BW16" s="133" t="s">
        <v>165</v>
      </c>
      <c r="BX16" s="145">
        <v>25.99</v>
      </c>
      <c r="BY16" t="s">
        <v>163</v>
      </c>
      <c r="BZ16">
        <v>3</v>
      </c>
      <c r="CA16">
        <v>3</v>
      </c>
      <c r="CB16" t="s">
        <v>165</v>
      </c>
      <c r="CC16" s="146">
        <v>3.6720000000000002</v>
      </c>
      <c r="CD16" t="s">
        <v>180</v>
      </c>
      <c r="CE16" s="146">
        <v>0.14688000000000001</v>
      </c>
      <c r="CF16" s="146">
        <v>0.14688000000000001</v>
      </c>
      <c r="CG16" s="156" t="s">
        <v>165</v>
      </c>
      <c r="CH16" t="s">
        <v>207</v>
      </c>
      <c r="CI16" t="s">
        <v>165</v>
      </c>
      <c r="CJ16" t="s">
        <v>178</v>
      </c>
      <c r="CK16" t="s">
        <v>181</v>
      </c>
      <c r="CL16" t="s">
        <v>181</v>
      </c>
      <c r="CM16" t="s">
        <v>181</v>
      </c>
      <c r="CN16" t="s">
        <v>165</v>
      </c>
      <c r="CO16" t="s">
        <v>165</v>
      </c>
      <c r="CP16" t="s">
        <v>165</v>
      </c>
      <c r="CQ16" t="s">
        <v>165</v>
      </c>
      <c r="CR16" t="s">
        <v>165</v>
      </c>
      <c r="CS16" t="s">
        <v>165</v>
      </c>
      <c r="CT16" t="s">
        <v>165</v>
      </c>
      <c r="CU16">
        <v>35</v>
      </c>
      <c r="CV16" t="s">
        <v>183</v>
      </c>
      <c r="CW16" s="154">
        <v>3</v>
      </c>
      <c r="CX16" s="133" t="s">
        <v>199</v>
      </c>
      <c r="CY16" s="133" t="s">
        <v>165</v>
      </c>
      <c r="CZ16" s="133" t="s">
        <v>165</v>
      </c>
      <c r="DA16" s="133" t="s">
        <v>165</v>
      </c>
      <c r="DB16" s="133" t="s">
        <v>165</v>
      </c>
      <c r="DC16" s="133" t="s">
        <v>165</v>
      </c>
      <c r="DD16" s="133" t="s">
        <v>165</v>
      </c>
      <c r="DE16" s="133" t="s">
        <v>165</v>
      </c>
      <c r="DF16" s="133" t="s">
        <v>165</v>
      </c>
      <c r="DG16" s="133" t="s">
        <v>165</v>
      </c>
      <c r="DH16" s="133" t="s">
        <v>165</v>
      </c>
      <c r="DI16" s="133" t="s">
        <v>165</v>
      </c>
      <c r="DJ16" s="133" t="s">
        <v>165</v>
      </c>
      <c r="DK16" s="145">
        <v>432.56244218316402</v>
      </c>
      <c r="DL16" t="s">
        <v>204</v>
      </c>
      <c r="DM16">
        <v>37.1</v>
      </c>
      <c r="DN16" t="s">
        <v>205</v>
      </c>
      <c r="DO16">
        <v>39.61</v>
      </c>
      <c r="DP16" t="s">
        <v>183</v>
      </c>
      <c r="DQ16" s="146">
        <f t="shared" si="0"/>
        <v>0.10191900000000001</v>
      </c>
      <c r="DR16" t="s">
        <v>184</v>
      </c>
      <c r="DS16" t="s">
        <v>200</v>
      </c>
      <c r="DT16" t="s">
        <v>201</v>
      </c>
      <c r="DU16">
        <v>1.0271999999999999</v>
      </c>
      <c r="DV16" t="s">
        <v>165</v>
      </c>
      <c r="DW16" t="s">
        <v>165</v>
      </c>
      <c r="DX16" t="s">
        <v>197</v>
      </c>
      <c r="DY16" t="s">
        <v>181</v>
      </c>
      <c r="DZ16" t="s">
        <v>181</v>
      </c>
      <c r="EA16" t="s">
        <v>202</v>
      </c>
      <c r="EB16" t="s">
        <v>203</v>
      </c>
      <c r="EC16" s="147" t="s">
        <v>206</v>
      </c>
      <c r="ED16" s="147" t="s">
        <v>206</v>
      </c>
      <c r="EE16" s="133" t="s">
        <v>165</v>
      </c>
      <c r="EF16" s="133" t="s">
        <v>165</v>
      </c>
      <c r="EG16" s="133" t="s">
        <v>165</v>
      </c>
      <c r="EH16" t="s">
        <v>185</v>
      </c>
      <c r="EI16" t="s">
        <v>179</v>
      </c>
      <c r="EJ16" t="s">
        <v>165</v>
      </c>
      <c r="EK16">
        <v>2342</v>
      </c>
      <c r="EL16" s="147" t="s">
        <v>211</v>
      </c>
      <c r="EM16" s="147">
        <v>175</v>
      </c>
      <c r="EN16">
        <v>175</v>
      </c>
      <c r="EO16" t="s">
        <v>165</v>
      </c>
      <c r="EP16" t="s">
        <v>165</v>
      </c>
      <c r="EQ16" t="s">
        <v>165</v>
      </c>
      <c r="ER16" t="s">
        <v>165</v>
      </c>
      <c r="ES16" s="148">
        <v>8.3047520702030102</v>
      </c>
      <c r="ET16" t="s">
        <v>187</v>
      </c>
      <c r="EU16" s="133" t="s">
        <v>165</v>
      </c>
      <c r="EV16" s="133" t="s">
        <v>165</v>
      </c>
      <c r="EW16" s="149">
        <v>182.353140333239</v>
      </c>
      <c r="EX16">
        <v>21</v>
      </c>
      <c r="EY16" t="s">
        <v>186</v>
      </c>
      <c r="EZ16" s="149">
        <v>161.353140333239</v>
      </c>
      <c r="FA16" s="149">
        <v>33.205252156906994</v>
      </c>
      <c r="FB16" s="149">
        <v>30.88832554470099</v>
      </c>
      <c r="FC16" t="s">
        <v>176</v>
      </c>
      <c r="FD16" t="s">
        <v>188</v>
      </c>
      <c r="FE16" t="s">
        <v>165</v>
      </c>
      <c r="FF16" t="s">
        <v>165</v>
      </c>
      <c r="FG16" t="s">
        <v>165</v>
      </c>
      <c r="FH16" t="s">
        <v>165</v>
      </c>
      <c r="FI16" t="s">
        <v>165</v>
      </c>
      <c r="FJ16" t="s">
        <v>165</v>
      </c>
      <c r="FK16" t="s">
        <v>165</v>
      </c>
      <c r="FL16" t="s">
        <v>165</v>
      </c>
      <c r="FM16" t="s">
        <v>165</v>
      </c>
      <c r="FN16" t="s">
        <v>165</v>
      </c>
      <c r="FO16" t="s">
        <v>165</v>
      </c>
      <c r="FP16" t="s">
        <v>165</v>
      </c>
    </row>
    <row r="17" spans="1:172">
      <c r="A17" s="131" t="s">
        <v>154</v>
      </c>
      <c r="B17" t="s">
        <v>155</v>
      </c>
      <c r="C17">
        <v>2017</v>
      </c>
      <c r="D17" s="132" t="s">
        <v>156</v>
      </c>
      <c r="E17" s="145">
        <f t="shared" si="1"/>
        <v>21.12</v>
      </c>
      <c r="F17">
        <f t="shared" si="2"/>
        <v>2</v>
      </c>
      <c r="G17">
        <f t="shared" si="3"/>
        <v>2</v>
      </c>
      <c r="H17" s="149">
        <f t="shared" si="4"/>
        <v>199.33752562613199</v>
      </c>
      <c r="I17" s="149">
        <f t="shared" si="5"/>
        <v>34.14879129917901</v>
      </c>
      <c r="J17" s="149">
        <f t="shared" si="6"/>
        <v>32.159575510522984</v>
      </c>
      <c r="K17" t="s">
        <v>209</v>
      </c>
      <c r="L17" s="132" t="s">
        <v>210</v>
      </c>
      <c r="M17" s="1" t="s">
        <v>157</v>
      </c>
      <c r="N17" s="132" t="s">
        <v>156</v>
      </c>
      <c r="O17" t="s">
        <v>158</v>
      </c>
      <c r="P17" t="s">
        <v>159</v>
      </c>
      <c r="Q17" s="133">
        <v>1</v>
      </c>
      <c r="R17" s="133">
        <v>1</v>
      </c>
      <c r="S17" s="133">
        <v>93</v>
      </c>
      <c r="T17" s="133">
        <v>95</v>
      </c>
      <c r="U17" s="134">
        <v>0.93</v>
      </c>
      <c r="V17" s="134">
        <v>0.93</v>
      </c>
      <c r="W17" t="s">
        <v>165</v>
      </c>
      <c r="X17" t="s">
        <v>160</v>
      </c>
      <c r="Y17" s="135">
        <v>12.74</v>
      </c>
      <c r="Z17" s="135">
        <v>-78.739999999999995</v>
      </c>
      <c r="AA17" t="s">
        <v>165</v>
      </c>
      <c r="AB17" t="s">
        <v>165</v>
      </c>
      <c r="AC17">
        <v>-2839</v>
      </c>
      <c r="AD17" t="s">
        <v>165</v>
      </c>
      <c r="AE17" t="s">
        <v>165</v>
      </c>
      <c r="AF17" t="s">
        <v>165</v>
      </c>
      <c r="AG17" s="145">
        <v>21.12</v>
      </c>
      <c r="AH17" t="s">
        <v>163</v>
      </c>
      <c r="AI17">
        <v>2</v>
      </c>
      <c r="AJ17">
        <v>2</v>
      </c>
      <c r="AK17" t="s">
        <v>165</v>
      </c>
      <c r="AL17" t="s">
        <v>164</v>
      </c>
      <c r="AM17" t="s">
        <v>165</v>
      </c>
      <c r="AN17" t="s">
        <v>165</v>
      </c>
      <c r="AO17" t="s">
        <v>165</v>
      </c>
      <c r="AP17" t="s">
        <v>165</v>
      </c>
      <c r="AQ17" t="s">
        <v>165</v>
      </c>
      <c r="AR17" t="s">
        <v>165</v>
      </c>
      <c r="AS17" t="s">
        <v>165</v>
      </c>
      <c r="AT17" t="s">
        <v>165</v>
      </c>
      <c r="AU17" t="s">
        <v>166</v>
      </c>
      <c r="AV17" t="s">
        <v>167</v>
      </c>
      <c r="AW17" t="s">
        <v>168</v>
      </c>
      <c r="AX17" s="154">
        <v>2</v>
      </c>
      <c r="AY17" t="s">
        <v>169</v>
      </c>
      <c r="AZ17" t="s">
        <v>170</v>
      </c>
      <c r="BA17" t="s">
        <v>171</v>
      </c>
      <c r="BB17" t="s">
        <v>165</v>
      </c>
      <c r="BC17" s="154">
        <v>2</v>
      </c>
      <c r="BD17" s="133" t="s">
        <v>165</v>
      </c>
      <c r="BE17" s="134">
        <v>21.23</v>
      </c>
      <c r="BF17" t="s">
        <v>172</v>
      </c>
      <c r="BG17" s="146">
        <v>0.14000000000000001</v>
      </c>
      <c r="BH17">
        <v>0.64</v>
      </c>
      <c r="BI17" t="s">
        <v>173</v>
      </c>
      <c r="BJ17">
        <v>3.4000000000000002E-2</v>
      </c>
      <c r="BK17">
        <v>9.1</v>
      </c>
      <c r="BL17" t="s">
        <v>163</v>
      </c>
      <c r="BM17">
        <v>0.56000000000000005</v>
      </c>
      <c r="BN17" t="s">
        <v>174</v>
      </c>
      <c r="BO17" t="s">
        <v>175</v>
      </c>
      <c r="BP17" s="155">
        <f t="shared" si="7"/>
        <v>20.6</v>
      </c>
      <c r="BQ17" s="133" t="s">
        <v>183</v>
      </c>
      <c r="BR17" s="133" t="s">
        <v>165</v>
      </c>
      <c r="BS17" s="133" t="s">
        <v>165</v>
      </c>
      <c r="BT17" t="s">
        <v>176</v>
      </c>
      <c r="BU17" s="133">
        <v>10</v>
      </c>
      <c r="BV17" s="133" t="s">
        <v>198</v>
      </c>
      <c r="BW17" s="133" t="s">
        <v>165</v>
      </c>
      <c r="BX17" s="145">
        <v>25.68</v>
      </c>
      <c r="BY17" t="s">
        <v>163</v>
      </c>
      <c r="BZ17">
        <v>3</v>
      </c>
      <c r="CA17">
        <v>3</v>
      </c>
      <c r="CB17" t="s">
        <v>165</v>
      </c>
      <c r="CC17" s="146">
        <v>3.718</v>
      </c>
      <c r="CD17" t="s">
        <v>180</v>
      </c>
      <c r="CE17" s="146">
        <v>0.14871999999999999</v>
      </c>
      <c r="CF17" s="146">
        <v>0.14871999999999999</v>
      </c>
      <c r="CG17" s="156" t="s">
        <v>165</v>
      </c>
      <c r="CH17" t="s">
        <v>207</v>
      </c>
      <c r="CI17" t="s">
        <v>165</v>
      </c>
      <c r="CJ17" t="s">
        <v>178</v>
      </c>
      <c r="CK17" t="s">
        <v>181</v>
      </c>
      <c r="CL17" t="s">
        <v>181</v>
      </c>
      <c r="CM17" t="s">
        <v>181</v>
      </c>
      <c r="CN17" t="s">
        <v>165</v>
      </c>
      <c r="CO17" t="s">
        <v>165</v>
      </c>
      <c r="CP17" t="s">
        <v>165</v>
      </c>
      <c r="CQ17" t="s">
        <v>165</v>
      </c>
      <c r="CR17" t="s">
        <v>165</v>
      </c>
      <c r="CS17" t="s">
        <v>165</v>
      </c>
      <c r="CT17" t="s">
        <v>165</v>
      </c>
      <c r="CU17">
        <v>35</v>
      </c>
      <c r="CV17" t="s">
        <v>183</v>
      </c>
      <c r="CW17" s="154">
        <v>3</v>
      </c>
      <c r="CX17" s="133" t="s">
        <v>199</v>
      </c>
      <c r="CY17" s="133" t="s">
        <v>165</v>
      </c>
      <c r="CZ17" s="133" t="s">
        <v>165</v>
      </c>
      <c r="DA17" s="133" t="s">
        <v>165</v>
      </c>
      <c r="DB17" s="133" t="s">
        <v>165</v>
      </c>
      <c r="DC17" s="133" t="s">
        <v>165</v>
      </c>
      <c r="DD17" s="133" t="s">
        <v>165</v>
      </c>
      <c r="DE17" s="133" t="s">
        <v>165</v>
      </c>
      <c r="DF17" s="133" t="s">
        <v>165</v>
      </c>
      <c r="DG17" s="133" t="s">
        <v>165</v>
      </c>
      <c r="DH17" s="133" t="s">
        <v>165</v>
      </c>
      <c r="DI17" s="133" t="s">
        <v>165</v>
      </c>
      <c r="DJ17" s="133" t="s">
        <v>165</v>
      </c>
      <c r="DK17" s="145">
        <v>432.56244218316402</v>
      </c>
      <c r="DL17" t="s">
        <v>204</v>
      </c>
      <c r="DM17">
        <v>37.1</v>
      </c>
      <c r="DN17" t="s">
        <v>205</v>
      </c>
      <c r="DO17">
        <v>39.61</v>
      </c>
      <c r="DP17" t="s">
        <v>183</v>
      </c>
      <c r="DQ17" s="146">
        <f t="shared" si="0"/>
        <v>0.10211200000000001</v>
      </c>
      <c r="DR17" t="s">
        <v>184</v>
      </c>
      <c r="DS17" t="s">
        <v>200</v>
      </c>
      <c r="DT17" t="s">
        <v>201</v>
      </c>
      <c r="DU17">
        <v>1.0271999999999999</v>
      </c>
      <c r="DV17" t="s">
        <v>165</v>
      </c>
      <c r="DW17" t="s">
        <v>165</v>
      </c>
      <c r="DX17" t="s">
        <v>197</v>
      </c>
      <c r="DY17" t="s">
        <v>181</v>
      </c>
      <c r="DZ17" t="s">
        <v>181</v>
      </c>
      <c r="EA17" t="s">
        <v>202</v>
      </c>
      <c r="EB17" t="s">
        <v>203</v>
      </c>
      <c r="EC17" s="147" t="s">
        <v>206</v>
      </c>
      <c r="ED17" s="147" t="s">
        <v>206</v>
      </c>
      <c r="EE17" s="133" t="s">
        <v>165</v>
      </c>
      <c r="EF17" s="133" t="s">
        <v>165</v>
      </c>
      <c r="EG17" s="133" t="s">
        <v>165</v>
      </c>
      <c r="EH17" t="s">
        <v>185</v>
      </c>
      <c r="EI17" t="s">
        <v>179</v>
      </c>
      <c r="EJ17" t="s">
        <v>165</v>
      </c>
      <c r="EK17">
        <v>2343</v>
      </c>
      <c r="EL17" s="147" t="s">
        <v>211</v>
      </c>
      <c r="EM17" s="147">
        <v>175</v>
      </c>
      <c r="EN17">
        <v>175</v>
      </c>
      <c r="EO17" t="s">
        <v>165</v>
      </c>
      <c r="EP17" t="s">
        <v>165</v>
      </c>
      <c r="EQ17" t="s">
        <v>165</v>
      </c>
      <c r="ER17" t="s">
        <v>165</v>
      </c>
      <c r="ES17" s="148">
        <v>8.2446286836479601</v>
      </c>
      <c r="ET17" t="s">
        <v>187</v>
      </c>
      <c r="EU17" s="133" t="s">
        <v>165</v>
      </c>
      <c r="EV17" s="133" t="s">
        <v>165</v>
      </c>
      <c r="EW17" s="149">
        <v>220.33752562613199</v>
      </c>
      <c r="EX17">
        <v>21</v>
      </c>
      <c r="EY17" t="s">
        <v>186</v>
      </c>
      <c r="EZ17" s="149">
        <v>199.33752562613199</v>
      </c>
      <c r="FA17" s="149">
        <v>34.14879129917901</v>
      </c>
      <c r="FB17" s="149">
        <v>32.159575510522984</v>
      </c>
      <c r="FC17" t="s">
        <v>176</v>
      </c>
      <c r="FD17" t="s">
        <v>188</v>
      </c>
      <c r="FE17" t="s">
        <v>165</v>
      </c>
      <c r="FF17" t="s">
        <v>165</v>
      </c>
      <c r="FG17" t="s">
        <v>165</v>
      </c>
      <c r="FH17" t="s">
        <v>165</v>
      </c>
      <c r="FI17" t="s">
        <v>165</v>
      </c>
      <c r="FJ17" t="s">
        <v>165</v>
      </c>
      <c r="FK17" t="s">
        <v>165</v>
      </c>
      <c r="FL17" t="s">
        <v>165</v>
      </c>
      <c r="FM17" t="s">
        <v>165</v>
      </c>
      <c r="FN17" t="s">
        <v>165</v>
      </c>
      <c r="FO17" t="s">
        <v>165</v>
      </c>
      <c r="FP17" t="s">
        <v>165</v>
      </c>
    </row>
    <row r="18" spans="1:172">
      <c r="A18" s="131" t="s">
        <v>154</v>
      </c>
      <c r="B18" t="s">
        <v>155</v>
      </c>
      <c r="C18">
        <v>2017</v>
      </c>
      <c r="D18" s="132" t="s">
        <v>156</v>
      </c>
      <c r="E18" s="145">
        <f t="shared" si="1"/>
        <v>22.61</v>
      </c>
      <c r="F18">
        <f t="shared" si="2"/>
        <v>2</v>
      </c>
      <c r="G18">
        <f t="shared" si="3"/>
        <v>2</v>
      </c>
      <c r="H18" s="149">
        <f t="shared" si="4"/>
        <v>201.60470924740699</v>
      </c>
      <c r="I18" s="149">
        <f t="shared" si="5"/>
        <v>36.202657416073009</v>
      </c>
      <c r="J18" s="149">
        <f t="shared" si="6"/>
        <v>32.92038946192298</v>
      </c>
      <c r="K18" t="s">
        <v>209</v>
      </c>
      <c r="L18" s="132" t="s">
        <v>210</v>
      </c>
      <c r="M18" s="1" t="s">
        <v>157</v>
      </c>
      <c r="N18" s="132" t="s">
        <v>156</v>
      </c>
      <c r="O18" t="s">
        <v>158</v>
      </c>
      <c r="P18" t="s">
        <v>159</v>
      </c>
      <c r="Q18" s="133">
        <v>1</v>
      </c>
      <c r="R18" s="133">
        <v>1</v>
      </c>
      <c r="S18" s="133">
        <v>102</v>
      </c>
      <c r="T18" s="133">
        <v>104</v>
      </c>
      <c r="U18" s="134">
        <v>1.02</v>
      </c>
      <c r="V18" s="134">
        <v>1.02</v>
      </c>
      <c r="W18" t="s">
        <v>165</v>
      </c>
      <c r="X18" t="s">
        <v>160</v>
      </c>
      <c r="Y18" s="135">
        <v>12.74</v>
      </c>
      <c r="Z18" s="135">
        <v>-78.739999999999995</v>
      </c>
      <c r="AA18" t="s">
        <v>165</v>
      </c>
      <c r="AB18" t="s">
        <v>165</v>
      </c>
      <c r="AC18">
        <v>-2839</v>
      </c>
      <c r="AD18" t="s">
        <v>165</v>
      </c>
      <c r="AE18" t="s">
        <v>165</v>
      </c>
      <c r="AF18" t="s">
        <v>165</v>
      </c>
      <c r="AG18" s="145">
        <v>22.61</v>
      </c>
      <c r="AH18" t="s">
        <v>163</v>
      </c>
      <c r="AI18">
        <v>2</v>
      </c>
      <c r="AJ18">
        <v>2</v>
      </c>
      <c r="AK18" t="s">
        <v>165</v>
      </c>
      <c r="AL18" t="s">
        <v>164</v>
      </c>
      <c r="AM18" t="s">
        <v>165</v>
      </c>
      <c r="AN18" t="s">
        <v>165</v>
      </c>
      <c r="AO18" t="s">
        <v>165</v>
      </c>
      <c r="AP18" t="s">
        <v>165</v>
      </c>
      <c r="AQ18" t="s">
        <v>165</v>
      </c>
      <c r="AR18" t="s">
        <v>165</v>
      </c>
      <c r="AS18" t="s">
        <v>165</v>
      </c>
      <c r="AT18" t="s">
        <v>165</v>
      </c>
      <c r="AU18" t="s">
        <v>166</v>
      </c>
      <c r="AV18" t="s">
        <v>167</v>
      </c>
      <c r="AW18" t="s">
        <v>168</v>
      </c>
      <c r="AX18" s="154">
        <v>2</v>
      </c>
      <c r="AY18" t="s">
        <v>169</v>
      </c>
      <c r="AZ18" t="s">
        <v>170</v>
      </c>
      <c r="BA18" t="s">
        <v>171</v>
      </c>
      <c r="BB18" t="s">
        <v>165</v>
      </c>
      <c r="BC18" s="154">
        <v>2</v>
      </c>
      <c r="BD18" s="133" t="s">
        <v>165</v>
      </c>
      <c r="BE18" s="134">
        <v>21.26</v>
      </c>
      <c r="BF18" t="s">
        <v>172</v>
      </c>
      <c r="BG18" s="146">
        <v>0.16</v>
      </c>
      <c r="BH18">
        <v>0.64</v>
      </c>
      <c r="BI18" t="s">
        <v>173</v>
      </c>
      <c r="BJ18">
        <v>3.4000000000000002E-2</v>
      </c>
      <c r="BK18">
        <v>9.1</v>
      </c>
      <c r="BL18" t="s">
        <v>163</v>
      </c>
      <c r="BM18">
        <v>0.56000000000000005</v>
      </c>
      <c r="BN18" t="s">
        <v>174</v>
      </c>
      <c r="BO18" t="s">
        <v>175</v>
      </c>
      <c r="BP18" s="155">
        <f t="shared" si="7"/>
        <v>20.650000000000006</v>
      </c>
      <c r="BQ18" s="133" t="s">
        <v>183</v>
      </c>
      <c r="BR18" s="133" t="s">
        <v>165</v>
      </c>
      <c r="BS18" s="133" t="s">
        <v>165</v>
      </c>
      <c r="BT18" t="s">
        <v>176</v>
      </c>
      <c r="BU18" s="133">
        <v>10</v>
      </c>
      <c r="BV18" s="133" t="s">
        <v>198</v>
      </c>
      <c r="BW18" s="133" t="s">
        <v>165</v>
      </c>
      <c r="BX18" s="145">
        <v>26.43</v>
      </c>
      <c r="BY18" t="s">
        <v>163</v>
      </c>
      <c r="BZ18">
        <v>3</v>
      </c>
      <c r="CA18">
        <v>3</v>
      </c>
      <c r="CB18" t="s">
        <v>165</v>
      </c>
      <c r="CC18" s="146">
        <v>3.8079999999999998</v>
      </c>
      <c r="CD18" t="s">
        <v>180</v>
      </c>
      <c r="CE18" s="146">
        <v>0.15231999999999998</v>
      </c>
      <c r="CF18" s="146">
        <v>0.15231999999999998</v>
      </c>
      <c r="CG18" s="156" t="s">
        <v>165</v>
      </c>
      <c r="CH18" t="s">
        <v>207</v>
      </c>
      <c r="CI18" t="s">
        <v>165</v>
      </c>
      <c r="CJ18" t="s">
        <v>178</v>
      </c>
      <c r="CK18" t="s">
        <v>181</v>
      </c>
      <c r="CL18" t="s">
        <v>181</v>
      </c>
      <c r="CM18" t="s">
        <v>181</v>
      </c>
      <c r="CN18" t="s">
        <v>165</v>
      </c>
      <c r="CO18" t="s">
        <v>165</v>
      </c>
      <c r="CP18" t="s">
        <v>165</v>
      </c>
      <c r="CQ18" t="s">
        <v>165</v>
      </c>
      <c r="CR18" t="s">
        <v>165</v>
      </c>
      <c r="CS18" t="s">
        <v>165</v>
      </c>
      <c r="CT18" t="s">
        <v>165</v>
      </c>
      <c r="CU18">
        <v>35</v>
      </c>
      <c r="CV18" t="s">
        <v>183</v>
      </c>
      <c r="CW18" s="154">
        <v>3</v>
      </c>
      <c r="CX18" s="133" t="s">
        <v>199</v>
      </c>
      <c r="CY18" s="133" t="s">
        <v>165</v>
      </c>
      <c r="CZ18" s="133" t="s">
        <v>165</v>
      </c>
      <c r="DA18" s="133" t="s">
        <v>165</v>
      </c>
      <c r="DB18" s="133" t="s">
        <v>165</v>
      </c>
      <c r="DC18" s="133" t="s">
        <v>165</v>
      </c>
      <c r="DD18" s="133" t="s">
        <v>165</v>
      </c>
      <c r="DE18" s="133" t="s">
        <v>165</v>
      </c>
      <c r="DF18" s="133" t="s">
        <v>165</v>
      </c>
      <c r="DG18" s="133" t="s">
        <v>165</v>
      </c>
      <c r="DH18" s="133" t="s">
        <v>165</v>
      </c>
      <c r="DI18" s="133" t="s">
        <v>165</v>
      </c>
      <c r="DJ18" s="133" t="s">
        <v>165</v>
      </c>
      <c r="DK18" s="145">
        <v>432.56244218316402</v>
      </c>
      <c r="DL18" t="s">
        <v>204</v>
      </c>
      <c r="DM18">
        <v>37.1</v>
      </c>
      <c r="DN18" t="s">
        <v>205</v>
      </c>
      <c r="DO18">
        <v>39.61</v>
      </c>
      <c r="DP18" t="s">
        <v>183</v>
      </c>
      <c r="DQ18" s="146">
        <f t="shared" si="0"/>
        <v>0.102261</v>
      </c>
      <c r="DR18" t="s">
        <v>184</v>
      </c>
      <c r="DS18" t="s">
        <v>200</v>
      </c>
      <c r="DT18" t="s">
        <v>201</v>
      </c>
      <c r="DU18">
        <v>1.0271999999999999</v>
      </c>
      <c r="DV18" t="s">
        <v>165</v>
      </c>
      <c r="DW18" t="s">
        <v>165</v>
      </c>
      <c r="DX18" t="s">
        <v>197</v>
      </c>
      <c r="DY18" t="s">
        <v>181</v>
      </c>
      <c r="DZ18" t="s">
        <v>181</v>
      </c>
      <c r="EA18" t="s">
        <v>202</v>
      </c>
      <c r="EB18" t="s">
        <v>203</v>
      </c>
      <c r="EC18" s="147" t="s">
        <v>206</v>
      </c>
      <c r="ED18" s="147" t="s">
        <v>206</v>
      </c>
      <c r="EE18" s="133" t="s">
        <v>165</v>
      </c>
      <c r="EF18" s="133" t="s">
        <v>165</v>
      </c>
      <c r="EG18" s="133" t="s">
        <v>165</v>
      </c>
      <c r="EH18" t="s">
        <v>185</v>
      </c>
      <c r="EI18" t="s">
        <v>179</v>
      </c>
      <c r="EJ18" t="s">
        <v>165</v>
      </c>
      <c r="EK18">
        <v>2344</v>
      </c>
      <c r="EL18" s="147" t="s">
        <v>211</v>
      </c>
      <c r="EM18" s="147">
        <v>175</v>
      </c>
      <c r="EN18">
        <v>175</v>
      </c>
      <c r="EO18" t="s">
        <v>165</v>
      </c>
      <c r="EP18" t="s">
        <v>165</v>
      </c>
      <c r="EQ18" t="s">
        <v>165</v>
      </c>
      <c r="ER18" t="s">
        <v>165</v>
      </c>
      <c r="ES18" s="148">
        <v>8.23951466013086</v>
      </c>
      <c r="ET18" t="s">
        <v>187</v>
      </c>
      <c r="EU18" s="133" t="s">
        <v>165</v>
      </c>
      <c r="EV18" s="133" t="s">
        <v>165</v>
      </c>
      <c r="EW18" s="149">
        <v>222.60470924740699</v>
      </c>
      <c r="EX18">
        <v>21</v>
      </c>
      <c r="EY18" t="s">
        <v>186</v>
      </c>
      <c r="EZ18" s="149">
        <v>201.60470924740699</v>
      </c>
      <c r="FA18" s="149">
        <v>36.202657416073009</v>
      </c>
      <c r="FB18" s="149">
        <v>32.92038946192298</v>
      </c>
      <c r="FC18" t="s">
        <v>176</v>
      </c>
      <c r="FD18" t="s">
        <v>188</v>
      </c>
      <c r="FE18" t="s">
        <v>165</v>
      </c>
      <c r="FF18" t="s">
        <v>165</v>
      </c>
      <c r="FG18" t="s">
        <v>165</v>
      </c>
      <c r="FH18" t="s">
        <v>165</v>
      </c>
      <c r="FI18" t="s">
        <v>165</v>
      </c>
      <c r="FJ18" t="s">
        <v>165</v>
      </c>
      <c r="FK18" t="s">
        <v>165</v>
      </c>
      <c r="FL18" t="s">
        <v>165</v>
      </c>
      <c r="FM18" t="s">
        <v>165</v>
      </c>
      <c r="FN18" t="s">
        <v>165</v>
      </c>
      <c r="FO18" t="s">
        <v>165</v>
      </c>
      <c r="FP18" t="s">
        <v>165</v>
      </c>
    </row>
    <row r="19" spans="1:172">
      <c r="A19" s="131" t="s">
        <v>154</v>
      </c>
      <c r="B19" t="s">
        <v>155</v>
      </c>
      <c r="C19">
        <v>2017</v>
      </c>
      <c r="D19" s="132" t="s">
        <v>156</v>
      </c>
      <c r="E19" s="145">
        <f t="shared" si="1"/>
        <v>24.38</v>
      </c>
      <c r="F19">
        <f t="shared" si="2"/>
        <v>2</v>
      </c>
      <c r="G19">
        <f t="shared" si="3"/>
        <v>2</v>
      </c>
      <c r="H19" s="149">
        <f t="shared" si="4"/>
        <v>179.59555905589201</v>
      </c>
      <c r="I19" s="149">
        <f t="shared" si="5"/>
        <v>32.575978597909</v>
      </c>
      <c r="J19" s="149">
        <f t="shared" si="6"/>
        <v>30.356137318982007</v>
      </c>
      <c r="K19" t="s">
        <v>209</v>
      </c>
      <c r="L19" s="132" t="s">
        <v>210</v>
      </c>
      <c r="M19" s="1" t="s">
        <v>157</v>
      </c>
      <c r="N19" s="132" t="s">
        <v>156</v>
      </c>
      <c r="O19" t="s">
        <v>158</v>
      </c>
      <c r="P19" t="s">
        <v>159</v>
      </c>
      <c r="Q19" s="133">
        <v>1</v>
      </c>
      <c r="R19" s="133">
        <v>1</v>
      </c>
      <c r="S19" s="133">
        <v>113</v>
      </c>
      <c r="T19" s="133">
        <v>115</v>
      </c>
      <c r="U19" s="134">
        <v>1.1299999999999999</v>
      </c>
      <c r="V19" s="134">
        <v>1.1299999999999999</v>
      </c>
      <c r="W19" t="s">
        <v>165</v>
      </c>
      <c r="X19" t="s">
        <v>160</v>
      </c>
      <c r="Y19" s="135">
        <v>12.74</v>
      </c>
      <c r="Z19" s="135">
        <v>-78.739999999999995</v>
      </c>
      <c r="AA19" t="s">
        <v>165</v>
      </c>
      <c r="AB19" t="s">
        <v>165</v>
      </c>
      <c r="AC19">
        <v>-2839</v>
      </c>
      <c r="AD19" t="s">
        <v>165</v>
      </c>
      <c r="AE19" t="s">
        <v>165</v>
      </c>
      <c r="AF19" t="s">
        <v>165</v>
      </c>
      <c r="AG19" s="145">
        <v>24.38</v>
      </c>
      <c r="AH19" t="s">
        <v>163</v>
      </c>
      <c r="AI19">
        <v>2</v>
      </c>
      <c r="AJ19">
        <v>2</v>
      </c>
      <c r="AK19" t="s">
        <v>165</v>
      </c>
      <c r="AL19" t="s">
        <v>164</v>
      </c>
      <c r="AM19" t="s">
        <v>165</v>
      </c>
      <c r="AN19" t="s">
        <v>165</v>
      </c>
      <c r="AO19" t="s">
        <v>165</v>
      </c>
      <c r="AP19" t="s">
        <v>165</v>
      </c>
      <c r="AQ19" t="s">
        <v>165</v>
      </c>
      <c r="AR19" t="s">
        <v>165</v>
      </c>
      <c r="AS19" t="s">
        <v>165</v>
      </c>
      <c r="AT19" t="s">
        <v>165</v>
      </c>
      <c r="AU19" t="s">
        <v>166</v>
      </c>
      <c r="AV19" t="s">
        <v>167</v>
      </c>
      <c r="AW19" t="s">
        <v>168</v>
      </c>
      <c r="AX19" s="154">
        <v>2</v>
      </c>
      <c r="AY19" t="s">
        <v>169</v>
      </c>
      <c r="AZ19" t="s">
        <v>170</v>
      </c>
      <c r="BA19" t="s">
        <v>171</v>
      </c>
      <c r="BB19" t="s">
        <v>165</v>
      </c>
      <c r="BC19" s="154">
        <v>2</v>
      </c>
      <c r="BD19" s="133" t="s">
        <v>165</v>
      </c>
      <c r="BE19" s="134">
        <v>21.51</v>
      </c>
      <c r="BF19" t="s">
        <v>172</v>
      </c>
      <c r="BG19" s="146">
        <v>0.14000000000000001</v>
      </c>
      <c r="BH19">
        <v>0.64</v>
      </c>
      <c r="BI19" t="s">
        <v>173</v>
      </c>
      <c r="BJ19">
        <v>3.4000000000000002E-2</v>
      </c>
      <c r="BK19">
        <v>9.1</v>
      </c>
      <c r="BL19" t="s">
        <v>163</v>
      </c>
      <c r="BM19">
        <v>0.56000000000000005</v>
      </c>
      <c r="BN19" t="s">
        <v>174</v>
      </c>
      <c r="BO19" t="s">
        <v>175</v>
      </c>
      <c r="BP19" s="155">
        <f t="shared" si="7"/>
        <v>21.06666666666667</v>
      </c>
      <c r="BQ19" s="133" t="s">
        <v>183</v>
      </c>
      <c r="BR19" s="133" t="s">
        <v>165</v>
      </c>
      <c r="BS19" s="133" t="s">
        <v>165</v>
      </c>
      <c r="BT19" t="s">
        <v>176</v>
      </c>
      <c r="BU19" s="133">
        <v>10</v>
      </c>
      <c r="BV19" s="133" t="s">
        <v>198</v>
      </c>
      <c r="BW19" s="133" t="s">
        <v>165</v>
      </c>
      <c r="BX19" s="145">
        <v>26.15</v>
      </c>
      <c r="BY19" t="s">
        <v>163</v>
      </c>
      <c r="BZ19">
        <v>3</v>
      </c>
      <c r="CA19">
        <v>3</v>
      </c>
      <c r="CB19" t="s">
        <v>165</v>
      </c>
      <c r="CC19" s="146">
        <v>3.819</v>
      </c>
      <c r="CD19" t="s">
        <v>180</v>
      </c>
      <c r="CE19" s="146">
        <v>0.15276000000000001</v>
      </c>
      <c r="CF19" s="146">
        <v>0.15276000000000001</v>
      </c>
      <c r="CG19" s="156" t="s">
        <v>165</v>
      </c>
      <c r="CH19" t="s">
        <v>207</v>
      </c>
      <c r="CI19" t="s">
        <v>165</v>
      </c>
      <c r="CJ19" t="s">
        <v>178</v>
      </c>
      <c r="CK19" t="s">
        <v>181</v>
      </c>
      <c r="CL19" t="s">
        <v>181</v>
      </c>
      <c r="CM19" t="s">
        <v>181</v>
      </c>
      <c r="CN19" t="s">
        <v>165</v>
      </c>
      <c r="CO19" t="s">
        <v>165</v>
      </c>
      <c r="CP19" t="s">
        <v>165</v>
      </c>
      <c r="CQ19" t="s">
        <v>165</v>
      </c>
      <c r="CR19" t="s">
        <v>165</v>
      </c>
      <c r="CS19" t="s">
        <v>165</v>
      </c>
      <c r="CT19" t="s">
        <v>165</v>
      </c>
      <c r="CU19">
        <v>35</v>
      </c>
      <c r="CV19" t="s">
        <v>183</v>
      </c>
      <c r="CW19" s="154">
        <v>3</v>
      </c>
      <c r="CX19" s="133" t="s">
        <v>199</v>
      </c>
      <c r="CY19" s="133" t="s">
        <v>165</v>
      </c>
      <c r="CZ19" s="133" t="s">
        <v>165</v>
      </c>
      <c r="DA19" s="133" t="s">
        <v>165</v>
      </c>
      <c r="DB19" s="133" t="s">
        <v>165</v>
      </c>
      <c r="DC19" s="133" t="s">
        <v>165</v>
      </c>
      <c r="DD19" s="133" t="s">
        <v>165</v>
      </c>
      <c r="DE19" s="133" t="s">
        <v>165</v>
      </c>
      <c r="DF19" s="133" t="s">
        <v>165</v>
      </c>
      <c r="DG19" s="133" t="s">
        <v>165</v>
      </c>
      <c r="DH19" s="133" t="s">
        <v>165</v>
      </c>
      <c r="DI19" s="133" t="s">
        <v>165</v>
      </c>
      <c r="DJ19" s="133" t="s">
        <v>165</v>
      </c>
      <c r="DK19" s="145">
        <v>432.56244218316402</v>
      </c>
      <c r="DL19" t="s">
        <v>204</v>
      </c>
      <c r="DM19">
        <v>37.1</v>
      </c>
      <c r="DN19" t="s">
        <v>205</v>
      </c>
      <c r="DO19">
        <v>39.61</v>
      </c>
      <c r="DP19" t="s">
        <v>183</v>
      </c>
      <c r="DQ19" s="146">
        <f t="shared" si="0"/>
        <v>0.102438</v>
      </c>
      <c r="DR19" t="s">
        <v>184</v>
      </c>
      <c r="DS19" t="s">
        <v>200</v>
      </c>
      <c r="DT19" t="s">
        <v>201</v>
      </c>
      <c r="DU19">
        <v>1.0271999999999999</v>
      </c>
      <c r="DV19" t="s">
        <v>165</v>
      </c>
      <c r="DW19" t="s">
        <v>165</v>
      </c>
      <c r="DX19" t="s">
        <v>197</v>
      </c>
      <c r="DY19" t="s">
        <v>181</v>
      </c>
      <c r="DZ19" t="s">
        <v>181</v>
      </c>
      <c r="EA19" t="s">
        <v>202</v>
      </c>
      <c r="EB19" t="s">
        <v>203</v>
      </c>
      <c r="EC19" s="147" t="s">
        <v>206</v>
      </c>
      <c r="ED19" s="147" t="s">
        <v>206</v>
      </c>
      <c r="EE19" s="133" t="s">
        <v>165</v>
      </c>
      <c r="EF19" s="133" t="s">
        <v>165</v>
      </c>
      <c r="EG19" s="133" t="s">
        <v>165</v>
      </c>
      <c r="EH19" t="s">
        <v>185</v>
      </c>
      <c r="EI19" t="s">
        <v>179</v>
      </c>
      <c r="EJ19" t="s">
        <v>165</v>
      </c>
      <c r="EK19">
        <v>2345</v>
      </c>
      <c r="EL19" s="147" t="s">
        <v>211</v>
      </c>
      <c r="EM19" s="147">
        <v>175</v>
      </c>
      <c r="EN19">
        <v>175</v>
      </c>
      <c r="EO19" t="s">
        <v>165</v>
      </c>
      <c r="EP19" t="s">
        <v>165</v>
      </c>
      <c r="EQ19" t="s">
        <v>165</v>
      </c>
      <c r="ER19" t="s">
        <v>165</v>
      </c>
      <c r="ES19" s="148">
        <v>8.2738869101913508</v>
      </c>
      <c r="ET19" t="s">
        <v>187</v>
      </c>
      <c r="EU19" s="133" t="s">
        <v>165</v>
      </c>
      <c r="EV19" s="133" t="s">
        <v>165</v>
      </c>
      <c r="EW19" s="149">
        <v>200.59555905589201</v>
      </c>
      <c r="EX19">
        <v>21</v>
      </c>
      <c r="EY19" t="s">
        <v>186</v>
      </c>
      <c r="EZ19" s="149">
        <v>179.59555905589201</v>
      </c>
      <c r="FA19" s="149">
        <v>32.575978597909</v>
      </c>
      <c r="FB19" s="149">
        <v>30.356137318982007</v>
      </c>
      <c r="FC19" t="s">
        <v>176</v>
      </c>
      <c r="FD19" t="s">
        <v>188</v>
      </c>
      <c r="FE19" t="s">
        <v>165</v>
      </c>
      <c r="FF19" t="s">
        <v>165</v>
      </c>
      <c r="FG19" t="s">
        <v>165</v>
      </c>
      <c r="FH19" t="s">
        <v>165</v>
      </c>
      <c r="FI19" t="s">
        <v>165</v>
      </c>
      <c r="FJ19" t="s">
        <v>165</v>
      </c>
      <c r="FK19" t="s">
        <v>165</v>
      </c>
      <c r="FL19" t="s">
        <v>165</v>
      </c>
      <c r="FM19" t="s">
        <v>165</v>
      </c>
      <c r="FN19" t="s">
        <v>165</v>
      </c>
      <c r="FO19" t="s">
        <v>165</v>
      </c>
      <c r="FP19" t="s">
        <v>165</v>
      </c>
    </row>
    <row r="20" spans="1:172">
      <c r="A20" s="131" t="s">
        <v>154</v>
      </c>
      <c r="B20" t="s">
        <v>155</v>
      </c>
      <c r="C20">
        <v>2017</v>
      </c>
      <c r="D20" s="132" t="s">
        <v>156</v>
      </c>
      <c r="E20" s="145">
        <f t="shared" si="1"/>
        <v>25.51</v>
      </c>
      <c r="F20">
        <f t="shared" si="2"/>
        <v>2</v>
      </c>
      <c r="G20">
        <f t="shared" si="3"/>
        <v>2</v>
      </c>
      <c r="H20" s="149">
        <f t="shared" si="4"/>
        <v>170.823056012498</v>
      </c>
      <c r="I20" s="149">
        <f t="shared" si="5"/>
        <v>36.935389382691</v>
      </c>
      <c r="J20" s="149">
        <f t="shared" si="6"/>
        <v>32.388116416343991</v>
      </c>
      <c r="K20" t="s">
        <v>209</v>
      </c>
      <c r="L20" s="132" t="s">
        <v>210</v>
      </c>
      <c r="M20" s="1" t="s">
        <v>157</v>
      </c>
      <c r="N20" s="132" t="s">
        <v>156</v>
      </c>
      <c r="O20" t="s">
        <v>158</v>
      </c>
      <c r="P20" t="s">
        <v>159</v>
      </c>
      <c r="Q20" s="133">
        <v>1</v>
      </c>
      <c r="R20" s="133">
        <v>1</v>
      </c>
      <c r="S20" s="133">
        <v>120</v>
      </c>
      <c r="T20" s="133">
        <v>122</v>
      </c>
      <c r="U20" s="134">
        <v>1.2</v>
      </c>
      <c r="V20" s="134">
        <v>1.2</v>
      </c>
      <c r="W20" t="s">
        <v>165</v>
      </c>
      <c r="X20" t="s">
        <v>160</v>
      </c>
      <c r="Y20" s="135">
        <v>12.74</v>
      </c>
      <c r="Z20" s="135">
        <v>-78.739999999999995</v>
      </c>
      <c r="AA20" t="s">
        <v>165</v>
      </c>
      <c r="AB20" t="s">
        <v>165</v>
      </c>
      <c r="AC20">
        <v>-2839</v>
      </c>
      <c r="AD20" t="s">
        <v>165</v>
      </c>
      <c r="AE20" t="s">
        <v>165</v>
      </c>
      <c r="AF20" t="s">
        <v>165</v>
      </c>
      <c r="AG20" s="145">
        <v>25.51</v>
      </c>
      <c r="AH20" t="s">
        <v>163</v>
      </c>
      <c r="AI20">
        <v>2</v>
      </c>
      <c r="AJ20">
        <v>2</v>
      </c>
      <c r="AK20" t="s">
        <v>165</v>
      </c>
      <c r="AL20" t="s">
        <v>164</v>
      </c>
      <c r="AM20" t="s">
        <v>165</v>
      </c>
      <c r="AN20" t="s">
        <v>165</v>
      </c>
      <c r="AO20" t="s">
        <v>165</v>
      </c>
      <c r="AP20" t="s">
        <v>165</v>
      </c>
      <c r="AQ20" t="s">
        <v>165</v>
      </c>
      <c r="AR20" t="s">
        <v>165</v>
      </c>
      <c r="AS20" t="s">
        <v>165</v>
      </c>
      <c r="AT20" t="s">
        <v>165</v>
      </c>
      <c r="AU20" t="s">
        <v>166</v>
      </c>
      <c r="AV20" t="s">
        <v>167</v>
      </c>
      <c r="AW20" t="s">
        <v>168</v>
      </c>
      <c r="AX20" s="154">
        <v>2</v>
      </c>
      <c r="AY20" t="s">
        <v>169</v>
      </c>
      <c r="AZ20" t="s">
        <v>170</v>
      </c>
      <c r="BA20" t="s">
        <v>171</v>
      </c>
      <c r="BB20" t="s">
        <v>165</v>
      </c>
      <c r="BC20" s="154">
        <v>2</v>
      </c>
      <c r="BD20" s="133" t="s">
        <v>165</v>
      </c>
      <c r="BE20" s="134">
        <v>21.62</v>
      </c>
      <c r="BF20" t="s">
        <v>172</v>
      </c>
      <c r="BG20" s="146">
        <v>0.24</v>
      </c>
      <c r="BH20">
        <v>0.64</v>
      </c>
      <c r="BI20" t="s">
        <v>173</v>
      </c>
      <c r="BJ20">
        <v>3.4000000000000002E-2</v>
      </c>
      <c r="BK20">
        <v>9.1</v>
      </c>
      <c r="BL20" t="s">
        <v>163</v>
      </c>
      <c r="BM20">
        <v>0.56000000000000005</v>
      </c>
      <c r="BN20" t="s">
        <v>174</v>
      </c>
      <c r="BO20" t="s">
        <v>175</v>
      </c>
      <c r="BP20" s="155">
        <f t="shared" si="7"/>
        <v>21.250000000000004</v>
      </c>
      <c r="BQ20" s="133" t="s">
        <v>183</v>
      </c>
      <c r="BR20" s="133" t="s">
        <v>165</v>
      </c>
      <c r="BS20" s="133" t="s">
        <v>165</v>
      </c>
      <c r="BT20" t="s">
        <v>176</v>
      </c>
      <c r="BU20" s="133">
        <v>10</v>
      </c>
      <c r="BV20" s="133" t="s">
        <v>198</v>
      </c>
      <c r="BW20" s="133" t="s">
        <v>165</v>
      </c>
      <c r="BX20" s="145">
        <v>26.05</v>
      </c>
      <c r="BY20" t="s">
        <v>163</v>
      </c>
      <c r="BZ20">
        <v>3</v>
      </c>
      <c r="CA20">
        <v>3</v>
      </c>
      <c r="CB20" t="s">
        <v>165</v>
      </c>
      <c r="CC20" s="146">
        <v>3.7120000000000002</v>
      </c>
      <c r="CD20" t="s">
        <v>180</v>
      </c>
      <c r="CE20" s="146">
        <v>0.14848</v>
      </c>
      <c r="CF20" s="146">
        <v>0.14848</v>
      </c>
      <c r="CG20" s="156" t="s">
        <v>165</v>
      </c>
      <c r="CH20" t="s">
        <v>207</v>
      </c>
      <c r="CI20" t="s">
        <v>165</v>
      </c>
      <c r="CJ20" t="s">
        <v>178</v>
      </c>
      <c r="CK20" t="s">
        <v>181</v>
      </c>
      <c r="CL20" t="s">
        <v>181</v>
      </c>
      <c r="CM20" t="s">
        <v>181</v>
      </c>
      <c r="CN20" t="s">
        <v>165</v>
      </c>
      <c r="CO20" t="s">
        <v>165</v>
      </c>
      <c r="CP20" t="s">
        <v>165</v>
      </c>
      <c r="CQ20" t="s">
        <v>165</v>
      </c>
      <c r="CR20" t="s">
        <v>165</v>
      </c>
      <c r="CS20" t="s">
        <v>165</v>
      </c>
      <c r="CT20" t="s">
        <v>165</v>
      </c>
      <c r="CU20">
        <v>35</v>
      </c>
      <c r="CV20" t="s">
        <v>183</v>
      </c>
      <c r="CW20" s="154">
        <v>3</v>
      </c>
      <c r="CX20" s="133" t="s">
        <v>199</v>
      </c>
      <c r="CY20" s="133" t="s">
        <v>165</v>
      </c>
      <c r="CZ20" s="133" t="s">
        <v>165</v>
      </c>
      <c r="DA20" s="133" t="s">
        <v>165</v>
      </c>
      <c r="DB20" s="133" t="s">
        <v>165</v>
      </c>
      <c r="DC20" s="133" t="s">
        <v>165</v>
      </c>
      <c r="DD20" s="133" t="s">
        <v>165</v>
      </c>
      <c r="DE20" s="133" t="s">
        <v>165</v>
      </c>
      <c r="DF20" s="133" t="s">
        <v>165</v>
      </c>
      <c r="DG20" s="133" t="s">
        <v>165</v>
      </c>
      <c r="DH20" s="133" t="s">
        <v>165</v>
      </c>
      <c r="DI20" s="133" t="s">
        <v>165</v>
      </c>
      <c r="DJ20" s="133" t="s">
        <v>165</v>
      </c>
      <c r="DK20" s="145">
        <v>432.56244218316402</v>
      </c>
      <c r="DL20" t="s">
        <v>204</v>
      </c>
      <c r="DM20">
        <v>37.1</v>
      </c>
      <c r="DN20" t="s">
        <v>205</v>
      </c>
      <c r="DO20">
        <v>39.61</v>
      </c>
      <c r="DP20" t="s">
        <v>183</v>
      </c>
      <c r="DQ20" s="146">
        <f t="shared" si="0"/>
        <v>0.102551</v>
      </c>
      <c r="DR20" t="s">
        <v>184</v>
      </c>
      <c r="DS20" t="s">
        <v>200</v>
      </c>
      <c r="DT20" t="s">
        <v>201</v>
      </c>
      <c r="DU20">
        <v>1.0271999999999999</v>
      </c>
      <c r="DV20" t="s">
        <v>165</v>
      </c>
      <c r="DW20" t="s">
        <v>165</v>
      </c>
      <c r="DX20" t="s">
        <v>197</v>
      </c>
      <c r="DY20" t="s">
        <v>181</v>
      </c>
      <c r="DZ20" t="s">
        <v>181</v>
      </c>
      <c r="EA20" t="s">
        <v>202</v>
      </c>
      <c r="EB20" t="s">
        <v>203</v>
      </c>
      <c r="EC20" s="147" t="s">
        <v>206</v>
      </c>
      <c r="ED20" s="147" t="s">
        <v>206</v>
      </c>
      <c r="EE20" s="133" t="s">
        <v>165</v>
      </c>
      <c r="EF20" s="133" t="s">
        <v>165</v>
      </c>
      <c r="EG20" s="133" t="s">
        <v>165</v>
      </c>
      <c r="EH20" t="s">
        <v>185</v>
      </c>
      <c r="EI20" t="s">
        <v>179</v>
      </c>
      <c r="EJ20" t="s">
        <v>165</v>
      </c>
      <c r="EK20">
        <v>2346</v>
      </c>
      <c r="EL20" s="147" t="s">
        <v>211</v>
      </c>
      <c r="EM20" s="147">
        <v>175</v>
      </c>
      <c r="EN20">
        <v>175</v>
      </c>
      <c r="EO20" t="s">
        <v>165</v>
      </c>
      <c r="EP20" t="s">
        <v>165</v>
      </c>
      <c r="EQ20" t="s">
        <v>165</v>
      </c>
      <c r="ER20" t="s">
        <v>165</v>
      </c>
      <c r="ES20" s="148">
        <v>8.2888475795376895</v>
      </c>
      <c r="ET20" t="s">
        <v>187</v>
      </c>
      <c r="EU20" s="133" t="s">
        <v>165</v>
      </c>
      <c r="EV20" s="133" t="s">
        <v>165</v>
      </c>
      <c r="EW20" s="149">
        <v>191.823056012498</v>
      </c>
      <c r="EX20">
        <v>21</v>
      </c>
      <c r="EY20" t="s">
        <v>186</v>
      </c>
      <c r="EZ20" s="149">
        <v>170.823056012498</v>
      </c>
      <c r="FA20" s="149">
        <v>36.935389382691</v>
      </c>
      <c r="FB20" s="149">
        <v>32.388116416343991</v>
      </c>
      <c r="FC20" t="s">
        <v>176</v>
      </c>
      <c r="FD20" t="s">
        <v>188</v>
      </c>
      <c r="FE20" t="s">
        <v>165</v>
      </c>
      <c r="FF20" t="s">
        <v>165</v>
      </c>
      <c r="FG20" t="s">
        <v>165</v>
      </c>
      <c r="FH20" t="s">
        <v>165</v>
      </c>
      <c r="FI20" t="s">
        <v>165</v>
      </c>
      <c r="FJ20" t="s">
        <v>165</v>
      </c>
      <c r="FK20" t="s">
        <v>165</v>
      </c>
      <c r="FL20" t="s">
        <v>165</v>
      </c>
      <c r="FM20" t="s">
        <v>165</v>
      </c>
      <c r="FN20" t="s">
        <v>165</v>
      </c>
      <c r="FO20" t="s">
        <v>165</v>
      </c>
      <c r="FP20" t="s">
        <v>165</v>
      </c>
    </row>
    <row r="21" spans="1:172">
      <c r="A21" s="131" t="s">
        <v>154</v>
      </c>
      <c r="B21" t="s">
        <v>155</v>
      </c>
      <c r="C21">
        <v>2017</v>
      </c>
      <c r="D21" s="132" t="s">
        <v>156</v>
      </c>
      <c r="E21" s="145">
        <f t="shared" si="1"/>
        <v>25.51</v>
      </c>
      <c r="F21">
        <f t="shared" si="2"/>
        <v>2</v>
      </c>
      <c r="G21">
        <f t="shared" si="3"/>
        <v>2</v>
      </c>
      <c r="H21" s="149">
        <f t="shared" si="4"/>
        <v>165.81119956925201</v>
      </c>
      <c r="I21" s="149">
        <f t="shared" si="5"/>
        <v>32.282159129169003</v>
      </c>
      <c r="J21" s="149">
        <f t="shared" si="6"/>
        <v>28.98503209772602</v>
      </c>
      <c r="K21" t="s">
        <v>209</v>
      </c>
      <c r="L21" s="132" t="s">
        <v>210</v>
      </c>
      <c r="M21" s="1" t="s">
        <v>157</v>
      </c>
      <c r="N21" s="132" t="s">
        <v>156</v>
      </c>
      <c r="O21" t="s">
        <v>158</v>
      </c>
      <c r="P21" t="s">
        <v>159</v>
      </c>
      <c r="Q21" s="133">
        <v>1</v>
      </c>
      <c r="R21" s="133">
        <v>1</v>
      </c>
      <c r="S21" s="133">
        <v>120</v>
      </c>
      <c r="T21" s="133">
        <v>122</v>
      </c>
      <c r="U21" s="134">
        <v>1.2</v>
      </c>
      <c r="V21" s="134">
        <v>1.2</v>
      </c>
      <c r="W21" t="s">
        <v>165</v>
      </c>
      <c r="X21" t="s">
        <v>160</v>
      </c>
      <c r="Y21" s="135">
        <v>12.74</v>
      </c>
      <c r="Z21" s="135">
        <v>-78.739999999999995</v>
      </c>
      <c r="AA21" t="s">
        <v>165</v>
      </c>
      <c r="AB21" t="s">
        <v>165</v>
      </c>
      <c r="AC21">
        <v>-2839</v>
      </c>
      <c r="AD21" t="s">
        <v>165</v>
      </c>
      <c r="AE21" t="s">
        <v>165</v>
      </c>
      <c r="AF21" t="s">
        <v>165</v>
      </c>
      <c r="AG21" s="145">
        <v>25.51</v>
      </c>
      <c r="AH21" t="s">
        <v>163</v>
      </c>
      <c r="AI21">
        <v>2</v>
      </c>
      <c r="AJ21">
        <v>2</v>
      </c>
      <c r="AK21" t="s">
        <v>165</v>
      </c>
      <c r="AL21" t="s">
        <v>164</v>
      </c>
      <c r="AM21" t="s">
        <v>165</v>
      </c>
      <c r="AN21" t="s">
        <v>165</v>
      </c>
      <c r="AO21" t="s">
        <v>165</v>
      </c>
      <c r="AP21" t="s">
        <v>165</v>
      </c>
      <c r="AQ21" t="s">
        <v>165</v>
      </c>
      <c r="AR21" t="s">
        <v>165</v>
      </c>
      <c r="AS21" t="s">
        <v>165</v>
      </c>
      <c r="AT21" t="s">
        <v>165</v>
      </c>
      <c r="AU21" t="s">
        <v>166</v>
      </c>
      <c r="AV21" t="s">
        <v>167</v>
      </c>
      <c r="AW21" t="s">
        <v>168</v>
      </c>
      <c r="AX21" s="154">
        <v>2</v>
      </c>
      <c r="AY21" t="s">
        <v>169</v>
      </c>
      <c r="AZ21" t="s">
        <v>170</v>
      </c>
      <c r="BA21" t="s">
        <v>171</v>
      </c>
      <c r="BB21" t="s">
        <v>165</v>
      </c>
      <c r="BC21" s="154">
        <v>2</v>
      </c>
      <c r="BD21" s="133" t="s">
        <v>165</v>
      </c>
      <c r="BE21" s="134">
        <v>21.69</v>
      </c>
      <c r="BF21" t="s">
        <v>172</v>
      </c>
      <c r="BG21" s="146">
        <v>0.16</v>
      </c>
      <c r="BH21">
        <v>0.64</v>
      </c>
      <c r="BI21" t="s">
        <v>173</v>
      </c>
      <c r="BJ21">
        <v>3.4000000000000002E-2</v>
      </c>
      <c r="BK21">
        <v>9.1</v>
      </c>
      <c r="BL21" t="s">
        <v>163</v>
      </c>
      <c r="BM21">
        <v>0.56000000000000005</v>
      </c>
      <c r="BN21" t="s">
        <v>174</v>
      </c>
      <c r="BO21" t="s">
        <v>175</v>
      </c>
      <c r="BP21" s="155">
        <f t="shared" si="7"/>
        <v>21.366666666666671</v>
      </c>
      <c r="BQ21" s="133" t="s">
        <v>183</v>
      </c>
      <c r="BR21" s="133" t="s">
        <v>165</v>
      </c>
      <c r="BS21" s="133" t="s">
        <v>165</v>
      </c>
      <c r="BT21" t="s">
        <v>176</v>
      </c>
      <c r="BU21" s="133">
        <v>10</v>
      </c>
      <c r="BV21" s="133" t="s">
        <v>198</v>
      </c>
      <c r="BW21" s="133" t="s">
        <v>165</v>
      </c>
      <c r="BX21" s="145">
        <v>26.05</v>
      </c>
      <c r="BY21" t="s">
        <v>163</v>
      </c>
      <c r="BZ21">
        <v>3</v>
      </c>
      <c r="CA21">
        <v>3</v>
      </c>
      <c r="CB21" t="s">
        <v>165</v>
      </c>
      <c r="CC21" s="146">
        <v>3.5369999999999999</v>
      </c>
      <c r="CD21" t="s">
        <v>180</v>
      </c>
      <c r="CE21" s="146">
        <v>0.14147999999999999</v>
      </c>
      <c r="CF21" s="146">
        <v>0.14147999999999999</v>
      </c>
      <c r="CG21" s="156" t="s">
        <v>165</v>
      </c>
      <c r="CH21" t="s">
        <v>207</v>
      </c>
      <c r="CI21" t="s">
        <v>165</v>
      </c>
      <c r="CJ21" t="s">
        <v>178</v>
      </c>
      <c r="CK21" t="s">
        <v>181</v>
      </c>
      <c r="CL21" t="s">
        <v>181</v>
      </c>
      <c r="CM21" t="s">
        <v>181</v>
      </c>
      <c r="CN21" t="s">
        <v>165</v>
      </c>
      <c r="CO21" t="s">
        <v>165</v>
      </c>
      <c r="CP21" t="s">
        <v>165</v>
      </c>
      <c r="CQ21" t="s">
        <v>165</v>
      </c>
      <c r="CR21" t="s">
        <v>165</v>
      </c>
      <c r="CS21" t="s">
        <v>165</v>
      </c>
      <c r="CT21" t="s">
        <v>165</v>
      </c>
      <c r="CU21">
        <v>35</v>
      </c>
      <c r="CV21" t="s">
        <v>183</v>
      </c>
      <c r="CW21" s="154">
        <v>3</v>
      </c>
      <c r="CX21" s="133" t="s">
        <v>199</v>
      </c>
      <c r="CY21" s="133" t="s">
        <v>165</v>
      </c>
      <c r="CZ21" s="133" t="s">
        <v>165</v>
      </c>
      <c r="DA21" s="133" t="s">
        <v>165</v>
      </c>
      <c r="DB21" s="133" t="s">
        <v>165</v>
      </c>
      <c r="DC21" s="133" t="s">
        <v>165</v>
      </c>
      <c r="DD21" s="133" t="s">
        <v>165</v>
      </c>
      <c r="DE21" s="133" t="s">
        <v>165</v>
      </c>
      <c r="DF21" s="133" t="s">
        <v>165</v>
      </c>
      <c r="DG21" s="133" t="s">
        <v>165</v>
      </c>
      <c r="DH21" s="133" t="s">
        <v>165</v>
      </c>
      <c r="DI21" s="133" t="s">
        <v>165</v>
      </c>
      <c r="DJ21" s="133" t="s">
        <v>165</v>
      </c>
      <c r="DK21" s="145">
        <v>432.56244218316402</v>
      </c>
      <c r="DL21" t="s">
        <v>204</v>
      </c>
      <c r="DM21">
        <v>37.1</v>
      </c>
      <c r="DN21" t="s">
        <v>205</v>
      </c>
      <c r="DO21">
        <v>39.61</v>
      </c>
      <c r="DP21" t="s">
        <v>183</v>
      </c>
      <c r="DQ21" s="146">
        <f t="shared" si="0"/>
        <v>0.102551</v>
      </c>
      <c r="DR21" t="s">
        <v>184</v>
      </c>
      <c r="DS21" t="s">
        <v>200</v>
      </c>
      <c r="DT21" t="s">
        <v>201</v>
      </c>
      <c r="DU21">
        <v>1.0271999999999999</v>
      </c>
      <c r="DV21" t="s">
        <v>165</v>
      </c>
      <c r="DW21" t="s">
        <v>165</v>
      </c>
      <c r="DX21" t="s">
        <v>197</v>
      </c>
      <c r="DY21" t="s">
        <v>181</v>
      </c>
      <c r="DZ21" t="s">
        <v>181</v>
      </c>
      <c r="EA21" t="s">
        <v>202</v>
      </c>
      <c r="EB21" t="s">
        <v>203</v>
      </c>
      <c r="EC21" s="147" t="s">
        <v>206</v>
      </c>
      <c r="ED21" s="147" t="s">
        <v>206</v>
      </c>
      <c r="EE21" s="133" t="s">
        <v>165</v>
      </c>
      <c r="EF21" s="133" t="s">
        <v>165</v>
      </c>
      <c r="EG21" s="133" t="s">
        <v>165</v>
      </c>
      <c r="EH21" t="s">
        <v>185</v>
      </c>
      <c r="EI21" t="s">
        <v>179</v>
      </c>
      <c r="EJ21" t="s">
        <v>165</v>
      </c>
      <c r="EK21">
        <v>2347</v>
      </c>
      <c r="EL21" s="147" t="s">
        <v>211</v>
      </c>
      <c r="EM21" s="147">
        <v>175</v>
      </c>
      <c r="EN21">
        <v>175</v>
      </c>
      <c r="EO21" t="s">
        <v>165</v>
      </c>
      <c r="EP21" t="s">
        <v>165</v>
      </c>
      <c r="EQ21" t="s">
        <v>165</v>
      </c>
      <c r="ER21" t="s">
        <v>165</v>
      </c>
      <c r="ES21" s="148">
        <v>8.2969633351569705</v>
      </c>
      <c r="ET21" t="s">
        <v>187</v>
      </c>
      <c r="EU21" s="133" t="s">
        <v>165</v>
      </c>
      <c r="EV21" s="133" t="s">
        <v>165</v>
      </c>
      <c r="EW21" s="149">
        <v>186.81119956925201</v>
      </c>
      <c r="EX21">
        <v>21</v>
      </c>
      <c r="EY21" t="s">
        <v>186</v>
      </c>
      <c r="EZ21" s="149">
        <v>165.81119956925201</v>
      </c>
      <c r="FA21" s="149">
        <v>32.282159129169003</v>
      </c>
      <c r="FB21" s="149">
        <v>28.98503209772602</v>
      </c>
      <c r="FC21" t="s">
        <v>176</v>
      </c>
      <c r="FD21" t="s">
        <v>188</v>
      </c>
      <c r="FE21" t="s">
        <v>165</v>
      </c>
      <c r="FF21" t="s">
        <v>165</v>
      </c>
      <c r="FG21" t="s">
        <v>165</v>
      </c>
      <c r="FH21" t="s">
        <v>165</v>
      </c>
      <c r="FI21" t="s">
        <v>165</v>
      </c>
      <c r="FJ21" t="s">
        <v>165</v>
      </c>
      <c r="FK21" t="s">
        <v>165</v>
      </c>
      <c r="FL21" t="s">
        <v>165</v>
      </c>
      <c r="FM21" t="s">
        <v>165</v>
      </c>
      <c r="FN21" t="s">
        <v>165</v>
      </c>
      <c r="FO21" t="s">
        <v>165</v>
      </c>
      <c r="FP21" t="s">
        <v>165</v>
      </c>
    </row>
    <row r="22" spans="1:172">
      <c r="A22" s="131" t="s">
        <v>154</v>
      </c>
      <c r="B22" t="s">
        <v>155</v>
      </c>
      <c r="C22">
        <v>2017</v>
      </c>
      <c r="D22" s="132" t="s">
        <v>156</v>
      </c>
      <c r="E22" s="145">
        <f t="shared" si="1"/>
        <v>35.82</v>
      </c>
      <c r="F22">
        <f t="shared" si="2"/>
        <v>2</v>
      </c>
      <c r="G22">
        <f t="shared" si="3"/>
        <v>2</v>
      </c>
      <c r="H22" s="149">
        <f t="shared" si="4"/>
        <v>213.11642408947</v>
      </c>
      <c r="I22" s="149">
        <f t="shared" si="5"/>
        <v>38.187843752931002</v>
      </c>
      <c r="J22" s="149">
        <f t="shared" si="6"/>
        <v>35.116162042914993</v>
      </c>
      <c r="K22" t="s">
        <v>209</v>
      </c>
      <c r="L22" s="132" t="s">
        <v>210</v>
      </c>
      <c r="M22" s="1" t="s">
        <v>157</v>
      </c>
      <c r="N22" s="132" t="s">
        <v>156</v>
      </c>
      <c r="O22" t="s">
        <v>158</v>
      </c>
      <c r="P22" t="s">
        <v>159</v>
      </c>
      <c r="Q22" s="133">
        <v>1</v>
      </c>
      <c r="R22" s="133">
        <v>2</v>
      </c>
      <c r="S22" s="133">
        <f>T22-2</f>
        <v>20</v>
      </c>
      <c r="T22" s="133">
        <v>22</v>
      </c>
      <c r="U22" s="134">
        <v>1.72</v>
      </c>
      <c r="V22" s="134">
        <v>1.72</v>
      </c>
      <c r="W22" t="s">
        <v>165</v>
      </c>
      <c r="X22" t="s">
        <v>160</v>
      </c>
      <c r="Y22" s="135">
        <v>12.74</v>
      </c>
      <c r="Z22" s="135">
        <v>-78.739999999999995</v>
      </c>
      <c r="AA22" t="s">
        <v>165</v>
      </c>
      <c r="AB22" t="s">
        <v>165</v>
      </c>
      <c r="AC22">
        <v>-2839</v>
      </c>
      <c r="AD22" t="s">
        <v>165</v>
      </c>
      <c r="AE22" t="s">
        <v>165</v>
      </c>
      <c r="AF22" t="s">
        <v>165</v>
      </c>
      <c r="AG22" s="145">
        <v>35.82</v>
      </c>
      <c r="AH22" t="s">
        <v>163</v>
      </c>
      <c r="AI22">
        <v>2</v>
      </c>
      <c r="AJ22">
        <v>2</v>
      </c>
      <c r="AK22" t="s">
        <v>165</v>
      </c>
      <c r="AL22" t="s">
        <v>164</v>
      </c>
      <c r="AM22" t="s">
        <v>165</v>
      </c>
      <c r="AN22" t="s">
        <v>165</v>
      </c>
      <c r="AO22" t="s">
        <v>165</v>
      </c>
      <c r="AP22" t="s">
        <v>165</v>
      </c>
      <c r="AQ22" t="s">
        <v>165</v>
      </c>
      <c r="AR22" t="s">
        <v>165</v>
      </c>
      <c r="AS22" t="s">
        <v>165</v>
      </c>
      <c r="AT22" t="s">
        <v>165</v>
      </c>
      <c r="AU22" t="s">
        <v>166</v>
      </c>
      <c r="AV22" t="s">
        <v>167</v>
      </c>
      <c r="AW22" t="s">
        <v>168</v>
      </c>
      <c r="AX22" s="154">
        <v>2</v>
      </c>
      <c r="AY22" t="s">
        <v>169</v>
      </c>
      <c r="AZ22" t="s">
        <v>170</v>
      </c>
      <c r="BA22" t="s">
        <v>171</v>
      </c>
      <c r="BB22" t="s">
        <v>165</v>
      </c>
      <c r="BC22" s="154">
        <v>2</v>
      </c>
      <c r="BD22" s="133" t="s">
        <v>165</v>
      </c>
      <c r="BE22" s="134">
        <v>21.12</v>
      </c>
      <c r="BF22" t="s">
        <v>172</v>
      </c>
      <c r="BG22" s="146">
        <v>0.18</v>
      </c>
      <c r="BH22">
        <v>0.64</v>
      </c>
      <c r="BI22" t="s">
        <v>173</v>
      </c>
      <c r="BJ22">
        <v>3.4000000000000002E-2</v>
      </c>
      <c r="BK22">
        <v>9.1</v>
      </c>
      <c r="BL22" t="s">
        <v>163</v>
      </c>
      <c r="BM22">
        <v>0.56000000000000005</v>
      </c>
      <c r="BN22" t="s">
        <v>174</v>
      </c>
      <c r="BO22" t="s">
        <v>175</v>
      </c>
      <c r="BP22" s="155">
        <f t="shared" si="7"/>
        <v>20.416666666666671</v>
      </c>
      <c r="BQ22" s="133" t="s">
        <v>183</v>
      </c>
      <c r="BR22" s="133" t="s">
        <v>165</v>
      </c>
      <c r="BS22" s="133" t="s">
        <v>165</v>
      </c>
      <c r="BT22" t="s">
        <v>176</v>
      </c>
      <c r="BU22" s="133">
        <v>10</v>
      </c>
      <c r="BV22" s="133" t="s">
        <v>198</v>
      </c>
      <c r="BW22" s="133" t="s">
        <v>165</v>
      </c>
      <c r="BX22" s="145">
        <v>26.31</v>
      </c>
      <c r="BY22" t="s">
        <v>163</v>
      </c>
      <c r="BZ22">
        <v>3</v>
      </c>
      <c r="CA22">
        <v>3</v>
      </c>
      <c r="CB22" t="s">
        <v>165</v>
      </c>
      <c r="CC22" s="146">
        <v>3.3730000000000002</v>
      </c>
      <c r="CD22" t="s">
        <v>180</v>
      </c>
      <c r="CE22" s="146">
        <v>0.13492000000000001</v>
      </c>
      <c r="CF22" s="146">
        <v>0.13492000000000001</v>
      </c>
      <c r="CG22" s="156" t="s">
        <v>165</v>
      </c>
      <c r="CH22" t="s">
        <v>207</v>
      </c>
      <c r="CI22" t="s">
        <v>165</v>
      </c>
      <c r="CJ22" t="s">
        <v>178</v>
      </c>
      <c r="CK22" t="s">
        <v>181</v>
      </c>
      <c r="CL22" t="s">
        <v>181</v>
      </c>
      <c r="CM22" t="s">
        <v>181</v>
      </c>
      <c r="CN22" t="s">
        <v>165</v>
      </c>
      <c r="CO22" t="s">
        <v>165</v>
      </c>
      <c r="CP22" t="s">
        <v>165</v>
      </c>
      <c r="CQ22" t="s">
        <v>165</v>
      </c>
      <c r="CR22" t="s">
        <v>165</v>
      </c>
      <c r="CS22" t="s">
        <v>165</v>
      </c>
      <c r="CT22" t="s">
        <v>165</v>
      </c>
      <c r="CU22">
        <v>35</v>
      </c>
      <c r="CV22" t="s">
        <v>183</v>
      </c>
      <c r="CW22" s="154">
        <v>3</v>
      </c>
      <c r="CX22" s="133" t="s">
        <v>199</v>
      </c>
      <c r="CY22" s="133" t="s">
        <v>165</v>
      </c>
      <c r="CZ22" s="133" t="s">
        <v>165</v>
      </c>
      <c r="DA22" s="133" t="s">
        <v>165</v>
      </c>
      <c r="DB22" s="133" t="s">
        <v>165</v>
      </c>
      <c r="DC22" s="133" t="s">
        <v>165</v>
      </c>
      <c r="DD22" s="133" t="s">
        <v>165</v>
      </c>
      <c r="DE22" s="133" t="s">
        <v>165</v>
      </c>
      <c r="DF22" s="133" t="s">
        <v>165</v>
      </c>
      <c r="DG22" s="133" t="s">
        <v>165</v>
      </c>
      <c r="DH22" s="133" t="s">
        <v>165</v>
      </c>
      <c r="DI22" s="133" t="s">
        <v>165</v>
      </c>
      <c r="DJ22" s="133" t="s">
        <v>165</v>
      </c>
      <c r="DK22" s="145">
        <v>432.56244218316402</v>
      </c>
      <c r="DL22" t="s">
        <v>204</v>
      </c>
      <c r="DM22">
        <v>37.1</v>
      </c>
      <c r="DN22" t="s">
        <v>205</v>
      </c>
      <c r="DO22">
        <v>39.61</v>
      </c>
      <c r="DP22" t="s">
        <v>183</v>
      </c>
      <c r="DQ22" s="146">
        <f t="shared" si="0"/>
        <v>0.10358200000000001</v>
      </c>
      <c r="DR22" t="s">
        <v>184</v>
      </c>
      <c r="DS22" t="s">
        <v>200</v>
      </c>
      <c r="DT22" t="s">
        <v>201</v>
      </c>
      <c r="DU22">
        <v>1.0271999999999999</v>
      </c>
      <c r="DV22" t="s">
        <v>165</v>
      </c>
      <c r="DW22" t="s">
        <v>165</v>
      </c>
      <c r="DX22" t="s">
        <v>197</v>
      </c>
      <c r="DY22" t="s">
        <v>181</v>
      </c>
      <c r="DZ22" t="s">
        <v>181</v>
      </c>
      <c r="EA22" t="s">
        <v>202</v>
      </c>
      <c r="EB22" t="s">
        <v>203</v>
      </c>
      <c r="EC22" s="147" t="s">
        <v>206</v>
      </c>
      <c r="ED22" s="147" t="s">
        <v>206</v>
      </c>
      <c r="EE22" s="133" t="s">
        <v>165</v>
      </c>
      <c r="EF22" s="133" t="s">
        <v>165</v>
      </c>
      <c r="EG22" s="133" t="s">
        <v>165</v>
      </c>
      <c r="EH22" t="s">
        <v>185</v>
      </c>
      <c r="EI22" t="s">
        <v>179</v>
      </c>
      <c r="EJ22" t="s">
        <v>165</v>
      </c>
      <c r="EK22">
        <v>2348</v>
      </c>
      <c r="EL22" s="147" t="s">
        <v>211</v>
      </c>
      <c r="EM22" s="147">
        <v>175</v>
      </c>
      <c r="EN22">
        <v>175</v>
      </c>
      <c r="EO22" t="s">
        <v>165</v>
      </c>
      <c r="EP22" t="s">
        <v>165</v>
      </c>
      <c r="EQ22" t="s">
        <v>165</v>
      </c>
      <c r="ER22" t="s">
        <v>165</v>
      </c>
      <c r="ES22" s="148">
        <v>8.2235078985473606</v>
      </c>
      <c r="ET22" t="s">
        <v>187</v>
      </c>
      <c r="EU22" s="133" t="s">
        <v>165</v>
      </c>
      <c r="EV22" s="133" t="s">
        <v>165</v>
      </c>
      <c r="EW22" s="149">
        <v>234.11642408947</v>
      </c>
      <c r="EX22">
        <v>21</v>
      </c>
      <c r="EY22" t="s">
        <v>186</v>
      </c>
      <c r="EZ22" s="149">
        <v>213.11642408947</v>
      </c>
      <c r="FA22" s="149">
        <v>38.187843752931002</v>
      </c>
      <c r="FB22" s="149">
        <v>35.116162042914993</v>
      </c>
      <c r="FC22" t="s">
        <v>176</v>
      </c>
      <c r="FD22" t="s">
        <v>188</v>
      </c>
      <c r="FE22" t="s">
        <v>165</v>
      </c>
      <c r="FF22" t="s">
        <v>165</v>
      </c>
      <c r="FG22" t="s">
        <v>165</v>
      </c>
      <c r="FH22" t="s">
        <v>165</v>
      </c>
      <c r="FI22" t="s">
        <v>165</v>
      </c>
      <c r="FJ22" t="s">
        <v>165</v>
      </c>
      <c r="FK22" t="s">
        <v>165</v>
      </c>
      <c r="FL22" t="s">
        <v>165</v>
      </c>
      <c r="FM22" t="s">
        <v>165</v>
      </c>
      <c r="FN22" t="s">
        <v>165</v>
      </c>
      <c r="FO22" t="s">
        <v>165</v>
      </c>
      <c r="FP22" t="s">
        <v>165</v>
      </c>
    </row>
    <row r="23" spans="1:172">
      <c r="A23" s="131" t="s">
        <v>154</v>
      </c>
      <c r="B23" t="s">
        <v>155</v>
      </c>
      <c r="C23">
        <v>2017</v>
      </c>
      <c r="D23" s="132" t="s">
        <v>156</v>
      </c>
      <c r="E23" s="145">
        <f t="shared" si="1"/>
        <v>46.61</v>
      </c>
      <c r="F23">
        <f t="shared" si="2"/>
        <v>2</v>
      </c>
      <c r="G23">
        <f t="shared" si="3"/>
        <v>2</v>
      </c>
      <c r="H23" s="149">
        <f t="shared" si="4"/>
        <v>208.339773648083</v>
      </c>
      <c r="I23" s="149">
        <f t="shared" si="5"/>
        <v>37.132409192965014</v>
      </c>
      <c r="J23" s="149">
        <f t="shared" si="6"/>
        <v>33.888892883574982</v>
      </c>
      <c r="K23" t="s">
        <v>209</v>
      </c>
      <c r="L23" s="132" t="s">
        <v>210</v>
      </c>
      <c r="M23" s="1" t="s">
        <v>157</v>
      </c>
      <c r="N23" s="132" t="s">
        <v>156</v>
      </c>
      <c r="O23" t="s">
        <v>158</v>
      </c>
      <c r="P23" t="s">
        <v>159</v>
      </c>
      <c r="Q23" s="133">
        <v>1</v>
      </c>
      <c r="R23" s="133">
        <v>2</v>
      </c>
      <c r="S23" s="133">
        <f t="shared" ref="S23:S30" si="8">T23-2</f>
        <v>61</v>
      </c>
      <c r="T23" s="133">
        <v>63</v>
      </c>
      <c r="U23" s="134">
        <v>2.13</v>
      </c>
      <c r="V23" s="134">
        <v>2.13</v>
      </c>
      <c r="W23" t="s">
        <v>165</v>
      </c>
      <c r="X23" t="s">
        <v>160</v>
      </c>
      <c r="Y23" s="135">
        <v>12.74</v>
      </c>
      <c r="Z23" s="135">
        <v>-78.739999999999995</v>
      </c>
      <c r="AA23" t="s">
        <v>165</v>
      </c>
      <c r="AB23" t="s">
        <v>165</v>
      </c>
      <c r="AC23">
        <v>-2839</v>
      </c>
      <c r="AD23" t="s">
        <v>165</v>
      </c>
      <c r="AE23" t="s">
        <v>165</v>
      </c>
      <c r="AF23" t="s">
        <v>165</v>
      </c>
      <c r="AG23" s="145">
        <v>46.61</v>
      </c>
      <c r="AH23" t="s">
        <v>163</v>
      </c>
      <c r="AI23">
        <v>2</v>
      </c>
      <c r="AJ23">
        <v>2</v>
      </c>
      <c r="AK23" t="s">
        <v>165</v>
      </c>
      <c r="AL23" t="s">
        <v>164</v>
      </c>
      <c r="AM23" t="s">
        <v>165</v>
      </c>
      <c r="AN23" t="s">
        <v>165</v>
      </c>
      <c r="AO23" t="s">
        <v>165</v>
      </c>
      <c r="AP23" t="s">
        <v>165</v>
      </c>
      <c r="AQ23" t="s">
        <v>165</v>
      </c>
      <c r="AR23" t="s">
        <v>165</v>
      </c>
      <c r="AS23" t="s">
        <v>165</v>
      </c>
      <c r="AT23" t="s">
        <v>165</v>
      </c>
      <c r="AU23" t="s">
        <v>166</v>
      </c>
      <c r="AV23" t="s">
        <v>167</v>
      </c>
      <c r="AW23" t="s">
        <v>168</v>
      </c>
      <c r="AX23" s="154">
        <v>2</v>
      </c>
      <c r="AY23" t="s">
        <v>169</v>
      </c>
      <c r="AZ23" t="s">
        <v>170</v>
      </c>
      <c r="BA23" t="s">
        <v>171</v>
      </c>
      <c r="BB23" t="s">
        <v>165</v>
      </c>
      <c r="BC23" s="154">
        <v>2</v>
      </c>
      <c r="BD23" s="133" t="s">
        <v>165</v>
      </c>
      <c r="BE23" s="134">
        <v>21.16</v>
      </c>
      <c r="BF23" t="s">
        <v>172</v>
      </c>
      <c r="BG23" s="146">
        <v>0.16</v>
      </c>
      <c r="BH23">
        <v>0.64</v>
      </c>
      <c r="BI23" t="s">
        <v>173</v>
      </c>
      <c r="BJ23">
        <v>3.4000000000000002E-2</v>
      </c>
      <c r="BK23">
        <v>9.1</v>
      </c>
      <c r="BL23" t="s">
        <v>163</v>
      </c>
      <c r="BM23">
        <v>0.56000000000000005</v>
      </c>
      <c r="BN23" t="s">
        <v>174</v>
      </c>
      <c r="BO23" t="s">
        <v>175</v>
      </c>
      <c r="BP23" s="155">
        <f t="shared" si="7"/>
        <v>20.483333333333334</v>
      </c>
      <c r="BQ23" s="133" t="s">
        <v>183</v>
      </c>
      <c r="BR23" s="133" t="s">
        <v>165</v>
      </c>
      <c r="BS23" s="133" t="s">
        <v>165</v>
      </c>
      <c r="BT23" t="s">
        <v>176</v>
      </c>
      <c r="BU23" s="133">
        <v>10</v>
      </c>
      <c r="BV23" s="133" t="s">
        <v>198</v>
      </c>
      <c r="BW23" s="133" t="s">
        <v>165</v>
      </c>
      <c r="BX23" s="145">
        <v>26.15</v>
      </c>
      <c r="BY23" t="s">
        <v>163</v>
      </c>
      <c r="BZ23">
        <v>3</v>
      </c>
      <c r="CA23">
        <v>3</v>
      </c>
      <c r="CB23" t="s">
        <v>165</v>
      </c>
      <c r="CC23" s="146">
        <v>3.347</v>
      </c>
      <c r="CD23" t="s">
        <v>180</v>
      </c>
      <c r="CE23" s="146">
        <v>0.13388</v>
      </c>
      <c r="CF23" s="146">
        <v>0.13388</v>
      </c>
      <c r="CG23" s="156" t="s">
        <v>165</v>
      </c>
      <c r="CH23" t="s">
        <v>207</v>
      </c>
      <c r="CI23" t="s">
        <v>165</v>
      </c>
      <c r="CJ23" t="s">
        <v>178</v>
      </c>
      <c r="CK23" t="s">
        <v>181</v>
      </c>
      <c r="CL23" t="s">
        <v>181</v>
      </c>
      <c r="CM23" t="s">
        <v>181</v>
      </c>
      <c r="CN23" t="s">
        <v>165</v>
      </c>
      <c r="CO23" t="s">
        <v>165</v>
      </c>
      <c r="CP23" t="s">
        <v>165</v>
      </c>
      <c r="CQ23" t="s">
        <v>165</v>
      </c>
      <c r="CR23" t="s">
        <v>165</v>
      </c>
      <c r="CS23" t="s">
        <v>165</v>
      </c>
      <c r="CT23" t="s">
        <v>165</v>
      </c>
      <c r="CU23">
        <v>35</v>
      </c>
      <c r="CV23" t="s">
        <v>183</v>
      </c>
      <c r="CW23" s="154">
        <v>3</v>
      </c>
      <c r="CX23" s="133" t="s">
        <v>199</v>
      </c>
      <c r="CY23" s="133" t="s">
        <v>165</v>
      </c>
      <c r="CZ23" s="133" t="s">
        <v>165</v>
      </c>
      <c r="DA23" s="133" t="s">
        <v>165</v>
      </c>
      <c r="DB23" s="133" t="s">
        <v>165</v>
      </c>
      <c r="DC23" s="133" t="s">
        <v>165</v>
      </c>
      <c r="DD23" s="133" t="s">
        <v>165</v>
      </c>
      <c r="DE23" s="133" t="s">
        <v>165</v>
      </c>
      <c r="DF23" s="133" t="s">
        <v>165</v>
      </c>
      <c r="DG23" s="133" t="s">
        <v>165</v>
      </c>
      <c r="DH23" s="133" t="s">
        <v>165</v>
      </c>
      <c r="DI23" s="133" t="s">
        <v>165</v>
      </c>
      <c r="DJ23" s="133" t="s">
        <v>165</v>
      </c>
      <c r="DK23" s="145">
        <v>432.56244218316402</v>
      </c>
      <c r="DL23" t="s">
        <v>204</v>
      </c>
      <c r="DM23">
        <v>37.1</v>
      </c>
      <c r="DN23" t="s">
        <v>205</v>
      </c>
      <c r="DO23">
        <v>39.61</v>
      </c>
      <c r="DP23" t="s">
        <v>183</v>
      </c>
      <c r="DQ23" s="146">
        <f t="shared" si="0"/>
        <v>0.104661</v>
      </c>
      <c r="DR23" t="s">
        <v>184</v>
      </c>
      <c r="DS23" t="s">
        <v>200</v>
      </c>
      <c r="DT23" t="s">
        <v>201</v>
      </c>
      <c r="DU23">
        <v>1.0271999999999999</v>
      </c>
      <c r="DV23" t="s">
        <v>165</v>
      </c>
      <c r="DW23" t="s">
        <v>165</v>
      </c>
      <c r="DX23" t="s">
        <v>197</v>
      </c>
      <c r="DY23" t="s">
        <v>181</v>
      </c>
      <c r="DZ23" t="s">
        <v>181</v>
      </c>
      <c r="EA23" t="s">
        <v>202</v>
      </c>
      <c r="EB23" t="s">
        <v>203</v>
      </c>
      <c r="EC23" s="147" t="s">
        <v>206</v>
      </c>
      <c r="ED23" s="147" t="s">
        <v>206</v>
      </c>
      <c r="EE23" s="133" t="s">
        <v>165</v>
      </c>
      <c r="EF23" s="133" t="s">
        <v>165</v>
      </c>
      <c r="EG23" s="133" t="s">
        <v>165</v>
      </c>
      <c r="EH23" t="s">
        <v>185</v>
      </c>
      <c r="EI23" t="s">
        <v>179</v>
      </c>
      <c r="EJ23" t="s">
        <v>165</v>
      </c>
      <c r="EK23">
        <v>2349</v>
      </c>
      <c r="EL23" s="147" t="s">
        <v>211</v>
      </c>
      <c r="EM23" s="147">
        <v>175</v>
      </c>
      <c r="EN23">
        <v>175</v>
      </c>
      <c r="EO23" t="s">
        <v>165</v>
      </c>
      <c r="EP23" t="s">
        <v>165</v>
      </c>
      <c r="EQ23" t="s">
        <v>165</v>
      </c>
      <c r="ER23" t="s">
        <v>165</v>
      </c>
      <c r="ES23" s="148">
        <v>8.2308010042889101</v>
      </c>
      <c r="ET23" t="s">
        <v>187</v>
      </c>
      <c r="EU23" s="133" t="s">
        <v>165</v>
      </c>
      <c r="EV23" s="133" t="s">
        <v>165</v>
      </c>
      <c r="EW23" s="149">
        <v>229.339773648083</v>
      </c>
      <c r="EX23">
        <v>21</v>
      </c>
      <c r="EY23" t="s">
        <v>186</v>
      </c>
      <c r="EZ23" s="149">
        <v>208.339773648083</v>
      </c>
      <c r="FA23" s="149">
        <v>37.132409192965014</v>
      </c>
      <c r="FB23" s="149">
        <v>33.888892883574982</v>
      </c>
      <c r="FC23" t="s">
        <v>176</v>
      </c>
      <c r="FD23" t="s">
        <v>188</v>
      </c>
      <c r="FE23" t="s">
        <v>165</v>
      </c>
      <c r="FF23" t="s">
        <v>165</v>
      </c>
      <c r="FG23" t="s">
        <v>165</v>
      </c>
      <c r="FH23" t="s">
        <v>165</v>
      </c>
      <c r="FI23" t="s">
        <v>165</v>
      </c>
      <c r="FJ23" t="s">
        <v>165</v>
      </c>
      <c r="FK23" t="s">
        <v>165</v>
      </c>
      <c r="FL23" t="s">
        <v>165</v>
      </c>
      <c r="FM23" t="s">
        <v>165</v>
      </c>
      <c r="FN23" t="s">
        <v>165</v>
      </c>
      <c r="FO23" t="s">
        <v>165</v>
      </c>
      <c r="FP23" t="s">
        <v>165</v>
      </c>
    </row>
    <row r="24" spans="1:172">
      <c r="A24" s="131" t="s">
        <v>154</v>
      </c>
      <c r="B24" t="s">
        <v>155</v>
      </c>
      <c r="C24">
        <v>2017</v>
      </c>
      <c r="D24" s="132" t="s">
        <v>156</v>
      </c>
      <c r="E24" s="145">
        <f t="shared" si="1"/>
        <v>52.14</v>
      </c>
      <c r="F24">
        <f t="shared" si="2"/>
        <v>2</v>
      </c>
      <c r="G24">
        <f t="shared" si="3"/>
        <v>2</v>
      </c>
      <c r="H24" s="149">
        <f t="shared" si="4"/>
        <v>198.12263545636699</v>
      </c>
      <c r="I24" s="149">
        <f t="shared" si="5"/>
        <v>37.85560820045302</v>
      </c>
      <c r="J24" s="149">
        <f t="shared" si="6"/>
        <v>34.20960969234099</v>
      </c>
      <c r="K24" t="s">
        <v>209</v>
      </c>
      <c r="L24" s="132" t="s">
        <v>210</v>
      </c>
      <c r="M24" s="1" t="s">
        <v>157</v>
      </c>
      <c r="N24" s="132" t="s">
        <v>156</v>
      </c>
      <c r="O24" t="s">
        <v>158</v>
      </c>
      <c r="P24" t="s">
        <v>159</v>
      </c>
      <c r="Q24" s="133">
        <v>1</v>
      </c>
      <c r="R24" s="133">
        <v>2</v>
      </c>
      <c r="S24" s="133">
        <f t="shared" si="8"/>
        <v>82</v>
      </c>
      <c r="T24" s="133">
        <v>84</v>
      </c>
      <c r="U24" s="134">
        <v>2.34</v>
      </c>
      <c r="V24" s="134">
        <v>2.34</v>
      </c>
      <c r="W24" t="s">
        <v>165</v>
      </c>
      <c r="X24" t="s">
        <v>160</v>
      </c>
      <c r="Y24" s="135">
        <v>12.74</v>
      </c>
      <c r="Z24" s="135">
        <v>-78.739999999999995</v>
      </c>
      <c r="AA24" t="s">
        <v>165</v>
      </c>
      <c r="AB24" t="s">
        <v>165</v>
      </c>
      <c r="AC24">
        <v>-2839</v>
      </c>
      <c r="AD24" t="s">
        <v>165</v>
      </c>
      <c r="AE24" t="s">
        <v>165</v>
      </c>
      <c r="AF24" t="s">
        <v>165</v>
      </c>
      <c r="AG24" s="145">
        <v>52.14</v>
      </c>
      <c r="AH24" t="s">
        <v>163</v>
      </c>
      <c r="AI24">
        <v>2</v>
      </c>
      <c r="AJ24">
        <v>2</v>
      </c>
      <c r="AK24" t="s">
        <v>165</v>
      </c>
      <c r="AL24" t="s">
        <v>164</v>
      </c>
      <c r="AM24" t="s">
        <v>165</v>
      </c>
      <c r="AN24" t="s">
        <v>165</v>
      </c>
      <c r="AO24" t="s">
        <v>165</v>
      </c>
      <c r="AP24" t="s">
        <v>165</v>
      </c>
      <c r="AQ24" t="s">
        <v>165</v>
      </c>
      <c r="AR24" t="s">
        <v>165</v>
      </c>
      <c r="AS24" t="s">
        <v>165</v>
      </c>
      <c r="AT24" t="s">
        <v>165</v>
      </c>
      <c r="AU24" t="s">
        <v>166</v>
      </c>
      <c r="AV24" t="s">
        <v>167</v>
      </c>
      <c r="AW24" t="s">
        <v>168</v>
      </c>
      <c r="AX24" s="154">
        <v>2</v>
      </c>
      <c r="AY24" t="s">
        <v>169</v>
      </c>
      <c r="AZ24" t="s">
        <v>170</v>
      </c>
      <c r="BA24" t="s">
        <v>171</v>
      </c>
      <c r="BB24" t="s">
        <v>165</v>
      </c>
      <c r="BC24" s="154">
        <v>2</v>
      </c>
      <c r="BD24" s="133" t="s">
        <v>165</v>
      </c>
      <c r="BE24" s="134">
        <v>21.29</v>
      </c>
      <c r="BF24" t="s">
        <v>172</v>
      </c>
      <c r="BG24" s="146">
        <v>0.2</v>
      </c>
      <c r="BH24">
        <v>0.64</v>
      </c>
      <c r="BI24" t="s">
        <v>173</v>
      </c>
      <c r="BJ24">
        <v>3.4000000000000002E-2</v>
      </c>
      <c r="BK24">
        <v>9.1</v>
      </c>
      <c r="BL24" t="s">
        <v>163</v>
      </c>
      <c r="BM24">
        <v>0.56000000000000005</v>
      </c>
      <c r="BN24" t="s">
        <v>174</v>
      </c>
      <c r="BO24" t="s">
        <v>175</v>
      </c>
      <c r="BP24" s="155">
        <f t="shared" si="7"/>
        <v>20.7</v>
      </c>
      <c r="BQ24" s="133" t="s">
        <v>183</v>
      </c>
      <c r="BR24" s="133" t="s">
        <v>165</v>
      </c>
      <c r="BS24" s="133" t="s">
        <v>165</v>
      </c>
      <c r="BT24" t="s">
        <v>176</v>
      </c>
      <c r="BU24" s="133">
        <v>10</v>
      </c>
      <c r="BV24" s="133" t="s">
        <v>198</v>
      </c>
      <c r="BW24" s="133" t="s">
        <v>165</v>
      </c>
      <c r="BX24" s="145">
        <v>26.32</v>
      </c>
      <c r="BY24" t="s">
        <v>163</v>
      </c>
      <c r="BZ24">
        <v>3</v>
      </c>
      <c r="CA24">
        <v>3</v>
      </c>
      <c r="CB24" t="s">
        <v>165</v>
      </c>
      <c r="CC24" s="146">
        <v>3.5089999999999999</v>
      </c>
      <c r="CD24" t="s">
        <v>180</v>
      </c>
      <c r="CE24" s="146">
        <v>0.14036000000000001</v>
      </c>
      <c r="CF24" s="146">
        <v>0.14036000000000001</v>
      </c>
      <c r="CG24" s="156" t="s">
        <v>165</v>
      </c>
      <c r="CH24" t="s">
        <v>207</v>
      </c>
      <c r="CI24" t="s">
        <v>165</v>
      </c>
      <c r="CJ24" t="s">
        <v>178</v>
      </c>
      <c r="CK24" t="s">
        <v>181</v>
      </c>
      <c r="CL24" t="s">
        <v>181</v>
      </c>
      <c r="CM24" t="s">
        <v>181</v>
      </c>
      <c r="CN24" t="s">
        <v>165</v>
      </c>
      <c r="CO24" t="s">
        <v>165</v>
      </c>
      <c r="CP24" t="s">
        <v>165</v>
      </c>
      <c r="CQ24" t="s">
        <v>165</v>
      </c>
      <c r="CR24" t="s">
        <v>165</v>
      </c>
      <c r="CS24" t="s">
        <v>165</v>
      </c>
      <c r="CT24" t="s">
        <v>165</v>
      </c>
      <c r="CU24">
        <v>35</v>
      </c>
      <c r="CV24" t="s">
        <v>183</v>
      </c>
      <c r="CW24" s="154">
        <v>3</v>
      </c>
      <c r="CX24" s="133" t="s">
        <v>199</v>
      </c>
      <c r="CY24" s="133" t="s">
        <v>165</v>
      </c>
      <c r="CZ24" s="133" t="s">
        <v>165</v>
      </c>
      <c r="DA24" s="133" t="s">
        <v>165</v>
      </c>
      <c r="DB24" s="133" t="s">
        <v>165</v>
      </c>
      <c r="DC24" s="133" t="s">
        <v>165</v>
      </c>
      <c r="DD24" s="133" t="s">
        <v>165</v>
      </c>
      <c r="DE24" s="133" t="s">
        <v>165</v>
      </c>
      <c r="DF24" s="133" t="s">
        <v>165</v>
      </c>
      <c r="DG24" s="133" t="s">
        <v>165</v>
      </c>
      <c r="DH24" s="133" t="s">
        <v>165</v>
      </c>
      <c r="DI24" s="133" t="s">
        <v>165</v>
      </c>
      <c r="DJ24" s="133" t="s">
        <v>165</v>
      </c>
      <c r="DK24" s="145">
        <v>432.56244218316402</v>
      </c>
      <c r="DL24" t="s">
        <v>204</v>
      </c>
      <c r="DM24">
        <v>37.1</v>
      </c>
      <c r="DN24" t="s">
        <v>205</v>
      </c>
      <c r="DO24">
        <v>39.61</v>
      </c>
      <c r="DP24" t="s">
        <v>183</v>
      </c>
      <c r="DQ24" s="146">
        <f t="shared" si="0"/>
        <v>0.105214</v>
      </c>
      <c r="DR24" t="s">
        <v>184</v>
      </c>
      <c r="DS24" t="s">
        <v>200</v>
      </c>
      <c r="DT24" t="s">
        <v>201</v>
      </c>
      <c r="DU24">
        <v>1.0271999999999999</v>
      </c>
      <c r="DV24" t="s">
        <v>165</v>
      </c>
      <c r="DW24" t="s">
        <v>165</v>
      </c>
      <c r="DX24" t="s">
        <v>197</v>
      </c>
      <c r="DY24" t="s">
        <v>181</v>
      </c>
      <c r="DZ24" t="s">
        <v>181</v>
      </c>
      <c r="EA24" t="s">
        <v>202</v>
      </c>
      <c r="EB24" t="s">
        <v>203</v>
      </c>
      <c r="EC24" s="147" t="s">
        <v>206</v>
      </c>
      <c r="ED24" s="147" t="s">
        <v>206</v>
      </c>
      <c r="EE24" s="133" t="s">
        <v>165</v>
      </c>
      <c r="EF24" s="133" t="s">
        <v>165</v>
      </c>
      <c r="EG24" s="133" t="s">
        <v>165</v>
      </c>
      <c r="EH24" t="s">
        <v>185</v>
      </c>
      <c r="EI24" t="s">
        <v>179</v>
      </c>
      <c r="EJ24" t="s">
        <v>165</v>
      </c>
      <c r="EK24">
        <v>2350</v>
      </c>
      <c r="EL24" s="147" t="s">
        <v>211</v>
      </c>
      <c r="EM24" s="147">
        <v>175</v>
      </c>
      <c r="EN24">
        <v>175</v>
      </c>
      <c r="EO24" t="s">
        <v>165</v>
      </c>
      <c r="EP24" t="s">
        <v>165</v>
      </c>
      <c r="EQ24" t="s">
        <v>165</v>
      </c>
      <c r="ER24" t="s">
        <v>165</v>
      </c>
      <c r="ES24" s="148">
        <v>8.2447685080837392</v>
      </c>
      <c r="ET24" t="s">
        <v>187</v>
      </c>
      <c r="EU24" s="133" t="s">
        <v>165</v>
      </c>
      <c r="EV24" s="133" t="s">
        <v>165</v>
      </c>
      <c r="EW24" s="149">
        <v>219.12263545636699</v>
      </c>
      <c r="EX24">
        <v>21</v>
      </c>
      <c r="EY24" t="s">
        <v>186</v>
      </c>
      <c r="EZ24" s="149">
        <v>198.12263545636699</v>
      </c>
      <c r="FA24" s="149">
        <v>37.85560820045302</v>
      </c>
      <c r="FB24" s="149">
        <v>34.20960969234099</v>
      </c>
      <c r="FC24" t="s">
        <v>176</v>
      </c>
      <c r="FD24" t="s">
        <v>188</v>
      </c>
      <c r="FE24" t="s">
        <v>165</v>
      </c>
      <c r="FF24" t="s">
        <v>165</v>
      </c>
      <c r="FG24" t="s">
        <v>165</v>
      </c>
      <c r="FH24" t="s">
        <v>165</v>
      </c>
      <c r="FI24" t="s">
        <v>165</v>
      </c>
      <c r="FJ24" t="s">
        <v>165</v>
      </c>
      <c r="FK24" t="s">
        <v>165</v>
      </c>
      <c r="FL24" t="s">
        <v>165</v>
      </c>
      <c r="FM24" t="s">
        <v>165</v>
      </c>
      <c r="FN24" t="s">
        <v>165</v>
      </c>
      <c r="FO24" t="s">
        <v>165</v>
      </c>
      <c r="FP24" t="s">
        <v>165</v>
      </c>
    </row>
    <row r="25" spans="1:172">
      <c r="A25" s="131" t="s">
        <v>154</v>
      </c>
      <c r="B25" t="s">
        <v>155</v>
      </c>
      <c r="C25">
        <v>2017</v>
      </c>
      <c r="D25" s="132" t="s">
        <v>156</v>
      </c>
      <c r="E25" s="145">
        <f t="shared" si="1"/>
        <v>61.28</v>
      </c>
      <c r="F25">
        <f t="shared" si="2"/>
        <v>2</v>
      </c>
      <c r="G25">
        <f t="shared" si="3"/>
        <v>2</v>
      </c>
      <c r="H25" s="149">
        <f t="shared" si="4"/>
        <v>198.085445243739</v>
      </c>
      <c r="I25" s="149">
        <f t="shared" si="5"/>
        <v>44.445630387348984</v>
      </c>
      <c r="J25" s="149">
        <f t="shared" si="6"/>
        <v>37.299665303450013</v>
      </c>
      <c r="K25" t="s">
        <v>209</v>
      </c>
      <c r="L25" s="132" t="s">
        <v>210</v>
      </c>
      <c r="M25" s="1" t="s">
        <v>157</v>
      </c>
      <c r="N25" s="132" t="s">
        <v>156</v>
      </c>
      <c r="O25" t="s">
        <v>158</v>
      </c>
      <c r="P25" t="s">
        <v>159</v>
      </c>
      <c r="Q25" s="133">
        <v>1</v>
      </c>
      <c r="R25" s="133">
        <v>2</v>
      </c>
      <c r="S25" s="133">
        <f t="shared" si="8"/>
        <v>119</v>
      </c>
      <c r="T25" s="133">
        <v>121</v>
      </c>
      <c r="U25" s="134">
        <v>2.71</v>
      </c>
      <c r="V25" s="134">
        <v>2.71</v>
      </c>
      <c r="W25" t="s">
        <v>165</v>
      </c>
      <c r="X25" t="s">
        <v>160</v>
      </c>
      <c r="Y25" s="135">
        <v>12.74</v>
      </c>
      <c r="Z25" s="135">
        <v>-78.739999999999995</v>
      </c>
      <c r="AA25" t="s">
        <v>165</v>
      </c>
      <c r="AB25" t="s">
        <v>165</v>
      </c>
      <c r="AC25">
        <v>-2839</v>
      </c>
      <c r="AD25" t="s">
        <v>165</v>
      </c>
      <c r="AE25" t="s">
        <v>165</v>
      </c>
      <c r="AF25" t="s">
        <v>165</v>
      </c>
      <c r="AG25" s="145">
        <v>61.28</v>
      </c>
      <c r="AH25" t="s">
        <v>163</v>
      </c>
      <c r="AI25">
        <v>2</v>
      </c>
      <c r="AJ25">
        <v>2</v>
      </c>
      <c r="AK25" t="s">
        <v>165</v>
      </c>
      <c r="AL25" t="s">
        <v>164</v>
      </c>
      <c r="AM25" t="s">
        <v>165</v>
      </c>
      <c r="AN25" t="s">
        <v>165</v>
      </c>
      <c r="AO25" t="s">
        <v>165</v>
      </c>
      <c r="AP25" t="s">
        <v>165</v>
      </c>
      <c r="AQ25" t="s">
        <v>165</v>
      </c>
      <c r="AR25" t="s">
        <v>165</v>
      </c>
      <c r="AS25" t="s">
        <v>165</v>
      </c>
      <c r="AT25" t="s">
        <v>165</v>
      </c>
      <c r="AU25" t="s">
        <v>166</v>
      </c>
      <c r="AV25" t="s">
        <v>167</v>
      </c>
      <c r="AW25" t="s">
        <v>168</v>
      </c>
      <c r="AX25" s="154">
        <v>2</v>
      </c>
      <c r="AY25" t="s">
        <v>169</v>
      </c>
      <c r="AZ25" t="s">
        <v>170</v>
      </c>
      <c r="BA25" t="s">
        <v>171</v>
      </c>
      <c r="BB25" t="s">
        <v>165</v>
      </c>
      <c r="BC25" s="154">
        <v>2</v>
      </c>
      <c r="BD25" s="133" t="s">
        <v>165</v>
      </c>
      <c r="BE25" s="134">
        <v>21.31</v>
      </c>
      <c r="BF25" t="s">
        <v>172</v>
      </c>
      <c r="BG25" s="146">
        <v>0.28000000000000003</v>
      </c>
      <c r="BH25">
        <v>0.64</v>
      </c>
      <c r="BI25" t="s">
        <v>173</v>
      </c>
      <c r="BJ25">
        <v>3.4000000000000002E-2</v>
      </c>
      <c r="BK25">
        <v>9.1</v>
      </c>
      <c r="BL25" t="s">
        <v>163</v>
      </c>
      <c r="BM25">
        <v>0.56000000000000005</v>
      </c>
      <c r="BN25" t="s">
        <v>174</v>
      </c>
      <c r="BO25" t="s">
        <v>175</v>
      </c>
      <c r="BP25" s="155">
        <f t="shared" si="7"/>
        <v>20.733333333333334</v>
      </c>
      <c r="BQ25" s="133" t="s">
        <v>183</v>
      </c>
      <c r="BR25" s="133" t="s">
        <v>165</v>
      </c>
      <c r="BS25" s="133" t="s">
        <v>165</v>
      </c>
      <c r="BT25" t="s">
        <v>176</v>
      </c>
      <c r="BU25" s="133">
        <v>10</v>
      </c>
      <c r="BV25" s="133" t="s">
        <v>198</v>
      </c>
      <c r="BW25" s="133" t="s">
        <v>165</v>
      </c>
      <c r="BX25" s="145">
        <v>26.59</v>
      </c>
      <c r="BY25" t="s">
        <v>163</v>
      </c>
      <c r="BZ25">
        <v>3</v>
      </c>
      <c r="CA25">
        <v>3</v>
      </c>
      <c r="CB25" t="s">
        <v>165</v>
      </c>
      <c r="CC25" s="146">
        <v>3.2250000000000001</v>
      </c>
      <c r="CD25" t="s">
        <v>180</v>
      </c>
      <c r="CE25" s="146">
        <v>0.129</v>
      </c>
      <c r="CF25" s="146">
        <v>0.129</v>
      </c>
      <c r="CG25" s="156" t="s">
        <v>165</v>
      </c>
      <c r="CH25" t="s">
        <v>207</v>
      </c>
      <c r="CI25" t="s">
        <v>165</v>
      </c>
      <c r="CJ25" t="s">
        <v>178</v>
      </c>
      <c r="CK25" t="s">
        <v>181</v>
      </c>
      <c r="CL25" t="s">
        <v>181</v>
      </c>
      <c r="CM25" t="s">
        <v>181</v>
      </c>
      <c r="CN25" t="s">
        <v>165</v>
      </c>
      <c r="CO25" t="s">
        <v>165</v>
      </c>
      <c r="CP25" t="s">
        <v>165</v>
      </c>
      <c r="CQ25" t="s">
        <v>165</v>
      </c>
      <c r="CR25" t="s">
        <v>165</v>
      </c>
      <c r="CS25" t="s">
        <v>165</v>
      </c>
      <c r="CT25" t="s">
        <v>165</v>
      </c>
      <c r="CU25">
        <v>35</v>
      </c>
      <c r="CV25" t="s">
        <v>183</v>
      </c>
      <c r="CW25" s="154">
        <v>3</v>
      </c>
      <c r="CX25" s="133" t="s">
        <v>199</v>
      </c>
      <c r="CY25" s="133" t="s">
        <v>165</v>
      </c>
      <c r="CZ25" s="133" t="s">
        <v>165</v>
      </c>
      <c r="DA25" s="133" t="s">
        <v>165</v>
      </c>
      <c r="DB25" s="133" t="s">
        <v>165</v>
      </c>
      <c r="DC25" s="133" t="s">
        <v>165</v>
      </c>
      <c r="DD25" s="133" t="s">
        <v>165</v>
      </c>
      <c r="DE25" s="133" t="s">
        <v>165</v>
      </c>
      <c r="DF25" s="133" t="s">
        <v>165</v>
      </c>
      <c r="DG25" s="133" t="s">
        <v>165</v>
      </c>
      <c r="DH25" s="133" t="s">
        <v>165</v>
      </c>
      <c r="DI25" s="133" t="s">
        <v>165</v>
      </c>
      <c r="DJ25" s="133" t="s">
        <v>165</v>
      </c>
      <c r="DK25" s="145">
        <v>432.56244218316402</v>
      </c>
      <c r="DL25" t="s">
        <v>204</v>
      </c>
      <c r="DM25">
        <v>37.1</v>
      </c>
      <c r="DN25" t="s">
        <v>205</v>
      </c>
      <c r="DO25">
        <v>39.61</v>
      </c>
      <c r="DP25" t="s">
        <v>183</v>
      </c>
      <c r="DQ25" s="146">
        <f t="shared" si="0"/>
        <v>0.106128</v>
      </c>
      <c r="DR25" t="s">
        <v>184</v>
      </c>
      <c r="DS25" t="s">
        <v>200</v>
      </c>
      <c r="DT25" t="s">
        <v>201</v>
      </c>
      <c r="DU25">
        <v>1.0271999999999999</v>
      </c>
      <c r="DV25" t="s">
        <v>165</v>
      </c>
      <c r="DW25" t="s">
        <v>165</v>
      </c>
      <c r="DX25" t="s">
        <v>197</v>
      </c>
      <c r="DY25" t="s">
        <v>181</v>
      </c>
      <c r="DZ25" t="s">
        <v>181</v>
      </c>
      <c r="EA25" t="s">
        <v>202</v>
      </c>
      <c r="EB25" t="s">
        <v>203</v>
      </c>
      <c r="EC25" s="147" t="s">
        <v>206</v>
      </c>
      <c r="ED25" s="147" t="s">
        <v>206</v>
      </c>
      <c r="EE25" s="133" t="s">
        <v>165</v>
      </c>
      <c r="EF25" s="133" t="s">
        <v>165</v>
      </c>
      <c r="EG25" s="133" t="s">
        <v>165</v>
      </c>
      <c r="EH25" t="s">
        <v>185</v>
      </c>
      <c r="EI25" t="s">
        <v>179</v>
      </c>
      <c r="EJ25" t="s">
        <v>165</v>
      </c>
      <c r="EK25">
        <v>2351</v>
      </c>
      <c r="EL25" s="147" t="s">
        <v>211</v>
      </c>
      <c r="EM25" s="147">
        <v>175</v>
      </c>
      <c r="EN25">
        <v>175</v>
      </c>
      <c r="EO25" t="s">
        <v>165</v>
      </c>
      <c r="EP25" t="s">
        <v>165</v>
      </c>
      <c r="EQ25" t="s">
        <v>165</v>
      </c>
      <c r="ER25" t="s">
        <v>165</v>
      </c>
      <c r="ES25" s="148">
        <v>8.2442278042803405</v>
      </c>
      <c r="ET25" t="s">
        <v>187</v>
      </c>
      <c r="EU25" s="133" t="s">
        <v>165</v>
      </c>
      <c r="EV25" s="133" t="s">
        <v>165</v>
      </c>
      <c r="EW25" s="149">
        <v>219.085445243739</v>
      </c>
      <c r="EX25">
        <v>21</v>
      </c>
      <c r="EY25" t="s">
        <v>186</v>
      </c>
      <c r="EZ25" s="149">
        <v>198.085445243739</v>
      </c>
      <c r="FA25" s="149">
        <v>44.445630387348984</v>
      </c>
      <c r="FB25" s="149">
        <v>37.299665303450013</v>
      </c>
      <c r="FC25" t="s">
        <v>176</v>
      </c>
      <c r="FD25" t="s">
        <v>188</v>
      </c>
      <c r="FE25" t="s">
        <v>165</v>
      </c>
      <c r="FF25" t="s">
        <v>165</v>
      </c>
      <c r="FG25" t="s">
        <v>165</v>
      </c>
      <c r="FH25" t="s">
        <v>165</v>
      </c>
      <c r="FI25" t="s">
        <v>165</v>
      </c>
      <c r="FJ25" t="s">
        <v>165</v>
      </c>
      <c r="FK25" t="s">
        <v>165</v>
      </c>
      <c r="FL25" t="s">
        <v>165</v>
      </c>
      <c r="FM25" t="s">
        <v>165</v>
      </c>
      <c r="FN25" t="s">
        <v>165</v>
      </c>
      <c r="FO25" t="s">
        <v>165</v>
      </c>
      <c r="FP25" t="s">
        <v>165</v>
      </c>
    </row>
    <row r="26" spans="1:172">
      <c r="A26" s="131" t="s">
        <v>154</v>
      </c>
      <c r="B26" t="s">
        <v>155</v>
      </c>
      <c r="C26">
        <v>2017</v>
      </c>
      <c r="D26" s="132" t="s">
        <v>156</v>
      </c>
      <c r="E26" s="145">
        <f t="shared" si="1"/>
        <v>77.3</v>
      </c>
      <c r="F26">
        <f t="shared" si="2"/>
        <v>2</v>
      </c>
      <c r="G26">
        <f t="shared" si="3"/>
        <v>2</v>
      </c>
      <c r="H26" s="149">
        <f t="shared" si="4"/>
        <v>237.10736765559099</v>
      </c>
      <c r="I26" s="149">
        <f t="shared" si="5"/>
        <v>44.623192189424032</v>
      </c>
      <c r="J26" s="149">
        <f t="shared" si="6"/>
        <v>38.44322310875998</v>
      </c>
      <c r="K26" t="s">
        <v>209</v>
      </c>
      <c r="L26" s="132" t="s">
        <v>210</v>
      </c>
      <c r="M26" s="1" t="s">
        <v>157</v>
      </c>
      <c r="N26" s="132" t="s">
        <v>156</v>
      </c>
      <c r="O26" t="s">
        <v>158</v>
      </c>
      <c r="P26" t="s">
        <v>159</v>
      </c>
      <c r="Q26" s="133">
        <v>1</v>
      </c>
      <c r="R26" s="133">
        <v>3</v>
      </c>
      <c r="S26" s="133">
        <f t="shared" si="8"/>
        <v>29</v>
      </c>
      <c r="T26" s="133">
        <v>31</v>
      </c>
      <c r="U26" s="134">
        <v>3.31</v>
      </c>
      <c r="V26" s="134">
        <v>3.31</v>
      </c>
      <c r="W26" t="s">
        <v>165</v>
      </c>
      <c r="X26" t="s">
        <v>160</v>
      </c>
      <c r="Y26" s="135">
        <v>12.74</v>
      </c>
      <c r="Z26" s="135">
        <v>-78.739999999999995</v>
      </c>
      <c r="AA26" t="s">
        <v>165</v>
      </c>
      <c r="AB26" t="s">
        <v>165</v>
      </c>
      <c r="AC26">
        <v>-2839</v>
      </c>
      <c r="AD26" t="s">
        <v>165</v>
      </c>
      <c r="AE26" t="s">
        <v>165</v>
      </c>
      <c r="AF26" t="s">
        <v>165</v>
      </c>
      <c r="AG26" s="145">
        <v>77.3</v>
      </c>
      <c r="AH26" t="s">
        <v>163</v>
      </c>
      <c r="AI26">
        <v>2</v>
      </c>
      <c r="AJ26">
        <v>2</v>
      </c>
      <c r="AK26" t="s">
        <v>165</v>
      </c>
      <c r="AL26" t="s">
        <v>164</v>
      </c>
      <c r="AM26" t="s">
        <v>165</v>
      </c>
      <c r="AN26" t="s">
        <v>165</v>
      </c>
      <c r="AO26" t="s">
        <v>165</v>
      </c>
      <c r="AP26" t="s">
        <v>165</v>
      </c>
      <c r="AQ26" t="s">
        <v>165</v>
      </c>
      <c r="AR26" t="s">
        <v>165</v>
      </c>
      <c r="AS26" t="s">
        <v>165</v>
      </c>
      <c r="AT26" t="s">
        <v>165</v>
      </c>
      <c r="AU26" t="s">
        <v>166</v>
      </c>
      <c r="AV26" t="s">
        <v>167</v>
      </c>
      <c r="AW26" t="s">
        <v>168</v>
      </c>
      <c r="AX26" s="154">
        <v>2</v>
      </c>
      <c r="AY26" t="s">
        <v>169</v>
      </c>
      <c r="AZ26" t="s">
        <v>170</v>
      </c>
      <c r="BA26" t="s">
        <v>171</v>
      </c>
      <c r="BB26" t="s">
        <v>165</v>
      </c>
      <c r="BC26" s="154">
        <v>2</v>
      </c>
      <c r="BD26" s="133" t="s">
        <v>165</v>
      </c>
      <c r="BE26" s="134">
        <v>20.89</v>
      </c>
      <c r="BF26" t="s">
        <v>172</v>
      </c>
      <c r="BG26" s="146">
        <v>0.2</v>
      </c>
      <c r="BH26">
        <v>0.64</v>
      </c>
      <c r="BI26" t="s">
        <v>173</v>
      </c>
      <c r="BJ26">
        <v>3.4000000000000002E-2</v>
      </c>
      <c r="BK26">
        <v>9.1</v>
      </c>
      <c r="BL26" t="s">
        <v>163</v>
      </c>
      <c r="BM26">
        <v>0.56000000000000005</v>
      </c>
      <c r="BN26" t="s">
        <v>174</v>
      </c>
      <c r="BO26" t="s">
        <v>175</v>
      </c>
      <c r="BP26" s="155">
        <f t="shared" si="7"/>
        <v>20.033333333333335</v>
      </c>
      <c r="BQ26" s="133" t="s">
        <v>183</v>
      </c>
      <c r="BR26" s="133" t="s">
        <v>165</v>
      </c>
      <c r="BS26" s="133" t="s">
        <v>165</v>
      </c>
      <c r="BT26" t="s">
        <v>176</v>
      </c>
      <c r="BU26" s="133">
        <v>10</v>
      </c>
      <c r="BV26" s="133" t="s">
        <v>198</v>
      </c>
      <c r="BW26" s="133" t="s">
        <v>165</v>
      </c>
      <c r="BX26" s="145">
        <v>26.6</v>
      </c>
      <c r="BY26" t="s">
        <v>163</v>
      </c>
      <c r="BZ26">
        <v>3</v>
      </c>
      <c r="CA26">
        <v>3</v>
      </c>
      <c r="CB26" t="s">
        <v>165</v>
      </c>
      <c r="CC26" s="146">
        <v>3.351</v>
      </c>
      <c r="CD26" t="s">
        <v>180</v>
      </c>
      <c r="CE26" s="146">
        <v>0.13403999999999999</v>
      </c>
      <c r="CF26" s="146">
        <v>0.13403999999999999</v>
      </c>
      <c r="CG26" s="156" t="s">
        <v>165</v>
      </c>
      <c r="CH26" t="s">
        <v>207</v>
      </c>
      <c r="CI26" t="s">
        <v>165</v>
      </c>
      <c r="CJ26" t="s">
        <v>178</v>
      </c>
      <c r="CK26" t="s">
        <v>181</v>
      </c>
      <c r="CL26" t="s">
        <v>181</v>
      </c>
      <c r="CM26" t="s">
        <v>181</v>
      </c>
      <c r="CN26" t="s">
        <v>165</v>
      </c>
      <c r="CO26" t="s">
        <v>165</v>
      </c>
      <c r="CP26" t="s">
        <v>165</v>
      </c>
      <c r="CQ26" t="s">
        <v>165</v>
      </c>
      <c r="CR26" t="s">
        <v>165</v>
      </c>
      <c r="CS26" t="s">
        <v>165</v>
      </c>
      <c r="CT26" t="s">
        <v>165</v>
      </c>
      <c r="CU26">
        <v>35</v>
      </c>
      <c r="CV26" t="s">
        <v>183</v>
      </c>
      <c r="CW26" s="154">
        <v>3</v>
      </c>
      <c r="CX26" s="133" t="s">
        <v>199</v>
      </c>
      <c r="CY26" s="133" t="s">
        <v>165</v>
      </c>
      <c r="CZ26" s="133" t="s">
        <v>165</v>
      </c>
      <c r="DA26" s="133" t="s">
        <v>165</v>
      </c>
      <c r="DB26" s="133" t="s">
        <v>165</v>
      </c>
      <c r="DC26" s="133" t="s">
        <v>165</v>
      </c>
      <c r="DD26" s="133" t="s">
        <v>165</v>
      </c>
      <c r="DE26" s="133" t="s">
        <v>165</v>
      </c>
      <c r="DF26" s="133" t="s">
        <v>165</v>
      </c>
      <c r="DG26" s="133" t="s">
        <v>165</v>
      </c>
      <c r="DH26" s="133" t="s">
        <v>165</v>
      </c>
      <c r="DI26" s="133" t="s">
        <v>165</v>
      </c>
      <c r="DJ26" s="133" t="s">
        <v>165</v>
      </c>
      <c r="DK26" s="145">
        <v>432.56244218316402</v>
      </c>
      <c r="DL26" t="s">
        <v>204</v>
      </c>
      <c r="DM26">
        <v>37.1</v>
      </c>
      <c r="DN26" t="s">
        <v>205</v>
      </c>
      <c r="DO26">
        <v>39.61</v>
      </c>
      <c r="DP26" t="s">
        <v>183</v>
      </c>
      <c r="DQ26" s="146">
        <f t="shared" si="0"/>
        <v>0.10773000000000001</v>
      </c>
      <c r="DR26" t="s">
        <v>184</v>
      </c>
      <c r="DS26" t="s">
        <v>200</v>
      </c>
      <c r="DT26" t="s">
        <v>201</v>
      </c>
      <c r="DU26">
        <v>1.0271999999999999</v>
      </c>
      <c r="DV26" t="s">
        <v>165</v>
      </c>
      <c r="DW26" t="s">
        <v>165</v>
      </c>
      <c r="DX26" t="s">
        <v>197</v>
      </c>
      <c r="DY26" t="s">
        <v>181</v>
      </c>
      <c r="DZ26" t="s">
        <v>181</v>
      </c>
      <c r="EA26" t="s">
        <v>202</v>
      </c>
      <c r="EB26" t="s">
        <v>203</v>
      </c>
      <c r="EC26" s="147" t="s">
        <v>206</v>
      </c>
      <c r="ED26" s="147" t="s">
        <v>206</v>
      </c>
      <c r="EE26" s="133" t="s">
        <v>165</v>
      </c>
      <c r="EF26" s="133" t="s">
        <v>165</v>
      </c>
      <c r="EG26" s="133" t="s">
        <v>165</v>
      </c>
      <c r="EH26" t="s">
        <v>185</v>
      </c>
      <c r="EI26" t="s">
        <v>179</v>
      </c>
      <c r="EJ26" t="s">
        <v>165</v>
      </c>
      <c r="EK26">
        <v>2352</v>
      </c>
      <c r="EL26" s="147" t="s">
        <v>211</v>
      </c>
      <c r="EM26" s="147">
        <v>175</v>
      </c>
      <c r="EN26">
        <v>175</v>
      </c>
      <c r="EO26" t="s">
        <v>165</v>
      </c>
      <c r="EP26" t="s">
        <v>165</v>
      </c>
      <c r="EQ26" t="s">
        <v>165</v>
      </c>
      <c r="ER26" t="s">
        <v>165</v>
      </c>
      <c r="ES26" s="148">
        <v>8.1903488692585107</v>
      </c>
      <c r="ET26" t="s">
        <v>187</v>
      </c>
      <c r="EU26" s="133" t="s">
        <v>165</v>
      </c>
      <c r="EV26" s="133" t="s">
        <v>165</v>
      </c>
      <c r="EW26" s="149">
        <v>258.10736765559102</v>
      </c>
      <c r="EX26">
        <v>21</v>
      </c>
      <c r="EY26" t="s">
        <v>186</v>
      </c>
      <c r="EZ26" s="149">
        <v>237.10736765559099</v>
      </c>
      <c r="FA26" s="149">
        <v>44.623192189424032</v>
      </c>
      <c r="FB26" s="149">
        <v>38.44322310875998</v>
      </c>
      <c r="FC26" t="s">
        <v>176</v>
      </c>
      <c r="FD26" t="s">
        <v>188</v>
      </c>
      <c r="FE26" t="s">
        <v>165</v>
      </c>
      <c r="FF26" t="s">
        <v>165</v>
      </c>
      <c r="FG26" t="s">
        <v>165</v>
      </c>
      <c r="FH26" t="s">
        <v>165</v>
      </c>
      <c r="FI26" t="s">
        <v>165</v>
      </c>
      <c r="FJ26" t="s">
        <v>165</v>
      </c>
      <c r="FK26" t="s">
        <v>165</v>
      </c>
      <c r="FL26" t="s">
        <v>165</v>
      </c>
      <c r="FM26" t="s">
        <v>165</v>
      </c>
      <c r="FN26" t="s">
        <v>165</v>
      </c>
      <c r="FO26" t="s">
        <v>165</v>
      </c>
      <c r="FP26" t="s">
        <v>165</v>
      </c>
    </row>
    <row r="27" spans="1:172">
      <c r="A27" s="131" t="s">
        <v>154</v>
      </c>
      <c r="B27" t="s">
        <v>155</v>
      </c>
      <c r="C27">
        <v>2017</v>
      </c>
      <c r="D27" s="132" t="s">
        <v>156</v>
      </c>
      <c r="E27" s="145">
        <f t="shared" si="1"/>
        <v>84.33</v>
      </c>
      <c r="F27">
        <f t="shared" si="2"/>
        <v>2</v>
      </c>
      <c r="G27">
        <f t="shared" si="3"/>
        <v>2</v>
      </c>
      <c r="H27" s="149">
        <f t="shared" si="4"/>
        <v>238.29987680476401</v>
      </c>
      <c r="I27" s="149">
        <f t="shared" si="5"/>
        <v>49.457071347235996</v>
      </c>
      <c r="J27" s="149">
        <f t="shared" si="6"/>
        <v>43.334620670909004</v>
      </c>
      <c r="K27" t="s">
        <v>209</v>
      </c>
      <c r="L27" s="132" t="s">
        <v>210</v>
      </c>
      <c r="M27" s="1" t="s">
        <v>157</v>
      </c>
      <c r="N27" s="132" t="s">
        <v>156</v>
      </c>
      <c r="O27" t="s">
        <v>158</v>
      </c>
      <c r="P27" t="s">
        <v>159</v>
      </c>
      <c r="Q27" s="133">
        <v>1</v>
      </c>
      <c r="R27" s="133">
        <v>3</v>
      </c>
      <c r="S27" s="133">
        <f t="shared" si="8"/>
        <v>54</v>
      </c>
      <c r="T27" s="133">
        <v>56</v>
      </c>
      <c r="U27" s="134">
        <v>3.56</v>
      </c>
      <c r="V27" s="134">
        <v>3.56</v>
      </c>
      <c r="W27" t="s">
        <v>165</v>
      </c>
      <c r="X27" t="s">
        <v>160</v>
      </c>
      <c r="Y27" s="135">
        <v>12.74</v>
      </c>
      <c r="Z27" s="135">
        <v>-78.739999999999995</v>
      </c>
      <c r="AA27" t="s">
        <v>165</v>
      </c>
      <c r="AB27" t="s">
        <v>165</v>
      </c>
      <c r="AC27">
        <v>-2839</v>
      </c>
      <c r="AD27" t="s">
        <v>165</v>
      </c>
      <c r="AE27" t="s">
        <v>165</v>
      </c>
      <c r="AF27" t="s">
        <v>165</v>
      </c>
      <c r="AG27" s="145">
        <v>84.33</v>
      </c>
      <c r="AH27" t="s">
        <v>163</v>
      </c>
      <c r="AI27">
        <v>2</v>
      </c>
      <c r="AJ27">
        <v>2</v>
      </c>
      <c r="AK27" t="s">
        <v>165</v>
      </c>
      <c r="AL27" t="s">
        <v>164</v>
      </c>
      <c r="AM27" t="s">
        <v>165</v>
      </c>
      <c r="AN27" t="s">
        <v>165</v>
      </c>
      <c r="AO27" t="s">
        <v>165</v>
      </c>
      <c r="AP27" t="s">
        <v>165</v>
      </c>
      <c r="AQ27" t="s">
        <v>165</v>
      </c>
      <c r="AR27" t="s">
        <v>165</v>
      </c>
      <c r="AS27" t="s">
        <v>165</v>
      </c>
      <c r="AT27" t="s">
        <v>165</v>
      </c>
      <c r="AU27" t="s">
        <v>166</v>
      </c>
      <c r="AV27" t="s">
        <v>167</v>
      </c>
      <c r="AW27" t="s">
        <v>168</v>
      </c>
      <c r="AX27" s="154">
        <v>2</v>
      </c>
      <c r="AY27" t="s">
        <v>169</v>
      </c>
      <c r="AZ27" t="s">
        <v>170</v>
      </c>
      <c r="BA27" t="s">
        <v>171</v>
      </c>
      <c r="BB27" t="s">
        <v>165</v>
      </c>
      <c r="BC27" s="154">
        <v>2</v>
      </c>
      <c r="BD27" s="133" t="s">
        <v>165</v>
      </c>
      <c r="BE27" s="134">
        <v>20.88</v>
      </c>
      <c r="BF27" t="s">
        <v>172</v>
      </c>
      <c r="BG27" s="146">
        <v>0.26</v>
      </c>
      <c r="BH27">
        <v>0.64</v>
      </c>
      <c r="BI27" t="s">
        <v>173</v>
      </c>
      <c r="BJ27">
        <v>3.4000000000000002E-2</v>
      </c>
      <c r="BK27">
        <v>9.1</v>
      </c>
      <c r="BL27" t="s">
        <v>163</v>
      </c>
      <c r="BM27">
        <v>0.56000000000000005</v>
      </c>
      <c r="BN27" t="s">
        <v>174</v>
      </c>
      <c r="BO27" t="s">
        <v>175</v>
      </c>
      <c r="BP27" s="155">
        <f t="shared" si="7"/>
        <v>20.016666666666666</v>
      </c>
      <c r="BQ27" s="133" t="s">
        <v>183</v>
      </c>
      <c r="BR27" s="133" t="s">
        <v>165</v>
      </c>
      <c r="BS27" s="133" t="s">
        <v>165</v>
      </c>
      <c r="BT27" t="s">
        <v>176</v>
      </c>
      <c r="BU27" s="133">
        <v>10</v>
      </c>
      <c r="BV27" s="133" t="s">
        <v>198</v>
      </c>
      <c r="BW27" s="133" t="s">
        <v>165</v>
      </c>
      <c r="BX27" s="145">
        <v>26.63</v>
      </c>
      <c r="BY27" t="s">
        <v>163</v>
      </c>
      <c r="BZ27">
        <v>3</v>
      </c>
      <c r="CA27">
        <v>3</v>
      </c>
      <c r="CB27" t="s">
        <v>165</v>
      </c>
      <c r="CC27" s="146">
        <v>3.5369999999999999</v>
      </c>
      <c r="CD27" t="s">
        <v>180</v>
      </c>
      <c r="CE27" s="146">
        <v>0.14147999999999999</v>
      </c>
      <c r="CF27" s="146">
        <v>0.14147999999999999</v>
      </c>
      <c r="CG27" s="156" t="s">
        <v>165</v>
      </c>
      <c r="CH27" t="s">
        <v>207</v>
      </c>
      <c r="CI27" t="s">
        <v>165</v>
      </c>
      <c r="CJ27" t="s">
        <v>178</v>
      </c>
      <c r="CK27" t="s">
        <v>181</v>
      </c>
      <c r="CL27" t="s">
        <v>181</v>
      </c>
      <c r="CM27" t="s">
        <v>181</v>
      </c>
      <c r="CN27" t="s">
        <v>165</v>
      </c>
      <c r="CO27" t="s">
        <v>165</v>
      </c>
      <c r="CP27" t="s">
        <v>165</v>
      </c>
      <c r="CQ27" t="s">
        <v>165</v>
      </c>
      <c r="CR27" t="s">
        <v>165</v>
      </c>
      <c r="CS27" t="s">
        <v>165</v>
      </c>
      <c r="CT27" t="s">
        <v>165</v>
      </c>
      <c r="CU27">
        <v>35</v>
      </c>
      <c r="CV27" t="s">
        <v>183</v>
      </c>
      <c r="CW27" s="154">
        <v>3</v>
      </c>
      <c r="CX27" s="133" t="s">
        <v>199</v>
      </c>
      <c r="CY27" s="133" t="s">
        <v>165</v>
      </c>
      <c r="CZ27" s="133" t="s">
        <v>165</v>
      </c>
      <c r="DA27" s="133" t="s">
        <v>165</v>
      </c>
      <c r="DB27" s="133" t="s">
        <v>165</v>
      </c>
      <c r="DC27" s="133" t="s">
        <v>165</v>
      </c>
      <c r="DD27" s="133" t="s">
        <v>165</v>
      </c>
      <c r="DE27" s="133" t="s">
        <v>165</v>
      </c>
      <c r="DF27" s="133" t="s">
        <v>165</v>
      </c>
      <c r="DG27" s="133" t="s">
        <v>165</v>
      </c>
      <c r="DH27" s="133" t="s">
        <v>165</v>
      </c>
      <c r="DI27" s="133" t="s">
        <v>165</v>
      </c>
      <c r="DJ27" s="133" t="s">
        <v>165</v>
      </c>
      <c r="DK27" s="145">
        <v>432.56244218316402</v>
      </c>
      <c r="DL27" t="s">
        <v>204</v>
      </c>
      <c r="DM27">
        <v>37.1</v>
      </c>
      <c r="DN27" t="s">
        <v>205</v>
      </c>
      <c r="DO27">
        <v>39.61</v>
      </c>
      <c r="DP27" t="s">
        <v>183</v>
      </c>
      <c r="DQ27" s="146">
        <f t="shared" si="0"/>
        <v>0.108433</v>
      </c>
      <c r="DR27" t="s">
        <v>184</v>
      </c>
      <c r="DS27" t="s">
        <v>200</v>
      </c>
      <c r="DT27" t="s">
        <v>201</v>
      </c>
      <c r="DU27">
        <v>1.0271999999999999</v>
      </c>
      <c r="DV27" t="s">
        <v>165</v>
      </c>
      <c r="DW27" t="s">
        <v>165</v>
      </c>
      <c r="DX27" t="s">
        <v>197</v>
      </c>
      <c r="DY27" t="s">
        <v>181</v>
      </c>
      <c r="DZ27" t="s">
        <v>181</v>
      </c>
      <c r="EA27" t="s">
        <v>202</v>
      </c>
      <c r="EB27" t="s">
        <v>203</v>
      </c>
      <c r="EC27" s="147" t="s">
        <v>206</v>
      </c>
      <c r="ED27" s="147" t="s">
        <v>206</v>
      </c>
      <c r="EE27" s="133" t="s">
        <v>165</v>
      </c>
      <c r="EF27" s="133" t="s">
        <v>165</v>
      </c>
      <c r="EG27" s="133" t="s">
        <v>165</v>
      </c>
      <c r="EH27" t="s">
        <v>185</v>
      </c>
      <c r="EI27" t="s">
        <v>179</v>
      </c>
      <c r="EJ27" t="s">
        <v>165</v>
      </c>
      <c r="EK27">
        <v>2353</v>
      </c>
      <c r="EL27" s="147" t="s">
        <v>211</v>
      </c>
      <c r="EM27" s="147">
        <v>175</v>
      </c>
      <c r="EN27">
        <v>175</v>
      </c>
      <c r="EO27" t="s">
        <v>165</v>
      </c>
      <c r="EP27" t="s">
        <v>165</v>
      </c>
      <c r="EQ27" t="s">
        <v>165</v>
      </c>
      <c r="ER27" t="s">
        <v>165</v>
      </c>
      <c r="ES27" s="148">
        <v>8.1889245957919403</v>
      </c>
      <c r="ET27" t="s">
        <v>187</v>
      </c>
      <c r="EU27" s="133" t="s">
        <v>165</v>
      </c>
      <c r="EV27" s="133" t="s">
        <v>165</v>
      </c>
      <c r="EW27" s="149">
        <v>259.29987680476404</v>
      </c>
      <c r="EX27">
        <v>21</v>
      </c>
      <c r="EY27" t="s">
        <v>186</v>
      </c>
      <c r="EZ27" s="149">
        <v>238.29987680476401</v>
      </c>
      <c r="FA27" s="149">
        <v>49.457071347235996</v>
      </c>
      <c r="FB27" s="149">
        <v>43.334620670909004</v>
      </c>
      <c r="FC27" t="s">
        <v>176</v>
      </c>
      <c r="FD27" t="s">
        <v>188</v>
      </c>
      <c r="FE27" t="s">
        <v>165</v>
      </c>
      <c r="FF27" t="s">
        <v>165</v>
      </c>
      <c r="FG27" t="s">
        <v>165</v>
      </c>
      <c r="FH27" t="s">
        <v>165</v>
      </c>
      <c r="FI27" t="s">
        <v>165</v>
      </c>
      <c r="FJ27" t="s">
        <v>165</v>
      </c>
      <c r="FK27" t="s">
        <v>165</v>
      </c>
      <c r="FL27" t="s">
        <v>165</v>
      </c>
      <c r="FM27" t="s">
        <v>165</v>
      </c>
      <c r="FN27" t="s">
        <v>165</v>
      </c>
      <c r="FO27" t="s">
        <v>165</v>
      </c>
      <c r="FP27" t="s">
        <v>165</v>
      </c>
    </row>
    <row r="28" spans="1:172">
      <c r="A28" s="131" t="s">
        <v>154</v>
      </c>
      <c r="B28" t="s">
        <v>155</v>
      </c>
      <c r="C28">
        <v>2017</v>
      </c>
      <c r="D28" s="132" t="s">
        <v>156</v>
      </c>
      <c r="E28" s="145">
        <f t="shared" si="1"/>
        <v>89.11</v>
      </c>
      <c r="F28">
        <f t="shared" si="2"/>
        <v>2</v>
      </c>
      <c r="G28">
        <f t="shared" si="3"/>
        <v>2</v>
      </c>
      <c r="H28" s="149">
        <f t="shared" si="4"/>
        <v>264.45673598417102</v>
      </c>
      <c r="I28" s="149">
        <f t="shared" si="5"/>
        <v>48.372525197276957</v>
      </c>
      <c r="J28" s="149">
        <f t="shared" si="6"/>
        <v>41.765357350798013</v>
      </c>
      <c r="K28" t="s">
        <v>209</v>
      </c>
      <c r="L28" s="132" t="s">
        <v>210</v>
      </c>
      <c r="M28" s="1" t="s">
        <v>157</v>
      </c>
      <c r="N28" s="132" t="s">
        <v>156</v>
      </c>
      <c r="O28" t="s">
        <v>158</v>
      </c>
      <c r="P28" t="s">
        <v>159</v>
      </c>
      <c r="Q28" s="133">
        <v>1</v>
      </c>
      <c r="R28" s="133">
        <v>3</v>
      </c>
      <c r="S28" s="133">
        <f t="shared" si="8"/>
        <v>71</v>
      </c>
      <c r="T28" s="133">
        <v>73</v>
      </c>
      <c r="U28" s="134">
        <v>3.73</v>
      </c>
      <c r="V28" s="134">
        <v>3.73</v>
      </c>
      <c r="W28" t="s">
        <v>165</v>
      </c>
      <c r="X28" t="s">
        <v>160</v>
      </c>
      <c r="Y28" s="135">
        <v>12.74</v>
      </c>
      <c r="Z28" s="135">
        <v>-78.739999999999995</v>
      </c>
      <c r="AA28" t="s">
        <v>165</v>
      </c>
      <c r="AB28" t="s">
        <v>165</v>
      </c>
      <c r="AC28">
        <v>-2839</v>
      </c>
      <c r="AD28" t="s">
        <v>165</v>
      </c>
      <c r="AE28" t="s">
        <v>165</v>
      </c>
      <c r="AF28" t="s">
        <v>165</v>
      </c>
      <c r="AG28" s="145">
        <v>89.11</v>
      </c>
      <c r="AH28" t="s">
        <v>163</v>
      </c>
      <c r="AI28">
        <v>2</v>
      </c>
      <c r="AJ28">
        <v>2</v>
      </c>
      <c r="AK28" t="s">
        <v>165</v>
      </c>
      <c r="AL28" t="s">
        <v>164</v>
      </c>
      <c r="AM28" t="s">
        <v>165</v>
      </c>
      <c r="AN28" t="s">
        <v>165</v>
      </c>
      <c r="AO28" t="s">
        <v>165</v>
      </c>
      <c r="AP28" t="s">
        <v>165</v>
      </c>
      <c r="AQ28" t="s">
        <v>165</v>
      </c>
      <c r="AR28" t="s">
        <v>165</v>
      </c>
      <c r="AS28" t="s">
        <v>165</v>
      </c>
      <c r="AT28" t="s">
        <v>165</v>
      </c>
      <c r="AU28" t="s">
        <v>166</v>
      </c>
      <c r="AV28" t="s">
        <v>167</v>
      </c>
      <c r="AW28" t="s">
        <v>168</v>
      </c>
      <c r="AX28" s="154">
        <v>2</v>
      </c>
      <c r="AY28" t="s">
        <v>169</v>
      </c>
      <c r="AZ28" t="s">
        <v>170</v>
      </c>
      <c r="BA28" t="s">
        <v>171</v>
      </c>
      <c r="BB28" t="s">
        <v>165</v>
      </c>
      <c r="BC28" s="154">
        <v>2</v>
      </c>
      <c r="BD28" s="133" t="s">
        <v>165</v>
      </c>
      <c r="BE28" s="134">
        <v>20.68</v>
      </c>
      <c r="BF28" t="s">
        <v>172</v>
      </c>
      <c r="BG28" s="146">
        <v>0.2</v>
      </c>
      <c r="BH28">
        <v>0.64</v>
      </c>
      <c r="BI28" t="s">
        <v>173</v>
      </c>
      <c r="BJ28">
        <v>3.4000000000000002E-2</v>
      </c>
      <c r="BK28">
        <v>9.1</v>
      </c>
      <c r="BL28" t="s">
        <v>163</v>
      </c>
      <c r="BM28">
        <v>0.56000000000000005</v>
      </c>
      <c r="BN28" t="s">
        <v>174</v>
      </c>
      <c r="BO28" t="s">
        <v>175</v>
      </c>
      <c r="BP28" s="155">
        <f t="shared" si="7"/>
        <v>19.683333333333334</v>
      </c>
      <c r="BQ28" s="133" t="s">
        <v>183</v>
      </c>
      <c r="BR28" s="133" t="s">
        <v>165</v>
      </c>
      <c r="BS28" s="133" t="s">
        <v>165</v>
      </c>
      <c r="BT28" t="s">
        <v>176</v>
      </c>
      <c r="BU28" s="133">
        <v>10</v>
      </c>
      <c r="BV28" s="133" t="s">
        <v>198</v>
      </c>
      <c r="BW28" s="133" t="s">
        <v>165</v>
      </c>
      <c r="BX28" s="145">
        <v>27.18</v>
      </c>
      <c r="BY28" t="s">
        <v>163</v>
      </c>
      <c r="BZ28">
        <v>3</v>
      </c>
      <c r="CA28">
        <v>3</v>
      </c>
      <c r="CB28" t="s">
        <v>165</v>
      </c>
      <c r="CC28" s="146">
        <v>3.4580000000000002</v>
      </c>
      <c r="CD28" t="s">
        <v>180</v>
      </c>
      <c r="CE28" s="146">
        <v>0.13832</v>
      </c>
      <c r="CF28" s="146">
        <v>0.13832</v>
      </c>
      <c r="CG28" s="156" t="s">
        <v>165</v>
      </c>
      <c r="CH28" t="s">
        <v>207</v>
      </c>
      <c r="CI28" t="s">
        <v>165</v>
      </c>
      <c r="CJ28" t="s">
        <v>178</v>
      </c>
      <c r="CK28" t="s">
        <v>181</v>
      </c>
      <c r="CL28" t="s">
        <v>181</v>
      </c>
      <c r="CM28" t="s">
        <v>181</v>
      </c>
      <c r="CN28" t="s">
        <v>165</v>
      </c>
      <c r="CO28" t="s">
        <v>165</v>
      </c>
      <c r="CP28" t="s">
        <v>165</v>
      </c>
      <c r="CQ28" t="s">
        <v>165</v>
      </c>
      <c r="CR28" t="s">
        <v>165</v>
      </c>
      <c r="CS28" t="s">
        <v>165</v>
      </c>
      <c r="CT28" t="s">
        <v>165</v>
      </c>
      <c r="CU28">
        <v>35</v>
      </c>
      <c r="CV28" t="s">
        <v>183</v>
      </c>
      <c r="CW28" s="154">
        <v>3</v>
      </c>
      <c r="CX28" s="133" t="s">
        <v>199</v>
      </c>
      <c r="CY28" s="133" t="s">
        <v>165</v>
      </c>
      <c r="CZ28" s="133" t="s">
        <v>165</v>
      </c>
      <c r="DA28" s="133" t="s">
        <v>165</v>
      </c>
      <c r="DB28" s="133" t="s">
        <v>165</v>
      </c>
      <c r="DC28" s="133" t="s">
        <v>165</v>
      </c>
      <c r="DD28" s="133" t="s">
        <v>165</v>
      </c>
      <c r="DE28" s="133" t="s">
        <v>165</v>
      </c>
      <c r="DF28" s="133" t="s">
        <v>165</v>
      </c>
      <c r="DG28" s="133" t="s">
        <v>165</v>
      </c>
      <c r="DH28" s="133" t="s">
        <v>165</v>
      </c>
      <c r="DI28" s="133" t="s">
        <v>165</v>
      </c>
      <c r="DJ28" s="133" t="s">
        <v>165</v>
      </c>
      <c r="DK28" s="145">
        <v>432.56244218316402</v>
      </c>
      <c r="DL28" t="s">
        <v>204</v>
      </c>
      <c r="DM28">
        <v>37.1</v>
      </c>
      <c r="DN28" t="s">
        <v>205</v>
      </c>
      <c r="DO28">
        <v>39.61</v>
      </c>
      <c r="DP28" t="s">
        <v>183</v>
      </c>
      <c r="DQ28" s="146">
        <f t="shared" si="0"/>
        <v>0.10891100000000001</v>
      </c>
      <c r="DR28" t="s">
        <v>184</v>
      </c>
      <c r="DS28" t="s">
        <v>200</v>
      </c>
      <c r="DT28" t="s">
        <v>201</v>
      </c>
      <c r="DU28">
        <v>1.0271999999999999</v>
      </c>
      <c r="DV28" t="s">
        <v>165</v>
      </c>
      <c r="DW28" t="s">
        <v>165</v>
      </c>
      <c r="DX28" t="s">
        <v>197</v>
      </c>
      <c r="DY28" t="s">
        <v>181</v>
      </c>
      <c r="DZ28" t="s">
        <v>181</v>
      </c>
      <c r="EA28" t="s">
        <v>202</v>
      </c>
      <c r="EB28" t="s">
        <v>203</v>
      </c>
      <c r="EC28" s="147" t="s">
        <v>206</v>
      </c>
      <c r="ED28" s="147" t="s">
        <v>206</v>
      </c>
      <c r="EE28" s="133" t="s">
        <v>165</v>
      </c>
      <c r="EF28" s="133" t="s">
        <v>165</v>
      </c>
      <c r="EG28" s="133" t="s">
        <v>165</v>
      </c>
      <c r="EH28" t="s">
        <v>185</v>
      </c>
      <c r="EI28" t="s">
        <v>179</v>
      </c>
      <c r="EJ28" t="s">
        <v>165</v>
      </c>
      <c r="EK28">
        <v>2354</v>
      </c>
      <c r="EL28" s="147" t="s">
        <v>211</v>
      </c>
      <c r="EM28" s="147">
        <v>175</v>
      </c>
      <c r="EN28">
        <v>175</v>
      </c>
      <c r="EO28" t="s">
        <v>165</v>
      </c>
      <c r="EP28" t="s">
        <v>165</v>
      </c>
      <c r="EQ28" t="s">
        <v>165</v>
      </c>
      <c r="ER28" t="s">
        <v>165</v>
      </c>
      <c r="ES28" s="148">
        <v>8.1556654197336602</v>
      </c>
      <c r="ET28" t="s">
        <v>187</v>
      </c>
      <c r="EU28" s="133" t="s">
        <v>165</v>
      </c>
      <c r="EV28" s="133" t="s">
        <v>165</v>
      </c>
      <c r="EW28" s="149">
        <v>285.45673598417102</v>
      </c>
      <c r="EX28">
        <v>21</v>
      </c>
      <c r="EY28" t="s">
        <v>186</v>
      </c>
      <c r="EZ28" s="149">
        <v>264.45673598417102</v>
      </c>
      <c r="FA28" s="149">
        <v>48.372525197276957</v>
      </c>
      <c r="FB28" s="149">
        <v>41.765357350798013</v>
      </c>
      <c r="FC28" t="s">
        <v>176</v>
      </c>
      <c r="FD28" t="s">
        <v>188</v>
      </c>
      <c r="FE28" t="s">
        <v>165</v>
      </c>
      <c r="FF28" t="s">
        <v>165</v>
      </c>
      <c r="FG28" t="s">
        <v>165</v>
      </c>
      <c r="FH28" t="s">
        <v>165</v>
      </c>
      <c r="FI28" t="s">
        <v>165</v>
      </c>
      <c r="FJ28" t="s">
        <v>165</v>
      </c>
      <c r="FK28" t="s">
        <v>165</v>
      </c>
      <c r="FL28" t="s">
        <v>165</v>
      </c>
      <c r="FM28" t="s">
        <v>165</v>
      </c>
      <c r="FN28" t="s">
        <v>165</v>
      </c>
      <c r="FO28" t="s">
        <v>165</v>
      </c>
      <c r="FP28" t="s">
        <v>165</v>
      </c>
    </row>
    <row r="29" spans="1:172">
      <c r="A29" s="131" t="s">
        <v>154</v>
      </c>
      <c r="B29" t="s">
        <v>155</v>
      </c>
      <c r="C29">
        <v>2017</v>
      </c>
      <c r="D29" s="132" t="s">
        <v>156</v>
      </c>
      <c r="E29" s="145">
        <f t="shared" si="1"/>
        <v>100.36</v>
      </c>
      <c r="F29">
        <f t="shared" si="2"/>
        <v>2</v>
      </c>
      <c r="G29">
        <f t="shared" si="3"/>
        <v>2</v>
      </c>
      <c r="H29" s="149">
        <f t="shared" si="4"/>
        <v>274.78210208297202</v>
      </c>
      <c r="I29" s="149">
        <f t="shared" si="5"/>
        <v>52.950972172772993</v>
      </c>
      <c r="J29" s="149">
        <f t="shared" si="6"/>
        <v>47.098749966526015</v>
      </c>
      <c r="K29" t="s">
        <v>209</v>
      </c>
      <c r="L29" s="132" t="s">
        <v>210</v>
      </c>
      <c r="M29" s="1" t="s">
        <v>157</v>
      </c>
      <c r="N29" s="132" t="s">
        <v>156</v>
      </c>
      <c r="O29" t="s">
        <v>158</v>
      </c>
      <c r="P29" t="s">
        <v>159</v>
      </c>
      <c r="Q29" s="133">
        <v>1</v>
      </c>
      <c r="R29" s="133">
        <v>3</v>
      </c>
      <c r="S29" s="133">
        <f t="shared" si="8"/>
        <v>111</v>
      </c>
      <c r="T29" s="133">
        <v>113</v>
      </c>
      <c r="U29" s="134">
        <v>4.13</v>
      </c>
      <c r="V29" s="134">
        <v>4.13</v>
      </c>
      <c r="W29" t="s">
        <v>165</v>
      </c>
      <c r="X29" t="s">
        <v>160</v>
      </c>
      <c r="Y29" s="135">
        <v>12.74</v>
      </c>
      <c r="Z29" s="135">
        <v>-78.739999999999995</v>
      </c>
      <c r="AA29" t="s">
        <v>165</v>
      </c>
      <c r="AB29" t="s">
        <v>165</v>
      </c>
      <c r="AC29">
        <v>-2839</v>
      </c>
      <c r="AD29" t="s">
        <v>165</v>
      </c>
      <c r="AE29" t="s">
        <v>165</v>
      </c>
      <c r="AF29" t="s">
        <v>165</v>
      </c>
      <c r="AG29" s="145">
        <v>100.36</v>
      </c>
      <c r="AH29" t="s">
        <v>163</v>
      </c>
      <c r="AI29">
        <v>2</v>
      </c>
      <c r="AJ29">
        <v>2</v>
      </c>
      <c r="AK29" t="s">
        <v>165</v>
      </c>
      <c r="AL29" t="s">
        <v>164</v>
      </c>
      <c r="AM29" t="s">
        <v>165</v>
      </c>
      <c r="AN29" t="s">
        <v>165</v>
      </c>
      <c r="AO29" t="s">
        <v>165</v>
      </c>
      <c r="AP29" t="s">
        <v>165</v>
      </c>
      <c r="AQ29" t="s">
        <v>165</v>
      </c>
      <c r="AR29" t="s">
        <v>165</v>
      </c>
      <c r="AS29" t="s">
        <v>165</v>
      </c>
      <c r="AT29" t="s">
        <v>165</v>
      </c>
      <c r="AU29" t="s">
        <v>166</v>
      </c>
      <c r="AV29" t="s">
        <v>167</v>
      </c>
      <c r="AW29" t="s">
        <v>168</v>
      </c>
      <c r="AX29" s="154">
        <v>2</v>
      </c>
      <c r="AY29" t="s">
        <v>169</v>
      </c>
      <c r="AZ29" t="s">
        <v>170</v>
      </c>
      <c r="BA29" t="s">
        <v>171</v>
      </c>
      <c r="BB29" t="s">
        <v>165</v>
      </c>
      <c r="BC29" s="154">
        <v>2</v>
      </c>
      <c r="BD29" s="133" t="s">
        <v>165</v>
      </c>
      <c r="BE29" s="134">
        <v>20.58</v>
      </c>
      <c r="BF29" t="s">
        <v>172</v>
      </c>
      <c r="BG29" s="146">
        <v>0.24</v>
      </c>
      <c r="BH29">
        <v>0.64</v>
      </c>
      <c r="BI29" t="s">
        <v>173</v>
      </c>
      <c r="BJ29">
        <v>3.4000000000000002E-2</v>
      </c>
      <c r="BK29">
        <v>9.1</v>
      </c>
      <c r="BL29" t="s">
        <v>163</v>
      </c>
      <c r="BM29">
        <v>0.56000000000000005</v>
      </c>
      <c r="BN29" t="s">
        <v>174</v>
      </c>
      <c r="BO29" t="s">
        <v>175</v>
      </c>
      <c r="BP29" s="155">
        <f t="shared" si="7"/>
        <v>19.516666666666666</v>
      </c>
      <c r="BQ29" s="133" t="s">
        <v>183</v>
      </c>
      <c r="BR29" s="133" t="s">
        <v>165</v>
      </c>
      <c r="BS29" s="133" t="s">
        <v>165</v>
      </c>
      <c r="BT29" t="s">
        <v>176</v>
      </c>
      <c r="BU29" s="133">
        <v>10</v>
      </c>
      <c r="BV29" s="133" t="s">
        <v>198</v>
      </c>
      <c r="BW29" s="133" t="s">
        <v>165</v>
      </c>
      <c r="BX29" s="145">
        <v>27.02</v>
      </c>
      <c r="BY29" t="s">
        <v>163</v>
      </c>
      <c r="BZ29">
        <v>3</v>
      </c>
      <c r="CA29">
        <v>3</v>
      </c>
      <c r="CB29" t="s">
        <v>165</v>
      </c>
      <c r="CC29" s="146">
        <v>3.4950000000000001</v>
      </c>
      <c r="CD29" t="s">
        <v>180</v>
      </c>
      <c r="CE29" s="146">
        <v>0.13980000000000001</v>
      </c>
      <c r="CF29" s="146">
        <v>0.13980000000000001</v>
      </c>
      <c r="CG29" s="156" t="s">
        <v>165</v>
      </c>
      <c r="CH29" t="s">
        <v>207</v>
      </c>
      <c r="CI29" t="s">
        <v>165</v>
      </c>
      <c r="CJ29" t="s">
        <v>178</v>
      </c>
      <c r="CK29" t="s">
        <v>181</v>
      </c>
      <c r="CL29" t="s">
        <v>181</v>
      </c>
      <c r="CM29" t="s">
        <v>181</v>
      </c>
      <c r="CN29" t="s">
        <v>165</v>
      </c>
      <c r="CO29" t="s">
        <v>165</v>
      </c>
      <c r="CP29" t="s">
        <v>165</v>
      </c>
      <c r="CQ29" t="s">
        <v>165</v>
      </c>
      <c r="CR29" t="s">
        <v>165</v>
      </c>
      <c r="CS29" t="s">
        <v>165</v>
      </c>
      <c r="CT29" t="s">
        <v>165</v>
      </c>
      <c r="CU29">
        <v>35</v>
      </c>
      <c r="CV29" t="s">
        <v>183</v>
      </c>
      <c r="CW29" s="154">
        <v>3</v>
      </c>
      <c r="CX29" s="133" t="s">
        <v>199</v>
      </c>
      <c r="CY29" s="133" t="s">
        <v>165</v>
      </c>
      <c r="CZ29" s="133" t="s">
        <v>165</v>
      </c>
      <c r="DA29" s="133" t="s">
        <v>165</v>
      </c>
      <c r="DB29" s="133" t="s">
        <v>165</v>
      </c>
      <c r="DC29" s="133" t="s">
        <v>165</v>
      </c>
      <c r="DD29" s="133" t="s">
        <v>165</v>
      </c>
      <c r="DE29" s="133" t="s">
        <v>165</v>
      </c>
      <c r="DF29" s="133" t="s">
        <v>165</v>
      </c>
      <c r="DG29" s="133" t="s">
        <v>165</v>
      </c>
      <c r="DH29" s="133" t="s">
        <v>165</v>
      </c>
      <c r="DI29" s="133" t="s">
        <v>165</v>
      </c>
      <c r="DJ29" s="133" t="s">
        <v>165</v>
      </c>
      <c r="DK29" s="145">
        <v>432.56244218316402</v>
      </c>
      <c r="DL29" t="s">
        <v>204</v>
      </c>
      <c r="DM29">
        <v>37.1</v>
      </c>
      <c r="DN29" t="s">
        <v>205</v>
      </c>
      <c r="DO29">
        <v>39.61</v>
      </c>
      <c r="DP29" t="s">
        <v>183</v>
      </c>
      <c r="DQ29" s="146">
        <f t="shared" si="0"/>
        <v>0.11003600000000001</v>
      </c>
      <c r="DR29" t="s">
        <v>184</v>
      </c>
      <c r="DS29" t="s">
        <v>200</v>
      </c>
      <c r="DT29" t="s">
        <v>201</v>
      </c>
      <c r="DU29">
        <v>1.0271999999999999</v>
      </c>
      <c r="DV29" t="s">
        <v>165</v>
      </c>
      <c r="DW29" t="s">
        <v>165</v>
      </c>
      <c r="DX29" t="s">
        <v>197</v>
      </c>
      <c r="DY29" t="s">
        <v>181</v>
      </c>
      <c r="DZ29" t="s">
        <v>181</v>
      </c>
      <c r="EA29" t="s">
        <v>202</v>
      </c>
      <c r="EB29" t="s">
        <v>203</v>
      </c>
      <c r="EC29" s="147" t="s">
        <v>206</v>
      </c>
      <c r="ED29" s="147" t="s">
        <v>206</v>
      </c>
      <c r="EE29" s="133" t="s">
        <v>165</v>
      </c>
      <c r="EF29" s="133" t="s">
        <v>165</v>
      </c>
      <c r="EG29" s="133" t="s">
        <v>165</v>
      </c>
      <c r="EH29" t="s">
        <v>185</v>
      </c>
      <c r="EI29" t="s">
        <v>179</v>
      </c>
      <c r="EJ29" t="s">
        <v>165</v>
      </c>
      <c r="EK29">
        <v>2355</v>
      </c>
      <c r="EL29" s="147" t="s">
        <v>211</v>
      </c>
      <c r="EM29" s="147">
        <v>175</v>
      </c>
      <c r="EN29">
        <v>175</v>
      </c>
      <c r="EO29" t="s">
        <v>165</v>
      </c>
      <c r="EP29" t="s">
        <v>165</v>
      </c>
      <c r="EQ29" t="s">
        <v>165</v>
      </c>
      <c r="ER29" t="s">
        <v>165</v>
      </c>
      <c r="ES29" s="148">
        <v>8.1445879546953996</v>
      </c>
      <c r="ET29" t="s">
        <v>187</v>
      </c>
      <c r="EU29" s="133" t="s">
        <v>165</v>
      </c>
      <c r="EV29" s="133" t="s">
        <v>165</v>
      </c>
      <c r="EW29" s="149">
        <v>295.78210208297202</v>
      </c>
      <c r="EX29">
        <v>21</v>
      </c>
      <c r="EY29" t="s">
        <v>186</v>
      </c>
      <c r="EZ29" s="149">
        <v>274.78210208297202</v>
      </c>
      <c r="FA29" s="149">
        <v>52.950972172772993</v>
      </c>
      <c r="FB29" s="149">
        <v>47.098749966526015</v>
      </c>
      <c r="FC29" t="s">
        <v>176</v>
      </c>
      <c r="FD29" t="s">
        <v>188</v>
      </c>
      <c r="FE29" t="s">
        <v>165</v>
      </c>
      <c r="FF29" t="s">
        <v>165</v>
      </c>
      <c r="FG29" t="s">
        <v>165</v>
      </c>
      <c r="FH29" t="s">
        <v>165</v>
      </c>
      <c r="FI29" t="s">
        <v>165</v>
      </c>
      <c r="FJ29" t="s">
        <v>165</v>
      </c>
      <c r="FK29" t="s">
        <v>165</v>
      </c>
      <c r="FL29" t="s">
        <v>165</v>
      </c>
      <c r="FM29" t="s">
        <v>165</v>
      </c>
      <c r="FN29" t="s">
        <v>165</v>
      </c>
      <c r="FO29" t="s">
        <v>165</v>
      </c>
      <c r="FP29" t="s">
        <v>165</v>
      </c>
    </row>
    <row r="30" spans="1:172">
      <c r="A30" s="131" t="s">
        <v>154</v>
      </c>
      <c r="B30" t="s">
        <v>155</v>
      </c>
      <c r="C30">
        <v>2017</v>
      </c>
      <c r="D30" s="132" t="s">
        <v>156</v>
      </c>
      <c r="E30" s="145">
        <f t="shared" si="1"/>
        <v>106.12</v>
      </c>
      <c r="F30">
        <f t="shared" si="2"/>
        <v>2</v>
      </c>
      <c r="G30">
        <f t="shared" si="3"/>
        <v>2</v>
      </c>
      <c r="H30" s="149">
        <f t="shared" si="4"/>
        <v>251.53814129772499</v>
      </c>
      <c r="I30" s="149">
        <f t="shared" si="5"/>
        <v>47.996310876179024</v>
      </c>
      <c r="J30" s="149">
        <f t="shared" si="6"/>
        <v>42.025795685777979</v>
      </c>
      <c r="K30" t="s">
        <v>209</v>
      </c>
      <c r="L30" s="132" t="s">
        <v>210</v>
      </c>
      <c r="M30" s="1" t="s">
        <v>157</v>
      </c>
      <c r="N30" s="132" t="s">
        <v>156</v>
      </c>
      <c r="O30" t="s">
        <v>158</v>
      </c>
      <c r="P30" t="s">
        <v>159</v>
      </c>
      <c r="Q30" s="133">
        <v>1</v>
      </c>
      <c r="R30" s="133">
        <v>3</v>
      </c>
      <c r="S30" s="133">
        <f t="shared" si="8"/>
        <v>132</v>
      </c>
      <c r="T30" s="133">
        <v>134</v>
      </c>
      <c r="U30" s="134">
        <v>4.335</v>
      </c>
      <c r="V30" s="134">
        <v>4.335</v>
      </c>
      <c r="W30" t="s">
        <v>165</v>
      </c>
      <c r="X30" t="s">
        <v>160</v>
      </c>
      <c r="Y30" s="135">
        <v>12.74</v>
      </c>
      <c r="Z30" s="135">
        <v>-78.739999999999995</v>
      </c>
      <c r="AA30" t="s">
        <v>165</v>
      </c>
      <c r="AB30" t="s">
        <v>165</v>
      </c>
      <c r="AC30">
        <v>-2839</v>
      </c>
      <c r="AD30" t="s">
        <v>165</v>
      </c>
      <c r="AE30" t="s">
        <v>165</v>
      </c>
      <c r="AF30" t="s">
        <v>165</v>
      </c>
      <c r="AG30" s="145">
        <v>106.12</v>
      </c>
      <c r="AH30" t="s">
        <v>163</v>
      </c>
      <c r="AI30">
        <v>2</v>
      </c>
      <c r="AJ30">
        <v>2</v>
      </c>
      <c r="AK30" t="s">
        <v>165</v>
      </c>
      <c r="AL30" t="s">
        <v>164</v>
      </c>
      <c r="AM30" t="s">
        <v>165</v>
      </c>
      <c r="AN30" t="s">
        <v>165</v>
      </c>
      <c r="AO30" t="s">
        <v>165</v>
      </c>
      <c r="AP30" t="s">
        <v>165</v>
      </c>
      <c r="AQ30" t="s">
        <v>165</v>
      </c>
      <c r="AR30" t="s">
        <v>165</v>
      </c>
      <c r="AS30" t="s">
        <v>165</v>
      </c>
      <c r="AT30" t="s">
        <v>165</v>
      </c>
      <c r="AU30" t="s">
        <v>166</v>
      </c>
      <c r="AV30" t="s">
        <v>167</v>
      </c>
      <c r="AW30" t="s">
        <v>168</v>
      </c>
      <c r="AX30" s="154">
        <v>2</v>
      </c>
      <c r="AY30" t="s">
        <v>169</v>
      </c>
      <c r="AZ30" t="s">
        <v>170</v>
      </c>
      <c r="BA30" t="s">
        <v>171</v>
      </c>
      <c r="BB30" t="s">
        <v>165</v>
      </c>
      <c r="BC30" s="154">
        <v>2</v>
      </c>
      <c r="BD30" s="133" t="s">
        <v>165</v>
      </c>
      <c r="BE30" s="134">
        <v>20.76</v>
      </c>
      <c r="BF30" t="s">
        <v>172</v>
      </c>
      <c r="BG30" s="146">
        <v>0.22</v>
      </c>
      <c r="BH30">
        <v>0.64</v>
      </c>
      <c r="BI30" t="s">
        <v>173</v>
      </c>
      <c r="BJ30">
        <v>3.4000000000000002E-2</v>
      </c>
      <c r="BK30">
        <v>9.1</v>
      </c>
      <c r="BL30" t="s">
        <v>163</v>
      </c>
      <c r="BM30">
        <v>0.56000000000000005</v>
      </c>
      <c r="BN30" t="s">
        <v>174</v>
      </c>
      <c r="BO30" t="s">
        <v>175</v>
      </c>
      <c r="BP30" s="155">
        <f t="shared" si="7"/>
        <v>19.81666666666667</v>
      </c>
      <c r="BQ30" s="133" t="s">
        <v>183</v>
      </c>
      <c r="BR30" s="133" t="s">
        <v>165</v>
      </c>
      <c r="BS30" s="133" t="s">
        <v>165</v>
      </c>
      <c r="BT30" t="s">
        <v>176</v>
      </c>
      <c r="BU30" s="133">
        <v>10</v>
      </c>
      <c r="BV30" s="133" t="s">
        <v>198</v>
      </c>
      <c r="BW30" s="133" t="s">
        <v>165</v>
      </c>
      <c r="BX30" s="145">
        <v>26.72</v>
      </c>
      <c r="BY30" t="s">
        <v>163</v>
      </c>
      <c r="BZ30">
        <v>3</v>
      </c>
      <c r="CA30">
        <v>3</v>
      </c>
      <c r="CB30" t="s">
        <v>165</v>
      </c>
      <c r="CC30" s="146">
        <v>3.3340000000000001</v>
      </c>
      <c r="CD30" t="s">
        <v>180</v>
      </c>
      <c r="CE30" s="146">
        <v>0.13336000000000001</v>
      </c>
      <c r="CF30" s="146">
        <v>0.13336000000000001</v>
      </c>
      <c r="CG30" s="156" t="s">
        <v>165</v>
      </c>
      <c r="CH30" t="s">
        <v>207</v>
      </c>
      <c r="CI30" t="s">
        <v>165</v>
      </c>
      <c r="CJ30" t="s">
        <v>178</v>
      </c>
      <c r="CK30" t="s">
        <v>181</v>
      </c>
      <c r="CL30" t="s">
        <v>181</v>
      </c>
      <c r="CM30" t="s">
        <v>181</v>
      </c>
      <c r="CN30" t="s">
        <v>165</v>
      </c>
      <c r="CO30" t="s">
        <v>165</v>
      </c>
      <c r="CP30" t="s">
        <v>165</v>
      </c>
      <c r="CQ30" t="s">
        <v>165</v>
      </c>
      <c r="CR30" t="s">
        <v>165</v>
      </c>
      <c r="CS30" t="s">
        <v>165</v>
      </c>
      <c r="CT30" t="s">
        <v>165</v>
      </c>
      <c r="CU30">
        <v>35</v>
      </c>
      <c r="CV30" t="s">
        <v>183</v>
      </c>
      <c r="CW30" s="154">
        <v>3</v>
      </c>
      <c r="CX30" s="133" t="s">
        <v>199</v>
      </c>
      <c r="CY30" s="133" t="s">
        <v>165</v>
      </c>
      <c r="CZ30" s="133" t="s">
        <v>165</v>
      </c>
      <c r="DA30" s="133" t="s">
        <v>165</v>
      </c>
      <c r="DB30" s="133" t="s">
        <v>165</v>
      </c>
      <c r="DC30" s="133" t="s">
        <v>165</v>
      </c>
      <c r="DD30" s="133" t="s">
        <v>165</v>
      </c>
      <c r="DE30" s="133" t="s">
        <v>165</v>
      </c>
      <c r="DF30" s="133" t="s">
        <v>165</v>
      </c>
      <c r="DG30" s="133" t="s">
        <v>165</v>
      </c>
      <c r="DH30" s="133" t="s">
        <v>165</v>
      </c>
      <c r="DI30" s="133" t="s">
        <v>165</v>
      </c>
      <c r="DJ30" s="133" t="s">
        <v>165</v>
      </c>
      <c r="DK30" s="145">
        <v>432.56244218316402</v>
      </c>
      <c r="DL30" t="s">
        <v>204</v>
      </c>
      <c r="DM30">
        <v>37.1</v>
      </c>
      <c r="DN30" t="s">
        <v>205</v>
      </c>
      <c r="DO30">
        <v>39.61</v>
      </c>
      <c r="DP30" t="s">
        <v>183</v>
      </c>
      <c r="DQ30" s="146">
        <f t="shared" si="0"/>
        <v>0.110612</v>
      </c>
      <c r="DR30" t="s">
        <v>184</v>
      </c>
      <c r="DS30" t="s">
        <v>200</v>
      </c>
      <c r="DT30" t="s">
        <v>201</v>
      </c>
      <c r="DU30">
        <v>1.0271999999999999</v>
      </c>
      <c r="DV30" t="s">
        <v>165</v>
      </c>
      <c r="DW30" t="s">
        <v>165</v>
      </c>
      <c r="DX30" t="s">
        <v>197</v>
      </c>
      <c r="DY30" t="s">
        <v>181</v>
      </c>
      <c r="DZ30" t="s">
        <v>181</v>
      </c>
      <c r="EA30" t="s">
        <v>202</v>
      </c>
      <c r="EB30" t="s">
        <v>203</v>
      </c>
      <c r="EC30" s="147" t="s">
        <v>206</v>
      </c>
      <c r="ED30" s="147" t="s">
        <v>206</v>
      </c>
      <c r="EE30" s="133" t="s">
        <v>165</v>
      </c>
      <c r="EF30" s="133" t="s">
        <v>165</v>
      </c>
      <c r="EG30" s="133" t="s">
        <v>165</v>
      </c>
      <c r="EH30" t="s">
        <v>185</v>
      </c>
      <c r="EI30" t="s">
        <v>179</v>
      </c>
      <c r="EJ30" t="s">
        <v>165</v>
      </c>
      <c r="EK30">
        <v>2356</v>
      </c>
      <c r="EL30" s="147" t="s">
        <v>211</v>
      </c>
      <c r="EM30" s="147">
        <v>175</v>
      </c>
      <c r="EN30">
        <v>175</v>
      </c>
      <c r="EO30" t="s">
        <v>165</v>
      </c>
      <c r="EP30" t="s">
        <v>165</v>
      </c>
      <c r="EQ30" t="s">
        <v>165</v>
      </c>
      <c r="ER30" t="s">
        <v>165</v>
      </c>
      <c r="ES30" s="148">
        <v>8.1723201068419407</v>
      </c>
      <c r="ET30" t="s">
        <v>187</v>
      </c>
      <c r="EU30" s="133" t="s">
        <v>165</v>
      </c>
      <c r="EV30" s="133" t="s">
        <v>165</v>
      </c>
      <c r="EW30" s="149">
        <v>272.53814129772502</v>
      </c>
      <c r="EX30">
        <v>21</v>
      </c>
      <c r="EY30" t="s">
        <v>186</v>
      </c>
      <c r="EZ30" s="149">
        <v>251.53814129772499</v>
      </c>
      <c r="FA30" s="149">
        <v>47.996310876179024</v>
      </c>
      <c r="FB30" s="149">
        <v>42.025795685777979</v>
      </c>
      <c r="FC30" t="s">
        <v>176</v>
      </c>
      <c r="FD30" t="s">
        <v>188</v>
      </c>
      <c r="FE30" t="s">
        <v>165</v>
      </c>
      <c r="FF30" t="s">
        <v>165</v>
      </c>
      <c r="FG30" t="s">
        <v>165</v>
      </c>
      <c r="FH30" t="s">
        <v>165</v>
      </c>
      <c r="FI30" t="s">
        <v>165</v>
      </c>
      <c r="FJ30" t="s">
        <v>165</v>
      </c>
      <c r="FK30" t="s">
        <v>165</v>
      </c>
      <c r="FL30" t="s">
        <v>165</v>
      </c>
      <c r="FM30" t="s">
        <v>165</v>
      </c>
      <c r="FN30" t="s">
        <v>165</v>
      </c>
      <c r="FO30" t="s">
        <v>165</v>
      </c>
      <c r="FP30" t="s">
        <v>165</v>
      </c>
    </row>
    <row r="31" spans="1:172">
      <c r="A31" s="131" t="s">
        <v>154</v>
      </c>
      <c r="B31" t="s">
        <v>155</v>
      </c>
      <c r="C31">
        <v>2017</v>
      </c>
      <c r="D31" s="132" t="s">
        <v>156</v>
      </c>
      <c r="E31" s="145">
        <f t="shared" si="1"/>
        <v>111.32</v>
      </c>
      <c r="F31">
        <f t="shared" si="2"/>
        <v>2</v>
      </c>
      <c r="G31">
        <f t="shared" si="3"/>
        <v>2</v>
      </c>
      <c r="H31" s="149">
        <f t="shared" si="4"/>
        <v>283.114986033202</v>
      </c>
      <c r="I31" s="149">
        <f t="shared" si="5"/>
        <v>42.667015417664004</v>
      </c>
      <c r="J31" s="149">
        <f t="shared" si="6"/>
        <v>38.659798203800989</v>
      </c>
      <c r="K31" t="s">
        <v>209</v>
      </c>
      <c r="L31" s="132" t="s">
        <v>210</v>
      </c>
      <c r="M31" s="1" t="s">
        <v>157</v>
      </c>
      <c r="N31" s="132" t="s">
        <v>156</v>
      </c>
      <c r="O31" t="s">
        <v>158</v>
      </c>
      <c r="P31" s="136" t="s">
        <v>159</v>
      </c>
      <c r="Q31" s="136">
        <v>1</v>
      </c>
      <c r="R31" s="136">
        <v>4</v>
      </c>
      <c r="S31" s="136">
        <v>1</v>
      </c>
      <c r="T31" s="136">
        <f>S31+2</f>
        <v>3</v>
      </c>
      <c r="U31" s="136">
        <v>4.51</v>
      </c>
      <c r="V31" s="136">
        <v>4.51</v>
      </c>
      <c r="W31" t="s">
        <v>165</v>
      </c>
      <c r="X31" t="s">
        <v>160</v>
      </c>
      <c r="Y31" s="135">
        <v>12.74</v>
      </c>
      <c r="Z31" s="135">
        <v>-78.739999999999995</v>
      </c>
      <c r="AA31" t="s">
        <v>165</v>
      </c>
      <c r="AB31" t="s">
        <v>165</v>
      </c>
      <c r="AC31">
        <v>-2839</v>
      </c>
      <c r="AD31" t="s">
        <v>165</v>
      </c>
      <c r="AE31" t="s">
        <v>165</v>
      </c>
      <c r="AF31" t="s">
        <v>165</v>
      </c>
      <c r="AG31" s="145">
        <v>111.32</v>
      </c>
      <c r="AH31" t="s">
        <v>163</v>
      </c>
      <c r="AI31">
        <v>2</v>
      </c>
      <c r="AJ31">
        <v>2</v>
      </c>
      <c r="AK31" t="s">
        <v>165</v>
      </c>
      <c r="AL31" t="s">
        <v>164</v>
      </c>
      <c r="AM31" t="s">
        <v>165</v>
      </c>
      <c r="AN31" t="s">
        <v>165</v>
      </c>
      <c r="AO31" t="s">
        <v>165</v>
      </c>
      <c r="AP31" t="s">
        <v>165</v>
      </c>
      <c r="AQ31" t="s">
        <v>165</v>
      </c>
      <c r="AR31" t="s">
        <v>165</v>
      </c>
      <c r="AS31" t="s">
        <v>165</v>
      </c>
      <c r="AT31" t="s">
        <v>165</v>
      </c>
      <c r="AU31" t="s">
        <v>166</v>
      </c>
      <c r="AV31" t="s">
        <v>167</v>
      </c>
      <c r="AW31" t="s">
        <v>168</v>
      </c>
      <c r="AX31" s="154">
        <v>2</v>
      </c>
      <c r="AY31" t="s">
        <v>169</v>
      </c>
      <c r="AZ31" t="s">
        <v>170</v>
      </c>
      <c r="BA31" t="s">
        <v>171</v>
      </c>
      <c r="BB31" t="s">
        <v>165</v>
      </c>
      <c r="BC31" s="154">
        <v>2</v>
      </c>
      <c r="BD31" s="133" t="s">
        <v>165</v>
      </c>
      <c r="BE31" s="146">
        <v>20.375989690000001</v>
      </c>
      <c r="BF31" t="s">
        <v>172</v>
      </c>
      <c r="BG31" s="146">
        <v>0.220508226</v>
      </c>
      <c r="BH31">
        <v>0.64</v>
      </c>
      <c r="BI31" t="s">
        <v>173</v>
      </c>
      <c r="BJ31">
        <v>3.4000000000000002E-2</v>
      </c>
      <c r="BK31">
        <v>9.1</v>
      </c>
      <c r="BL31" t="s">
        <v>163</v>
      </c>
      <c r="BM31">
        <v>0.56000000000000005</v>
      </c>
      <c r="BN31" t="s">
        <v>174</v>
      </c>
      <c r="BO31" t="s">
        <v>175</v>
      </c>
      <c r="BP31" s="155">
        <f t="shared" si="7"/>
        <v>19.176649483333335</v>
      </c>
      <c r="BQ31" s="133" t="s">
        <v>183</v>
      </c>
      <c r="BR31" s="133" t="s">
        <v>165</v>
      </c>
      <c r="BS31" s="133" t="s">
        <v>165</v>
      </c>
      <c r="BT31" t="s">
        <v>176</v>
      </c>
      <c r="BU31" s="133">
        <v>10</v>
      </c>
      <c r="BV31" s="133" t="s">
        <v>198</v>
      </c>
      <c r="BW31" s="133" t="s">
        <v>165</v>
      </c>
      <c r="BX31" s="145">
        <v>25.14</v>
      </c>
      <c r="BY31" t="s">
        <v>163</v>
      </c>
      <c r="BZ31">
        <v>3</v>
      </c>
      <c r="CA31">
        <v>3</v>
      </c>
      <c r="CB31" t="s">
        <v>165</v>
      </c>
      <c r="CC31" s="146">
        <v>3.6510940605986253</v>
      </c>
      <c r="CD31" t="s">
        <v>180</v>
      </c>
      <c r="CE31" s="146">
        <v>0.14604376242394501</v>
      </c>
      <c r="CF31" s="146">
        <v>0.14604376242394501</v>
      </c>
      <c r="CG31" s="156" t="s">
        <v>165</v>
      </c>
      <c r="CH31" t="s">
        <v>207</v>
      </c>
      <c r="CI31" t="s">
        <v>165</v>
      </c>
      <c r="CJ31" t="s">
        <v>178</v>
      </c>
      <c r="CK31" t="s">
        <v>181</v>
      </c>
      <c r="CL31" t="s">
        <v>181</v>
      </c>
      <c r="CM31" t="s">
        <v>181</v>
      </c>
      <c r="CN31" t="s">
        <v>165</v>
      </c>
      <c r="CO31" t="s">
        <v>165</v>
      </c>
      <c r="CP31" t="s">
        <v>165</v>
      </c>
      <c r="CQ31" t="s">
        <v>165</v>
      </c>
      <c r="CR31" t="s">
        <v>165</v>
      </c>
      <c r="CS31" t="s">
        <v>165</v>
      </c>
      <c r="CT31" t="s">
        <v>165</v>
      </c>
      <c r="CU31">
        <v>35</v>
      </c>
      <c r="CV31" t="s">
        <v>183</v>
      </c>
      <c r="CW31" s="154">
        <v>3</v>
      </c>
      <c r="CX31" s="133" t="s">
        <v>199</v>
      </c>
      <c r="CY31" s="133" t="s">
        <v>165</v>
      </c>
      <c r="CZ31" s="133" t="s">
        <v>165</v>
      </c>
      <c r="DA31" s="133" t="s">
        <v>165</v>
      </c>
      <c r="DB31" s="133" t="s">
        <v>165</v>
      </c>
      <c r="DC31" s="133" t="s">
        <v>165</v>
      </c>
      <c r="DD31" s="133" t="s">
        <v>165</v>
      </c>
      <c r="DE31" s="133" t="s">
        <v>165</v>
      </c>
      <c r="DF31" s="133" t="s">
        <v>165</v>
      </c>
      <c r="DG31" s="133" t="s">
        <v>165</v>
      </c>
      <c r="DH31" s="133" t="s">
        <v>165</v>
      </c>
      <c r="DI31" s="133" t="s">
        <v>165</v>
      </c>
      <c r="DJ31" s="133" t="s">
        <v>165</v>
      </c>
      <c r="DK31" s="145">
        <v>432.56244218316402</v>
      </c>
      <c r="DL31" t="s">
        <v>204</v>
      </c>
      <c r="DM31">
        <v>37.1</v>
      </c>
      <c r="DN31" t="s">
        <v>205</v>
      </c>
      <c r="DO31">
        <v>39.61</v>
      </c>
      <c r="DP31" t="s">
        <v>183</v>
      </c>
      <c r="DQ31" s="146">
        <f t="shared" si="0"/>
        <v>0.11113200000000001</v>
      </c>
      <c r="DR31" t="s">
        <v>184</v>
      </c>
      <c r="DS31" t="s">
        <v>200</v>
      </c>
      <c r="DT31" t="s">
        <v>201</v>
      </c>
      <c r="DU31">
        <v>1.0271999999999999</v>
      </c>
      <c r="DV31" t="s">
        <v>165</v>
      </c>
      <c r="DW31" t="s">
        <v>165</v>
      </c>
      <c r="DX31" t="s">
        <v>197</v>
      </c>
      <c r="DY31" t="s">
        <v>181</v>
      </c>
      <c r="DZ31" t="s">
        <v>181</v>
      </c>
      <c r="EA31" t="s">
        <v>202</v>
      </c>
      <c r="EB31" t="s">
        <v>203</v>
      </c>
      <c r="EC31" s="147" t="s">
        <v>206</v>
      </c>
      <c r="ED31" s="147" t="s">
        <v>206</v>
      </c>
      <c r="EE31" s="133" t="s">
        <v>165</v>
      </c>
      <c r="EF31" s="133" t="s">
        <v>165</v>
      </c>
      <c r="EG31" s="133" t="s">
        <v>165</v>
      </c>
      <c r="EH31" t="s">
        <v>185</v>
      </c>
      <c r="EI31" t="s">
        <v>179</v>
      </c>
      <c r="EJ31" t="s">
        <v>165</v>
      </c>
      <c r="EK31">
        <v>2357</v>
      </c>
      <c r="EL31" s="147" t="s">
        <v>211</v>
      </c>
      <c r="EM31" s="147">
        <v>175</v>
      </c>
      <c r="EN31">
        <v>175</v>
      </c>
      <c r="EO31" t="s">
        <v>165</v>
      </c>
      <c r="EP31" t="s">
        <v>165</v>
      </c>
      <c r="EQ31" t="s">
        <v>165</v>
      </c>
      <c r="ER31" t="s">
        <v>165</v>
      </c>
      <c r="ES31" s="148">
        <v>8.1378258065481504</v>
      </c>
      <c r="ET31" t="s">
        <v>187</v>
      </c>
      <c r="EU31" s="133" t="s">
        <v>165</v>
      </c>
      <c r="EV31" s="133" t="s">
        <v>165</v>
      </c>
      <c r="EW31" s="149">
        <v>304.114986033202</v>
      </c>
      <c r="EX31">
        <v>21</v>
      </c>
      <c r="EY31" t="s">
        <v>186</v>
      </c>
      <c r="EZ31" s="149">
        <v>283.114986033202</v>
      </c>
      <c r="FA31" s="149">
        <v>42.667015417664004</v>
      </c>
      <c r="FB31" s="149">
        <v>38.659798203800989</v>
      </c>
      <c r="FC31" t="s">
        <v>176</v>
      </c>
      <c r="FD31" t="s">
        <v>188</v>
      </c>
      <c r="FE31" t="s">
        <v>165</v>
      </c>
      <c r="FF31" t="s">
        <v>165</v>
      </c>
      <c r="FG31" t="s">
        <v>165</v>
      </c>
      <c r="FH31" t="s">
        <v>165</v>
      </c>
      <c r="FI31" t="s">
        <v>165</v>
      </c>
      <c r="FJ31" t="s">
        <v>165</v>
      </c>
      <c r="FK31" t="s">
        <v>165</v>
      </c>
      <c r="FL31" t="s">
        <v>165</v>
      </c>
      <c r="FM31" t="s">
        <v>165</v>
      </c>
      <c r="FN31" t="s">
        <v>165</v>
      </c>
      <c r="FO31" t="s">
        <v>165</v>
      </c>
      <c r="FP31" t="s">
        <v>165</v>
      </c>
    </row>
    <row r="32" spans="1:172">
      <c r="A32" s="131" t="s">
        <v>154</v>
      </c>
      <c r="B32" t="s">
        <v>155</v>
      </c>
      <c r="C32">
        <v>2017</v>
      </c>
      <c r="D32" s="132" t="s">
        <v>156</v>
      </c>
      <c r="E32" s="145">
        <f t="shared" si="1"/>
        <v>116.82</v>
      </c>
      <c r="F32">
        <f t="shared" si="2"/>
        <v>2</v>
      </c>
      <c r="G32">
        <f t="shared" si="3"/>
        <v>2</v>
      </c>
      <c r="H32" s="149">
        <f t="shared" si="4"/>
        <v>312.00267213309002</v>
      </c>
      <c r="I32" s="149">
        <f t="shared" si="5"/>
        <v>69.486005033435958</v>
      </c>
      <c r="J32" s="149">
        <f t="shared" si="6"/>
        <v>57.839478280893019</v>
      </c>
      <c r="K32" t="s">
        <v>209</v>
      </c>
      <c r="L32" s="132" t="s">
        <v>210</v>
      </c>
      <c r="M32" s="1" t="s">
        <v>157</v>
      </c>
      <c r="N32" s="132" t="s">
        <v>156</v>
      </c>
      <c r="O32" t="s">
        <v>158</v>
      </c>
      <c r="P32" t="s">
        <v>159</v>
      </c>
      <c r="Q32" s="133">
        <v>1</v>
      </c>
      <c r="R32" s="133">
        <v>4</v>
      </c>
      <c r="S32" s="133">
        <f>T32-2</f>
        <v>22</v>
      </c>
      <c r="T32" s="133">
        <v>24</v>
      </c>
      <c r="U32" s="134">
        <v>4.74</v>
      </c>
      <c r="V32" s="134">
        <v>4.74</v>
      </c>
      <c r="W32" t="s">
        <v>165</v>
      </c>
      <c r="X32" t="s">
        <v>160</v>
      </c>
      <c r="Y32" s="135">
        <v>12.74</v>
      </c>
      <c r="Z32" s="135">
        <v>-78.739999999999995</v>
      </c>
      <c r="AA32" t="s">
        <v>165</v>
      </c>
      <c r="AB32" t="s">
        <v>165</v>
      </c>
      <c r="AC32">
        <v>-2839</v>
      </c>
      <c r="AD32" t="s">
        <v>165</v>
      </c>
      <c r="AE32" t="s">
        <v>165</v>
      </c>
      <c r="AF32" t="s">
        <v>165</v>
      </c>
      <c r="AG32" s="145">
        <v>116.82</v>
      </c>
      <c r="AH32" t="s">
        <v>163</v>
      </c>
      <c r="AI32">
        <v>2</v>
      </c>
      <c r="AJ32">
        <v>2</v>
      </c>
      <c r="AK32" t="s">
        <v>165</v>
      </c>
      <c r="AL32" t="s">
        <v>164</v>
      </c>
      <c r="AM32" t="s">
        <v>165</v>
      </c>
      <c r="AN32" t="s">
        <v>165</v>
      </c>
      <c r="AO32" t="s">
        <v>165</v>
      </c>
      <c r="AP32" t="s">
        <v>165</v>
      </c>
      <c r="AQ32" t="s">
        <v>165</v>
      </c>
      <c r="AR32" t="s">
        <v>165</v>
      </c>
      <c r="AS32" t="s">
        <v>165</v>
      </c>
      <c r="AT32" t="s">
        <v>165</v>
      </c>
      <c r="AU32" t="s">
        <v>166</v>
      </c>
      <c r="AV32" t="s">
        <v>167</v>
      </c>
      <c r="AW32" t="s">
        <v>168</v>
      </c>
      <c r="AX32" s="154">
        <v>2</v>
      </c>
      <c r="AY32" t="s">
        <v>169</v>
      </c>
      <c r="AZ32" t="s">
        <v>170</v>
      </c>
      <c r="BA32" t="s">
        <v>171</v>
      </c>
      <c r="BB32" t="s">
        <v>165</v>
      </c>
      <c r="BC32" s="154">
        <v>2</v>
      </c>
      <c r="BD32" s="133" t="s">
        <v>165</v>
      </c>
      <c r="BE32" s="134">
        <v>20.260000000000002</v>
      </c>
      <c r="BF32" t="s">
        <v>172</v>
      </c>
      <c r="BG32" s="146">
        <v>0.3</v>
      </c>
      <c r="BH32">
        <v>0.64</v>
      </c>
      <c r="BI32" t="s">
        <v>173</v>
      </c>
      <c r="BJ32">
        <v>3.4000000000000002E-2</v>
      </c>
      <c r="BK32">
        <v>9.1</v>
      </c>
      <c r="BL32" t="s">
        <v>163</v>
      </c>
      <c r="BM32">
        <v>0.56000000000000005</v>
      </c>
      <c r="BN32" t="s">
        <v>174</v>
      </c>
      <c r="BO32" t="s">
        <v>175</v>
      </c>
      <c r="BP32" s="155">
        <f t="shared" si="7"/>
        <v>18.983333333333338</v>
      </c>
      <c r="BQ32" s="133" t="s">
        <v>183</v>
      </c>
      <c r="BR32" s="133" t="s">
        <v>165</v>
      </c>
      <c r="BS32" s="133" t="s">
        <v>165</v>
      </c>
      <c r="BT32" t="s">
        <v>176</v>
      </c>
      <c r="BU32" s="133">
        <v>10</v>
      </c>
      <c r="BV32" s="133" t="s">
        <v>198</v>
      </c>
      <c r="BW32" s="133" t="s">
        <v>165</v>
      </c>
      <c r="BX32" s="145">
        <v>26.56</v>
      </c>
      <c r="BY32" t="s">
        <v>163</v>
      </c>
      <c r="BZ32">
        <v>3</v>
      </c>
      <c r="CA32">
        <v>3</v>
      </c>
      <c r="CB32" t="s">
        <v>165</v>
      </c>
      <c r="CC32" s="146">
        <v>3.4089999999999998</v>
      </c>
      <c r="CD32" t="s">
        <v>180</v>
      </c>
      <c r="CE32" s="146">
        <v>0.13636000000000001</v>
      </c>
      <c r="CF32" s="146">
        <v>0.13636000000000001</v>
      </c>
      <c r="CG32" s="156" t="s">
        <v>165</v>
      </c>
      <c r="CH32" t="s">
        <v>207</v>
      </c>
      <c r="CI32" t="s">
        <v>165</v>
      </c>
      <c r="CJ32" t="s">
        <v>178</v>
      </c>
      <c r="CK32" t="s">
        <v>181</v>
      </c>
      <c r="CL32" t="s">
        <v>181</v>
      </c>
      <c r="CM32" t="s">
        <v>181</v>
      </c>
      <c r="CN32" t="s">
        <v>165</v>
      </c>
      <c r="CO32" t="s">
        <v>165</v>
      </c>
      <c r="CP32" t="s">
        <v>165</v>
      </c>
      <c r="CQ32" t="s">
        <v>165</v>
      </c>
      <c r="CR32" t="s">
        <v>165</v>
      </c>
      <c r="CS32" t="s">
        <v>165</v>
      </c>
      <c r="CT32" t="s">
        <v>165</v>
      </c>
      <c r="CU32">
        <v>35</v>
      </c>
      <c r="CV32" t="s">
        <v>183</v>
      </c>
      <c r="CW32" s="154">
        <v>3</v>
      </c>
      <c r="CX32" s="133" t="s">
        <v>199</v>
      </c>
      <c r="CY32" s="133" t="s">
        <v>165</v>
      </c>
      <c r="CZ32" s="133" t="s">
        <v>165</v>
      </c>
      <c r="DA32" s="133" t="s">
        <v>165</v>
      </c>
      <c r="DB32" s="133" t="s">
        <v>165</v>
      </c>
      <c r="DC32" s="133" t="s">
        <v>165</v>
      </c>
      <c r="DD32" s="133" t="s">
        <v>165</v>
      </c>
      <c r="DE32" s="133" t="s">
        <v>165</v>
      </c>
      <c r="DF32" s="133" t="s">
        <v>165</v>
      </c>
      <c r="DG32" s="133" t="s">
        <v>165</v>
      </c>
      <c r="DH32" s="133" t="s">
        <v>165</v>
      </c>
      <c r="DI32" s="133" t="s">
        <v>165</v>
      </c>
      <c r="DJ32" s="133" t="s">
        <v>165</v>
      </c>
      <c r="DK32" s="145">
        <v>432.56244218316402</v>
      </c>
      <c r="DL32" t="s">
        <v>204</v>
      </c>
      <c r="DM32">
        <v>37.1</v>
      </c>
      <c r="DN32" t="s">
        <v>205</v>
      </c>
      <c r="DO32">
        <v>39.61</v>
      </c>
      <c r="DP32" t="s">
        <v>183</v>
      </c>
      <c r="DQ32" s="146">
        <f t="shared" si="0"/>
        <v>0.111682</v>
      </c>
      <c r="DR32" t="s">
        <v>184</v>
      </c>
      <c r="DS32" t="s">
        <v>200</v>
      </c>
      <c r="DT32" t="s">
        <v>201</v>
      </c>
      <c r="DU32">
        <v>1.0271999999999999</v>
      </c>
      <c r="DV32" t="s">
        <v>165</v>
      </c>
      <c r="DW32" t="s">
        <v>165</v>
      </c>
      <c r="DX32" t="s">
        <v>197</v>
      </c>
      <c r="DY32" t="s">
        <v>181</v>
      </c>
      <c r="DZ32" t="s">
        <v>181</v>
      </c>
      <c r="EA32" t="s">
        <v>202</v>
      </c>
      <c r="EB32" t="s">
        <v>203</v>
      </c>
      <c r="EC32" s="147" t="s">
        <v>206</v>
      </c>
      <c r="ED32" s="147" t="s">
        <v>206</v>
      </c>
      <c r="EE32" s="133" t="s">
        <v>165</v>
      </c>
      <c r="EF32" s="133" t="s">
        <v>165</v>
      </c>
      <c r="EG32" s="133" t="s">
        <v>165</v>
      </c>
      <c r="EH32" t="s">
        <v>185</v>
      </c>
      <c r="EI32" t="s">
        <v>179</v>
      </c>
      <c r="EJ32" t="s">
        <v>165</v>
      </c>
      <c r="EK32">
        <v>2358</v>
      </c>
      <c r="EL32" s="147" t="s">
        <v>211</v>
      </c>
      <c r="EM32" s="147">
        <v>175</v>
      </c>
      <c r="EN32">
        <v>175</v>
      </c>
      <c r="EO32" t="s">
        <v>165</v>
      </c>
      <c r="EP32" t="s">
        <v>165</v>
      </c>
      <c r="EQ32" t="s">
        <v>165</v>
      </c>
      <c r="ER32" t="s">
        <v>165</v>
      </c>
      <c r="ES32" s="148">
        <v>8.1042198847303304</v>
      </c>
      <c r="ET32" t="s">
        <v>187</v>
      </c>
      <c r="EU32" s="133" t="s">
        <v>165</v>
      </c>
      <c r="EV32" s="133" t="s">
        <v>165</v>
      </c>
      <c r="EW32" s="149">
        <v>333.00267213309002</v>
      </c>
      <c r="EX32">
        <v>21</v>
      </c>
      <c r="EY32" t="s">
        <v>186</v>
      </c>
      <c r="EZ32" s="149">
        <v>312.00267213309002</v>
      </c>
      <c r="FA32" s="149">
        <v>69.486005033435958</v>
      </c>
      <c r="FB32" s="149">
        <v>57.839478280893019</v>
      </c>
      <c r="FC32" t="s">
        <v>176</v>
      </c>
      <c r="FD32" t="s">
        <v>188</v>
      </c>
      <c r="FE32" t="s">
        <v>165</v>
      </c>
      <c r="FF32" t="s">
        <v>165</v>
      </c>
      <c r="FG32" t="s">
        <v>165</v>
      </c>
      <c r="FH32" t="s">
        <v>165</v>
      </c>
      <c r="FI32" t="s">
        <v>165</v>
      </c>
      <c r="FJ32" t="s">
        <v>165</v>
      </c>
      <c r="FK32" t="s">
        <v>165</v>
      </c>
      <c r="FL32" t="s">
        <v>165</v>
      </c>
      <c r="FM32" t="s">
        <v>165</v>
      </c>
      <c r="FN32" t="s">
        <v>165</v>
      </c>
      <c r="FO32" t="s">
        <v>165</v>
      </c>
      <c r="FP32" t="s">
        <v>165</v>
      </c>
    </row>
    <row r="33" spans="1:172">
      <c r="A33" s="131" t="s">
        <v>154</v>
      </c>
      <c r="B33" t="s">
        <v>155</v>
      </c>
      <c r="C33">
        <v>2017</v>
      </c>
      <c r="D33" s="132" t="s">
        <v>156</v>
      </c>
      <c r="E33" s="145">
        <f t="shared" si="1"/>
        <v>118.81</v>
      </c>
      <c r="F33">
        <f t="shared" si="2"/>
        <v>2</v>
      </c>
      <c r="G33">
        <f t="shared" si="3"/>
        <v>2</v>
      </c>
      <c r="H33" s="149">
        <f t="shared" si="4"/>
        <v>329.454604285588</v>
      </c>
      <c r="I33" s="149">
        <f t="shared" si="5"/>
        <v>73.736950427071974</v>
      </c>
      <c r="J33" s="149">
        <f t="shared" si="6"/>
        <v>60.458063006983991</v>
      </c>
      <c r="K33" t="s">
        <v>209</v>
      </c>
      <c r="L33" s="132" t="s">
        <v>210</v>
      </c>
      <c r="M33" s="1" t="s">
        <v>157</v>
      </c>
      <c r="N33" s="132" t="s">
        <v>156</v>
      </c>
      <c r="O33" t="s">
        <v>158</v>
      </c>
      <c r="P33" t="s">
        <v>159</v>
      </c>
      <c r="Q33" s="133">
        <v>1</v>
      </c>
      <c r="R33" s="133">
        <v>4</v>
      </c>
      <c r="S33" s="133">
        <f>T33-2</f>
        <v>30</v>
      </c>
      <c r="T33" s="133">
        <v>32</v>
      </c>
      <c r="U33" s="134">
        <v>4.82</v>
      </c>
      <c r="V33" s="134">
        <v>4.82</v>
      </c>
      <c r="W33" t="s">
        <v>165</v>
      </c>
      <c r="X33" t="s">
        <v>160</v>
      </c>
      <c r="Y33" s="135">
        <v>12.74</v>
      </c>
      <c r="Z33" s="135">
        <v>-78.739999999999995</v>
      </c>
      <c r="AA33" t="s">
        <v>165</v>
      </c>
      <c r="AB33" t="s">
        <v>165</v>
      </c>
      <c r="AC33">
        <v>-2839</v>
      </c>
      <c r="AD33" t="s">
        <v>165</v>
      </c>
      <c r="AE33" t="s">
        <v>165</v>
      </c>
      <c r="AF33" t="s">
        <v>165</v>
      </c>
      <c r="AG33" s="145">
        <v>118.81</v>
      </c>
      <c r="AH33" t="s">
        <v>163</v>
      </c>
      <c r="AI33">
        <v>2</v>
      </c>
      <c r="AJ33">
        <v>2</v>
      </c>
      <c r="AK33" t="s">
        <v>165</v>
      </c>
      <c r="AL33" t="s">
        <v>164</v>
      </c>
      <c r="AM33" t="s">
        <v>165</v>
      </c>
      <c r="AN33" t="s">
        <v>165</v>
      </c>
      <c r="AO33" t="s">
        <v>165</v>
      </c>
      <c r="AP33" t="s">
        <v>165</v>
      </c>
      <c r="AQ33" t="s">
        <v>165</v>
      </c>
      <c r="AR33" t="s">
        <v>165</v>
      </c>
      <c r="AS33" t="s">
        <v>165</v>
      </c>
      <c r="AT33" t="s">
        <v>165</v>
      </c>
      <c r="AU33" t="s">
        <v>166</v>
      </c>
      <c r="AV33" t="s">
        <v>167</v>
      </c>
      <c r="AW33" t="s">
        <v>168</v>
      </c>
      <c r="AX33" s="154">
        <v>2</v>
      </c>
      <c r="AY33" t="s">
        <v>169</v>
      </c>
      <c r="AZ33" t="s">
        <v>170</v>
      </c>
      <c r="BA33" t="s">
        <v>171</v>
      </c>
      <c r="BB33" t="s">
        <v>165</v>
      </c>
      <c r="BC33" s="154">
        <v>2</v>
      </c>
      <c r="BD33" s="133" t="s">
        <v>165</v>
      </c>
      <c r="BE33" s="134">
        <v>20.18</v>
      </c>
      <c r="BF33" t="s">
        <v>172</v>
      </c>
      <c r="BG33" s="146">
        <v>0.3</v>
      </c>
      <c r="BH33">
        <v>0.64</v>
      </c>
      <c r="BI33" t="s">
        <v>173</v>
      </c>
      <c r="BJ33">
        <v>3.4000000000000002E-2</v>
      </c>
      <c r="BK33">
        <v>9.1</v>
      </c>
      <c r="BL33" t="s">
        <v>163</v>
      </c>
      <c r="BM33">
        <v>0.56000000000000005</v>
      </c>
      <c r="BN33" t="s">
        <v>174</v>
      </c>
      <c r="BO33" t="s">
        <v>175</v>
      </c>
      <c r="BP33" s="155">
        <f t="shared" si="7"/>
        <v>18.850000000000001</v>
      </c>
      <c r="BQ33" s="133" t="s">
        <v>183</v>
      </c>
      <c r="BR33" s="133" t="s">
        <v>165</v>
      </c>
      <c r="BS33" s="133" t="s">
        <v>165</v>
      </c>
      <c r="BT33" t="s">
        <v>176</v>
      </c>
      <c r="BU33" s="133">
        <v>10</v>
      </c>
      <c r="BV33" s="133" t="s">
        <v>198</v>
      </c>
      <c r="BW33" s="133" t="s">
        <v>165</v>
      </c>
      <c r="BX33" s="145">
        <v>27.14</v>
      </c>
      <c r="BY33" t="s">
        <v>163</v>
      </c>
      <c r="BZ33">
        <v>3</v>
      </c>
      <c r="CA33">
        <v>3</v>
      </c>
      <c r="CB33" t="s">
        <v>165</v>
      </c>
      <c r="CC33" s="146">
        <v>3.7</v>
      </c>
      <c r="CD33" t="s">
        <v>180</v>
      </c>
      <c r="CE33" s="146">
        <v>0.14800000000000002</v>
      </c>
      <c r="CF33" s="146">
        <v>0.14800000000000002</v>
      </c>
      <c r="CG33" s="156" t="s">
        <v>165</v>
      </c>
      <c r="CH33" t="s">
        <v>207</v>
      </c>
      <c r="CI33" t="s">
        <v>165</v>
      </c>
      <c r="CJ33" t="s">
        <v>178</v>
      </c>
      <c r="CK33" t="s">
        <v>181</v>
      </c>
      <c r="CL33" t="s">
        <v>181</v>
      </c>
      <c r="CM33" t="s">
        <v>181</v>
      </c>
      <c r="CN33" t="s">
        <v>165</v>
      </c>
      <c r="CO33" t="s">
        <v>165</v>
      </c>
      <c r="CP33" t="s">
        <v>165</v>
      </c>
      <c r="CQ33" t="s">
        <v>165</v>
      </c>
      <c r="CR33" t="s">
        <v>165</v>
      </c>
      <c r="CS33" t="s">
        <v>165</v>
      </c>
      <c r="CT33" t="s">
        <v>165</v>
      </c>
      <c r="CU33">
        <v>35</v>
      </c>
      <c r="CV33" t="s">
        <v>183</v>
      </c>
      <c r="CW33" s="154">
        <v>3</v>
      </c>
      <c r="CX33" s="133" t="s">
        <v>199</v>
      </c>
      <c r="CY33" s="133" t="s">
        <v>165</v>
      </c>
      <c r="CZ33" s="133" t="s">
        <v>165</v>
      </c>
      <c r="DA33" s="133" t="s">
        <v>165</v>
      </c>
      <c r="DB33" s="133" t="s">
        <v>165</v>
      </c>
      <c r="DC33" s="133" t="s">
        <v>165</v>
      </c>
      <c r="DD33" s="133" t="s">
        <v>165</v>
      </c>
      <c r="DE33" s="133" t="s">
        <v>165</v>
      </c>
      <c r="DF33" s="133" t="s">
        <v>165</v>
      </c>
      <c r="DG33" s="133" t="s">
        <v>165</v>
      </c>
      <c r="DH33" s="133" t="s">
        <v>165</v>
      </c>
      <c r="DI33" s="133" t="s">
        <v>165</v>
      </c>
      <c r="DJ33" s="133" t="s">
        <v>165</v>
      </c>
      <c r="DK33" s="145">
        <v>432.56244218316402</v>
      </c>
      <c r="DL33" t="s">
        <v>204</v>
      </c>
      <c r="DM33">
        <v>37.1</v>
      </c>
      <c r="DN33" t="s">
        <v>205</v>
      </c>
      <c r="DO33">
        <v>39.61</v>
      </c>
      <c r="DP33" t="s">
        <v>183</v>
      </c>
      <c r="DQ33" s="146">
        <f t="shared" si="0"/>
        <v>0.11188100000000001</v>
      </c>
      <c r="DR33" t="s">
        <v>184</v>
      </c>
      <c r="DS33" t="s">
        <v>200</v>
      </c>
      <c r="DT33" t="s">
        <v>201</v>
      </c>
      <c r="DU33">
        <v>1.0271999999999999</v>
      </c>
      <c r="DV33" t="s">
        <v>165</v>
      </c>
      <c r="DW33" t="s">
        <v>165</v>
      </c>
      <c r="DX33" t="s">
        <v>197</v>
      </c>
      <c r="DY33" t="s">
        <v>181</v>
      </c>
      <c r="DZ33" t="s">
        <v>181</v>
      </c>
      <c r="EA33" t="s">
        <v>202</v>
      </c>
      <c r="EB33" t="s">
        <v>203</v>
      </c>
      <c r="EC33" s="147" t="s">
        <v>206</v>
      </c>
      <c r="ED33" s="147" t="s">
        <v>206</v>
      </c>
      <c r="EE33" s="133" t="s">
        <v>165</v>
      </c>
      <c r="EF33" s="133" t="s">
        <v>165</v>
      </c>
      <c r="EG33" s="133" t="s">
        <v>165</v>
      </c>
      <c r="EH33" t="s">
        <v>185</v>
      </c>
      <c r="EI33" t="s">
        <v>179</v>
      </c>
      <c r="EJ33" t="s">
        <v>165</v>
      </c>
      <c r="EK33">
        <v>2359</v>
      </c>
      <c r="EL33" s="147" t="s">
        <v>211</v>
      </c>
      <c r="EM33" s="147">
        <v>175</v>
      </c>
      <c r="EN33">
        <v>175</v>
      </c>
      <c r="EO33" t="s">
        <v>165</v>
      </c>
      <c r="EP33" t="s">
        <v>165</v>
      </c>
      <c r="EQ33" t="s">
        <v>165</v>
      </c>
      <c r="ER33" t="s">
        <v>165</v>
      </c>
      <c r="ES33" s="148">
        <v>8.0864688506046303</v>
      </c>
      <c r="ET33" t="s">
        <v>187</v>
      </c>
      <c r="EU33" s="133" t="s">
        <v>165</v>
      </c>
      <c r="EV33" s="133" t="s">
        <v>165</v>
      </c>
      <c r="EW33" s="149">
        <v>350.454604285588</v>
      </c>
      <c r="EX33">
        <v>21</v>
      </c>
      <c r="EY33" t="s">
        <v>186</v>
      </c>
      <c r="EZ33" s="149">
        <v>329.454604285588</v>
      </c>
      <c r="FA33" s="149">
        <v>73.736950427071974</v>
      </c>
      <c r="FB33" s="149">
        <v>60.458063006983991</v>
      </c>
      <c r="FC33" t="s">
        <v>176</v>
      </c>
      <c r="FD33" t="s">
        <v>188</v>
      </c>
      <c r="FE33" t="s">
        <v>165</v>
      </c>
      <c r="FF33" t="s">
        <v>165</v>
      </c>
      <c r="FG33" t="s">
        <v>165</v>
      </c>
      <c r="FH33" t="s">
        <v>165</v>
      </c>
      <c r="FI33" t="s">
        <v>165</v>
      </c>
      <c r="FJ33" t="s">
        <v>165</v>
      </c>
      <c r="FK33" t="s">
        <v>165</v>
      </c>
      <c r="FL33" t="s">
        <v>165</v>
      </c>
      <c r="FM33" t="s">
        <v>165</v>
      </c>
      <c r="FN33" t="s">
        <v>165</v>
      </c>
      <c r="FO33" t="s">
        <v>165</v>
      </c>
      <c r="FP33" t="s">
        <v>165</v>
      </c>
    </row>
    <row r="34" spans="1:172">
      <c r="A34" s="131" t="s">
        <v>154</v>
      </c>
      <c r="B34" t="s">
        <v>155</v>
      </c>
      <c r="C34">
        <v>2017</v>
      </c>
      <c r="D34" s="132" t="s">
        <v>156</v>
      </c>
      <c r="E34" s="145">
        <f t="shared" si="1"/>
        <v>119.06</v>
      </c>
      <c r="F34">
        <f t="shared" si="2"/>
        <v>2</v>
      </c>
      <c r="G34">
        <f t="shared" si="3"/>
        <v>2</v>
      </c>
      <c r="H34" s="149">
        <f t="shared" si="4"/>
        <v>303.95984155233299</v>
      </c>
      <c r="I34" s="149">
        <f t="shared" si="5"/>
        <v>46.906784201737025</v>
      </c>
      <c r="J34" s="149">
        <f t="shared" si="6"/>
        <v>41.953322925758016</v>
      </c>
      <c r="K34" t="s">
        <v>209</v>
      </c>
      <c r="L34" s="132" t="s">
        <v>210</v>
      </c>
      <c r="M34" s="1" t="s">
        <v>157</v>
      </c>
      <c r="N34" s="132" t="s">
        <v>156</v>
      </c>
      <c r="O34" t="s">
        <v>158</v>
      </c>
      <c r="P34" s="136" t="s">
        <v>159</v>
      </c>
      <c r="Q34" s="136">
        <v>1</v>
      </c>
      <c r="R34" s="136">
        <v>4</v>
      </c>
      <c r="S34" s="136">
        <v>32</v>
      </c>
      <c r="T34" s="136">
        <f>S34+2</f>
        <v>34</v>
      </c>
      <c r="U34" s="136">
        <v>4.82</v>
      </c>
      <c r="V34" s="136">
        <v>4.82</v>
      </c>
      <c r="W34" t="s">
        <v>165</v>
      </c>
      <c r="X34" t="s">
        <v>160</v>
      </c>
      <c r="Y34" s="135">
        <v>12.74</v>
      </c>
      <c r="Z34" s="135">
        <v>-78.739999999999995</v>
      </c>
      <c r="AA34" t="s">
        <v>165</v>
      </c>
      <c r="AB34" t="s">
        <v>165</v>
      </c>
      <c r="AC34">
        <v>-2839</v>
      </c>
      <c r="AD34" t="s">
        <v>165</v>
      </c>
      <c r="AE34" t="s">
        <v>165</v>
      </c>
      <c r="AF34" t="s">
        <v>165</v>
      </c>
      <c r="AG34" s="145">
        <v>119.06</v>
      </c>
      <c r="AH34" t="s">
        <v>163</v>
      </c>
      <c r="AI34">
        <v>2</v>
      </c>
      <c r="AJ34">
        <v>2</v>
      </c>
      <c r="AK34" t="s">
        <v>165</v>
      </c>
      <c r="AL34" t="s">
        <v>164</v>
      </c>
      <c r="AM34" t="s">
        <v>165</v>
      </c>
      <c r="AN34" t="s">
        <v>165</v>
      </c>
      <c r="AO34" t="s">
        <v>165</v>
      </c>
      <c r="AP34" t="s">
        <v>165</v>
      </c>
      <c r="AQ34" t="s">
        <v>165</v>
      </c>
      <c r="AR34" t="s">
        <v>165</v>
      </c>
      <c r="AS34" t="s">
        <v>165</v>
      </c>
      <c r="AT34" t="s">
        <v>165</v>
      </c>
      <c r="AU34" t="s">
        <v>166</v>
      </c>
      <c r="AV34" t="s">
        <v>167</v>
      </c>
      <c r="AW34" t="s">
        <v>168</v>
      </c>
      <c r="AX34" s="154">
        <v>2</v>
      </c>
      <c r="AY34" t="s">
        <v>169</v>
      </c>
      <c r="AZ34" t="s">
        <v>170</v>
      </c>
      <c r="BA34" t="s">
        <v>171</v>
      </c>
      <c r="BB34" t="s">
        <v>165</v>
      </c>
      <c r="BC34" s="154">
        <v>2</v>
      </c>
      <c r="BD34" s="133" t="s">
        <v>165</v>
      </c>
      <c r="BE34" s="146">
        <v>20.308739240000001</v>
      </c>
      <c r="BF34" t="s">
        <v>172</v>
      </c>
      <c r="BG34" s="146">
        <v>0.27101699600000001</v>
      </c>
      <c r="BH34">
        <v>0.64</v>
      </c>
      <c r="BI34" t="s">
        <v>173</v>
      </c>
      <c r="BJ34">
        <v>3.4000000000000002E-2</v>
      </c>
      <c r="BK34">
        <v>9.1</v>
      </c>
      <c r="BL34" t="s">
        <v>163</v>
      </c>
      <c r="BM34">
        <v>0.56000000000000005</v>
      </c>
      <c r="BN34" t="s">
        <v>174</v>
      </c>
      <c r="BO34" t="s">
        <v>175</v>
      </c>
      <c r="BP34" s="155">
        <f t="shared" si="7"/>
        <v>19.064565400000003</v>
      </c>
      <c r="BQ34" s="133" t="s">
        <v>183</v>
      </c>
      <c r="BR34" s="133" t="s">
        <v>165</v>
      </c>
      <c r="BS34" s="133" t="s">
        <v>165</v>
      </c>
      <c r="BT34" t="s">
        <v>176</v>
      </c>
      <c r="BU34" s="133">
        <v>10</v>
      </c>
      <c r="BV34" s="133" t="s">
        <v>198</v>
      </c>
      <c r="BW34" s="133" t="s">
        <v>165</v>
      </c>
      <c r="BX34" s="145">
        <v>26.43</v>
      </c>
      <c r="BY34" t="s">
        <v>163</v>
      </c>
      <c r="BZ34">
        <v>3</v>
      </c>
      <c r="CA34">
        <v>3</v>
      </c>
      <c r="CB34" t="s">
        <v>165</v>
      </c>
      <c r="CC34" s="146">
        <v>4.1007913793754991</v>
      </c>
      <c r="CD34" t="s">
        <v>180</v>
      </c>
      <c r="CE34" s="146">
        <v>0.16403165517501997</v>
      </c>
      <c r="CF34" s="146">
        <v>0.16403165517501997</v>
      </c>
      <c r="CG34" s="156" t="s">
        <v>165</v>
      </c>
      <c r="CH34" t="s">
        <v>207</v>
      </c>
      <c r="CI34" t="s">
        <v>165</v>
      </c>
      <c r="CJ34" t="s">
        <v>178</v>
      </c>
      <c r="CK34" t="s">
        <v>181</v>
      </c>
      <c r="CL34" t="s">
        <v>181</v>
      </c>
      <c r="CM34" t="s">
        <v>181</v>
      </c>
      <c r="CN34" t="s">
        <v>165</v>
      </c>
      <c r="CO34" t="s">
        <v>165</v>
      </c>
      <c r="CP34" t="s">
        <v>165</v>
      </c>
      <c r="CQ34" t="s">
        <v>165</v>
      </c>
      <c r="CR34" t="s">
        <v>165</v>
      </c>
      <c r="CS34" t="s">
        <v>165</v>
      </c>
      <c r="CT34" t="s">
        <v>165</v>
      </c>
      <c r="CU34">
        <v>35</v>
      </c>
      <c r="CV34" t="s">
        <v>183</v>
      </c>
      <c r="CW34" s="154">
        <v>3</v>
      </c>
      <c r="CX34" s="133" t="s">
        <v>199</v>
      </c>
      <c r="CY34" s="133" t="s">
        <v>165</v>
      </c>
      <c r="CZ34" s="133" t="s">
        <v>165</v>
      </c>
      <c r="DA34" s="133" t="s">
        <v>165</v>
      </c>
      <c r="DB34" s="133" t="s">
        <v>165</v>
      </c>
      <c r="DC34" s="133" t="s">
        <v>165</v>
      </c>
      <c r="DD34" s="133" t="s">
        <v>165</v>
      </c>
      <c r="DE34" s="133" t="s">
        <v>165</v>
      </c>
      <c r="DF34" s="133" t="s">
        <v>165</v>
      </c>
      <c r="DG34" s="133" t="s">
        <v>165</v>
      </c>
      <c r="DH34" s="133" t="s">
        <v>165</v>
      </c>
      <c r="DI34" s="133" t="s">
        <v>165</v>
      </c>
      <c r="DJ34" s="133" t="s">
        <v>165</v>
      </c>
      <c r="DK34" s="145">
        <v>432.56244218316402</v>
      </c>
      <c r="DL34" t="s">
        <v>204</v>
      </c>
      <c r="DM34">
        <v>37.1</v>
      </c>
      <c r="DN34" t="s">
        <v>205</v>
      </c>
      <c r="DO34">
        <v>39.61</v>
      </c>
      <c r="DP34" t="s">
        <v>183</v>
      </c>
      <c r="DQ34" s="146">
        <f t="shared" si="0"/>
        <v>0.11190600000000001</v>
      </c>
      <c r="DR34" t="s">
        <v>184</v>
      </c>
      <c r="DS34" t="s">
        <v>200</v>
      </c>
      <c r="DT34" t="s">
        <v>201</v>
      </c>
      <c r="DU34">
        <v>1.0271999999999999</v>
      </c>
      <c r="DV34" t="s">
        <v>165</v>
      </c>
      <c r="DW34" t="s">
        <v>165</v>
      </c>
      <c r="DX34" t="s">
        <v>197</v>
      </c>
      <c r="DY34" t="s">
        <v>181</v>
      </c>
      <c r="DZ34" t="s">
        <v>181</v>
      </c>
      <c r="EA34" t="s">
        <v>202</v>
      </c>
      <c r="EB34" t="s">
        <v>203</v>
      </c>
      <c r="EC34" s="147" t="s">
        <v>206</v>
      </c>
      <c r="ED34" s="147" t="s">
        <v>206</v>
      </c>
      <c r="EE34" s="133" t="s">
        <v>165</v>
      </c>
      <c r="EF34" s="133" t="s">
        <v>165</v>
      </c>
      <c r="EG34" s="133" t="s">
        <v>165</v>
      </c>
      <c r="EH34" t="s">
        <v>185</v>
      </c>
      <c r="EI34" t="s">
        <v>179</v>
      </c>
      <c r="EJ34" t="s">
        <v>165</v>
      </c>
      <c r="EK34">
        <v>2360</v>
      </c>
      <c r="EL34" s="147" t="s">
        <v>211</v>
      </c>
      <c r="EM34" s="147">
        <v>175</v>
      </c>
      <c r="EN34">
        <v>175</v>
      </c>
      <c r="EO34" t="s">
        <v>165</v>
      </c>
      <c r="EP34" t="s">
        <v>165</v>
      </c>
      <c r="EQ34" t="s">
        <v>165</v>
      </c>
      <c r="ER34" t="s">
        <v>165</v>
      </c>
      <c r="ES34" s="148">
        <v>8.1133725675820703</v>
      </c>
      <c r="ET34" t="s">
        <v>187</v>
      </c>
      <c r="EU34" s="133" t="s">
        <v>165</v>
      </c>
      <c r="EV34" s="133" t="s">
        <v>165</v>
      </c>
      <c r="EW34" s="149">
        <v>324.95984155233299</v>
      </c>
      <c r="EX34">
        <v>21</v>
      </c>
      <c r="EY34" t="s">
        <v>186</v>
      </c>
      <c r="EZ34" s="149">
        <v>303.95984155233299</v>
      </c>
      <c r="FA34" s="149">
        <v>46.906784201737025</v>
      </c>
      <c r="FB34" s="149">
        <v>41.953322925758016</v>
      </c>
      <c r="FC34" t="s">
        <v>176</v>
      </c>
      <c r="FD34" t="s">
        <v>188</v>
      </c>
      <c r="FE34" t="s">
        <v>165</v>
      </c>
      <c r="FF34" t="s">
        <v>165</v>
      </c>
      <c r="FG34" t="s">
        <v>165</v>
      </c>
      <c r="FH34" t="s">
        <v>165</v>
      </c>
      <c r="FI34" t="s">
        <v>165</v>
      </c>
      <c r="FJ34" t="s">
        <v>165</v>
      </c>
      <c r="FK34" t="s">
        <v>165</v>
      </c>
      <c r="FL34" t="s">
        <v>165</v>
      </c>
      <c r="FM34" t="s">
        <v>165</v>
      </c>
      <c r="FN34" t="s">
        <v>165</v>
      </c>
      <c r="FO34" t="s">
        <v>165</v>
      </c>
      <c r="FP34" t="s">
        <v>165</v>
      </c>
    </row>
    <row r="35" spans="1:172">
      <c r="A35" s="131" t="s">
        <v>154</v>
      </c>
      <c r="B35" t="s">
        <v>155</v>
      </c>
      <c r="C35">
        <v>2017</v>
      </c>
      <c r="D35" s="132" t="s">
        <v>156</v>
      </c>
      <c r="E35" s="145">
        <f t="shared" si="1"/>
        <v>121.79</v>
      </c>
      <c r="F35">
        <f t="shared" si="2"/>
        <v>2</v>
      </c>
      <c r="G35">
        <f t="shared" si="3"/>
        <v>2</v>
      </c>
      <c r="H35" s="149">
        <f t="shared" si="4"/>
        <v>340.563104601156</v>
      </c>
      <c r="I35" s="149">
        <f t="shared" si="5"/>
        <v>59.04482622454799</v>
      </c>
      <c r="J35" s="149">
        <f t="shared" si="6"/>
        <v>53.220029385519979</v>
      </c>
      <c r="K35" t="s">
        <v>209</v>
      </c>
      <c r="L35" s="132" t="s">
        <v>210</v>
      </c>
      <c r="M35" s="1" t="s">
        <v>157</v>
      </c>
      <c r="N35" s="132" t="s">
        <v>156</v>
      </c>
      <c r="O35" t="s">
        <v>158</v>
      </c>
      <c r="P35" t="s">
        <v>159</v>
      </c>
      <c r="Q35" s="133">
        <v>1</v>
      </c>
      <c r="R35" s="133">
        <v>4</v>
      </c>
      <c r="S35" s="133">
        <v>42</v>
      </c>
      <c r="T35" s="133">
        <v>44</v>
      </c>
      <c r="U35" s="134">
        <v>4.9400000000000004</v>
      </c>
      <c r="V35" s="134">
        <v>4.9400000000000004</v>
      </c>
      <c r="W35" t="s">
        <v>165</v>
      </c>
      <c r="X35" t="s">
        <v>160</v>
      </c>
      <c r="Y35" s="135">
        <v>12.74</v>
      </c>
      <c r="Z35" s="135">
        <v>-78.739999999999995</v>
      </c>
      <c r="AA35" t="s">
        <v>165</v>
      </c>
      <c r="AB35" t="s">
        <v>165</v>
      </c>
      <c r="AC35">
        <v>-2839</v>
      </c>
      <c r="AD35" t="s">
        <v>165</v>
      </c>
      <c r="AE35" t="s">
        <v>165</v>
      </c>
      <c r="AF35" t="s">
        <v>165</v>
      </c>
      <c r="AG35" s="145">
        <v>121.79</v>
      </c>
      <c r="AH35" t="s">
        <v>163</v>
      </c>
      <c r="AI35">
        <v>2</v>
      </c>
      <c r="AJ35">
        <v>2</v>
      </c>
      <c r="AK35" t="s">
        <v>165</v>
      </c>
      <c r="AL35" t="s">
        <v>164</v>
      </c>
      <c r="AM35" t="s">
        <v>165</v>
      </c>
      <c r="AN35" t="s">
        <v>165</v>
      </c>
      <c r="AO35" t="s">
        <v>165</v>
      </c>
      <c r="AP35" t="s">
        <v>165</v>
      </c>
      <c r="AQ35" t="s">
        <v>165</v>
      </c>
      <c r="AR35" t="s">
        <v>165</v>
      </c>
      <c r="AS35" t="s">
        <v>165</v>
      </c>
      <c r="AT35" t="s">
        <v>165</v>
      </c>
      <c r="AU35" t="s">
        <v>166</v>
      </c>
      <c r="AV35" t="s">
        <v>167</v>
      </c>
      <c r="AW35" t="s">
        <v>168</v>
      </c>
      <c r="AX35" s="154">
        <v>2</v>
      </c>
      <c r="AY35" t="s">
        <v>169</v>
      </c>
      <c r="AZ35" t="s">
        <v>170</v>
      </c>
      <c r="BA35" t="s">
        <v>171</v>
      </c>
      <c r="BB35" t="s">
        <v>165</v>
      </c>
      <c r="BC35" s="154">
        <v>2</v>
      </c>
      <c r="BD35" s="133" t="s">
        <v>165</v>
      </c>
      <c r="BE35" s="134">
        <v>20.12</v>
      </c>
      <c r="BF35" t="s">
        <v>172</v>
      </c>
      <c r="BG35" s="146">
        <v>0.2</v>
      </c>
      <c r="BH35">
        <v>0.64</v>
      </c>
      <c r="BI35" t="s">
        <v>173</v>
      </c>
      <c r="BJ35">
        <v>3.4000000000000002E-2</v>
      </c>
      <c r="BK35">
        <v>9.1</v>
      </c>
      <c r="BL35" t="s">
        <v>163</v>
      </c>
      <c r="BM35">
        <v>0.56000000000000005</v>
      </c>
      <c r="BN35" t="s">
        <v>174</v>
      </c>
      <c r="BO35" t="s">
        <v>175</v>
      </c>
      <c r="BP35" s="155">
        <f t="shared" si="7"/>
        <v>18.750000000000004</v>
      </c>
      <c r="BQ35" s="133" t="s">
        <v>183</v>
      </c>
      <c r="BR35" s="133" t="s">
        <v>165</v>
      </c>
      <c r="BS35" s="133" t="s">
        <v>165</v>
      </c>
      <c r="BT35" t="s">
        <v>176</v>
      </c>
      <c r="BU35" s="133">
        <v>10</v>
      </c>
      <c r="BV35" s="133" t="s">
        <v>198</v>
      </c>
      <c r="BW35" s="133" t="s">
        <v>165</v>
      </c>
      <c r="BX35" s="145">
        <v>27.33</v>
      </c>
      <c r="BY35" t="s">
        <v>163</v>
      </c>
      <c r="BZ35">
        <v>3</v>
      </c>
      <c r="CA35">
        <v>3</v>
      </c>
      <c r="CB35" t="s">
        <v>165</v>
      </c>
      <c r="CC35" s="146">
        <v>3.5939999999999999</v>
      </c>
      <c r="CD35" t="s">
        <v>180</v>
      </c>
      <c r="CE35" s="146">
        <v>0.14376</v>
      </c>
      <c r="CF35" s="146">
        <v>0.14376</v>
      </c>
      <c r="CG35" s="156" t="s">
        <v>165</v>
      </c>
      <c r="CH35" t="s">
        <v>207</v>
      </c>
      <c r="CI35" t="s">
        <v>165</v>
      </c>
      <c r="CJ35" t="s">
        <v>178</v>
      </c>
      <c r="CK35" t="s">
        <v>181</v>
      </c>
      <c r="CL35" t="s">
        <v>181</v>
      </c>
      <c r="CM35" t="s">
        <v>181</v>
      </c>
      <c r="CN35" t="s">
        <v>165</v>
      </c>
      <c r="CO35" t="s">
        <v>165</v>
      </c>
      <c r="CP35" t="s">
        <v>165</v>
      </c>
      <c r="CQ35" t="s">
        <v>165</v>
      </c>
      <c r="CR35" t="s">
        <v>165</v>
      </c>
      <c r="CS35" t="s">
        <v>165</v>
      </c>
      <c r="CT35" t="s">
        <v>165</v>
      </c>
      <c r="CU35">
        <v>35</v>
      </c>
      <c r="CV35" t="s">
        <v>183</v>
      </c>
      <c r="CW35" s="154">
        <v>3</v>
      </c>
      <c r="CX35" s="133" t="s">
        <v>199</v>
      </c>
      <c r="CY35" s="133" t="s">
        <v>165</v>
      </c>
      <c r="CZ35" s="133" t="s">
        <v>165</v>
      </c>
      <c r="DA35" s="133" t="s">
        <v>165</v>
      </c>
      <c r="DB35" s="133" t="s">
        <v>165</v>
      </c>
      <c r="DC35" s="133" t="s">
        <v>165</v>
      </c>
      <c r="DD35" s="133" t="s">
        <v>165</v>
      </c>
      <c r="DE35" s="133" t="s">
        <v>165</v>
      </c>
      <c r="DF35" s="133" t="s">
        <v>165</v>
      </c>
      <c r="DG35" s="133" t="s">
        <v>165</v>
      </c>
      <c r="DH35" s="133" t="s">
        <v>165</v>
      </c>
      <c r="DI35" s="133" t="s">
        <v>165</v>
      </c>
      <c r="DJ35" s="133" t="s">
        <v>165</v>
      </c>
      <c r="DK35" s="145">
        <v>432.56244218316402</v>
      </c>
      <c r="DL35" t="s">
        <v>204</v>
      </c>
      <c r="DM35">
        <v>37.1</v>
      </c>
      <c r="DN35" t="s">
        <v>205</v>
      </c>
      <c r="DO35">
        <v>39.61</v>
      </c>
      <c r="DP35" t="s">
        <v>183</v>
      </c>
      <c r="DQ35" s="146">
        <f t="shared" si="0"/>
        <v>0.112179</v>
      </c>
      <c r="DR35" t="s">
        <v>184</v>
      </c>
      <c r="DS35" t="s">
        <v>200</v>
      </c>
      <c r="DT35" t="s">
        <v>201</v>
      </c>
      <c r="DU35">
        <v>1.0271999999999999</v>
      </c>
      <c r="DV35" t="s">
        <v>165</v>
      </c>
      <c r="DW35" t="s">
        <v>165</v>
      </c>
      <c r="DX35" t="s">
        <v>197</v>
      </c>
      <c r="DY35" t="s">
        <v>181</v>
      </c>
      <c r="DZ35" t="s">
        <v>181</v>
      </c>
      <c r="EA35" t="s">
        <v>202</v>
      </c>
      <c r="EB35" t="s">
        <v>203</v>
      </c>
      <c r="EC35" s="147" t="s">
        <v>206</v>
      </c>
      <c r="ED35" s="147" t="s">
        <v>206</v>
      </c>
      <c r="EE35" s="133" t="s">
        <v>165</v>
      </c>
      <c r="EF35" s="133" t="s">
        <v>165</v>
      </c>
      <c r="EG35" s="133" t="s">
        <v>165</v>
      </c>
      <c r="EH35" t="s">
        <v>185</v>
      </c>
      <c r="EI35" t="s">
        <v>179</v>
      </c>
      <c r="EJ35" t="s">
        <v>165</v>
      </c>
      <c r="EK35">
        <v>2361</v>
      </c>
      <c r="EL35" s="147" t="s">
        <v>211</v>
      </c>
      <c r="EM35" s="147">
        <v>175</v>
      </c>
      <c r="EN35">
        <v>175</v>
      </c>
      <c r="EO35" t="s">
        <v>165</v>
      </c>
      <c r="EP35" t="s">
        <v>165</v>
      </c>
      <c r="EQ35" t="s">
        <v>165</v>
      </c>
      <c r="ER35" t="s">
        <v>165</v>
      </c>
      <c r="ES35" s="148">
        <v>8.0753034511928092</v>
      </c>
      <c r="ET35" t="s">
        <v>187</v>
      </c>
      <c r="EU35" s="133" t="s">
        <v>165</v>
      </c>
      <c r="EV35" s="133" t="s">
        <v>165</v>
      </c>
      <c r="EW35" s="149">
        <v>361.563104601156</v>
      </c>
      <c r="EX35">
        <v>21</v>
      </c>
      <c r="EY35" t="s">
        <v>186</v>
      </c>
      <c r="EZ35" s="149">
        <v>340.563104601156</v>
      </c>
      <c r="FA35" s="149">
        <v>59.04482622454799</v>
      </c>
      <c r="FB35" s="149">
        <v>53.220029385519979</v>
      </c>
      <c r="FC35" t="s">
        <v>176</v>
      </c>
      <c r="FD35" t="s">
        <v>188</v>
      </c>
      <c r="FE35" t="s">
        <v>165</v>
      </c>
      <c r="FF35" t="s">
        <v>165</v>
      </c>
      <c r="FG35" t="s">
        <v>165</v>
      </c>
      <c r="FH35" t="s">
        <v>165</v>
      </c>
      <c r="FI35" t="s">
        <v>165</v>
      </c>
      <c r="FJ35" t="s">
        <v>165</v>
      </c>
      <c r="FK35" t="s">
        <v>165</v>
      </c>
      <c r="FL35" t="s">
        <v>165</v>
      </c>
      <c r="FM35" t="s">
        <v>165</v>
      </c>
      <c r="FN35" t="s">
        <v>165</v>
      </c>
      <c r="FO35" t="s">
        <v>165</v>
      </c>
      <c r="FP35" t="s">
        <v>165</v>
      </c>
    </row>
    <row r="36" spans="1:172">
      <c r="A36" s="131" t="s">
        <v>154</v>
      </c>
      <c r="B36" t="s">
        <v>155</v>
      </c>
      <c r="C36">
        <v>2017</v>
      </c>
      <c r="D36" s="132" t="s">
        <v>156</v>
      </c>
      <c r="E36" s="145">
        <f t="shared" si="1"/>
        <v>123.77</v>
      </c>
      <c r="F36">
        <f t="shared" si="2"/>
        <v>2</v>
      </c>
      <c r="G36">
        <f t="shared" si="3"/>
        <v>2</v>
      </c>
      <c r="H36" s="149">
        <f t="shared" si="4"/>
        <v>283.84397899509401</v>
      </c>
      <c r="I36" s="149">
        <f t="shared" si="5"/>
        <v>41.64830202452697</v>
      </c>
      <c r="J36" s="149">
        <f t="shared" si="6"/>
        <v>38.830543756947009</v>
      </c>
      <c r="K36" t="s">
        <v>209</v>
      </c>
      <c r="L36" s="132" t="s">
        <v>210</v>
      </c>
      <c r="M36" s="1" t="s">
        <v>157</v>
      </c>
      <c r="N36" s="132" t="s">
        <v>156</v>
      </c>
      <c r="O36" t="s">
        <v>158</v>
      </c>
      <c r="P36" s="136" t="s">
        <v>159</v>
      </c>
      <c r="Q36" s="136">
        <v>1</v>
      </c>
      <c r="R36" s="136">
        <v>4</v>
      </c>
      <c r="S36" s="136">
        <v>51</v>
      </c>
      <c r="T36" s="136">
        <f>S36+2</f>
        <v>53</v>
      </c>
      <c r="U36" s="136">
        <v>5.01</v>
      </c>
      <c r="V36" s="136">
        <v>5.01</v>
      </c>
      <c r="W36" t="s">
        <v>165</v>
      </c>
      <c r="X36" t="s">
        <v>160</v>
      </c>
      <c r="Y36" s="135">
        <v>12.74</v>
      </c>
      <c r="Z36" s="135">
        <v>-78.739999999999995</v>
      </c>
      <c r="AA36" t="s">
        <v>165</v>
      </c>
      <c r="AB36" t="s">
        <v>165</v>
      </c>
      <c r="AC36">
        <v>-2839</v>
      </c>
      <c r="AD36" t="s">
        <v>165</v>
      </c>
      <c r="AE36" t="s">
        <v>165</v>
      </c>
      <c r="AF36" t="s">
        <v>165</v>
      </c>
      <c r="AG36" s="145">
        <v>123.77</v>
      </c>
      <c r="AH36" t="s">
        <v>163</v>
      </c>
      <c r="AI36">
        <v>2</v>
      </c>
      <c r="AJ36">
        <v>2</v>
      </c>
      <c r="AK36" t="s">
        <v>165</v>
      </c>
      <c r="AL36" t="s">
        <v>164</v>
      </c>
      <c r="AM36" t="s">
        <v>165</v>
      </c>
      <c r="AN36" t="s">
        <v>165</v>
      </c>
      <c r="AO36" t="s">
        <v>165</v>
      </c>
      <c r="AP36" t="s">
        <v>165</v>
      </c>
      <c r="AQ36" t="s">
        <v>165</v>
      </c>
      <c r="AR36" t="s">
        <v>165</v>
      </c>
      <c r="AS36" t="s">
        <v>165</v>
      </c>
      <c r="AT36" t="s">
        <v>165</v>
      </c>
      <c r="AU36" t="s">
        <v>166</v>
      </c>
      <c r="AV36" t="s">
        <v>167</v>
      </c>
      <c r="AW36" t="s">
        <v>168</v>
      </c>
      <c r="AX36" s="154">
        <v>2</v>
      </c>
      <c r="AY36" t="s">
        <v>169</v>
      </c>
      <c r="AZ36" t="s">
        <v>170</v>
      </c>
      <c r="BA36" t="s">
        <v>171</v>
      </c>
      <c r="BB36" t="s">
        <v>165</v>
      </c>
      <c r="BC36" s="154">
        <v>2</v>
      </c>
      <c r="BD36" s="133" t="s">
        <v>165</v>
      </c>
      <c r="BE36" s="146">
        <v>20.552247770000001</v>
      </c>
      <c r="BF36" t="s">
        <v>172</v>
      </c>
      <c r="BG36" s="146">
        <v>0.18916951800000001</v>
      </c>
      <c r="BH36">
        <v>0.64</v>
      </c>
      <c r="BI36" t="s">
        <v>173</v>
      </c>
      <c r="BJ36">
        <v>3.4000000000000002E-2</v>
      </c>
      <c r="BK36">
        <v>9.1</v>
      </c>
      <c r="BL36" t="s">
        <v>163</v>
      </c>
      <c r="BM36">
        <v>0.56000000000000005</v>
      </c>
      <c r="BN36" t="s">
        <v>174</v>
      </c>
      <c r="BO36" t="s">
        <v>175</v>
      </c>
      <c r="BP36" s="155">
        <f t="shared" si="7"/>
        <v>19.470412950000004</v>
      </c>
      <c r="BQ36" s="133" t="s">
        <v>183</v>
      </c>
      <c r="BR36" s="133" t="s">
        <v>165</v>
      </c>
      <c r="BS36" s="133" t="s">
        <v>165</v>
      </c>
      <c r="BT36" t="s">
        <v>176</v>
      </c>
      <c r="BU36" s="133">
        <v>10</v>
      </c>
      <c r="BV36" s="133" t="s">
        <v>198</v>
      </c>
      <c r="BW36" s="133" t="s">
        <v>165</v>
      </c>
      <c r="BX36" s="145">
        <v>27.69</v>
      </c>
      <c r="BY36" t="s">
        <v>163</v>
      </c>
      <c r="BZ36">
        <v>3</v>
      </c>
      <c r="CA36">
        <v>3</v>
      </c>
      <c r="CB36" t="s">
        <v>165</v>
      </c>
      <c r="CC36" s="146">
        <v>4.5916679796012279</v>
      </c>
      <c r="CD36" t="s">
        <v>180</v>
      </c>
      <c r="CE36" s="146">
        <v>0.18366671918404912</v>
      </c>
      <c r="CF36" s="146">
        <v>0.18366671918404912</v>
      </c>
      <c r="CG36" s="156" t="s">
        <v>165</v>
      </c>
      <c r="CH36" t="s">
        <v>207</v>
      </c>
      <c r="CI36" t="s">
        <v>165</v>
      </c>
      <c r="CJ36" t="s">
        <v>178</v>
      </c>
      <c r="CK36" t="s">
        <v>181</v>
      </c>
      <c r="CL36" t="s">
        <v>181</v>
      </c>
      <c r="CM36" t="s">
        <v>181</v>
      </c>
      <c r="CN36" t="s">
        <v>165</v>
      </c>
      <c r="CO36" t="s">
        <v>165</v>
      </c>
      <c r="CP36" t="s">
        <v>165</v>
      </c>
      <c r="CQ36" t="s">
        <v>165</v>
      </c>
      <c r="CR36" t="s">
        <v>165</v>
      </c>
      <c r="CS36" t="s">
        <v>165</v>
      </c>
      <c r="CT36" t="s">
        <v>165</v>
      </c>
      <c r="CU36">
        <v>35</v>
      </c>
      <c r="CV36" t="s">
        <v>183</v>
      </c>
      <c r="CW36" s="154">
        <v>3</v>
      </c>
      <c r="CX36" s="133" t="s">
        <v>199</v>
      </c>
      <c r="CY36" s="133" t="s">
        <v>165</v>
      </c>
      <c r="CZ36" s="133" t="s">
        <v>165</v>
      </c>
      <c r="DA36" s="133" t="s">
        <v>165</v>
      </c>
      <c r="DB36" s="133" t="s">
        <v>165</v>
      </c>
      <c r="DC36" s="133" t="s">
        <v>165</v>
      </c>
      <c r="DD36" s="133" t="s">
        <v>165</v>
      </c>
      <c r="DE36" s="133" t="s">
        <v>165</v>
      </c>
      <c r="DF36" s="133" t="s">
        <v>165</v>
      </c>
      <c r="DG36" s="133" t="s">
        <v>165</v>
      </c>
      <c r="DH36" s="133" t="s">
        <v>165</v>
      </c>
      <c r="DI36" s="133" t="s">
        <v>165</v>
      </c>
      <c r="DJ36" s="133" t="s">
        <v>165</v>
      </c>
      <c r="DK36" s="145">
        <v>432.56244218316402</v>
      </c>
      <c r="DL36" t="s">
        <v>204</v>
      </c>
      <c r="DM36">
        <v>37.1</v>
      </c>
      <c r="DN36" t="s">
        <v>205</v>
      </c>
      <c r="DO36">
        <v>39.61</v>
      </c>
      <c r="DP36" t="s">
        <v>183</v>
      </c>
      <c r="DQ36" s="146">
        <f t="shared" ref="DQ36:DQ67" si="9">0.1+0.1*AG36/1000</f>
        <v>0.112377</v>
      </c>
      <c r="DR36" t="s">
        <v>184</v>
      </c>
      <c r="DS36" t="s">
        <v>200</v>
      </c>
      <c r="DT36" t="s">
        <v>201</v>
      </c>
      <c r="DU36">
        <v>1.0271999999999999</v>
      </c>
      <c r="DV36" t="s">
        <v>165</v>
      </c>
      <c r="DW36" t="s">
        <v>165</v>
      </c>
      <c r="DX36" t="s">
        <v>197</v>
      </c>
      <c r="DY36" t="s">
        <v>181</v>
      </c>
      <c r="DZ36" t="s">
        <v>181</v>
      </c>
      <c r="EA36" t="s">
        <v>202</v>
      </c>
      <c r="EB36" t="s">
        <v>203</v>
      </c>
      <c r="EC36" s="147" t="s">
        <v>206</v>
      </c>
      <c r="ED36" s="147" t="s">
        <v>206</v>
      </c>
      <c r="EE36" s="133" t="s">
        <v>165</v>
      </c>
      <c r="EF36" s="133" t="s">
        <v>165</v>
      </c>
      <c r="EG36" s="133" t="s">
        <v>165</v>
      </c>
      <c r="EH36" t="s">
        <v>185</v>
      </c>
      <c r="EI36" t="s">
        <v>179</v>
      </c>
      <c r="EJ36" t="s">
        <v>165</v>
      </c>
      <c r="EK36">
        <v>2362</v>
      </c>
      <c r="EL36" s="147" t="s">
        <v>211</v>
      </c>
      <c r="EM36" s="147">
        <v>175</v>
      </c>
      <c r="EN36">
        <v>175</v>
      </c>
      <c r="EO36" t="s">
        <v>165</v>
      </c>
      <c r="EP36" t="s">
        <v>165</v>
      </c>
      <c r="EQ36" t="s">
        <v>165</v>
      </c>
      <c r="ER36" t="s">
        <v>165</v>
      </c>
      <c r="ES36" s="148">
        <v>8.1333204315921304</v>
      </c>
      <c r="ET36" t="s">
        <v>187</v>
      </c>
      <c r="EU36" s="133" t="s">
        <v>165</v>
      </c>
      <c r="EV36" s="133" t="s">
        <v>165</v>
      </c>
      <c r="EW36" s="149">
        <v>304.84397899509401</v>
      </c>
      <c r="EX36">
        <v>21</v>
      </c>
      <c r="EY36" t="s">
        <v>186</v>
      </c>
      <c r="EZ36" s="149">
        <v>283.84397899509401</v>
      </c>
      <c r="FA36" s="149">
        <v>41.64830202452697</v>
      </c>
      <c r="FB36" s="149">
        <v>38.830543756947009</v>
      </c>
      <c r="FC36" t="s">
        <v>176</v>
      </c>
      <c r="FD36" t="s">
        <v>188</v>
      </c>
      <c r="FE36" t="s">
        <v>165</v>
      </c>
      <c r="FF36" t="s">
        <v>165</v>
      </c>
      <c r="FG36" t="s">
        <v>165</v>
      </c>
      <c r="FH36" t="s">
        <v>165</v>
      </c>
      <c r="FI36" t="s">
        <v>165</v>
      </c>
      <c r="FJ36" t="s">
        <v>165</v>
      </c>
      <c r="FK36" t="s">
        <v>165</v>
      </c>
      <c r="FL36" t="s">
        <v>165</v>
      </c>
      <c r="FM36" t="s">
        <v>165</v>
      </c>
      <c r="FN36" t="s">
        <v>165</v>
      </c>
      <c r="FO36" t="s">
        <v>165</v>
      </c>
      <c r="FP36" t="s">
        <v>165</v>
      </c>
    </row>
    <row r="37" spans="1:172">
      <c r="A37" s="131" t="s">
        <v>154</v>
      </c>
      <c r="B37" t="s">
        <v>155</v>
      </c>
      <c r="C37">
        <v>2017</v>
      </c>
      <c r="D37" s="132" t="s">
        <v>156</v>
      </c>
      <c r="E37" s="145">
        <f t="shared" si="1"/>
        <v>124.37</v>
      </c>
      <c r="F37">
        <f t="shared" si="2"/>
        <v>2</v>
      </c>
      <c r="G37">
        <f t="shared" si="3"/>
        <v>2</v>
      </c>
      <c r="H37" s="149">
        <f t="shared" si="4"/>
        <v>266.800940310633</v>
      </c>
      <c r="I37" s="149">
        <f t="shared" si="5"/>
        <v>48.212605230766997</v>
      </c>
      <c r="J37" s="149">
        <f t="shared" si="6"/>
        <v>42.854818528560997</v>
      </c>
      <c r="K37" t="s">
        <v>209</v>
      </c>
      <c r="L37" s="132" t="s">
        <v>210</v>
      </c>
      <c r="M37" s="1" t="s">
        <v>157</v>
      </c>
      <c r="N37" s="132" t="s">
        <v>156</v>
      </c>
      <c r="O37" t="s">
        <v>158</v>
      </c>
      <c r="P37" t="s">
        <v>159</v>
      </c>
      <c r="Q37" s="133">
        <v>1</v>
      </c>
      <c r="R37" s="133">
        <v>4</v>
      </c>
      <c r="S37" s="133">
        <v>52</v>
      </c>
      <c r="T37" s="133">
        <v>54</v>
      </c>
      <c r="U37" s="134">
        <v>5.04</v>
      </c>
      <c r="V37" s="134">
        <v>5.04</v>
      </c>
      <c r="W37" t="s">
        <v>165</v>
      </c>
      <c r="X37" t="s">
        <v>160</v>
      </c>
      <c r="Y37" s="135">
        <v>12.74</v>
      </c>
      <c r="Z37" s="135">
        <v>-78.739999999999995</v>
      </c>
      <c r="AA37" t="s">
        <v>165</v>
      </c>
      <c r="AB37" t="s">
        <v>165</v>
      </c>
      <c r="AC37">
        <v>-2839</v>
      </c>
      <c r="AD37" t="s">
        <v>165</v>
      </c>
      <c r="AE37" t="s">
        <v>165</v>
      </c>
      <c r="AF37" t="s">
        <v>165</v>
      </c>
      <c r="AG37" s="145">
        <v>124.37</v>
      </c>
      <c r="AH37" t="s">
        <v>163</v>
      </c>
      <c r="AI37">
        <v>2</v>
      </c>
      <c r="AJ37">
        <v>2</v>
      </c>
      <c r="AK37" t="s">
        <v>165</v>
      </c>
      <c r="AL37" t="s">
        <v>164</v>
      </c>
      <c r="AM37" t="s">
        <v>165</v>
      </c>
      <c r="AN37" t="s">
        <v>165</v>
      </c>
      <c r="AO37" t="s">
        <v>165</v>
      </c>
      <c r="AP37" t="s">
        <v>165</v>
      </c>
      <c r="AQ37" t="s">
        <v>165</v>
      </c>
      <c r="AR37" t="s">
        <v>165</v>
      </c>
      <c r="AS37" t="s">
        <v>165</v>
      </c>
      <c r="AT37" t="s">
        <v>165</v>
      </c>
      <c r="AU37" t="s">
        <v>166</v>
      </c>
      <c r="AV37" t="s">
        <v>167</v>
      </c>
      <c r="AW37" t="s">
        <v>168</v>
      </c>
      <c r="AX37" s="154">
        <v>2</v>
      </c>
      <c r="AY37" t="s">
        <v>169</v>
      </c>
      <c r="AZ37" t="s">
        <v>170</v>
      </c>
      <c r="BA37" t="s">
        <v>171</v>
      </c>
      <c r="BB37" t="s">
        <v>165</v>
      </c>
      <c r="BC37" s="154">
        <v>2</v>
      </c>
      <c r="BD37" s="133" t="s">
        <v>165</v>
      </c>
      <c r="BE37" s="134">
        <v>20.75</v>
      </c>
      <c r="BF37" t="s">
        <v>172</v>
      </c>
      <c r="BG37" s="146">
        <v>0.2</v>
      </c>
      <c r="BH37">
        <v>0.64</v>
      </c>
      <c r="BI37" t="s">
        <v>173</v>
      </c>
      <c r="BJ37">
        <v>3.4000000000000002E-2</v>
      </c>
      <c r="BK37">
        <v>9.1</v>
      </c>
      <c r="BL37" t="s">
        <v>163</v>
      </c>
      <c r="BM37">
        <v>0.56000000000000005</v>
      </c>
      <c r="BN37" t="s">
        <v>174</v>
      </c>
      <c r="BO37" t="s">
        <v>175</v>
      </c>
      <c r="BP37" s="155">
        <f t="shared" si="7"/>
        <v>19.8</v>
      </c>
      <c r="BQ37" s="133" t="s">
        <v>183</v>
      </c>
      <c r="BR37" s="133" t="s">
        <v>165</v>
      </c>
      <c r="BS37" s="133" t="s">
        <v>165</v>
      </c>
      <c r="BT37" t="s">
        <v>176</v>
      </c>
      <c r="BU37" s="133">
        <v>10</v>
      </c>
      <c r="BV37" s="133" t="s">
        <v>198</v>
      </c>
      <c r="BW37" s="133" t="s">
        <v>165</v>
      </c>
      <c r="BX37" s="145">
        <v>28.47</v>
      </c>
      <c r="BY37" t="s">
        <v>163</v>
      </c>
      <c r="BZ37">
        <v>3</v>
      </c>
      <c r="CA37">
        <v>3</v>
      </c>
      <c r="CB37" t="s">
        <v>165</v>
      </c>
      <c r="CC37" s="146">
        <v>3.4710000000000001</v>
      </c>
      <c r="CD37" t="s">
        <v>180</v>
      </c>
      <c r="CE37" s="146">
        <v>0.13884000000000002</v>
      </c>
      <c r="CF37" s="146">
        <v>0.13884000000000002</v>
      </c>
      <c r="CG37" s="156" t="s">
        <v>165</v>
      </c>
      <c r="CH37" t="s">
        <v>207</v>
      </c>
      <c r="CI37" t="s">
        <v>165</v>
      </c>
      <c r="CJ37" t="s">
        <v>178</v>
      </c>
      <c r="CK37" t="s">
        <v>181</v>
      </c>
      <c r="CL37" t="s">
        <v>181</v>
      </c>
      <c r="CM37" t="s">
        <v>181</v>
      </c>
      <c r="CN37" t="s">
        <v>165</v>
      </c>
      <c r="CO37" t="s">
        <v>165</v>
      </c>
      <c r="CP37" t="s">
        <v>165</v>
      </c>
      <c r="CQ37" t="s">
        <v>165</v>
      </c>
      <c r="CR37" t="s">
        <v>165</v>
      </c>
      <c r="CS37" t="s">
        <v>165</v>
      </c>
      <c r="CT37" t="s">
        <v>165</v>
      </c>
      <c r="CU37">
        <v>35</v>
      </c>
      <c r="CV37" t="s">
        <v>183</v>
      </c>
      <c r="CW37" s="154">
        <v>3</v>
      </c>
      <c r="CX37" s="133" t="s">
        <v>199</v>
      </c>
      <c r="CY37" s="133" t="s">
        <v>165</v>
      </c>
      <c r="CZ37" s="133" t="s">
        <v>165</v>
      </c>
      <c r="DA37" s="133" t="s">
        <v>165</v>
      </c>
      <c r="DB37" s="133" t="s">
        <v>165</v>
      </c>
      <c r="DC37" s="133" t="s">
        <v>165</v>
      </c>
      <c r="DD37" s="133" t="s">
        <v>165</v>
      </c>
      <c r="DE37" s="133" t="s">
        <v>165</v>
      </c>
      <c r="DF37" s="133" t="s">
        <v>165</v>
      </c>
      <c r="DG37" s="133" t="s">
        <v>165</v>
      </c>
      <c r="DH37" s="133" t="s">
        <v>165</v>
      </c>
      <c r="DI37" s="133" t="s">
        <v>165</v>
      </c>
      <c r="DJ37" s="133" t="s">
        <v>165</v>
      </c>
      <c r="DK37" s="145">
        <v>432.56244218316402</v>
      </c>
      <c r="DL37" t="s">
        <v>204</v>
      </c>
      <c r="DM37">
        <v>37.1</v>
      </c>
      <c r="DN37" t="s">
        <v>205</v>
      </c>
      <c r="DO37">
        <v>39.61</v>
      </c>
      <c r="DP37" t="s">
        <v>183</v>
      </c>
      <c r="DQ37" s="146">
        <f t="shared" si="9"/>
        <v>0.11243700000000001</v>
      </c>
      <c r="DR37" t="s">
        <v>184</v>
      </c>
      <c r="DS37" t="s">
        <v>200</v>
      </c>
      <c r="DT37" t="s">
        <v>201</v>
      </c>
      <c r="DU37">
        <v>1.0271999999999999</v>
      </c>
      <c r="DV37" t="s">
        <v>165</v>
      </c>
      <c r="DW37" t="s">
        <v>165</v>
      </c>
      <c r="DX37" t="s">
        <v>197</v>
      </c>
      <c r="DY37" t="s">
        <v>181</v>
      </c>
      <c r="DZ37" t="s">
        <v>181</v>
      </c>
      <c r="EA37" t="s">
        <v>202</v>
      </c>
      <c r="EB37" t="s">
        <v>203</v>
      </c>
      <c r="EC37" s="147" t="s">
        <v>206</v>
      </c>
      <c r="ED37" s="147" t="s">
        <v>206</v>
      </c>
      <c r="EE37" s="133" t="s">
        <v>165</v>
      </c>
      <c r="EF37" s="133" t="s">
        <v>165</v>
      </c>
      <c r="EG37" s="133" t="s">
        <v>165</v>
      </c>
      <c r="EH37" t="s">
        <v>185</v>
      </c>
      <c r="EI37" t="s">
        <v>179</v>
      </c>
      <c r="EJ37" t="s">
        <v>165</v>
      </c>
      <c r="EK37">
        <v>2363</v>
      </c>
      <c r="EL37" s="147" t="s">
        <v>211</v>
      </c>
      <c r="EM37" s="147">
        <v>175</v>
      </c>
      <c r="EN37">
        <v>175</v>
      </c>
      <c r="EO37" t="s">
        <v>165</v>
      </c>
      <c r="EP37" t="s">
        <v>165</v>
      </c>
      <c r="EQ37" t="s">
        <v>165</v>
      </c>
      <c r="ER37" t="s">
        <v>165</v>
      </c>
      <c r="ES37" s="148">
        <v>8.1510704636486793</v>
      </c>
      <c r="ET37" t="s">
        <v>187</v>
      </c>
      <c r="EU37" s="133" t="s">
        <v>165</v>
      </c>
      <c r="EV37" s="133" t="s">
        <v>165</v>
      </c>
      <c r="EW37" s="149">
        <v>287.800940310633</v>
      </c>
      <c r="EX37">
        <v>21</v>
      </c>
      <c r="EY37" t="s">
        <v>186</v>
      </c>
      <c r="EZ37" s="149">
        <v>266.800940310633</v>
      </c>
      <c r="FA37" s="149">
        <v>48.212605230766997</v>
      </c>
      <c r="FB37" s="149">
        <v>42.854818528560997</v>
      </c>
      <c r="FC37" t="s">
        <v>176</v>
      </c>
      <c r="FD37" t="s">
        <v>188</v>
      </c>
      <c r="FE37" t="s">
        <v>165</v>
      </c>
      <c r="FF37" t="s">
        <v>165</v>
      </c>
      <c r="FG37" t="s">
        <v>165</v>
      </c>
      <c r="FH37" t="s">
        <v>165</v>
      </c>
      <c r="FI37" t="s">
        <v>165</v>
      </c>
      <c r="FJ37" t="s">
        <v>165</v>
      </c>
      <c r="FK37" t="s">
        <v>165</v>
      </c>
      <c r="FL37" t="s">
        <v>165</v>
      </c>
      <c r="FM37" t="s">
        <v>165</v>
      </c>
      <c r="FN37" t="s">
        <v>165</v>
      </c>
      <c r="FO37" t="s">
        <v>165</v>
      </c>
      <c r="FP37" t="s">
        <v>165</v>
      </c>
    </row>
    <row r="38" spans="1:172">
      <c r="A38" s="131" t="s">
        <v>154</v>
      </c>
      <c r="B38" t="s">
        <v>155</v>
      </c>
      <c r="C38">
        <v>2017</v>
      </c>
      <c r="D38" s="132" t="s">
        <v>156</v>
      </c>
      <c r="E38" s="145">
        <f t="shared" si="1"/>
        <v>127.48</v>
      </c>
      <c r="F38">
        <f t="shared" si="2"/>
        <v>2</v>
      </c>
      <c r="G38">
        <f t="shared" si="3"/>
        <v>2</v>
      </c>
      <c r="H38" s="149">
        <f t="shared" si="4"/>
        <v>273.43009405802098</v>
      </c>
      <c r="I38" s="149">
        <f t="shared" si="5"/>
        <v>40.561846456753017</v>
      </c>
      <c r="J38" s="149">
        <f t="shared" si="6"/>
        <v>37.453850370236978</v>
      </c>
      <c r="K38" t="s">
        <v>209</v>
      </c>
      <c r="L38" s="132" t="s">
        <v>210</v>
      </c>
      <c r="M38" s="1" t="s">
        <v>157</v>
      </c>
      <c r="N38" s="132" t="s">
        <v>156</v>
      </c>
      <c r="O38" t="s">
        <v>158</v>
      </c>
      <c r="P38" s="136" t="s">
        <v>159</v>
      </c>
      <c r="Q38" s="136">
        <v>1</v>
      </c>
      <c r="R38" s="136">
        <v>4</v>
      </c>
      <c r="S38" s="136">
        <v>62</v>
      </c>
      <c r="T38" s="136">
        <f>S38+2</f>
        <v>64</v>
      </c>
      <c r="U38" s="136">
        <v>5.12</v>
      </c>
      <c r="V38" s="136">
        <v>5.12</v>
      </c>
      <c r="W38" t="s">
        <v>165</v>
      </c>
      <c r="X38" t="s">
        <v>160</v>
      </c>
      <c r="Y38" s="135">
        <v>12.74</v>
      </c>
      <c r="Z38" s="135">
        <v>-78.739999999999995</v>
      </c>
      <c r="AA38" t="s">
        <v>165</v>
      </c>
      <c r="AB38" t="s">
        <v>165</v>
      </c>
      <c r="AC38">
        <v>-2839</v>
      </c>
      <c r="AD38" t="s">
        <v>165</v>
      </c>
      <c r="AE38" t="s">
        <v>165</v>
      </c>
      <c r="AF38" t="s">
        <v>165</v>
      </c>
      <c r="AG38" s="145">
        <v>127.48</v>
      </c>
      <c r="AH38" t="s">
        <v>163</v>
      </c>
      <c r="AI38">
        <v>2</v>
      </c>
      <c r="AJ38">
        <v>2</v>
      </c>
      <c r="AK38" t="s">
        <v>165</v>
      </c>
      <c r="AL38" t="s">
        <v>164</v>
      </c>
      <c r="AM38" t="s">
        <v>165</v>
      </c>
      <c r="AN38" t="s">
        <v>165</v>
      </c>
      <c r="AO38" t="s">
        <v>165</v>
      </c>
      <c r="AP38" t="s">
        <v>165</v>
      </c>
      <c r="AQ38" t="s">
        <v>165</v>
      </c>
      <c r="AR38" t="s">
        <v>165</v>
      </c>
      <c r="AS38" t="s">
        <v>165</v>
      </c>
      <c r="AT38" t="s">
        <v>165</v>
      </c>
      <c r="AU38" t="s">
        <v>166</v>
      </c>
      <c r="AV38" t="s">
        <v>167</v>
      </c>
      <c r="AW38" t="s">
        <v>168</v>
      </c>
      <c r="AX38" s="154">
        <v>2</v>
      </c>
      <c r="AY38" t="s">
        <v>169</v>
      </c>
      <c r="AZ38" t="s">
        <v>170</v>
      </c>
      <c r="BA38" t="s">
        <v>171</v>
      </c>
      <c r="BB38" t="s">
        <v>165</v>
      </c>
      <c r="BC38" s="154">
        <v>2</v>
      </c>
      <c r="BD38" s="133" t="s">
        <v>165</v>
      </c>
      <c r="BE38" s="146">
        <v>20.669563589999999</v>
      </c>
      <c r="BF38" t="s">
        <v>172</v>
      </c>
      <c r="BG38" s="146">
        <v>0.22489237200000001</v>
      </c>
      <c r="BH38">
        <v>0.64</v>
      </c>
      <c r="BI38" t="s">
        <v>173</v>
      </c>
      <c r="BJ38">
        <v>3.4000000000000002E-2</v>
      </c>
      <c r="BK38">
        <v>9.1</v>
      </c>
      <c r="BL38" t="s">
        <v>163</v>
      </c>
      <c r="BM38">
        <v>0.56000000000000005</v>
      </c>
      <c r="BN38" t="s">
        <v>174</v>
      </c>
      <c r="BO38" t="s">
        <v>175</v>
      </c>
      <c r="BP38" s="155">
        <f t="shared" si="7"/>
        <v>19.665939316666666</v>
      </c>
      <c r="BQ38" s="133" t="s">
        <v>183</v>
      </c>
      <c r="BR38" s="133" t="s">
        <v>165</v>
      </c>
      <c r="BS38" s="133" t="s">
        <v>165</v>
      </c>
      <c r="BT38" t="s">
        <v>176</v>
      </c>
      <c r="BU38" s="133">
        <v>10</v>
      </c>
      <c r="BV38" s="133" t="s">
        <v>198</v>
      </c>
      <c r="BW38" s="133" t="s">
        <v>165</v>
      </c>
      <c r="BX38" s="145">
        <v>28.14</v>
      </c>
      <c r="BY38" t="s">
        <v>163</v>
      </c>
      <c r="BZ38">
        <v>3</v>
      </c>
      <c r="CA38">
        <v>3</v>
      </c>
      <c r="CB38" t="s">
        <v>165</v>
      </c>
      <c r="CC38" s="146">
        <v>4.7818327517917174</v>
      </c>
      <c r="CD38" t="s">
        <v>180</v>
      </c>
      <c r="CE38" s="146">
        <v>0.1912733100716687</v>
      </c>
      <c r="CF38" s="146">
        <v>0.1912733100716687</v>
      </c>
      <c r="CG38" s="156" t="s">
        <v>165</v>
      </c>
      <c r="CH38" t="s">
        <v>207</v>
      </c>
      <c r="CI38" t="s">
        <v>165</v>
      </c>
      <c r="CJ38" t="s">
        <v>178</v>
      </c>
      <c r="CK38" t="s">
        <v>181</v>
      </c>
      <c r="CL38" t="s">
        <v>181</v>
      </c>
      <c r="CM38" t="s">
        <v>181</v>
      </c>
      <c r="CN38" t="s">
        <v>165</v>
      </c>
      <c r="CO38" t="s">
        <v>165</v>
      </c>
      <c r="CP38" t="s">
        <v>165</v>
      </c>
      <c r="CQ38" t="s">
        <v>165</v>
      </c>
      <c r="CR38" t="s">
        <v>165</v>
      </c>
      <c r="CS38" t="s">
        <v>165</v>
      </c>
      <c r="CT38" t="s">
        <v>165</v>
      </c>
      <c r="CU38">
        <v>35</v>
      </c>
      <c r="CV38" t="s">
        <v>183</v>
      </c>
      <c r="CW38" s="154">
        <v>3</v>
      </c>
      <c r="CX38" s="133" t="s">
        <v>199</v>
      </c>
      <c r="CY38" s="133" t="s">
        <v>165</v>
      </c>
      <c r="CZ38" s="133" t="s">
        <v>165</v>
      </c>
      <c r="DA38" s="133" t="s">
        <v>165</v>
      </c>
      <c r="DB38" s="133" t="s">
        <v>165</v>
      </c>
      <c r="DC38" s="133" t="s">
        <v>165</v>
      </c>
      <c r="DD38" s="133" t="s">
        <v>165</v>
      </c>
      <c r="DE38" s="133" t="s">
        <v>165</v>
      </c>
      <c r="DF38" s="133" t="s">
        <v>165</v>
      </c>
      <c r="DG38" s="133" t="s">
        <v>165</v>
      </c>
      <c r="DH38" s="133" t="s">
        <v>165</v>
      </c>
      <c r="DI38" s="133" t="s">
        <v>165</v>
      </c>
      <c r="DJ38" s="133" t="s">
        <v>165</v>
      </c>
      <c r="DK38" s="145">
        <v>432.56244218316402</v>
      </c>
      <c r="DL38" t="s">
        <v>204</v>
      </c>
      <c r="DM38">
        <v>37.1</v>
      </c>
      <c r="DN38" t="s">
        <v>205</v>
      </c>
      <c r="DO38">
        <v>39.61</v>
      </c>
      <c r="DP38" t="s">
        <v>183</v>
      </c>
      <c r="DQ38" s="146">
        <f t="shared" si="9"/>
        <v>0.112748</v>
      </c>
      <c r="DR38" t="s">
        <v>184</v>
      </c>
      <c r="DS38" t="s">
        <v>200</v>
      </c>
      <c r="DT38" t="s">
        <v>201</v>
      </c>
      <c r="DU38">
        <v>1.0271999999999999</v>
      </c>
      <c r="DV38" t="s">
        <v>165</v>
      </c>
      <c r="DW38" t="s">
        <v>165</v>
      </c>
      <c r="DX38" t="s">
        <v>197</v>
      </c>
      <c r="DY38" t="s">
        <v>181</v>
      </c>
      <c r="DZ38" t="s">
        <v>181</v>
      </c>
      <c r="EA38" t="s">
        <v>202</v>
      </c>
      <c r="EB38" t="s">
        <v>203</v>
      </c>
      <c r="EC38" s="147" t="s">
        <v>206</v>
      </c>
      <c r="ED38" s="147" t="s">
        <v>206</v>
      </c>
      <c r="EE38" s="133" t="s">
        <v>165</v>
      </c>
      <c r="EF38" s="133" t="s">
        <v>165</v>
      </c>
      <c r="EG38" s="133" t="s">
        <v>165</v>
      </c>
      <c r="EH38" t="s">
        <v>185</v>
      </c>
      <c r="EI38" t="s">
        <v>179</v>
      </c>
      <c r="EJ38" t="s">
        <v>165</v>
      </c>
      <c r="EK38">
        <v>2364</v>
      </c>
      <c r="EL38" s="147" t="s">
        <v>211</v>
      </c>
      <c r="EM38" s="147">
        <v>175</v>
      </c>
      <c r="EN38">
        <v>175</v>
      </c>
      <c r="EO38" t="s">
        <v>165</v>
      </c>
      <c r="EP38" t="s">
        <v>165</v>
      </c>
      <c r="EQ38" t="s">
        <v>165</v>
      </c>
      <c r="ER38" t="s">
        <v>165</v>
      </c>
      <c r="ES38" s="148">
        <v>8.1442118705083395</v>
      </c>
      <c r="ET38" t="s">
        <v>187</v>
      </c>
      <c r="EU38" s="133" t="s">
        <v>165</v>
      </c>
      <c r="EV38" s="133" t="s">
        <v>165</v>
      </c>
      <c r="EW38" s="149">
        <v>294.43009405802098</v>
      </c>
      <c r="EX38">
        <v>21</v>
      </c>
      <c r="EY38" t="s">
        <v>186</v>
      </c>
      <c r="EZ38" s="149">
        <v>273.43009405802098</v>
      </c>
      <c r="FA38" s="149">
        <v>40.561846456753017</v>
      </c>
      <c r="FB38" s="149">
        <v>37.453850370236978</v>
      </c>
      <c r="FC38" t="s">
        <v>176</v>
      </c>
      <c r="FD38" t="s">
        <v>188</v>
      </c>
      <c r="FE38" t="s">
        <v>165</v>
      </c>
      <c r="FF38" t="s">
        <v>165</v>
      </c>
      <c r="FG38" t="s">
        <v>165</v>
      </c>
      <c r="FH38" t="s">
        <v>165</v>
      </c>
      <c r="FI38" t="s">
        <v>165</v>
      </c>
      <c r="FJ38" t="s">
        <v>165</v>
      </c>
      <c r="FK38" t="s">
        <v>165</v>
      </c>
      <c r="FL38" t="s">
        <v>165</v>
      </c>
      <c r="FM38" t="s">
        <v>165</v>
      </c>
      <c r="FN38" t="s">
        <v>165</v>
      </c>
      <c r="FO38" t="s">
        <v>165</v>
      </c>
      <c r="FP38" t="s">
        <v>165</v>
      </c>
    </row>
    <row r="39" spans="1:172">
      <c r="A39" s="131" t="s">
        <v>154</v>
      </c>
      <c r="B39" t="s">
        <v>155</v>
      </c>
      <c r="C39">
        <v>2017</v>
      </c>
      <c r="D39" s="132" t="s">
        <v>156</v>
      </c>
      <c r="E39" s="145">
        <f t="shared" si="1"/>
        <v>130.86000000000001</v>
      </c>
      <c r="F39">
        <f t="shared" si="2"/>
        <v>2</v>
      </c>
      <c r="G39">
        <f t="shared" si="3"/>
        <v>2</v>
      </c>
      <c r="H39" s="149">
        <f t="shared" si="4"/>
        <v>282.016225540395</v>
      </c>
      <c r="I39" s="149">
        <f t="shared" si="5"/>
        <v>62.710811811398003</v>
      </c>
      <c r="J39" s="149">
        <f t="shared" si="6"/>
        <v>51.305830949827993</v>
      </c>
      <c r="K39" t="s">
        <v>209</v>
      </c>
      <c r="L39" s="132" t="s">
        <v>210</v>
      </c>
      <c r="M39" s="1" t="s">
        <v>157</v>
      </c>
      <c r="N39" s="132" t="s">
        <v>156</v>
      </c>
      <c r="O39" t="s">
        <v>158</v>
      </c>
      <c r="P39" t="s">
        <v>159</v>
      </c>
      <c r="Q39" s="133">
        <v>1</v>
      </c>
      <c r="R39" s="133">
        <v>4</v>
      </c>
      <c r="S39" s="133">
        <v>71</v>
      </c>
      <c r="T39" s="133">
        <v>73</v>
      </c>
      <c r="U39" s="134">
        <v>5.23</v>
      </c>
      <c r="V39" s="134">
        <v>5.23</v>
      </c>
      <c r="W39" t="s">
        <v>165</v>
      </c>
      <c r="X39" t="s">
        <v>160</v>
      </c>
      <c r="Y39" s="135">
        <v>12.74</v>
      </c>
      <c r="Z39" s="135">
        <v>-78.739999999999995</v>
      </c>
      <c r="AA39" t="s">
        <v>165</v>
      </c>
      <c r="AB39" t="s">
        <v>165</v>
      </c>
      <c r="AC39">
        <v>-2839</v>
      </c>
      <c r="AD39" t="s">
        <v>165</v>
      </c>
      <c r="AE39" t="s">
        <v>165</v>
      </c>
      <c r="AF39" t="s">
        <v>165</v>
      </c>
      <c r="AG39" s="145">
        <v>130.86000000000001</v>
      </c>
      <c r="AH39" t="s">
        <v>163</v>
      </c>
      <c r="AI39">
        <v>2</v>
      </c>
      <c r="AJ39">
        <v>2</v>
      </c>
      <c r="AK39" t="s">
        <v>165</v>
      </c>
      <c r="AL39" t="s">
        <v>164</v>
      </c>
      <c r="AM39" t="s">
        <v>165</v>
      </c>
      <c r="AN39" t="s">
        <v>165</v>
      </c>
      <c r="AO39" t="s">
        <v>165</v>
      </c>
      <c r="AP39" t="s">
        <v>165</v>
      </c>
      <c r="AQ39" t="s">
        <v>165</v>
      </c>
      <c r="AR39" t="s">
        <v>165</v>
      </c>
      <c r="AS39" t="s">
        <v>165</v>
      </c>
      <c r="AT39" t="s">
        <v>165</v>
      </c>
      <c r="AU39" t="s">
        <v>166</v>
      </c>
      <c r="AV39" t="s">
        <v>167</v>
      </c>
      <c r="AW39" t="s">
        <v>168</v>
      </c>
      <c r="AX39" s="154">
        <v>2</v>
      </c>
      <c r="AY39" t="s">
        <v>169</v>
      </c>
      <c r="AZ39" t="s">
        <v>170</v>
      </c>
      <c r="BA39" t="s">
        <v>171</v>
      </c>
      <c r="BB39" t="s">
        <v>165</v>
      </c>
      <c r="BC39" s="154">
        <v>2</v>
      </c>
      <c r="BD39" s="133" t="s">
        <v>165</v>
      </c>
      <c r="BE39" s="134">
        <v>20.67</v>
      </c>
      <c r="BF39" t="s">
        <v>172</v>
      </c>
      <c r="BG39" s="146">
        <v>0.3</v>
      </c>
      <c r="BH39">
        <v>0.64</v>
      </c>
      <c r="BI39" t="s">
        <v>173</v>
      </c>
      <c r="BJ39">
        <v>3.4000000000000002E-2</v>
      </c>
      <c r="BK39">
        <v>9.1</v>
      </c>
      <c r="BL39" t="s">
        <v>163</v>
      </c>
      <c r="BM39">
        <v>0.56000000000000005</v>
      </c>
      <c r="BN39" t="s">
        <v>174</v>
      </c>
      <c r="BO39" t="s">
        <v>175</v>
      </c>
      <c r="BP39" s="155">
        <f t="shared" si="7"/>
        <v>19.666666666666671</v>
      </c>
      <c r="BQ39" s="133" t="s">
        <v>183</v>
      </c>
      <c r="BR39" s="133" t="s">
        <v>165</v>
      </c>
      <c r="BS39" s="133" t="s">
        <v>165</v>
      </c>
      <c r="BT39" t="s">
        <v>176</v>
      </c>
      <c r="BU39" s="133">
        <v>10</v>
      </c>
      <c r="BV39" s="133" t="s">
        <v>198</v>
      </c>
      <c r="BW39" s="133" t="s">
        <v>165</v>
      </c>
      <c r="BX39" s="145">
        <v>29.14</v>
      </c>
      <c r="BY39" t="s">
        <v>163</v>
      </c>
      <c r="BZ39">
        <v>3</v>
      </c>
      <c r="CA39">
        <v>3</v>
      </c>
      <c r="CB39" t="s">
        <v>165</v>
      </c>
      <c r="CC39" s="146">
        <v>3.415</v>
      </c>
      <c r="CD39" t="s">
        <v>180</v>
      </c>
      <c r="CE39" s="146">
        <v>0.1366</v>
      </c>
      <c r="CF39" s="146">
        <v>0.1366</v>
      </c>
      <c r="CG39" s="156" t="s">
        <v>165</v>
      </c>
      <c r="CH39" t="s">
        <v>207</v>
      </c>
      <c r="CI39" t="s">
        <v>165</v>
      </c>
      <c r="CJ39" t="s">
        <v>178</v>
      </c>
      <c r="CK39" t="s">
        <v>181</v>
      </c>
      <c r="CL39" t="s">
        <v>181</v>
      </c>
      <c r="CM39" t="s">
        <v>181</v>
      </c>
      <c r="CN39" t="s">
        <v>165</v>
      </c>
      <c r="CO39" t="s">
        <v>165</v>
      </c>
      <c r="CP39" t="s">
        <v>165</v>
      </c>
      <c r="CQ39" t="s">
        <v>165</v>
      </c>
      <c r="CR39" t="s">
        <v>165</v>
      </c>
      <c r="CS39" t="s">
        <v>165</v>
      </c>
      <c r="CT39" t="s">
        <v>165</v>
      </c>
      <c r="CU39">
        <v>35</v>
      </c>
      <c r="CV39" t="s">
        <v>183</v>
      </c>
      <c r="CW39" s="154">
        <v>3</v>
      </c>
      <c r="CX39" s="133" t="s">
        <v>199</v>
      </c>
      <c r="CY39" s="133" t="s">
        <v>165</v>
      </c>
      <c r="CZ39" s="133" t="s">
        <v>165</v>
      </c>
      <c r="DA39" s="133" t="s">
        <v>165</v>
      </c>
      <c r="DB39" s="133" t="s">
        <v>165</v>
      </c>
      <c r="DC39" s="133" t="s">
        <v>165</v>
      </c>
      <c r="DD39" s="133" t="s">
        <v>165</v>
      </c>
      <c r="DE39" s="133" t="s">
        <v>165</v>
      </c>
      <c r="DF39" s="133" t="s">
        <v>165</v>
      </c>
      <c r="DG39" s="133" t="s">
        <v>165</v>
      </c>
      <c r="DH39" s="133" t="s">
        <v>165</v>
      </c>
      <c r="DI39" s="133" t="s">
        <v>165</v>
      </c>
      <c r="DJ39" s="133" t="s">
        <v>165</v>
      </c>
      <c r="DK39" s="145">
        <v>432.56244218316402</v>
      </c>
      <c r="DL39" t="s">
        <v>204</v>
      </c>
      <c r="DM39">
        <v>37.1</v>
      </c>
      <c r="DN39" t="s">
        <v>205</v>
      </c>
      <c r="DO39">
        <v>39.61</v>
      </c>
      <c r="DP39" t="s">
        <v>183</v>
      </c>
      <c r="DQ39" s="146">
        <f t="shared" si="9"/>
        <v>0.11308600000000001</v>
      </c>
      <c r="DR39" t="s">
        <v>184</v>
      </c>
      <c r="DS39" t="s">
        <v>200</v>
      </c>
      <c r="DT39" t="s">
        <v>201</v>
      </c>
      <c r="DU39">
        <v>1.0271999999999999</v>
      </c>
      <c r="DV39" t="s">
        <v>165</v>
      </c>
      <c r="DW39" t="s">
        <v>165</v>
      </c>
      <c r="DX39" t="s">
        <v>197</v>
      </c>
      <c r="DY39" t="s">
        <v>181</v>
      </c>
      <c r="DZ39" t="s">
        <v>181</v>
      </c>
      <c r="EA39" t="s">
        <v>202</v>
      </c>
      <c r="EB39" t="s">
        <v>203</v>
      </c>
      <c r="EC39" s="147" t="s">
        <v>206</v>
      </c>
      <c r="ED39" s="147" t="s">
        <v>206</v>
      </c>
      <c r="EE39" s="133" t="s">
        <v>165</v>
      </c>
      <c r="EF39" s="133" t="s">
        <v>165</v>
      </c>
      <c r="EG39" s="133" t="s">
        <v>165</v>
      </c>
      <c r="EH39" t="s">
        <v>185</v>
      </c>
      <c r="EI39" t="s">
        <v>179</v>
      </c>
      <c r="EJ39" t="s">
        <v>165</v>
      </c>
      <c r="EK39">
        <v>2365</v>
      </c>
      <c r="EL39" s="147" t="s">
        <v>211</v>
      </c>
      <c r="EM39" s="147">
        <v>175</v>
      </c>
      <c r="EN39">
        <v>175</v>
      </c>
      <c r="EO39" t="s">
        <v>165</v>
      </c>
      <c r="EP39" t="s">
        <v>165</v>
      </c>
      <c r="EQ39" t="s">
        <v>165</v>
      </c>
      <c r="ER39" t="s">
        <v>165</v>
      </c>
      <c r="ES39" s="148">
        <v>8.1322865529890507</v>
      </c>
      <c r="ET39" t="s">
        <v>187</v>
      </c>
      <c r="EU39" s="133" t="s">
        <v>165</v>
      </c>
      <c r="EV39" s="133" t="s">
        <v>165</v>
      </c>
      <c r="EW39" s="149">
        <v>303.016225540395</v>
      </c>
      <c r="EX39">
        <v>21</v>
      </c>
      <c r="EY39" t="s">
        <v>186</v>
      </c>
      <c r="EZ39" s="149">
        <v>282.016225540395</v>
      </c>
      <c r="FA39" s="149">
        <v>62.710811811398003</v>
      </c>
      <c r="FB39" s="149">
        <v>51.305830949827993</v>
      </c>
      <c r="FC39" t="s">
        <v>176</v>
      </c>
      <c r="FD39" t="s">
        <v>188</v>
      </c>
      <c r="FE39" t="s">
        <v>165</v>
      </c>
      <c r="FF39" t="s">
        <v>165</v>
      </c>
      <c r="FG39" t="s">
        <v>165</v>
      </c>
      <c r="FH39" t="s">
        <v>165</v>
      </c>
      <c r="FI39" t="s">
        <v>165</v>
      </c>
      <c r="FJ39" t="s">
        <v>165</v>
      </c>
      <c r="FK39" t="s">
        <v>165</v>
      </c>
      <c r="FL39" t="s">
        <v>165</v>
      </c>
      <c r="FM39" t="s">
        <v>165</v>
      </c>
      <c r="FN39" t="s">
        <v>165</v>
      </c>
      <c r="FO39" t="s">
        <v>165</v>
      </c>
      <c r="FP39" t="s">
        <v>165</v>
      </c>
    </row>
    <row r="40" spans="1:172">
      <c r="A40" s="131" t="s">
        <v>154</v>
      </c>
      <c r="B40" t="s">
        <v>155</v>
      </c>
      <c r="C40">
        <v>2017</v>
      </c>
      <c r="D40" s="132" t="s">
        <v>156</v>
      </c>
      <c r="E40" s="145">
        <f t="shared" si="1"/>
        <v>131.91</v>
      </c>
      <c r="F40">
        <f t="shared" si="2"/>
        <v>2</v>
      </c>
      <c r="G40">
        <f t="shared" si="3"/>
        <v>2</v>
      </c>
      <c r="H40" s="149">
        <f t="shared" si="4"/>
        <v>246.89253003702501</v>
      </c>
      <c r="I40" s="149">
        <f t="shared" si="5"/>
        <v>37.732327418452002</v>
      </c>
      <c r="J40" s="149">
        <f t="shared" si="6"/>
        <v>36.396448833452013</v>
      </c>
      <c r="K40" t="s">
        <v>209</v>
      </c>
      <c r="L40" s="132" t="s">
        <v>210</v>
      </c>
      <c r="M40" s="1" t="s">
        <v>157</v>
      </c>
      <c r="N40" s="132" t="s">
        <v>156</v>
      </c>
      <c r="O40" t="s">
        <v>158</v>
      </c>
      <c r="P40" s="136" t="s">
        <v>159</v>
      </c>
      <c r="Q40" s="136">
        <v>1</v>
      </c>
      <c r="R40" s="136">
        <v>4</v>
      </c>
      <c r="S40" s="136">
        <v>76</v>
      </c>
      <c r="T40" s="136">
        <f t="shared" ref="T40:T52" si="10">S40+2</f>
        <v>78</v>
      </c>
      <c r="U40" s="136">
        <v>5.26</v>
      </c>
      <c r="V40" s="136">
        <v>5.26</v>
      </c>
      <c r="W40" t="s">
        <v>165</v>
      </c>
      <c r="X40" t="s">
        <v>160</v>
      </c>
      <c r="Y40" s="135">
        <v>12.74</v>
      </c>
      <c r="Z40" s="135">
        <v>-78.739999999999995</v>
      </c>
      <c r="AA40" t="s">
        <v>165</v>
      </c>
      <c r="AB40" t="s">
        <v>165</v>
      </c>
      <c r="AC40">
        <v>-2839</v>
      </c>
      <c r="AD40" t="s">
        <v>165</v>
      </c>
      <c r="AE40" t="s">
        <v>165</v>
      </c>
      <c r="AF40" t="s">
        <v>165</v>
      </c>
      <c r="AG40" s="145">
        <v>131.91</v>
      </c>
      <c r="AH40" t="s">
        <v>163</v>
      </c>
      <c r="AI40">
        <v>2</v>
      </c>
      <c r="AJ40">
        <v>2</v>
      </c>
      <c r="AK40" t="s">
        <v>165</v>
      </c>
      <c r="AL40" t="s">
        <v>164</v>
      </c>
      <c r="AM40" t="s">
        <v>165</v>
      </c>
      <c r="AN40" t="s">
        <v>165</v>
      </c>
      <c r="AO40" t="s">
        <v>165</v>
      </c>
      <c r="AP40" t="s">
        <v>165</v>
      </c>
      <c r="AQ40" t="s">
        <v>165</v>
      </c>
      <c r="AR40" t="s">
        <v>165</v>
      </c>
      <c r="AS40" t="s">
        <v>165</v>
      </c>
      <c r="AT40" t="s">
        <v>165</v>
      </c>
      <c r="AU40" t="s">
        <v>166</v>
      </c>
      <c r="AV40" t="s">
        <v>167</v>
      </c>
      <c r="AW40" t="s">
        <v>168</v>
      </c>
      <c r="AX40" s="154">
        <v>2</v>
      </c>
      <c r="AY40" t="s">
        <v>169</v>
      </c>
      <c r="AZ40" t="s">
        <v>170</v>
      </c>
      <c r="BA40" t="s">
        <v>171</v>
      </c>
      <c r="BB40" t="s">
        <v>165</v>
      </c>
      <c r="BC40" s="154">
        <v>2</v>
      </c>
      <c r="BD40" s="133" t="s">
        <v>165</v>
      </c>
      <c r="BE40" s="146">
        <v>20.88489985</v>
      </c>
      <c r="BF40" t="s">
        <v>172</v>
      </c>
      <c r="BG40" s="146">
        <v>0.21843262399999999</v>
      </c>
      <c r="BH40">
        <v>0.64</v>
      </c>
      <c r="BI40" t="s">
        <v>173</v>
      </c>
      <c r="BJ40">
        <v>3.4000000000000002E-2</v>
      </c>
      <c r="BK40">
        <v>9.1</v>
      </c>
      <c r="BL40" t="s">
        <v>163</v>
      </c>
      <c r="BM40">
        <v>0.56000000000000005</v>
      </c>
      <c r="BN40" t="s">
        <v>174</v>
      </c>
      <c r="BO40" t="s">
        <v>175</v>
      </c>
      <c r="BP40" s="155">
        <f t="shared" si="7"/>
        <v>20.024833083333334</v>
      </c>
      <c r="BQ40" s="133" t="s">
        <v>183</v>
      </c>
      <c r="BR40" s="133" t="s">
        <v>165</v>
      </c>
      <c r="BS40" s="133" t="s">
        <v>165</v>
      </c>
      <c r="BT40" t="s">
        <v>176</v>
      </c>
      <c r="BU40" s="133">
        <v>10</v>
      </c>
      <c r="BV40" s="133" t="s">
        <v>198</v>
      </c>
      <c r="BW40" s="133" t="s">
        <v>165</v>
      </c>
      <c r="BX40" s="145">
        <v>27.87</v>
      </c>
      <c r="BY40" t="s">
        <v>163</v>
      </c>
      <c r="BZ40">
        <v>3</v>
      </c>
      <c r="CA40">
        <v>3</v>
      </c>
      <c r="CB40" t="s">
        <v>165</v>
      </c>
      <c r="CC40" s="146">
        <v>4.6681489613817631</v>
      </c>
      <c r="CD40" t="s">
        <v>180</v>
      </c>
      <c r="CE40" s="146">
        <v>0.18672595845527051</v>
      </c>
      <c r="CF40" s="146">
        <v>0.18672595845527051</v>
      </c>
      <c r="CG40" s="156" t="s">
        <v>165</v>
      </c>
      <c r="CH40" t="s">
        <v>207</v>
      </c>
      <c r="CI40" t="s">
        <v>165</v>
      </c>
      <c r="CJ40" t="s">
        <v>178</v>
      </c>
      <c r="CK40" t="s">
        <v>181</v>
      </c>
      <c r="CL40" t="s">
        <v>181</v>
      </c>
      <c r="CM40" t="s">
        <v>181</v>
      </c>
      <c r="CN40" t="s">
        <v>165</v>
      </c>
      <c r="CO40" t="s">
        <v>165</v>
      </c>
      <c r="CP40" t="s">
        <v>165</v>
      </c>
      <c r="CQ40" t="s">
        <v>165</v>
      </c>
      <c r="CR40" t="s">
        <v>165</v>
      </c>
      <c r="CS40" t="s">
        <v>165</v>
      </c>
      <c r="CT40" t="s">
        <v>165</v>
      </c>
      <c r="CU40">
        <v>35</v>
      </c>
      <c r="CV40" t="s">
        <v>183</v>
      </c>
      <c r="CW40" s="154">
        <v>3</v>
      </c>
      <c r="CX40" s="133" t="s">
        <v>199</v>
      </c>
      <c r="CY40" s="133" t="s">
        <v>165</v>
      </c>
      <c r="CZ40" s="133" t="s">
        <v>165</v>
      </c>
      <c r="DA40" s="133" t="s">
        <v>165</v>
      </c>
      <c r="DB40" s="133" t="s">
        <v>165</v>
      </c>
      <c r="DC40" s="133" t="s">
        <v>165</v>
      </c>
      <c r="DD40" s="133" t="s">
        <v>165</v>
      </c>
      <c r="DE40" s="133" t="s">
        <v>165</v>
      </c>
      <c r="DF40" s="133" t="s">
        <v>165</v>
      </c>
      <c r="DG40" s="133" t="s">
        <v>165</v>
      </c>
      <c r="DH40" s="133" t="s">
        <v>165</v>
      </c>
      <c r="DI40" s="133" t="s">
        <v>165</v>
      </c>
      <c r="DJ40" s="133" t="s">
        <v>165</v>
      </c>
      <c r="DK40" s="145">
        <v>432.56244218316402</v>
      </c>
      <c r="DL40" t="s">
        <v>204</v>
      </c>
      <c r="DM40">
        <v>37.1</v>
      </c>
      <c r="DN40" t="s">
        <v>205</v>
      </c>
      <c r="DO40">
        <v>39.61</v>
      </c>
      <c r="DP40" t="s">
        <v>183</v>
      </c>
      <c r="DQ40" s="146">
        <f t="shared" si="9"/>
        <v>0.11319100000000001</v>
      </c>
      <c r="DR40" t="s">
        <v>184</v>
      </c>
      <c r="DS40" t="s">
        <v>200</v>
      </c>
      <c r="DT40" t="s">
        <v>201</v>
      </c>
      <c r="DU40">
        <v>1.0271999999999999</v>
      </c>
      <c r="DV40" t="s">
        <v>165</v>
      </c>
      <c r="DW40" t="s">
        <v>165</v>
      </c>
      <c r="DX40" t="s">
        <v>197</v>
      </c>
      <c r="DY40" t="s">
        <v>181</v>
      </c>
      <c r="DZ40" t="s">
        <v>181</v>
      </c>
      <c r="EA40" t="s">
        <v>202</v>
      </c>
      <c r="EB40" t="s">
        <v>203</v>
      </c>
      <c r="EC40" s="147" t="s">
        <v>206</v>
      </c>
      <c r="ED40" s="147" t="s">
        <v>206</v>
      </c>
      <c r="EE40" s="133" t="s">
        <v>165</v>
      </c>
      <c r="EF40" s="133" t="s">
        <v>165</v>
      </c>
      <c r="EG40" s="133" t="s">
        <v>165</v>
      </c>
      <c r="EH40" t="s">
        <v>185</v>
      </c>
      <c r="EI40" t="s">
        <v>179</v>
      </c>
      <c r="EJ40" t="s">
        <v>165</v>
      </c>
      <c r="EK40">
        <v>2366</v>
      </c>
      <c r="EL40" s="147" t="s">
        <v>211</v>
      </c>
      <c r="EM40" s="147">
        <v>175</v>
      </c>
      <c r="EN40">
        <v>175</v>
      </c>
      <c r="EO40" t="s">
        <v>165</v>
      </c>
      <c r="EP40" t="s">
        <v>165</v>
      </c>
      <c r="EQ40" t="s">
        <v>165</v>
      </c>
      <c r="ER40" t="s">
        <v>165</v>
      </c>
      <c r="ES40" s="148">
        <v>8.1763299832238996</v>
      </c>
      <c r="ET40" t="s">
        <v>187</v>
      </c>
      <c r="EU40" s="133" t="s">
        <v>165</v>
      </c>
      <c r="EV40" s="133" t="s">
        <v>165</v>
      </c>
      <c r="EW40" s="149">
        <v>267.89253003702504</v>
      </c>
      <c r="EX40">
        <v>21</v>
      </c>
      <c r="EY40" t="s">
        <v>186</v>
      </c>
      <c r="EZ40" s="149">
        <v>246.89253003702501</v>
      </c>
      <c r="FA40" s="149">
        <v>37.732327418452002</v>
      </c>
      <c r="FB40" s="149">
        <v>36.396448833452013</v>
      </c>
      <c r="FC40" t="s">
        <v>176</v>
      </c>
      <c r="FD40" t="s">
        <v>188</v>
      </c>
      <c r="FE40" t="s">
        <v>165</v>
      </c>
      <c r="FF40" t="s">
        <v>165</v>
      </c>
      <c r="FG40" t="s">
        <v>165</v>
      </c>
      <c r="FH40" t="s">
        <v>165</v>
      </c>
      <c r="FI40" t="s">
        <v>165</v>
      </c>
      <c r="FJ40" t="s">
        <v>165</v>
      </c>
      <c r="FK40" t="s">
        <v>165</v>
      </c>
      <c r="FL40" t="s">
        <v>165</v>
      </c>
      <c r="FM40" t="s">
        <v>165</v>
      </c>
      <c r="FN40" t="s">
        <v>165</v>
      </c>
      <c r="FO40" t="s">
        <v>165</v>
      </c>
      <c r="FP40" t="s">
        <v>165</v>
      </c>
    </row>
    <row r="41" spans="1:172">
      <c r="A41" s="131" t="s">
        <v>154</v>
      </c>
      <c r="B41" t="s">
        <v>155</v>
      </c>
      <c r="C41">
        <v>2017</v>
      </c>
      <c r="D41" s="132" t="s">
        <v>156</v>
      </c>
      <c r="E41" s="145">
        <f t="shared" si="1"/>
        <v>133.22</v>
      </c>
      <c r="F41">
        <f t="shared" si="2"/>
        <v>2</v>
      </c>
      <c r="G41">
        <f t="shared" si="3"/>
        <v>2</v>
      </c>
      <c r="H41" s="149">
        <f t="shared" si="4"/>
        <v>235.32496544076801</v>
      </c>
      <c r="I41" s="149">
        <f t="shared" si="5"/>
        <v>36.794796956398983</v>
      </c>
      <c r="J41" s="149">
        <f t="shared" si="6"/>
        <v>33.640068675472008</v>
      </c>
      <c r="K41" t="s">
        <v>209</v>
      </c>
      <c r="L41" s="132" t="s">
        <v>210</v>
      </c>
      <c r="M41" s="1" t="s">
        <v>157</v>
      </c>
      <c r="N41" s="132" t="s">
        <v>156</v>
      </c>
      <c r="O41" t="s">
        <v>158</v>
      </c>
      <c r="P41" s="136" t="s">
        <v>159</v>
      </c>
      <c r="Q41" s="136">
        <v>1</v>
      </c>
      <c r="R41" s="136">
        <v>4</v>
      </c>
      <c r="S41" s="136">
        <v>81</v>
      </c>
      <c r="T41" s="136">
        <f t="shared" si="10"/>
        <v>83</v>
      </c>
      <c r="U41" s="136">
        <v>5.31</v>
      </c>
      <c r="V41" s="136">
        <v>5.31</v>
      </c>
      <c r="W41" t="s">
        <v>165</v>
      </c>
      <c r="X41" t="s">
        <v>160</v>
      </c>
      <c r="Y41" s="135">
        <v>12.74</v>
      </c>
      <c r="Z41" s="135">
        <v>-78.739999999999995</v>
      </c>
      <c r="AA41" t="s">
        <v>165</v>
      </c>
      <c r="AB41" t="s">
        <v>165</v>
      </c>
      <c r="AC41">
        <v>-2839</v>
      </c>
      <c r="AD41" t="s">
        <v>165</v>
      </c>
      <c r="AE41" t="s">
        <v>165</v>
      </c>
      <c r="AF41" t="s">
        <v>165</v>
      </c>
      <c r="AG41" s="145">
        <v>133.22</v>
      </c>
      <c r="AH41" t="s">
        <v>163</v>
      </c>
      <c r="AI41">
        <v>2</v>
      </c>
      <c r="AJ41">
        <v>2</v>
      </c>
      <c r="AK41" t="s">
        <v>165</v>
      </c>
      <c r="AL41" t="s">
        <v>164</v>
      </c>
      <c r="AM41" t="s">
        <v>165</v>
      </c>
      <c r="AN41" t="s">
        <v>165</v>
      </c>
      <c r="AO41" t="s">
        <v>165</v>
      </c>
      <c r="AP41" t="s">
        <v>165</v>
      </c>
      <c r="AQ41" t="s">
        <v>165</v>
      </c>
      <c r="AR41" t="s">
        <v>165</v>
      </c>
      <c r="AS41" t="s">
        <v>165</v>
      </c>
      <c r="AT41" t="s">
        <v>165</v>
      </c>
      <c r="AU41" t="s">
        <v>166</v>
      </c>
      <c r="AV41" t="s">
        <v>167</v>
      </c>
      <c r="AW41" t="s">
        <v>168</v>
      </c>
      <c r="AX41" s="154">
        <v>2</v>
      </c>
      <c r="AY41" t="s">
        <v>169</v>
      </c>
      <c r="AZ41" t="s">
        <v>170</v>
      </c>
      <c r="BA41" t="s">
        <v>171</v>
      </c>
      <c r="BB41" t="s">
        <v>165</v>
      </c>
      <c r="BC41" s="154">
        <v>2</v>
      </c>
      <c r="BD41" s="133" t="s">
        <v>165</v>
      </c>
      <c r="BE41" s="146">
        <v>20.92334602</v>
      </c>
      <c r="BF41" t="s">
        <v>172</v>
      </c>
      <c r="BG41" s="146">
        <v>0.21858277400000001</v>
      </c>
      <c r="BH41">
        <v>0.64</v>
      </c>
      <c r="BI41" t="s">
        <v>173</v>
      </c>
      <c r="BJ41">
        <v>3.4000000000000002E-2</v>
      </c>
      <c r="BK41">
        <v>9.1</v>
      </c>
      <c r="BL41" t="s">
        <v>163</v>
      </c>
      <c r="BM41">
        <v>0.56000000000000005</v>
      </c>
      <c r="BN41" t="s">
        <v>174</v>
      </c>
      <c r="BO41" t="s">
        <v>175</v>
      </c>
      <c r="BP41" s="155">
        <f t="shared" si="7"/>
        <v>20.088910033333335</v>
      </c>
      <c r="BQ41" s="133" t="s">
        <v>183</v>
      </c>
      <c r="BR41" s="133" t="s">
        <v>165</v>
      </c>
      <c r="BS41" s="133" t="s">
        <v>165</v>
      </c>
      <c r="BT41" t="s">
        <v>176</v>
      </c>
      <c r="BU41" s="133">
        <v>10</v>
      </c>
      <c r="BV41" s="133" t="s">
        <v>198</v>
      </c>
      <c r="BW41" s="133" t="s">
        <v>165</v>
      </c>
      <c r="BX41" s="145">
        <v>26.88</v>
      </c>
      <c r="BY41" t="s">
        <v>163</v>
      </c>
      <c r="BZ41">
        <v>3</v>
      </c>
      <c r="CA41">
        <v>3</v>
      </c>
      <c r="CB41" t="s">
        <v>165</v>
      </c>
      <c r="CC41" s="146">
        <v>4.2684156122318786</v>
      </c>
      <c r="CD41" t="s">
        <v>180</v>
      </c>
      <c r="CE41" s="146">
        <v>0.17073662448927515</v>
      </c>
      <c r="CF41" s="146">
        <v>0.17073662448927515</v>
      </c>
      <c r="CG41" s="156" t="s">
        <v>165</v>
      </c>
      <c r="CH41" t="s">
        <v>207</v>
      </c>
      <c r="CI41" t="s">
        <v>165</v>
      </c>
      <c r="CJ41" t="s">
        <v>178</v>
      </c>
      <c r="CK41" t="s">
        <v>181</v>
      </c>
      <c r="CL41" t="s">
        <v>181</v>
      </c>
      <c r="CM41" t="s">
        <v>181</v>
      </c>
      <c r="CN41" t="s">
        <v>165</v>
      </c>
      <c r="CO41" t="s">
        <v>165</v>
      </c>
      <c r="CP41" t="s">
        <v>165</v>
      </c>
      <c r="CQ41" t="s">
        <v>165</v>
      </c>
      <c r="CR41" t="s">
        <v>165</v>
      </c>
      <c r="CS41" t="s">
        <v>165</v>
      </c>
      <c r="CT41" t="s">
        <v>165</v>
      </c>
      <c r="CU41">
        <v>35</v>
      </c>
      <c r="CV41" t="s">
        <v>183</v>
      </c>
      <c r="CW41" s="154">
        <v>3</v>
      </c>
      <c r="CX41" s="133" t="s">
        <v>199</v>
      </c>
      <c r="CY41" s="133" t="s">
        <v>165</v>
      </c>
      <c r="CZ41" s="133" t="s">
        <v>165</v>
      </c>
      <c r="DA41" s="133" t="s">
        <v>165</v>
      </c>
      <c r="DB41" s="133" t="s">
        <v>165</v>
      </c>
      <c r="DC41" s="133" t="s">
        <v>165</v>
      </c>
      <c r="DD41" s="133" t="s">
        <v>165</v>
      </c>
      <c r="DE41" s="133" t="s">
        <v>165</v>
      </c>
      <c r="DF41" s="133" t="s">
        <v>165</v>
      </c>
      <c r="DG41" s="133" t="s">
        <v>165</v>
      </c>
      <c r="DH41" s="133" t="s">
        <v>165</v>
      </c>
      <c r="DI41" s="133" t="s">
        <v>165</v>
      </c>
      <c r="DJ41" s="133" t="s">
        <v>165</v>
      </c>
      <c r="DK41" s="145">
        <v>432.56244218316402</v>
      </c>
      <c r="DL41" t="s">
        <v>204</v>
      </c>
      <c r="DM41">
        <v>37.1</v>
      </c>
      <c r="DN41" t="s">
        <v>205</v>
      </c>
      <c r="DO41">
        <v>39.61</v>
      </c>
      <c r="DP41" t="s">
        <v>183</v>
      </c>
      <c r="DQ41" s="146">
        <f t="shared" si="9"/>
        <v>0.11332200000000001</v>
      </c>
      <c r="DR41" t="s">
        <v>184</v>
      </c>
      <c r="DS41" t="s">
        <v>200</v>
      </c>
      <c r="DT41" t="s">
        <v>201</v>
      </c>
      <c r="DU41">
        <v>1.0271999999999999</v>
      </c>
      <c r="DV41" t="s">
        <v>165</v>
      </c>
      <c r="DW41" t="s">
        <v>165</v>
      </c>
      <c r="DX41" t="s">
        <v>197</v>
      </c>
      <c r="DY41" t="s">
        <v>181</v>
      </c>
      <c r="DZ41" t="s">
        <v>181</v>
      </c>
      <c r="EA41" t="s">
        <v>202</v>
      </c>
      <c r="EB41" t="s">
        <v>203</v>
      </c>
      <c r="EC41" s="147" t="s">
        <v>206</v>
      </c>
      <c r="ED41" s="147" t="s">
        <v>206</v>
      </c>
      <c r="EE41" s="133" t="s">
        <v>165</v>
      </c>
      <c r="EF41" s="133" t="s">
        <v>165</v>
      </c>
      <c r="EG41" s="133" t="s">
        <v>165</v>
      </c>
      <c r="EH41" t="s">
        <v>185</v>
      </c>
      <c r="EI41" t="s">
        <v>179</v>
      </c>
      <c r="EJ41" t="s">
        <v>165</v>
      </c>
      <c r="EK41">
        <v>2367</v>
      </c>
      <c r="EL41" s="147" t="s">
        <v>211</v>
      </c>
      <c r="EM41" s="147">
        <v>175</v>
      </c>
      <c r="EN41">
        <v>175</v>
      </c>
      <c r="EO41" t="s">
        <v>165</v>
      </c>
      <c r="EP41" t="s">
        <v>165</v>
      </c>
      <c r="EQ41" t="s">
        <v>165</v>
      </c>
      <c r="ER41" t="s">
        <v>165</v>
      </c>
      <c r="ES41" s="148">
        <v>8.1922936440485294</v>
      </c>
      <c r="ET41" t="s">
        <v>187</v>
      </c>
      <c r="EU41" s="133" t="s">
        <v>165</v>
      </c>
      <c r="EV41" s="133" t="s">
        <v>165</v>
      </c>
      <c r="EW41" s="149">
        <v>256.32496544076798</v>
      </c>
      <c r="EX41">
        <v>21</v>
      </c>
      <c r="EY41" t="s">
        <v>186</v>
      </c>
      <c r="EZ41" s="149">
        <v>235.32496544076801</v>
      </c>
      <c r="FA41" s="149">
        <v>36.794796956398983</v>
      </c>
      <c r="FB41" s="149">
        <v>33.640068675472008</v>
      </c>
      <c r="FC41" t="s">
        <v>176</v>
      </c>
      <c r="FD41" t="s">
        <v>188</v>
      </c>
      <c r="FE41" t="s">
        <v>165</v>
      </c>
      <c r="FF41" t="s">
        <v>165</v>
      </c>
      <c r="FG41" t="s">
        <v>165</v>
      </c>
      <c r="FH41" t="s">
        <v>165</v>
      </c>
      <c r="FI41" t="s">
        <v>165</v>
      </c>
      <c r="FJ41" t="s">
        <v>165</v>
      </c>
      <c r="FK41" t="s">
        <v>165</v>
      </c>
      <c r="FL41" t="s">
        <v>165</v>
      </c>
      <c r="FM41" t="s">
        <v>165</v>
      </c>
      <c r="FN41" t="s">
        <v>165</v>
      </c>
      <c r="FO41" t="s">
        <v>165</v>
      </c>
      <c r="FP41" t="s">
        <v>165</v>
      </c>
    </row>
    <row r="42" spans="1:172">
      <c r="A42" s="131" t="s">
        <v>154</v>
      </c>
      <c r="B42" t="s">
        <v>155</v>
      </c>
      <c r="C42">
        <v>2017</v>
      </c>
      <c r="D42" s="132" t="s">
        <v>156</v>
      </c>
      <c r="E42" s="145">
        <f t="shared" si="1"/>
        <v>134</v>
      </c>
      <c r="F42">
        <f t="shared" si="2"/>
        <v>2</v>
      </c>
      <c r="G42">
        <f t="shared" si="3"/>
        <v>2</v>
      </c>
      <c r="H42" s="149">
        <f t="shared" si="4"/>
        <v>206.839217064347</v>
      </c>
      <c r="I42" s="149">
        <f t="shared" si="5"/>
        <v>34.601738082311016</v>
      </c>
      <c r="J42" s="149">
        <f t="shared" si="6"/>
        <v>32.724644562376</v>
      </c>
      <c r="K42" t="s">
        <v>209</v>
      </c>
      <c r="L42" s="132" t="s">
        <v>210</v>
      </c>
      <c r="M42" s="1" t="s">
        <v>157</v>
      </c>
      <c r="N42" s="132" t="s">
        <v>156</v>
      </c>
      <c r="O42" t="s">
        <v>158</v>
      </c>
      <c r="P42" s="136" t="s">
        <v>159</v>
      </c>
      <c r="Q42" s="136">
        <v>1</v>
      </c>
      <c r="R42" s="136">
        <v>4</v>
      </c>
      <c r="S42" s="136">
        <v>84</v>
      </c>
      <c r="T42" s="136">
        <f t="shared" si="10"/>
        <v>86</v>
      </c>
      <c r="U42" s="136">
        <v>5.34</v>
      </c>
      <c r="V42" s="136">
        <v>5.34</v>
      </c>
      <c r="W42" t="s">
        <v>165</v>
      </c>
      <c r="X42" t="s">
        <v>160</v>
      </c>
      <c r="Y42" s="135">
        <v>12.74</v>
      </c>
      <c r="Z42" s="135">
        <v>-78.739999999999995</v>
      </c>
      <c r="AA42" t="s">
        <v>165</v>
      </c>
      <c r="AB42" t="s">
        <v>165</v>
      </c>
      <c r="AC42">
        <v>-2839</v>
      </c>
      <c r="AD42" t="s">
        <v>165</v>
      </c>
      <c r="AE42" t="s">
        <v>165</v>
      </c>
      <c r="AF42" t="s">
        <v>165</v>
      </c>
      <c r="AG42" s="145">
        <v>134</v>
      </c>
      <c r="AH42" t="s">
        <v>163</v>
      </c>
      <c r="AI42">
        <v>2</v>
      </c>
      <c r="AJ42">
        <v>2</v>
      </c>
      <c r="AK42" t="s">
        <v>165</v>
      </c>
      <c r="AL42" t="s">
        <v>164</v>
      </c>
      <c r="AM42" t="s">
        <v>165</v>
      </c>
      <c r="AN42" t="s">
        <v>165</v>
      </c>
      <c r="AO42" t="s">
        <v>165</v>
      </c>
      <c r="AP42" t="s">
        <v>165</v>
      </c>
      <c r="AQ42" t="s">
        <v>165</v>
      </c>
      <c r="AR42" t="s">
        <v>165</v>
      </c>
      <c r="AS42" t="s">
        <v>165</v>
      </c>
      <c r="AT42" t="s">
        <v>165</v>
      </c>
      <c r="AU42" t="s">
        <v>166</v>
      </c>
      <c r="AV42" t="s">
        <v>167</v>
      </c>
      <c r="AW42" t="s">
        <v>168</v>
      </c>
      <c r="AX42" s="154">
        <v>2</v>
      </c>
      <c r="AY42" t="s">
        <v>169</v>
      </c>
      <c r="AZ42" t="s">
        <v>170</v>
      </c>
      <c r="BA42" t="s">
        <v>171</v>
      </c>
      <c r="BB42" t="s">
        <v>165</v>
      </c>
      <c r="BC42" s="154">
        <v>2</v>
      </c>
      <c r="BD42" s="133" t="s">
        <v>165</v>
      </c>
      <c r="BE42" s="146">
        <v>21.237615470000001</v>
      </c>
      <c r="BF42" t="s">
        <v>172</v>
      </c>
      <c r="BG42" s="146">
        <v>0.244205006</v>
      </c>
      <c r="BH42">
        <v>0.64</v>
      </c>
      <c r="BI42" t="s">
        <v>173</v>
      </c>
      <c r="BJ42">
        <v>3.4000000000000002E-2</v>
      </c>
      <c r="BK42">
        <v>9.1</v>
      </c>
      <c r="BL42" t="s">
        <v>163</v>
      </c>
      <c r="BM42">
        <v>0.56000000000000005</v>
      </c>
      <c r="BN42" t="s">
        <v>174</v>
      </c>
      <c r="BO42" t="s">
        <v>175</v>
      </c>
      <c r="BP42" s="155">
        <f t="shared" si="7"/>
        <v>20.612692450000004</v>
      </c>
      <c r="BQ42" s="133" t="s">
        <v>183</v>
      </c>
      <c r="BR42" s="133" t="s">
        <v>165</v>
      </c>
      <c r="BS42" s="133" t="s">
        <v>165</v>
      </c>
      <c r="BT42" t="s">
        <v>176</v>
      </c>
      <c r="BU42" s="133">
        <v>10</v>
      </c>
      <c r="BV42" s="133" t="s">
        <v>198</v>
      </c>
      <c r="BW42" s="133" t="s">
        <v>165</v>
      </c>
      <c r="BX42" s="145">
        <v>27.06</v>
      </c>
      <c r="BY42" t="s">
        <v>163</v>
      </c>
      <c r="BZ42">
        <v>3</v>
      </c>
      <c r="CA42">
        <v>3</v>
      </c>
      <c r="CB42" t="s">
        <v>165</v>
      </c>
      <c r="CC42" s="146">
        <v>4.3379812921258623</v>
      </c>
      <c r="CD42" t="s">
        <v>180</v>
      </c>
      <c r="CE42" s="146">
        <v>0.17351925168503449</v>
      </c>
      <c r="CF42" s="146">
        <v>0.17351925168503449</v>
      </c>
      <c r="CG42" s="156" t="s">
        <v>165</v>
      </c>
      <c r="CH42" t="s">
        <v>207</v>
      </c>
      <c r="CI42" t="s">
        <v>165</v>
      </c>
      <c r="CJ42" t="s">
        <v>178</v>
      </c>
      <c r="CK42" t="s">
        <v>181</v>
      </c>
      <c r="CL42" t="s">
        <v>181</v>
      </c>
      <c r="CM42" t="s">
        <v>181</v>
      </c>
      <c r="CN42" t="s">
        <v>165</v>
      </c>
      <c r="CO42" t="s">
        <v>165</v>
      </c>
      <c r="CP42" t="s">
        <v>165</v>
      </c>
      <c r="CQ42" t="s">
        <v>165</v>
      </c>
      <c r="CR42" t="s">
        <v>165</v>
      </c>
      <c r="CS42" t="s">
        <v>165</v>
      </c>
      <c r="CT42" t="s">
        <v>165</v>
      </c>
      <c r="CU42">
        <v>35</v>
      </c>
      <c r="CV42" t="s">
        <v>183</v>
      </c>
      <c r="CW42" s="154">
        <v>3</v>
      </c>
      <c r="CX42" s="133" t="s">
        <v>199</v>
      </c>
      <c r="CY42" s="133" t="s">
        <v>165</v>
      </c>
      <c r="CZ42" s="133" t="s">
        <v>165</v>
      </c>
      <c r="DA42" s="133" t="s">
        <v>165</v>
      </c>
      <c r="DB42" s="133" t="s">
        <v>165</v>
      </c>
      <c r="DC42" s="133" t="s">
        <v>165</v>
      </c>
      <c r="DD42" s="133" t="s">
        <v>165</v>
      </c>
      <c r="DE42" s="133" t="s">
        <v>165</v>
      </c>
      <c r="DF42" s="133" t="s">
        <v>165</v>
      </c>
      <c r="DG42" s="133" t="s">
        <v>165</v>
      </c>
      <c r="DH42" s="133" t="s">
        <v>165</v>
      </c>
      <c r="DI42" s="133" t="s">
        <v>165</v>
      </c>
      <c r="DJ42" s="133" t="s">
        <v>165</v>
      </c>
      <c r="DK42" s="145">
        <v>432.56244218316402</v>
      </c>
      <c r="DL42" t="s">
        <v>204</v>
      </c>
      <c r="DM42">
        <v>37.1</v>
      </c>
      <c r="DN42" t="s">
        <v>205</v>
      </c>
      <c r="DO42">
        <v>39.61</v>
      </c>
      <c r="DP42" t="s">
        <v>183</v>
      </c>
      <c r="DQ42" s="146">
        <f t="shared" si="9"/>
        <v>0.1134</v>
      </c>
      <c r="DR42" t="s">
        <v>184</v>
      </c>
      <c r="DS42" t="s">
        <v>200</v>
      </c>
      <c r="DT42" t="s">
        <v>201</v>
      </c>
      <c r="DU42">
        <v>1.0271999999999999</v>
      </c>
      <c r="DV42" t="s">
        <v>165</v>
      </c>
      <c r="DW42" t="s">
        <v>165</v>
      </c>
      <c r="DX42" t="s">
        <v>197</v>
      </c>
      <c r="DY42" t="s">
        <v>181</v>
      </c>
      <c r="DZ42" t="s">
        <v>181</v>
      </c>
      <c r="EA42" t="s">
        <v>202</v>
      </c>
      <c r="EB42" t="s">
        <v>203</v>
      </c>
      <c r="EC42" s="147" t="s">
        <v>206</v>
      </c>
      <c r="ED42" s="147" t="s">
        <v>206</v>
      </c>
      <c r="EE42" s="133" t="s">
        <v>165</v>
      </c>
      <c r="EF42" s="133" t="s">
        <v>165</v>
      </c>
      <c r="EG42" s="133" t="s">
        <v>165</v>
      </c>
      <c r="EH42" t="s">
        <v>185</v>
      </c>
      <c r="EI42" t="s">
        <v>179</v>
      </c>
      <c r="EJ42" t="s">
        <v>165</v>
      </c>
      <c r="EK42">
        <v>2368</v>
      </c>
      <c r="EL42" s="147" t="s">
        <v>211</v>
      </c>
      <c r="EM42" s="147">
        <v>175</v>
      </c>
      <c r="EN42">
        <v>175</v>
      </c>
      <c r="EO42" t="s">
        <v>165</v>
      </c>
      <c r="EP42" t="s">
        <v>165</v>
      </c>
      <c r="EQ42" t="s">
        <v>165</v>
      </c>
      <c r="ER42" t="s">
        <v>165</v>
      </c>
      <c r="ES42" s="148">
        <v>8.2310792502319501</v>
      </c>
      <c r="ET42" t="s">
        <v>187</v>
      </c>
      <c r="EU42" s="133" t="s">
        <v>165</v>
      </c>
      <c r="EV42" s="133" t="s">
        <v>165</v>
      </c>
      <c r="EW42" s="149">
        <v>227.839217064347</v>
      </c>
      <c r="EX42">
        <v>21</v>
      </c>
      <c r="EY42" t="s">
        <v>186</v>
      </c>
      <c r="EZ42" s="149">
        <v>206.839217064347</v>
      </c>
      <c r="FA42" s="149">
        <v>34.601738082311016</v>
      </c>
      <c r="FB42" s="149">
        <v>32.724644562376</v>
      </c>
      <c r="FC42" t="s">
        <v>176</v>
      </c>
      <c r="FD42" t="s">
        <v>188</v>
      </c>
      <c r="FE42" t="s">
        <v>165</v>
      </c>
      <c r="FF42" t="s">
        <v>165</v>
      </c>
      <c r="FG42" t="s">
        <v>165</v>
      </c>
      <c r="FH42" t="s">
        <v>165</v>
      </c>
      <c r="FI42" t="s">
        <v>165</v>
      </c>
      <c r="FJ42" t="s">
        <v>165</v>
      </c>
      <c r="FK42" t="s">
        <v>165</v>
      </c>
      <c r="FL42" t="s">
        <v>165</v>
      </c>
      <c r="FM42" t="s">
        <v>165</v>
      </c>
      <c r="FN42" t="s">
        <v>165</v>
      </c>
      <c r="FO42" t="s">
        <v>165</v>
      </c>
      <c r="FP42" t="s">
        <v>165</v>
      </c>
    </row>
    <row r="43" spans="1:172">
      <c r="A43" s="131" t="s">
        <v>154</v>
      </c>
      <c r="B43" t="s">
        <v>155</v>
      </c>
      <c r="C43">
        <v>2017</v>
      </c>
      <c r="D43" s="132" t="s">
        <v>156</v>
      </c>
      <c r="E43" s="145">
        <f t="shared" si="1"/>
        <v>135.57</v>
      </c>
      <c r="F43">
        <f t="shared" si="2"/>
        <v>2</v>
      </c>
      <c r="G43">
        <f t="shared" si="3"/>
        <v>2</v>
      </c>
      <c r="H43" s="149">
        <f t="shared" si="4"/>
        <v>206.63800559050301</v>
      </c>
      <c r="I43" s="149">
        <f t="shared" si="5"/>
        <v>34.306849818362991</v>
      </c>
      <c r="J43" s="149">
        <f t="shared" si="6"/>
        <v>31.72591567440702</v>
      </c>
      <c r="K43" t="s">
        <v>209</v>
      </c>
      <c r="L43" s="132" t="s">
        <v>210</v>
      </c>
      <c r="M43" s="1" t="s">
        <v>157</v>
      </c>
      <c r="N43" s="132" t="s">
        <v>156</v>
      </c>
      <c r="O43" t="s">
        <v>158</v>
      </c>
      <c r="P43" s="136" t="s">
        <v>159</v>
      </c>
      <c r="Q43" s="136">
        <v>1</v>
      </c>
      <c r="R43" s="136">
        <v>4</v>
      </c>
      <c r="S43" s="136">
        <v>90</v>
      </c>
      <c r="T43" s="136">
        <f t="shared" si="10"/>
        <v>92</v>
      </c>
      <c r="U43" s="136">
        <v>5.4</v>
      </c>
      <c r="V43" s="136">
        <v>5.4</v>
      </c>
      <c r="W43" t="s">
        <v>165</v>
      </c>
      <c r="X43" t="s">
        <v>160</v>
      </c>
      <c r="Y43" s="135">
        <v>12.74</v>
      </c>
      <c r="Z43" s="135">
        <v>-78.739999999999995</v>
      </c>
      <c r="AA43" t="s">
        <v>165</v>
      </c>
      <c r="AB43" t="s">
        <v>165</v>
      </c>
      <c r="AC43">
        <v>-2839</v>
      </c>
      <c r="AD43" t="s">
        <v>165</v>
      </c>
      <c r="AE43" t="s">
        <v>165</v>
      </c>
      <c r="AF43" t="s">
        <v>165</v>
      </c>
      <c r="AG43" s="145">
        <v>135.57</v>
      </c>
      <c r="AH43" t="s">
        <v>163</v>
      </c>
      <c r="AI43">
        <v>2</v>
      </c>
      <c r="AJ43">
        <v>2</v>
      </c>
      <c r="AK43" t="s">
        <v>165</v>
      </c>
      <c r="AL43" t="s">
        <v>164</v>
      </c>
      <c r="AM43" t="s">
        <v>165</v>
      </c>
      <c r="AN43" t="s">
        <v>165</v>
      </c>
      <c r="AO43" t="s">
        <v>165</v>
      </c>
      <c r="AP43" t="s">
        <v>165</v>
      </c>
      <c r="AQ43" t="s">
        <v>165</v>
      </c>
      <c r="AR43" t="s">
        <v>165</v>
      </c>
      <c r="AS43" t="s">
        <v>165</v>
      </c>
      <c r="AT43" t="s">
        <v>165</v>
      </c>
      <c r="AU43" t="s">
        <v>166</v>
      </c>
      <c r="AV43" t="s">
        <v>167</v>
      </c>
      <c r="AW43" t="s">
        <v>168</v>
      </c>
      <c r="AX43" s="154">
        <v>2</v>
      </c>
      <c r="AY43" t="s">
        <v>169</v>
      </c>
      <c r="AZ43" t="s">
        <v>170</v>
      </c>
      <c r="BA43" t="s">
        <v>171</v>
      </c>
      <c r="BB43" t="s">
        <v>165</v>
      </c>
      <c r="BC43" s="154">
        <v>2</v>
      </c>
      <c r="BD43" s="133" t="s">
        <v>165</v>
      </c>
      <c r="BE43" s="146">
        <v>21.178281080000001</v>
      </c>
      <c r="BF43" t="s">
        <v>172</v>
      </c>
      <c r="BG43" s="146">
        <v>0.240849178</v>
      </c>
      <c r="BH43">
        <v>0.64</v>
      </c>
      <c r="BI43" t="s">
        <v>173</v>
      </c>
      <c r="BJ43">
        <v>3.4000000000000002E-2</v>
      </c>
      <c r="BK43">
        <v>9.1</v>
      </c>
      <c r="BL43" t="s">
        <v>163</v>
      </c>
      <c r="BM43">
        <v>0.56000000000000005</v>
      </c>
      <c r="BN43" t="s">
        <v>174</v>
      </c>
      <c r="BO43" t="s">
        <v>175</v>
      </c>
      <c r="BP43" s="155">
        <f t="shared" si="7"/>
        <v>20.513801800000003</v>
      </c>
      <c r="BQ43" s="133" t="s">
        <v>183</v>
      </c>
      <c r="BR43" s="133" t="s">
        <v>165</v>
      </c>
      <c r="BS43" s="133" t="s">
        <v>165</v>
      </c>
      <c r="BT43" t="s">
        <v>176</v>
      </c>
      <c r="BU43" s="133">
        <v>10</v>
      </c>
      <c r="BV43" s="133" t="s">
        <v>198</v>
      </c>
      <c r="BW43" s="133" t="s">
        <v>165</v>
      </c>
      <c r="BX43" s="145">
        <v>26.24</v>
      </c>
      <c r="BY43" t="s">
        <v>163</v>
      </c>
      <c r="BZ43">
        <v>3</v>
      </c>
      <c r="CA43">
        <v>3</v>
      </c>
      <c r="CB43" t="s">
        <v>165</v>
      </c>
      <c r="CC43" s="146">
        <v>4.0294234512177605</v>
      </c>
      <c r="CD43" t="s">
        <v>180</v>
      </c>
      <c r="CE43" s="146">
        <v>0.16117693804871042</v>
      </c>
      <c r="CF43" s="146">
        <v>0.16117693804871042</v>
      </c>
      <c r="CG43" s="156" t="s">
        <v>165</v>
      </c>
      <c r="CH43" t="s">
        <v>207</v>
      </c>
      <c r="CI43" t="s">
        <v>165</v>
      </c>
      <c r="CJ43" t="s">
        <v>178</v>
      </c>
      <c r="CK43" t="s">
        <v>181</v>
      </c>
      <c r="CL43" t="s">
        <v>181</v>
      </c>
      <c r="CM43" t="s">
        <v>181</v>
      </c>
      <c r="CN43" t="s">
        <v>165</v>
      </c>
      <c r="CO43" t="s">
        <v>165</v>
      </c>
      <c r="CP43" t="s">
        <v>165</v>
      </c>
      <c r="CQ43" t="s">
        <v>165</v>
      </c>
      <c r="CR43" t="s">
        <v>165</v>
      </c>
      <c r="CS43" t="s">
        <v>165</v>
      </c>
      <c r="CT43" t="s">
        <v>165</v>
      </c>
      <c r="CU43">
        <v>35</v>
      </c>
      <c r="CV43" t="s">
        <v>183</v>
      </c>
      <c r="CW43" s="154">
        <v>3</v>
      </c>
      <c r="CX43" s="133" t="s">
        <v>199</v>
      </c>
      <c r="CY43" s="133" t="s">
        <v>165</v>
      </c>
      <c r="CZ43" s="133" t="s">
        <v>165</v>
      </c>
      <c r="DA43" s="133" t="s">
        <v>165</v>
      </c>
      <c r="DB43" s="133" t="s">
        <v>165</v>
      </c>
      <c r="DC43" s="133" t="s">
        <v>165</v>
      </c>
      <c r="DD43" s="133" t="s">
        <v>165</v>
      </c>
      <c r="DE43" s="133" t="s">
        <v>165</v>
      </c>
      <c r="DF43" s="133" t="s">
        <v>165</v>
      </c>
      <c r="DG43" s="133" t="s">
        <v>165</v>
      </c>
      <c r="DH43" s="133" t="s">
        <v>165</v>
      </c>
      <c r="DI43" s="133" t="s">
        <v>165</v>
      </c>
      <c r="DJ43" s="133" t="s">
        <v>165</v>
      </c>
      <c r="DK43" s="145">
        <v>432.56244218316402</v>
      </c>
      <c r="DL43" t="s">
        <v>204</v>
      </c>
      <c r="DM43">
        <v>37.1</v>
      </c>
      <c r="DN43" t="s">
        <v>205</v>
      </c>
      <c r="DO43">
        <v>39.61</v>
      </c>
      <c r="DP43" t="s">
        <v>183</v>
      </c>
      <c r="DQ43" s="146">
        <f t="shared" si="9"/>
        <v>0.11355700000000001</v>
      </c>
      <c r="DR43" t="s">
        <v>184</v>
      </c>
      <c r="DS43" t="s">
        <v>200</v>
      </c>
      <c r="DT43" t="s">
        <v>201</v>
      </c>
      <c r="DU43">
        <v>1.0271999999999999</v>
      </c>
      <c r="DV43" t="s">
        <v>165</v>
      </c>
      <c r="DW43" t="s">
        <v>165</v>
      </c>
      <c r="DX43" t="s">
        <v>197</v>
      </c>
      <c r="DY43" t="s">
        <v>181</v>
      </c>
      <c r="DZ43" t="s">
        <v>181</v>
      </c>
      <c r="EA43" t="s">
        <v>202</v>
      </c>
      <c r="EB43" t="s">
        <v>203</v>
      </c>
      <c r="EC43" s="147" t="s">
        <v>206</v>
      </c>
      <c r="ED43" s="147" t="s">
        <v>206</v>
      </c>
      <c r="EE43" s="133" t="s">
        <v>165</v>
      </c>
      <c r="EF43" s="133" t="s">
        <v>165</v>
      </c>
      <c r="EG43" s="133" t="s">
        <v>165</v>
      </c>
      <c r="EH43" t="s">
        <v>185</v>
      </c>
      <c r="EI43" t="s">
        <v>179</v>
      </c>
      <c r="EJ43" t="s">
        <v>165</v>
      </c>
      <c r="EK43">
        <v>2369</v>
      </c>
      <c r="EL43" s="147" t="s">
        <v>211</v>
      </c>
      <c r="EM43" s="147">
        <v>175</v>
      </c>
      <c r="EN43">
        <v>175</v>
      </c>
      <c r="EO43" t="s">
        <v>165</v>
      </c>
      <c r="EP43" t="s">
        <v>165</v>
      </c>
      <c r="EQ43" t="s">
        <v>165</v>
      </c>
      <c r="ER43" t="s">
        <v>165</v>
      </c>
      <c r="ES43" s="148">
        <v>8.2330359972502496</v>
      </c>
      <c r="ET43" t="s">
        <v>187</v>
      </c>
      <c r="EU43" s="133" t="s">
        <v>165</v>
      </c>
      <c r="EV43" s="133" t="s">
        <v>165</v>
      </c>
      <c r="EW43" s="149">
        <v>227.63800559050301</v>
      </c>
      <c r="EX43">
        <v>21</v>
      </c>
      <c r="EY43" t="s">
        <v>186</v>
      </c>
      <c r="EZ43" s="149">
        <v>206.63800559050301</v>
      </c>
      <c r="FA43" s="149">
        <v>34.306849818362991</v>
      </c>
      <c r="FB43" s="149">
        <v>31.72591567440702</v>
      </c>
      <c r="FC43" t="s">
        <v>176</v>
      </c>
      <c r="FD43" t="s">
        <v>188</v>
      </c>
      <c r="FE43" t="s">
        <v>165</v>
      </c>
      <c r="FF43" t="s">
        <v>165</v>
      </c>
      <c r="FG43" t="s">
        <v>165</v>
      </c>
      <c r="FH43" t="s">
        <v>165</v>
      </c>
      <c r="FI43" t="s">
        <v>165</v>
      </c>
      <c r="FJ43" t="s">
        <v>165</v>
      </c>
      <c r="FK43" t="s">
        <v>165</v>
      </c>
      <c r="FL43" t="s">
        <v>165</v>
      </c>
      <c r="FM43" t="s">
        <v>165</v>
      </c>
      <c r="FN43" t="s">
        <v>165</v>
      </c>
      <c r="FO43" t="s">
        <v>165</v>
      </c>
      <c r="FP43" t="s">
        <v>165</v>
      </c>
    </row>
    <row r="44" spans="1:172">
      <c r="A44" s="131" t="s">
        <v>154</v>
      </c>
      <c r="B44" t="s">
        <v>155</v>
      </c>
      <c r="C44">
        <v>2017</v>
      </c>
      <c r="D44" s="132" t="s">
        <v>156</v>
      </c>
      <c r="E44" s="145">
        <f t="shared" si="1"/>
        <v>138.97</v>
      </c>
      <c r="F44">
        <f t="shared" si="2"/>
        <v>2</v>
      </c>
      <c r="G44">
        <f t="shared" si="3"/>
        <v>2</v>
      </c>
      <c r="H44" s="149">
        <f t="shared" si="4"/>
        <v>205.836923105067</v>
      </c>
      <c r="I44" s="149">
        <f t="shared" si="5"/>
        <v>34.046631742100004</v>
      </c>
      <c r="J44" s="149">
        <f t="shared" si="6"/>
        <v>31.606797839190989</v>
      </c>
      <c r="K44" t="s">
        <v>209</v>
      </c>
      <c r="L44" s="132" t="s">
        <v>210</v>
      </c>
      <c r="M44" s="1" t="s">
        <v>157</v>
      </c>
      <c r="N44" s="132" t="s">
        <v>156</v>
      </c>
      <c r="O44" t="s">
        <v>158</v>
      </c>
      <c r="P44" s="136" t="s">
        <v>159</v>
      </c>
      <c r="Q44" s="136">
        <v>1</v>
      </c>
      <c r="R44" s="136">
        <v>4</v>
      </c>
      <c r="S44" s="136">
        <v>103</v>
      </c>
      <c r="T44" s="136">
        <f t="shared" si="10"/>
        <v>105</v>
      </c>
      <c r="U44" s="136">
        <v>5.53</v>
      </c>
      <c r="V44" s="136">
        <v>5.53</v>
      </c>
      <c r="W44" t="s">
        <v>165</v>
      </c>
      <c r="X44" t="s">
        <v>160</v>
      </c>
      <c r="Y44" s="135">
        <v>12.74</v>
      </c>
      <c r="Z44" s="135">
        <v>-78.739999999999995</v>
      </c>
      <c r="AA44" t="s">
        <v>165</v>
      </c>
      <c r="AB44" t="s">
        <v>165</v>
      </c>
      <c r="AC44">
        <v>-2839</v>
      </c>
      <c r="AD44" t="s">
        <v>165</v>
      </c>
      <c r="AE44" t="s">
        <v>165</v>
      </c>
      <c r="AF44" t="s">
        <v>165</v>
      </c>
      <c r="AG44" s="145">
        <v>138.97</v>
      </c>
      <c r="AH44" t="s">
        <v>163</v>
      </c>
      <c r="AI44">
        <v>2</v>
      </c>
      <c r="AJ44">
        <v>2</v>
      </c>
      <c r="AK44" t="s">
        <v>165</v>
      </c>
      <c r="AL44" t="s">
        <v>164</v>
      </c>
      <c r="AM44" t="s">
        <v>165</v>
      </c>
      <c r="AN44" t="s">
        <v>165</v>
      </c>
      <c r="AO44" t="s">
        <v>165</v>
      </c>
      <c r="AP44" t="s">
        <v>165</v>
      </c>
      <c r="AQ44" t="s">
        <v>165</v>
      </c>
      <c r="AR44" t="s">
        <v>165</v>
      </c>
      <c r="AS44" t="s">
        <v>165</v>
      </c>
      <c r="AT44" t="s">
        <v>165</v>
      </c>
      <c r="AU44" t="s">
        <v>166</v>
      </c>
      <c r="AV44" t="s">
        <v>167</v>
      </c>
      <c r="AW44" t="s">
        <v>168</v>
      </c>
      <c r="AX44" s="154">
        <v>2</v>
      </c>
      <c r="AY44" t="s">
        <v>169</v>
      </c>
      <c r="AZ44" t="s">
        <v>170</v>
      </c>
      <c r="BA44" t="s">
        <v>171</v>
      </c>
      <c r="BB44" t="s">
        <v>165</v>
      </c>
      <c r="BC44" s="154">
        <v>2</v>
      </c>
      <c r="BD44" s="133" t="s">
        <v>165</v>
      </c>
      <c r="BE44" s="146">
        <v>21.189326770000001</v>
      </c>
      <c r="BF44" t="s">
        <v>172</v>
      </c>
      <c r="BG44" s="146">
        <v>0.22262501400000001</v>
      </c>
      <c r="BH44">
        <v>0.64</v>
      </c>
      <c r="BI44" t="s">
        <v>173</v>
      </c>
      <c r="BJ44">
        <v>3.4000000000000002E-2</v>
      </c>
      <c r="BK44">
        <v>9.1</v>
      </c>
      <c r="BL44" t="s">
        <v>163</v>
      </c>
      <c r="BM44">
        <v>0.56000000000000005</v>
      </c>
      <c r="BN44" t="s">
        <v>174</v>
      </c>
      <c r="BO44" t="s">
        <v>175</v>
      </c>
      <c r="BP44" s="155">
        <f t="shared" si="7"/>
        <v>20.532211283333336</v>
      </c>
      <c r="BQ44" s="133" t="s">
        <v>183</v>
      </c>
      <c r="BR44" s="133" t="s">
        <v>165</v>
      </c>
      <c r="BS44" s="133" t="s">
        <v>165</v>
      </c>
      <c r="BT44" t="s">
        <v>176</v>
      </c>
      <c r="BU44" s="133">
        <v>10</v>
      </c>
      <c r="BV44" s="133" t="s">
        <v>198</v>
      </c>
      <c r="BW44" s="133" t="s">
        <v>165</v>
      </c>
      <c r="BX44" s="145">
        <v>26.27</v>
      </c>
      <c r="BY44" t="s">
        <v>163</v>
      </c>
      <c r="BZ44">
        <v>3</v>
      </c>
      <c r="CA44">
        <v>3</v>
      </c>
      <c r="CB44" t="s">
        <v>165</v>
      </c>
      <c r="CC44" s="146">
        <v>4.0403349274829319</v>
      </c>
      <c r="CD44" t="s">
        <v>180</v>
      </c>
      <c r="CE44" s="146">
        <v>0.16161339709931727</v>
      </c>
      <c r="CF44" s="146">
        <v>0.16161339709931727</v>
      </c>
      <c r="CG44" s="156" t="s">
        <v>165</v>
      </c>
      <c r="CH44" t="s">
        <v>207</v>
      </c>
      <c r="CI44" t="s">
        <v>165</v>
      </c>
      <c r="CJ44" t="s">
        <v>178</v>
      </c>
      <c r="CK44" t="s">
        <v>181</v>
      </c>
      <c r="CL44" t="s">
        <v>181</v>
      </c>
      <c r="CM44" t="s">
        <v>181</v>
      </c>
      <c r="CN44" t="s">
        <v>165</v>
      </c>
      <c r="CO44" t="s">
        <v>165</v>
      </c>
      <c r="CP44" t="s">
        <v>165</v>
      </c>
      <c r="CQ44" t="s">
        <v>165</v>
      </c>
      <c r="CR44" t="s">
        <v>165</v>
      </c>
      <c r="CS44" t="s">
        <v>165</v>
      </c>
      <c r="CT44" t="s">
        <v>165</v>
      </c>
      <c r="CU44">
        <v>35</v>
      </c>
      <c r="CV44" t="s">
        <v>183</v>
      </c>
      <c r="CW44" s="154">
        <v>3</v>
      </c>
      <c r="CX44" s="133" t="s">
        <v>199</v>
      </c>
      <c r="CY44" s="133" t="s">
        <v>165</v>
      </c>
      <c r="CZ44" s="133" t="s">
        <v>165</v>
      </c>
      <c r="DA44" s="133" t="s">
        <v>165</v>
      </c>
      <c r="DB44" s="133" t="s">
        <v>165</v>
      </c>
      <c r="DC44" s="133" t="s">
        <v>165</v>
      </c>
      <c r="DD44" s="133" t="s">
        <v>165</v>
      </c>
      <c r="DE44" s="133" t="s">
        <v>165</v>
      </c>
      <c r="DF44" s="133" t="s">
        <v>165</v>
      </c>
      <c r="DG44" s="133" t="s">
        <v>165</v>
      </c>
      <c r="DH44" s="133" t="s">
        <v>165</v>
      </c>
      <c r="DI44" s="133" t="s">
        <v>165</v>
      </c>
      <c r="DJ44" s="133" t="s">
        <v>165</v>
      </c>
      <c r="DK44" s="145">
        <v>432.56244218316402</v>
      </c>
      <c r="DL44" t="s">
        <v>204</v>
      </c>
      <c r="DM44">
        <v>37.1</v>
      </c>
      <c r="DN44" t="s">
        <v>205</v>
      </c>
      <c r="DO44">
        <v>39.61</v>
      </c>
      <c r="DP44" t="s">
        <v>183</v>
      </c>
      <c r="DQ44" s="146">
        <f t="shared" si="9"/>
        <v>0.113897</v>
      </c>
      <c r="DR44" t="s">
        <v>184</v>
      </c>
      <c r="DS44" t="s">
        <v>200</v>
      </c>
      <c r="DT44" t="s">
        <v>201</v>
      </c>
      <c r="DU44">
        <v>1.0271999999999999</v>
      </c>
      <c r="DV44" t="s">
        <v>165</v>
      </c>
      <c r="DW44" t="s">
        <v>165</v>
      </c>
      <c r="DX44" t="s">
        <v>197</v>
      </c>
      <c r="DY44" t="s">
        <v>181</v>
      </c>
      <c r="DZ44" t="s">
        <v>181</v>
      </c>
      <c r="EA44" t="s">
        <v>202</v>
      </c>
      <c r="EB44" t="s">
        <v>203</v>
      </c>
      <c r="EC44" s="147" t="s">
        <v>206</v>
      </c>
      <c r="ED44" s="147" t="s">
        <v>206</v>
      </c>
      <c r="EE44" s="133" t="s">
        <v>165</v>
      </c>
      <c r="EF44" s="133" t="s">
        <v>165</v>
      </c>
      <c r="EG44" s="133" t="s">
        <v>165</v>
      </c>
      <c r="EH44" t="s">
        <v>185</v>
      </c>
      <c r="EI44" t="s">
        <v>179</v>
      </c>
      <c r="EJ44" t="s">
        <v>165</v>
      </c>
      <c r="EK44">
        <v>2370</v>
      </c>
      <c r="EL44" s="147" t="s">
        <v>211</v>
      </c>
      <c r="EM44" s="147">
        <v>175</v>
      </c>
      <c r="EN44">
        <v>175</v>
      </c>
      <c r="EO44" t="s">
        <v>165</v>
      </c>
      <c r="EP44" t="s">
        <v>165</v>
      </c>
      <c r="EQ44" t="s">
        <v>165</v>
      </c>
      <c r="ER44" t="s">
        <v>165</v>
      </c>
      <c r="ES44" s="148">
        <v>8.2338235504214392</v>
      </c>
      <c r="ET44" t="s">
        <v>187</v>
      </c>
      <c r="EU44" s="133" t="s">
        <v>165</v>
      </c>
      <c r="EV44" s="133" t="s">
        <v>165</v>
      </c>
      <c r="EW44" s="149">
        <v>226.836923105067</v>
      </c>
      <c r="EX44">
        <v>21</v>
      </c>
      <c r="EY44" t="s">
        <v>186</v>
      </c>
      <c r="EZ44" s="149">
        <v>205.836923105067</v>
      </c>
      <c r="FA44" s="149">
        <v>34.046631742100004</v>
      </c>
      <c r="FB44" s="149">
        <v>31.606797839190989</v>
      </c>
      <c r="FC44" t="s">
        <v>176</v>
      </c>
      <c r="FD44" t="s">
        <v>188</v>
      </c>
      <c r="FE44" t="s">
        <v>165</v>
      </c>
      <c r="FF44" t="s">
        <v>165</v>
      </c>
      <c r="FG44" t="s">
        <v>165</v>
      </c>
      <c r="FH44" t="s">
        <v>165</v>
      </c>
      <c r="FI44" t="s">
        <v>165</v>
      </c>
      <c r="FJ44" t="s">
        <v>165</v>
      </c>
      <c r="FK44" t="s">
        <v>165</v>
      </c>
      <c r="FL44" t="s">
        <v>165</v>
      </c>
      <c r="FM44" t="s">
        <v>165</v>
      </c>
      <c r="FN44" t="s">
        <v>165</v>
      </c>
      <c r="FO44" t="s">
        <v>165</v>
      </c>
      <c r="FP44" t="s">
        <v>165</v>
      </c>
    </row>
    <row r="45" spans="1:172">
      <c r="A45" s="131" t="s">
        <v>154</v>
      </c>
      <c r="B45" t="s">
        <v>155</v>
      </c>
      <c r="C45">
        <v>2017</v>
      </c>
      <c r="D45" s="132" t="s">
        <v>156</v>
      </c>
      <c r="E45" s="145">
        <f t="shared" si="1"/>
        <v>146.69</v>
      </c>
      <c r="F45">
        <f t="shared" si="2"/>
        <v>2</v>
      </c>
      <c r="G45">
        <f t="shared" si="3"/>
        <v>2</v>
      </c>
      <c r="H45" s="149">
        <f t="shared" si="4"/>
        <v>213.74235292111899</v>
      </c>
      <c r="I45" s="149">
        <f t="shared" si="5"/>
        <v>35.216484362647009</v>
      </c>
      <c r="J45" s="149">
        <f t="shared" si="6"/>
        <v>32.377734708323004</v>
      </c>
      <c r="K45" t="s">
        <v>209</v>
      </c>
      <c r="L45" s="132" t="s">
        <v>210</v>
      </c>
      <c r="M45" s="1" t="s">
        <v>157</v>
      </c>
      <c r="N45" s="132" t="s">
        <v>156</v>
      </c>
      <c r="O45" t="s">
        <v>158</v>
      </c>
      <c r="P45" s="136" t="s">
        <v>159</v>
      </c>
      <c r="Q45" s="136">
        <v>1</v>
      </c>
      <c r="R45" s="136">
        <v>4</v>
      </c>
      <c r="S45" s="136">
        <v>132</v>
      </c>
      <c r="T45" s="136">
        <f t="shared" si="10"/>
        <v>134</v>
      </c>
      <c r="U45" s="136">
        <v>5.82</v>
      </c>
      <c r="V45" s="136">
        <v>5.82</v>
      </c>
      <c r="W45" t="s">
        <v>165</v>
      </c>
      <c r="X45" t="s">
        <v>160</v>
      </c>
      <c r="Y45" s="135">
        <v>12.74</v>
      </c>
      <c r="Z45" s="135">
        <v>-78.739999999999995</v>
      </c>
      <c r="AA45" t="s">
        <v>165</v>
      </c>
      <c r="AB45" t="s">
        <v>165</v>
      </c>
      <c r="AC45">
        <v>-2839</v>
      </c>
      <c r="AD45" t="s">
        <v>165</v>
      </c>
      <c r="AE45" t="s">
        <v>165</v>
      </c>
      <c r="AF45" t="s">
        <v>165</v>
      </c>
      <c r="AG45" s="145">
        <v>146.69</v>
      </c>
      <c r="AH45" t="s">
        <v>163</v>
      </c>
      <c r="AI45">
        <v>2</v>
      </c>
      <c r="AJ45">
        <v>2</v>
      </c>
      <c r="AK45" t="s">
        <v>165</v>
      </c>
      <c r="AL45" t="s">
        <v>164</v>
      </c>
      <c r="AM45" t="s">
        <v>165</v>
      </c>
      <c r="AN45" t="s">
        <v>165</v>
      </c>
      <c r="AO45" t="s">
        <v>165</v>
      </c>
      <c r="AP45" t="s">
        <v>165</v>
      </c>
      <c r="AQ45" t="s">
        <v>165</v>
      </c>
      <c r="AR45" t="s">
        <v>165</v>
      </c>
      <c r="AS45" t="s">
        <v>165</v>
      </c>
      <c r="AT45" t="s">
        <v>165</v>
      </c>
      <c r="AU45" t="s">
        <v>166</v>
      </c>
      <c r="AV45" t="s">
        <v>167</v>
      </c>
      <c r="AW45" t="s">
        <v>168</v>
      </c>
      <c r="AX45" s="154">
        <v>2</v>
      </c>
      <c r="AY45" t="s">
        <v>169</v>
      </c>
      <c r="AZ45" t="s">
        <v>170</v>
      </c>
      <c r="BA45" t="s">
        <v>171</v>
      </c>
      <c r="BB45" t="s">
        <v>165</v>
      </c>
      <c r="BC45" s="154">
        <v>2</v>
      </c>
      <c r="BD45" s="133" t="s">
        <v>165</v>
      </c>
      <c r="BE45" s="146">
        <v>21.114847619999999</v>
      </c>
      <c r="BF45" t="s">
        <v>172</v>
      </c>
      <c r="BG45" s="146">
        <v>0.230114186</v>
      </c>
      <c r="BH45">
        <v>0.64</v>
      </c>
      <c r="BI45" t="s">
        <v>173</v>
      </c>
      <c r="BJ45">
        <v>3.4000000000000002E-2</v>
      </c>
      <c r="BK45">
        <v>9.1</v>
      </c>
      <c r="BL45" t="s">
        <v>163</v>
      </c>
      <c r="BM45">
        <v>0.56000000000000005</v>
      </c>
      <c r="BN45" t="s">
        <v>174</v>
      </c>
      <c r="BO45" t="s">
        <v>175</v>
      </c>
      <c r="BP45" s="155">
        <f t="shared" si="7"/>
        <v>20.408079366666666</v>
      </c>
      <c r="BQ45" s="133" t="s">
        <v>183</v>
      </c>
      <c r="BR45" s="133" t="s">
        <v>165</v>
      </c>
      <c r="BS45" s="133" t="s">
        <v>165</v>
      </c>
      <c r="BT45" t="s">
        <v>176</v>
      </c>
      <c r="BU45" s="133">
        <v>10</v>
      </c>
      <c r="BV45" s="133" t="s">
        <v>198</v>
      </c>
      <c r="BW45" s="133" t="s">
        <v>165</v>
      </c>
      <c r="BX45" s="145">
        <v>26.46</v>
      </c>
      <c r="BY45" t="s">
        <v>163</v>
      </c>
      <c r="BZ45">
        <v>3</v>
      </c>
      <c r="CA45">
        <v>3</v>
      </c>
      <c r="CB45" t="s">
        <v>165</v>
      </c>
      <c r="CC45" s="146">
        <v>4.1110209496363677</v>
      </c>
      <c r="CD45" t="s">
        <v>180</v>
      </c>
      <c r="CE45" s="146">
        <v>0.1644408379854547</v>
      </c>
      <c r="CF45" s="146">
        <v>0.1644408379854547</v>
      </c>
      <c r="CG45" s="156" t="s">
        <v>165</v>
      </c>
      <c r="CH45" t="s">
        <v>207</v>
      </c>
      <c r="CI45" t="s">
        <v>165</v>
      </c>
      <c r="CJ45" t="s">
        <v>178</v>
      </c>
      <c r="CK45" t="s">
        <v>181</v>
      </c>
      <c r="CL45" t="s">
        <v>181</v>
      </c>
      <c r="CM45" t="s">
        <v>181</v>
      </c>
      <c r="CN45" t="s">
        <v>165</v>
      </c>
      <c r="CO45" t="s">
        <v>165</v>
      </c>
      <c r="CP45" t="s">
        <v>165</v>
      </c>
      <c r="CQ45" t="s">
        <v>165</v>
      </c>
      <c r="CR45" t="s">
        <v>165</v>
      </c>
      <c r="CS45" t="s">
        <v>165</v>
      </c>
      <c r="CT45" t="s">
        <v>165</v>
      </c>
      <c r="CU45">
        <v>35</v>
      </c>
      <c r="CV45" t="s">
        <v>183</v>
      </c>
      <c r="CW45" s="154">
        <v>3</v>
      </c>
      <c r="CX45" s="133" t="s">
        <v>199</v>
      </c>
      <c r="CY45" s="133" t="s">
        <v>165</v>
      </c>
      <c r="CZ45" s="133" t="s">
        <v>165</v>
      </c>
      <c r="DA45" s="133" t="s">
        <v>165</v>
      </c>
      <c r="DB45" s="133" t="s">
        <v>165</v>
      </c>
      <c r="DC45" s="133" t="s">
        <v>165</v>
      </c>
      <c r="DD45" s="133" t="s">
        <v>165</v>
      </c>
      <c r="DE45" s="133" t="s">
        <v>165</v>
      </c>
      <c r="DF45" s="133" t="s">
        <v>165</v>
      </c>
      <c r="DG45" s="133" t="s">
        <v>165</v>
      </c>
      <c r="DH45" s="133" t="s">
        <v>165</v>
      </c>
      <c r="DI45" s="133" t="s">
        <v>165</v>
      </c>
      <c r="DJ45" s="133" t="s">
        <v>165</v>
      </c>
      <c r="DK45" s="145">
        <v>432.56244218316402</v>
      </c>
      <c r="DL45" t="s">
        <v>204</v>
      </c>
      <c r="DM45">
        <v>37.1</v>
      </c>
      <c r="DN45" t="s">
        <v>205</v>
      </c>
      <c r="DO45">
        <v>39.61</v>
      </c>
      <c r="DP45" t="s">
        <v>183</v>
      </c>
      <c r="DQ45" s="146">
        <f t="shared" si="9"/>
        <v>0.11466900000000001</v>
      </c>
      <c r="DR45" t="s">
        <v>184</v>
      </c>
      <c r="DS45" t="s">
        <v>200</v>
      </c>
      <c r="DT45" t="s">
        <v>201</v>
      </c>
      <c r="DU45">
        <v>1.0271999999999999</v>
      </c>
      <c r="DV45" t="s">
        <v>165</v>
      </c>
      <c r="DW45" t="s">
        <v>165</v>
      </c>
      <c r="DX45" t="s">
        <v>197</v>
      </c>
      <c r="DY45" t="s">
        <v>181</v>
      </c>
      <c r="DZ45" t="s">
        <v>181</v>
      </c>
      <c r="EA45" t="s">
        <v>202</v>
      </c>
      <c r="EB45" t="s">
        <v>203</v>
      </c>
      <c r="EC45" s="147" t="s">
        <v>206</v>
      </c>
      <c r="ED45" s="147" t="s">
        <v>206</v>
      </c>
      <c r="EE45" s="133" t="s">
        <v>165</v>
      </c>
      <c r="EF45" s="133" t="s">
        <v>165</v>
      </c>
      <c r="EG45" s="133" t="s">
        <v>165</v>
      </c>
      <c r="EH45" t="s">
        <v>185</v>
      </c>
      <c r="EI45" t="s">
        <v>179</v>
      </c>
      <c r="EJ45" t="s">
        <v>165</v>
      </c>
      <c r="EK45">
        <v>2371</v>
      </c>
      <c r="EL45" s="147" t="s">
        <v>211</v>
      </c>
      <c r="EM45" s="147">
        <v>175</v>
      </c>
      <c r="EN45">
        <v>175</v>
      </c>
      <c r="EO45" t="s">
        <v>165</v>
      </c>
      <c r="EP45" t="s">
        <v>165</v>
      </c>
      <c r="EQ45" t="s">
        <v>165</v>
      </c>
      <c r="ER45" t="s">
        <v>165</v>
      </c>
      <c r="ES45" s="148">
        <v>8.2221968599714703</v>
      </c>
      <c r="ET45" t="s">
        <v>187</v>
      </c>
      <c r="EU45" s="133" t="s">
        <v>165</v>
      </c>
      <c r="EV45" s="133" t="s">
        <v>165</v>
      </c>
      <c r="EW45" s="149">
        <v>234.74235292111899</v>
      </c>
      <c r="EX45">
        <v>21</v>
      </c>
      <c r="EY45" t="s">
        <v>186</v>
      </c>
      <c r="EZ45" s="149">
        <v>213.74235292111899</v>
      </c>
      <c r="FA45" s="149">
        <v>35.216484362647009</v>
      </c>
      <c r="FB45" s="149">
        <v>32.377734708323004</v>
      </c>
      <c r="FC45" t="s">
        <v>176</v>
      </c>
      <c r="FD45" t="s">
        <v>188</v>
      </c>
      <c r="FE45" t="s">
        <v>165</v>
      </c>
      <c r="FF45" t="s">
        <v>165</v>
      </c>
      <c r="FG45" t="s">
        <v>165</v>
      </c>
      <c r="FH45" t="s">
        <v>165</v>
      </c>
      <c r="FI45" t="s">
        <v>165</v>
      </c>
      <c r="FJ45" t="s">
        <v>165</v>
      </c>
      <c r="FK45" t="s">
        <v>165</v>
      </c>
      <c r="FL45" t="s">
        <v>165</v>
      </c>
      <c r="FM45" t="s">
        <v>165</v>
      </c>
      <c r="FN45" t="s">
        <v>165</v>
      </c>
      <c r="FO45" t="s">
        <v>165</v>
      </c>
      <c r="FP45" t="s">
        <v>165</v>
      </c>
    </row>
    <row r="46" spans="1:172">
      <c r="A46" s="131" t="s">
        <v>154</v>
      </c>
      <c r="B46" t="s">
        <v>155</v>
      </c>
      <c r="C46">
        <v>2017</v>
      </c>
      <c r="D46" s="132" t="s">
        <v>156</v>
      </c>
      <c r="E46" s="145">
        <f t="shared" si="1"/>
        <v>150.04</v>
      </c>
      <c r="F46">
        <f t="shared" si="2"/>
        <v>2</v>
      </c>
      <c r="G46">
        <f t="shared" si="3"/>
        <v>2</v>
      </c>
      <c r="H46" s="149">
        <f t="shared" si="4"/>
        <v>206.17637376000999</v>
      </c>
      <c r="I46" s="149">
        <f t="shared" si="5"/>
        <v>33.867825210814004</v>
      </c>
      <c r="J46" s="149">
        <f t="shared" si="6"/>
        <v>31.976558999248994</v>
      </c>
      <c r="K46" t="s">
        <v>209</v>
      </c>
      <c r="L46" s="132" t="s">
        <v>210</v>
      </c>
      <c r="M46" s="1" t="s">
        <v>157</v>
      </c>
      <c r="N46" s="132" t="s">
        <v>156</v>
      </c>
      <c r="O46" t="s">
        <v>158</v>
      </c>
      <c r="P46" s="136" t="s">
        <v>159</v>
      </c>
      <c r="Q46" s="136">
        <v>1</v>
      </c>
      <c r="R46" s="136">
        <v>4</v>
      </c>
      <c r="S46" s="136">
        <v>142</v>
      </c>
      <c r="T46" s="136">
        <f t="shared" si="10"/>
        <v>144</v>
      </c>
      <c r="U46" s="136">
        <v>5.92</v>
      </c>
      <c r="V46" s="136">
        <v>5.92</v>
      </c>
      <c r="W46" t="s">
        <v>165</v>
      </c>
      <c r="X46" t="s">
        <v>160</v>
      </c>
      <c r="Y46" s="135">
        <v>12.74</v>
      </c>
      <c r="Z46" s="135">
        <v>-78.739999999999995</v>
      </c>
      <c r="AA46" t="s">
        <v>165</v>
      </c>
      <c r="AB46" t="s">
        <v>165</v>
      </c>
      <c r="AC46">
        <v>-2839</v>
      </c>
      <c r="AD46" t="s">
        <v>165</v>
      </c>
      <c r="AE46" t="s">
        <v>165</v>
      </c>
      <c r="AF46" t="s">
        <v>165</v>
      </c>
      <c r="AG46" s="145">
        <v>150.04</v>
      </c>
      <c r="AH46" t="s">
        <v>163</v>
      </c>
      <c r="AI46">
        <v>2</v>
      </c>
      <c r="AJ46">
        <v>2</v>
      </c>
      <c r="AK46" t="s">
        <v>165</v>
      </c>
      <c r="AL46" t="s">
        <v>164</v>
      </c>
      <c r="AM46" t="s">
        <v>165</v>
      </c>
      <c r="AN46" t="s">
        <v>165</v>
      </c>
      <c r="AO46" t="s">
        <v>165</v>
      </c>
      <c r="AP46" t="s">
        <v>165</v>
      </c>
      <c r="AQ46" t="s">
        <v>165</v>
      </c>
      <c r="AR46" t="s">
        <v>165</v>
      </c>
      <c r="AS46" t="s">
        <v>165</v>
      </c>
      <c r="AT46" t="s">
        <v>165</v>
      </c>
      <c r="AU46" t="s">
        <v>166</v>
      </c>
      <c r="AV46" t="s">
        <v>167</v>
      </c>
      <c r="AW46" t="s">
        <v>168</v>
      </c>
      <c r="AX46" s="154">
        <v>2</v>
      </c>
      <c r="AY46" t="s">
        <v>169</v>
      </c>
      <c r="AZ46" t="s">
        <v>170</v>
      </c>
      <c r="BA46" t="s">
        <v>171</v>
      </c>
      <c r="BB46" t="s">
        <v>165</v>
      </c>
      <c r="BC46" s="154">
        <v>2</v>
      </c>
      <c r="BD46" s="133" t="s">
        <v>165</v>
      </c>
      <c r="BE46" s="146">
        <v>21.215300419999998</v>
      </c>
      <c r="BF46" t="s">
        <v>172</v>
      </c>
      <c r="BG46" s="146">
        <v>0.22095936399999999</v>
      </c>
      <c r="BH46">
        <v>0.64</v>
      </c>
      <c r="BI46" t="s">
        <v>173</v>
      </c>
      <c r="BJ46">
        <v>3.4000000000000002E-2</v>
      </c>
      <c r="BK46">
        <v>9.1</v>
      </c>
      <c r="BL46" t="s">
        <v>163</v>
      </c>
      <c r="BM46">
        <v>0.56000000000000005</v>
      </c>
      <c r="BN46" t="s">
        <v>174</v>
      </c>
      <c r="BO46" t="s">
        <v>175</v>
      </c>
      <c r="BP46" s="155">
        <f t="shared" si="7"/>
        <v>20.575500699999999</v>
      </c>
      <c r="BQ46" s="133" t="s">
        <v>183</v>
      </c>
      <c r="BR46" s="133" t="s">
        <v>165</v>
      </c>
      <c r="BS46" s="133" t="s">
        <v>165</v>
      </c>
      <c r="BT46" t="s">
        <v>176</v>
      </c>
      <c r="BU46" s="133">
        <v>10</v>
      </c>
      <c r="BV46" s="133" t="s">
        <v>198</v>
      </c>
      <c r="BW46" s="133" t="s">
        <v>165</v>
      </c>
      <c r="BX46" s="145">
        <v>26.68</v>
      </c>
      <c r="BY46" t="s">
        <v>163</v>
      </c>
      <c r="BZ46">
        <v>3</v>
      </c>
      <c r="CA46">
        <v>3</v>
      </c>
      <c r="CB46" t="s">
        <v>165</v>
      </c>
      <c r="CC46" s="146">
        <v>4.1921817060858855</v>
      </c>
      <c r="CD46" t="s">
        <v>180</v>
      </c>
      <c r="CE46" s="146">
        <v>0.16768726824343541</v>
      </c>
      <c r="CF46" s="146">
        <v>0.16768726824343541</v>
      </c>
      <c r="CG46" s="156" t="s">
        <v>165</v>
      </c>
      <c r="CH46" t="s">
        <v>207</v>
      </c>
      <c r="CI46" t="s">
        <v>165</v>
      </c>
      <c r="CJ46" t="s">
        <v>178</v>
      </c>
      <c r="CK46" t="s">
        <v>181</v>
      </c>
      <c r="CL46" t="s">
        <v>181</v>
      </c>
      <c r="CM46" t="s">
        <v>181</v>
      </c>
      <c r="CN46" t="s">
        <v>165</v>
      </c>
      <c r="CO46" t="s">
        <v>165</v>
      </c>
      <c r="CP46" t="s">
        <v>165</v>
      </c>
      <c r="CQ46" t="s">
        <v>165</v>
      </c>
      <c r="CR46" t="s">
        <v>165</v>
      </c>
      <c r="CS46" t="s">
        <v>165</v>
      </c>
      <c r="CT46" t="s">
        <v>165</v>
      </c>
      <c r="CU46">
        <v>35</v>
      </c>
      <c r="CV46" t="s">
        <v>183</v>
      </c>
      <c r="CW46" s="154">
        <v>3</v>
      </c>
      <c r="CX46" s="133" t="s">
        <v>199</v>
      </c>
      <c r="CY46" s="133" t="s">
        <v>165</v>
      </c>
      <c r="CZ46" s="133" t="s">
        <v>165</v>
      </c>
      <c r="DA46" s="133" t="s">
        <v>165</v>
      </c>
      <c r="DB46" s="133" t="s">
        <v>165</v>
      </c>
      <c r="DC46" s="133" t="s">
        <v>165</v>
      </c>
      <c r="DD46" s="133" t="s">
        <v>165</v>
      </c>
      <c r="DE46" s="133" t="s">
        <v>165</v>
      </c>
      <c r="DF46" s="133" t="s">
        <v>165</v>
      </c>
      <c r="DG46" s="133" t="s">
        <v>165</v>
      </c>
      <c r="DH46" s="133" t="s">
        <v>165</v>
      </c>
      <c r="DI46" s="133" t="s">
        <v>165</v>
      </c>
      <c r="DJ46" s="133" t="s">
        <v>165</v>
      </c>
      <c r="DK46" s="145">
        <v>432.56244218316402</v>
      </c>
      <c r="DL46" t="s">
        <v>204</v>
      </c>
      <c r="DM46">
        <v>37.1</v>
      </c>
      <c r="DN46" t="s">
        <v>205</v>
      </c>
      <c r="DO46">
        <v>39.61</v>
      </c>
      <c r="DP46" t="s">
        <v>183</v>
      </c>
      <c r="DQ46" s="146">
        <f t="shared" si="9"/>
        <v>0.11500400000000001</v>
      </c>
      <c r="DR46" t="s">
        <v>184</v>
      </c>
      <c r="DS46" t="s">
        <v>200</v>
      </c>
      <c r="DT46" t="s">
        <v>201</v>
      </c>
      <c r="DU46">
        <v>1.0271999999999999</v>
      </c>
      <c r="DV46" t="s">
        <v>165</v>
      </c>
      <c r="DW46" t="s">
        <v>165</v>
      </c>
      <c r="DX46" t="s">
        <v>197</v>
      </c>
      <c r="DY46" t="s">
        <v>181</v>
      </c>
      <c r="DZ46" t="s">
        <v>181</v>
      </c>
      <c r="EA46" t="s">
        <v>202</v>
      </c>
      <c r="EB46" t="s">
        <v>203</v>
      </c>
      <c r="EC46" s="147" t="s">
        <v>206</v>
      </c>
      <c r="ED46" s="147" t="s">
        <v>206</v>
      </c>
      <c r="EE46" s="133" t="s">
        <v>165</v>
      </c>
      <c r="EF46" s="133" t="s">
        <v>165</v>
      </c>
      <c r="EG46" s="133" t="s">
        <v>165</v>
      </c>
      <c r="EH46" t="s">
        <v>185</v>
      </c>
      <c r="EI46" t="s">
        <v>179</v>
      </c>
      <c r="EJ46" t="s">
        <v>165</v>
      </c>
      <c r="EK46">
        <v>2372</v>
      </c>
      <c r="EL46" s="147" t="s">
        <v>211</v>
      </c>
      <c r="EM46" s="147">
        <v>175</v>
      </c>
      <c r="EN46">
        <v>175</v>
      </c>
      <c r="EO46" t="s">
        <v>165</v>
      </c>
      <c r="EP46" t="s">
        <v>165</v>
      </c>
      <c r="EQ46" t="s">
        <v>165</v>
      </c>
      <c r="ER46" t="s">
        <v>165</v>
      </c>
      <c r="ES46" s="148">
        <v>8.2325153442157308</v>
      </c>
      <c r="ET46" t="s">
        <v>187</v>
      </c>
      <c r="EU46" s="133" t="s">
        <v>165</v>
      </c>
      <c r="EV46" s="133" t="s">
        <v>165</v>
      </c>
      <c r="EW46" s="149">
        <v>227.17637376000999</v>
      </c>
      <c r="EX46">
        <v>21</v>
      </c>
      <c r="EY46" t="s">
        <v>186</v>
      </c>
      <c r="EZ46" s="149">
        <v>206.17637376000999</v>
      </c>
      <c r="FA46" s="149">
        <v>33.867825210814004</v>
      </c>
      <c r="FB46" s="149">
        <v>31.976558999248994</v>
      </c>
      <c r="FC46" t="s">
        <v>176</v>
      </c>
      <c r="FD46" t="s">
        <v>188</v>
      </c>
      <c r="FE46" t="s">
        <v>165</v>
      </c>
      <c r="FF46" t="s">
        <v>165</v>
      </c>
      <c r="FG46" t="s">
        <v>165</v>
      </c>
      <c r="FH46" t="s">
        <v>165</v>
      </c>
      <c r="FI46" t="s">
        <v>165</v>
      </c>
      <c r="FJ46" t="s">
        <v>165</v>
      </c>
      <c r="FK46" t="s">
        <v>165</v>
      </c>
      <c r="FL46" t="s">
        <v>165</v>
      </c>
      <c r="FM46" t="s">
        <v>165</v>
      </c>
      <c r="FN46" t="s">
        <v>165</v>
      </c>
      <c r="FO46" t="s">
        <v>165</v>
      </c>
      <c r="FP46" t="s">
        <v>165</v>
      </c>
    </row>
    <row r="47" spans="1:172">
      <c r="A47" s="131" t="s">
        <v>154</v>
      </c>
      <c r="B47" t="s">
        <v>155</v>
      </c>
      <c r="C47">
        <v>2017</v>
      </c>
      <c r="D47" s="132" t="s">
        <v>156</v>
      </c>
      <c r="E47" s="145">
        <f t="shared" si="1"/>
        <v>169.76</v>
      </c>
      <c r="F47">
        <f t="shared" si="2"/>
        <v>2</v>
      </c>
      <c r="G47">
        <f t="shared" si="3"/>
        <v>2</v>
      </c>
      <c r="H47" s="149">
        <f t="shared" si="4"/>
        <v>205.87752679034699</v>
      </c>
      <c r="I47" s="149">
        <f t="shared" si="5"/>
        <v>34.274116737496996</v>
      </c>
      <c r="J47" s="149">
        <f t="shared" si="6"/>
        <v>32.53693741301899</v>
      </c>
      <c r="K47" t="s">
        <v>209</v>
      </c>
      <c r="L47" s="132" t="s">
        <v>210</v>
      </c>
      <c r="M47" s="1" t="s">
        <v>157</v>
      </c>
      <c r="N47" s="132" t="s">
        <v>156</v>
      </c>
      <c r="O47" t="s">
        <v>158</v>
      </c>
      <c r="P47" s="137" t="s">
        <v>159</v>
      </c>
      <c r="Q47" s="137">
        <v>1</v>
      </c>
      <c r="R47" s="137">
        <v>5</v>
      </c>
      <c r="S47" s="137">
        <v>51</v>
      </c>
      <c r="T47" s="137">
        <f t="shared" si="10"/>
        <v>53</v>
      </c>
      <c r="U47" s="137">
        <v>6.51</v>
      </c>
      <c r="V47" s="137">
        <v>6.51</v>
      </c>
      <c r="W47" t="s">
        <v>165</v>
      </c>
      <c r="X47" t="s">
        <v>160</v>
      </c>
      <c r="Y47" s="135">
        <v>12.74</v>
      </c>
      <c r="Z47" s="135">
        <v>-78.739999999999995</v>
      </c>
      <c r="AA47" t="s">
        <v>165</v>
      </c>
      <c r="AB47" t="s">
        <v>165</v>
      </c>
      <c r="AC47">
        <v>-2839</v>
      </c>
      <c r="AD47" t="s">
        <v>165</v>
      </c>
      <c r="AE47" t="s">
        <v>165</v>
      </c>
      <c r="AF47" t="s">
        <v>165</v>
      </c>
      <c r="AG47" s="145">
        <v>169.76</v>
      </c>
      <c r="AH47" t="s">
        <v>163</v>
      </c>
      <c r="AI47">
        <v>2</v>
      </c>
      <c r="AJ47">
        <v>2</v>
      </c>
      <c r="AK47" t="s">
        <v>165</v>
      </c>
      <c r="AL47" t="s">
        <v>164</v>
      </c>
      <c r="AM47" t="s">
        <v>165</v>
      </c>
      <c r="AN47" t="s">
        <v>165</v>
      </c>
      <c r="AO47" t="s">
        <v>165</v>
      </c>
      <c r="AP47" t="s">
        <v>165</v>
      </c>
      <c r="AQ47" t="s">
        <v>165</v>
      </c>
      <c r="AR47" t="s">
        <v>165</v>
      </c>
      <c r="AS47" t="s">
        <v>165</v>
      </c>
      <c r="AT47" t="s">
        <v>165</v>
      </c>
      <c r="AU47" t="s">
        <v>166</v>
      </c>
      <c r="AV47" t="s">
        <v>167</v>
      </c>
      <c r="AW47" t="s">
        <v>168</v>
      </c>
      <c r="AX47" s="154">
        <v>2</v>
      </c>
      <c r="AY47" t="s">
        <v>169</v>
      </c>
      <c r="AZ47" t="s">
        <v>170</v>
      </c>
      <c r="BA47" t="s">
        <v>171</v>
      </c>
      <c r="BB47" t="s">
        <v>165</v>
      </c>
      <c r="BC47" s="154">
        <v>2</v>
      </c>
      <c r="BD47" s="133" t="s">
        <v>165</v>
      </c>
      <c r="BE47" s="146">
        <v>21.22</v>
      </c>
      <c r="BF47" t="s">
        <v>172</v>
      </c>
      <c r="BG47" s="146">
        <v>0.22295688599999999</v>
      </c>
      <c r="BH47">
        <v>0.64</v>
      </c>
      <c r="BI47" t="s">
        <v>173</v>
      </c>
      <c r="BJ47">
        <v>3.4000000000000002E-2</v>
      </c>
      <c r="BK47">
        <v>9.1</v>
      </c>
      <c r="BL47" t="s">
        <v>163</v>
      </c>
      <c r="BM47">
        <v>0.56000000000000005</v>
      </c>
      <c r="BN47" t="s">
        <v>174</v>
      </c>
      <c r="BO47" t="s">
        <v>175</v>
      </c>
      <c r="BP47" s="155">
        <f t="shared" si="7"/>
        <v>20.583333333333332</v>
      </c>
      <c r="BQ47" s="133" t="s">
        <v>183</v>
      </c>
      <c r="BR47" s="133" t="s">
        <v>165</v>
      </c>
      <c r="BS47" s="133" t="s">
        <v>165</v>
      </c>
      <c r="BT47" t="s">
        <v>176</v>
      </c>
      <c r="BU47" s="133">
        <v>10</v>
      </c>
      <c r="BV47" s="133" t="s">
        <v>198</v>
      </c>
      <c r="BW47" s="133" t="s">
        <v>165</v>
      </c>
      <c r="BX47" s="145">
        <v>26.72</v>
      </c>
      <c r="BY47" t="s">
        <v>163</v>
      </c>
      <c r="BZ47">
        <v>3</v>
      </c>
      <c r="CA47">
        <v>3</v>
      </c>
      <c r="CB47" t="s">
        <v>165</v>
      </c>
      <c r="CC47" s="146">
        <v>4.2106314230804109</v>
      </c>
      <c r="CD47" t="s">
        <v>180</v>
      </c>
      <c r="CE47" s="146">
        <v>0.16842525692321644</v>
      </c>
      <c r="CF47" s="146">
        <v>0.16842525692321644</v>
      </c>
      <c r="CG47" s="156" t="s">
        <v>165</v>
      </c>
      <c r="CH47" t="s">
        <v>207</v>
      </c>
      <c r="CI47" t="s">
        <v>165</v>
      </c>
      <c r="CJ47" t="s">
        <v>178</v>
      </c>
      <c r="CK47" t="s">
        <v>181</v>
      </c>
      <c r="CL47" t="s">
        <v>181</v>
      </c>
      <c r="CM47" t="s">
        <v>181</v>
      </c>
      <c r="CN47" t="s">
        <v>165</v>
      </c>
      <c r="CO47" t="s">
        <v>165</v>
      </c>
      <c r="CP47" t="s">
        <v>165</v>
      </c>
      <c r="CQ47" t="s">
        <v>165</v>
      </c>
      <c r="CR47" t="s">
        <v>165</v>
      </c>
      <c r="CS47" t="s">
        <v>165</v>
      </c>
      <c r="CT47" t="s">
        <v>165</v>
      </c>
      <c r="CU47">
        <v>35</v>
      </c>
      <c r="CV47" t="s">
        <v>183</v>
      </c>
      <c r="CW47" s="154">
        <v>3</v>
      </c>
      <c r="CX47" s="133" t="s">
        <v>199</v>
      </c>
      <c r="CY47" s="133" t="s">
        <v>165</v>
      </c>
      <c r="CZ47" s="133" t="s">
        <v>165</v>
      </c>
      <c r="DA47" s="133" t="s">
        <v>165</v>
      </c>
      <c r="DB47" s="133" t="s">
        <v>165</v>
      </c>
      <c r="DC47" s="133" t="s">
        <v>165</v>
      </c>
      <c r="DD47" s="133" t="s">
        <v>165</v>
      </c>
      <c r="DE47" s="133" t="s">
        <v>165</v>
      </c>
      <c r="DF47" s="133" t="s">
        <v>165</v>
      </c>
      <c r="DG47" s="133" t="s">
        <v>165</v>
      </c>
      <c r="DH47" s="133" t="s">
        <v>165</v>
      </c>
      <c r="DI47" s="133" t="s">
        <v>165</v>
      </c>
      <c r="DJ47" s="133" t="s">
        <v>165</v>
      </c>
      <c r="DK47" s="145">
        <v>432.56244218316402</v>
      </c>
      <c r="DL47" t="s">
        <v>204</v>
      </c>
      <c r="DM47">
        <v>37.1</v>
      </c>
      <c r="DN47" t="s">
        <v>205</v>
      </c>
      <c r="DO47">
        <v>39.61</v>
      </c>
      <c r="DP47" t="s">
        <v>183</v>
      </c>
      <c r="DQ47" s="146">
        <f t="shared" si="9"/>
        <v>0.116976</v>
      </c>
      <c r="DR47" t="s">
        <v>184</v>
      </c>
      <c r="DS47" t="s">
        <v>200</v>
      </c>
      <c r="DT47" t="s">
        <v>201</v>
      </c>
      <c r="DU47">
        <v>1.0271999999999999</v>
      </c>
      <c r="DV47" t="s">
        <v>165</v>
      </c>
      <c r="DW47" t="s">
        <v>165</v>
      </c>
      <c r="DX47" t="s">
        <v>197</v>
      </c>
      <c r="DY47" t="s">
        <v>181</v>
      </c>
      <c r="DZ47" t="s">
        <v>181</v>
      </c>
      <c r="EA47" t="s">
        <v>202</v>
      </c>
      <c r="EB47" t="s">
        <v>203</v>
      </c>
      <c r="EC47" s="147" t="s">
        <v>206</v>
      </c>
      <c r="ED47" s="147" t="s">
        <v>206</v>
      </c>
      <c r="EE47" s="133" t="s">
        <v>165</v>
      </c>
      <c r="EF47" s="133" t="s">
        <v>165</v>
      </c>
      <c r="EG47" s="133" t="s">
        <v>165</v>
      </c>
      <c r="EH47" t="s">
        <v>185</v>
      </c>
      <c r="EI47" t="s">
        <v>179</v>
      </c>
      <c r="EJ47" t="s">
        <v>165</v>
      </c>
      <c r="EK47">
        <v>2373</v>
      </c>
      <c r="EL47" s="147" t="s">
        <v>211</v>
      </c>
      <c r="EM47" s="147">
        <v>175</v>
      </c>
      <c r="EN47">
        <v>175</v>
      </c>
      <c r="EO47" t="s">
        <v>165</v>
      </c>
      <c r="EP47" t="s">
        <v>165</v>
      </c>
      <c r="EQ47" t="s">
        <v>165</v>
      </c>
      <c r="ER47" t="s">
        <v>165</v>
      </c>
      <c r="ES47" s="148">
        <v>8.2329194079526395</v>
      </c>
      <c r="ET47" t="s">
        <v>187</v>
      </c>
      <c r="EU47" s="133" t="s">
        <v>165</v>
      </c>
      <c r="EV47" s="133" t="s">
        <v>165</v>
      </c>
      <c r="EW47" s="149">
        <v>226.87752679034699</v>
      </c>
      <c r="EX47">
        <v>21</v>
      </c>
      <c r="EY47" t="s">
        <v>186</v>
      </c>
      <c r="EZ47" s="149">
        <v>205.87752679034699</v>
      </c>
      <c r="FA47" s="149">
        <v>34.274116737496996</v>
      </c>
      <c r="FB47" s="149">
        <v>32.53693741301899</v>
      </c>
      <c r="FC47" t="s">
        <v>176</v>
      </c>
      <c r="FD47" t="s">
        <v>188</v>
      </c>
      <c r="FE47" t="s">
        <v>165</v>
      </c>
      <c r="FF47" t="s">
        <v>165</v>
      </c>
      <c r="FG47" t="s">
        <v>165</v>
      </c>
      <c r="FH47" t="s">
        <v>165</v>
      </c>
      <c r="FI47" t="s">
        <v>165</v>
      </c>
      <c r="FJ47" t="s">
        <v>165</v>
      </c>
      <c r="FK47" t="s">
        <v>165</v>
      </c>
      <c r="FL47" t="s">
        <v>165</v>
      </c>
      <c r="FM47" t="s">
        <v>165</v>
      </c>
      <c r="FN47" t="s">
        <v>165</v>
      </c>
      <c r="FO47" t="s">
        <v>165</v>
      </c>
      <c r="FP47" t="s">
        <v>165</v>
      </c>
    </row>
    <row r="48" spans="1:172">
      <c r="A48" s="131" t="s">
        <v>154</v>
      </c>
      <c r="B48" t="s">
        <v>155</v>
      </c>
      <c r="C48">
        <v>2017</v>
      </c>
      <c r="D48" s="132" t="s">
        <v>156</v>
      </c>
      <c r="E48" s="145">
        <f t="shared" si="1"/>
        <v>179.94</v>
      </c>
      <c r="F48">
        <f t="shared" si="2"/>
        <v>2</v>
      </c>
      <c r="G48">
        <f t="shared" si="3"/>
        <v>2</v>
      </c>
      <c r="H48" s="149">
        <f t="shared" si="4"/>
        <v>203.83036013866999</v>
      </c>
      <c r="I48" s="149">
        <f t="shared" si="5"/>
        <v>34.014367333348019</v>
      </c>
      <c r="J48" s="149">
        <f t="shared" si="6"/>
        <v>31.016265889143</v>
      </c>
      <c r="K48" t="s">
        <v>209</v>
      </c>
      <c r="L48" s="132" t="s">
        <v>210</v>
      </c>
      <c r="M48" s="1" t="s">
        <v>157</v>
      </c>
      <c r="N48" s="132" t="s">
        <v>156</v>
      </c>
      <c r="O48" t="s">
        <v>158</v>
      </c>
      <c r="P48" s="136" t="s">
        <v>159</v>
      </c>
      <c r="Q48" s="136">
        <v>1</v>
      </c>
      <c r="R48" s="136">
        <v>5</v>
      </c>
      <c r="S48" s="136">
        <v>91</v>
      </c>
      <c r="T48" s="136">
        <f t="shared" si="10"/>
        <v>93</v>
      </c>
      <c r="U48" s="136">
        <v>6.91</v>
      </c>
      <c r="V48" s="136">
        <v>6.91</v>
      </c>
      <c r="W48" t="s">
        <v>165</v>
      </c>
      <c r="X48" t="s">
        <v>160</v>
      </c>
      <c r="Y48" s="135">
        <v>12.74</v>
      </c>
      <c r="Z48" s="135">
        <v>-78.739999999999995</v>
      </c>
      <c r="AA48" t="s">
        <v>165</v>
      </c>
      <c r="AB48" t="s">
        <v>165</v>
      </c>
      <c r="AC48">
        <v>-2839</v>
      </c>
      <c r="AD48" t="s">
        <v>165</v>
      </c>
      <c r="AE48" t="s">
        <v>165</v>
      </c>
      <c r="AF48" t="s">
        <v>165</v>
      </c>
      <c r="AG48" s="145">
        <v>179.94</v>
      </c>
      <c r="AH48" t="s">
        <v>163</v>
      </c>
      <c r="AI48">
        <v>2</v>
      </c>
      <c r="AJ48">
        <v>2</v>
      </c>
      <c r="AK48" t="s">
        <v>165</v>
      </c>
      <c r="AL48" t="s">
        <v>164</v>
      </c>
      <c r="AM48" t="s">
        <v>165</v>
      </c>
      <c r="AN48" t="s">
        <v>165</v>
      </c>
      <c r="AO48" t="s">
        <v>165</v>
      </c>
      <c r="AP48" t="s">
        <v>165</v>
      </c>
      <c r="AQ48" t="s">
        <v>165</v>
      </c>
      <c r="AR48" t="s">
        <v>165</v>
      </c>
      <c r="AS48" t="s">
        <v>165</v>
      </c>
      <c r="AT48" t="s">
        <v>165</v>
      </c>
      <c r="AU48" t="s">
        <v>166</v>
      </c>
      <c r="AV48" t="s">
        <v>167</v>
      </c>
      <c r="AW48" t="s">
        <v>168</v>
      </c>
      <c r="AX48" s="154">
        <v>2</v>
      </c>
      <c r="AY48" t="s">
        <v>169</v>
      </c>
      <c r="AZ48" t="s">
        <v>170</v>
      </c>
      <c r="BA48" t="s">
        <v>171</v>
      </c>
      <c r="BB48" t="s">
        <v>165</v>
      </c>
      <c r="BC48" s="154">
        <v>2</v>
      </c>
      <c r="BD48" s="133" t="s">
        <v>165</v>
      </c>
      <c r="BE48" s="146">
        <v>21.171794030000001</v>
      </c>
      <c r="BF48" t="s">
        <v>172</v>
      </c>
      <c r="BG48" s="146">
        <v>0.21674748399999999</v>
      </c>
      <c r="BH48">
        <v>0.64</v>
      </c>
      <c r="BI48" t="s">
        <v>173</v>
      </c>
      <c r="BJ48">
        <v>3.4000000000000002E-2</v>
      </c>
      <c r="BK48">
        <v>9.1</v>
      </c>
      <c r="BL48" t="s">
        <v>163</v>
      </c>
      <c r="BM48">
        <v>0.56000000000000005</v>
      </c>
      <c r="BN48" t="s">
        <v>174</v>
      </c>
      <c r="BO48" t="s">
        <v>175</v>
      </c>
      <c r="BP48" s="155">
        <f t="shared" si="7"/>
        <v>20.502990050000005</v>
      </c>
      <c r="BQ48" s="133" t="s">
        <v>183</v>
      </c>
      <c r="BR48" s="133" t="s">
        <v>165</v>
      </c>
      <c r="BS48" s="133" t="s">
        <v>165</v>
      </c>
      <c r="BT48" t="s">
        <v>176</v>
      </c>
      <c r="BU48" s="133">
        <v>10</v>
      </c>
      <c r="BV48" s="133" t="s">
        <v>198</v>
      </c>
      <c r="BW48" s="133" t="s">
        <v>165</v>
      </c>
      <c r="BX48" s="145">
        <v>25.78</v>
      </c>
      <c r="BY48" t="s">
        <v>163</v>
      </c>
      <c r="BZ48">
        <v>3</v>
      </c>
      <c r="CA48">
        <v>3</v>
      </c>
      <c r="CB48" t="s">
        <v>165</v>
      </c>
      <c r="CC48" s="146">
        <v>3.8672554900378255</v>
      </c>
      <c r="CD48" t="s">
        <v>180</v>
      </c>
      <c r="CE48" s="146">
        <v>0.15469021960151302</v>
      </c>
      <c r="CF48" s="146">
        <v>0.15469021960151302</v>
      </c>
      <c r="CG48" s="156" t="s">
        <v>165</v>
      </c>
      <c r="CH48" t="s">
        <v>207</v>
      </c>
      <c r="CI48" t="s">
        <v>165</v>
      </c>
      <c r="CJ48" t="s">
        <v>178</v>
      </c>
      <c r="CK48" t="s">
        <v>181</v>
      </c>
      <c r="CL48" t="s">
        <v>181</v>
      </c>
      <c r="CM48" t="s">
        <v>181</v>
      </c>
      <c r="CN48" t="s">
        <v>165</v>
      </c>
      <c r="CO48" t="s">
        <v>165</v>
      </c>
      <c r="CP48" t="s">
        <v>165</v>
      </c>
      <c r="CQ48" t="s">
        <v>165</v>
      </c>
      <c r="CR48" t="s">
        <v>165</v>
      </c>
      <c r="CS48" t="s">
        <v>165</v>
      </c>
      <c r="CT48" t="s">
        <v>165</v>
      </c>
      <c r="CU48">
        <v>35</v>
      </c>
      <c r="CV48" t="s">
        <v>183</v>
      </c>
      <c r="CW48" s="154">
        <v>3</v>
      </c>
      <c r="CX48" s="133" t="s">
        <v>199</v>
      </c>
      <c r="CY48" s="133" t="s">
        <v>165</v>
      </c>
      <c r="CZ48" s="133" t="s">
        <v>165</v>
      </c>
      <c r="DA48" s="133" t="s">
        <v>165</v>
      </c>
      <c r="DB48" s="133" t="s">
        <v>165</v>
      </c>
      <c r="DC48" s="133" t="s">
        <v>165</v>
      </c>
      <c r="DD48" s="133" t="s">
        <v>165</v>
      </c>
      <c r="DE48" s="133" t="s">
        <v>165</v>
      </c>
      <c r="DF48" s="133" t="s">
        <v>165</v>
      </c>
      <c r="DG48" s="133" t="s">
        <v>165</v>
      </c>
      <c r="DH48" s="133" t="s">
        <v>165</v>
      </c>
      <c r="DI48" s="133" t="s">
        <v>165</v>
      </c>
      <c r="DJ48" s="133" t="s">
        <v>165</v>
      </c>
      <c r="DK48" s="145">
        <v>432.56244218316402</v>
      </c>
      <c r="DL48" t="s">
        <v>204</v>
      </c>
      <c r="DM48">
        <v>37.1</v>
      </c>
      <c r="DN48" t="s">
        <v>205</v>
      </c>
      <c r="DO48">
        <v>39.61</v>
      </c>
      <c r="DP48" t="s">
        <v>183</v>
      </c>
      <c r="DQ48" s="146">
        <f t="shared" si="9"/>
        <v>0.117994</v>
      </c>
      <c r="DR48" t="s">
        <v>184</v>
      </c>
      <c r="DS48" t="s">
        <v>200</v>
      </c>
      <c r="DT48" t="s">
        <v>201</v>
      </c>
      <c r="DU48">
        <v>1.0271999999999999</v>
      </c>
      <c r="DV48" t="s">
        <v>165</v>
      </c>
      <c r="DW48" t="s">
        <v>165</v>
      </c>
      <c r="DX48" t="s">
        <v>197</v>
      </c>
      <c r="DY48" t="s">
        <v>181</v>
      </c>
      <c r="DZ48" t="s">
        <v>181</v>
      </c>
      <c r="EA48" t="s">
        <v>202</v>
      </c>
      <c r="EB48" t="s">
        <v>203</v>
      </c>
      <c r="EC48" s="147" t="s">
        <v>206</v>
      </c>
      <c r="ED48" s="147" t="s">
        <v>206</v>
      </c>
      <c r="EE48" s="133" t="s">
        <v>165</v>
      </c>
      <c r="EF48" s="133" t="s">
        <v>165</v>
      </c>
      <c r="EG48" s="133" t="s">
        <v>165</v>
      </c>
      <c r="EH48" t="s">
        <v>185</v>
      </c>
      <c r="EI48" t="s">
        <v>179</v>
      </c>
      <c r="EJ48" t="s">
        <v>165</v>
      </c>
      <c r="EK48">
        <v>2374</v>
      </c>
      <c r="EL48" s="147" t="s">
        <v>211</v>
      </c>
      <c r="EM48" s="147">
        <v>175</v>
      </c>
      <c r="EN48">
        <v>175</v>
      </c>
      <c r="EO48" t="s">
        <v>165</v>
      </c>
      <c r="EP48" t="s">
        <v>165</v>
      </c>
      <c r="EQ48" t="s">
        <v>165</v>
      </c>
      <c r="ER48" t="s">
        <v>165</v>
      </c>
      <c r="ES48" s="148">
        <v>8.2378528069299009</v>
      </c>
      <c r="ET48" t="s">
        <v>187</v>
      </c>
      <c r="EU48" s="133" t="s">
        <v>165</v>
      </c>
      <c r="EV48" s="133" t="s">
        <v>165</v>
      </c>
      <c r="EW48" s="149">
        <v>224.83036013866999</v>
      </c>
      <c r="EX48">
        <v>21</v>
      </c>
      <c r="EY48" t="s">
        <v>186</v>
      </c>
      <c r="EZ48" s="149">
        <v>203.83036013866999</v>
      </c>
      <c r="FA48" s="149">
        <v>34.014367333348019</v>
      </c>
      <c r="FB48" s="149">
        <v>31.016265889143</v>
      </c>
      <c r="FC48" t="s">
        <v>176</v>
      </c>
      <c r="FD48" t="s">
        <v>188</v>
      </c>
      <c r="FE48" t="s">
        <v>165</v>
      </c>
      <c r="FF48" t="s">
        <v>165</v>
      </c>
      <c r="FG48" t="s">
        <v>165</v>
      </c>
      <c r="FH48" t="s">
        <v>165</v>
      </c>
      <c r="FI48" t="s">
        <v>165</v>
      </c>
      <c r="FJ48" t="s">
        <v>165</v>
      </c>
      <c r="FK48" t="s">
        <v>165</v>
      </c>
      <c r="FL48" t="s">
        <v>165</v>
      </c>
      <c r="FM48" t="s">
        <v>165</v>
      </c>
      <c r="FN48" t="s">
        <v>165</v>
      </c>
      <c r="FO48" t="s">
        <v>165</v>
      </c>
      <c r="FP48" t="s">
        <v>165</v>
      </c>
    </row>
    <row r="49" spans="1:172">
      <c r="A49" s="131" t="s">
        <v>154</v>
      </c>
      <c r="B49" t="s">
        <v>155</v>
      </c>
      <c r="C49">
        <v>2017</v>
      </c>
      <c r="D49" s="132" t="s">
        <v>156</v>
      </c>
      <c r="E49" s="145">
        <f t="shared" si="1"/>
        <v>184.37</v>
      </c>
      <c r="F49">
        <f t="shared" si="2"/>
        <v>2</v>
      </c>
      <c r="G49">
        <f t="shared" si="3"/>
        <v>2</v>
      </c>
      <c r="H49" s="149">
        <f t="shared" si="4"/>
        <v>212.90795089067799</v>
      </c>
      <c r="I49" s="149">
        <f t="shared" si="5"/>
        <v>35.24030215536601</v>
      </c>
      <c r="J49" s="149">
        <f t="shared" si="6"/>
        <v>32.831823654106984</v>
      </c>
      <c r="K49" t="s">
        <v>209</v>
      </c>
      <c r="L49" s="132" t="s">
        <v>210</v>
      </c>
      <c r="M49" s="1" t="s">
        <v>157</v>
      </c>
      <c r="N49" s="132" t="s">
        <v>156</v>
      </c>
      <c r="O49" t="s">
        <v>158</v>
      </c>
      <c r="P49" s="136" t="s">
        <v>159</v>
      </c>
      <c r="Q49" s="136">
        <v>1</v>
      </c>
      <c r="R49" s="136">
        <v>6</v>
      </c>
      <c r="S49" s="136">
        <v>12</v>
      </c>
      <c r="T49" s="136">
        <f t="shared" si="10"/>
        <v>14</v>
      </c>
      <c r="U49" s="136">
        <v>7.12</v>
      </c>
      <c r="V49" s="136">
        <v>7.12</v>
      </c>
      <c r="W49" t="s">
        <v>165</v>
      </c>
      <c r="X49" t="s">
        <v>160</v>
      </c>
      <c r="Y49" s="135">
        <v>12.74</v>
      </c>
      <c r="Z49" s="135">
        <v>-78.739999999999995</v>
      </c>
      <c r="AA49" t="s">
        <v>165</v>
      </c>
      <c r="AB49" t="s">
        <v>165</v>
      </c>
      <c r="AC49">
        <v>-2839</v>
      </c>
      <c r="AD49" t="s">
        <v>165</v>
      </c>
      <c r="AE49" t="s">
        <v>165</v>
      </c>
      <c r="AF49" t="s">
        <v>165</v>
      </c>
      <c r="AG49" s="145">
        <v>184.37</v>
      </c>
      <c r="AH49" t="s">
        <v>163</v>
      </c>
      <c r="AI49">
        <v>2</v>
      </c>
      <c r="AJ49">
        <v>2</v>
      </c>
      <c r="AK49" t="s">
        <v>165</v>
      </c>
      <c r="AL49" t="s">
        <v>164</v>
      </c>
      <c r="AM49" t="s">
        <v>165</v>
      </c>
      <c r="AN49" t="s">
        <v>165</v>
      </c>
      <c r="AO49" t="s">
        <v>165</v>
      </c>
      <c r="AP49" t="s">
        <v>165</v>
      </c>
      <c r="AQ49" t="s">
        <v>165</v>
      </c>
      <c r="AR49" t="s">
        <v>165</v>
      </c>
      <c r="AS49" t="s">
        <v>165</v>
      </c>
      <c r="AT49" t="s">
        <v>165</v>
      </c>
      <c r="AU49" t="s">
        <v>166</v>
      </c>
      <c r="AV49" t="s">
        <v>167</v>
      </c>
      <c r="AW49" t="s">
        <v>168</v>
      </c>
      <c r="AX49" s="154">
        <v>2</v>
      </c>
      <c r="AY49" t="s">
        <v>169</v>
      </c>
      <c r="AZ49" t="s">
        <v>170</v>
      </c>
      <c r="BA49" t="s">
        <v>171</v>
      </c>
      <c r="BB49" t="s">
        <v>165</v>
      </c>
      <c r="BC49" s="154">
        <v>2</v>
      </c>
      <c r="BD49" s="133" t="s">
        <v>165</v>
      </c>
      <c r="BE49" s="146">
        <v>21.06374018</v>
      </c>
      <c r="BF49" t="s">
        <v>172</v>
      </c>
      <c r="BG49" s="146">
        <v>0.234692072</v>
      </c>
      <c r="BH49">
        <v>0.64</v>
      </c>
      <c r="BI49" t="s">
        <v>173</v>
      </c>
      <c r="BJ49">
        <v>3.4000000000000002E-2</v>
      </c>
      <c r="BK49">
        <v>9.1</v>
      </c>
      <c r="BL49" t="s">
        <v>163</v>
      </c>
      <c r="BM49">
        <v>0.56000000000000005</v>
      </c>
      <c r="BN49" t="s">
        <v>174</v>
      </c>
      <c r="BO49" t="s">
        <v>175</v>
      </c>
      <c r="BP49" s="155">
        <f t="shared" si="7"/>
        <v>20.322900300000001</v>
      </c>
      <c r="BQ49" s="133" t="s">
        <v>183</v>
      </c>
      <c r="BR49" s="133" t="s">
        <v>165</v>
      </c>
      <c r="BS49" s="133" t="s">
        <v>165</v>
      </c>
      <c r="BT49" t="s">
        <v>176</v>
      </c>
      <c r="BU49" s="133">
        <v>10</v>
      </c>
      <c r="BV49" s="133" t="s">
        <v>198</v>
      </c>
      <c r="BW49" s="133" t="s">
        <v>165</v>
      </c>
      <c r="BX49" s="145">
        <v>25.7</v>
      </c>
      <c r="BY49" t="s">
        <v>163</v>
      </c>
      <c r="BZ49">
        <v>3</v>
      </c>
      <c r="CA49">
        <v>3</v>
      </c>
      <c r="CB49" t="s">
        <v>165</v>
      </c>
      <c r="CC49" s="146">
        <v>3.8409433527776882</v>
      </c>
      <c r="CD49" t="s">
        <v>180</v>
      </c>
      <c r="CE49" s="146">
        <v>0.15363773411110754</v>
      </c>
      <c r="CF49" s="146">
        <v>0.15363773411110754</v>
      </c>
      <c r="CG49" s="156" t="s">
        <v>165</v>
      </c>
      <c r="CH49" t="s">
        <v>207</v>
      </c>
      <c r="CI49" t="s">
        <v>165</v>
      </c>
      <c r="CJ49" t="s">
        <v>178</v>
      </c>
      <c r="CK49" t="s">
        <v>181</v>
      </c>
      <c r="CL49" t="s">
        <v>181</v>
      </c>
      <c r="CM49" t="s">
        <v>181</v>
      </c>
      <c r="CN49" t="s">
        <v>165</v>
      </c>
      <c r="CO49" t="s">
        <v>165</v>
      </c>
      <c r="CP49" t="s">
        <v>165</v>
      </c>
      <c r="CQ49" t="s">
        <v>165</v>
      </c>
      <c r="CR49" t="s">
        <v>165</v>
      </c>
      <c r="CS49" t="s">
        <v>165</v>
      </c>
      <c r="CT49" t="s">
        <v>165</v>
      </c>
      <c r="CU49">
        <v>35</v>
      </c>
      <c r="CV49" t="s">
        <v>183</v>
      </c>
      <c r="CW49" s="154">
        <v>3</v>
      </c>
      <c r="CX49" s="133" t="s">
        <v>199</v>
      </c>
      <c r="CY49" s="133" t="s">
        <v>165</v>
      </c>
      <c r="CZ49" s="133" t="s">
        <v>165</v>
      </c>
      <c r="DA49" s="133" t="s">
        <v>165</v>
      </c>
      <c r="DB49" s="133" t="s">
        <v>165</v>
      </c>
      <c r="DC49" s="133" t="s">
        <v>165</v>
      </c>
      <c r="DD49" s="133" t="s">
        <v>165</v>
      </c>
      <c r="DE49" s="133" t="s">
        <v>165</v>
      </c>
      <c r="DF49" s="133" t="s">
        <v>165</v>
      </c>
      <c r="DG49" s="133" t="s">
        <v>165</v>
      </c>
      <c r="DH49" s="133" t="s">
        <v>165</v>
      </c>
      <c r="DI49" s="133" t="s">
        <v>165</v>
      </c>
      <c r="DJ49" s="133" t="s">
        <v>165</v>
      </c>
      <c r="DK49" s="145">
        <v>432.56244218316402</v>
      </c>
      <c r="DL49" t="s">
        <v>204</v>
      </c>
      <c r="DM49">
        <v>37.1</v>
      </c>
      <c r="DN49" t="s">
        <v>205</v>
      </c>
      <c r="DO49">
        <v>39.61</v>
      </c>
      <c r="DP49" t="s">
        <v>183</v>
      </c>
      <c r="DQ49" s="146">
        <f t="shared" si="9"/>
        <v>0.11843700000000001</v>
      </c>
      <c r="DR49" t="s">
        <v>184</v>
      </c>
      <c r="DS49" t="s">
        <v>200</v>
      </c>
      <c r="DT49" t="s">
        <v>201</v>
      </c>
      <c r="DU49">
        <v>1.0271999999999999</v>
      </c>
      <c r="DV49" t="s">
        <v>165</v>
      </c>
      <c r="DW49" t="s">
        <v>165</v>
      </c>
      <c r="DX49" t="s">
        <v>197</v>
      </c>
      <c r="DY49" t="s">
        <v>181</v>
      </c>
      <c r="DZ49" t="s">
        <v>181</v>
      </c>
      <c r="EA49" t="s">
        <v>202</v>
      </c>
      <c r="EB49" t="s">
        <v>203</v>
      </c>
      <c r="EC49" s="147" t="s">
        <v>206</v>
      </c>
      <c r="ED49" s="147" t="s">
        <v>206</v>
      </c>
      <c r="EE49" s="133" t="s">
        <v>165</v>
      </c>
      <c r="EF49" s="133" t="s">
        <v>165</v>
      </c>
      <c r="EG49" s="133" t="s">
        <v>165</v>
      </c>
      <c r="EH49" t="s">
        <v>185</v>
      </c>
      <c r="EI49" t="s">
        <v>179</v>
      </c>
      <c r="EJ49" t="s">
        <v>165</v>
      </c>
      <c r="EK49">
        <v>2375</v>
      </c>
      <c r="EL49" s="147" t="s">
        <v>211</v>
      </c>
      <c r="EM49" s="147">
        <v>175</v>
      </c>
      <c r="EN49">
        <v>175</v>
      </c>
      <c r="EO49" t="s">
        <v>165</v>
      </c>
      <c r="EP49" t="s">
        <v>165</v>
      </c>
      <c r="EQ49" t="s">
        <v>165</v>
      </c>
      <c r="ER49" t="s">
        <v>165</v>
      </c>
      <c r="ES49" s="148">
        <v>8.2248007749789505</v>
      </c>
      <c r="ET49" t="s">
        <v>187</v>
      </c>
      <c r="EU49" s="133" t="s">
        <v>165</v>
      </c>
      <c r="EV49" s="133" t="s">
        <v>165</v>
      </c>
      <c r="EW49" s="149">
        <v>233.90795089067799</v>
      </c>
      <c r="EX49">
        <v>21</v>
      </c>
      <c r="EY49" t="s">
        <v>186</v>
      </c>
      <c r="EZ49" s="149">
        <v>212.90795089067799</v>
      </c>
      <c r="FA49" s="149">
        <v>35.24030215536601</v>
      </c>
      <c r="FB49" s="149">
        <v>32.831823654106984</v>
      </c>
      <c r="FC49" t="s">
        <v>176</v>
      </c>
      <c r="FD49" t="s">
        <v>188</v>
      </c>
      <c r="FE49" t="s">
        <v>165</v>
      </c>
      <c r="FF49" t="s">
        <v>165</v>
      </c>
      <c r="FG49" t="s">
        <v>165</v>
      </c>
      <c r="FH49" t="s">
        <v>165</v>
      </c>
      <c r="FI49" t="s">
        <v>165</v>
      </c>
      <c r="FJ49" t="s">
        <v>165</v>
      </c>
      <c r="FK49" t="s">
        <v>165</v>
      </c>
      <c r="FL49" t="s">
        <v>165</v>
      </c>
      <c r="FM49" t="s">
        <v>165</v>
      </c>
      <c r="FN49" t="s">
        <v>165</v>
      </c>
      <c r="FO49" t="s">
        <v>165</v>
      </c>
      <c r="FP49" t="s">
        <v>165</v>
      </c>
    </row>
    <row r="50" spans="1:172">
      <c r="A50" s="131" t="s">
        <v>154</v>
      </c>
      <c r="B50" t="s">
        <v>155</v>
      </c>
      <c r="C50">
        <v>2017</v>
      </c>
      <c r="D50" s="132" t="s">
        <v>156</v>
      </c>
      <c r="E50" s="145">
        <f t="shared" si="1"/>
        <v>190.01</v>
      </c>
      <c r="F50">
        <f t="shared" si="2"/>
        <v>2</v>
      </c>
      <c r="G50">
        <f t="shared" si="3"/>
        <v>2</v>
      </c>
      <c r="H50" s="149">
        <f t="shared" si="4"/>
        <v>223.070142365755</v>
      </c>
      <c r="I50" s="149">
        <f t="shared" si="5"/>
        <v>35.364963969761988</v>
      </c>
      <c r="J50" s="149">
        <f t="shared" si="6"/>
        <v>33.440976522539017</v>
      </c>
      <c r="K50" t="s">
        <v>209</v>
      </c>
      <c r="L50" s="132" t="s">
        <v>210</v>
      </c>
      <c r="M50" s="1" t="s">
        <v>157</v>
      </c>
      <c r="N50" s="132" t="s">
        <v>156</v>
      </c>
      <c r="O50" t="s">
        <v>158</v>
      </c>
      <c r="P50" s="136" t="s">
        <v>159</v>
      </c>
      <c r="Q50" s="136">
        <v>1</v>
      </c>
      <c r="R50" s="136">
        <v>6</v>
      </c>
      <c r="S50" s="136">
        <v>33</v>
      </c>
      <c r="T50" s="136">
        <f t="shared" si="10"/>
        <v>35</v>
      </c>
      <c r="U50" s="136">
        <v>7.33</v>
      </c>
      <c r="V50" s="136">
        <v>7.33</v>
      </c>
      <c r="W50" t="s">
        <v>165</v>
      </c>
      <c r="X50" t="s">
        <v>160</v>
      </c>
      <c r="Y50" s="135">
        <v>12.74</v>
      </c>
      <c r="Z50" s="135">
        <v>-78.739999999999995</v>
      </c>
      <c r="AA50" t="s">
        <v>165</v>
      </c>
      <c r="AB50" t="s">
        <v>165</v>
      </c>
      <c r="AC50">
        <v>-2839</v>
      </c>
      <c r="AD50" t="s">
        <v>165</v>
      </c>
      <c r="AE50" t="s">
        <v>165</v>
      </c>
      <c r="AF50" t="s">
        <v>165</v>
      </c>
      <c r="AG50" s="145">
        <v>190.01</v>
      </c>
      <c r="AH50" t="s">
        <v>163</v>
      </c>
      <c r="AI50">
        <v>2</v>
      </c>
      <c r="AJ50">
        <v>2</v>
      </c>
      <c r="AK50" t="s">
        <v>165</v>
      </c>
      <c r="AL50" t="s">
        <v>164</v>
      </c>
      <c r="AM50" t="s">
        <v>165</v>
      </c>
      <c r="AN50" t="s">
        <v>165</v>
      </c>
      <c r="AO50" t="s">
        <v>165</v>
      </c>
      <c r="AP50" t="s">
        <v>165</v>
      </c>
      <c r="AQ50" t="s">
        <v>165</v>
      </c>
      <c r="AR50" t="s">
        <v>165</v>
      </c>
      <c r="AS50" t="s">
        <v>165</v>
      </c>
      <c r="AT50" t="s">
        <v>165</v>
      </c>
      <c r="AU50" t="s">
        <v>166</v>
      </c>
      <c r="AV50" t="s">
        <v>167</v>
      </c>
      <c r="AW50" t="s">
        <v>168</v>
      </c>
      <c r="AX50" s="154">
        <v>2</v>
      </c>
      <c r="AY50" t="s">
        <v>169</v>
      </c>
      <c r="AZ50" t="s">
        <v>170</v>
      </c>
      <c r="BA50" t="s">
        <v>171</v>
      </c>
      <c r="BB50" t="s">
        <v>165</v>
      </c>
      <c r="BC50" s="154">
        <v>2</v>
      </c>
      <c r="BD50" s="133" t="s">
        <v>165</v>
      </c>
      <c r="BE50" s="146">
        <v>20.95412232</v>
      </c>
      <c r="BF50" t="s">
        <v>172</v>
      </c>
      <c r="BG50" s="146">
        <v>0.20921177799999999</v>
      </c>
      <c r="BH50">
        <v>0.64</v>
      </c>
      <c r="BI50" t="s">
        <v>173</v>
      </c>
      <c r="BJ50">
        <v>3.4000000000000002E-2</v>
      </c>
      <c r="BK50">
        <v>9.1</v>
      </c>
      <c r="BL50" t="s">
        <v>163</v>
      </c>
      <c r="BM50">
        <v>0.56000000000000005</v>
      </c>
      <c r="BN50" t="s">
        <v>174</v>
      </c>
      <c r="BO50" t="s">
        <v>175</v>
      </c>
      <c r="BP50" s="155">
        <f t="shared" si="7"/>
        <v>20.140203866666667</v>
      </c>
      <c r="BQ50" s="133" t="s">
        <v>183</v>
      </c>
      <c r="BR50" s="133" t="s">
        <v>165</v>
      </c>
      <c r="BS50" s="133" t="s">
        <v>165</v>
      </c>
      <c r="BT50" t="s">
        <v>176</v>
      </c>
      <c r="BU50" s="133">
        <v>10</v>
      </c>
      <c r="BV50" s="133" t="s">
        <v>198</v>
      </c>
      <c r="BW50" s="133" t="s">
        <v>165</v>
      </c>
      <c r="BX50" s="145">
        <v>25.69</v>
      </c>
      <c r="BY50" t="s">
        <v>163</v>
      </c>
      <c r="BZ50">
        <v>3</v>
      </c>
      <c r="CA50">
        <v>3</v>
      </c>
      <c r="CB50" t="s">
        <v>165</v>
      </c>
      <c r="CC50" s="146">
        <v>3.8361325927454173</v>
      </c>
      <c r="CD50" t="s">
        <v>180</v>
      </c>
      <c r="CE50" s="146">
        <v>0.15344530370981668</v>
      </c>
      <c r="CF50" s="146">
        <v>0.15344530370981668</v>
      </c>
      <c r="CG50" s="156" t="s">
        <v>165</v>
      </c>
      <c r="CH50" t="s">
        <v>207</v>
      </c>
      <c r="CI50" t="s">
        <v>165</v>
      </c>
      <c r="CJ50" t="s">
        <v>178</v>
      </c>
      <c r="CK50" t="s">
        <v>181</v>
      </c>
      <c r="CL50" t="s">
        <v>181</v>
      </c>
      <c r="CM50" t="s">
        <v>181</v>
      </c>
      <c r="CN50" t="s">
        <v>165</v>
      </c>
      <c r="CO50" t="s">
        <v>165</v>
      </c>
      <c r="CP50" t="s">
        <v>165</v>
      </c>
      <c r="CQ50" t="s">
        <v>165</v>
      </c>
      <c r="CR50" t="s">
        <v>165</v>
      </c>
      <c r="CS50" t="s">
        <v>165</v>
      </c>
      <c r="CT50" t="s">
        <v>165</v>
      </c>
      <c r="CU50">
        <v>35</v>
      </c>
      <c r="CV50" t="s">
        <v>183</v>
      </c>
      <c r="CW50" s="154">
        <v>3</v>
      </c>
      <c r="CX50" s="133" t="s">
        <v>199</v>
      </c>
      <c r="CY50" s="133" t="s">
        <v>165</v>
      </c>
      <c r="CZ50" s="133" t="s">
        <v>165</v>
      </c>
      <c r="DA50" s="133" t="s">
        <v>165</v>
      </c>
      <c r="DB50" s="133" t="s">
        <v>165</v>
      </c>
      <c r="DC50" s="133" t="s">
        <v>165</v>
      </c>
      <c r="DD50" s="133" t="s">
        <v>165</v>
      </c>
      <c r="DE50" s="133" t="s">
        <v>165</v>
      </c>
      <c r="DF50" s="133" t="s">
        <v>165</v>
      </c>
      <c r="DG50" s="133" t="s">
        <v>165</v>
      </c>
      <c r="DH50" s="133" t="s">
        <v>165</v>
      </c>
      <c r="DI50" s="133" t="s">
        <v>165</v>
      </c>
      <c r="DJ50" s="133" t="s">
        <v>165</v>
      </c>
      <c r="DK50" s="145">
        <v>432.56244218316402</v>
      </c>
      <c r="DL50" t="s">
        <v>204</v>
      </c>
      <c r="DM50">
        <v>37.1</v>
      </c>
      <c r="DN50" t="s">
        <v>205</v>
      </c>
      <c r="DO50">
        <v>39.61</v>
      </c>
      <c r="DP50" t="s">
        <v>183</v>
      </c>
      <c r="DQ50" s="146">
        <f t="shared" si="9"/>
        <v>0.11900100000000001</v>
      </c>
      <c r="DR50" t="s">
        <v>184</v>
      </c>
      <c r="DS50" t="s">
        <v>200</v>
      </c>
      <c r="DT50" t="s">
        <v>201</v>
      </c>
      <c r="DU50">
        <v>1.0271999999999999</v>
      </c>
      <c r="DV50" t="s">
        <v>165</v>
      </c>
      <c r="DW50" t="s">
        <v>165</v>
      </c>
      <c r="DX50" t="s">
        <v>197</v>
      </c>
      <c r="DY50" t="s">
        <v>181</v>
      </c>
      <c r="DZ50" t="s">
        <v>181</v>
      </c>
      <c r="EA50" t="s">
        <v>202</v>
      </c>
      <c r="EB50" t="s">
        <v>203</v>
      </c>
      <c r="EC50" s="147" t="s">
        <v>206</v>
      </c>
      <c r="ED50" s="147" t="s">
        <v>206</v>
      </c>
      <c r="EE50" s="133" t="s">
        <v>165</v>
      </c>
      <c r="EF50" s="133" t="s">
        <v>165</v>
      </c>
      <c r="EG50" s="133" t="s">
        <v>165</v>
      </c>
      <c r="EH50" t="s">
        <v>185</v>
      </c>
      <c r="EI50" t="s">
        <v>179</v>
      </c>
      <c r="EJ50" t="s">
        <v>165</v>
      </c>
      <c r="EK50">
        <v>2376</v>
      </c>
      <c r="EL50" s="147" t="s">
        <v>211</v>
      </c>
      <c r="EM50" s="147">
        <v>175</v>
      </c>
      <c r="EN50">
        <v>175</v>
      </c>
      <c r="EO50" t="s">
        <v>165</v>
      </c>
      <c r="EP50" t="s">
        <v>165</v>
      </c>
      <c r="EQ50" t="s">
        <v>165</v>
      </c>
      <c r="ER50" t="s">
        <v>165</v>
      </c>
      <c r="ES50" s="148">
        <v>8.2109049196352704</v>
      </c>
      <c r="ET50" t="s">
        <v>187</v>
      </c>
      <c r="EU50" s="133" t="s">
        <v>165</v>
      </c>
      <c r="EV50" s="133" t="s">
        <v>165</v>
      </c>
      <c r="EW50" s="149">
        <v>244.070142365755</v>
      </c>
      <c r="EX50">
        <v>21</v>
      </c>
      <c r="EY50" t="s">
        <v>186</v>
      </c>
      <c r="EZ50" s="149">
        <v>223.070142365755</v>
      </c>
      <c r="FA50" s="149">
        <v>35.364963969761988</v>
      </c>
      <c r="FB50" s="149">
        <v>33.440976522539017</v>
      </c>
      <c r="FC50" t="s">
        <v>176</v>
      </c>
      <c r="FD50" t="s">
        <v>188</v>
      </c>
      <c r="FE50" t="s">
        <v>165</v>
      </c>
      <c r="FF50" t="s">
        <v>165</v>
      </c>
      <c r="FG50" t="s">
        <v>165</v>
      </c>
      <c r="FH50" t="s">
        <v>165</v>
      </c>
      <c r="FI50" t="s">
        <v>165</v>
      </c>
      <c r="FJ50" t="s">
        <v>165</v>
      </c>
      <c r="FK50" t="s">
        <v>165</v>
      </c>
      <c r="FL50" t="s">
        <v>165</v>
      </c>
      <c r="FM50" t="s">
        <v>165</v>
      </c>
      <c r="FN50" t="s">
        <v>165</v>
      </c>
      <c r="FO50" t="s">
        <v>165</v>
      </c>
      <c r="FP50" t="s">
        <v>165</v>
      </c>
    </row>
    <row r="51" spans="1:172">
      <c r="A51" s="131" t="s">
        <v>154</v>
      </c>
      <c r="B51" t="s">
        <v>155</v>
      </c>
      <c r="C51">
        <v>2017</v>
      </c>
      <c r="D51" s="132" t="s">
        <v>156</v>
      </c>
      <c r="E51" s="145">
        <f t="shared" si="1"/>
        <v>191.68</v>
      </c>
      <c r="F51">
        <f t="shared" si="2"/>
        <v>2</v>
      </c>
      <c r="G51">
        <f t="shared" si="3"/>
        <v>2</v>
      </c>
      <c r="H51" s="149">
        <f t="shared" si="4"/>
        <v>223.95051602147001</v>
      </c>
      <c r="I51" s="149">
        <f t="shared" si="5"/>
        <v>35.580529812340984</v>
      </c>
      <c r="J51" s="149">
        <f t="shared" si="6"/>
        <v>33.51182507914001</v>
      </c>
      <c r="K51" t="s">
        <v>209</v>
      </c>
      <c r="L51" s="132" t="s">
        <v>210</v>
      </c>
      <c r="M51" s="1" t="s">
        <v>157</v>
      </c>
      <c r="N51" s="132" t="s">
        <v>156</v>
      </c>
      <c r="O51" t="s">
        <v>158</v>
      </c>
      <c r="P51" s="136" t="s">
        <v>159</v>
      </c>
      <c r="Q51" s="136">
        <v>1</v>
      </c>
      <c r="R51" s="136">
        <v>6</v>
      </c>
      <c r="S51" s="136">
        <v>39</v>
      </c>
      <c r="T51" s="136">
        <f t="shared" si="10"/>
        <v>41</v>
      </c>
      <c r="U51" s="136">
        <v>7.39</v>
      </c>
      <c r="V51" s="136">
        <v>7.39</v>
      </c>
      <c r="W51" t="s">
        <v>165</v>
      </c>
      <c r="X51" t="s">
        <v>160</v>
      </c>
      <c r="Y51" s="135">
        <v>12.74</v>
      </c>
      <c r="Z51" s="135">
        <v>-78.739999999999995</v>
      </c>
      <c r="AA51" t="s">
        <v>165</v>
      </c>
      <c r="AB51" t="s">
        <v>165</v>
      </c>
      <c r="AC51">
        <v>-2839</v>
      </c>
      <c r="AD51" t="s">
        <v>165</v>
      </c>
      <c r="AE51" t="s">
        <v>165</v>
      </c>
      <c r="AF51" t="s">
        <v>165</v>
      </c>
      <c r="AG51" s="145">
        <v>191.68</v>
      </c>
      <c r="AH51" t="s">
        <v>163</v>
      </c>
      <c r="AI51">
        <v>2</v>
      </c>
      <c r="AJ51">
        <v>2</v>
      </c>
      <c r="AK51" t="s">
        <v>165</v>
      </c>
      <c r="AL51" t="s">
        <v>164</v>
      </c>
      <c r="AM51" t="s">
        <v>165</v>
      </c>
      <c r="AN51" t="s">
        <v>165</v>
      </c>
      <c r="AO51" t="s">
        <v>165</v>
      </c>
      <c r="AP51" t="s">
        <v>165</v>
      </c>
      <c r="AQ51" t="s">
        <v>165</v>
      </c>
      <c r="AR51" t="s">
        <v>165</v>
      </c>
      <c r="AS51" t="s">
        <v>165</v>
      </c>
      <c r="AT51" t="s">
        <v>165</v>
      </c>
      <c r="AU51" t="s">
        <v>166</v>
      </c>
      <c r="AV51" t="s">
        <v>167</v>
      </c>
      <c r="AW51" t="s">
        <v>168</v>
      </c>
      <c r="AX51" s="154">
        <v>2</v>
      </c>
      <c r="AY51" t="s">
        <v>169</v>
      </c>
      <c r="AZ51" t="s">
        <v>170</v>
      </c>
      <c r="BA51" t="s">
        <v>171</v>
      </c>
      <c r="BB51" t="s">
        <v>165</v>
      </c>
      <c r="BC51" s="154">
        <v>2</v>
      </c>
      <c r="BD51" s="133" t="s">
        <v>165</v>
      </c>
      <c r="BE51" s="146">
        <v>20.860167669999999</v>
      </c>
      <c r="BF51" t="s">
        <v>172</v>
      </c>
      <c r="BG51" s="146">
        <v>0.22631095200000001</v>
      </c>
      <c r="BH51">
        <v>0.64</v>
      </c>
      <c r="BI51" t="s">
        <v>173</v>
      </c>
      <c r="BJ51">
        <v>3.4000000000000002E-2</v>
      </c>
      <c r="BK51">
        <v>9.1</v>
      </c>
      <c r="BL51" t="s">
        <v>163</v>
      </c>
      <c r="BM51">
        <v>0.56000000000000005</v>
      </c>
      <c r="BN51" t="s">
        <v>174</v>
      </c>
      <c r="BO51" t="s">
        <v>175</v>
      </c>
      <c r="BP51" s="155">
        <f t="shared" si="7"/>
        <v>19.983612783333335</v>
      </c>
      <c r="BQ51" s="133" t="s">
        <v>183</v>
      </c>
      <c r="BR51" s="133" t="s">
        <v>165</v>
      </c>
      <c r="BS51" s="133" t="s">
        <v>165</v>
      </c>
      <c r="BT51" t="s">
        <v>176</v>
      </c>
      <c r="BU51" s="133">
        <v>10</v>
      </c>
      <c r="BV51" s="133" t="s">
        <v>198</v>
      </c>
      <c r="BW51" s="133" t="s">
        <v>165</v>
      </c>
      <c r="BX51" s="145">
        <v>24.56</v>
      </c>
      <c r="BY51" t="s">
        <v>163</v>
      </c>
      <c r="BZ51">
        <v>3</v>
      </c>
      <c r="CA51">
        <v>3</v>
      </c>
      <c r="CB51" t="s">
        <v>165</v>
      </c>
      <c r="CC51" s="146">
        <v>3.465334334167177</v>
      </c>
      <c r="CD51" t="s">
        <v>180</v>
      </c>
      <c r="CE51" s="146">
        <v>0.13861337336668708</v>
      </c>
      <c r="CF51" s="146">
        <v>0.13861337336668708</v>
      </c>
      <c r="CG51" s="156" t="s">
        <v>165</v>
      </c>
      <c r="CH51" t="s">
        <v>207</v>
      </c>
      <c r="CI51" t="s">
        <v>165</v>
      </c>
      <c r="CJ51" t="s">
        <v>178</v>
      </c>
      <c r="CK51" t="s">
        <v>181</v>
      </c>
      <c r="CL51" t="s">
        <v>181</v>
      </c>
      <c r="CM51" t="s">
        <v>181</v>
      </c>
      <c r="CN51" t="s">
        <v>165</v>
      </c>
      <c r="CO51" t="s">
        <v>165</v>
      </c>
      <c r="CP51" t="s">
        <v>165</v>
      </c>
      <c r="CQ51" t="s">
        <v>165</v>
      </c>
      <c r="CR51" t="s">
        <v>165</v>
      </c>
      <c r="CS51" t="s">
        <v>165</v>
      </c>
      <c r="CT51" t="s">
        <v>165</v>
      </c>
      <c r="CU51">
        <v>35</v>
      </c>
      <c r="CV51" t="s">
        <v>183</v>
      </c>
      <c r="CW51" s="154">
        <v>3</v>
      </c>
      <c r="CX51" s="133" t="s">
        <v>199</v>
      </c>
      <c r="CY51" s="133" t="s">
        <v>165</v>
      </c>
      <c r="CZ51" s="133" t="s">
        <v>165</v>
      </c>
      <c r="DA51" s="133" t="s">
        <v>165</v>
      </c>
      <c r="DB51" s="133" t="s">
        <v>165</v>
      </c>
      <c r="DC51" s="133" t="s">
        <v>165</v>
      </c>
      <c r="DD51" s="133" t="s">
        <v>165</v>
      </c>
      <c r="DE51" s="133" t="s">
        <v>165</v>
      </c>
      <c r="DF51" s="133" t="s">
        <v>165</v>
      </c>
      <c r="DG51" s="133" t="s">
        <v>165</v>
      </c>
      <c r="DH51" s="133" t="s">
        <v>165</v>
      </c>
      <c r="DI51" s="133" t="s">
        <v>165</v>
      </c>
      <c r="DJ51" s="133" t="s">
        <v>165</v>
      </c>
      <c r="DK51" s="145">
        <v>432.56244218316402</v>
      </c>
      <c r="DL51" t="s">
        <v>204</v>
      </c>
      <c r="DM51">
        <v>37.1</v>
      </c>
      <c r="DN51" t="s">
        <v>205</v>
      </c>
      <c r="DO51">
        <v>39.61</v>
      </c>
      <c r="DP51" t="s">
        <v>183</v>
      </c>
      <c r="DQ51" s="146">
        <f t="shared" si="9"/>
        <v>0.11916800000000001</v>
      </c>
      <c r="DR51" t="s">
        <v>184</v>
      </c>
      <c r="DS51" t="s">
        <v>200</v>
      </c>
      <c r="DT51" t="s">
        <v>201</v>
      </c>
      <c r="DU51">
        <v>1.0271999999999999</v>
      </c>
      <c r="DV51" t="s">
        <v>165</v>
      </c>
      <c r="DW51" t="s">
        <v>165</v>
      </c>
      <c r="DX51" t="s">
        <v>197</v>
      </c>
      <c r="DY51" t="s">
        <v>181</v>
      </c>
      <c r="DZ51" t="s">
        <v>181</v>
      </c>
      <c r="EA51" t="s">
        <v>202</v>
      </c>
      <c r="EB51" t="s">
        <v>203</v>
      </c>
      <c r="EC51" s="147" t="s">
        <v>206</v>
      </c>
      <c r="ED51" s="147" t="s">
        <v>206</v>
      </c>
      <c r="EE51" s="133" t="s">
        <v>165</v>
      </c>
      <c r="EF51" s="133" t="s">
        <v>165</v>
      </c>
      <c r="EG51" s="133" t="s">
        <v>165</v>
      </c>
      <c r="EH51" t="s">
        <v>185</v>
      </c>
      <c r="EI51" t="s">
        <v>179</v>
      </c>
      <c r="EJ51" t="s">
        <v>165</v>
      </c>
      <c r="EK51">
        <v>2377</v>
      </c>
      <c r="EL51" s="147" t="s">
        <v>211</v>
      </c>
      <c r="EM51" s="147">
        <v>175</v>
      </c>
      <c r="EN51">
        <v>175</v>
      </c>
      <c r="EO51" t="s">
        <v>165</v>
      </c>
      <c r="EP51" t="s">
        <v>165</v>
      </c>
      <c r="EQ51" t="s">
        <v>165</v>
      </c>
      <c r="ER51" t="s">
        <v>165</v>
      </c>
      <c r="ES51" s="148">
        <v>8.2115416562976993</v>
      </c>
      <c r="ET51" t="s">
        <v>187</v>
      </c>
      <c r="EU51" s="133" t="s">
        <v>165</v>
      </c>
      <c r="EV51" s="133" t="s">
        <v>165</v>
      </c>
      <c r="EW51" s="149">
        <v>244.95051602147001</v>
      </c>
      <c r="EX51">
        <v>21</v>
      </c>
      <c r="EY51" t="s">
        <v>186</v>
      </c>
      <c r="EZ51" s="149">
        <v>223.95051602147001</v>
      </c>
      <c r="FA51" s="149">
        <v>35.580529812340984</v>
      </c>
      <c r="FB51" s="149">
        <v>33.51182507914001</v>
      </c>
      <c r="FC51" t="s">
        <v>176</v>
      </c>
      <c r="FD51" t="s">
        <v>188</v>
      </c>
      <c r="FE51" t="s">
        <v>165</v>
      </c>
      <c r="FF51" t="s">
        <v>165</v>
      </c>
      <c r="FG51" t="s">
        <v>165</v>
      </c>
      <c r="FH51" t="s">
        <v>165</v>
      </c>
      <c r="FI51" t="s">
        <v>165</v>
      </c>
      <c r="FJ51" t="s">
        <v>165</v>
      </c>
      <c r="FK51" t="s">
        <v>165</v>
      </c>
      <c r="FL51" t="s">
        <v>165</v>
      </c>
      <c r="FM51" t="s">
        <v>165</v>
      </c>
      <c r="FN51" t="s">
        <v>165</v>
      </c>
      <c r="FO51" t="s">
        <v>165</v>
      </c>
      <c r="FP51" t="s">
        <v>165</v>
      </c>
    </row>
    <row r="52" spans="1:172">
      <c r="A52" s="131" t="s">
        <v>154</v>
      </c>
      <c r="B52" t="s">
        <v>155</v>
      </c>
      <c r="C52">
        <v>2017</v>
      </c>
      <c r="D52" s="132" t="s">
        <v>156</v>
      </c>
      <c r="E52" s="145">
        <f t="shared" si="1"/>
        <v>198.07</v>
      </c>
      <c r="F52">
        <f t="shared" si="2"/>
        <v>2</v>
      </c>
      <c r="G52">
        <f t="shared" si="3"/>
        <v>2</v>
      </c>
      <c r="H52" s="149">
        <f t="shared" si="4"/>
        <v>249.58203052195199</v>
      </c>
      <c r="I52" s="149">
        <f t="shared" si="5"/>
        <v>37.634765353267028</v>
      </c>
      <c r="J52" s="149">
        <f t="shared" si="6"/>
        <v>35.604106198496993</v>
      </c>
      <c r="K52" t="s">
        <v>209</v>
      </c>
      <c r="L52" s="132" t="s">
        <v>210</v>
      </c>
      <c r="M52" s="1" t="s">
        <v>157</v>
      </c>
      <c r="N52" s="132" t="s">
        <v>156</v>
      </c>
      <c r="O52" t="s">
        <v>158</v>
      </c>
      <c r="P52" s="137" t="s">
        <v>159</v>
      </c>
      <c r="Q52" s="137">
        <v>1</v>
      </c>
      <c r="R52" s="138" t="s">
        <v>161</v>
      </c>
      <c r="S52" s="137">
        <v>7</v>
      </c>
      <c r="T52" s="137">
        <f t="shared" si="10"/>
        <v>9</v>
      </c>
      <c r="U52" s="137">
        <v>7.62</v>
      </c>
      <c r="V52" s="137">
        <v>7.62</v>
      </c>
      <c r="W52" t="s">
        <v>165</v>
      </c>
      <c r="X52" t="s">
        <v>160</v>
      </c>
      <c r="Y52" s="135">
        <v>12.74</v>
      </c>
      <c r="Z52" s="135">
        <v>-78.739999999999995</v>
      </c>
      <c r="AA52" t="s">
        <v>165</v>
      </c>
      <c r="AB52" t="s">
        <v>165</v>
      </c>
      <c r="AC52">
        <v>-2839</v>
      </c>
      <c r="AD52" t="s">
        <v>165</v>
      </c>
      <c r="AE52" t="s">
        <v>165</v>
      </c>
      <c r="AF52" t="s">
        <v>165</v>
      </c>
      <c r="AG52" s="145">
        <v>198.07</v>
      </c>
      <c r="AH52" t="s">
        <v>163</v>
      </c>
      <c r="AI52">
        <v>2</v>
      </c>
      <c r="AJ52">
        <v>2</v>
      </c>
      <c r="AK52" t="s">
        <v>165</v>
      </c>
      <c r="AL52" t="s">
        <v>164</v>
      </c>
      <c r="AM52" t="s">
        <v>165</v>
      </c>
      <c r="AN52" t="s">
        <v>165</v>
      </c>
      <c r="AO52" t="s">
        <v>165</v>
      </c>
      <c r="AP52" t="s">
        <v>165</v>
      </c>
      <c r="AQ52" t="s">
        <v>165</v>
      </c>
      <c r="AR52" t="s">
        <v>165</v>
      </c>
      <c r="AS52" t="s">
        <v>165</v>
      </c>
      <c r="AT52" t="s">
        <v>165</v>
      </c>
      <c r="AU52" t="s">
        <v>166</v>
      </c>
      <c r="AV52" t="s">
        <v>167</v>
      </c>
      <c r="AW52" t="s">
        <v>168</v>
      </c>
      <c r="AX52" s="154">
        <v>2</v>
      </c>
      <c r="AY52" t="s">
        <v>169</v>
      </c>
      <c r="AZ52" t="s">
        <v>170</v>
      </c>
      <c r="BA52" t="s">
        <v>171</v>
      </c>
      <c r="BB52" t="s">
        <v>165</v>
      </c>
      <c r="BC52" s="154">
        <v>2</v>
      </c>
      <c r="BD52" s="133" t="s">
        <v>165</v>
      </c>
      <c r="BE52" s="146">
        <v>20.56</v>
      </c>
      <c r="BF52" t="s">
        <v>172</v>
      </c>
      <c r="BG52" s="146">
        <v>0.198417126</v>
      </c>
      <c r="BH52">
        <v>0.64</v>
      </c>
      <c r="BI52" t="s">
        <v>173</v>
      </c>
      <c r="BJ52">
        <v>3.4000000000000002E-2</v>
      </c>
      <c r="BK52">
        <v>9.1</v>
      </c>
      <c r="BL52" t="s">
        <v>163</v>
      </c>
      <c r="BM52">
        <v>0.56000000000000005</v>
      </c>
      <c r="BN52" t="s">
        <v>174</v>
      </c>
      <c r="BO52" t="s">
        <v>175</v>
      </c>
      <c r="BP52" s="155">
        <f t="shared" si="7"/>
        <v>19.483333333333334</v>
      </c>
      <c r="BQ52" s="133" t="s">
        <v>183</v>
      </c>
      <c r="BR52" s="133" t="s">
        <v>165</v>
      </c>
      <c r="BS52" s="133" t="s">
        <v>165</v>
      </c>
      <c r="BT52" t="s">
        <v>176</v>
      </c>
      <c r="BU52" s="133">
        <v>10</v>
      </c>
      <c r="BV52" s="133" t="s">
        <v>198</v>
      </c>
      <c r="BW52" s="133" t="s">
        <v>165</v>
      </c>
      <c r="BX52" s="145">
        <v>23.87</v>
      </c>
      <c r="BY52" t="s">
        <v>163</v>
      </c>
      <c r="BZ52">
        <v>3</v>
      </c>
      <c r="CA52">
        <v>3</v>
      </c>
      <c r="CB52" t="s">
        <v>165</v>
      </c>
      <c r="CC52" s="146">
        <v>3.2579561031465376</v>
      </c>
      <c r="CD52" t="s">
        <v>180</v>
      </c>
      <c r="CE52" s="146">
        <v>0.13031824412586152</v>
      </c>
      <c r="CF52" s="146">
        <v>0.13031824412586152</v>
      </c>
      <c r="CG52" s="156" t="s">
        <v>165</v>
      </c>
      <c r="CH52" t="s">
        <v>207</v>
      </c>
      <c r="CI52" t="s">
        <v>165</v>
      </c>
      <c r="CJ52" t="s">
        <v>178</v>
      </c>
      <c r="CK52" t="s">
        <v>181</v>
      </c>
      <c r="CL52" t="s">
        <v>181</v>
      </c>
      <c r="CM52" t="s">
        <v>181</v>
      </c>
      <c r="CN52" t="s">
        <v>165</v>
      </c>
      <c r="CO52" t="s">
        <v>165</v>
      </c>
      <c r="CP52" t="s">
        <v>165</v>
      </c>
      <c r="CQ52" t="s">
        <v>165</v>
      </c>
      <c r="CR52" t="s">
        <v>165</v>
      </c>
      <c r="CS52" t="s">
        <v>165</v>
      </c>
      <c r="CT52" t="s">
        <v>165</v>
      </c>
      <c r="CU52">
        <v>35</v>
      </c>
      <c r="CV52" t="s">
        <v>183</v>
      </c>
      <c r="CW52" s="154">
        <v>3</v>
      </c>
      <c r="CX52" s="133" t="s">
        <v>199</v>
      </c>
      <c r="CY52" s="133" t="s">
        <v>165</v>
      </c>
      <c r="CZ52" s="133" t="s">
        <v>165</v>
      </c>
      <c r="DA52" s="133" t="s">
        <v>165</v>
      </c>
      <c r="DB52" s="133" t="s">
        <v>165</v>
      </c>
      <c r="DC52" s="133" t="s">
        <v>165</v>
      </c>
      <c r="DD52" s="133" t="s">
        <v>165</v>
      </c>
      <c r="DE52" s="133" t="s">
        <v>165</v>
      </c>
      <c r="DF52" s="133" t="s">
        <v>165</v>
      </c>
      <c r="DG52" s="133" t="s">
        <v>165</v>
      </c>
      <c r="DH52" s="133" t="s">
        <v>165</v>
      </c>
      <c r="DI52" s="133" t="s">
        <v>165</v>
      </c>
      <c r="DJ52" s="133" t="s">
        <v>165</v>
      </c>
      <c r="DK52" s="145">
        <v>432.56244218316402</v>
      </c>
      <c r="DL52" t="s">
        <v>204</v>
      </c>
      <c r="DM52">
        <v>37.1</v>
      </c>
      <c r="DN52" t="s">
        <v>205</v>
      </c>
      <c r="DO52">
        <v>39.61</v>
      </c>
      <c r="DP52" t="s">
        <v>183</v>
      </c>
      <c r="DQ52" s="146">
        <f t="shared" si="9"/>
        <v>0.11980700000000001</v>
      </c>
      <c r="DR52" t="s">
        <v>184</v>
      </c>
      <c r="DS52" t="s">
        <v>200</v>
      </c>
      <c r="DT52" t="s">
        <v>201</v>
      </c>
      <c r="DU52">
        <v>1.0271999999999999</v>
      </c>
      <c r="DV52" t="s">
        <v>165</v>
      </c>
      <c r="DW52" t="s">
        <v>165</v>
      </c>
      <c r="DX52" t="s">
        <v>197</v>
      </c>
      <c r="DY52" t="s">
        <v>181</v>
      </c>
      <c r="DZ52" t="s">
        <v>181</v>
      </c>
      <c r="EA52" t="s">
        <v>202</v>
      </c>
      <c r="EB52" t="s">
        <v>203</v>
      </c>
      <c r="EC52" s="147" t="s">
        <v>206</v>
      </c>
      <c r="ED52" s="147" t="s">
        <v>206</v>
      </c>
      <c r="EE52" s="133" t="s">
        <v>165</v>
      </c>
      <c r="EF52" s="133" t="s">
        <v>165</v>
      </c>
      <c r="EG52" s="133" t="s">
        <v>165</v>
      </c>
      <c r="EH52" t="s">
        <v>185</v>
      </c>
      <c r="EI52" t="s">
        <v>179</v>
      </c>
      <c r="EJ52" t="s">
        <v>165</v>
      </c>
      <c r="EK52">
        <v>2378</v>
      </c>
      <c r="EL52" s="147" t="s">
        <v>211</v>
      </c>
      <c r="EM52" s="147">
        <v>175</v>
      </c>
      <c r="EN52">
        <v>175</v>
      </c>
      <c r="EO52" t="s">
        <v>165</v>
      </c>
      <c r="EP52" t="s">
        <v>165</v>
      </c>
      <c r="EQ52" t="s">
        <v>165</v>
      </c>
      <c r="ER52" t="s">
        <v>165</v>
      </c>
      <c r="ES52" s="148">
        <v>8.1793679768375398</v>
      </c>
      <c r="ET52" t="s">
        <v>187</v>
      </c>
      <c r="EU52" s="133" t="s">
        <v>165</v>
      </c>
      <c r="EV52" s="133" t="s">
        <v>165</v>
      </c>
      <c r="EW52" s="149">
        <v>270.58203052195199</v>
      </c>
      <c r="EX52">
        <v>21</v>
      </c>
      <c r="EY52" t="s">
        <v>186</v>
      </c>
      <c r="EZ52" s="149">
        <v>249.58203052195199</v>
      </c>
      <c r="FA52" s="149">
        <v>37.634765353267028</v>
      </c>
      <c r="FB52" s="149">
        <v>35.604106198496993</v>
      </c>
      <c r="FC52" t="s">
        <v>176</v>
      </c>
      <c r="FD52" t="s">
        <v>188</v>
      </c>
      <c r="FE52" t="s">
        <v>165</v>
      </c>
      <c r="FF52" t="s">
        <v>165</v>
      </c>
      <c r="FG52" t="s">
        <v>165</v>
      </c>
      <c r="FH52" t="s">
        <v>165</v>
      </c>
      <c r="FI52" t="s">
        <v>165</v>
      </c>
      <c r="FJ52" t="s">
        <v>165</v>
      </c>
      <c r="FK52" t="s">
        <v>165</v>
      </c>
      <c r="FL52" t="s">
        <v>165</v>
      </c>
      <c r="FM52" t="s">
        <v>165</v>
      </c>
      <c r="FN52" t="s">
        <v>165</v>
      </c>
      <c r="FO52" t="s">
        <v>165</v>
      </c>
      <c r="FP52" t="s">
        <v>165</v>
      </c>
    </row>
    <row r="53" spans="1:172">
      <c r="A53" s="131" t="s">
        <v>154</v>
      </c>
      <c r="B53" t="s">
        <v>155</v>
      </c>
      <c r="C53">
        <v>2017</v>
      </c>
      <c r="D53" s="132" t="s">
        <v>156</v>
      </c>
      <c r="E53" s="145">
        <f t="shared" si="1"/>
        <v>211.57</v>
      </c>
      <c r="F53">
        <f t="shared" si="2"/>
        <v>2</v>
      </c>
      <c r="G53">
        <f t="shared" si="3"/>
        <v>2</v>
      </c>
      <c r="H53" s="149">
        <f t="shared" si="4"/>
        <v>280.04656068358702</v>
      </c>
      <c r="I53" s="149">
        <f t="shared" si="5"/>
        <v>42.077964824166997</v>
      </c>
      <c r="J53" s="149">
        <f t="shared" si="6"/>
        <v>39.991830857792024</v>
      </c>
      <c r="K53" t="s">
        <v>209</v>
      </c>
      <c r="L53" s="132" t="s">
        <v>210</v>
      </c>
      <c r="M53" s="1" t="s">
        <v>157</v>
      </c>
      <c r="N53" s="132" t="s">
        <v>156</v>
      </c>
      <c r="O53" t="s">
        <v>158</v>
      </c>
      <c r="P53" s="137" t="s">
        <v>159</v>
      </c>
      <c r="Q53" s="137">
        <v>2</v>
      </c>
      <c r="R53" s="137">
        <v>1</v>
      </c>
      <c r="S53" s="137">
        <v>39</v>
      </c>
      <c r="T53" s="137">
        <v>40</v>
      </c>
      <c r="U53" s="137">
        <v>7.99</v>
      </c>
      <c r="V53" s="137">
        <v>7.99</v>
      </c>
      <c r="W53" t="s">
        <v>165</v>
      </c>
      <c r="X53" t="s">
        <v>160</v>
      </c>
      <c r="Y53" s="135">
        <v>12.74</v>
      </c>
      <c r="Z53" s="135">
        <v>-78.739999999999995</v>
      </c>
      <c r="AA53" t="s">
        <v>165</v>
      </c>
      <c r="AB53" t="s">
        <v>165</v>
      </c>
      <c r="AC53">
        <v>-2839</v>
      </c>
      <c r="AD53" t="s">
        <v>165</v>
      </c>
      <c r="AE53" t="s">
        <v>165</v>
      </c>
      <c r="AF53" t="s">
        <v>165</v>
      </c>
      <c r="AG53" s="145">
        <v>211.57</v>
      </c>
      <c r="AH53" t="s">
        <v>163</v>
      </c>
      <c r="AI53">
        <v>2</v>
      </c>
      <c r="AJ53">
        <v>2</v>
      </c>
      <c r="AK53" t="s">
        <v>165</v>
      </c>
      <c r="AL53" t="s">
        <v>164</v>
      </c>
      <c r="AM53" t="s">
        <v>165</v>
      </c>
      <c r="AN53" t="s">
        <v>165</v>
      </c>
      <c r="AO53" t="s">
        <v>165</v>
      </c>
      <c r="AP53" t="s">
        <v>165</v>
      </c>
      <c r="AQ53" t="s">
        <v>165</v>
      </c>
      <c r="AR53" t="s">
        <v>165</v>
      </c>
      <c r="AS53" t="s">
        <v>165</v>
      </c>
      <c r="AT53" t="s">
        <v>165</v>
      </c>
      <c r="AU53" t="s">
        <v>166</v>
      </c>
      <c r="AV53" t="s">
        <v>167</v>
      </c>
      <c r="AW53" t="s">
        <v>168</v>
      </c>
      <c r="AX53" s="154">
        <v>2</v>
      </c>
      <c r="AY53" t="s">
        <v>169</v>
      </c>
      <c r="AZ53" t="s">
        <v>170</v>
      </c>
      <c r="BA53" t="s">
        <v>171</v>
      </c>
      <c r="BB53" t="s">
        <v>165</v>
      </c>
      <c r="BC53" s="154">
        <v>2</v>
      </c>
      <c r="BD53" s="133" t="s">
        <v>165</v>
      </c>
      <c r="BE53" s="146">
        <v>20.36</v>
      </c>
      <c r="BF53" t="s">
        <v>172</v>
      </c>
      <c r="BG53" s="146">
        <v>0.230040258</v>
      </c>
      <c r="BH53">
        <v>0.64</v>
      </c>
      <c r="BI53" t="s">
        <v>173</v>
      </c>
      <c r="BJ53">
        <v>3.4000000000000002E-2</v>
      </c>
      <c r="BK53">
        <v>9.1</v>
      </c>
      <c r="BL53" t="s">
        <v>163</v>
      </c>
      <c r="BM53">
        <v>0.56000000000000005</v>
      </c>
      <c r="BN53" t="s">
        <v>174</v>
      </c>
      <c r="BO53" t="s">
        <v>175</v>
      </c>
      <c r="BP53" s="155">
        <f t="shared" si="7"/>
        <v>19.150000000000002</v>
      </c>
      <c r="BQ53" s="133" t="s">
        <v>183</v>
      </c>
      <c r="BR53" s="133" t="s">
        <v>165</v>
      </c>
      <c r="BS53" s="133" t="s">
        <v>165</v>
      </c>
      <c r="BT53" t="s">
        <v>176</v>
      </c>
      <c r="BU53" s="133">
        <v>10</v>
      </c>
      <c r="BV53" s="133" t="s">
        <v>198</v>
      </c>
      <c r="BW53" s="133" t="s">
        <v>165</v>
      </c>
      <c r="BX53" s="145">
        <v>24.7</v>
      </c>
      <c r="BY53" t="s">
        <v>163</v>
      </c>
      <c r="BZ53">
        <v>3</v>
      </c>
      <c r="CA53">
        <v>3</v>
      </c>
      <c r="CB53" t="s">
        <v>165</v>
      </c>
      <c r="CC53" s="146">
        <v>3.5087407198133413</v>
      </c>
      <c r="CD53" t="s">
        <v>180</v>
      </c>
      <c r="CE53" s="146">
        <v>0.14034962879253365</v>
      </c>
      <c r="CF53" s="146">
        <v>0.14034962879253365</v>
      </c>
      <c r="CG53" s="156" t="s">
        <v>165</v>
      </c>
      <c r="CH53" t="s">
        <v>207</v>
      </c>
      <c r="CI53" t="s">
        <v>165</v>
      </c>
      <c r="CJ53" t="s">
        <v>178</v>
      </c>
      <c r="CK53" t="s">
        <v>181</v>
      </c>
      <c r="CL53" t="s">
        <v>181</v>
      </c>
      <c r="CM53" t="s">
        <v>181</v>
      </c>
      <c r="CN53" t="s">
        <v>165</v>
      </c>
      <c r="CO53" t="s">
        <v>165</v>
      </c>
      <c r="CP53" t="s">
        <v>165</v>
      </c>
      <c r="CQ53" t="s">
        <v>165</v>
      </c>
      <c r="CR53" t="s">
        <v>165</v>
      </c>
      <c r="CS53" t="s">
        <v>165</v>
      </c>
      <c r="CT53" t="s">
        <v>165</v>
      </c>
      <c r="CU53">
        <v>35</v>
      </c>
      <c r="CV53" t="s">
        <v>183</v>
      </c>
      <c r="CW53" s="154">
        <v>3</v>
      </c>
      <c r="CX53" s="133" t="s">
        <v>199</v>
      </c>
      <c r="CY53" s="133" t="s">
        <v>165</v>
      </c>
      <c r="CZ53" s="133" t="s">
        <v>165</v>
      </c>
      <c r="DA53" s="133" t="s">
        <v>165</v>
      </c>
      <c r="DB53" s="133" t="s">
        <v>165</v>
      </c>
      <c r="DC53" s="133" t="s">
        <v>165</v>
      </c>
      <c r="DD53" s="133" t="s">
        <v>165</v>
      </c>
      <c r="DE53" s="133" t="s">
        <v>165</v>
      </c>
      <c r="DF53" s="133" t="s">
        <v>165</v>
      </c>
      <c r="DG53" s="133" t="s">
        <v>165</v>
      </c>
      <c r="DH53" s="133" t="s">
        <v>165</v>
      </c>
      <c r="DI53" s="133" t="s">
        <v>165</v>
      </c>
      <c r="DJ53" s="133" t="s">
        <v>165</v>
      </c>
      <c r="DK53" s="145">
        <v>432.56244218316402</v>
      </c>
      <c r="DL53" t="s">
        <v>204</v>
      </c>
      <c r="DM53">
        <v>37.1</v>
      </c>
      <c r="DN53" t="s">
        <v>205</v>
      </c>
      <c r="DO53">
        <v>39.61</v>
      </c>
      <c r="DP53" t="s">
        <v>183</v>
      </c>
      <c r="DQ53" s="146">
        <f t="shared" si="9"/>
        <v>0.121157</v>
      </c>
      <c r="DR53" t="s">
        <v>184</v>
      </c>
      <c r="DS53" t="s">
        <v>200</v>
      </c>
      <c r="DT53" t="s">
        <v>201</v>
      </c>
      <c r="DU53">
        <v>1.0271999999999999</v>
      </c>
      <c r="DV53" t="s">
        <v>165</v>
      </c>
      <c r="DW53" t="s">
        <v>165</v>
      </c>
      <c r="DX53" t="s">
        <v>197</v>
      </c>
      <c r="DY53" t="s">
        <v>181</v>
      </c>
      <c r="DZ53" t="s">
        <v>181</v>
      </c>
      <c r="EA53" t="s">
        <v>202</v>
      </c>
      <c r="EB53" t="s">
        <v>203</v>
      </c>
      <c r="EC53" s="147" t="s">
        <v>206</v>
      </c>
      <c r="ED53" s="147" t="s">
        <v>206</v>
      </c>
      <c r="EE53" s="133" t="s">
        <v>165</v>
      </c>
      <c r="EF53" s="133" t="s">
        <v>165</v>
      </c>
      <c r="EG53" s="133" t="s">
        <v>165</v>
      </c>
      <c r="EH53" t="s">
        <v>185</v>
      </c>
      <c r="EI53" t="s">
        <v>179</v>
      </c>
      <c r="EJ53" t="s">
        <v>165</v>
      </c>
      <c r="EK53">
        <v>2379</v>
      </c>
      <c r="EL53" s="147" t="s">
        <v>211</v>
      </c>
      <c r="EM53" s="147">
        <v>175</v>
      </c>
      <c r="EN53">
        <v>175</v>
      </c>
      <c r="EO53" t="s">
        <v>165</v>
      </c>
      <c r="EP53" t="s">
        <v>165</v>
      </c>
      <c r="EQ53" t="s">
        <v>165</v>
      </c>
      <c r="ER53" t="s">
        <v>165</v>
      </c>
      <c r="ES53" s="148">
        <v>8.1420225309711594</v>
      </c>
      <c r="ET53" t="s">
        <v>187</v>
      </c>
      <c r="EU53" s="133" t="s">
        <v>165</v>
      </c>
      <c r="EV53" s="133" t="s">
        <v>165</v>
      </c>
      <c r="EW53" s="149">
        <v>301.04656068358702</v>
      </c>
      <c r="EX53">
        <v>21</v>
      </c>
      <c r="EY53" t="s">
        <v>186</v>
      </c>
      <c r="EZ53" s="149">
        <v>280.04656068358702</v>
      </c>
      <c r="FA53" s="149">
        <v>42.077964824166997</v>
      </c>
      <c r="FB53" s="149">
        <v>39.991830857792024</v>
      </c>
      <c r="FC53" t="s">
        <v>176</v>
      </c>
      <c r="FD53" t="s">
        <v>188</v>
      </c>
      <c r="FE53" t="s">
        <v>165</v>
      </c>
      <c r="FF53" t="s">
        <v>165</v>
      </c>
      <c r="FG53" t="s">
        <v>165</v>
      </c>
      <c r="FH53" t="s">
        <v>165</v>
      </c>
      <c r="FI53" t="s">
        <v>165</v>
      </c>
      <c r="FJ53" t="s">
        <v>165</v>
      </c>
      <c r="FK53" t="s">
        <v>165</v>
      </c>
      <c r="FL53" t="s">
        <v>165</v>
      </c>
      <c r="FM53" t="s">
        <v>165</v>
      </c>
      <c r="FN53" t="s">
        <v>165</v>
      </c>
      <c r="FO53" t="s">
        <v>165</v>
      </c>
      <c r="FP53" t="s">
        <v>165</v>
      </c>
    </row>
    <row r="54" spans="1:172">
      <c r="A54" s="131" t="s">
        <v>154</v>
      </c>
      <c r="B54" t="s">
        <v>155</v>
      </c>
      <c r="C54">
        <v>2017</v>
      </c>
      <c r="D54" s="132" t="s">
        <v>156</v>
      </c>
      <c r="E54" s="145">
        <f t="shared" si="1"/>
        <v>220.44</v>
      </c>
      <c r="F54">
        <f t="shared" si="2"/>
        <v>2</v>
      </c>
      <c r="G54">
        <f t="shared" si="3"/>
        <v>2</v>
      </c>
      <c r="H54" s="149">
        <f t="shared" si="4"/>
        <v>261.43654812240698</v>
      </c>
      <c r="I54" s="149">
        <f t="shared" si="5"/>
        <v>39.599740987834025</v>
      </c>
      <c r="J54" s="149">
        <f t="shared" si="6"/>
        <v>35.698357648331978</v>
      </c>
      <c r="K54" t="s">
        <v>209</v>
      </c>
      <c r="L54" s="132" t="s">
        <v>210</v>
      </c>
      <c r="M54" s="1" t="s">
        <v>157</v>
      </c>
      <c r="N54" s="132" t="s">
        <v>156</v>
      </c>
      <c r="O54" t="s">
        <v>158</v>
      </c>
      <c r="P54" s="136" t="s">
        <v>159</v>
      </c>
      <c r="Q54" s="136">
        <v>2</v>
      </c>
      <c r="R54" s="136">
        <v>1</v>
      </c>
      <c r="S54" s="136">
        <v>59</v>
      </c>
      <c r="T54" s="136">
        <f t="shared" ref="T54:T60" si="11">S54+2</f>
        <v>61</v>
      </c>
      <c r="U54" s="136">
        <v>8.19</v>
      </c>
      <c r="V54" s="136">
        <v>8.19</v>
      </c>
      <c r="W54" t="s">
        <v>165</v>
      </c>
      <c r="X54" t="s">
        <v>160</v>
      </c>
      <c r="Y54" s="135">
        <v>12.74</v>
      </c>
      <c r="Z54" s="135">
        <v>-78.739999999999995</v>
      </c>
      <c r="AA54" t="s">
        <v>165</v>
      </c>
      <c r="AB54" t="s">
        <v>165</v>
      </c>
      <c r="AC54">
        <v>-2839</v>
      </c>
      <c r="AD54" t="s">
        <v>165</v>
      </c>
      <c r="AE54" t="s">
        <v>165</v>
      </c>
      <c r="AF54" t="s">
        <v>165</v>
      </c>
      <c r="AG54" s="145">
        <v>220.44</v>
      </c>
      <c r="AH54" t="s">
        <v>163</v>
      </c>
      <c r="AI54">
        <v>2</v>
      </c>
      <c r="AJ54">
        <v>2</v>
      </c>
      <c r="AK54" t="s">
        <v>165</v>
      </c>
      <c r="AL54" t="s">
        <v>164</v>
      </c>
      <c r="AM54" t="s">
        <v>165</v>
      </c>
      <c r="AN54" t="s">
        <v>165</v>
      </c>
      <c r="AO54" t="s">
        <v>165</v>
      </c>
      <c r="AP54" t="s">
        <v>165</v>
      </c>
      <c r="AQ54" t="s">
        <v>165</v>
      </c>
      <c r="AR54" t="s">
        <v>165</v>
      </c>
      <c r="AS54" t="s">
        <v>165</v>
      </c>
      <c r="AT54" t="s">
        <v>165</v>
      </c>
      <c r="AU54" t="s">
        <v>166</v>
      </c>
      <c r="AV54" t="s">
        <v>167</v>
      </c>
      <c r="AW54" t="s">
        <v>168</v>
      </c>
      <c r="AX54" s="154">
        <v>2</v>
      </c>
      <c r="AY54" t="s">
        <v>169</v>
      </c>
      <c r="AZ54" t="s">
        <v>170</v>
      </c>
      <c r="BA54" t="s">
        <v>171</v>
      </c>
      <c r="BB54" t="s">
        <v>165</v>
      </c>
      <c r="BC54" s="154">
        <v>2</v>
      </c>
      <c r="BD54" s="133" t="s">
        <v>165</v>
      </c>
      <c r="BE54" s="146">
        <v>20.668151049999999</v>
      </c>
      <c r="BF54" t="s">
        <v>172</v>
      </c>
      <c r="BG54" s="146">
        <v>0.19394533799999999</v>
      </c>
      <c r="BH54">
        <v>0.64</v>
      </c>
      <c r="BI54" t="s">
        <v>173</v>
      </c>
      <c r="BJ54">
        <v>3.4000000000000002E-2</v>
      </c>
      <c r="BK54">
        <v>9.1</v>
      </c>
      <c r="BL54" t="s">
        <v>163</v>
      </c>
      <c r="BM54">
        <v>0.56000000000000005</v>
      </c>
      <c r="BN54" t="s">
        <v>174</v>
      </c>
      <c r="BO54" t="s">
        <v>175</v>
      </c>
      <c r="BP54" s="155">
        <f t="shared" si="7"/>
        <v>19.663585083333334</v>
      </c>
      <c r="BQ54" s="133" t="s">
        <v>183</v>
      </c>
      <c r="BR54" s="133" t="s">
        <v>165</v>
      </c>
      <c r="BS54" s="133" t="s">
        <v>165</v>
      </c>
      <c r="BT54" t="s">
        <v>176</v>
      </c>
      <c r="BU54" s="133">
        <v>10</v>
      </c>
      <c r="BV54" s="133" t="s">
        <v>198</v>
      </c>
      <c r="BW54" s="133" t="s">
        <v>165</v>
      </c>
      <c r="BX54" s="145">
        <v>26.81</v>
      </c>
      <c r="BY54" t="s">
        <v>163</v>
      </c>
      <c r="BZ54">
        <v>3</v>
      </c>
      <c r="CA54">
        <v>3</v>
      </c>
      <c r="CB54" t="s">
        <v>165</v>
      </c>
      <c r="CC54" s="146">
        <v>4.2431889571484911</v>
      </c>
      <c r="CD54" t="s">
        <v>180</v>
      </c>
      <c r="CE54" s="146">
        <v>0.16972755828593963</v>
      </c>
      <c r="CF54" s="146">
        <v>0.16972755828593963</v>
      </c>
      <c r="CG54" s="156" t="s">
        <v>165</v>
      </c>
      <c r="CH54" t="s">
        <v>207</v>
      </c>
      <c r="CI54" t="s">
        <v>165</v>
      </c>
      <c r="CJ54" t="s">
        <v>178</v>
      </c>
      <c r="CK54" t="s">
        <v>181</v>
      </c>
      <c r="CL54" t="s">
        <v>181</v>
      </c>
      <c r="CM54" t="s">
        <v>181</v>
      </c>
      <c r="CN54" t="s">
        <v>165</v>
      </c>
      <c r="CO54" t="s">
        <v>165</v>
      </c>
      <c r="CP54" t="s">
        <v>165</v>
      </c>
      <c r="CQ54" t="s">
        <v>165</v>
      </c>
      <c r="CR54" t="s">
        <v>165</v>
      </c>
      <c r="CS54" t="s">
        <v>165</v>
      </c>
      <c r="CT54" t="s">
        <v>165</v>
      </c>
      <c r="CU54">
        <v>35</v>
      </c>
      <c r="CV54" t="s">
        <v>183</v>
      </c>
      <c r="CW54" s="154">
        <v>3</v>
      </c>
      <c r="CX54" s="133" t="s">
        <v>199</v>
      </c>
      <c r="CY54" s="133" t="s">
        <v>165</v>
      </c>
      <c r="CZ54" s="133" t="s">
        <v>165</v>
      </c>
      <c r="DA54" s="133" t="s">
        <v>165</v>
      </c>
      <c r="DB54" s="133" t="s">
        <v>165</v>
      </c>
      <c r="DC54" s="133" t="s">
        <v>165</v>
      </c>
      <c r="DD54" s="133" t="s">
        <v>165</v>
      </c>
      <c r="DE54" s="133" t="s">
        <v>165</v>
      </c>
      <c r="DF54" s="133" t="s">
        <v>165</v>
      </c>
      <c r="DG54" s="133" t="s">
        <v>165</v>
      </c>
      <c r="DH54" s="133" t="s">
        <v>165</v>
      </c>
      <c r="DI54" s="133" t="s">
        <v>165</v>
      </c>
      <c r="DJ54" s="133" t="s">
        <v>165</v>
      </c>
      <c r="DK54" s="145">
        <v>432.56244218316402</v>
      </c>
      <c r="DL54" t="s">
        <v>204</v>
      </c>
      <c r="DM54">
        <v>37.1</v>
      </c>
      <c r="DN54" t="s">
        <v>205</v>
      </c>
      <c r="DO54">
        <v>39.61</v>
      </c>
      <c r="DP54" t="s">
        <v>183</v>
      </c>
      <c r="DQ54" s="146">
        <f t="shared" si="9"/>
        <v>0.12204400000000001</v>
      </c>
      <c r="DR54" t="s">
        <v>184</v>
      </c>
      <c r="DS54" t="s">
        <v>200</v>
      </c>
      <c r="DT54" t="s">
        <v>201</v>
      </c>
      <c r="DU54">
        <v>1.0271999999999999</v>
      </c>
      <c r="DV54" t="s">
        <v>165</v>
      </c>
      <c r="DW54" t="s">
        <v>165</v>
      </c>
      <c r="DX54" t="s">
        <v>197</v>
      </c>
      <c r="DY54" t="s">
        <v>181</v>
      </c>
      <c r="DZ54" t="s">
        <v>181</v>
      </c>
      <c r="EA54" t="s">
        <v>202</v>
      </c>
      <c r="EB54" t="s">
        <v>203</v>
      </c>
      <c r="EC54" s="147" t="s">
        <v>206</v>
      </c>
      <c r="ED54" s="147" t="s">
        <v>206</v>
      </c>
      <c r="EE54" s="133" t="s">
        <v>165</v>
      </c>
      <c r="EF54" s="133" t="s">
        <v>165</v>
      </c>
      <c r="EG54" s="133" t="s">
        <v>165</v>
      </c>
      <c r="EH54" t="s">
        <v>185</v>
      </c>
      <c r="EI54" t="s">
        <v>179</v>
      </c>
      <c r="EJ54" t="s">
        <v>165</v>
      </c>
      <c r="EK54">
        <v>2380</v>
      </c>
      <c r="EL54" s="147" t="s">
        <v>211</v>
      </c>
      <c r="EM54" s="147">
        <v>175</v>
      </c>
      <c r="EN54">
        <v>175</v>
      </c>
      <c r="EO54" t="s">
        <v>165</v>
      </c>
      <c r="EP54" t="s">
        <v>165</v>
      </c>
      <c r="EQ54" t="s">
        <v>165</v>
      </c>
      <c r="ER54" t="s">
        <v>165</v>
      </c>
      <c r="ES54" s="148">
        <v>8.1602270773994192</v>
      </c>
      <c r="ET54" t="s">
        <v>187</v>
      </c>
      <c r="EU54" s="133" t="s">
        <v>165</v>
      </c>
      <c r="EV54" s="133" t="s">
        <v>165</v>
      </c>
      <c r="EW54" s="149">
        <v>282.43654812240698</v>
      </c>
      <c r="EX54">
        <v>21</v>
      </c>
      <c r="EY54" t="s">
        <v>186</v>
      </c>
      <c r="EZ54" s="149">
        <v>261.43654812240698</v>
      </c>
      <c r="FA54" s="149">
        <v>39.599740987834025</v>
      </c>
      <c r="FB54" s="149">
        <v>35.698357648331978</v>
      </c>
      <c r="FC54" t="s">
        <v>176</v>
      </c>
      <c r="FD54" t="s">
        <v>188</v>
      </c>
      <c r="FE54" t="s">
        <v>165</v>
      </c>
      <c r="FF54" t="s">
        <v>165</v>
      </c>
      <c r="FG54" t="s">
        <v>165</v>
      </c>
      <c r="FH54" t="s">
        <v>165</v>
      </c>
      <c r="FI54" t="s">
        <v>165</v>
      </c>
      <c r="FJ54" t="s">
        <v>165</v>
      </c>
      <c r="FK54" t="s">
        <v>165</v>
      </c>
      <c r="FL54" t="s">
        <v>165</v>
      </c>
      <c r="FM54" t="s">
        <v>165</v>
      </c>
      <c r="FN54" t="s">
        <v>165</v>
      </c>
      <c r="FO54" t="s">
        <v>165</v>
      </c>
      <c r="FP54" t="s">
        <v>165</v>
      </c>
    </row>
    <row r="55" spans="1:172">
      <c r="A55" s="131" t="s">
        <v>154</v>
      </c>
      <c r="B55" t="s">
        <v>155</v>
      </c>
      <c r="C55">
        <v>2017</v>
      </c>
      <c r="D55" s="132" t="s">
        <v>156</v>
      </c>
      <c r="E55" s="145">
        <f t="shared" si="1"/>
        <v>223.66</v>
      </c>
      <c r="F55">
        <f t="shared" si="2"/>
        <v>2</v>
      </c>
      <c r="G55">
        <f t="shared" si="3"/>
        <v>2</v>
      </c>
      <c r="H55" s="149">
        <f t="shared" si="4"/>
        <v>259.57532769126101</v>
      </c>
      <c r="I55" s="149">
        <f t="shared" si="5"/>
        <v>41.290359008354983</v>
      </c>
      <c r="J55" s="149">
        <f t="shared" si="6"/>
        <v>37.832972891128009</v>
      </c>
      <c r="K55" t="s">
        <v>209</v>
      </c>
      <c r="L55" s="132" t="s">
        <v>210</v>
      </c>
      <c r="M55" s="1" t="s">
        <v>157</v>
      </c>
      <c r="N55" s="132" t="s">
        <v>156</v>
      </c>
      <c r="O55" t="s">
        <v>158</v>
      </c>
      <c r="P55" s="136" t="s">
        <v>159</v>
      </c>
      <c r="Q55" s="136">
        <v>2</v>
      </c>
      <c r="R55" s="136">
        <v>1</v>
      </c>
      <c r="S55" s="136">
        <v>69</v>
      </c>
      <c r="T55" s="136">
        <f t="shared" si="11"/>
        <v>71</v>
      </c>
      <c r="U55" s="136">
        <v>8.2899999999999991</v>
      </c>
      <c r="V55" s="136">
        <v>8.2899999999999991</v>
      </c>
      <c r="W55" t="s">
        <v>165</v>
      </c>
      <c r="X55" t="s">
        <v>160</v>
      </c>
      <c r="Y55" s="135">
        <v>12.74</v>
      </c>
      <c r="Z55" s="135">
        <v>-78.739999999999995</v>
      </c>
      <c r="AA55" t="s">
        <v>165</v>
      </c>
      <c r="AB55" t="s">
        <v>165</v>
      </c>
      <c r="AC55">
        <v>-2839</v>
      </c>
      <c r="AD55" t="s">
        <v>165</v>
      </c>
      <c r="AE55" t="s">
        <v>165</v>
      </c>
      <c r="AF55" t="s">
        <v>165</v>
      </c>
      <c r="AG55" s="145">
        <v>223.66</v>
      </c>
      <c r="AH55" t="s">
        <v>163</v>
      </c>
      <c r="AI55">
        <v>2</v>
      </c>
      <c r="AJ55">
        <v>2</v>
      </c>
      <c r="AK55" t="s">
        <v>165</v>
      </c>
      <c r="AL55" t="s">
        <v>164</v>
      </c>
      <c r="AM55" t="s">
        <v>165</v>
      </c>
      <c r="AN55" t="s">
        <v>165</v>
      </c>
      <c r="AO55" t="s">
        <v>165</v>
      </c>
      <c r="AP55" t="s">
        <v>165</v>
      </c>
      <c r="AQ55" t="s">
        <v>165</v>
      </c>
      <c r="AR55" t="s">
        <v>165</v>
      </c>
      <c r="AS55" t="s">
        <v>165</v>
      </c>
      <c r="AT55" t="s">
        <v>165</v>
      </c>
      <c r="AU55" t="s">
        <v>166</v>
      </c>
      <c r="AV55" t="s">
        <v>167</v>
      </c>
      <c r="AW55" t="s">
        <v>168</v>
      </c>
      <c r="AX55" s="154">
        <v>2</v>
      </c>
      <c r="AY55" t="s">
        <v>169</v>
      </c>
      <c r="AZ55" t="s">
        <v>170</v>
      </c>
      <c r="BA55" t="s">
        <v>171</v>
      </c>
      <c r="BB55" t="s">
        <v>165</v>
      </c>
      <c r="BC55" s="154">
        <v>2</v>
      </c>
      <c r="BD55" s="133" t="s">
        <v>165</v>
      </c>
      <c r="BE55" s="146">
        <v>20.67404603</v>
      </c>
      <c r="BF55" t="s">
        <v>172</v>
      </c>
      <c r="BG55" s="146">
        <v>0.26760005199999998</v>
      </c>
      <c r="BH55">
        <v>0.64</v>
      </c>
      <c r="BI55" t="s">
        <v>173</v>
      </c>
      <c r="BJ55">
        <v>3.4000000000000002E-2</v>
      </c>
      <c r="BK55">
        <v>9.1</v>
      </c>
      <c r="BL55" t="s">
        <v>163</v>
      </c>
      <c r="BM55">
        <v>0.56000000000000005</v>
      </c>
      <c r="BN55" t="s">
        <v>174</v>
      </c>
      <c r="BO55" t="s">
        <v>175</v>
      </c>
      <c r="BP55" s="155">
        <f t="shared" si="7"/>
        <v>19.673410050000001</v>
      </c>
      <c r="BQ55" s="133" t="s">
        <v>183</v>
      </c>
      <c r="BR55" s="133" t="s">
        <v>165</v>
      </c>
      <c r="BS55" s="133" t="s">
        <v>165</v>
      </c>
      <c r="BT55" t="s">
        <v>176</v>
      </c>
      <c r="BU55" s="133">
        <v>10</v>
      </c>
      <c r="BV55" s="133" t="s">
        <v>198</v>
      </c>
      <c r="BW55" s="133" t="s">
        <v>165</v>
      </c>
      <c r="BX55" s="145">
        <v>26.67</v>
      </c>
      <c r="BY55" t="s">
        <v>163</v>
      </c>
      <c r="BZ55">
        <v>3</v>
      </c>
      <c r="CA55">
        <v>3</v>
      </c>
      <c r="CB55" t="s">
        <v>165</v>
      </c>
      <c r="CC55" s="146">
        <v>4.1891310946354992</v>
      </c>
      <c r="CD55" t="s">
        <v>180</v>
      </c>
      <c r="CE55" s="146">
        <v>0.16756524378541998</v>
      </c>
      <c r="CF55" s="146">
        <v>0.16756524378541998</v>
      </c>
      <c r="CG55" s="156" t="s">
        <v>165</v>
      </c>
      <c r="CH55" t="s">
        <v>207</v>
      </c>
      <c r="CI55" t="s">
        <v>165</v>
      </c>
      <c r="CJ55" t="s">
        <v>178</v>
      </c>
      <c r="CK55" t="s">
        <v>181</v>
      </c>
      <c r="CL55" t="s">
        <v>181</v>
      </c>
      <c r="CM55" t="s">
        <v>181</v>
      </c>
      <c r="CN55" t="s">
        <v>165</v>
      </c>
      <c r="CO55" t="s">
        <v>165</v>
      </c>
      <c r="CP55" t="s">
        <v>165</v>
      </c>
      <c r="CQ55" t="s">
        <v>165</v>
      </c>
      <c r="CR55" t="s">
        <v>165</v>
      </c>
      <c r="CS55" t="s">
        <v>165</v>
      </c>
      <c r="CT55" t="s">
        <v>165</v>
      </c>
      <c r="CU55">
        <v>35</v>
      </c>
      <c r="CV55" t="s">
        <v>183</v>
      </c>
      <c r="CW55" s="154">
        <v>3</v>
      </c>
      <c r="CX55" s="133" t="s">
        <v>199</v>
      </c>
      <c r="CY55" s="133" t="s">
        <v>165</v>
      </c>
      <c r="CZ55" s="133" t="s">
        <v>165</v>
      </c>
      <c r="DA55" s="133" t="s">
        <v>165</v>
      </c>
      <c r="DB55" s="133" t="s">
        <v>165</v>
      </c>
      <c r="DC55" s="133" t="s">
        <v>165</v>
      </c>
      <c r="DD55" s="133" t="s">
        <v>165</v>
      </c>
      <c r="DE55" s="133" t="s">
        <v>165</v>
      </c>
      <c r="DF55" s="133" t="s">
        <v>165</v>
      </c>
      <c r="DG55" s="133" t="s">
        <v>165</v>
      </c>
      <c r="DH55" s="133" t="s">
        <v>165</v>
      </c>
      <c r="DI55" s="133" t="s">
        <v>165</v>
      </c>
      <c r="DJ55" s="133" t="s">
        <v>165</v>
      </c>
      <c r="DK55" s="145">
        <v>432.56244218316402</v>
      </c>
      <c r="DL55" t="s">
        <v>204</v>
      </c>
      <c r="DM55">
        <v>37.1</v>
      </c>
      <c r="DN55" t="s">
        <v>205</v>
      </c>
      <c r="DO55">
        <v>39.61</v>
      </c>
      <c r="DP55" t="s">
        <v>183</v>
      </c>
      <c r="DQ55" s="146">
        <f t="shared" si="9"/>
        <v>0.122366</v>
      </c>
      <c r="DR55" t="s">
        <v>184</v>
      </c>
      <c r="DS55" t="s">
        <v>200</v>
      </c>
      <c r="DT55" t="s">
        <v>201</v>
      </c>
      <c r="DU55">
        <v>1.0271999999999999</v>
      </c>
      <c r="DV55" t="s">
        <v>165</v>
      </c>
      <c r="DW55" t="s">
        <v>165</v>
      </c>
      <c r="DX55" t="s">
        <v>197</v>
      </c>
      <c r="DY55" t="s">
        <v>181</v>
      </c>
      <c r="DZ55" t="s">
        <v>181</v>
      </c>
      <c r="EA55" t="s">
        <v>202</v>
      </c>
      <c r="EB55" t="s">
        <v>203</v>
      </c>
      <c r="EC55" s="147" t="s">
        <v>206</v>
      </c>
      <c r="ED55" s="147" t="s">
        <v>206</v>
      </c>
      <c r="EE55" s="133" t="s">
        <v>165</v>
      </c>
      <c r="EF55" s="133" t="s">
        <v>165</v>
      </c>
      <c r="EG55" s="133" t="s">
        <v>165</v>
      </c>
      <c r="EH55" t="s">
        <v>185</v>
      </c>
      <c r="EI55" t="s">
        <v>179</v>
      </c>
      <c r="EJ55" t="s">
        <v>165</v>
      </c>
      <c r="EK55">
        <v>2381</v>
      </c>
      <c r="EL55" s="147" t="s">
        <v>211</v>
      </c>
      <c r="EM55" s="147">
        <v>175</v>
      </c>
      <c r="EN55">
        <v>175</v>
      </c>
      <c r="EO55" t="s">
        <v>165</v>
      </c>
      <c r="EP55" t="s">
        <v>165</v>
      </c>
      <c r="EQ55" t="s">
        <v>165</v>
      </c>
      <c r="ER55" t="s">
        <v>165</v>
      </c>
      <c r="ES55" s="148">
        <v>8.1627395075807101</v>
      </c>
      <c r="ET55" t="s">
        <v>187</v>
      </c>
      <c r="EU55" s="133" t="s">
        <v>165</v>
      </c>
      <c r="EV55" s="133" t="s">
        <v>165</v>
      </c>
      <c r="EW55" s="149">
        <v>280.57532769126101</v>
      </c>
      <c r="EX55">
        <v>21</v>
      </c>
      <c r="EY55" t="s">
        <v>186</v>
      </c>
      <c r="EZ55" s="149">
        <v>259.57532769126101</v>
      </c>
      <c r="FA55" s="149">
        <v>41.290359008354983</v>
      </c>
      <c r="FB55" s="149">
        <v>37.832972891128009</v>
      </c>
      <c r="FC55" t="s">
        <v>176</v>
      </c>
      <c r="FD55" t="s">
        <v>188</v>
      </c>
      <c r="FE55" t="s">
        <v>165</v>
      </c>
      <c r="FF55" t="s">
        <v>165</v>
      </c>
      <c r="FG55" t="s">
        <v>165</v>
      </c>
      <c r="FH55" t="s">
        <v>165</v>
      </c>
      <c r="FI55" t="s">
        <v>165</v>
      </c>
      <c r="FJ55" t="s">
        <v>165</v>
      </c>
      <c r="FK55" t="s">
        <v>165</v>
      </c>
      <c r="FL55" t="s">
        <v>165</v>
      </c>
      <c r="FM55" t="s">
        <v>165</v>
      </c>
      <c r="FN55" t="s">
        <v>165</v>
      </c>
      <c r="FO55" t="s">
        <v>165</v>
      </c>
      <c r="FP55" t="s">
        <v>165</v>
      </c>
    </row>
    <row r="56" spans="1:172">
      <c r="A56" s="131" t="s">
        <v>154</v>
      </c>
      <c r="B56" t="s">
        <v>155</v>
      </c>
      <c r="C56">
        <v>2017</v>
      </c>
      <c r="D56" s="132" t="s">
        <v>156</v>
      </c>
      <c r="E56" s="145">
        <f t="shared" si="1"/>
        <v>227.1</v>
      </c>
      <c r="F56">
        <f t="shared" si="2"/>
        <v>2</v>
      </c>
      <c r="G56">
        <f t="shared" si="3"/>
        <v>2</v>
      </c>
      <c r="H56" s="149">
        <f t="shared" si="4"/>
        <v>232.906235275353</v>
      </c>
      <c r="I56" s="149">
        <f t="shared" si="5"/>
        <v>36.975042480617986</v>
      </c>
      <c r="J56" s="149">
        <f t="shared" si="6"/>
        <v>34.283580552880011</v>
      </c>
      <c r="K56" t="s">
        <v>209</v>
      </c>
      <c r="L56" s="132" t="s">
        <v>210</v>
      </c>
      <c r="M56" s="1" t="s">
        <v>157</v>
      </c>
      <c r="N56" s="132" t="s">
        <v>156</v>
      </c>
      <c r="O56" t="s">
        <v>158</v>
      </c>
      <c r="P56" s="136" t="s">
        <v>159</v>
      </c>
      <c r="Q56" s="136">
        <v>2</v>
      </c>
      <c r="R56" s="136">
        <v>1</v>
      </c>
      <c r="S56" s="136">
        <v>91</v>
      </c>
      <c r="T56" s="136">
        <f t="shared" si="11"/>
        <v>93</v>
      </c>
      <c r="U56" s="136">
        <v>8.51</v>
      </c>
      <c r="V56" s="136">
        <v>8.51</v>
      </c>
      <c r="W56" t="s">
        <v>165</v>
      </c>
      <c r="X56" t="s">
        <v>160</v>
      </c>
      <c r="Y56" s="135">
        <v>12.74</v>
      </c>
      <c r="Z56" s="135">
        <v>-78.739999999999995</v>
      </c>
      <c r="AA56" t="s">
        <v>165</v>
      </c>
      <c r="AB56" t="s">
        <v>165</v>
      </c>
      <c r="AC56">
        <v>-2839</v>
      </c>
      <c r="AD56" t="s">
        <v>165</v>
      </c>
      <c r="AE56" t="s">
        <v>165</v>
      </c>
      <c r="AF56" t="s">
        <v>165</v>
      </c>
      <c r="AG56" s="145">
        <v>227.1</v>
      </c>
      <c r="AH56" t="s">
        <v>163</v>
      </c>
      <c r="AI56">
        <v>2</v>
      </c>
      <c r="AJ56">
        <v>2</v>
      </c>
      <c r="AK56" t="s">
        <v>165</v>
      </c>
      <c r="AL56" t="s">
        <v>164</v>
      </c>
      <c r="AM56" t="s">
        <v>165</v>
      </c>
      <c r="AN56" t="s">
        <v>165</v>
      </c>
      <c r="AO56" t="s">
        <v>165</v>
      </c>
      <c r="AP56" t="s">
        <v>165</v>
      </c>
      <c r="AQ56" t="s">
        <v>165</v>
      </c>
      <c r="AR56" t="s">
        <v>165</v>
      </c>
      <c r="AS56" t="s">
        <v>165</v>
      </c>
      <c r="AT56" t="s">
        <v>165</v>
      </c>
      <c r="AU56" t="s">
        <v>166</v>
      </c>
      <c r="AV56" t="s">
        <v>167</v>
      </c>
      <c r="AW56" t="s">
        <v>168</v>
      </c>
      <c r="AX56" s="154">
        <v>2</v>
      </c>
      <c r="AY56" t="s">
        <v>169</v>
      </c>
      <c r="AZ56" t="s">
        <v>170</v>
      </c>
      <c r="BA56" t="s">
        <v>171</v>
      </c>
      <c r="BB56" t="s">
        <v>165</v>
      </c>
      <c r="BC56" s="154">
        <v>2</v>
      </c>
      <c r="BD56" s="133" t="s">
        <v>165</v>
      </c>
      <c r="BE56" s="146">
        <v>20.822770420000001</v>
      </c>
      <c r="BF56" t="s">
        <v>172</v>
      </c>
      <c r="BG56" s="146">
        <v>0.235569734</v>
      </c>
      <c r="BH56">
        <v>0.64</v>
      </c>
      <c r="BI56" t="s">
        <v>173</v>
      </c>
      <c r="BJ56">
        <v>3.4000000000000002E-2</v>
      </c>
      <c r="BK56">
        <v>9.1</v>
      </c>
      <c r="BL56" t="s">
        <v>163</v>
      </c>
      <c r="BM56">
        <v>0.56000000000000005</v>
      </c>
      <c r="BN56" t="s">
        <v>174</v>
      </c>
      <c r="BO56" t="s">
        <v>175</v>
      </c>
      <c r="BP56" s="155">
        <f t="shared" si="7"/>
        <v>19.921284033333336</v>
      </c>
      <c r="BQ56" s="133" t="s">
        <v>183</v>
      </c>
      <c r="BR56" s="133" t="s">
        <v>165</v>
      </c>
      <c r="BS56" s="133" t="s">
        <v>165</v>
      </c>
      <c r="BT56" t="s">
        <v>176</v>
      </c>
      <c r="BU56" s="133">
        <v>10</v>
      </c>
      <c r="BV56" s="133" t="s">
        <v>198</v>
      </c>
      <c r="BW56" s="133" t="s">
        <v>165</v>
      </c>
      <c r="BX56" s="145">
        <v>25.31</v>
      </c>
      <c r="BY56" t="s">
        <v>163</v>
      </c>
      <c r="BZ56">
        <v>3</v>
      </c>
      <c r="CA56">
        <v>3</v>
      </c>
      <c r="CB56" t="s">
        <v>165</v>
      </c>
      <c r="CC56" s="146">
        <v>3.7072720722499999</v>
      </c>
      <c r="CD56" t="s">
        <v>180</v>
      </c>
      <c r="CE56" s="146">
        <v>0.14829088289</v>
      </c>
      <c r="CF56" s="146">
        <v>0.14829088289</v>
      </c>
      <c r="CG56" s="156" t="s">
        <v>165</v>
      </c>
      <c r="CH56" t="s">
        <v>207</v>
      </c>
      <c r="CI56" t="s">
        <v>165</v>
      </c>
      <c r="CJ56" t="s">
        <v>178</v>
      </c>
      <c r="CK56" t="s">
        <v>181</v>
      </c>
      <c r="CL56" t="s">
        <v>181</v>
      </c>
      <c r="CM56" t="s">
        <v>181</v>
      </c>
      <c r="CN56" t="s">
        <v>165</v>
      </c>
      <c r="CO56" t="s">
        <v>165</v>
      </c>
      <c r="CP56" t="s">
        <v>165</v>
      </c>
      <c r="CQ56" t="s">
        <v>165</v>
      </c>
      <c r="CR56" t="s">
        <v>165</v>
      </c>
      <c r="CS56" t="s">
        <v>165</v>
      </c>
      <c r="CT56" t="s">
        <v>165</v>
      </c>
      <c r="CU56">
        <v>35</v>
      </c>
      <c r="CV56" t="s">
        <v>183</v>
      </c>
      <c r="CW56" s="154">
        <v>3</v>
      </c>
      <c r="CX56" s="133" t="s">
        <v>199</v>
      </c>
      <c r="CY56" s="133" t="s">
        <v>165</v>
      </c>
      <c r="CZ56" s="133" t="s">
        <v>165</v>
      </c>
      <c r="DA56" s="133" t="s">
        <v>165</v>
      </c>
      <c r="DB56" s="133" t="s">
        <v>165</v>
      </c>
      <c r="DC56" s="133" t="s">
        <v>165</v>
      </c>
      <c r="DD56" s="133" t="s">
        <v>165</v>
      </c>
      <c r="DE56" s="133" t="s">
        <v>165</v>
      </c>
      <c r="DF56" s="133" t="s">
        <v>165</v>
      </c>
      <c r="DG56" s="133" t="s">
        <v>165</v>
      </c>
      <c r="DH56" s="133" t="s">
        <v>165</v>
      </c>
      <c r="DI56" s="133" t="s">
        <v>165</v>
      </c>
      <c r="DJ56" s="133" t="s">
        <v>165</v>
      </c>
      <c r="DK56" s="145">
        <v>432.56244218316402</v>
      </c>
      <c r="DL56" t="s">
        <v>204</v>
      </c>
      <c r="DM56">
        <v>37.1</v>
      </c>
      <c r="DN56" t="s">
        <v>205</v>
      </c>
      <c r="DO56">
        <v>39.61</v>
      </c>
      <c r="DP56" t="s">
        <v>183</v>
      </c>
      <c r="DQ56" s="146">
        <f t="shared" si="9"/>
        <v>0.12271000000000001</v>
      </c>
      <c r="DR56" t="s">
        <v>184</v>
      </c>
      <c r="DS56" t="s">
        <v>200</v>
      </c>
      <c r="DT56" t="s">
        <v>201</v>
      </c>
      <c r="DU56">
        <v>1.0271999999999999</v>
      </c>
      <c r="DV56" t="s">
        <v>165</v>
      </c>
      <c r="DW56" t="s">
        <v>165</v>
      </c>
      <c r="DX56" t="s">
        <v>197</v>
      </c>
      <c r="DY56" t="s">
        <v>181</v>
      </c>
      <c r="DZ56" t="s">
        <v>181</v>
      </c>
      <c r="EA56" t="s">
        <v>202</v>
      </c>
      <c r="EB56" t="s">
        <v>203</v>
      </c>
      <c r="EC56" s="147" t="s">
        <v>206</v>
      </c>
      <c r="ED56" s="147" t="s">
        <v>206</v>
      </c>
      <c r="EE56" s="133" t="s">
        <v>165</v>
      </c>
      <c r="EF56" s="133" t="s">
        <v>165</v>
      </c>
      <c r="EG56" s="133" t="s">
        <v>165</v>
      </c>
      <c r="EH56" t="s">
        <v>185</v>
      </c>
      <c r="EI56" t="s">
        <v>179</v>
      </c>
      <c r="EJ56" t="s">
        <v>165</v>
      </c>
      <c r="EK56">
        <v>2382</v>
      </c>
      <c r="EL56" s="147" t="s">
        <v>211</v>
      </c>
      <c r="EM56" s="147">
        <v>175</v>
      </c>
      <c r="EN56">
        <v>175</v>
      </c>
      <c r="EO56" t="s">
        <v>165</v>
      </c>
      <c r="EP56" t="s">
        <v>165</v>
      </c>
      <c r="EQ56" t="s">
        <v>165</v>
      </c>
      <c r="ER56" t="s">
        <v>165</v>
      </c>
      <c r="ES56" s="148">
        <v>8.1986719178069407</v>
      </c>
      <c r="ET56" t="s">
        <v>187</v>
      </c>
      <c r="EU56" s="133" t="s">
        <v>165</v>
      </c>
      <c r="EV56" s="133" t="s">
        <v>165</v>
      </c>
      <c r="EW56" s="149">
        <v>253.906235275353</v>
      </c>
      <c r="EX56">
        <v>21</v>
      </c>
      <c r="EY56" t="s">
        <v>186</v>
      </c>
      <c r="EZ56" s="149">
        <v>232.906235275353</v>
      </c>
      <c r="FA56" s="149">
        <v>36.975042480617986</v>
      </c>
      <c r="FB56" s="149">
        <v>34.283580552880011</v>
      </c>
      <c r="FC56" t="s">
        <v>176</v>
      </c>
      <c r="FD56" t="s">
        <v>188</v>
      </c>
      <c r="FE56" t="s">
        <v>165</v>
      </c>
      <c r="FF56" t="s">
        <v>165</v>
      </c>
      <c r="FG56" t="s">
        <v>165</v>
      </c>
      <c r="FH56" t="s">
        <v>165</v>
      </c>
      <c r="FI56" t="s">
        <v>165</v>
      </c>
      <c r="FJ56" t="s">
        <v>165</v>
      </c>
      <c r="FK56" t="s">
        <v>165</v>
      </c>
      <c r="FL56" t="s">
        <v>165</v>
      </c>
      <c r="FM56" t="s">
        <v>165</v>
      </c>
      <c r="FN56" t="s">
        <v>165</v>
      </c>
      <c r="FO56" t="s">
        <v>165</v>
      </c>
      <c r="FP56" t="s">
        <v>165</v>
      </c>
    </row>
    <row r="57" spans="1:172">
      <c r="A57" s="131" t="s">
        <v>154</v>
      </c>
      <c r="B57" t="s">
        <v>155</v>
      </c>
      <c r="C57">
        <v>2017</v>
      </c>
      <c r="D57" s="132" t="s">
        <v>156</v>
      </c>
      <c r="E57" s="145">
        <f t="shared" si="1"/>
        <v>235.76</v>
      </c>
      <c r="F57">
        <f t="shared" si="2"/>
        <v>2</v>
      </c>
      <c r="G57">
        <f t="shared" si="3"/>
        <v>2</v>
      </c>
      <c r="H57" s="149">
        <f t="shared" si="4"/>
        <v>263.58303242066398</v>
      </c>
      <c r="I57" s="149">
        <f t="shared" si="5"/>
        <v>40.940306256029999</v>
      </c>
      <c r="J57" s="149">
        <f t="shared" si="6"/>
        <v>39.076300075719985</v>
      </c>
      <c r="K57" t="s">
        <v>209</v>
      </c>
      <c r="L57" s="132" t="s">
        <v>210</v>
      </c>
      <c r="M57" s="1" t="s">
        <v>157</v>
      </c>
      <c r="N57" s="132" t="s">
        <v>156</v>
      </c>
      <c r="O57" t="s">
        <v>158</v>
      </c>
      <c r="P57" s="136" t="s">
        <v>159</v>
      </c>
      <c r="Q57" s="136">
        <v>2</v>
      </c>
      <c r="R57" s="136">
        <v>1</v>
      </c>
      <c r="S57" s="136">
        <v>111</v>
      </c>
      <c r="T57" s="136">
        <f t="shared" si="11"/>
        <v>113</v>
      </c>
      <c r="U57" s="136">
        <v>8.7100000000000009</v>
      </c>
      <c r="V57" s="136">
        <v>8.7100000000000009</v>
      </c>
      <c r="W57" t="s">
        <v>165</v>
      </c>
      <c r="X57" t="s">
        <v>160</v>
      </c>
      <c r="Y57" s="135">
        <v>12.74</v>
      </c>
      <c r="Z57" s="135">
        <v>-78.739999999999995</v>
      </c>
      <c r="AA57" t="s">
        <v>165</v>
      </c>
      <c r="AB57" t="s">
        <v>165</v>
      </c>
      <c r="AC57">
        <v>-2839</v>
      </c>
      <c r="AD57" t="s">
        <v>165</v>
      </c>
      <c r="AE57" t="s">
        <v>165</v>
      </c>
      <c r="AF57" t="s">
        <v>165</v>
      </c>
      <c r="AG57" s="145">
        <v>235.76</v>
      </c>
      <c r="AH57" t="s">
        <v>163</v>
      </c>
      <c r="AI57">
        <v>2</v>
      </c>
      <c r="AJ57">
        <v>2</v>
      </c>
      <c r="AK57" t="s">
        <v>165</v>
      </c>
      <c r="AL57" t="s">
        <v>164</v>
      </c>
      <c r="AM57" t="s">
        <v>165</v>
      </c>
      <c r="AN57" t="s">
        <v>165</v>
      </c>
      <c r="AO57" t="s">
        <v>165</v>
      </c>
      <c r="AP57" t="s">
        <v>165</v>
      </c>
      <c r="AQ57" t="s">
        <v>165</v>
      </c>
      <c r="AR57" t="s">
        <v>165</v>
      </c>
      <c r="AS57" t="s">
        <v>165</v>
      </c>
      <c r="AT57" t="s">
        <v>165</v>
      </c>
      <c r="AU57" t="s">
        <v>166</v>
      </c>
      <c r="AV57" t="s">
        <v>167</v>
      </c>
      <c r="AW57" t="s">
        <v>168</v>
      </c>
      <c r="AX57" s="154">
        <v>2</v>
      </c>
      <c r="AY57" t="s">
        <v>169</v>
      </c>
      <c r="AZ57" t="s">
        <v>170</v>
      </c>
      <c r="BA57" t="s">
        <v>171</v>
      </c>
      <c r="BB57" t="s">
        <v>165</v>
      </c>
      <c r="BC57" s="154">
        <v>2</v>
      </c>
      <c r="BD57" s="133" t="s">
        <v>165</v>
      </c>
      <c r="BE57" s="146">
        <v>20.470820450000002</v>
      </c>
      <c r="BF57" t="s">
        <v>172</v>
      </c>
      <c r="BG57" s="146">
        <v>0.244505476</v>
      </c>
      <c r="BH57">
        <v>0.64</v>
      </c>
      <c r="BI57" t="s">
        <v>173</v>
      </c>
      <c r="BJ57">
        <v>3.4000000000000002E-2</v>
      </c>
      <c r="BK57">
        <v>9.1</v>
      </c>
      <c r="BL57" t="s">
        <v>163</v>
      </c>
      <c r="BM57">
        <v>0.56000000000000005</v>
      </c>
      <c r="BN57" t="s">
        <v>174</v>
      </c>
      <c r="BO57" t="s">
        <v>175</v>
      </c>
      <c r="BP57" s="155">
        <f t="shared" si="7"/>
        <v>19.334700750000003</v>
      </c>
      <c r="BQ57" s="133" t="s">
        <v>183</v>
      </c>
      <c r="BR57" s="133" t="s">
        <v>165</v>
      </c>
      <c r="BS57" s="133" t="s">
        <v>165</v>
      </c>
      <c r="BT57" t="s">
        <v>176</v>
      </c>
      <c r="BU57" s="133">
        <v>10</v>
      </c>
      <c r="BV57" s="133" t="s">
        <v>198</v>
      </c>
      <c r="BW57" s="133" t="s">
        <v>165</v>
      </c>
      <c r="BX57" s="145">
        <v>24.38</v>
      </c>
      <c r="BY57" t="s">
        <v>163</v>
      </c>
      <c r="BZ57">
        <v>3</v>
      </c>
      <c r="CA57">
        <v>3</v>
      </c>
      <c r="CB57" t="s">
        <v>165</v>
      </c>
      <c r="CC57" s="146">
        <v>3.4087062644453012</v>
      </c>
      <c r="CD57" t="s">
        <v>180</v>
      </c>
      <c r="CE57" s="146">
        <v>0.13634825057781205</v>
      </c>
      <c r="CF57" s="146">
        <v>0.13634825057781205</v>
      </c>
      <c r="CG57" s="156" t="s">
        <v>165</v>
      </c>
      <c r="CH57" t="s">
        <v>207</v>
      </c>
      <c r="CI57" t="s">
        <v>165</v>
      </c>
      <c r="CJ57" t="s">
        <v>178</v>
      </c>
      <c r="CK57" t="s">
        <v>181</v>
      </c>
      <c r="CL57" t="s">
        <v>181</v>
      </c>
      <c r="CM57" t="s">
        <v>181</v>
      </c>
      <c r="CN57" t="s">
        <v>165</v>
      </c>
      <c r="CO57" t="s">
        <v>165</v>
      </c>
      <c r="CP57" t="s">
        <v>165</v>
      </c>
      <c r="CQ57" t="s">
        <v>165</v>
      </c>
      <c r="CR57" t="s">
        <v>165</v>
      </c>
      <c r="CS57" t="s">
        <v>165</v>
      </c>
      <c r="CT57" t="s">
        <v>165</v>
      </c>
      <c r="CU57">
        <v>35</v>
      </c>
      <c r="CV57" t="s">
        <v>183</v>
      </c>
      <c r="CW57" s="154">
        <v>3</v>
      </c>
      <c r="CX57" s="133" t="s">
        <v>199</v>
      </c>
      <c r="CY57" s="133" t="s">
        <v>165</v>
      </c>
      <c r="CZ57" s="133" t="s">
        <v>165</v>
      </c>
      <c r="DA57" s="133" t="s">
        <v>165</v>
      </c>
      <c r="DB57" s="133" t="s">
        <v>165</v>
      </c>
      <c r="DC57" s="133" t="s">
        <v>165</v>
      </c>
      <c r="DD57" s="133" t="s">
        <v>165</v>
      </c>
      <c r="DE57" s="133" t="s">
        <v>165</v>
      </c>
      <c r="DF57" s="133" t="s">
        <v>165</v>
      </c>
      <c r="DG57" s="133" t="s">
        <v>165</v>
      </c>
      <c r="DH57" s="133" t="s">
        <v>165</v>
      </c>
      <c r="DI57" s="133" t="s">
        <v>165</v>
      </c>
      <c r="DJ57" s="133" t="s">
        <v>165</v>
      </c>
      <c r="DK57" s="145">
        <v>432.56244218316402</v>
      </c>
      <c r="DL57" t="s">
        <v>204</v>
      </c>
      <c r="DM57">
        <v>37.1</v>
      </c>
      <c r="DN57" t="s">
        <v>205</v>
      </c>
      <c r="DO57">
        <v>39.61</v>
      </c>
      <c r="DP57" t="s">
        <v>183</v>
      </c>
      <c r="DQ57" s="146">
        <f t="shared" si="9"/>
        <v>0.12357600000000001</v>
      </c>
      <c r="DR57" t="s">
        <v>184</v>
      </c>
      <c r="DS57" t="s">
        <v>200</v>
      </c>
      <c r="DT57" t="s">
        <v>201</v>
      </c>
      <c r="DU57">
        <v>1.0271999999999999</v>
      </c>
      <c r="DV57" t="s">
        <v>165</v>
      </c>
      <c r="DW57" t="s">
        <v>165</v>
      </c>
      <c r="DX57" t="s">
        <v>197</v>
      </c>
      <c r="DY57" t="s">
        <v>181</v>
      </c>
      <c r="DZ57" t="s">
        <v>181</v>
      </c>
      <c r="EA57" t="s">
        <v>202</v>
      </c>
      <c r="EB57" t="s">
        <v>203</v>
      </c>
      <c r="EC57" s="147" t="s">
        <v>206</v>
      </c>
      <c r="ED57" s="147" t="s">
        <v>206</v>
      </c>
      <c r="EE57" s="133" t="s">
        <v>165</v>
      </c>
      <c r="EF57" s="133" t="s">
        <v>165</v>
      </c>
      <c r="EG57" s="133" t="s">
        <v>165</v>
      </c>
      <c r="EH57" t="s">
        <v>185</v>
      </c>
      <c r="EI57" t="s">
        <v>179</v>
      </c>
      <c r="EJ57" t="s">
        <v>165</v>
      </c>
      <c r="EK57">
        <v>2383</v>
      </c>
      <c r="EL57" s="147" t="s">
        <v>211</v>
      </c>
      <c r="EM57" s="147">
        <v>175</v>
      </c>
      <c r="EN57">
        <v>175</v>
      </c>
      <c r="EO57" t="s">
        <v>165</v>
      </c>
      <c r="EP57" t="s">
        <v>165</v>
      </c>
      <c r="EQ57" t="s">
        <v>165</v>
      </c>
      <c r="ER57" t="s">
        <v>165</v>
      </c>
      <c r="ES57" s="148">
        <v>8.1613392840423096</v>
      </c>
      <c r="ET57" t="s">
        <v>187</v>
      </c>
      <c r="EU57" s="133" t="s">
        <v>165</v>
      </c>
      <c r="EV57" s="133" t="s">
        <v>165</v>
      </c>
      <c r="EW57" s="149">
        <v>284.58303242066398</v>
      </c>
      <c r="EX57">
        <v>21</v>
      </c>
      <c r="EY57" t="s">
        <v>186</v>
      </c>
      <c r="EZ57" s="149">
        <v>263.58303242066398</v>
      </c>
      <c r="FA57" s="149">
        <v>40.940306256029999</v>
      </c>
      <c r="FB57" s="149">
        <v>39.076300075719985</v>
      </c>
      <c r="FC57" t="s">
        <v>176</v>
      </c>
      <c r="FD57" t="s">
        <v>188</v>
      </c>
      <c r="FE57" t="s">
        <v>165</v>
      </c>
      <c r="FF57" t="s">
        <v>165</v>
      </c>
      <c r="FG57" t="s">
        <v>165</v>
      </c>
      <c r="FH57" t="s">
        <v>165</v>
      </c>
      <c r="FI57" t="s">
        <v>165</v>
      </c>
      <c r="FJ57" t="s">
        <v>165</v>
      </c>
      <c r="FK57" t="s">
        <v>165</v>
      </c>
      <c r="FL57" t="s">
        <v>165</v>
      </c>
      <c r="FM57" t="s">
        <v>165</v>
      </c>
      <c r="FN57" t="s">
        <v>165</v>
      </c>
      <c r="FO57" t="s">
        <v>165</v>
      </c>
      <c r="FP57" t="s">
        <v>165</v>
      </c>
    </row>
    <row r="58" spans="1:172">
      <c r="A58" s="131" t="s">
        <v>154</v>
      </c>
      <c r="B58" t="s">
        <v>155</v>
      </c>
      <c r="C58">
        <v>2017</v>
      </c>
      <c r="D58" s="132" t="s">
        <v>156</v>
      </c>
      <c r="E58" s="145">
        <f t="shared" si="1"/>
        <v>239.48</v>
      </c>
      <c r="F58">
        <f t="shared" si="2"/>
        <v>2</v>
      </c>
      <c r="G58">
        <f t="shared" si="3"/>
        <v>2</v>
      </c>
      <c r="H58" s="149">
        <f t="shared" si="4"/>
        <v>243.18314030520099</v>
      </c>
      <c r="I58" s="149">
        <f t="shared" si="5"/>
        <v>37.875271563802016</v>
      </c>
      <c r="J58" s="149">
        <f t="shared" si="6"/>
        <v>35.230226363274994</v>
      </c>
      <c r="K58" t="s">
        <v>209</v>
      </c>
      <c r="L58" s="132" t="s">
        <v>210</v>
      </c>
      <c r="M58" s="1" t="s">
        <v>157</v>
      </c>
      <c r="N58" s="132" t="s">
        <v>156</v>
      </c>
      <c r="O58" t="s">
        <v>158</v>
      </c>
      <c r="P58" s="136" t="s">
        <v>159</v>
      </c>
      <c r="Q58" s="136">
        <v>2</v>
      </c>
      <c r="R58" s="136">
        <v>1</v>
      </c>
      <c r="S58" s="136">
        <v>123</v>
      </c>
      <c r="T58" s="136">
        <f t="shared" si="11"/>
        <v>125</v>
      </c>
      <c r="U58" s="136">
        <v>8.83</v>
      </c>
      <c r="V58" s="136">
        <v>8.83</v>
      </c>
      <c r="W58" t="s">
        <v>165</v>
      </c>
      <c r="X58" t="s">
        <v>160</v>
      </c>
      <c r="Y58" s="135">
        <v>12.74</v>
      </c>
      <c r="Z58" s="135">
        <v>-78.739999999999995</v>
      </c>
      <c r="AA58" t="s">
        <v>165</v>
      </c>
      <c r="AB58" t="s">
        <v>165</v>
      </c>
      <c r="AC58">
        <v>-2839</v>
      </c>
      <c r="AD58" t="s">
        <v>165</v>
      </c>
      <c r="AE58" t="s">
        <v>165</v>
      </c>
      <c r="AF58" t="s">
        <v>165</v>
      </c>
      <c r="AG58" s="145">
        <v>239.48</v>
      </c>
      <c r="AH58" t="s">
        <v>163</v>
      </c>
      <c r="AI58">
        <v>2</v>
      </c>
      <c r="AJ58">
        <v>2</v>
      </c>
      <c r="AK58" t="s">
        <v>165</v>
      </c>
      <c r="AL58" t="s">
        <v>164</v>
      </c>
      <c r="AM58" t="s">
        <v>165</v>
      </c>
      <c r="AN58" t="s">
        <v>165</v>
      </c>
      <c r="AO58" t="s">
        <v>165</v>
      </c>
      <c r="AP58" t="s">
        <v>165</v>
      </c>
      <c r="AQ58" t="s">
        <v>165</v>
      </c>
      <c r="AR58" t="s">
        <v>165</v>
      </c>
      <c r="AS58" t="s">
        <v>165</v>
      </c>
      <c r="AT58" t="s">
        <v>165</v>
      </c>
      <c r="AU58" t="s">
        <v>166</v>
      </c>
      <c r="AV58" t="s">
        <v>167</v>
      </c>
      <c r="AW58" t="s">
        <v>168</v>
      </c>
      <c r="AX58" s="154">
        <v>2</v>
      </c>
      <c r="AY58" t="s">
        <v>169</v>
      </c>
      <c r="AZ58" t="s">
        <v>170</v>
      </c>
      <c r="BA58" t="s">
        <v>171</v>
      </c>
      <c r="BB58" t="s">
        <v>165</v>
      </c>
      <c r="BC58" s="154">
        <v>2</v>
      </c>
      <c r="BD58" s="133" t="s">
        <v>165</v>
      </c>
      <c r="BE58" s="146">
        <v>20.698681969999999</v>
      </c>
      <c r="BF58" t="s">
        <v>172</v>
      </c>
      <c r="BG58" s="146">
        <v>0.22005977400000001</v>
      </c>
      <c r="BH58">
        <v>0.64</v>
      </c>
      <c r="BI58" t="s">
        <v>173</v>
      </c>
      <c r="BJ58">
        <v>3.4000000000000002E-2</v>
      </c>
      <c r="BK58">
        <v>9.1</v>
      </c>
      <c r="BL58" t="s">
        <v>163</v>
      </c>
      <c r="BM58">
        <v>0.56000000000000005</v>
      </c>
      <c r="BN58" t="s">
        <v>174</v>
      </c>
      <c r="BO58" t="s">
        <v>175</v>
      </c>
      <c r="BP58" s="155">
        <f t="shared" si="7"/>
        <v>19.714469950000002</v>
      </c>
      <c r="BQ58" s="133" t="s">
        <v>183</v>
      </c>
      <c r="BR58" s="133" t="s">
        <v>165</v>
      </c>
      <c r="BS58" s="133" t="s">
        <v>165</v>
      </c>
      <c r="BT58" t="s">
        <v>176</v>
      </c>
      <c r="BU58" s="133">
        <v>10</v>
      </c>
      <c r="BV58" s="133" t="s">
        <v>198</v>
      </c>
      <c r="BW58" s="133" t="s">
        <v>165</v>
      </c>
      <c r="BX58" s="145">
        <v>24.99</v>
      </c>
      <c r="BY58" t="s">
        <v>163</v>
      </c>
      <c r="BZ58">
        <v>3</v>
      </c>
      <c r="CA58">
        <v>3</v>
      </c>
      <c r="CB58" t="s">
        <v>165</v>
      </c>
      <c r="CC58" s="146">
        <v>3.6023171111269114</v>
      </c>
      <c r="CD58" t="s">
        <v>180</v>
      </c>
      <c r="CE58" s="146">
        <v>0.14409268444507647</v>
      </c>
      <c r="CF58" s="146">
        <v>0.14409268444507647</v>
      </c>
      <c r="CG58" s="156" t="s">
        <v>165</v>
      </c>
      <c r="CH58" t="s">
        <v>207</v>
      </c>
      <c r="CI58" t="s">
        <v>165</v>
      </c>
      <c r="CJ58" t="s">
        <v>178</v>
      </c>
      <c r="CK58" t="s">
        <v>181</v>
      </c>
      <c r="CL58" t="s">
        <v>181</v>
      </c>
      <c r="CM58" t="s">
        <v>181</v>
      </c>
      <c r="CN58" t="s">
        <v>165</v>
      </c>
      <c r="CO58" t="s">
        <v>165</v>
      </c>
      <c r="CP58" t="s">
        <v>165</v>
      </c>
      <c r="CQ58" t="s">
        <v>165</v>
      </c>
      <c r="CR58" t="s">
        <v>165</v>
      </c>
      <c r="CS58" t="s">
        <v>165</v>
      </c>
      <c r="CT58" t="s">
        <v>165</v>
      </c>
      <c r="CU58">
        <v>35</v>
      </c>
      <c r="CV58" t="s">
        <v>183</v>
      </c>
      <c r="CW58" s="154">
        <v>3</v>
      </c>
      <c r="CX58" s="133" t="s">
        <v>199</v>
      </c>
      <c r="CY58" s="133" t="s">
        <v>165</v>
      </c>
      <c r="CZ58" s="133" t="s">
        <v>165</v>
      </c>
      <c r="DA58" s="133" t="s">
        <v>165</v>
      </c>
      <c r="DB58" s="133" t="s">
        <v>165</v>
      </c>
      <c r="DC58" s="133" t="s">
        <v>165</v>
      </c>
      <c r="DD58" s="133" t="s">
        <v>165</v>
      </c>
      <c r="DE58" s="133" t="s">
        <v>165</v>
      </c>
      <c r="DF58" s="133" t="s">
        <v>165</v>
      </c>
      <c r="DG58" s="133" t="s">
        <v>165</v>
      </c>
      <c r="DH58" s="133" t="s">
        <v>165</v>
      </c>
      <c r="DI58" s="133" t="s">
        <v>165</v>
      </c>
      <c r="DJ58" s="133" t="s">
        <v>165</v>
      </c>
      <c r="DK58" s="145">
        <v>432.56244218316402</v>
      </c>
      <c r="DL58" t="s">
        <v>204</v>
      </c>
      <c r="DM58">
        <v>37.1</v>
      </c>
      <c r="DN58" t="s">
        <v>205</v>
      </c>
      <c r="DO58">
        <v>39.61</v>
      </c>
      <c r="DP58" t="s">
        <v>183</v>
      </c>
      <c r="DQ58" s="146">
        <f t="shared" si="9"/>
        <v>0.123948</v>
      </c>
      <c r="DR58" t="s">
        <v>184</v>
      </c>
      <c r="DS58" t="s">
        <v>200</v>
      </c>
      <c r="DT58" t="s">
        <v>201</v>
      </c>
      <c r="DU58">
        <v>1.0271999999999999</v>
      </c>
      <c r="DV58" t="s">
        <v>165</v>
      </c>
      <c r="DW58" t="s">
        <v>165</v>
      </c>
      <c r="DX58" t="s">
        <v>197</v>
      </c>
      <c r="DY58" t="s">
        <v>181</v>
      </c>
      <c r="DZ58" t="s">
        <v>181</v>
      </c>
      <c r="EA58" t="s">
        <v>202</v>
      </c>
      <c r="EB58" t="s">
        <v>203</v>
      </c>
      <c r="EC58" s="147" t="s">
        <v>206</v>
      </c>
      <c r="ED58" s="147" t="s">
        <v>206</v>
      </c>
      <c r="EE58" s="133" t="s">
        <v>165</v>
      </c>
      <c r="EF58" s="133" t="s">
        <v>165</v>
      </c>
      <c r="EG58" s="133" t="s">
        <v>165</v>
      </c>
      <c r="EH58" t="s">
        <v>185</v>
      </c>
      <c r="EI58" t="s">
        <v>179</v>
      </c>
      <c r="EJ58" t="s">
        <v>165</v>
      </c>
      <c r="EK58">
        <v>2384</v>
      </c>
      <c r="EL58" s="147" t="s">
        <v>211</v>
      </c>
      <c r="EM58" s="147">
        <v>175</v>
      </c>
      <c r="EN58">
        <v>175</v>
      </c>
      <c r="EO58" t="s">
        <v>165</v>
      </c>
      <c r="EP58" t="s">
        <v>165</v>
      </c>
      <c r="EQ58" t="s">
        <v>165</v>
      </c>
      <c r="ER58" t="s">
        <v>165</v>
      </c>
      <c r="ES58" s="148">
        <v>8.1858147321452197</v>
      </c>
      <c r="ET58" t="s">
        <v>187</v>
      </c>
      <c r="EU58" s="133" t="s">
        <v>165</v>
      </c>
      <c r="EV58" s="133" t="s">
        <v>165</v>
      </c>
      <c r="EW58" s="149">
        <v>264.18314030520099</v>
      </c>
      <c r="EX58">
        <v>21</v>
      </c>
      <c r="EY58" t="s">
        <v>186</v>
      </c>
      <c r="EZ58" s="149">
        <v>243.18314030520099</v>
      </c>
      <c r="FA58" s="149">
        <v>37.875271563802016</v>
      </c>
      <c r="FB58" s="149">
        <v>35.230226363274994</v>
      </c>
      <c r="FC58" t="s">
        <v>176</v>
      </c>
      <c r="FD58" t="s">
        <v>188</v>
      </c>
      <c r="FE58" t="s">
        <v>165</v>
      </c>
      <c r="FF58" t="s">
        <v>165</v>
      </c>
      <c r="FG58" t="s">
        <v>165</v>
      </c>
      <c r="FH58" t="s">
        <v>165</v>
      </c>
      <c r="FI58" t="s">
        <v>165</v>
      </c>
      <c r="FJ58" t="s">
        <v>165</v>
      </c>
      <c r="FK58" t="s">
        <v>165</v>
      </c>
      <c r="FL58" t="s">
        <v>165</v>
      </c>
      <c r="FM58" t="s">
        <v>165</v>
      </c>
      <c r="FN58" t="s">
        <v>165</v>
      </c>
      <c r="FO58" t="s">
        <v>165</v>
      </c>
      <c r="FP58" t="s">
        <v>165</v>
      </c>
    </row>
    <row r="59" spans="1:172">
      <c r="A59" s="131" t="s">
        <v>154</v>
      </c>
      <c r="B59" t="s">
        <v>155</v>
      </c>
      <c r="C59">
        <v>2017</v>
      </c>
      <c r="D59" s="132" t="s">
        <v>156</v>
      </c>
      <c r="E59" s="145">
        <f t="shared" si="1"/>
        <v>242.9</v>
      </c>
      <c r="F59">
        <f t="shared" si="2"/>
        <v>2</v>
      </c>
      <c r="G59">
        <f t="shared" si="3"/>
        <v>2</v>
      </c>
      <c r="H59" s="149">
        <f t="shared" si="4"/>
        <v>278.57187669566298</v>
      </c>
      <c r="I59" s="149">
        <f t="shared" si="5"/>
        <v>42.795249985177009</v>
      </c>
      <c r="J59" s="149">
        <f t="shared" si="6"/>
        <v>38.624588667118985</v>
      </c>
      <c r="K59" t="s">
        <v>209</v>
      </c>
      <c r="L59" s="132" t="s">
        <v>210</v>
      </c>
      <c r="M59" s="1" t="s">
        <v>157</v>
      </c>
      <c r="N59" s="132" t="s">
        <v>156</v>
      </c>
      <c r="O59" t="s">
        <v>158</v>
      </c>
      <c r="P59" s="137" t="s">
        <v>159</v>
      </c>
      <c r="Q59" s="137">
        <v>2</v>
      </c>
      <c r="R59" s="137">
        <v>1</v>
      </c>
      <c r="S59" s="137">
        <v>139</v>
      </c>
      <c r="T59" s="137">
        <f t="shared" si="11"/>
        <v>141</v>
      </c>
      <c r="U59" s="137">
        <v>8.99</v>
      </c>
      <c r="V59" s="137">
        <v>8.99</v>
      </c>
      <c r="W59" t="s">
        <v>165</v>
      </c>
      <c r="X59" t="s">
        <v>160</v>
      </c>
      <c r="Y59" s="135">
        <v>12.74</v>
      </c>
      <c r="Z59" s="135">
        <v>-78.739999999999995</v>
      </c>
      <c r="AA59" t="s">
        <v>165</v>
      </c>
      <c r="AB59" t="s">
        <v>165</v>
      </c>
      <c r="AC59">
        <v>-2839</v>
      </c>
      <c r="AD59" t="s">
        <v>165</v>
      </c>
      <c r="AE59" t="s">
        <v>165</v>
      </c>
      <c r="AF59" t="s">
        <v>165</v>
      </c>
      <c r="AG59" s="145">
        <v>242.9</v>
      </c>
      <c r="AH59" t="s">
        <v>163</v>
      </c>
      <c r="AI59">
        <v>2</v>
      </c>
      <c r="AJ59">
        <v>2</v>
      </c>
      <c r="AK59" t="s">
        <v>165</v>
      </c>
      <c r="AL59" t="s">
        <v>164</v>
      </c>
      <c r="AM59" t="s">
        <v>165</v>
      </c>
      <c r="AN59" t="s">
        <v>165</v>
      </c>
      <c r="AO59" t="s">
        <v>165</v>
      </c>
      <c r="AP59" t="s">
        <v>165</v>
      </c>
      <c r="AQ59" t="s">
        <v>165</v>
      </c>
      <c r="AR59" t="s">
        <v>165</v>
      </c>
      <c r="AS59" t="s">
        <v>165</v>
      </c>
      <c r="AT59" t="s">
        <v>165</v>
      </c>
      <c r="AU59" t="s">
        <v>166</v>
      </c>
      <c r="AV59" t="s">
        <v>167</v>
      </c>
      <c r="AW59" t="s">
        <v>168</v>
      </c>
      <c r="AX59" s="154">
        <v>2</v>
      </c>
      <c r="AY59" t="s">
        <v>169</v>
      </c>
      <c r="AZ59" t="s">
        <v>170</v>
      </c>
      <c r="BA59" t="s">
        <v>171</v>
      </c>
      <c r="BB59" t="s">
        <v>165</v>
      </c>
      <c r="BC59" s="154">
        <v>2</v>
      </c>
      <c r="BD59" s="133" t="s">
        <v>165</v>
      </c>
      <c r="BE59" s="146">
        <v>20.4421857</v>
      </c>
      <c r="BF59" t="s">
        <v>172</v>
      </c>
      <c r="BG59" s="146">
        <v>0.25098974200000002</v>
      </c>
      <c r="BH59">
        <v>0.64</v>
      </c>
      <c r="BI59" t="s">
        <v>173</v>
      </c>
      <c r="BJ59">
        <v>3.4000000000000002E-2</v>
      </c>
      <c r="BK59">
        <v>9.1</v>
      </c>
      <c r="BL59" t="s">
        <v>163</v>
      </c>
      <c r="BM59">
        <v>0.56000000000000005</v>
      </c>
      <c r="BN59" t="s">
        <v>174</v>
      </c>
      <c r="BO59" t="s">
        <v>175</v>
      </c>
      <c r="BP59" s="155">
        <f t="shared" si="7"/>
        <v>19.286976166666669</v>
      </c>
      <c r="BQ59" s="133" t="s">
        <v>183</v>
      </c>
      <c r="BR59" s="133" t="s">
        <v>165</v>
      </c>
      <c r="BS59" s="133" t="s">
        <v>165</v>
      </c>
      <c r="BT59" t="s">
        <v>176</v>
      </c>
      <c r="BU59" s="133">
        <v>10</v>
      </c>
      <c r="BV59" s="133" t="s">
        <v>198</v>
      </c>
      <c r="BW59" s="133" t="s">
        <v>165</v>
      </c>
      <c r="BX59" s="145">
        <v>25.71</v>
      </c>
      <c r="BY59" t="s">
        <v>163</v>
      </c>
      <c r="BZ59">
        <v>3</v>
      </c>
      <c r="CA59">
        <v>3</v>
      </c>
      <c r="CB59" t="s">
        <v>165</v>
      </c>
      <c r="CC59" s="146">
        <v>3.8437638013574587</v>
      </c>
      <c r="CD59" t="s">
        <v>180</v>
      </c>
      <c r="CE59" s="146">
        <v>0.15375055205429836</v>
      </c>
      <c r="CF59" s="146">
        <v>0.15375055205429836</v>
      </c>
      <c r="CG59" s="156" t="s">
        <v>165</v>
      </c>
      <c r="CH59" t="s">
        <v>207</v>
      </c>
      <c r="CI59" t="s">
        <v>165</v>
      </c>
      <c r="CJ59" t="s">
        <v>178</v>
      </c>
      <c r="CK59" t="s">
        <v>181</v>
      </c>
      <c r="CL59" t="s">
        <v>181</v>
      </c>
      <c r="CM59" t="s">
        <v>181</v>
      </c>
      <c r="CN59" t="s">
        <v>165</v>
      </c>
      <c r="CO59" t="s">
        <v>165</v>
      </c>
      <c r="CP59" t="s">
        <v>165</v>
      </c>
      <c r="CQ59" t="s">
        <v>165</v>
      </c>
      <c r="CR59" t="s">
        <v>165</v>
      </c>
      <c r="CS59" t="s">
        <v>165</v>
      </c>
      <c r="CT59" t="s">
        <v>165</v>
      </c>
      <c r="CU59">
        <v>35</v>
      </c>
      <c r="CV59" t="s">
        <v>183</v>
      </c>
      <c r="CW59" s="154">
        <v>3</v>
      </c>
      <c r="CX59" s="133" t="s">
        <v>199</v>
      </c>
      <c r="CY59" s="133" t="s">
        <v>165</v>
      </c>
      <c r="CZ59" s="133" t="s">
        <v>165</v>
      </c>
      <c r="DA59" s="133" t="s">
        <v>165</v>
      </c>
      <c r="DB59" s="133" t="s">
        <v>165</v>
      </c>
      <c r="DC59" s="133" t="s">
        <v>165</v>
      </c>
      <c r="DD59" s="133" t="s">
        <v>165</v>
      </c>
      <c r="DE59" s="133" t="s">
        <v>165</v>
      </c>
      <c r="DF59" s="133" t="s">
        <v>165</v>
      </c>
      <c r="DG59" s="133" t="s">
        <v>165</v>
      </c>
      <c r="DH59" s="133" t="s">
        <v>165</v>
      </c>
      <c r="DI59" s="133" t="s">
        <v>165</v>
      </c>
      <c r="DJ59" s="133" t="s">
        <v>165</v>
      </c>
      <c r="DK59" s="145">
        <v>432.56244218316402</v>
      </c>
      <c r="DL59" t="s">
        <v>204</v>
      </c>
      <c r="DM59">
        <v>37.1</v>
      </c>
      <c r="DN59" t="s">
        <v>205</v>
      </c>
      <c r="DO59">
        <v>39.61</v>
      </c>
      <c r="DP59" t="s">
        <v>183</v>
      </c>
      <c r="DQ59" s="146">
        <f t="shared" si="9"/>
        <v>0.12429000000000001</v>
      </c>
      <c r="DR59" t="s">
        <v>184</v>
      </c>
      <c r="DS59" t="s">
        <v>200</v>
      </c>
      <c r="DT59" t="s">
        <v>201</v>
      </c>
      <c r="DU59">
        <v>1.0271999999999999</v>
      </c>
      <c r="DV59" t="s">
        <v>165</v>
      </c>
      <c r="DW59" t="s">
        <v>165</v>
      </c>
      <c r="DX59" t="s">
        <v>197</v>
      </c>
      <c r="DY59" t="s">
        <v>181</v>
      </c>
      <c r="DZ59" t="s">
        <v>181</v>
      </c>
      <c r="EA59" t="s">
        <v>202</v>
      </c>
      <c r="EB59" t="s">
        <v>203</v>
      </c>
      <c r="EC59" s="147" t="s">
        <v>206</v>
      </c>
      <c r="ED59" s="147" t="s">
        <v>206</v>
      </c>
      <c r="EE59" s="133" t="s">
        <v>165</v>
      </c>
      <c r="EF59" s="133" t="s">
        <v>165</v>
      </c>
      <c r="EG59" s="133" t="s">
        <v>165</v>
      </c>
      <c r="EH59" t="s">
        <v>185</v>
      </c>
      <c r="EI59" t="s">
        <v>179</v>
      </c>
      <c r="EJ59" t="s">
        <v>165</v>
      </c>
      <c r="EK59">
        <v>2385</v>
      </c>
      <c r="EL59" s="147" t="s">
        <v>211</v>
      </c>
      <c r="EM59" s="147">
        <v>175</v>
      </c>
      <c r="EN59">
        <v>175</v>
      </c>
      <c r="EO59" t="s">
        <v>165</v>
      </c>
      <c r="EP59" t="s">
        <v>165</v>
      </c>
      <c r="EQ59" t="s">
        <v>165</v>
      </c>
      <c r="ER59" t="s">
        <v>165</v>
      </c>
      <c r="ES59" s="148">
        <v>8.1421428716719699</v>
      </c>
      <c r="ET59" t="s">
        <v>187</v>
      </c>
      <c r="EU59" s="133" t="s">
        <v>165</v>
      </c>
      <c r="EV59" s="133" t="s">
        <v>165</v>
      </c>
      <c r="EW59" s="149">
        <v>299.57187669566298</v>
      </c>
      <c r="EX59">
        <v>21</v>
      </c>
      <c r="EY59" t="s">
        <v>186</v>
      </c>
      <c r="EZ59" s="149">
        <v>278.57187669566298</v>
      </c>
      <c r="FA59" s="149">
        <v>42.795249985177009</v>
      </c>
      <c r="FB59" s="149">
        <v>38.624588667118985</v>
      </c>
      <c r="FC59" t="s">
        <v>176</v>
      </c>
      <c r="FD59" t="s">
        <v>188</v>
      </c>
      <c r="FE59" t="s">
        <v>165</v>
      </c>
      <c r="FF59" t="s">
        <v>165</v>
      </c>
      <c r="FG59" t="s">
        <v>165</v>
      </c>
      <c r="FH59" t="s">
        <v>165</v>
      </c>
      <c r="FI59" t="s">
        <v>165</v>
      </c>
      <c r="FJ59" t="s">
        <v>165</v>
      </c>
      <c r="FK59" t="s">
        <v>165</v>
      </c>
      <c r="FL59" t="s">
        <v>165</v>
      </c>
      <c r="FM59" t="s">
        <v>165</v>
      </c>
      <c r="FN59" t="s">
        <v>165</v>
      </c>
      <c r="FO59" t="s">
        <v>165</v>
      </c>
      <c r="FP59" t="s">
        <v>165</v>
      </c>
    </row>
    <row r="60" spans="1:172">
      <c r="A60" s="131" t="s">
        <v>154</v>
      </c>
      <c r="B60" t="s">
        <v>155</v>
      </c>
      <c r="C60">
        <v>2017</v>
      </c>
      <c r="D60" s="132" t="s">
        <v>156</v>
      </c>
      <c r="E60" s="145">
        <f t="shared" si="1"/>
        <v>247.18</v>
      </c>
      <c r="F60">
        <f t="shared" si="2"/>
        <v>2</v>
      </c>
      <c r="G60">
        <f t="shared" si="3"/>
        <v>2</v>
      </c>
      <c r="H60" s="149">
        <f t="shared" si="4"/>
        <v>262.251188330194</v>
      </c>
      <c r="I60" s="149">
        <f t="shared" si="5"/>
        <v>39.463201015588027</v>
      </c>
      <c r="J60" s="149">
        <f t="shared" si="6"/>
        <v>35.708306927115984</v>
      </c>
      <c r="K60" t="s">
        <v>209</v>
      </c>
      <c r="L60" s="132" t="s">
        <v>210</v>
      </c>
      <c r="M60" s="1" t="s">
        <v>157</v>
      </c>
      <c r="N60" s="132" t="s">
        <v>156</v>
      </c>
      <c r="O60" t="s">
        <v>158</v>
      </c>
      <c r="P60" s="136" t="s">
        <v>159</v>
      </c>
      <c r="Q60" s="136">
        <v>2</v>
      </c>
      <c r="R60" s="136">
        <v>2</v>
      </c>
      <c r="S60" s="136">
        <v>9</v>
      </c>
      <c r="T60" s="136">
        <f t="shared" si="11"/>
        <v>11</v>
      </c>
      <c r="U60" s="136">
        <v>9.19</v>
      </c>
      <c r="V60" s="136">
        <v>9.19</v>
      </c>
      <c r="W60" t="s">
        <v>165</v>
      </c>
      <c r="X60" t="s">
        <v>160</v>
      </c>
      <c r="Y60" s="135">
        <v>12.74</v>
      </c>
      <c r="Z60" s="135">
        <v>-78.739999999999995</v>
      </c>
      <c r="AA60" t="s">
        <v>165</v>
      </c>
      <c r="AB60" t="s">
        <v>165</v>
      </c>
      <c r="AC60">
        <v>-2839</v>
      </c>
      <c r="AD60" t="s">
        <v>165</v>
      </c>
      <c r="AE60" t="s">
        <v>165</v>
      </c>
      <c r="AF60" t="s">
        <v>165</v>
      </c>
      <c r="AG60" s="145">
        <v>247.18</v>
      </c>
      <c r="AH60" t="s">
        <v>163</v>
      </c>
      <c r="AI60">
        <v>2</v>
      </c>
      <c r="AJ60">
        <v>2</v>
      </c>
      <c r="AK60" t="s">
        <v>165</v>
      </c>
      <c r="AL60" t="s">
        <v>164</v>
      </c>
      <c r="AM60" t="s">
        <v>165</v>
      </c>
      <c r="AN60" t="s">
        <v>165</v>
      </c>
      <c r="AO60" t="s">
        <v>165</v>
      </c>
      <c r="AP60" t="s">
        <v>165</v>
      </c>
      <c r="AQ60" t="s">
        <v>165</v>
      </c>
      <c r="AR60" t="s">
        <v>165</v>
      </c>
      <c r="AS60" t="s">
        <v>165</v>
      </c>
      <c r="AT60" t="s">
        <v>165</v>
      </c>
      <c r="AU60" t="s">
        <v>166</v>
      </c>
      <c r="AV60" t="s">
        <v>167</v>
      </c>
      <c r="AW60" t="s">
        <v>168</v>
      </c>
      <c r="AX60" s="154">
        <v>2</v>
      </c>
      <c r="AY60" t="s">
        <v>169</v>
      </c>
      <c r="AZ60" t="s">
        <v>170</v>
      </c>
      <c r="BA60" t="s">
        <v>171</v>
      </c>
      <c r="BB60" t="s">
        <v>165</v>
      </c>
      <c r="BC60" s="154">
        <v>2</v>
      </c>
      <c r="BD60" s="133" t="s">
        <v>165</v>
      </c>
      <c r="BE60" s="146">
        <v>20.587352240000001</v>
      </c>
      <c r="BF60" t="s">
        <v>172</v>
      </c>
      <c r="BG60" s="146">
        <v>0.21625272200000001</v>
      </c>
      <c r="BH60">
        <v>0.64</v>
      </c>
      <c r="BI60" t="s">
        <v>173</v>
      </c>
      <c r="BJ60">
        <v>3.4000000000000002E-2</v>
      </c>
      <c r="BK60">
        <v>9.1</v>
      </c>
      <c r="BL60" t="s">
        <v>163</v>
      </c>
      <c r="BM60">
        <v>0.56000000000000005</v>
      </c>
      <c r="BN60" t="s">
        <v>174</v>
      </c>
      <c r="BO60" t="s">
        <v>175</v>
      </c>
      <c r="BP60" s="155">
        <f t="shared" si="7"/>
        <v>19.528920400000004</v>
      </c>
      <c r="BQ60" s="133" t="s">
        <v>183</v>
      </c>
      <c r="BR60" s="133" t="s">
        <v>165</v>
      </c>
      <c r="BS60" s="133" t="s">
        <v>165</v>
      </c>
      <c r="BT60" t="s">
        <v>176</v>
      </c>
      <c r="BU60" s="133">
        <v>10</v>
      </c>
      <c r="BV60" s="133" t="s">
        <v>198</v>
      </c>
      <c r="BW60" s="133" t="s">
        <v>165</v>
      </c>
      <c r="BX60" s="145">
        <v>25.83</v>
      </c>
      <c r="BY60" t="s">
        <v>163</v>
      </c>
      <c r="BZ60">
        <v>3</v>
      </c>
      <c r="CA60">
        <v>3</v>
      </c>
      <c r="CB60" t="s">
        <v>165</v>
      </c>
      <c r="CC60" s="146">
        <v>3.8858090860767556</v>
      </c>
      <c r="CD60" t="s">
        <v>180</v>
      </c>
      <c r="CE60" s="146">
        <v>0.15543236344307024</v>
      </c>
      <c r="CF60" s="146">
        <v>0.15543236344307024</v>
      </c>
      <c r="CG60" s="156" t="s">
        <v>165</v>
      </c>
      <c r="CH60" t="s">
        <v>207</v>
      </c>
      <c r="CI60" t="s">
        <v>165</v>
      </c>
      <c r="CJ60" t="s">
        <v>178</v>
      </c>
      <c r="CK60" t="s">
        <v>181</v>
      </c>
      <c r="CL60" t="s">
        <v>181</v>
      </c>
      <c r="CM60" t="s">
        <v>181</v>
      </c>
      <c r="CN60" t="s">
        <v>165</v>
      </c>
      <c r="CO60" t="s">
        <v>165</v>
      </c>
      <c r="CP60" t="s">
        <v>165</v>
      </c>
      <c r="CQ60" t="s">
        <v>165</v>
      </c>
      <c r="CR60" t="s">
        <v>165</v>
      </c>
      <c r="CS60" t="s">
        <v>165</v>
      </c>
      <c r="CT60" t="s">
        <v>165</v>
      </c>
      <c r="CU60">
        <v>35</v>
      </c>
      <c r="CV60" t="s">
        <v>183</v>
      </c>
      <c r="CW60" s="154">
        <v>3</v>
      </c>
      <c r="CX60" s="133" t="s">
        <v>199</v>
      </c>
      <c r="CY60" s="133" t="s">
        <v>165</v>
      </c>
      <c r="CZ60" s="133" t="s">
        <v>165</v>
      </c>
      <c r="DA60" s="133" t="s">
        <v>165</v>
      </c>
      <c r="DB60" s="133" t="s">
        <v>165</v>
      </c>
      <c r="DC60" s="133" t="s">
        <v>165</v>
      </c>
      <c r="DD60" s="133" t="s">
        <v>165</v>
      </c>
      <c r="DE60" s="133" t="s">
        <v>165</v>
      </c>
      <c r="DF60" s="133" t="s">
        <v>165</v>
      </c>
      <c r="DG60" s="133" t="s">
        <v>165</v>
      </c>
      <c r="DH60" s="133" t="s">
        <v>165</v>
      </c>
      <c r="DI60" s="133" t="s">
        <v>165</v>
      </c>
      <c r="DJ60" s="133" t="s">
        <v>165</v>
      </c>
      <c r="DK60" s="145">
        <v>432.56244218316402</v>
      </c>
      <c r="DL60" t="s">
        <v>204</v>
      </c>
      <c r="DM60">
        <v>37.1</v>
      </c>
      <c r="DN60" t="s">
        <v>205</v>
      </c>
      <c r="DO60">
        <v>39.61</v>
      </c>
      <c r="DP60" t="s">
        <v>183</v>
      </c>
      <c r="DQ60" s="146">
        <f t="shared" si="9"/>
        <v>0.12471800000000001</v>
      </c>
      <c r="DR60" t="s">
        <v>184</v>
      </c>
      <c r="DS60" t="s">
        <v>200</v>
      </c>
      <c r="DT60" t="s">
        <v>201</v>
      </c>
      <c r="DU60">
        <v>1.0271999999999999</v>
      </c>
      <c r="DV60" t="s">
        <v>165</v>
      </c>
      <c r="DW60" t="s">
        <v>165</v>
      </c>
      <c r="DX60" t="s">
        <v>197</v>
      </c>
      <c r="DY60" t="s">
        <v>181</v>
      </c>
      <c r="DZ60" t="s">
        <v>181</v>
      </c>
      <c r="EA60" t="s">
        <v>202</v>
      </c>
      <c r="EB60" t="s">
        <v>203</v>
      </c>
      <c r="EC60" s="147" t="s">
        <v>206</v>
      </c>
      <c r="ED60" s="147" t="s">
        <v>206</v>
      </c>
      <c r="EE60" s="133" t="s">
        <v>165</v>
      </c>
      <c r="EF60" s="133" t="s">
        <v>165</v>
      </c>
      <c r="EG60" s="133" t="s">
        <v>165</v>
      </c>
      <c r="EH60" t="s">
        <v>185</v>
      </c>
      <c r="EI60" t="s">
        <v>179</v>
      </c>
      <c r="EJ60" t="s">
        <v>165</v>
      </c>
      <c r="EK60">
        <v>2386</v>
      </c>
      <c r="EL60" s="147" t="s">
        <v>211</v>
      </c>
      <c r="EM60" s="147">
        <v>175</v>
      </c>
      <c r="EN60">
        <v>175</v>
      </c>
      <c r="EO60" t="s">
        <v>165</v>
      </c>
      <c r="EP60" t="s">
        <v>165</v>
      </c>
      <c r="EQ60" t="s">
        <v>165</v>
      </c>
      <c r="ER60" t="s">
        <v>165</v>
      </c>
      <c r="ES60" s="148">
        <v>8.1605533440888003</v>
      </c>
      <c r="ET60" t="s">
        <v>187</v>
      </c>
      <c r="EU60" s="133" t="s">
        <v>165</v>
      </c>
      <c r="EV60" s="133" t="s">
        <v>165</v>
      </c>
      <c r="EW60" s="149">
        <v>283.251188330194</v>
      </c>
      <c r="EX60">
        <v>21</v>
      </c>
      <c r="EY60" t="s">
        <v>186</v>
      </c>
      <c r="EZ60" s="149">
        <v>262.251188330194</v>
      </c>
      <c r="FA60" s="149">
        <v>39.463201015588027</v>
      </c>
      <c r="FB60" s="149">
        <v>35.708306927115984</v>
      </c>
      <c r="FC60" t="s">
        <v>176</v>
      </c>
      <c r="FD60" t="s">
        <v>188</v>
      </c>
      <c r="FE60" t="s">
        <v>165</v>
      </c>
      <c r="FF60" t="s">
        <v>165</v>
      </c>
      <c r="FG60" t="s">
        <v>165</v>
      </c>
      <c r="FH60" t="s">
        <v>165</v>
      </c>
      <c r="FI60" t="s">
        <v>165</v>
      </c>
      <c r="FJ60" t="s">
        <v>165</v>
      </c>
      <c r="FK60" t="s">
        <v>165</v>
      </c>
      <c r="FL60" t="s">
        <v>165</v>
      </c>
      <c r="FM60" t="s">
        <v>165</v>
      </c>
      <c r="FN60" t="s">
        <v>165</v>
      </c>
      <c r="FO60" t="s">
        <v>165</v>
      </c>
      <c r="FP60" t="s">
        <v>165</v>
      </c>
    </row>
    <row r="61" spans="1:172">
      <c r="A61" s="131" t="s">
        <v>154</v>
      </c>
      <c r="B61" t="s">
        <v>155</v>
      </c>
      <c r="C61">
        <v>2017</v>
      </c>
      <c r="D61" s="132" t="s">
        <v>156</v>
      </c>
      <c r="E61" s="145">
        <f t="shared" si="1"/>
        <v>250.07</v>
      </c>
      <c r="F61">
        <f t="shared" si="2"/>
        <v>2</v>
      </c>
      <c r="G61">
        <f t="shared" si="3"/>
        <v>2</v>
      </c>
      <c r="H61" s="149">
        <f t="shared" si="4"/>
        <v>222.839039102828</v>
      </c>
      <c r="I61" s="149">
        <f t="shared" si="5"/>
        <v>35.57059120549502</v>
      </c>
      <c r="J61" s="149">
        <f t="shared" si="6"/>
        <v>33.120287849253998</v>
      </c>
      <c r="K61" t="s">
        <v>209</v>
      </c>
      <c r="L61" s="132" t="s">
        <v>210</v>
      </c>
      <c r="M61" s="1" t="s">
        <v>157</v>
      </c>
      <c r="N61" s="132" t="s">
        <v>156</v>
      </c>
      <c r="O61" t="s">
        <v>158</v>
      </c>
      <c r="P61" s="136" t="s">
        <v>159</v>
      </c>
      <c r="Q61" s="136">
        <v>2</v>
      </c>
      <c r="R61" s="136">
        <v>2</v>
      </c>
      <c r="S61" s="136">
        <v>23</v>
      </c>
      <c r="T61" s="136">
        <v>24</v>
      </c>
      <c r="U61" s="136">
        <v>9.33</v>
      </c>
      <c r="V61" s="136">
        <v>9.33</v>
      </c>
      <c r="W61" t="s">
        <v>165</v>
      </c>
      <c r="X61" t="s">
        <v>160</v>
      </c>
      <c r="Y61" s="135">
        <v>12.74</v>
      </c>
      <c r="Z61" s="135">
        <v>-78.739999999999995</v>
      </c>
      <c r="AA61" t="s">
        <v>165</v>
      </c>
      <c r="AB61" t="s">
        <v>165</v>
      </c>
      <c r="AC61">
        <v>-2839</v>
      </c>
      <c r="AD61" t="s">
        <v>165</v>
      </c>
      <c r="AE61" t="s">
        <v>165</v>
      </c>
      <c r="AF61" t="s">
        <v>165</v>
      </c>
      <c r="AG61" s="145">
        <v>250.07</v>
      </c>
      <c r="AH61" t="s">
        <v>163</v>
      </c>
      <c r="AI61">
        <v>2</v>
      </c>
      <c r="AJ61">
        <v>2</v>
      </c>
      <c r="AK61" t="s">
        <v>165</v>
      </c>
      <c r="AL61" t="s">
        <v>164</v>
      </c>
      <c r="AM61" t="s">
        <v>165</v>
      </c>
      <c r="AN61" t="s">
        <v>165</v>
      </c>
      <c r="AO61" t="s">
        <v>165</v>
      </c>
      <c r="AP61" t="s">
        <v>165</v>
      </c>
      <c r="AQ61" t="s">
        <v>165</v>
      </c>
      <c r="AR61" t="s">
        <v>165</v>
      </c>
      <c r="AS61" t="s">
        <v>165</v>
      </c>
      <c r="AT61" t="s">
        <v>165</v>
      </c>
      <c r="AU61" t="s">
        <v>166</v>
      </c>
      <c r="AV61" t="s">
        <v>167</v>
      </c>
      <c r="AW61" t="s">
        <v>168</v>
      </c>
      <c r="AX61" s="154">
        <v>2</v>
      </c>
      <c r="AY61" t="s">
        <v>169</v>
      </c>
      <c r="AZ61" t="s">
        <v>170</v>
      </c>
      <c r="BA61" t="s">
        <v>171</v>
      </c>
      <c r="BB61" t="s">
        <v>165</v>
      </c>
      <c r="BC61" s="154">
        <v>2</v>
      </c>
      <c r="BD61" s="133" t="s">
        <v>165</v>
      </c>
      <c r="BE61" s="146">
        <v>21.001365960000001</v>
      </c>
      <c r="BF61" t="s">
        <v>172</v>
      </c>
      <c r="BG61" s="146">
        <v>0.21711803800000001</v>
      </c>
      <c r="BH61">
        <v>0.64</v>
      </c>
      <c r="BI61" t="s">
        <v>173</v>
      </c>
      <c r="BJ61">
        <v>3.4000000000000002E-2</v>
      </c>
      <c r="BK61">
        <v>9.1</v>
      </c>
      <c r="BL61" t="s">
        <v>163</v>
      </c>
      <c r="BM61">
        <v>0.56000000000000005</v>
      </c>
      <c r="BN61" t="s">
        <v>174</v>
      </c>
      <c r="BO61" t="s">
        <v>175</v>
      </c>
      <c r="BP61" s="155">
        <f t="shared" si="7"/>
        <v>20.21894326666667</v>
      </c>
      <c r="BQ61" s="133" t="s">
        <v>183</v>
      </c>
      <c r="BR61" s="133" t="s">
        <v>165</v>
      </c>
      <c r="BS61" s="133" t="s">
        <v>165</v>
      </c>
      <c r="BT61" t="s">
        <v>176</v>
      </c>
      <c r="BU61" s="133">
        <v>10</v>
      </c>
      <c r="BV61" s="133" t="s">
        <v>198</v>
      </c>
      <c r="BW61" s="133" t="s">
        <v>165</v>
      </c>
      <c r="BX61" s="145">
        <v>26.36</v>
      </c>
      <c r="BY61" t="s">
        <v>163</v>
      </c>
      <c r="BZ61">
        <v>3</v>
      </c>
      <c r="CA61">
        <v>3</v>
      </c>
      <c r="CB61" t="s">
        <v>165</v>
      </c>
      <c r="CC61" s="146">
        <v>4.0729728930561304</v>
      </c>
      <c r="CD61" t="s">
        <v>180</v>
      </c>
      <c r="CE61" s="146">
        <v>0.16291891572224523</v>
      </c>
      <c r="CF61" s="146">
        <v>0.16291891572224523</v>
      </c>
      <c r="CG61" s="156" t="s">
        <v>165</v>
      </c>
      <c r="CH61" t="s">
        <v>207</v>
      </c>
      <c r="CI61" t="s">
        <v>165</v>
      </c>
      <c r="CJ61" t="s">
        <v>178</v>
      </c>
      <c r="CK61" t="s">
        <v>181</v>
      </c>
      <c r="CL61" t="s">
        <v>181</v>
      </c>
      <c r="CM61" t="s">
        <v>181</v>
      </c>
      <c r="CN61" t="s">
        <v>165</v>
      </c>
      <c r="CO61" t="s">
        <v>165</v>
      </c>
      <c r="CP61" t="s">
        <v>165</v>
      </c>
      <c r="CQ61" t="s">
        <v>165</v>
      </c>
      <c r="CR61" t="s">
        <v>165</v>
      </c>
      <c r="CS61" t="s">
        <v>165</v>
      </c>
      <c r="CT61" t="s">
        <v>165</v>
      </c>
      <c r="CU61">
        <v>35</v>
      </c>
      <c r="CV61" t="s">
        <v>183</v>
      </c>
      <c r="CW61" s="154">
        <v>3</v>
      </c>
      <c r="CX61" s="133" t="s">
        <v>199</v>
      </c>
      <c r="CY61" s="133" t="s">
        <v>165</v>
      </c>
      <c r="CZ61" s="133" t="s">
        <v>165</v>
      </c>
      <c r="DA61" s="133" t="s">
        <v>165</v>
      </c>
      <c r="DB61" s="133" t="s">
        <v>165</v>
      </c>
      <c r="DC61" s="133" t="s">
        <v>165</v>
      </c>
      <c r="DD61" s="133" t="s">
        <v>165</v>
      </c>
      <c r="DE61" s="133" t="s">
        <v>165</v>
      </c>
      <c r="DF61" s="133" t="s">
        <v>165</v>
      </c>
      <c r="DG61" s="133" t="s">
        <v>165</v>
      </c>
      <c r="DH61" s="133" t="s">
        <v>165</v>
      </c>
      <c r="DI61" s="133" t="s">
        <v>165</v>
      </c>
      <c r="DJ61" s="133" t="s">
        <v>165</v>
      </c>
      <c r="DK61" s="145">
        <v>432.56244218316402</v>
      </c>
      <c r="DL61" t="s">
        <v>204</v>
      </c>
      <c r="DM61">
        <v>37.1</v>
      </c>
      <c r="DN61" t="s">
        <v>205</v>
      </c>
      <c r="DO61">
        <v>39.61</v>
      </c>
      <c r="DP61" t="s">
        <v>183</v>
      </c>
      <c r="DQ61" s="146">
        <f t="shared" si="9"/>
        <v>0.12500700000000001</v>
      </c>
      <c r="DR61" t="s">
        <v>184</v>
      </c>
      <c r="DS61" t="s">
        <v>200</v>
      </c>
      <c r="DT61" t="s">
        <v>201</v>
      </c>
      <c r="DU61">
        <v>1.0271999999999999</v>
      </c>
      <c r="DV61" t="s">
        <v>165</v>
      </c>
      <c r="DW61" t="s">
        <v>165</v>
      </c>
      <c r="DX61" t="s">
        <v>197</v>
      </c>
      <c r="DY61" t="s">
        <v>181</v>
      </c>
      <c r="DZ61" t="s">
        <v>181</v>
      </c>
      <c r="EA61" t="s">
        <v>202</v>
      </c>
      <c r="EB61" t="s">
        <v>203</v>
      </c>
      <c r="EC61" s="147" t="s">
        <v>206</v>
      </c>
      <c r="ED61" s="147" t="s">
        <v>206</v>
      </c>
      <c r="EE61" s="133" t="s">
        <v>165</v>
      </c>
      <c r="EF61" s="133" t="s">
        <v>165</v>
      </c>
      <c r="EG61" s="133" t="s">
        <v>165</v>
      </c>
      <c r="EH61" t="s">
        <v>185</v>
      </c>
      <c r="EI61" t="s">
        <v>179</v>
      </c>
      <c r="EJ61" t="s">
        <v>165</v>
      </c>
      <c r="EK61">
        <v>2387</v>
      </c>
      <c r="EL61" s="147" t="s">
        <v>211</v>
      </c>
      <c r="EM61" s="147">
        <v>175</v>
      </c>
      <c r="EN61">
        <v>175</v>
      </c>
      <c r="EO61" t="s">
        <v>165</v>
      </c>
      <c r="EP61" t="s">
        <v>165</v>
      </c>
      <c r="EQ61" t="s">
        <v>165</v>
      </c>
      <c r="ER61" t="s">
        <v>165</v>
      </c>
      <c r="ES61" s="148">
        <v>8.2100127707091204</v>
      </c>
      <c r="ET61" t="s">
        <v>187</v>
      </c>
      <c r="EU61" s="133" t="s">
        <v>165</v>
      </c>
      <c r="EV61" s="133" t="s">
        <v>165</v>
      </c>
      <c r="EW61" s="149">
        <v>243.839039102828</v>
      </c>
      <c r="EX61">
        <v>21</v>
      </c>
      <c r="EY61" t="s">
        <v>186</v>
      </c>
      <c r="EZ61" s="149">
        <v>222.839039102828</v>
      </c>
      <c r="FA61" s="149">
        <v>35.57059120549502</v>
      </c>
      <c r="FB61" s="149">
        <v>33.120287849253998</v>
      </c>
      <c r="FC61" t="s">
        <v>176</v>
      </c>
      <c r="FD61" t="s">
        <v>188</v>
      </c>
      <c r="FE61" t="s">
        <v>165</v>
      </c>
      <c r="FF61" t="s">
        <v>165</v>
      </c>
      <c r="FG61" t="s">
        <v>165</v>
      </c>
      <c r="FH61" t="s">
        <v>165</v>
      </c>
      <c r="FI61" t="s">
        <v>165</v>
      </c>
      <c r="FJ61" t="s">
        <v>165</v>
      </c>
      <c r="FK61" t="s">
        <v>165</v>
      </c>
      <c r="FL61" t="s">
        <v>165</v>
      </c>
      <c r="FM61" t="s">
        <v>165</v>
      </c>
      <c r="FN61" t="s">
        <v>165</v>
      </c>
      <c r="FO61" t="s">
        <v>165</v>
      </c>
      <c r="FP61" t="s">
        <v>165</v>
      </c>
    </row>
    <row r="62" spans="1:172">
      <c r="A62" s="131" t="s">
        <v>154</v>
      </c>
      <c r="B62" t="s">
        <v>155</v>
      </c>
      <c r="C62">
        <v>2017</v>
      </c>
      <c r="D62" s="132" t="s">
        <v>156</v>
      </c>
      <c r="E62" s="145">
        <f t="shared" si="1"/>
        <v>257.83999999999997</v>
      </c>
      <c r="F62">
        <f t="shared" si="2"/>
        <v>2</v>
      </c>
      <c r="G62">
        <f t="shared" si="3"/>
        <v>2</v>
      </c>
      <c r="H62" s="149">
        <f t="shared" si="4"/>
        <v>232.39739818482099</v>
      </c>
      <c r="I62" s="149">
        <f t="shared" si="5"/>
        <v>36.903785025357024</v>
      </c>
      <c r="J62" s="149">
        <f t="shared" si="6"/>
        <v>33.432257991064972</v>
      </c>
      <c r="K62" t="s">
        <v>209</v>
      </c>
      <c r="L62" s="132" t="s">
        <v>210</v>
      </c>
      <c r="M62" s="1" t="s">
        <v>157</v>
      </c>
      <c r="N62" s="132" t="s">
        <v>156</v>
      </c>
      <c r="O62" t="s">
        <v>158</v>
      </c>
      <c r="P62" s="136" t="s">
        <v>159</v>
      </c>
      <c r="Q62" s="136">
        <v>2</v>
      </c>
      <c r="R62" s="136">
        <v>2</v>
      </c>
      <c r="S62" s="136">
        <v>63</v>
      </c>
      <c r="T62" s="136">
        <f>S62+2</f>
        <v>65</v>
      </c>
      <c r="U62" s="136">
        <v>9.73</v>
      </c>
      <c r="V62" s="136">
        <v>9.73</v>
      </c>
      <c r="W62" t="s">
        <v>165</v>
      </c>
      <c r="X62" t="s">
        <v>160</v>
      </c>
      <c r="Y62" s="135">
        <v>12.74</v>
      </c>
      <c r="Z62" s="135">
        <v>-78.739999999999995</v>
      </c>
      <c r="AA62" t="s">
        <v>165</v>
      </c>
      <c r="AB62" t="s">
        <v>165</v>
      </c>
      <c r="AC62">
        <v>-2839</v>
      </c>
      <c r="AD62" t="s">
        <v>165</v>
      </c>
      <c r="AE62" t="s">
        <v>165</v>
      </c>
      <c r="AF62" t="s">
        <v>165</v>
      </c>
      <c r="AG62" s="145">
        <v>257.83999999999997</v>
      </c>
      <c r="AH62" t="s">
        <v>163</v>
      </c>
      <c r="AI62">
        <v>2</v>
      </c>
      <c r="AJ62">
        <v>2</v>
      </c>
      <c r="AK62" t="s">
        <v>165</v>
      </c>
      <c r="AL62" t="s">
        <v>164</v>
      </c>
      <c r="AM62" t="s">
        <v>165</v>
      </c>
      <c r="AN62" t="s">
        <v>165</v>
      </c>
      <c r="AO62" t="s">
        <v>165</v>
      </c>
      <c r="AP62" t="s">
        <v>165</v>
      </c>
      <c r="AQ62" t="s">
        <v>165</v>
      </c>
      <c r="AR62" t="s">
        <v>165</v>
      </c>
      <c r="AS62" t="s">
        <v>165</v>
      </c>
      <c r="AT62" t="s">
        <v>165</v>
      </c>
      <c r="AU62" t="s">
        <v>166</v>
      </c>
      <c r="AV62" t="s">
        <v>167</v>
      </c>
      <c r="AW62" t="s">
        <v>168</v>
      </c>
      <c r="AX62" s="154">
        <v>2</v>
      </c>
      <c r="AY62" t="s">
        <v>169</v>
      </c>
      <c r="AZ62" t="s">
        <v>170</v>
      </c>
      <c r="BA62" t="s">
        <v>171</v>
      </c>
      <c r="BB62" t="s">
        <v>165</v>
      </c>
      <c r="BC62" s="154">
        <v>2</v>
      </c>
      <c r="BD62" s="133" t="s">
        <v>165</v>
      </c>
      <c r="BE62" s="146">
        <v>20.843040089999999</v>
      </c>
      <c r="BF62" t="s">
        <v>172</v>
      </c>
      <c r="BG62" s="146">
        <v>0.19765560400000001</v>
      </c>
      <c r="BH62">
        <v>0.64</v>
      </c>
      <c r="BI62" t="s">
        <v>173</v>
      </c>
      <c r="BJ62">
        <v>3.4000000000000002E-2</v>
      </c>
      <c r="BK62">
        <v>9.1</v>
      </c>
      <c r="BL62" t="s">
        <v>163</v>
      </c>
      <c r="BM62">
        <v>0.56000000000000005</v>
      </c>
      <c r="BN62" t="s">
        <v>174</v>
      </c>
      <c r="BO62" t="s">
        <v>175</v>
      </c>
      <c r="BP62" s="155">
        <f t="shared" si="7"/>
        <v>19.955066816666665</v>
      </c>
      <c r="BQ62" s="133" t="s">
        <v>183</v>
      </c>
      <c r="BR62" s="133" t="s">
        <v>165</v>
      </c>
      <c r="BS62" s="133" t="s">
        <v>165</v>
      </c>
      <c r="BT62" t="s">
        <v>176</v>
      </c>
      <c r="BU62" s="133">
        <v>10</v>
      </c>
      <c r="BV62" s="133" t="s">
        <v>198</v>
      </c>
      <c r="BW62" s="133" t="s">
        <v>165</v>
      </c>
      <c r="BX62" s="145">
        <v>25.55</v>
      </c>
      <c r="BY62" t="s">
        <v>163</v>
      </c>
      <c r="BZ62">
        <v>3</v>
      </c>
      <c r="CA62">
        <v>3</v>
      </c>
      <c r="CB62" t="s">
        <v>165</v>
      </c>
      <c r="CC62" s="146">
        <v>3.7879258128868036</v>
      </c>
      <c r="CD62" t="s">
        <v>180</v>
      </c>
      <c r="CE62" s="146">
        <v>0.15151703251547216</v>
      </c>
      <c r="CF62" s="146">
        <v>0.15151703251547216</v>
      </c>
      <c r="CG62" s="156" t="s">
        <v>165</v>
      </c>
      <c r="CH62" t="s">
        <v>207</v>
      </c>
      <c r="CI62" t="s">
        <v>165</v>
      </c>
      <c r="CJ62" t="s">
        <v>178</v>
      </c>
      <c r="CK62" t="s">
        <v>181</v>
      </c>
      <c r="CL62" t="s">
        <v>181</v>
      </c>
      <c r="CM62" t="s">
        <v>181</v>
      </c>
      <c r="CN62" t="s">
        <v>165</v>
      </c>
      <c r="CO62" t="s">
        <v>165</v>
      </c>
      <c r="CP62" t="s">
        <v>165</v>
      </c>
      <c r="CQ62" t="s">
        <v>165</v>
      </c>
      <c r="CR62" t="s">
        <v>165</v>
      </c>
      <c r="CS62" t="s">
        <v>165</v>
      </c>
      <c r="CT62" t="s">
        <v>165</v>
      </c>
      <c r="CU62">
        <v>35</v>
      </c>
      <c r="CV62" t="s">
        <v>183</v>
      </c>
      <c r="CW62" s="154">
        <v>3</v>
      </c>
      <c r="CX62" s="133" t="s">
        <v>199</v>
      </c>
      <c r="CY62" s="133" t="s">
        <v>165</v>
      </c>
      <c r="CZ62" s="133" t="s">
        <v>165</v>
      </c>
      <c r="DA62" s="133" t="s">
        <v>165</v>
      </c>
      <c r="DB62" s="133" t="s">
        <v>165</v>
      </c>
      <c r="DC62" s="133" t="s">
        <v>165</v>
      </c>
      <c r="DD62" s="133" t="s">
        <v>165</v>
      </c>
      <c r="DE62" s="133" t="s">
        <v>165</v>
      </c>
      <c r="DF62" s="133" t="s">
        <v>165</v>
      </c>
      <c r="DG62" s="133" t="s">
        <v>165</v>
      </c>
      <c r="DH62" s="133" t="s">
        <v>165</v>
      </c>
      <c r="DI62" s="133" t="s">
        <v>165</v>
      </c>
      <c r="DJ62" s="133" t="s">
        <v>165</v>
      </c>
      <c r="DK62" s="145">
        <v>432.56244218316402</v>
      </c>
      <c r="DL62" t="s">
        <v>204</v>
      </c>
      <c r="DM62">
        <v>37.1</v>
      </c>
      <c r="DN62" t="s">
        <v>205</v>
      </c>
      <c r="DO62">
        <v>39.61</v>
      </c>
      <c r="DP62" t="s">
        <v>183</v>
      </c>
      <c r="DQ62" s="146">
        <f t="shared" si="9"/>
        <v>0.12578400000000001</v>
      </c>
      <c r="DR62" t="s">
        <v>184</v>
      </c>
      <c r="DS62" t="s">
        <v>200</v>
      </c>
      <c r="DT62" t="s">
        <v>201</v>
      </c>
      <c r="DU62">
        <v>1.0271999999999999</v>
      </c>
      <c r="DV62" t="s">
        <v>165</v>
      </c>
      <c r="DW62" t="s">
        <v>165</v>
      </c>
      <c r="DX62" t="s">
        <v>197</v>
      </c>
      <c r="DY62" t="s">
        <v>181</v>
      </c>
      <c r="DZ62" t="s">
        <v>181</v>
      </c>
      <c r="EA62" t="s">
        <v>202</v>
      </c>
      <c r="EB62" t="s">
        <v>203</v>
      </c>
      <c r="EC62" s="147" t="s">
        <v>206</v>
      </c>
      <c r="ED62" s="147" t="s">
        <v>206</v>
      </c>
      <c r="EE62" s="133" t="s">
        <v>165</v>
      </c>
      <c r="EF62" s="133" t="s">
        <v>165</v>
      </c>
      <c r="EG62" s="133" t="s">
        <v>165</v>
      </c>
      <c r="EH62" t="s">
        <v>185</v>
      </c>
      <c r="EI62" t="s">
        <v>179</v>
      </c>
      <c r="EJ62" t="s">
        <v>165</v>
      </c>
      <c r="EK62">
        <v>2388</v>
      </c>
      <c r="EL62" s="147" t="s">
        <v>211</v>
      </c>
      <c r="EM62" s="147">
        <v>175</v>
      </c>
      <c r="EN62">
        <v>175</v>
      </c>
      <c r="EO62" t="s">
        <v>165</v>
      </c>
      <c r="EP62" t="s">
        <v>165</v>
      </c>
      <c r="EQ62" t="s">
        <v>165</v>
      </c>
      <c r="ER62" t="s">
        <v>165</v>
      </c>
      <c r="ES62" s="148">
        <v>8.1986125494401794</v>
      </c>
      <c r="ET62" t="s">
        <v>187</v>
      </c>
      <c r="EU62" s="133" t="s">
        <v>165</v>
      </c>
      <c r="EV62" s="133" t="s">
        <v>165</v>
      </c>
      <c r="EW62" s="149">
        <v>253.39739818482099</v>
      </c>
      <c r="EX62">
        <v>21</v>
      </c>
      <c r="EY62" t="s">
        <v>186</v>
      </c>
      <c r="EZ62" s="149">
        <v>232.39739818482099</v>
      </c>
      <c r="FA62" s="149">
        <v>36.903785025357024</v>
      </c>
      <c r="FB62" s="149">
        <v>33.432257991064972</v>
      </c>
      <c r="FC62" t="s">
        <v>176</v>
      </c>
      <c r="FD62" t="s">
        <v>188</v>
      </c>
      <c r="FE62" t="s">
        <v>165</v>
      </c>
      <c r="FF62" t="s">
        <v>165</v>
      </c>
      <c r="FG62" t="s">
        <v>165</v>
      </c>
      <c r="FH62" t="s">
        <v>165</v>
      </c>
      <c r="FI62" t="s">
        <v>165</v>
      </c>
      <c r="FJ62" t="s">
        <v>165</v>
      </c>
      <c r="FK62" t="s">
        <v>165</v>
      </c>
      <c r="FL62" t="s">
        <v>165</v>
      </c>
      <c r="FM62" t="s">
        <v>165</v>
      </c>
      <c r="FN62" t="s">
        <v>165</v>
      </c>
      <c r="FO62" t="s">
        <v>165</v>
      </c>
      <c r="FP62" t="s">
        <v>165</v>
      </c>
    </row>
    <row r="63" spans="1:172">
      <c r="A63" s="131" t="s">
        <v>154</v>
      </c>
      <c r="B63" t="s">
        <v>155</v>
      </c>
      <c r="C63">
        <v>2017</v>
      </c>
      <c r="D63" s="132" t="s">
        <v>156</v>
      </c>
      <c r="E63" s="145">
        <f t="shared" si="1"/>
        <v>1087.26</v>
      </c>
      <c r="F63">
        <f t="shared" si="2"/>
        <v>2</v>
      </c>
      <c r="G63">
        <f t="shared" si="3"/>
        <v>2</v>
      </c>
      <c r="H63" s="149">
        <f t="shared" si="4"/>
        <v>228.15143019999999</v>
      </c>
      <c r="I63" s="149">
        <f t="shared" si="5"/>
        <v>35.212054852921995</v>
      </c>
      <c r="J63" s="149">
        <f t="shared" si="6"/>
        <v>33.890128449640002</v>
      </c>
      <c r="K63" t="s">
        <v>209</v>
      </c>
      <c r="L63" s="132" t="s">
        <v>210</v>
      </c>
      <c r="M63" s="1" t="s">
        <v>157</v>
      </c>
      <c r="N63" s="132" t="s">
        <v>156</v>
      </c>
      <c r="O63" t="s">
        <v>158</v>
      </c>
      <c r="P63" s="139" t="s">
        <v>162</v>
      </c>
      <c r="Q63" s="139">
        <v>4</v>
      </c>
      <c r="R63" s="139">
        <v>7</v>
      </c>
      <c r="S63" s="140">
        <v>22</v>
      </c>
      <c r="T63" s="140">
        <f t="shared" ref="T63:T113" si="12">S63+2</f>
        <v>24</v>
      </c>
      <c r="U63" s="141">
        <v>35.82</v>
      </c>
      <c r="V63" s="141">
        <v>35.82</v>
      </c>
      <c r="W63" t="s">
        <v>165</v>
      </c>
      <c r="X63" t="s">
        <v>160</v>
      </c>
      <c r="Y63" s="135">
        <v>12.74</v>
      </c>
      <c r="Z63" s="135">
        <v>-78.739999999999995</v>
      </c>
      <c r="AA63" t="s">
        <v>165</v>
      </c>
      <c r="AB63" t="s">
        <v>165</v>
      </c>
      <c r="AC63">
        <v>-2839</v>
      </c>
      <c r="AD63" t="s">
        <v>165</v>
      </c>
      <c r="AE63" t="s">
        <v>165</v>
      </c>
      <c r="AF63" t="s">
        <v>165</v>
      </c>
      <c r="AG63">
        <v>1087.26</v>
      </c>
      <c r="AH63" t="s">
        <v>163</v>
      </c>
      <c r="AI63">
        <v>2</v>
      </c>
      <c r="AJ63">
        <v>2</v>
      </c>
      <c r="AK63" t="s">
        <v>165</v>
      </c>
      <c r="AL63" t="s">
        <v>164</v>
      </c>
      <c r="AM63" t="s">
        <v>165</v>
      </c>
      <c r="AN63" t="s">
        <v>165</v>
      </c>
      <c r="AO63" t="s">
        <v>165</v>
      </c>
      <c r="AP63" t="s">
        <v>165</v>
      </c>
      <c r="AQ63" t="s">
        <v>165</v>
      </c>
      <c r="AR63" t="s">
        <v>165</v>
      </c>
      <c r="AS63" t="s">
        <v>165</v>
      </c>
      <c r="AT63" t="s">
        <v>165</v>
      </c>
      <c r="AU63" t="s">
        <v>166</v>
      </c>
      <c r="AV63" t="s">
        <v>167</v>
      </c>
      <c r="AW63" t="s">
        <v>168</v>
      </c>
      <c r="AX63" s="154">
        <v>2</v>
      </c>
      <c r="AY63" t="s">
        <v>169</v>
      </c>
      <c r="AZ63" t="s">
        <v>170</v>
      </c>
      <c r="BA63" t="s">
        <v>171</v>
      </c>
      <c r="BB63" t="s">
        <v>165</v>
      </c>
      <c r="BC63" s="154">
        <v>2</v>
      </c>
      <c r="BD63" s="133" t="s">
        <v>165</v>
      </c>
      <c r="BE63" s="146">
        <v>20.82</v>
      </c>
      <c r="BF63" t="s">
        <v>172</v>
      </c>
      <c r="BG63" s="146">
        <v>0.18918473</v>
      </c>
      <c r="BH63">
        <v>0.64</v>
      </c>
      <c r="BI63" t="s">
        <v>173</v>
      </c>
      <c r="BJ63">
        <v>3.4000000000000002E-2</v>
      </c>
      <c r="BK63">
        <v>9.1</v>
      </c>
      <c r="BL63" t="s">
        <v>163</v>
      </c>
      <c r="BM63">
        <v>0.56000000000000005</v>
      </c>
      <c r="BN63" t="s">
        <v>174</v>
      </c>
      <c r="BO63" t="s">
        <v>175</v>
      </c>
      <c r="BP63" s="155">
        <f t="shared" si="7"/>
        <v>19.916666666666668</v>
      </c>
      <c r="BQ63" s="133" t="s">
        <v>183</v>
      </c>
      <c r="BR63" s="133" t="s">
        <v>165</v>
      </c>
      <c r="BS63" s="133" t="s">
        <v>165</v>
      </c>
      <c r="BT63" t="s">
        <v>176</v>
      </c>
      <c r="BU63" s="133">
        <v>10</v>
      </c>
      <c r="BV63" s="133" t="s">
        <v>198</v>
      </c>
      <c r="BW63" s="133" t="s">
        <v>165</v>
      </c>
      <c r="BX63" s="145">
        <v>25.57223978</v>
      </c>
      <c r="BY63" t="s">
        <v>163</v>
      </c>
      <c r="BZ63">
        <v>3</v>
      </c>
      <c r="CA63">
        <v>3</v>
      </c>
      <c r="CB63" t="s">
        <v>165</v>
      </c>
      <c r="CC63" s="146">
        <v>3.5943873383134841</v>
      </c>
      <c r="CD63" t="s">
        <v>180</v>
      </c>
      <c r="CE63" s="146">
        <f>CC63*0.04</f>
        <v>0.14377549353253938</v>
      </c>
      <c r="CF63" s="146">
        <v>0.14377549353253938</v>
      </c>
      <c r="CG63" s="156" t="s">
        <v>165</v>
      </c>
      <c r="CH63" t="s">
        <v>207</v>
      </c>
      <c r="CI63" t="s">
        <v>165</v>
      </c>
      <c r="CJ63" t="s">
        <v>178</v>
      </c>
      <c r="CK63" t="s">
        <v>181</v>
      </c>
      <c r="CL63" t="s">
        <v>181</v>
      </c>
      <c r="CM63" t="s">
        <v>181</v>
      </c>
      <c r="CN63" t="s">
        <v>165</v>
      </c>
      <c r="CO63" t="s">
        <v>165</v>
      </c>
      <c r="CP63" t="s">
        <v>165</v>
      </c>
      <c r="CQ63" t="s">
        <v>165</v>
      </c>
      <c r="CR63" t="s">
        <v>165</v>
      </c>
      <c r="CS63" t="s">
        <v>165</v>
      </c>
      <c r="CT63" t="s">
        <v>165</v>
      </c>
      <c r="CU63">
        <v>35</v>
      </c>
      <c r="CV63" t="s">
        <v>183</v>
      </c>
      <c r="CW63" s="154">
        <v>3</v>
      </c>
      <c r="CX63" s="133" t="s">
        <v>199</v>
      </c>
      <c r="CY63" s="133" t="s">
        <v>165</v>
      </c>
      <c r="CZ63" s="133" t="s">
        <v>165</v>
      </c>
      <c r="DA63" s="133" t="s">
        <v>165</v>
      </c>
      <c r="DB63" s="133" t="s">
        <v>165</v>
      </c>
      <c r="DC63" s="133" t="s">
        <v>165</v>
      </c>
      <c r="DD63" s="133" t="s">
        <v>165</v>
      </c>
      <c r="DE63" s="133" t="s">
        <v>165</v>
      </c>
      <c r="DF63" s="133" t="s">
        <v>165</v>
      </c>
      <c r="DG63" s="133" t="s">
        <v>165</v>
      </c>
      <c r="DH63" s="133" t="s">
        <v>165</v>
      </c>
      <c r="DI63" s="133" t="s">
        <v>165</v>
      </c>
      <c r="DJ63" s="133" t="s">
        <v>165</v>
      </c>
      <c r="DK63" s="145">
        <v>432.56244218316402</v>
      </c>
      <c r="DL63" t="s">
        <v>204</v>
      </c>
      <c r="DM63">
        <v>37.1</v>
      </c>
      <c r="DN63" t="s">
        <v>205</v>
      </c>
      <c r="DO63">
        <v>39.61</v>
      </c>
      <c r="DP63" t="s">
        <v>183</v>
      </c>
      <c r="DQ63" s="146">
        <f t="shared" si="9"/>
        <v>0.20872600000000002</v>
      </c>
      <c r="DR63" t="s">
        <v>184</v>
      </c>
      <c r="DS63" t="s">
        <v>200</v>
      </c>
      <c r="DT63" t="s">
        <v>201</v>
      </c>
      <c r="DU63">
        <v>1.0271999999999999</v>
      </c>
      <c r="DV63" t="s">
        <v>165</v>
      </c>
      <c r="DW63" t="s">
        <v>165</v>
      </c>
      <c r="DX63" t="s">
        <v>197</v>
      </c>
      <c r="DY63" t="s">
        <v>181</v>
      </c>
      <c r="DZ63" t="s">
        <v>181</v>
      </c>
      <c r="EA63" t="s">
        <v>202</v>
      </c>
      <c r="EB63" t="s">
        <v>203</v>
      </c>
      <c r="EC63" s="147" t="s">
        <v>206</v>
      </c>
      <c r="ED63" s="147" t="s">
        <v>206</v>
      </c>
      <c r="EE63" s="133" t="s">
        <v>165</v>
      </c>
      <c r="EF63" s="133" t="s">
        <v>165</v>
      </c>
      <c r="EG63" s="133" t="s">
        <v>165</v>
      </c>
      <c r="EH63" t="s">
        <v>185</v>
      </c>
      <c r="EI63" t="s">
        <v>179</v>
      </c>
      <c r="EJ63" t="s">
        <v>165</v>
      </c>
      <c r="EK63">
        <v>2390</v>
      </c>
      <c r="EL63" s="147" t="s">
        <v>211</v>
      </c>
      <c r="EM63" s="147">
        <v>175</v>
      </c>
      <c r="EN63">
        <v>175</v>
      </c>
      <c r="EO63" t="s">
        <v>165</v>
      </c>
      <c r="EP63" t="s">
        <v>165</v>
      </c>
      <c r="EQ63" t="s">
        <v>165</v>
      </c>
      <c r="ER63" t="s">
        <v>165</v>
      </c>
      <c r="ES63" s="148">
        <v>8.2050288598265499</v>
      </c>
      <c r="ET63" t="s">
        <v>187</v>
      </c>
      <c r="EU63" s="133" t="s">
        <v>165</v>
      </c>
      <c r="EV63" s="133" t="s">
        <v>165</v>
      </c>
      <c r="EW63" s="149">
        <v>249.15143019999999</v>
      </c>
      <c r="EX63">
        <v>21</v>
      </c>
      <c r="EY63" t="s">
        <v>186</v>
      </c>
      <c r="EZ63" s="150">
        <v>228.15143019999999</v>
      </c>
      <c r="FA63" s="151">
        <v>35.212054852921995</v>
      </c>
      <c r="FB63" s="151">
        <v>33.890128449640002</v>
      </c>
      <c r="FC63" t="s">
        <v>176</v>
      </c>
      <c r="FD63" t="s">
        <v>188</v>
      </c>
      <c r="FE63" t="s">
        <v>165</v>
      </c>
      <c r="FF63" t="s">
        <v>165</v>
      </c>
      <c r="FG63" t="s">
        <v>165</v>
      </c>
      <c r="FH63" t="s">
        <v>165</v>
      </c>
      <c r="FI63" t="s">
        <v>165</v>
      </c>
      <c r="FJ63" t="s">
        <v>165</v>
      </c>
      <c r="FK63" t="s">
        <v>165</v>
      </c>
      <c r="FL63" t="s">
        <v>165</v>
      </c>
      <c r="FM63" t="s">
        <v>165</v>
      </c>
      <c r="FN63" t="s">
        <v>165</v>
      </c>
      <c r="FO63" t="s">
        <v>165</v>
      </c>
      <c r="FP63" t="s">
        <v>165</v>
      </c>
    </row>
    <row r="64" spans="1:172">
      <c r="A64" s="131" t="s">
        <v>154</v>
      </c>
      <c r="B64" t="s">
        <v>155</v>
      </c>
      <c r="C64">
        <v>2017</v>
      </c>
      <c r="D64" s="132" t="s">
        <v>156</v>
      </c>
      <c r="E64" s="145">
        <f t="shared" si="1"/>
        <v>1088.69</v>
      </c>
      <c r="F64">
        <f t="shared" si="2"/>
        <v>2</v>
      </c>
      <c r="G64">
        <f t="shared" si="3"/>
        <v>2</v>
      </c>
      <c r="H64" s="149">
        <f t="shared" si="4"/>
        <v>255.07799850000001</v>
      </c>
      <c r="I64" s="149">
        <f t="shared" si="5"/>
        <v>37.676053166275977</v>
      </c>
      <c r="J64" s="149">
        <f t="shared" si="6"/>
        <v>36.511324171299009</v>
      </c>
      <c r="K64" t="s">
        <v>209</v>
      </c>
      <c r="L64" s="132" t="s">
        <v>210</v>
      </c>
      <c r="M64" s="1" t="s">
        <v>157</v>
      </c>
      <c r="N64" s="132" t="s">
        <v>156</v>
      </c>
      <c r="O64" t="s">
        <v>158</v>
      </c>
      <c r="P64" s="139" t="s">
        <v>162</v>
      </c>
      <c r="Q64" s="139">
        <v>4</v>
      </c>
      <c r="R64" s="139">
        <v>7</v>
      </c>
      <c r="S64" s="140">
        <v>32.888376999999849</v>
      </c>
      <c r="T64" s="140">
        <f t="shared" si="12"/>
        <v>34.888376999999849</v>
      </c>
      <c r="U64" s="141">
        <v>35.929602459999998</v>
      </c>
      <c r="V64" s="141">
        <v>35.929602459999998</v>
      </c>
      <c r="W64" t="s">
        <v>165</v>
      </c>
      <c r="X64" t="s">
        <v>160</v>
      </c>
      <c r="Y64" s="135">
        <v>12.74</v>
      </c>
      <c r="Z64" s="135">
        <v>-78.739999999999995</v>
      </c>
      <c r="AA64" t="s">
        <v>165</v>
      </c>
      <c r="AB64" t="s">
        <v>165</v>
      </c>
      <c r="AC64">
        <v>-2839</v>
      </c>
      <c r="AD64" t="s">
        <v>165</v>
      </c>
      <c r="AE64" t="s">
        <v>165</v>
      </c>
      <c r="AF64" t="s">
        <v>165</v>
      </c>
      <c r="AG64">
        <v>1088.69</v>
      </c>
      <c r="AH64" t="s">
        <v>163</v>
      </c>
      <c r="AI64">
        <v>2</v>
      </c>
      <c r="AJ64">
        <v>2</v>
      </c>
      <c r="AK64" t="s">
        <v>165</v>
      </c>
      <c r="AL64" t="s">
        <v>164</v>
      </c>
      <c r="AM64" t="s">
        <v>165</v>
      </c>
      <c r="AN64" t="s">
        <v>165</v>
      </c>
      <c r="AO64" t="s">
        <v>165</v>
      </c>
      <c r="AP64" t="s">
        <v>165</v>
      </c>
      <c r="AQ64" t="s">
        <v>165</v>
      </c>
      <c r="AR64" t="s">
        <v>165</v>
      </c>
      <c r="AS64" t="s">
        <v>165</v>
      </c>
      <c r="AT64" t="s">
        <v>165</v>
      </c>
      <c r="AU64" t="s">
        <v>166</v>
      </c>
      <c r="AV64" t="s">
        <v>167</v>
      </c>
      <c r="AW64" t="s">
        <v>168</v>
      </c>
      <c r="AX64" s="154">
        <v>2</v>
      </c>
      <c r="AY64" t="s">
        <v>169</v>
      </c>
      <c r="AZ64" t="s">
        <v>170</v>
      </c>
      <c r="BA64" t="s">
        <v>171</v>
      </c>
      <c r="BB64" t="s">
        <v>165</v>
      </c>
      <c r="BC64" s="154">
        <v>2</v>
      </c>
      <c r="BD64" s="133" t="s">
        <v>165</v>
      </c>
      <c r="BE64" s="146">
        <v>20.565830420000001</v>
      </c>
      <c r="BF64" t="s">
        <v>172</v>
      </c>
      <c r="BG64" s="146">
        <v>0.195735082</v>
      </c>
      <c r="BH64">
        <v>0.64</v>
      </c>
      <c r="BI64" t="s">
        <v>173</v>
      </c>
      <c r="BJ64">
        <v>3.4000000000000002E-2</v>
      </c>
      <c r="BK64">
        <v>9.1</v>
      </c>
      <c r="BL64" t="s">
        <v>163</v>
      </c>
      <c r="BM64">
        <v>0.56000000000000005</v>
      </c>
      <c r="BN64" t="s">
        <v>174</v>
      </c>
      <c r="BO64" t="s">
        <v>175</v>
      </c>
      <c r="BP64" s="155">
        <f t="shared" si="7"/>
        <v>19.493050700000005</v>
      </c>
      <c r="BQ64" s="133" t="s">
        <v>183</v>
      </c>
      <c r="BR64" s="133" t="s">
        <v>165</v>
      </c>
      <c r="BS64" s="133" t="s">
        <v>165</v>
      </c>
      <c r="BT64" t="s">
        <v>176</v>
      </c>
      <c r="BU64" s="133">
        <v>10</v>
      </c>
      <c r="BV64" s="133" t="s">
        <v>198</v>
      </c>
      <c r="BW64" s="133" t="s">
        <v>165</v>
      </c>
      <c r="BX64" s="145">
        <v>25.579986550000001</v>
      </c>
      <c r="BY64" t="s">
        <v>163</v>
      </c>
      <c r="BZ64">
        <v>3</v>
      </c>
      <c r="CA64">
        <v>3</v>
      </c>
      <c r="CB64" t="s">
        <v>165</v>
      </c>
      <c r="CC64" s="146">
        <v>3.5967313293933518</v>
      </c>
      <c r="CD64" t="s">
        <v>180</v>
      </c>
      <c r="CE64" s="146">
        <f t="shared" ref="CE64:CE113" si="13">CC64*0.04</f>
        <v>0.14386925317573407</v>
      </c>
      <c r="CF64" s="146">
        <v>0.14386925317573407</v>
      </c>
      <c r="CG64" s="156" t="s">
        <v>165</v>
      </c>
      <c r="CH64" t="s">
        <v>207</v>
      </c>
      <c r="CI64" t="s">
        <v>165</v>
      </c>
      <c r="CJ64" t="s">
        <v>178</v>
      </c>
      <c r="CK64" t="s">
        <v>181</v>
      </c>
      <c r="CL64" t="s">
        <v>181</v>
      </c>
      <c r="CM64" t="s">
        <v>181</v>
      </c>
      <c r="CN64" t="s">
        <v>165</v>
      </c>
      <c r="CO64" t="s">
        <v>165</v>
      </c>
      <c r="CP64" t="s">
        <v>165</v>
      </c>
      <c r="CQ64" t="s">
        <v>165</v>
      </c>
      <c r="CR64" t="s">
        <v>165</v>
      </c>
      <c r="CS64" t="s">
        <v>165</v>
      </c>
      <c r="CT64" t="s">
        <v>165</v>
      </c>
      <c r="CU64">
        <v>35</v>
      </c>
      <c r="CV64" t="s">
        <v>183</v>
      </c>
      <c r="CW64" s="154">
        <v>3</v>
      </c>
      <c r="CX64" s="133" t="s">
        <v>199</v>
      </c>
      <c r="CY64" s="133" t="s">
        <v>165</v>
      </c>
      <c r="CZ64" s="133" t="s">
        <v>165</v>
      </c>
      <c r="DA64" s="133" t="s">
        <v>165</v>
      </c>
      <c r="DB64" s="133" t="s">
        <v>165</v>
      </c>
      <c r="DC64" s="133" t="s">
        <v>165</v>
      </c>
      <c r="DD64" s="133" t="s">
        <v>165</v>
      </c>
      <c r="DE64" s="133" t="s">
        <v>165</v>
      </c>
      <c r="DF64" s="133" t="s">
        <v>165</v>
      </c>
      <c r="DG64" s="133" t="s">
        <v>165</v>
      </c>
      <c r="DH64" s="133" t="s">
        <v>165</v>
      </c>
      <c r="DI64" s="133" t="s">
        <v>165</v>
      </c>
      <c r="DJ64" s="133" t="s">
        <v>165</v>
      </c>
      <c r="DK64" s="145">
        <v>432.56244218316402</v>
      </c>
      <c r="DL64" t="s">
        <v>204</v>
      </c>
      <c r="DM64">
        <v>37.1</v>
      </c>
      <c r="DN64" t="s">
        <v>205</v>
      </c>
      <c r="DO64">
        <v>39.61</v>
      </c>
      <c r="DP64" t="s">
        <v>183</v>
      </c>
      <c r="DQ64" s="146">
        <f t="shared" si="9"/>
        <v>0.20886900000000003</v>
      </c>
      <c r="DR64" t="s">
        <v>184</v>
      </c>
      <c r="DS64" t="s">
        <v>200</v>
      </c>
      <c r="DT64" t="s">
        <v>201</v>
      </c>
      <c r="DU64">
        <v>1.0271999999999999</v>
      </c>
      <c r="DV64" t="s">
        <v>165</v>
      </c>
      <c r="DW64" t="s">
        <v>165</v>
      </c>
      <c r="DX64" t="s">
        <v>197</v>
      </c>
      <c r="DY64" t="s">
        <v>181</v>
      </c>
      <c r="DZ64" t="s">
        <v>181</v>
      </c>
      <c r="EA64" t="s">
        <v>202</v>
      </c>
      <c r="EB64" t="s">
        <v>203</v>
      </c>
      <c r="EC64" s="147" t="s">
        <v>206</v>
      </c>
      <c r="ED64" s="147" t="s">
        <v>206</v>
      </c>
      <c r="EE64" s="133" t="s">
        <v>165</v>
      </c>
      <c r="EF64" s="133" t="s">
        <v>165</v>
      </c>
      <c r="EG64" s="133" t="s">
        <v>165</v>
      </c>
      <c r="EH64" t="s">
        <v>185</v>
      </c>
      <c r="EI64" t="s">
        <v>179</v>
      </c>
      <c r="EJ64" t="s">
        <v>165</v>
      </c>
      <c r="EK64">
        <v>2391</v>
      </c>
      <c r="EL64" s="147" t="s">
        <v>211</v>
      </c>
      <c r="EM64" s="147">
        <v>175</v>
      </c>
      <c r="EN64">
        <v>175</v>
      </c>
      <c r="EO64" t="s">
        <v>165</v>
      </c>
      <c r="EP64" t="s">
        <v>165</v>
      </c>
      <c r="EQ64" t="s">
        <v>165</v>
      </c>
      <c r="ER64" t="s">
        <v>165</v>
      </c>
      <c r="ES64" s="148">
        <v>8.1706101679254104</v>
      </c>
      <c r="ET64" t="s">
        <v>187</v>
      </c>
      <c r="EU64" s="133" t="s">
        <v>165</v>
      </c>
      <c r="EV64" s="133" t="s">
        <v>165</v>
      </c>
      <c r="EW64" s="149">
        <v>276.07799850000004</v>
      </c>
      <c r="EX64">
        <v>21</v>
      </c>
      <c r="EY64" t="s">
        <v>186</v>
      </c>
      <c r="EZ64" s="150">
        <v>255.07799850000001</v>
      </c>
      <c r="FA64" s="151">
        <v>37.676053166275977</v>
      </c>
      <c r="FB64" s="151">
        <v>36.511324171299009</v>
      </c>
      <c r="FC64" t="s">
        <v>176</v>
      </c>
      <c r="FD64" t="s">
        <v>188</v>
      </c>
      <c r="FE64" t="s">
        <v>165</v>
      </c>
      <c r="FF64" t="s">
        <v>165</v>
      </c>
      <c r="FG64" t="s">
        <v>165</v>
      </c>
      <c r="FH64" t="s">
        <v>165</v>
      </c>
      <c r="FI64" t="s">
        <v>165</v>
      </c>
      <c r="FJ64" t="s">
        <v>165</v>
      </c>
      <c r="FK64" t="s">
        <v>165</v>
      </c>
      <c r="FL64" t="s">
        <v>165</v>
      </c>
      <c r="FM64" t="s">
        <v>165</v>
      </c>
      <c r="FN64" t="s">
        <v>165</v>
      </c>
      <c r="FO64" t="s">
        <v>165</v>
      </c>
      <c r="FP64" t="s">
        <v>165</v>
      </c>
    </row>
    <row r="65" spans="1:172">
      <c r="A65" s="131" t="s">
        <v>154</v>
      </c>
      <c r="B65" t="s">
        <v>155</v>
      </c>
      <c r="C65">
        <v>2017</v>
      </c>
      <c r="D65" s="132" t="s">
        <v>156</v>
      </c>
      <c r="E65" s="145">
        <f t="shared" si="1"/>
        <v>1090.03</v>
      </c>
      <c r="F65">
        <f t="shared" si="2"/>
        <v>2</v>
      </c>
      <c r="G65">
        <f t="shared" si="3"/>
        <v>2</v>
      </c>
      <c r="H65" s="149">
        <f t="shared" si="4"/>
        <v>218.11372800000001</v>
      </c>
      <c r="I65" s="149">
        <f t="shared" si="5"/>
        <v>33.253512140168993</v>
      </c>
      <c r="J65" s="149">
        <f t="shared" si="6"/>
        <v>32.613626994468007</v>
      </c>
      <c r="K65" t="s">
        <v>209</v>
      </c>
      <c r="L65" s="132" t="s">
        <v>210</v>
      </c>
      <c r="M65" s="1" t="s">
        <v>157</v>
      </c>
      <c r="N65" s="132" t="s">
        <v>156</v>
      </c>
      <c r="O65" t="s">
        <v>158</v>
      </c>
      <c r="P65" s="139" t="s">
        <v>162</v>
      </c>
      <c r="Q65" s="139">
        <v>4</v>
      </c>
      <c r="R65" s="139">
        <v>7</v>
      </c>
      <c r="S65" s="140">
        <v>41.694102999999785</v>
      </c>
      <c r="T65" s="140">
        <f t="shared" si="12"/>
        <v>43.694102999999785</v>
      </c>
      <c r="U65" s="141">
        <v>36.017659719999997</v>
      </c>
      <c r="V65" s="141">
        <v>36.017659719999997</v>
      </c>
      <c r="W65" t="s">
        <v>165</v>
      </c>
      <c r="X65" t="s">
        <v>160</v>
      </c>
      <c r="Y65" s="135">
        <v>12.74</v>
      </c>
      <c r="Z65" s="135">
        <v>-78.739999999999995</v>
      </c>
      <c r="AA65" t="s">
        <v>165</v>
      </c>
      <c r="AB65" t="s">
        <v>165</v>
      </c>
      <c r="AC65">
        <v>-2839</v>
      </c>
      <c r="AD65" t="s">
        <v>165</v>
      </c>
      <c r="AE65" t="s">
        <v>165</v>
      </c>
      <c r="AF65" t="s">
        <v>165</v>
      </c>
      <c r="AG65">
        <v>1090.03</v>
      </c>
      <c r="AH65" t="s">
        <v>163</v>
      </c>
      <c r="AI65">
        <v>2</v>
      </c>
      <c r="AJ65">
        <v>2</v>
      </c>
      <c r="AK65" t="s">
        <v>165</v>
      </c>
      <c r="AL65" t="s">
        <v>164</v>
      </c>
      <c r="AM65" t="s">
        <v>165</v>
      </c>
      <c r="AN65" t="s">
        <v>165</v>
      </c>
      <c r="AO65" t="s">
        <v>165</v>
      </c>
      <c r="AP65" t="s">
        <v>165</v>
      </c>
      <c r="AQ65" t="s">
        <v>165</v>
      </c>
      <c r="AR65" t="s">
        <v>165</v>
      </c>
      <c r="AS65" t="s">
        <v>165</v>
      </c>
      <c r="AT65" t="s">
        <v>165</v>
      </c>
      <c r="AU65" t="s">
        <v>166</v>
      </c>
      <c r="AV65" t="s">
        <v>167</v>
      </c>
      <c r="AW65" t="s">
        <v>168</v>
      </c>
      <c r="AX65" s="154">
        <v>2</v>
      </c>
      <c r="AY65" t="s">
        <v>169</v>
      </c>
      <c r="AZ65" t="s">
        <v>170</v>
      </c>
      <c r="BA65" t="s">
        <v>171</v>
      </c>
      <c r="BB65" t="s">
        <v>165</v>
      </c>
      <c r="BC65" s="154">
        <v>2</v>
      </c>
      <c r="BD65" s="133" t="s">
        <v>165</v>
      </c>
      <c r="BE65" s="146">
        <v>20.925000000000001</v>
      </c>
      <c r="BF65" t="s">
        <v>172</v>
      </c>
      <c r="BG65" s="146">
        <v>0.17149326400000001</v>
      </c>
      <c r="BH65">
        <v>0.64</v>
      </c>
      <c r="BI65" t="s">
        <v>173</v>
      </c>
      <c r="BJ65">
        <v>3.4000000000000002E-2</v>
      </c>
      <c r="BK65">
        <v>9.1</v>
      </c>
      <c r="BL65" t="s">
        <v>163</v>
      </c>
      <c r="BM65">
        <v>0.56000000000000005</v>
      </c>
      <c r="BN65" t="s">
        <v>174</v>
      </c>
      <c r="BO65" t="s">
        <v>175</v>
      </c>
      <c r="BP65" s="155">
        <f t="shared" si="7"/>
        <v>20.091666666666669</v>
      </c>
      <c r="BQ65" s="133" t="s">
        <v>183</v>
      </c>
      <c r="BR65" s="133" t="s">
        <v>165</v>
      </c>
      <c r="BS65" s="133" t="s">
        <v>165</v>
      </c>
      <c r="BT65" t="s">
        <v>176</v>
      </c>
      <c r="BU65" s="133">
        <v>10</v>
      </c>
      <c r="BV65" s="133" t="s">
        <v>198</v>
      </c>
      <c r="BW65" s="133" t="s">
        <v>165</v>
      </c>
      <c r="BX65" s="145">
        <v>25.58146369</v>
      </c>
      <c r="BY65" t="s">
        <v>163</v>
      </c>
      <c r="BZ65">
        <v>3</v>
      </c>
      <c r="CA65">
        <v>3</v>
      </c>
      <c r="CB65" t="s">
        <v>165</v>
      </c>
      <c r="CC65" s="146">
        <v>3.5970465654206052</v>
      </c>
      <c r="CD65" t="s">
        <v>180</v>
      </c>
      <c r="CE65" s="146">
        <f t="shared" si="13"/>
        <v>0.1438818626168242</v>
      </c>
      <c r="CF65" s="146">
        <v>0.1438818626168242</v>
      </c>
      <c r="CG65" s="156" t="s">
        <v>165</v>
      </c>
      <c r="CH65" t="s">
        <v>207</v>
      </c>
      <c r="CI65" t="s">
        <v>165</v>
      </c>
      <c r="CJ65" t="s">
        <v>178</v>
      </c>
      <c r="CK65" t="s">
        <v>181</v>
      </c>
      <c r="CL65" t="s">
        <v>181</v>
      </c>
      <c r="CM65" t="s">
        <v>181</v>
      </c>
      <c r="CN65" t="s">
        <v>165</v>
      </c>
      <c r="CO65" t="s">
        <v>165</v>
      </c>
      <c r="CP65" t="s">
        <v>165</v>
      </c>
      <c r="CQ65" t="s">
        <v>165</v>
      </c>
      <c r="CR65" t="s">
        <v>165</v>
      </c>
      <c r="CS65" t="s">
        <v>165</v>
      </c>
      <c r="CT65" t="s">
        <v>165</v>
      </c>
      <c r="CU65">
        <v>35</v>
      </c>
      <c r="CV65" t="s">
        <v>183</v>
      </c>
      <c r="CW65" s="154">
        <v>3</v>
      </c>
      <c r="CX65" s="133" t="s">
        <v>199</v>
      </c>
      <c r="CY65" s="133" t="s">
        <v>165</v>
      </c>
      <c r="CZ65" s="133" t="s">
        <v>165</v>
      </c>
      <c r="DA65" s="133" t="s">
        <v>165</v>
      </c>
      <c r="DB65" s="133" t="s">
        <v>165</v>
      </c>
      <c r="DC65" s="133" t="s">
        <v>165</v>
      </c>
      <c r="DD65" s="133" t="s">
        <v>165</v>
      </c>
      <c r="DE65" s="133" t="s">
        <v>165</v>
      </c>
      <c r="DF65" s="133" t="s">
        <v>165</v>
      </c>
      <c r="DG65" s="133" t="s">
        <v>165</v>
      </c>
      <c r="DH65" s="133" t="s">
        <v>165</v>
      </c>
      <c r="DI65" s="133" t="s">
        <v>165</v>
      </c>
      <c r="DJ65" s="133" t="s">
        <v>165</v>
      </c>
      <c r="DK65" s="145">
        <v>432.56244218316402</v>
      </c>
      <c r="DL65" t="s">
        <v>204</v>
      </c>
      <c r="DM65">
        <v>37.1</v>
      </c>
      <c r="DN65" t="s">
        <v>205</v>
      </c>
      <c r="DO65">
        <v>39.61</v>
      </c>
      <c r="DP65" t="s">
        <v>183</v>
      </c>
      <c r="DQ65" s="146">
        <f t="shared" si="9"/>
        <v>0.20900299999999999</v>
      </c>
      <c r="DR65" t="s">
        <v>184</v>
      </c>
      <c r="DS65" t="s">
        <v>200</v>
      </c>
      <c r="DT65" t="s">
        <v>201</v>
      </c>
      <c r="DU65">
        <v>1.0271999999999999</v>
      </c>
      <c r="DV65" t="s">
        <v>165</v>
      </c>
      <c r="DW65" t="s">
        <v>165</v>
      </c>
      <c r="DX65" t="s">
        <v>197</v>
      </c>
      <c r="DY65" t="s">
        <v>181</v>
      </c>
      <c r="DZ65" t="s">
        <v>181</v>
      </c>
      <c r="EA65" t="s">
        <v>202</v>
      </c>
      <c r="EB65" t="s">
        <v>203</v>
      </c>
      <c r="EC65" s="147" t="s">
        <v>206</v>
      </c>
      <c r="ED65" s="147" t="s">
        <v>206</v>
      </c>
      <c r="EE65" s="133" t="s">
        <v>165</v>
      </c>
      <c r="EF65" s="133" t="s">
        <v>165</v>
      </c>
      <c r="EG65" s="133" t="s">
        <v>165</v>
      </c>
      <c r="EH65" t="s">
        <v>185</v>
      </c>
      <c r="EI65" t="s">
        <v>179</v>
      </c>
      <c r="EJ65" t="s">
        <v>165</v>
      </c>
      <c r="EK65">
        <v>2392</v>
      </c>
      <c r="EL65" s="147" t="s">
        <v>211</v>
      </c>
      <c r="EM65" s="147">
        <v>175</v>
      </c>
      <c r="EN65">
        <v>175</v>
      </c>
      <c r="EO65" t="s">
        <v>165</v>
      </c>
      <c r="EP65" t="s">
        <v>165</v>
      </c>
      <c r="EQ65" t="s">
        <v>165</v>
      </c>
      <c r="ER65" t="s">
        <v>165</v>
      </c>
      <c r="ES65" s="148">
        <v>8.2186061966794295</v>
      </c>
      <c r="ET65" t="s">
        <v>187</v>
      </c>
      <c r="EU65" s="133" t="s">
        <v>165</v>
      </c>
      <c r="EV65" s="133" t="s">
        <v>165</v>
      </c>
      <c r="EW65" s="149">
        <v>239.11372800000001</v>
      </c>
      <c r="EX65">
        <v>21</v>
      </c>
      <c r="EY65" t="s">
        <v>186</v>
      </c>
      <c r="EZ65" s="150">
        <v>218.11372800000001</v>
      </c>
      <c r="FA65" s="151">
        <v>33.253512140168993</v>
      </c>
      <c r="FB65" s="151">
        <v>32.613626994468007</v>
      </c>
      <c r="FC65" t="s">
        <v>176</v>
      </c>
      <c r="FD65" t="s">
        <v>188</v>
      </c>
      <c r="FE65" t="s">
        <v>165</v>
      </c>
      <c r="FF65" t="s">
        <v>165</v>
      </c>
      <c r="FG65" t="s">
        <v>165</v>
      </c>
      <c r="FH65" t="s">
        <v>165</v>
      </c>
      <c r="FI65" t="s">
        <v>165</v>
      </c>
      <c r="FJ65" t="s">
        <v>165</v>
      </c>
      <c r="FK65" t="s">
        <v>165</v>
      </c>
      <c r="FL65" t="s">
        <v>165</v>
      </c>
      <c r="FM65" t="s">
        <v>165</v>
      </c>
      <c r="FN65" t="s">
        <v>165</v>
      </c>
      <c r="FO65" t="s">
        <v>165</v>
      </c>
      <c r="FP65" t="s">
        <v>165</v>
      </c>
    </row>
    <row r="66" spans="1:172">
      <c r="A66" s="131" t="s">
        <v>154</v>
      </c>
      <c r="B66" t="s">
        <v>155</v>
      </c>
      <c r="C66">
        <v>2017</v>
      </c>
      <c r="D66" s="132" t="s">
        <v>156</v>
      </c>
      <c r="E66" s="145">
        <f t="shared" si="1"/>
        <v>1092.67</v>
      </c>
      <c r="F66">
        <f t="shared" si="2"/>
        <v>2</v>
      </c>
      <c r="G66">
        <f t="shared" si="3"/>
        <v>2</v>
      </c>
      <c r="H66" s="149">
        <f t="shared" si="4"/>
        <v>236.6639629</v>
      </c>
      <c r="I66" s="149">
        <f t="shared" si="5"/>
        <v>36.651954912770975</v>
      </c>
      <c r="J66" s="149">
        <f t="shared" si="6"/>
        <v>34.582228779029009</v>
      </c>
      <c r="K66" t="s">
        <v>209</v>
      </c>
      <c r="L66" s="132" t="s">
        <v>210</v>
      </c>
      <c r="M66" s="1" t="s">
        <v>157</v>
      </c>
      <c r="N66" s="132" t="s">
        <v>156</v>
      </c>
      <c r="O66" t="s">
        <v>158</v>
      </c>
      <c r="P66" s="139" t="s">
        <v>162</v>
      </c>
      <c r="Q66" s="139">
        <v>4</v>
      </c>
      <c r="R66" s="139">
        <v>7</v>
      </c>
      <c r="S66" s="140">
        <v>51.695479000000091</v>
      </c>
      <c r="T66" s="140">
        <f t="shared" si="12"/>
        <v>53.695479000000091</v>
      </c>
      <c r="U66" s="141">
        <v>36.117673480000001</v>
      </c>
      <c r="V66" s="141">
        <v>36.117673480000001</v>
      </c>
      <c r="W66" t="s">
        <v>165</v>
      </c>
      <c r="X66" t="s">
        <v>160</v>
      </c>
      <c r="Y66" s="135">
        <v>12.74</v>
      </c>
      <c r="Z66" s="135">
        <v>-78.739999999999995</v>
      </c>
      <c r="AA66" t="s">
        <v>165</v>
      </c>
      <c r="AB66" t="s">
        <v>165</v>
      </c>
      <c r="AC66">
        <v>-2839</v>
      </c>
      <c r="AD66" t="s">
        <v>165</v>
      </c>
      <c r="AE66" t="s">
        <v>165</v>
      </c>
      <c r="AF66" t="s">
        <v>165</v>
      </c>
      <c r="AG66">
        <v>1092.67</v>
      </c>
      <c r="AH66" t="s">
        <v>163</v>
      </c>
      <c r="AI66">
        <v>2</v>
      </c>
      <c r="AJ66">
        <v>2</v>
      </c>
      <c r="AK66" t="s">
        <v>165</v>
      </c>
      <c r="AL66" t="s">
        <v>164</v>
      </c>
      <c r="AM66" t="s">
        <v>165</v>
      </c>
      <c r="AN66" t="s">
        <v>165</v>
      </c>
      <c r="AO66" t="s">
        <v>165</v>
      </c>
      <c r="AP66" t="s">
        <v>165</v>
      </c>
      <c r="AQ66" t="s">
        <v>165</v>
      </c>
      <c r="AR66" t="s">
        <v>165</v>
      </c>
      <c r="AS66" t="s">
        <v>165</v>
      </c>
      <c r="AT66" t="s">
        <v>165</v>
      </c>
      <c r="AU66" t="s">
        <v>166</v>
      </c>
      <c r="AV66" t="s">
        <v>167</v>
      </c>
      <c r="AW66" t="s">
        <v>168</v>
      </c>
      <c r="AX66" s="154">
        <v>2</v>
      </c>
      <c r="AY66" t="s">
        <v>169</v>
      </c>
      <c r="AZ66" t="s">
        <v>170</v>
      </c>
      <c r="BA66" t="s">
        <v>171</v>
      </c>
      <c r="BB66" t="s">
        <v>165</v>
      </c>
      <c r="BC66" s="154">
        <v>2</v>
      </c>
      <c r="BD66" s="133" t="s">
        <v>165</v>
      </c>
      <c r="BE66" s="146">
        <v>20.8</v>
      </c>
      <c r="BF66" t="s">
        <v>172</v>
      </c>
      <c r="BG66" s="146">
        <v>0.19560462000000001</v>
      </c>
      <c r="BH66">
        <v>0.64</v>
      </c>
      <c r="BI66" t="s">
        <v>173</v>
      </c>
      <c r="BJ66">
        <v>3.4000000000000002E-2</v>
      </c>
      <c r="BK66">
        <v>9.1</v>
      </c>
      <c r="BL66" t="s">
        <v>163</v>
      </c>
      <c r="BM66">
        <v>0.56000000000000005</v>
      </c>
      <c r="BN66" t="s">
        <v>174</v>
      </c>
      <c r="BO66" t="s">
        <v>175</v>
      </c>
      <c r="BP66" s="155">
        <f t="shared" si="7"/>
        <v>19.883333333333336</v>
      </c>
      <c r="BQ66" s="133" t="s">
        <v>183</v>
      </c>
      <c r="BR66" s="133" t="s">
        <v>165</v>
      </c>
      <c r="BS66" s="133" t="s">
        <v>165</v>
      </c>
      <c r="BT66" t="s">
        <v>176</v>
      </c>
      <c r="BU66" s="133">
        <v>10</v>
      </c>
      <c r="BV66" s="133" t="s">
        <v>198</v>
      </c>
      <c r="BW66" s="133" t="s">
        <v>165</v>
      </c>
      <c r="BX66" s="145">
        <v>26.461590210000001</v>
      </c>
      <c r="BY66" t="s">
        <v>163</v>
      </c>
      <c r="BZ66">
        <v>3</v>
      </c>
      <c r="CA66">
        <v>3</v>
      </c>
      <c r="CB66" t="s">
        <v>165</v>
      </c>
      <c r="CC66" s="146">
        <v>3.8933859020864032</v>
      </c>
      <c r="CD66" t="s">
        <v>180</v>
      </c>
      <c r="CE66" s="146">
        <f t="shared" si="13"/>
        <v>0.15573543608345614</v>
      </c>
      <c r="CF66" s="146">
        <v>0.15573543608345614</v>
      </c>
      <c r="CG66" s="156" t="s">
        <v>165</v>
      </c>
      <c r="CH66" t="s">
        <v>207</v>
      </c>
      <c r="CI66" t="s">
        <v>165</v>
      </c>
      <c r="CJ66" t="s">
        <v>178</v>
      </c>
      <c r="CK66" t="s">
        <v>181</v>
      </c>
      <c r="CL66" t="s">
        <v>181</v>
      </c>
      <c r="CM66" t="s">
        <v>181</v>
      </c>
      <c r="CN66" t="s">
        <v>165</v>
      </c>
      <c r="CO66" t="s">
        <v>165</v>
      </c>
      <c r="CP66" t="s">
        <v>165</v>
      </c>
      <c r="CQ66" t="s">
        <v>165</v>
      </c>
      <c r="CR66" t="s">
        <v>165</v>
      </c>
      <c r="CS66" t="s">
        <v>165</v>
      </c>
      <c r="CT66" t="s">
        <v>165</v>
      </c>
      <c r="CU66">
        <v>35</v>
      </c>
      <c r="CV66" t="s">
        <v>183</v>
      </c>
      <c r="CW66" s="154">
        <v>3</v>
      </c>
      <c r="CX66" s="133" t="s">
        <v>199</v>
      </c>
      <c r="CY66" s="133" t="s">
        <v>165</v>
      </c>
      <c r="CZ66" s="133" t="s">
        <v>165</v>
      </c>
      <c r="DA66" s="133" t="s">
        <v>165</v>
      </c>
      <c r="DB66" s="133" t="s">
        <v>165</v>
      </c>
      <c r="DC66" s="133" t="s">
        <v>165</v>
      </c>
      <c r="DD66" s="133" t="s">
        <v>165</v>
      </c>
      <c r="DE66" s="133" t="s">
        <v>165</v>
      </c>
      <c r="DF66" s="133" t="s">
        <v>165</v>
      </c>
      <c r="DG66" s="133" t="s">
        <v>165</v>
      </c>
      <c r="DH66" s="133" t="s">
        <v>165</v>
      </c>
      <c r="DI66" s="133" t="s">
        <v>165</v>
      </c>
      <c r="DJ66" s="133" t="s">
        <v>165</v>
      </c>
      <c r="DK66" s="145">
        <v>432.56244218316402</v>
      </c>
      <c r="DL66" t="s">
        <v>204</v>
      </c>
      <c r="DM66">
        <v>37.1</v>
      </c>
      <c r="DN66" t="s">
        <v>205</v>
      </c>
      <c r="DO66">
        <v>39.61</v>
      </c>
      <c r="DP66" t="s">
        <v>183</v>
      </c>
      <c r="DQ66" s="146">
        <f t="shared" si="9"/>
        <v>0.20926700000000004</v>
      </c>
      <c r="DR66" t="s">
        <v>184</v>
      </c>
      <c r="DS66" t="s">
        <v>200</v>
      </c>
      <c r="DT66" t="s">
        <v>201</v>
      </c>
      <c r="DU66">
        <v>1.0271999999999999</v>
      </c>
      <c r="DV66" t="s">
        <v>165</v>
      </c>
      <c r="DW66" t="s">
        <v>165</v>
      </c>
      <c r="DX66" t="s">
        <v>197</v>
      </c>
      <c r="DY66" t="s">
        <v>181</v>
      </c>
      <c r="DZ66" t="s">
        <v>181</v>
      </c>
      <c r="EA66" t="s">
        <v>202</v>
      </c>
      <c r="EB66" t="s">
        <v>203</v>
      </c>
      <c r="EC66" s="147" t="s">
        <v>206</v>
      </c>
      <c r="ED66" s="147" t="s">
        <v>206</v>
      </c>
      <c r="EE66" s="133" t="s">
        <v>165</v>
      </c>
      <c r="EF66" s="133" t="s">
        <v>165</v>
      </c>
      <c r="EG66" s="133" t="s">
        <v>165</v>
      </c>
      <c r="EH66" t="s">
        <v>185</v>
      </c>
      <c r="EI66" t="s">
        <v>179</v>
      </c>
      <c r="EJ66" t="s">
        <v>165</v>
      </c>
      <c r="EK66">
        <v>2393</v>
      </c>
      <c r="EL66" s="147" t="s">
        <v>211</v>
      </c>
      <c r="EM66" s="147">
        <v>175</v>
      </c>
      <c r="EN66">
        <v>175</v>
      </c>
      <c r="EO66" t="s">
        <v>165</v>
      </c>
      <c r="EP66" t="s">
        <v>165</v>
      </c>
      <c r="EQ66" t="s">
        <v>165</v>
      </c>
      <c r="ER66" t="s">
        <v>165</v>
      </c>
      <c r="ES66" s="148">
        <v>8.1921976879573108</v>
      </c>
      <c r="ET66" t="s">
        <v>187</v>
      </c>
      <c r="EU66" s="133" t="s">
        <v>165</v>
      </c>
      <c r="EV66" s="133" t="s">
        <v>165</v>
      </c>
      <c r="EW66" s="149">
        <v>257.6639629</v>
      </c>
      <c r="EX66">
        <v>21</v>
      </c>
      <c r="EY66" t="s">
        <v>186</v>
      </c>
      <c r="EZ66" s="150">
        <v>236.6639629</v>
      </c>
      <c r="FA66" s="151">
        <v>36.651954912770975</v>
      </c>
      <c r="FB66" s="151">
        <v>34.582228779029009</v>
      </c>
      <c r="FC66" t="s">
        <v>176</v>
      </c>
      <c r="FD66" t="s">
        <v>188</v>
      </c>
      <c r="FE66" t="s">
        <v>165</v>
      </c>
      <c r="FF66" t="s">
        <v>165</v>
      </c>
      <c r="FG66" t="s">
        <v>165</v>
      </c>
      <c r="FH66" t="s">
        <v>165</v>
      </c>
      <c r="FI66" t="s">
        <v>165</v>
      </c>
      <c r="FJ66" t="s">
        <v>165</v>
      </c>
      <c r="FK66" t="s">
        <v>165</v>
      </c>
      <c r="FL66" t="s">
        <v>165</v>
      </c>
      <c r="FM66" t="s">
        <v>165</v>
      </c>
      <c r="FN66" t="s">
        <v>165</v>
      </c>
      <c r="FO66" t="s">
        <v>165</v>
      </c>
      <c r="FP66" t="s">
        <v>165</v>
      </c>
    </row>
    <row r="67" spans="1:172">
      <c r="A67" s="131" t="s">
        <v>154</v>
      </c>
      <c r="B67" t="s">
        <v>155</v>
      </c>
      <c r="C67">
        <v>2017</v>
      </c>
      <c r="D67" s="132" t="s">
        <v>156</v>
      </c>
      <c r="E67" s="145">
        <f t="shared" si="1"/>
        <v>1094.71</v>
      </c>
      <c r="F67">
        <f t="shared" si="2"/>
        <v>2</v>
      </c>
      <c r="G67">
        <f t="shared" si="3"/>
        <v>2</v>
      </c>
      <c r="H67" s="149">
        <f t="shared" si="4"/>
        <v>246.54270700000001</v>
      </c>
      <c r="I67" s="149">
        <f t="shared" si="5"/>
        <v>37.364884608356988</v>
      </c>
      <c r="J67" s="149">
        <f t="shared" si="6"/>
        <v>36.542750164169007</v>
      </c>
      <c r="K67" t="s">
        <v>209</v>
      </c>
      <c r="L67" s="132" t="s">
        <v>210</v>
      </c>
      <c r="M67" s="1" t="s">
        <v>157</v>
      </c>
      <c r="N67" s="132" t="s">
        <v>156</v>
      </c>
      <c r="O67" t="s">
        <v>158</v>
      </c>
      <c r="P67" s="139" t="s">
        <v>162</v>
      </c>
      <c r="Q67" s="139">
        <v>4</v>
      </c>
      <c r="R67" s="139">
        <v>7</v>
      </c>
      <c r="S67" s="140">
        <v>60</v>
      </c>
      <c r="T67" s="140">
        <f t="shared" si="12"/>
        <v>62</v>
      </c>
      <c r="U67" s="141">
        <v>36.200000000000003</v>
      </c>
      <c r="V67" s="141">
        <v>36.200000000000003</v>
      </c>
      <c r="W67" t="s">
        <v>165</v>
      </c>
      <c r="X67" t="s">
        <v>160</v>
      </c>
      <c r="Y67" s="135">
        <v>12.74</v>
      </c>
      <c r="Z67" s="135">
        <v>-78.739999999999995</v>
      </c>
      <c r="AA67" t="s">
        <v>165</v>
      </c>
      <c r="AB67" t="s">
        <v>165</v>
      </c>
      <c r="AC67">
        <v>-2839</v>
      </c>
      <c r="AD67" t="s">
        <v>165</v>
      </c>
      <c r="AE67" t="s">
        <v>165</v>
      </c>
      <c r="AF67" t="s">
        <v>165</v>
      </c>
      <c r="AG67">
        <v>1094.71</v>
      </c>
      <c r="AH67" t="s">
        <v>163</v>
      </c>
      <c r="AI67">
        <v>2</v>
      </c>
      <c r="AJ67">
        <v>2</v>
      </c>
      <c r="AK67" t="s">
        <v>165</v>
      </c>
      <c r="AL67" t="s">
        <v>164</v>
      </c>
      <c r="AM67" t="s">
        <v>165</v>
      </c>
      <c r="AN67" t="s">
        <v>165</v>
      </c>
      <c r="AO67" t="s">
        <v>165</v>
      </c>
      <c r="AP67" t="s">
        <v>165</v>
      </c>
      <c r="AQ67" t="s">
        <v>165</v>
      </c>
      <c r="AR67" t="s">
        <v>165</v>
      </c>
      <c r="AS67" t="s">
        <v>165</v>
      </c>
      <c r="AT67" t="s">
        <v>165</v>
      </c>
      <c r="AU67" t="s">
        <v>166</v>
      </c>
      <c r="AV67" t="s">
        <v>167</v>
      </c>
      <c r="AW67" t="s">
        <v>168</v>
      </c>
      <c r="AX67" s="154">
        <v>2</v>
      </c>
      <c r="AY67" t="s">
        <v>169</v>
      </c>
      <c r="AZ67" t="s">
        <v>170</v>
      </c>
      <c r="BA67" t="s">
        <v>171</v>
      </c>
      <c r="BB67" t="s">
        <v>165</v>
      </c>
      <c r="BC67" s="154">
        <v>2</v>
      </c>
      <c r="BD67" s="133" t="s">
        <v>165</v>
      </c>
      <c r="BE67" s="146">
        <v>20.73435804</v>
      </c>
      <c r="BF67" t="s">
        <v>172</v>
      </c>
      <c r="BG67" s="146">
        <v>0.218499886</v>
      </c>
      <c r="BH67">
        <v>0.64</v>
      </c>
      <c r="BI67" t="s">
        <v>173</v>
      </c>
      <c r="BJ67">
        <v>3.4000000000000002E-2</v>
      </c>
      <c r="BK67">
        <v>9.1</v>
      </c>
      <c r="BL67" t="s">
        <v>163</v>
      </c>
      <c r="BM67">
        <v>0.56000000000000005</v>
      </c>
      <c r="BN67" t="s">
        <v>174</v>
      </c>
      <c r="BO67" t="s">
        <v>175</v>
      </c>
      <c r="BP67" s="155">
        <f t="shared" si="7"/>
        <v>19.773930066666669</v>
      </c>
      <c r="BQ67" s="133" t="s">
        <v>183</v>
      </c>
      <c r="BR67" s="133" t="s">
        <v>165</v>
      </c>
      <c r="BS67" s="133" t="s">
        <v>165</v>
      </c>
      <c r="BT67" t="s">
        <v>176</v>
      </c>
      <c r="BU67" s="133">
        <v>10</v>
      </c>
      <c r="BV67" s="133" t="s">
        <v>198</v>
      </c>
      <c r="BW67" s="133" t="s">
        <v>165</v>
      </c>
      <c r="BX67" s="145">
        <v>26.79039075</v>
      </c>
      <c r="BY67" t="s">
        <v>163</v>
      </c>
      <c r="BZ67">
        <v>3</v>
      </c>
      <c r="CA67">
        <v>3</v>
      </c>
      <c r="CB67" t="s">
        <v>165</v>
      </c>
      <c r="CC67" s="146">
        <v>4.0101390950390092</v>
      </c>
      <c r="CD67" t="s">
        <v>180</v>
      </c>
      <c r="CE67" s="146">
        <f t="shared" si="13"/>
        <v>0.16040556380156037</v>
      </c>
      <c r="CF67" s="146">
        <v>0.16040556380156037</v>
      </c>
      <c r="CG67" s="156" t="s">
        <v>165</v>
      </c>
      <c r="CH67" t="s">
        <v>207</v>
      </c>
      <c r="CI67" t="s">
        <v>165</v>
      </c>
      <c r="CJ67" t="s">
        <v>178</v>
      </c>
      <c r="CK67" t="s">
        <v>181</v>
      </c>
      <c r="CL67" t="s">
        <v>181</v>
      </c>
      <c r="CM67" t="s">
        <v>181</v>
      </c>
      <c r="CN67" t="s">
        <v>165</v>
      </c>
      <c r="CO67" t="s">
        <v>165</v>
      </c>
      <c r="CP67" t="s">
        <v>165</v>
      </c>
      <c r="CQ67" t="s">
        <v>165</v>
      </c>
      <c r="CR67" t="s">
        <v>165</v>
      </c>
      <c r="CS67" t="s">
        <v>165</v>
      </c>
      <c r="CT67" t="s">
        <v>165</v>
      </c>
      <c r="CU67">
        <v>35</v>
      </c>
      <c r="CV67" t="s">
        <v>183</v>
      </c>
      <c r="CW67" s="154">
        <v>3</v>
      </c>
      <c r="CX67" s="133" t="s">
        <v>199</v>
      </c>
      <c r="CY67" s="133" t="s">
        <v>165</v>
      </c>
      <c r="CZ67" s="133" t="s">
        <v>165</v>
      </c>
      <c r="DA67" s="133" t="s">
        <v>165</v>
      </c>
      <c r="DB67" s="133" t="s">
        <v>165</v>
      </c>
      <c r="DC67" s="133" t="s">
        <v>165</v>
      </c>
      <c r="DD67" s="133" t="s">
        <v>165</v>
      </c>
      <c r="DE67" s="133" t="s">
        <v>165</v>
      </c>
      <c r="DF67" s="133" t="s">
        <v>165</v>
      </c>
      <c r="DG67" s="133" t="s">
        <v>165</v>
      </c>
      <c r="DH67" s="133" t="s">
        <v>165</v>
      </c>
      <c r="DI67" s="133" t="s">
        <v>165</v>
      </c>
      <c r="DJ67" s="133" t="s">
        <v>165</v>
      </c>
      <c r="DK67" s="145">
        <v>432.56244218316402</v>
      </c>
      <c r="DL67" t="s">
        <v>204</v>
      </c>
      <c r="DM67">
        <v>37.1</v>
      </c>
      <c r="DN67" t="s">
        <v>205</v>
      </c>
      <c r="DO67">
        <v>39.61</v>
      </c>
      <c r="DP67" t="s">
        <v>183</v>
      </c>
      <c r="DQ67" s="146">
        <f t="shared" si="9"/>
        <v>0.20947100000000002</v>
      </c>
      <c r="DR67" t="s">
        <v>184</v>
      </c>
      <c r="DS67" t="s">
        <v>200</v>
      </c>
      <c r="DT67" t="s">
        <v>201</v>
      </c>
      <c r="DU67">
        <v>1.0271999999999999</v>
      </c>
      <c r="DV67" t="s">
        <v>165</v>
      </c>
      <c r="DW67" t="s">
        <v>165</v>
      </c>
      <c r="DX67" t="s">
        <v>197</v>
      </c>
      <c r="DY67" t="s">
        <v>181</v>
      </c>
      <c r="DZ67" t="s">
        <v>181</v>
      </c>
      <c r="EA67" t="s">
        <v>202</v>
      </c>
      <c r="EB67" t="s">
        <v>203</v>
      </c>
      <c r="EC67" s="147" t="s">
        <v>206</v>
      </c>
      <c r="ED67" s="147" t="s">
        <v>206</v>
      </c>
      <c r="EE67" s="133" t="s">
        <v>165</v>
      </c>
      <c r="EF67" s="133" t="s">
        <v>165</v>
      </c>
      <c r="EG67" s="133" t="s">
        <v>165</v>
      </c>
      <c r="EH67" t="s">
        <v>185</v>
      </c>
      <c r="EI67" t="s">
        <v>179</v>
      </c>
      <c r="EJ67" t="s">
        <v>165</v>
      </c>
      <c r="EK67">
        <v>2394</v>
      </c>
      <c r="EL67" s="147" t="s">
        <v>211</v>
      </c>
      <c r="EM67" s="147">
        <v>175</v>
      </c>
      <c r="EN67">
        <v>175</v>
      </c>
      <c r="EO67" t="s">
        <v>165</v>
      </c>
      <c r="EP67" t="s">
        <v>165</v>
      </c>
      <c r="EQ67" t="s">
        <v>165</v>
      </c>
      <c r="ER67" t="s">
        <v>165</v>
      </c>
      <c r="ES67" s="148">
        <v>8.1793166022166304</v>
      </c>
      <c r="ET67" t="s">
        <v>187</v>
      </c>
      <c r="EU67" s="133" t="s">
        <v>165</v>
      </c>
      <c r="EV67" s="133" t="s">
        <v>165</v>
      </c>
      <c r="EW67" s="149">
        <v>267.54270700000001</v>
      </c>
      <c r="EX67">
        <v>21</v>
      </c>
      <c r="EY67" t="s">
        <v>186</v>
      </c>
      <c r="EZ67" s="150">
        <v>246.54270700000001</v>
      </c>
      <c r="FA67" s="151">
        <v>37.364884608356988</v>
      </c>
      <c r="FB67" s="151">
        <v>36.542750164169007</v>
      </c>
      <c r="FC67" t="s">
        <v>176</v>
      </c>
      <c r="FD67" t="s">
        <v>188</v>
      </c>
      <c r="FE67" t="s">
        <v>165</v>
      </c>
      <c r="FF67" t="s">
        <v>165</v>
      </c>
      <c r="FG67" t="s">
        <v>165</v>
      </c>
      <c r="FH67" t="s">
        <v>165</v>
      </c>
      <c r="FI67" t="s">
        <v>165</v>
      </c>
      <c r="FJ67" t="s">
        <v>165</v>
      </c>
      <c r="FK67" t="s">
        <v>165</v>
      </c>
      <c r="FL67" t="s">
        <v>165</v>
      </c>
      <c r="FM67" t="s">
        <v>165</v>
      </c>
      <c r="FN67" t="s">
        <v>165</v>
      </c>
      <c r="FO67" t="s">
        <v>165</v>
      </c>
      <c r="FP67" t="s">
        <v>165</v>
      </c>
    </row>
    <row r="68" spans="1:172">
      <c r="A68" s="131" t="s">
        <v>154</v>
      </c>
      <c r="B68" t="s">
        <v>155</v>
      </c>
      <c r="C68">
        <v>2017</v>
      </c>
      <c r="D68" s="132" t="s">
        <v>156</v>
      </c>
      <c r="E68" s="145">
        <f t="shared" si="1"/>
        <v>1099.46</v>
      </c>
      <c r="F68">
        <f t="shared" si="2"/>
        <v>2</v>
      </c>
      <c r="G68">
        <f t="shared" si="3"/>
        <v>2</v>
      </c>
      <c r="H68" s="149">
        <f t="shared" si="4"/>
        <v>322.54932739999998</v>
      </c>
      <c r="I68" s="149">
        <f t="shared" si="5"/>
        <v>44.597581094964028</v>
      </c>
      <c r="J68" s="149">
        <f t="shared" si="6"/>
        <v>42.532209105734978</v>
      </c>
      <c r="K68" t="s">
        <v>209</v>
      </c>
      <c r="L68" s="132" t="s">
        <v>210</v>
      </c>
      <c r="M68" s="1" t="s">
        <v>157</v>
      </c>
      <c r="N68" s="132" t="s">
        <v>156</v>
      </c>
      <c r="O68" t="s">
        <v>158</v>
      </c>
      <c r="P68" s="142" t="s">
        <v>162</v>
      </c>
      <c r="Q68" s="142">
        <v>4</v>
      </c>
      <c r="R68" s="142" t="s">
        <v>161</v>
      </c>
      <c r="S68" s="143">
        <v>11</v>
      </c>
      <c r="T68" s="143">
        <f t="shared" si="12"/>
        <v>13</v>
      </c>
      <c r="U68" s="144">
        <v>36.43</v>
      </c>
      <c r="V68" s="144">
        <v>36.43</v>
      </c>
      <c r="W68" t="s">
        <v>165</v>
      </c>
      <c r="X68" t="s">
        <v>160</v>
      </c>
      <c r="Y68" s="135">
        <v>12.74</v>
      </c>
      <c r="Z68" s="135">
        <v>-78.739999999999995</v>
      </c>
      <c r="AA68" t="s">
        <v>165</v>
      </c>
      <c r="AB68" t="s">
        <v>165</v>
      </c>
      <c r="AC68">
        <v>-2839</v>
      </c>
      <c r="AD68" t="s">
        <v>165</v>
      </c>
      <c r="AE68" t="s">
        <v>165</v>
      </c>
      <c r="AF68" t="s">
        <v>165</v>
      </c>
      <c r="AG68">
        <v>1099.46</v>
      </c>
      <c r="AH68" t="s">
        <v>163</v>
      </c>
      <c r="AI68">
        <v>2</v>
      </c>
      <c r="AJ68">
        <v>2</v>
      </c>
      <c r="AK68" t="s">
        <v>165</v>
      </c>
      <c r="AL68" t="s">
        <v>164</v>
      </c>
      <c r="AM68" t="s">
        <v>165</v>
      </c>
      <c r="AN68" t="s">
        <v>165</v>
      </c>
      <c r="AO68" t="s">
        <v>165</v>
      </c>
      <c r="AP68" t="s">
        <v>165</v>
      </c>
      <c r="AQ68" t="s">
        <v>165</v>
      </c>
      <c r="AR68" t="s">
        <v>165</v>
      </c>
      <c r="AS68" t="s">
        <v>165</v>
      </c>
      <c r="AT68" t="s">
        <v>165</v>
      </c>
      <c r="AU68" t="s">
        <v>166</v>
      </c>
      <c r="AV68" t="s">
        <v>167</v>
      </c>
      <c r="AW68" t="s">
        <v>168</v>
      </c>
      <c r="AX68" s="154">
        <v>2</v>
      </c>
      <c r="AY68" t="s">
        <v>169</v>
      </c>
      <c r="AZ68" t="s">
        <v>170</v>
      </c>
      <c r="BA68" t="s">
        <v>171</v>
      </c>
      <c r="BB68" t="s">
        <v>165</v>
      </c>
      <c r="BC68" s="154">
        <v>2</v>
      </c>
      <c r="BD68" s="133" t="s">
        <v>165</v>
      </c>
      <c r="BE68" s="146">
        <v>20.0893291</v>
      </c>
      <c r="BF68" t="s">
        <v>172</v>
      </c>
      <c r="BG68" s="146">
        <v>0.194254126</v>
      </c>
      <c r="BH68">
        <v>0.64</v>
      </c>
      <c r="BI68" t="s">
        <v>173</v>
      </c>
      <c r="BJ68">
        <v>3.4000000000000002E-2</v>
      </c>
      <c r="BK68">
        <v>9.1</v>
      </c>
      <c r="BL68" t="s">
        <v>163</v>
      </c>
      <c r="BM68">
        <v>0.56000000000000005</v>
      </c>
      <c r="BN68" t="s">
        <v>174</v>
      </c>
      <c r="BO68" t="s">
        <v>175</v>
      </c>
      <c r="BP68" s="155">
        <f t="shared" si="7"/>
        <v>18.698881833333335</v>
      </c>
      <c r="BQ68" s="133" t="s">
        <v>183</v>
      </c>
      <c r="BR68" s="133" t="s">
        <v>165</v>
      </c>
      <c r="BS68" s="133" t="s">
        <v>165</v>
      </c>
      <c r="BT68" t="s">
        <v>176</v>
      </c>
      <c r="BU68" s="133">
        <v>10</v>
      </c>
      <c r="BV68" s="133" t="s">
        <v>198</v>
      </c>
      <c r="BW68" s="133" t="s">
        <v>165</v>
      </c>
      <c r="BX68" s="145">
        <v>26.316807690000001</v>
      </c>
      <c r="BY68" t="s">
        <v>163</v>
      </c>
      <c r="BZ68">
        <v>3</v>
      </c>
      <c r="CA68">
        <v>3</v>
      </c>
      <c r="CB68" t="s">
        <v>165</v>
      </c>
      <c r="CC68" s="146">
        <v>3.8424601093623867</v>
      </c>
      <c r="CD68" t="s">
        <v>180</v>
      </c>
      <c r="CE68" s="146">
        <f t="shared" si="13"/>
        <v>0.15369840437449547</v>
      </c>
      <c r="CF68" s="146">
        <v>0.15369840437449547</v>
      </c>
      <c r="CG68" s="156" t="s">
        <v>165</v>
      </c>
      <c r="CH68" t="s">
        <v>207</v>
      </c>
      <c r="CI68" t="s">
        <v>165</v>
      </c>
      <c r="CJ68" t="s">
        <v>178</v>
      </c>
      <c r="CK68" t="s">
        <v>181</v>
      </c>
      <c r="CL68" t="s">
        <v>181</v>
      </c>
      <c r="CM68" t="s">
        <v>181</v>
      </c>
      <c r="CN68" t="s">
        <v>165</v>
      </c>
      <c r="CO68" t="s">
        <v>165</v>
      </c>
      <c r="CP68" t="s">
        <v>165</v>
      </c>
      <c r="CQ68" t="s">
        <v>165</v>
      </c>
      <c r="CR68" t="s">
        <v>165</v>
      </c>
      <c r="CS68" t="s">
        <v>165</v>
      </c>
      <c r="CT68" t="s">
        <v>165</v>
      </c>
      <c r="CU68">
        <v>35</v>
      </c>
      <c r="CV68" t="s">
        <v>183</v>
      </c>
      <c r="CW68" s="154">
        <v>3</v>
      </c>
      <c r="CX68" s="133" t="s">
        <v>199</v>
      </c>
      <c r="CY68" s="133" t="s">
        <v>165</v>
      </c>
      <c r="CZ68" s="133" t="s">
        <v>165</v>
      </c>
      <c r="DA68" s="133" t="s">
        <v>165</v>
      </c>
      <c r="DB68" s="133" t="s">
        <v>165</v>
      </c>
      <c r="DC68" s="133" t="s">
        <v>165</v>
      </c>
      <c r="DD68" s="133" t="s">
        <v>165</v>
      </c>
      <c r="DE68" s="133" t="s">
        <v>165</v>
      </c>
      <c r="DF68" s="133" t="s">
        <v>165</v>
      </c>
      <c r="DG68" s="133" t="s">
        <v>165</v>
      </c>
      <c r="DH68" s="133" t="s">
        <v>165</v>
      </c>
      <c r="DI68" s="133" t="s">
        <v>165</v>
      </c>
      <c r="DJ68" s="133" t="s">
        <v>165</v>
      </c>
      <c r="DK68" s="145">
        <v>432.56244218316402</v>
      </c>
      <c r="DL68" t="s">
        <v>204</v>
      </c>
      <c r="DM68">
        <v>37.1</v>
      </c>
      <c r="DN68" t="s">
        <v>205</v>
      </c>
      <c r="DO68">
        <v>39.61</v>
      </c>
      <c r="DP68" t="s">
        <v>183</v>
      </c>
      <c r="DQ68" s="146">
        <f t="shared" ref="DQ68:DQ99" si="14">0.1+0.1*AG68/1000</f>
        <v>0.20994600000000002</v>
      </c>
      <c r="DR68" t="s">
        <v>184</v>
      </c>
      <c r="DS68" t="s">
        <v>200</v>
      </c>
      <c r="DT68" t="s">
        <v>201</v>
      </c>
      <c r="DU68">
        <v>1.0271999999999999</v>
      </c>
      <c r="DV68" t="s">
        <v>165</v>
      </c>
      <c r="DW68" t="s">
        <v>165</v>
      </c>
      <c r="DX68" t="s">
        <v>197</v>
      </c>
      <c r="DY68" t="s">
        <v>181</v>
      </c>
      <c r="DZ68" t="s">
        <v>181</v>
      </c>
      <c r="EA68" t="s">
        <v>202</v>
      </c>
      <c r="EB68" t="s">
        <v>203</v>
      </c>
      <c r="EC68" s="147" t="s">
        <v>206</v>
      </c>
      <c r="ED68" s="147" t="s">
        <v>206</v>
      </c>
      <c r="EE68" s="133" t="s">
        <v>165</v>
      </c>
      <c r="EF68" s="133" t="s">
        <v>165</v>
      </c>
      <c r="EG68" s="133" t="s">
        <v>165</v>
      </c>
      <c r="EH68" t="s">
        <v>185</v>
      </c>
      <c r="EI68" t="s">
        <v>179</v>
      </c>
      <c r="EJ68" t="s">
        <v>165</v>
      </c>
      <c r="EK68">
        <v>2395</v>
      </c>
      <c r="EL68" s="147" t="s">
        <v>211</v>
      </c>
      <c r="EM68" s="147">
        <v>175</v>
      </c>
      <c r="EN68">
        <v>175</v>
      </c>
      <c r="EO68" t="s">
        <v>165</v>
      </c>
      <c r="EP68" t="s">
        <v>165</v>
      </c>
      <c r="EQ68" t="s">
        <v>165</v>
      </c>
      <c r="ER68" t="s">
        <v>165</v>
      </c>
      <c r="ES68" s="148">
        <v>8.0951603374656091</v>
      </c>
      <c r="ET68" t="s">
        <v>187</v>
      </c>
      <c r="EU68" s="133" t="s">
        <v>165</v>
      </c>
      <c r="EV68" s="133" t="s">
        <v>165</v>
      </c>
      <c r="EW68" s="149">
        <v>343.54932739999998</v>
      </c>
      <c r="EX68">
        <v>21</v>
      </c>
      <c r="EY68" t="s">
        <v>186</v>
      </c>
      <c r="EZ68" s="150">
        <v>322.54932739999998</v>
      </c>
      <c r="FA68" s="151">
        <v>44.597581094964028</v>
      </c>
      <c r="FB68" s="151">
        <v>42.532209105734978</v>
      </c>
      <c r="FC68" t="s">
        <v>176</v>
      </c>
      <c r="FD68" t="s">
        <v>188</v>
      </c>
      <c r="FE68" t="s">
        <v>165</v>
      </c>
      <c r="FF68" t="s">
        <v>165</v>
      </c>
      <c r="FG68" t="s">
        <v>165</v>
      </c>
      <c r="FH68" t="s">
        <v>165</v>
      </c>
      <c r="FI68" t="s">
        <v>165</v>
      </c>
      <c r="FJ68" t="s">
        <v>165</v>
      </c>
      <c r="FK68" t="s">
        <v>165</v>
      </c>
      <c r="FL68" t="s">
        <v>165</v>
      </c>
      <c r="FM68" t="s">
        <v>165</v>
      </c>
      <c r="FN68" t="s">
        <v>165</v>
      </c>
      <c r="FO68" t="s">
        <v>165</v>
      </c>
      <c r="FP68" t="s">
        <v>165</v>
      </c>
    </row>
    <row r="69" spans="1:172">
      <c r="A69" s="131" t="s">
        <v>154</v>
      </c>
      <c r="B69" t="s">
        <v>155</v>
      </c>
      <c r="C69">
        <v>2017</v>
      </c>
      <c r="D69" s="132" t="s">
        <v>156</v>
      </c>
      <c r="E69" s="145">
        <f t="shared" ref="E69:E113" si="15">AG69</f>
        <v>1102.42</v>
      </c>
      <c r="F69">
        <f t="shared" ref="F69:F113" si="16">AI69</f>
        <v>2</v>
      </c>
      <c r="G69">
        <f t="shared" ref="G69:G113" si="17">AJ69</f>
        <v>2</v>
      </c>
      <c r="H69" s="149">
        <f t="shared" ref="H69:H113" si="18">EZ69</f>
        <v>300.96910079999998</v>
      </c>
      <c r="I69" s="149">
        <f t="shared" ref="I69:I113" si="19">FA69</f>
        <v>42.958384441738019</v>
      </c>
      <c r="J69" s="149">
        <f t="shared" ref="J69:J113" si="20">FB69</f>
        <v>40.893016918655974</v>
      </c>
      <c r="K69" t="s">
        <v>209</v>
      </c>
      <c r="L69" s="132" t="s">
        <v>210</v>
      </c>
      <c r="M69" s="1" t="s">
        <v>157</v>
      </c>
      <c r="N69" s="132" t="s">
        <v>156</v>
      </c>
      <c r="O69" t="s">
        <v>158</v>
      </c>
      <c r="P69" s="139" t="s">
        <v>162</v>
      </c>
      <c r="Q69" s="139">
        <v>5</v>
      </c>
      <c r="R69" s="139">
        <v>1</v>
      </c>
      <c r="S69" s="140">
        <v>12</v>
      </c>
      <c r="T69" s="140">
        <f t="shared" si="12"/>
        <v>14</v>
      </c>
      <c r="U69" s="141">
        <v>36.22</v>
      </c>
      <c r="V69" s="141">
        <v>36.22</v>
      </c>
      <c r="W69" t="s">
        <v>165</v>
      </c>
      <c r="X69" t="s">
        <v>160</v>
      </c>
      <c r="Y69" s="135">
        <v>12.74</v>
      </c>
      <c r="Z69" s="135">
        <v>-78.739999999999995</v>
      </c>
      <c r="AA69" t="s">
        <v>165</v>
      </c>
      <c r="AB69" t="s">
        <v>165</v>
      </c>
      <c r="AC69">
        <v>-2839</v>
      </c>
      <c r="AD69" t="s">
        <v>165</v>
      </c>
      <c r="AE69" t="s">
        <v>165</v>
      </c>
      <c r="AF69" t="s">
        <v>165</v>
      </c>
      <c r="AG69">
        <v>1102.42</v>
      </c>
      <c r="AH69" t="s">
        <v>163</v>
      </c>
      <c r="AI69">
        <v>2</v>
      </c>
      <c r="AJ69">
        <v>2</v>
      </c>
      <c r="AK69" t="s">
        <v>165</v>
      </c>
      <c r="AL69" t="s">
        <v>164</v>
      </c>
      <c r="AM69" t="s">
        <v>165</v>
      </c>
      <c r="AN69" t="s">
        <v>165</v>
      </c>
      <c r="AO69" t="s">
        <v>165</v>
      </c>
      <c r="AP69" t="s">
        <v>165</v>
      </c>
      <c r="AQ69" t="s">
        <v>165</v>
      </c>
      <c r="AR69" t="s">
        <v>165</v>
      </c>
      <c r="AS69" t="s">
        <v>165</v>
      </c>
      <c r="AT69" t="s">
        <v>165</v>
      </c>
      <c r="AU69" t="s">
        <v>166</v>
      </c>
      <c r="AV69" t="s">
        <v>167</v>
      </c>
      <c r="AW69" t="s">
        <v>168</v>
      </c>
      <c r="AX69" s="154">
        <v>2</v>
      </c>
      <c r="AY69" t="s">
        <v>169</v>
      </c>
      <c r="AZ69" t="s">
        <v>170</v>
      </c>
      <c r="BA69" t="s">
        <v>171</v>
      </c>
      <c r="BB69" t="s">
        <v>165</v>
      </c>
      <c r="BC69" s="154">
        <v>2</v>
      </c>
      <c r="BD69" s="133" t="s">
        <v>165</v>
      </c>
      <c r="BE69" s="146">
        <v>20.229757670000001</v>
      </c>
      <c r="BF69" t="s">
        <v>172</v>
      </c>
      <c r="BG69" s="146">
        <v>0.19304795599999999</v>
      </c>
      <c r="BH69">
        <v>0.64</v>
      </c>
      <c r="BI69" t="s">
        <v>173</v>
      </c>
      <c r="BJ69">
        <v>3.4000000000000002E-2</v>
      </c>
      <c r="BK69">
        <v>9.1</v>
      </c>
      <c r="BL69" t="s">
        <v>163</v>
      </c>
      <c r="BM69">
        <v>0.56000000000000005</v>
      </c>
      <c r="BN69" t="s">
        <v>174</v>
      </c>
      <c r="BO69" t="s">
        <v>175</v>
      </c>
      <c r="BP69" s="155">
        <f t="shared" ref="BP69:BP113" si="21">(BE69-8.87)/0.6</f>
        <v>18.932929450000003</v>
      </c>
      <c r="BQ69" s="133" t="s">
        <v>183</v>
      </c>
      <c r="BR69" s="133" t="s">
        <v>165</v>
      </c>
      <c r="BS69" s="133" t="s">
        <v>165</v>
      </c>
      <c r="BT69" t="s">
        <v>176</v>
      </c>
      <c r="BU69" s="133">
        <v>10</v>
      </c>
      <c r="BV69" s="133" t="s">
        <v>198</v>
      </c>
      <c r="BW69" s="133" t="s">
        <v>165</v>
      </c>
      <c r="BX69" s="145">
        <v>26.176028890000001</v>
      </c>
      <c r="BY69" t="s">
        <v>163</v>
      </c>
      <c r="BZ69">
        <v>3</v>
      </c>
      <c r="CA69">
        <v>3</v>
      </c>
      <c r="CB69" t="s">
        <v>165</v>
      </c>
      <c r="CC69" s="146">
        <v>3.7937389566535522</v>
      </c>
      <c r="CD69" t="s">
        <v>180</v>
      </c>
      <c r="CE69" s="146">
        <f t="shared" si="13"/>
        <v>0.15174955826614209</v>
      </c>
      <c r="CF69" s="146">
        <v>0.15174955826614209</v>
      </c>
      <c r="CG69" s="156" t="s">
        <v>165</v>
      </c>
      <c r="CH69" t="s">
        <v>207</v>
      </c>
      <c r="CI69" t="s">
        <v>165</v>
      </c>
      <c r="CJ69" t="s">
        <v>178</v>
      </c>
      <c r="CK69" t="s">
        <v>181</v>
      </c>
      <c r="CL69" t="s">
        <v>181</v>
      </c>
      <c r="CM69" t="s">
        <v>181</v>
      </c>
      <c r="CN69" t="s">
        <v>165</v>
      </c>
      <c r="CO69" t="s">
        <v>165</v>
      </c>
      <c r="CP69" t="s">
        <v>165</v>
      </c>
      <c r="CQ69" t="s">
        <v>165</v>
      </c>
      <c r="CR69" t="s">
        <v>165</v>
      </c>
      <c r="CS69" t="s">
        <v>165</v>
      </c>
      <c r="CT69" t="s">
        <v>165</v>
      </c>
      <c r="CU69">
        <v>35</v>
      </c>
      <c r="CV69" t="s">
        <v>183</v>
      </c>
      <c r="CW69" s="154">
        <v>3</v>
      </c>
      <c r="CX69" s="133" t="s">
        <v>199</v>
      </c>
      <c r="CY69" s="133" t="s">
        <v>165</v>
      </c>
      <c r="CZ69" s="133" t="s">
        <v>165</v>
      </c>
      <c r="DA69" s="133" t="s">
        <v>165</v>
      </c>
      <c r="DB69" s="133" t="s">
        <v>165</v>
      </c>
      <c r="DC69" s="133" t="s">
        <v>165</v>
      </c>
      <c r="DD69" s="133" t="s">
        <v>165</v>
      </c>
      <c r="DE69" s="133" t="s">
        <v>165</v>
      </c>
      <c r="DF69" s="133" t="s">
        <v>165</v>
      </c>
      <c r="DG69" s="133" t="s">
        <v>165</v>
      </c>
      <c r="DH69" s="133" t="s">
        <v>165</v>
      </c>
      <c r="DI69" s="133" t="s">
        <v>165</v>
      </c>
      <c r="DJ69" s="133" t="s">
        <v>165</v>
      </c>
      <c r="DK69" s="145">
        <v>432.56244218316402</v>
      </c>
      <c r="DL69" t="s">
        <v>204</v>
      </c>
      <c r="DM69">
        <v>37.1</v>
      </c>
      <c r="DN69" t="s">
        <v>205</v>
      </c>
      <c r="DO69">
        <v>39.61</v>
      </c>
      <c r="DP69" t="s">
        <v>183</v>
      </c>
      <c r="DQ69" s="146">
        <f t="shared" si="14"/>
        <v>0.21024200000000004</v>
      </c>
      <c r="DR69" t="s">
        <v>184</v>
      </c>
      <c r="DS69" t="s">
        <v>200</v>
      </c>
      <c r="DT69" t="s">
        <v>201</v>
      </c>
      <c r="DU69">
        <v>1.0271999999999999</v>
      </c>
      <c r="DV69" t="s">
        <v>165</v>
      </c>
      <c r="DW69" t="s">
        <v>165</v>
      </c>
      <c r="DX69" t="s">
        <v>197</v>
      </c>
      <c r="DY69" t="s">
        <v>181</v>
      </c>
      <c r="DZ69" t="s">
        <v>181</v>
      </c>
      <c r="EA69" t="s">
        <v>202</v>
      </c>
      <c r="EB69" t="s">
        <v>203</v>
      </c>
      <c r="EC69" s="147" t="s">
        <v>206</v>
      </c>
      <c r="ED69" s="147" t="s">
        <v>206</v>
      </c>
      <c r="EE69" s="133" t="s">
        <v>165</v>
      </c>
      <c r="EF69" s="133" t="s">
        <v>165</v>
      </c>
      <c r="EG69" s="133" t="s">
        <v>165</v>
      </c>
      <c r="EH69" t="s">
        <v>185</v>
      </c>
      <c r="EI69" t="s">
        <v>179</v>
      </c>
      <c r="EJ69" t="s">
        <v>165</v>
      </c>
      <c r="EK69">
        <v>2396</v>
      </c>
      <c r="EL69" s="147" t="s">
        <v>211</v>
      </c>
      <c r="EM69" s="147">
        <v>175</v>
      </c>
      <c r="EN69">
        <v>175</v>
      </c>
      <c r="EO69" t="s">
        <v>165</v>
      </c>
      <c r="EP69" t="s">
        <v>165</v>
      </c>
      <c r="EQ69" t="s">
        <v>165</v>
      </c>
      <c r="ER69" t="s">
        <v>165</v>
      </c>
      <c r="ES69" s="148">
        <v>8.1175650956993604</v>
      </c>
      <c r="ET69" t="s">
        <v>187</v>
      </c>
      <c r="EU69" s="133" t="s">
        <v>165</v>
      </c>
      <c r="EV69" s="133" t="s">
        <v>165</v>
      </c>
      <c r="EW69" s="149">
        <v>321.96910079999998</v>
      </c>
      <c r="EX69">
        <v>21</v>
      </c>
      <c r="EY69" t="s">
        <v>186</v>
      </c>
      <c r="EZ69" s="150">
        <v>300.96910079999998</v>
      </c>
      <c r="FA69" s="151">
        <v>42.958384441738019</v>
      </c>
      <c r="FB69" s="151">
        <v>40.893016918655974</v>
      </c>
      <c r="FC69" t="s">
        <v>176</v>
      </c>
      <c r="FD69" t="s">
        <v>188</v>
      </c>
      <c r="FE69" t="s">
        <v>165</v>
      </c>
      <c r="FF69" t="s">
        <v>165</v>
      </c>
      <c r="FG69" t="s">
        <v>165</v>
      </c>
      <c r="FH69" t="s">
        <v>165</v>
      </c>
      <c r="FI69" t="s">
        <v>165</v>
      </c>
      <c r="FJ69" t="s">
        <v>165</v>
      </c>
      <c r="FK69" t="s">
        <v>165</v>
      </c>
      <c r="FL69" t="s">
        <v>165</v>
      </c>
      <c r="FM69" t="s">
        <v>165</v>
      </c>
      <c r="FN69" t="s">
        <v>165</v>
      </c>
      <c r="FO69" t="s">
        <v>165</v>
      </c>
      <c r="FP69" t="s">
        <v>165</v>
      </c>
    </row>
    <row r="70" spans="1:172">
      <c r="A70" s="131" t="s">
        <v>154</v>
      </c>
      <c r="B70" t="s">
        <v>155</v>
      </c>
      <c r="C70">
        <v>2017</v>
      </c>
      <c r="D70" s="132" t="s">
        <v>156</v>
      </c>
      <c r="E70" s="145">
        <f t="shared" si="15"/>
        <v>1103.1600000000001</v>
      </c>
      <c r="F70">
        <f t="shared" si="16"/>
        <v>2</v>
      </c>
      <c r="G70">
        <f t="shared" si="17"/>
        <v>2</v>
      </c>
      <c r="H70" s="149">
        <f t="shared" si="18"/>
        <v>286.69133299999999</v>
      </c>
      <c r="I70" s="149">
        <f t="shared" si="19"/>
        <v>43.963506745999041</v>
      </c>
      <c r="J70" s="149">
        <f t="shared" si="20"/>
        <v>42.495567929505995</v>
      </c>
      <c r="K70" t="s">
        <v>209</v>
      </c>
      <c r="L70" s="132" t="s">
        <v>210</v>
      </c>
      <c r="M70" s="1" t="s">
        <v>157</v>
      </c>
      <c r="N70" s="132" t="s">
        <v>156</v>
      </c>
      <c r="O70" t="s">
        <v>158</v>
      </c>
      <c r="P70" s="139" t="s">
        <v>162</v>
      </c>
      <c r="Q70" s="139">
        <v>5</v>
      </c>
      <c r="R70" s="139">
        <v>1</v>
      </c>
      <c r="S70" s="140">
        <v>17</v>
      </c>
      <c r="T70" s="140">
        <f t="shared" si="12"/>
        <v>19</v>
      </c>
      <c r="U70" s="141">
        <v>36.270000000000003</v>
      </c>
      <c r="V70" s="141">
        <v>36.270000000000003</v>
      </c>
      <c r="W70" t="s">
        <v>165</v>
      </c>
      <c r="X70" t="s">
        <v>160</v>
      </c>
      <c r="Y70" s="135">
        <v>12.74</v>
      </c>
      <c r="Z70" s="135">
        <v>-78.739999999999995</v>
      </c>
      <c r="AA70" t="s">
        <v>165</v>
      </c>
      <c r="AB70" t="s">
        <v>165</v>
      </c>
      <c r="AC70">
        <v>-2839</v>
      </c>
      <c r="AD70" t="s">
        <v>165</v>
      </c>
      <c r="AE70" t="s">
        <v>165</v>
      </c>
      <c r="AF70" t="s">
        <v>165</v>
      </c>
      <c r="AG70">
        <v>1103.1600000000001</v>
      </c>
      <c r="AH70" t="s">
        <v>163</v>
      </c>
      <c r="AI70">
        <v>2</v>
      </c>
      <c r="AJ70">
        <v>2</v>
      </c>
      <c r="AK70" t="s">
        <v>165</v>
      </c>
      <c r="AL70" t="s">
        <v>164</v>
      </c>
      <c r="AM70" t="s">
        <v>165</v>
      </c>
      <c r="AN70" t="s">
        <v>165</v>
      </c>
      <c r="AO70" t="s">
        <v>165</v>
      </c>
      <c r="AP70" t="s">
        <v>165</v>
      </c>
      <c r="AQ70" t="s">
        <v>165</v>
      </c>
      <c r="AR70" t="s">
        <v>165</v>
      </c>
      <c r="AS70" t="s">
        <v>165</v>
      </c>
      <c r="AT70" t="s">
        <v>165</v>
      </c>
      <c r="AU70" t="s">
        <v>166</v>
      </c>
      <c r="AV70" t="s">
        <v>167</v>
      </c>
      <c r="AW70" t="s">
        <v>168</v>
      </c>
      <c r="AX70" s="154">
        <v>2</v>
      </c>
      <c r="AY70" t="s">
        <v>169</v>
      </c>
      <c r="AZ70" t="s">
        <v>170</v>
      </c>
      <c r="BA70" t="s">
        <v>171</v>
      </c>
      <c r="BB70" t="s">
        <v>165</v>
      </c>
      <c r="BC70" s="154">
        <v>2</v>
      </c>
      <c r="BD70" s="133" t="s">
        <v>165</v>
      </c>
      <c r="BE70" s="146">
        <v>20.23</v>
      </c>
      <c r="BF70" t="s">
        <v>172</v>
      </c>
      <c r="BG70" s="146">
        <v>0.29217580599999998</v>
      </c>
      <c r="BH70">
        <v>0.64</v>
      </c>
      <c r="BI70" t="s">
        <v>173</v>
      </c>
      <c r="BJ70">
        <v>3.4000000000000002E-2</v>
      </c>
      <c r="BK70">
        <v>9.1</v>
      </c>
      <c r="BL70" t="s">
        <v>163</v>
      </c>
      <c r="BM70">
        <v>0.56000000000000005</v>
      </c>
      <c r="BN70" t="s">
        <v>174</v>
      </c>
      <c r="BO70" t="s">
        <v>175</v>
      </c>
      <c r="BP70" s="155">
        <f t="shared" si="21"/>
        <v>18.933333333333337</v>
      </c>
      <c r="BQ70" s="133" t="s">
        <v>183</v>
      </c>
      <c r="BR70" s="133" t="s">
        <v>165</v>
      </c>
      <c r="BS70" s="133" t="s">
        <v>165</v>
      </c>
      <c r="BT70" t="s">
        <v>176</v>
      </c>
      <c r="BU70" s="133">
        <v>10</v>
      </c>
      <c r="BV70" s="133" t="s">
        <v>198</v>
      </c>
      <c r="BW70" s="133" t="s">
        <v>165</v>
      </c>
      <c r="BX70" s="145">
        <v>24.6625114</v>
      </c>
      <c r="BY70" t="s">
        <v>163</v>
      </c>
      <c r="BZ70">
        <v>3</v>
      </c>
      <c r="CA70">
        <v>3</v>
      </c>
      <c r="CB70" t="s">
        <v>165</v>
      </c>
      <c r="CC70" s="146">
        <v>4.1463718663410507</v>
      </c>
      <c r="CD70" t="s">
        <v>180</v>
      </c>
      <c r="CE70" s="146">
        <f t="shared" si="13"/>
        <v>0.16585487465364204</v>
      </c>
      <c r="CF70" s="146">
        <v>0.16585487465364204</v>
      </c>
      <c r="CG70" s="156" t="s">
        <v>165</v>
      </c>
      <c r="CH70" t="s">
        <v>207</v>
      </c>
      <c r="CI70" t="s">
        <v>165</v>
      </c>
      <c r="CJ70" t="s">
        <v>178</v>
      </c>
      <c r="CK70" t="s">
        <v>181</v>
      </c>
      <c r="CL70" t="s">
        <v>181</v>
      </c>
      <c r="CM70" t="s">
        <v>181</v>
      </c>
      <c r="CN70" t="s">
        <v>165</v>
      </c>
      <c r="CO70" t="s">
        <v>165</v>
      </c>
      <c r="CP70" t="s">
        <v>165</v>
      </c>
      <c r="CQ70" t="s">
        <v>165</v>
      </c>
      <c r="CR70" t="s">
        <v>165</v>
      </c>
      <c r="CS70" t="s">
        <v>165</v>
      </c>
      <c r="CT70" t="s">
        <v>165</v>
      </c>
      <c r="CU70">
        <v>35</v>
      </c>
      <c r="CV70" t="s">
        <v>183</v>
      </c>
      <c r="CW70" s="154">
        <v>3</v>
      </c>
      <c r="CX70" s="133" t="s">
        <v>199</v>
      </c>
      <c r="CY70" s="133" t="s">
        <v>165</v>
      </c>
      <c r="CZ70" s="133" t="s">
        <v>165</v>
      </c>
      <c r="DA70" s="133" t="s">
        <v>165</v>
      </c>
      <c r="DB70" s="133" t="s">
        <v>165</v>
      </c>
      <c r="DC70" s="133" t="s">
        <v>165</v>
      </c>
      <c r="DD70" s="133" t="s">
        <v>165</v>
      </c>
      <c r="DE70" s="133" t="s">
        <v>165</v>
      </c>
      <c r="DF70" s="133" t="s">
        <v>165</v>
      </c>
      <c r="DG70" s="133" t="s">
        <v>165</v>
      </c>
      <c r="DH70" s="133" t="s">
        <v>165</v>
      </c>
      <c r="DI70" s="133" t="s">
        <v>165</v>
      </c>
      <c r="DJ70" s="133" t="s">
        <v>165</v>
      </c>
      <c r="DK70" s="145">
        <v>432.56244218316402</v>
      </c>
      <c r="DL70" t="s">
        <v>204</v>
      </c>
      <c r="DM70">
        <v>37.1</v>
      </c>
      <c r="DN70" t="s">
        <v>205</v>
      </c>
      <c r="DO70">
        <v>39.61</v>
      </c>
      <c r="DP70" t="s">
        <v>183</v>
      </c>
      <c r="DQ70" s="146">
        <f t="shared" si="14"/>
        <v>0.210316</v>
      </c>
      <c r="DR70" t="s">
        <v>184</v>
      </c>
      <c r="DS70" t="s">
        <v>200</v>
      </c>
      <c r="DT70" t="s">
        <v>201</v>
      </c>
      <c r="DU70">
        <v>1.0271999999999999</v>
      </c>
      <c r="DV70" t="s">
        <v>165</v>
      </c>
      <c r="DW70" t="s">
        <v>165</v>
      </c>
      <c r="DX70" t="s">
        <v>197</v>
      </c>
      <c r="DY70" t="s">
        <v>181</v>
      </c>
      <c r="DZ70" t="s">
        <v>181</v>
      </c>
      <c r="EA70" t="s">
        <v>202</v>
      </c>
      <c r="EB70" t="s">
        <v>203</v>
      </c>
      <c r="EC70" s="147" t="s">
        <v>206</v>
      </c>
      <c r="ED70" s="147" t="s">
        <v>206</v>
      </c>
      <c r="EE70" s="133" t="s">
        <v>165</v>
      </c>
      <c r="EF70" s="133" t="s">
        <v>165</v>
      </c>
      <c r="EG70" s="133" t="s">
        <v>165</v>
      </c>
      <c r="EH70" t="s">
        <v>185</v>
      </c>
      <c r="EI70" t="s">
        <v>179</v>
      </c>
      <c r="EJ70" t="s">
        <v>165</v>
      </c>
      <c r="EK70">
        <v>2397</v>
      </c>
      <c r="EL70" s="147" t="s">
        <v>211</v>
      </c>
      <c r="EM70" s="147">
        <v>175</v>
      </c>
      <c r="EN70">
        <v>175</v>
      </c>
      <c r="EO70" t="s">
        <v>165</v>
      </c>
      <c r="EP70" t="s">
        <v>165</v>
      </c>
      <c r="EQ70" t="s">
        <v>165</v>
      </c>
      <c r="ER70" t="s">
        <v>165</v>
      </c>
      <c r="ES70" s="148">
        <v>8.1350888737471507</v>
      </c>
      <c r="ET70" t="s">
        <v>187</v>
      </c>
      <c r="EU70" s="133" t="s">
        <v>165</v>
      </c>
      <c r="EV70" s="133" t="s">
        <v>165</v>
      </c>
      <c r="EW70" s="149">
        <v>307.69133299999999</v>
      </c>
      <c r="EX70">
        <v>21</v>
      </c>
      <c r="EY70" t="s">
        <v>186</v>
      </c>
      <c r="EZ70" s="150">
        <v>286.69133299999999</v>
      </c>
      <c r="FA70" s="151">
        <v>43.963506745999041</v>
      </c>
      <c r="FB70" s="151">
        <v>42.495567929505995</v>
      </c>
      <c r="FC70" t="s">
        <v>176</v>
      </c>
      <c r="FD70" t="s">
        <v>188</v>
      </c>
      <c r="FE70" t="s">
        <v>165</v>
      </c>
      <c r="FF70" t="s">
        <v>165</v>
      </c>
      <c r="FG70" t="s">
        <v>165</v>
      </c>
      <c r="FH70" t="s">
        <v>165</v>
      </c>
      <c r="FI70" t="s">
        <v>165</v>
      </c>
      <c r="FJ70" t="s">
        <v>165</v>
      </c>
      <c r="FK70" t="s">
        <v>165</v>
      </c>
      <c r="FL70" t="s">
        <v>165</v>
      </c>
      <c r="FM70" t="s">
        <v>165</v>
      </c>
      <c r="FN70" t="s">
        <v>165</v>
      </c>
      <c r="FO70" t="s">
        <v>165</v>
      </c>
      <c r="FP70" t="s">
        <v>165</v>
      </c>
    </row>
    <row r="71" spans="1:172">
      <c r="A71" s="131" t="s">
        <v>154</v>
      </c>
      <c r="B71" t="s">
        <v>155</v>
      </c>
      <c r="C71">
        <v>2017</v>
      </c>
      <c r="D71" s="132" t="s">
        <v>156</v>
      </c>
      <c r="E71" s="145">
        <f t="shared" si="15"/>
        <v>1106.2</v>
      </c>
      <c r="F71">
        <f t="shared" si="16"/>
        <v>2</v>
      </c>
      <c r="G71">
        <f t="shared" si="17"/>
        <v>2</v>
      </c>
      <c r="H71" s="149">
        <f t="shared" si="18"/>
        <v>242.20572250000001</v>
      </c>
      <c r="I71" s="149">
        <f t="shared" si="19"/>
        <v>35.667806603754997</v>
      </c>
      <c r="J71" s="149">
        <f t="shared" si="20"/>
        <v>33.986669315906994</v>
      </c>
      <c r="K71" t="s">
        <v>209</v>
      </c>
      <c r="L71" s="132" t="s">
        <v>210</v>
      </c>
      <c r="M71" s="1" t="s">
        <v>157</v>
      </c>
      <c r="N71" s="132" t="s">
        <v>156</v>
      </c>
      <c r="O71" t="s">
        <v>158</v>
      </c>
      <c r="P71" s="139" t="s">
        <v>162</v>
      </c>
      <c r="Q71" s="139">
        <v>5</v>
      </c>
      <c r="R71" s="139">
        <v>1</v>
      </c>
      <c r="S71" s="140">
        <v>37.517309000000353</v>
      </c>
      <c r="T71" s="140">
        <f t="shared" si="12"/>
        <v>39.517309000000353</v>
      </c>
      <c r="U71" s="141">
        <v>36.474948410000003</v>
      </c>
      <c r="V71" s="141">
        <v>36.474948410000003</v>
      </c>
      <c r="W71" t="s">
        <v>165</v>
      </c>
      <c r="X71" t="s">
        <v>160</v>
      </c>
      <c r="Y71" s="135">
        <v>12.74</v>
      </c>
      <c r="Z71" s="135">
        <v>-78.739999999999995</v>
      </c>
      <c r="AA71" t="s">
        <v>165</v>
      </c>
      <c r="AB71" t="s">
        <v>165</v>
      </c>
      <c r="AC71">
        <v>-2839</v>
      </c>
      <c r="AD71" t="s">
        <v>165</v>
      </c>
      <c r="AE71" t="s">
        <v>165</v>
      </c>
      <c r="AF71" t="s">
        <v>165</v>
      </c>
      <c r="AG71">
        <v>1106.2</v>
      </c>
      <c r="AH71" t="s">
        <v>163</v>
      </c>
      <c r="AI71">
        <v>2</v>
      </c>
      <c r="AJ71">
        <v>2</v>
      </c>
      <c r="AK71" t="s">
        <v>165</v>
      </c>
      <c r="AL71" t="s">
        <v>164</v>
      </c>
      <c r="AM71" t="s">
        <v>165</v>
      </c>
      <c r="AN71" t="s">
        <v>165</v>
      </c>
      <c r="AO71" t="s">
        <v>165</v>
      </c>
      <c r="AP71" t="s">
        <v>165</v>
      </c>
      <c r="AQ71" t="s">
        <v>165</v>
      </c>
      <c r="AR71" t="s">
        <v>165</v>
      </c>
      <c r="AS71" t="s">
        <v>165</v>
      </c>
      <c r="AT71" t="s">
        <v>165</v>
      </c>
      <c r="AU71" t="s">
        <v>166</v>
      </c>
      <c r="AV71" t="s">
        <v>167</v>
      </c>
      <c r="AW71" t="s">
        <v>168</v>
      </c>
      <c r="AX71" s="154">
        <v>2</v>
      </c>
      <c r="AY71" t="s">
        <v>169</v>
      </c>
      <c r="AZ71" t="s">
        <v>170</v>
      </c>
      <c r="BA71" t="s">
        <v>171</v>
      </c>
      <c r="BB71" t="s">
        <v>165</v>
      </c>
      <c r="BC71" s="154">
        <v>2</v>
      </c>
      <c r="BD71" s="133" t="s">
        <v>165</v>
      </c>
      <c r="BE71" s="146">
        <v>20.74592762</v>
      </c>
      <c r="BF71" t="s">
        <v>172</v>
      </c>
      <c r="BG71" s="146">
        <v>0.149970348</v>
      </c>
      <c r="BH71">
        <v>0.64</v>
      </c>
      <c r="BI71" t="s">
        <v>173</v>
      </c>
      <c r="BJ71">
        <v>3.4000000000000002E-2</v>
      </c>
      <c r="BK71">
        <v>9.1</v>
      </c>
      <c r="BL71" t="s">
        <v>163</v>
      </c>
      <c r="BM71">
        <v>0.56000000000000005</v>
      </c>
      <c r="BN71" t="s">
        <v>174</v>
      </c>
      <c r="BO71" t="s">
        <v>175</v>
      </c>
      <c r="BP71" s="155">
        <f t="shared" si="21"/>
        <v>19.793212700000002</v>
      </c>
      <c r="BQ71" s="133" t="s">
        <v>183</v>
      </c>
      <c r="BR71" s="133" t="s">
        <v>165</v>
      </c>
      <c r="BS71" s="133" t="s">
        <v>165</v>
      </c>
      <c r="BT71" t="s">
        <v>176</v>
      </c>
      <c r="BU71" s="133">
        <v>10</v>
      </c>
      <c r="BV71" s="133" t="s">
        <v>198</v>
      </c>
      <c r="BW71" s="133" t="s">
        <v>165</v>
      </c>
      <c r="BX71" s="145">
        <v>26.442725530000001</v>
      </c>
      <c r="BY71" t="s">
        <v>163</v>
      </c>
      <c r="BZ71">
        <v>3</v>
      </c>
      <c r="CA71">
        <v>3</v>
      </c>
      <c r="CB71" t="s">
        <v>165</v>
      </c>
      <c r="CC71" s="146">
        <v>3.88554821414494</v>
      </c>
      <c r="CD71" t="s">
        <v>180</v>
      </c>
      <c r="CE71" s="146">
        <f t="shared" si="13"/>
        <v>0.15542192856579759</v>
      </c>
      <c r="CF71" s="146">
        <v>0.15542192856579759</v>
      </c>
      <c r="CG71" s="156" t="s">
        <v>165</v>
      </c>
      <c r="CH71" t="s">
        <v>207</v>
      </c>
      <c r="CI71" t="s">
        <v>165</v>
      </c>
      <c r="CJ71" t="s">
        <v>178</v>
      </c>
      <c r="CK71" t="s">
        <v>181</v>
      </c>
      <c r="CL71" t="s">
        <v>181</v>
      </c>
      <c r="CM71" t="s">
        <v>181</v>
      </c>
      <c r="CN71" t="s">
        <v>165</v>
      </c>
      <c r="CO71" t="s">
        <v>165</v>
      </c>
      <c r="CP71" t="s">
        <v>165</v>
      </c>
      <c r="CQ71" t="s">
        <v>165</v>
      </c>
      <c r="CR71" t="s">
        <v>165</v>
      </c>
      <c r="CS71" t="s">
        <v>165</v>
      </c>
      <c r="CT71" t="s">
        <v>165</v>
      </c>
      <c r="CU71">
        <v>35</v>
      </c>
      <c r="CV71" t="s">
        <v>183</v>
      </c>
      <c r="CW71" s="154">
        <v>3</v>
      </c>
      <c r="CX71" s="133" t="s">
        <v>199</v>
      </c>
      <c r="CY71" s="133" t="s">
        <v>165</v>
      </c>
      <c r="CZ71" s="133" t="s">
        <v>165</v>
      </c>
      <c r="DA71" s="133" t="s">
        <v>165</v>
      </c>
      <c r="DB71" s="133" t="s">
        <v>165</v>
      </c>
      <c r="DC71" s="133" t="s">
        <v>165</v>
      </c>
      <c r="DD71" s="133" t="s">
        <v>165</v>
      </c>
      <c r="DE71" s="133" t="s">
        <v>165</v>
      </c>
      <c r="DF71" s="133" t="s">
        <v>165</v>
      </c>
      <c r="DG71" s="133" t="s">
        <v>165</v>
      </c>
      <c r="DH71" s="133" t="s">
        <v>165</v>
      </c>
      <c r="DI71" s="133" t="s">
        <v>165</v>
      </c>
      <c r="DJ71" s="133" t="s">
        <v>165</v>
      </c>
      <c r="DK71" s="145">
        <v>432.56244218316402</v>
      </c>
      <c r="DL71" t="s">
        <v>204</v>
      </c>
      <c r="DM71">
        <v>37.1</v>
      </c>
      <c r="DN71" t="s">
        <v>205</v>
      </c>
      <c r="DO71">
        <v>39.61</v>
      </c>
      <c r="DP71" t="s">
        <v>183</v>
      </c>
      <c r="DQ71" s="146">
        <f t="shared" si="14"/>
        <v>0.21062000000000003</v>
      </c>
      <c r="DR71" t="s">
        <v>184</v>
      </c>
      <c r="DS71" t="s">
        <v>200</v>
      </c>
      <c r="DT71" t="s">
        <v>201</v>
      </c>
      <c r="DU71">
        <v>1.0271999999999999</v>
      </c>
      <c r="DV71" t="s">
        <v>165</v>
      </c>
      <c r="DW71" t="s">
        <v>165</v>
      </c>
      <c r="DX71" t="s">
        <v>197</v>
      </c>
      <c r="DY71" t="s">
        <v>181</v>
      </c>
      <c r="DZ71" t="s">
        <v>181</v>
      </c>
      <c r="EA71" t="s">
        <v>202</v>
      </c>
      <c r="EB71" t="s">
        <v>203</v>
      </c>
      <c r="EC71" s="147" t="s">
        <v>206</v>
      </c>
      <c r="ED71" s="147" t="s">
        <v>206</v>
      </c>
      <c r="EE71" s="133" t="s">
        <v>165</v>
      </c>
      <c r="EF71" s="133" t="s">
        <v>165</v>
      </c>
      <c r="EG71" s="133" t="s">
        <v>165</v>
      </c>
      <c r="EH71" t="s">
        <v>185</v>
      </c>
      <c r="EI71" t="s">
        <v>179</v>
      </c>
      <c r="EJ71" t="s">
        <v>165</v>
      </c>
      <c r="EK71">
        <v>2398</v>
      </c>
      <c r="EL71" s="147" t="s">
        <v>211</v>
      </c>
      <c r="EM71" s="147">
        <v>175</v>
      </c>
      <c r="EN71">
        <v>175</v>
      </c>
      <c r="EO71" t="s">
        <v>165</v>
      </c>
      <c r="EP71" t="s">
        <v>165</v>
      </c>
      <c r="EQ71" t="s">
        <v>165</v>
      </c>
      <c r="ER71" t="s">
        <v>165</v>
      </c>
      <c r="ES71" s="148">
        <v>8.1850102387093298</v>
      </c>
      <c r="ET71" t="s">
        <v>187</v>
      </c>
      <c r="EU71" s="133" t="s">
        <v>165</v>
      </c>
      <c r="EV71" s="133" t="s">
        <v>165</v>
      </c>
      <c r="EW71" s="149">
        <v>263.20572249999998</v>
      </c>
      <c r="EX71">
        <v>21</v>
      </c>
      <c r="EY71" t="s">
        <v>186</v>
      </c>
      <c r="EZ71" s="150">
        <v>242.20572250000001</v>
      </c>
      <c r="FA71" s="151">
        <v>35.667806603754997</v>
      </c>
      <c r="FB71" s="151">
        <v>33.986669315906994</v>
      </c>
      <c r="FC71" t="s">
        <v>176</v>
      </c>
      <c r="FD71" t="s">
        <v>188</v>
      </c>
      <c r="FE71" t="s">
        <v>165</v>
      </c>
      <c r="FF71" t="s">
        <v>165</v>
      </c>
      <c r="FG71" t="s">
        <v>165</v>
      </c>
      <c r="FH71" t="s">
        <v>165</v>
      </c>
      <c r="FI71" t="s">
        <v>165</v>
      </c>
      <c r="FJ71" t="s">
        <v>165</v>
      </c>
      <c r="FK71" t="s">
        <v>165</v>
      </c>
      <c r="FL71" t="s">
        <v>165</v>
      </c>
      <c r="FM71" t="s">
        <v>165</v>
      </c>
      <c r="FN71" t="s">
        <v>165</v>
      </c>
      <c r="FO71" t="s">
        <v>165</v>
      </c>
      <c r="FP71" t="s">
        <v>165</v>
      </c>
    </row>
    <row r="72" spans="1:172">
      <c r="A72" s="131" t="s">
        <v>154</v>
      </c>
      <c r="B72" t="s">
        <v>155</v>
      </c>
      <c r="C72">
        <v>2017</v>
      </c>
      <c r="D72" s="132" t="s">
        <v>156</v>
      </c>
      <c r="E72" s="145">
        <f t="shared" si="15"/>
        <v>1107.82</v>
      </c>
      <c r="F72">
        <f t="shared" si="16"/>
        <v>2</v>
      </c>
      <c r="G72">
        <f t="shared" si="17"/>
        <v>2</v>
      </c>
      <c r="H72" s="149">
        <f t="shared" si="18"/>
        <v>260.50053159999999</v>
      </c>
      <c r="I72" s="149">
        <f t="shared" si="19"/>
        <v>38.67847874652</v>
      </c>
      <c r="J72" s="149">
        <f t="shared" si="20"/>
        <v>37.357309554341981</v>
      </c>
      <c r="K72" t="s">
        <v>209</v>
      </c>
      <c r="L72" s="132" t="s">
        <v>210</v>
      </c>
      <c r="M72" s="1" t="s">
        <v>157</v>
      </c>
      <c r="N72" s="132" t="s">
        <v>156</v>
      </c>
      <c r="O72" t="s">
        <v>158</v>
      </c>
      <c r="P72" s="139" t="s">
        <v>162</v>
      </c>
      <c r="Q72" s="139">
        <v>5</v>
      </c>
      <c r="R72" s="139">
        <v>1</v>
      </c>
      <c r="S72" s="140">
        <v>48.399195000000304</v>
      </c>
      <c r="T72" s="140">
        <f t="shared" si="12"/>
        <v>50.399195000000304</v>
      </c>
      <c r="U72" s="141">
        <v>36.583767270000003</v>
      </c>
      <c r="V72" s="141">
        <v>36.583767270000003</v>
      </c>
      <c r="W72" t="s">
        <v>165</v>
      </c>
      <c r="X72" t="s">
        <v>160</v>
      </c>
      <c r="Y72" s="135">
        <v>12.74</v>
      </c>
      <c r="Z72" s="135">
        <v>-78.739999999999995</v>
      </c>
      <c r="AA72" t="s">
        <v>165</v>
      </c>
      <c r="AB72" t="s">
        <v>165</v>
      </c>
      <c r="AC72">
        <v>-2839</v>
      </c>
      <c r="AD72" t="s">
        <v>165</v>
      </c>
      <c r="AE72" t="s">
        <v>165</v>
      </c>
      <c r="AF72" t="s">
        <v>165</v>
      </c>
      <c r="AG72">
        <v>1107.82</v>
      </c>
      <c r="AH72" t="s">
        <v>163</v>
      </c>
      <c r="AI72">
        <v>2</v>
      </c>
      <c r="AJ72">
        <v>2</v>
      </c>
      <c r="AK72" t="s">
        <v>165</v>
      </c>
      <c r="AL72" t="s">
        <v>164</v>
      </c>
      <c r="AM72" t="s">
        <v>165</v>
      </c>
      <c r="AN72" t="s">
        <v>165</v>
      </c>
      <c r="AO72" t="s">
        <v>165</v>
      </c>
      <c r="AP72" t="s">
        <v>165</v>
      </c>
      <c r="AQ72" t="s">
        <v>165</v>
      </c>
      <c r="AR72" t="s">
        <v>165</v>
      </c>
      <c r="AS72" t="s">
        <v>165</v>
      </c>
      <c r="AT72" t="s">
        <v>165</v>
      </c>
      <c r="AU72" t="s">
        <v>166</v>
      </c>
      <c r="AV72" t="s">
        <v>167</v>
      </c>
      <c r="AW72" t="s">
        <v>168</v>
      </c>
      <c r="AX72" s="154">
        <v>2</v>
      </c>
      <c r="AY72" t="s">
        <v>169</v>
      </c>
      <c r="AZ72" t="s">
        <v>170</v>
      </c>
      <c r="BA72" t="s">
        <v>171</v>
      </c>
      <c r="BB72" t="s">
        <v>165</v>
      </c>
      <c r="BC72" s="154">
        <v>2</v>
      </c>
      <c r="BD72" s="133" t="s">
        <v>165</v>
      </c>
      <c r="BE72" s="146">
        <v>20.51</v>
      </c>
      <c r="BF72" t="s">
        <v>172</v>
      </c>
      <c r="BG72" s="146">
        <v>0.20036323</v>
      </c>
      <c r="BH72">
        <v>0.64</v>
      </c>
      <c r="BI72" t="s">
        <v>173</v>
      </c>
      <c r="BJ72">
        <v>3.4000000000000002E-2</v>
      </c>
      <c r="BK72">
        <v>9.1</v>
      </c>
      <c r="BL72" t="s">
        <v>163</v>
      </c>
      <c r="BM72">
        <v>0.56000000000000005</v>
      </c>
      <c r="BN72" t="s">
        <v>174</v>
      </c>
      <c r="BO72" t="s">
        <v>175</v>
      </c>
      <c r="BP72" s="155">
        <f t="shared" si="21"/>
        <v>19.400000000000006</v>
      </c>
      <c r="BQ72" s="133" t="s">
        <v>183</v>
      </c>
      <c r="BR72" s="133" t="s">
        <v>165</v>
      </c>
      <c r="BS72" s="133" t="s">
        <v>165</v>
      </c>
      <c r="BT72" t="s">
        <v>176</v>
      </c>
      <c r="BU72" s="133">
        <v>10</v>
      </c>
      <c r="BV72" s="133" t="s">
        <v>198</v>
      </c>
      <c r="BW72" s="133" t="s">
        <v>165</v>
      </c>
      <c r="BX72" s="145">
        <v>25.506174690000002</v>
      </c>
      <c r="BY72" t="s">
        <v>163</v>
      </c>
      <c r="BZ72">
        <v>3</v>
      </c>
      <c r="CA72">
        <v>3</v>
      </c>
      <c r="CB72" t="s">
        <v>165</v>
      </c>
      <c r="CC72" s="146">
        <v>3.5714601200971803</v>
      </c>
      <c r="CD72" t="s">
        <v>180</v>
      </c>
      <c r="CE72" s="146">
        <f t="shared" si="13"/>
        <v>0.1428584048038872</v>
      </c>
      <c r="CF72" s="146">
        <v>0.1428584048038872</v>
      </c>
      <c r="CG72" s="156" t="s">
        <v>165</v>
      </c>
      <c r="CH72" t="s">
        <v>207</v>
      </c>
      <c r="CI72" t="s">
        <v>165</v>
      </c>
      <c r="CJ72" t="s">
        <v>178</v>
      </c>
      <c r="CK72" t="s">
        <v>181</v>
      </c>
      <c r="CL72" t="s">
        <v>181</v>
      </c>
      <c r="CM72" t="s">
        <v>181</v>
      </c>
      <c r="CN72" t="s">
        <v>165</v>
      </c>
      <c r="CO72" t="s">
        <v>165</v>
      </c>
      <c r="CP72" t="s">
        <v>165</v>
      </c>
      <c r="CQ72" t="s">
        <v>165</v>
      </c>
      <c r="CR72" t="s">
        <v>165</v>
      </c>
      <c r="CS72" t="s">
        <v>165</v>
      </c>
      <c r="CT72" t="s">
        <v>165</v>
      </c>
      <c r="CU72">
        <v>35</v>
      </c>
      <c r="CV72" t="s">
        <v>183</v>
      </c>
      <c r="CW72" s="154">
        <v>3</v>
      </c>
      <c r="CX72" s="133" t="s">
        <v>199</v>
      </c>
      <c r="CY72" s="133" t="s">
        <v>165</v>
      </c>
      <c r="CZ72" s="133" t="s">
        <v>165</v>
      </c>
      <c r="DA72" s="133" t="s">
        <v>165</v>
      </c>
      <c r="DB72" s="133" t="s">
        <v>165</v>
      </c>
      <c r="DC72" s="133" t="s">
        <v>165</v>
      </c>
      <c r="DD72" s="133" t="s">
        <v>165</v>
      </c>
      <c r="DE72" s="133" t="s">
        <v>165</v>
      </c>
      <c r="DF72" s="133" t="s">
        <v>165</v>
      </c>
      <c r="DG72" s="133" t="s">
        <v>165</v>
      </c>
      <c r="DH72" s="133" t="s">
        <v>165</v>
      </c>
      <c r="DI72" s="133" t="s">
        <v>165</v>
      </c>
      <c r="DJ72" s="133" t="s">
        <v>165</v>
      </c>
      <c r="DK72" s="145">
        <v>432.56244218316402</v>
      </c>
      <c r="DL72" t="s">
        <v>204</v>
      </c>
      <c r="DM72">
        <v>37.1</v>
      </c>
      <c r="DN72" t="s">
        <v>205</v>
      </c>
      <c r="DO72">
        <v>39.61</v>
      </c>
      <c r="DP72" t="s">
        <v>183</v>
      </c>
      <c r="DQ72" s="146">
        <f t="shared" si="14"/>
        <v>0.210782</v>
      </c>
      <c r="DR72" t="s">
        <v>184</v>
      </c>
      <c r="DS72" t="s">
        <v>200</v>
      </c>
      <c r="DT72" t="s">
        <v>201</v>
      </c>
      <c r="DU72">
        <v>1.0271999999999999</v>
      </c>
      <c r="DV72" t="s">
        <v>165</v>
      </c>
      <c r="DW72" t="s">
        <v>165</v>
      </c>
      <c r="DX72" t="s">
        <v>197</v>
      </c>
      <c r="DY72" t="s">
        <v>181</v>
      </c>
      <c r="DZ72" t="s">
        <v>181</v>
      </c>
      <c r="EA72" t="s">
        <v>202</v>
      </c>
      <c r="EB72" t="s">
        <v>203</v>
      </c>
      <c r="EC72" s="147" t="s">
        <v>206</v>
      </c>
      <c r="ED72" s="147" t="s">
        <v>206</v>
      </c>
      <c r="EE72" s="133" t="s">
        <v>165</v>
      </c>
      <c r="EF72" s="133" t="s">
        <v>165</v>
      </c>
      <c r="EG72" s="133" t="s">
        <v>165</v>
      </c>
      <c r="EH72" t="s">
        <v>185</v>
      </c>
      <c r="EI72" t="s">
        <v>179</v>
      </c>
      <c r="EJ72" t="s">
        <v>165</v>
      </c>
      <c r="EK72">
        <v>2399</v>
      </c>
      <c r="EL72" s="147" t="s">
        <v>211</v>
      </c>
      <c r="EM72" s="147">
        <v>175</v>
      </c>
      <c r="EN72">
        <v>175</v>
      </c>
      <c r="EO72" t="s">
        <v>165</v>
      </c>
      <c r="EP72" t="s">
        <v>165</v>
      </c>
      <c r="EQ72" t="s">
        <v>165</v>
      </c>
      <c r="ER72" t="s">
        <v>165</v>
      </c>
      <c r="ES72" s="148">
        <v>8.1644311455733902</v>
      </c>
      <c r="ET72" t="s">
        <v>187</v>
      </c>
      <c r="EU72" s="133" t="s">
        <v>165</v>
      </c>
      <c r="EV72" s="133" t="s">
        <v>165</v>
      </c>
      <c r="EW72" s="149">
        <v>281.50053159999999</v>
      </c>
      <c r="EX72">
        <v>21</v>
      </c>
      <c r="EY72" t="s">
        <v>186</v>
      </c>
      <c r="EZ72" s="150">
        <v>260.50053159999999</v>
      </c>
      <c r="FA72" s="151">
        <v>38.67847874652</v>
      </c>
      <c r="FB72" s="151">
        <v>37.357309554341981</v>
      </c>
      <c r="FC72" t="s">
        <v>176</v>
      </c>
      <c r="FD72" t="s">
        <v>188</v>
      </c>
      <c r="FE72" t="s">
        <v>165</v>
      </c>
      <c r="FF72" t="s">
        <v>165</v>
      </c>
      <c r="FG72" t="s">
        <v>165</v>
      </c>
      <c r="FH72" t="s">
        <v>165</v>
      </c>
      <c r="FI72" t="s">
        <v>165</v>
      </c>
      <c r="FJ72" t="s">
        <v>165</v>
      </c>
      <c r="FK72" t="s">
        <v>165</v>
      </c>
      <c r="FL72" t="s">
        <v>165</v>
      </c>
      <c r="FM72" t="s">
        <v>165</v>
      </c>
      <c r="FN72" t="s">
        <v>165</v>
      </c>
      <c r="FO72" t="s">
        <v>165</v>
      </c>
      <c r="FP72" t="s">
        <v>165</v>
      </c>
    </row>
    <row r="73" spans="1:172">
      <c r="A73" s="131" t="s">
        <v>154</v>
      </c>
      <c r="B73" t="s">
        <v>155</v>
      </c>
      <c r="C73">
        <v>2017</v>
      </c>
      <c r="D73" s="132" t="s">
        <v>156</v>
      </c>
      <c r="E73" s="145">
        <f t="shared" si="15"/>
        <v>1110.3</v>
      </c>
      <c r="F73">
        <f t="shared" si="16"/>
        <v>2</v>
      </c>
      <c r="G73">
        <f t="shared" si="17"/>
        <v>2</v>
      </c>
      <c r="H73" s="149">
        <f t="shared" si="18"/>
        <v>281.65994230000001</v>
      </c>
      <c r="I73" s="149">
        <f t="shared" si="19"/>
        <v>39.561198937716995</v>
      </c>
      <c r="J73" s="149">
        <f t="shared" si="20"/>
        <v>38.872510175629998</v>
      </c>
      <c r="K73" t="s">
        <v>209</v>
      </c>
      <c r="L73" s="132" t="s">
        <v>210</v>
      </c>
      <c r="M73" s="1" t="s">
        <v>157</v>
      </c>
      <c r="N73" s="132" t="s">
        <v>156</v>
      </c>
      <c r="O73" t="s">
        <v>158</v>
      </c>
      <c r="P73" s="139" t="s">
        <v>162</v>
      </c>
      <c r="Q73" s="139">
        <v>5</v>
      </c>
      <c r="R73" s="139">
        <v>1</v>
      </c>
      <c r="S73" s="140">
        <v>59.281265999999931</v>
      </c>
      <c r="T73" s="140">
        <f t="shared" si="12"/>
        <v>61.281265999999931</v>
      </c>
      <c r="U73" s="141">
        <v>36.692587979999999</v>
      </c>
      <c r="V73" s="141">
        <v>36.692587979999999</v>
      </c>
      <c r="W73" t="s">
        <v>165</v>
      </c>
      <c r="X73" t="s">
        <v>160</v>
      </c>
      <c r="Y73" s="135">
        <v>12.74</v>
      </c>
      <c r="Z73" s="135">
        <v>-78.739999999999995</v>
      </c>
      <c r="AA73" t="s">
        <v>165</v>
      </c>
      <c r="AB73" t="s">
        <v>165</v>
      </c>
      <c r="AC73">
        <v>-2839</v>
      </c>
      <c r="AD73" t="s">
        <v>165</v>
      </c>
      <c r="AE73" t="s">
        <v>165</v>
      </c>
      <c r="AF73" t="s">
        <v>165</v>
      </c>
      <c r="AG73">
        <v>1110.3</v>
      </c>
      <c r="AH73" t="s">
        <v>163</v>
      </c>
      <c r="AI73">
        <v>2</v>
      </c>
      <c r="AJ73">
        <v>2</v>
      </c>
      <c r="AK73" t="s">
        <v>165</v>
      </c>
      <c r="AL73" t="s">
        <v>164</v>
      </c>
      <c r="AM73" t="s">
        <v>165</v>
      </c>
      <c r="AN73" t="s">
        <v>165</v>
      </c>
      <c r="AO73" t="s">
        <v>165</v>
      </c>
      <c r="AP73" t="s">
        <v>165</v>
      </c>
      <c r="AQ73" t="s">
        <v>165</v>
      </c>
      <c r="AR73" t="s">
        <v>165</v>
      </c>
      <c r="AS73" t="s">
        <v>165</v>
      </c>
      <c r="AT73" t="s">
        <v>165</v>
      </c>
      <c r="AU73" t="s">
        <v>166</v>
      </c>
      <c r="AV73" t="s">
        <v>167</v>
      </c>
      <c r="AW73" t="s">
        <v>168</v>
      </c>
      <c r="AX73" s="154">
        <v>2</v>
      </c>
      <c r="AY73" t="s">
        <v>169</v>
      </c>
      <c r="AZ73" t="s">
        <v>170</v>
      </c>
      <c r="BA73" t="s">
        <v>171</v>
      </c>
      <c r="BB73" t="s">
        <v>165</v>
      </c>
      <c r="BC73" s="154">
        <v>2</v>
      </c>
      <c r="BD73" s="133" t="s">
        <v>165</v>
      </c>
      <c r="BE73" s="146">
        <v>20.420000000000002</v>
      </c>
      <c r="BF73" t="s">
        <v>172</v>
      </c>
      <c r="BG73" s="146">
        <v>0.18522651200000001</v>
      </c>
      <c r="BH73">
        <v>0.64</v>
      </c>
      <c r="BI73" t="s">
        <v>173</v>
      </c>
      <c r="BJ73">
        <v>3.4000000000000002E-2</v>
      </c>
      <c r="BK73">
        <v>9.1</v>
      </c>
      <c r="BL73" t="s">
        <v>163</v>
      </c>
      <c r="BM73">
        <v>0.56000000000000005</v>
      </c>
      <c r="BN73" t="s">
        <v>174</v>
      </c>
      <c r="BO73" t="s">
        <v>175</v>
      </c>
      <c r="BP73" s="155">
        <f t="shared" si="21"/>
        <v>19.250000000000004</v>
      </c>
      <c r="BQ73" s="133" t="s">
        <v>183</v>
      </c>
      <c r="BR73" s="133" t="s">
        <v>165</v>
      </c>
      <c r="BS73" s="133" t="s">
        <v>165</v>
      </c>
      <c r="BT73" t="s">
        <v>176</v>
      </c>
      <c r="BU73" s="133">
        <v>10</v>
      </c>
      <c r="BV73" s="133" t="s">
        <v>198</v>
      </c>
      <c r="BW73" s="133" t="s">
        <v>165</v>
      </c>
      <c r="BX73" s="145">
        <v>26.708559040000001</v>
      </c>
      <c r="BY73" t="s">
        <v>163</v>
      </c>
      <c r="BZ73">
        <v>3</v>
      </c>
      <c r="CA73">
        <v>3</v>
      </c>
      <c r="CB73" t="s">
        <v>165</v>
      </c>
      <c r="CC73" s="146">
        <v>3.9792700684600364</v>
      </c>
      <c r="CD73" t="s">
        <v>180</v>
      </c>
      <c r="CE73" s="146">
        <f t="shared" si="13"/>
        <v>0.15917080273840145</v>
      </c>
      <c r="CF73" s="146">
        <v>0.15917080273840145</v>
      </c>
      <c r="CG73" s="156" t="s">
        <v>165</v>
      </c>
      <c r="CH73" t="s">
        <v>207</v>
      </c>
      <c r="CI73" t="s">
        <v>165</v>
      </c>
      <c r="CJ73" t="s">
        <v>178</v>
      </c>
      <c r="CK73" t="s">
        <v>181</v>
      </c>
      <c r="CL73" t="s">
        <v>181</v>
      </c>
      <c r="CM73" t="s">
        <v>181</v>
      </c>
      <c r="CN73" t="s">
        <v>165</v>
      </c>
      <c r="CO73" t="s">
        <v>165</v>
      </c>
      <c r="CP73" t="s">
        <v>165</v>
      </c>
      <c r="CQ73" t="s">
        <v>165</v>
      </c>
      <c r="CR73" t="s">
        <v>165</v>
      </c>
      <c r="CS73" t="s">
        <v>165</v>
      </c>
      <c r="CT73" t="s">
        <v>165</v>
      </c>
      <c r="CU73">
        <v>35</v>
      </c>
      <c r="CV73" t="s">
        <v>183</v>
      </c>
      <c r="CW73" s="154">
        <v>3</v>
      </c>
      <c r="CX73" s="133" t="s">
        <v>199</v>
      </c>
      <c r="CY73" s="133" t="s">
        <v>165</v>
      </c>
      <c r="CZ73" s="133" t="s">
        <v>165</v>
      </c>
      <c r="DA73" s="133" t="s">
        <v>165</v>
      </c>
      <c r="DB73" s="133" t="s">
        <v>165</v>
      </c>
      <c r="DC73" s="133" t="s">
        <v>165</v>
      </c>
      <c r="DD73" s="133" t="s">
        <v>165</v>
      </c>
      <c r="DE73" s="133" t="s">
        <v>165</v>
      </c>
      <c r="DF73" s="133" t="s">
        <v>165</v>
      </c>
      <c r="DG73" s="133" t="s">
        <v>165</v>
      </c>
      <c r="DH73" s="133" t="s">
        <v>165</v>
      </c>
      <c r="DI73" s="133" t="s">
        <v>165</v>
      </c>
      <c r="DJ73" s="133" t="s">
        <v>165</v>
      </c>
      <c r="DK73" s="145">
        <v>432.56244218316402</v>
      </c>
      <c r="DL73" t="s">
        <v>204</v>
      </c>
      <c r="DM73">
        <v>37.1</v>
      </c>
      <c r="DN73" t="s">
        <v>205</v>
      </c>
      <c r="DO73">
        <v>39.61</v>
      </c>
      <c r="DP73" t="s">
        <v>183</v>
      </c>
      <c r="DQ73" s="146">
        <f t="shared" si="14"/>
        <v>0.21103</v>
      </c>
      <c r="DR73" t="s">
        <v>184</v>
      </c>
      <c r="DS73" t="s">
        <v>200</v>
      </c>
      <c r="DT73" t="s">
        <v>201</v>
      </c>
      <c r="DU73">
        <v>1.0271999999999999</v>
      </c>
      <c r="DV73" t="s">
        <v>165</v>
      </c>
      <c r="DW73" t="s">
        <v>165</v>
      </c>
      <c r="DX73" t="s">
        <v>197</v>
      </c>
      <c r="DY73" t="s">
        <v>181</v>
      </c>
      <c r="DZ73" t="s">
        <v>181</v>
      </c>
      <c r="EA73" t="s">
        <v>202</v>
      </c>
      <c r="EB73" t="s">
        <v>203</v>
      </c>
      <c r="EC73" s="147" t="s">
        <v>206</v>
      </c>
      <c r="ED73" s="147" t="s">
        <v>206</v>
      </c>
      <c r="EE73" s="133" t="s">
        <v>165</v>
      </c>
      <c r="EF73" s="133" t="s">
        <v>165</v>
      </c>
      <c r="EG73" s="133" t="s">
        <v>165</v>
      </c>
      <c r="EH73" t="s">
        <v>185</v>
      </c>
      <c r="EI73" t="s">
        <v>179</v>
      </c>
      <c r="EJ73" t="s">
        <v>165</v>
      </c>
      <c r="EK73">
        <v>2400</v>
      </c>
      <c r="EL73" s="147" t="s">
        <v>211</v>
      </c>
      <c r="EM73" s="147">
        <v>175</v>
      </c>
      <c r="EN73">
        <v>175</v>
      </c>
      <c r="EO73" t="s">
        <v>165</v>
      </c>
      <c r="EP73" t="s">
        <v>165</v>
      </c>
      <c r="EQ73" t="s">
        <v>165</v>
      </c>
      <c r="ER73" t="s">
        <v>165</v>
      </c>
      <c r="ES73" s="148">
        <v>8.1381236856211405</v>
      </c>
      <c r="ET73" t="s">
        <v>187</v>
      </c>
      <c r="EU73" s="133" t="s">
        <v>165</v>
      </c>
      <c r="EV73" s="133" t="s">
        <v>165</v>
      </c>
      <c r="EW73" s="149">
        <v>302.65994230000001</v>
      </c>
      <c r="EX73">
        <v>21</v>
      </c>
      <c r="EY73" t="s">
        <v>186</v>
      </c>
      <c r="EZ73" s="150">
        <v>281.65994230000001</v>
      </c>
      <c r="FA73" s="151">
        <v>39.561198937716995</v>
      </c>
      <c r="FB73" s="151">
        <v>38.872510175629998</v>
      </c>
      <c r="FC73" t="s">
        <v>176</v>
      </c>
      <c r="FD73" t="s">
        <v>188</v>
      </c>
      <c r="FE73" t="s">
        <v>165</v>
      </c>
      <c r="FF73" t="s">
        <v>165</v>
      </c>
      <c r="FG73" t="s">
        <v>165</v>
      </c>
      <c r="FH73" t="s">
        <v>165</v>
      </c>
      <c r="FI73" t="s">
        <v>165</v>
      </c>
      <c r="FJ73" t="s">
        <v>165</v>
      </c>
      <c r="FK73" t="s">
        <v>165</v>
      </c>
      <c r="FL73" t="s">
        <v>165</v>
      </c>
      <c r="FM73" t="s">
        <v>165</v>
      </c>
      <c r="FN73" t="s">
        <v>165</v>
      </c>
      <c r="FO73" t="s">
        <v>165</v>
      </c>
      <c r="FP73" t="s">
        <v>165</v>
      </c>
    </row>
    <row r="74" spans="1:172">
      <c r="A74" s="131" t="s">
        <v>154</v>
      </c>
      <c r="B74" t="s">
        <v>155</v>
      </c>
      <c r="C74">
        <v>2017</v>
      </c>
      <c r="D74" s="132" t="s">
        <v>156</v>
      </c>
      <c r="E74" s="145">
        <f t="shared" si="15"/>
        <v>1112.8</v>
      </c>
      <c r="F74">
        <f t="shared" si="16"/>
        <v>2</v>
      </c>
      <c r="G74">
        <f t="shared" si="17"/>
        <v>2</v>
      </c>
      <c r="H74" s="149">
        <f t="shared" si="18"/>
        <v>241.64218439999999</v>
      </c>
      <c r="I74" s="149">
        <f t="shared" si="19"/>
        <v>36.060655534790016</v>
      </c>
      <c r="J74" s="149">
        <f t="shared" si="20"/>
        <v>35.199414761789001</v>
      </c>
      <c r="K74" t="s">
        <v>209</v>
      </c>
      <c r="L74" s="132" t="s">
        <v>210</v>
      </c>
      <c r="M74" s="1" t="s">
        <v>157</v>
      </c>
      <c r="N74" s="132" t="s">
        <v>156</v>
      </c>
      <c r="O74" t="s">
        <v>158</v>
      </c>
      <c r="P74" s="139" t="s">
        <v>162</v>
      </c>
      <c r="Q74" s="139">
        <v>5</v>
      </c>
      <c r="R74" s="139">
        <v>1</v>
      </c>
      <c r="S74" s="140">
        <v>70.16303500000015</v>
      </c>
      <c r="T74" s="140">
        <f t="shared" si="12"/>
        <v>72.16303500000015</v>
      </c>
      <c r="U74" s="141">
        <v>36.801405670000001</v>
      </c>
      <c r="V74" s="141">
        <v>36.801405670000001</v>
      </c>
      <c r="W74" t="s">
        <v>165</v>
      </c>
      <c r="X74" t="s">
        <v>160</v>
      </c>
      <c r="Y74" s="135">
        <v>12.74</v>
      </c>
      <c r="Z74" s="135">
        <v>-78.739999999999995</v>
      </c>
      <c r="AA74" t="s">
        <v>165</v>
      </c>
      <c r="AB74" t="s">
        <v>165</v>
      </c>
      <c r="AC74">
        <v>-2839</v>
      </c>
      <c r="AD74" t="s">
        <v>165</v>
      </c>
      <c r="AE74" t="s">
        <v>165</v>
      </c>
      <c r="AF74" t="s">
        <v>165</v>
      </c>
      <c r="AG74">
        <v>1112.8</v>
      </c>
      <c r="AH74" t="s">
        <v>163</v>
      </c>
      <c r="AI74">
        <v>2</v>
      </c>
      <c r="AJ74">
        <v>2</v>
      </c>
      <c r="AK74" t="s">
        <v>165</v>
      </c>
      <c r="AL74" t="s">
        <v>164</v>
      </c>
      <c r="AM74" t="s">
        <v>165</v>
      </c>
      <c r="AN74" t="s">
        <v>165</v>
      </c>
      <c r="AO74" t="s">
        <v>165</v>
      </c>
      <c r="AP74" t="s">
        <v>165</v>
      </c>
      <c r="AQ74" t="s">
        <v>165</v>
      </c>
      <c r="AR74" t="s">
        <v>165</v>
      </c>
      <c r="AS74" t="s">
        <v>165</v>
      </c>
      <c r="AT74" t="s">
        <v>165</v>
      </c>
      <c r="AU74" t="s">
        <v>166</v>
      </c>
      <c r="AV74" t="s">
        <v>167</v>
      </c>
      <c r="AW74" t="s">
        <v>168</v>
      </c>
      <c r="AX74" s="154">
        <v>2</v>
      </c>
      <c r="AY74" t="s">
        <v>169</v>
      </c>
      <c r="AZ74" t="s">
        <v>170</v>
      </c>
      <c r="BA74" t="s">
        <v>171</v>
      </c>
      <c r="BB74" t="s">
        <v>165</v>
      </c>
      <c r="BC74" s="154">
        <v>2</v>
      </c>
      <c r="BD74" s="133" t="s">
        <v>165</v>
      </c>
      <c r="BE74" s="146">
        <v>20.77558234</v>
      </c>
      <c r="BF74" t="s">
        <v>172</v>
      </c>
      <c r="BG74" s="146">
        <v>0.19660471199999999</v>
      </c>
      <c r="BH74">
        <v>0.64</v>
      </c>
      <c r="BI74" t="s">
        <v>173</v>
      </c>
      <c r="BJ74">
        <v>3.4000000000000002E-2</v>
      </c>
      <c r="BK74">
        <v>9.1</v>
      </c>
      <c r="BL74" t="s">
        <v>163</v>
      </c>
      <c r="BM74">
        <v>0.56000000000000005</v>
      </c>
      <c r="BN74" t="s">
        <v>174</v>
      </c>
      <c r="BO74" t="s">
        <v>175</v>
      </c>
      <c r="BP74" s="155">
        <f t="shared" si="21"/>
        <v>19.842637233333335</v>
      </c>
      <c r="BQ74" s="133" t="s">
        <v>183</v>
      </c>
      <c r="BR74" s="133" t="s">
        <v>165</v>
      </c>
      <c r="BS74" s="133" t="s">
        <v>165</v>
      </c>
      <c r="BT74" t="s">
        <v>176</v>
      </c>
      <c r="BU74" s="133">
        <v>10</v>
      </c>
      <c r="BV74" s="133" t="s">
        <v>198</v>
      </c>
      <c r="BW74" s="133" t="s">
        <v>165</v>
      </c>
      <c r="BX74" s="145">
        <v>26.743849399999998</v>
      </c>
      <c r="BY74" t="s">
        <v>163</v>
      </c>
      <c r="BZ74">
        <v>3</v>
      </c>
      <c r="CA74">
        <v>3</v>
      </c>
      <c r="CB74" t="s">
        <v>165</v>
      </c>
      <c r="CC74" s="146">
        <v>4.0027706482267922</v>
      </c>
      <c r="CD74" t="s">
        <v>180</v>
      </c>
      <c r="CE74" s="146">
        <f t="shared" si="13"/>
        <v>0.16011082592907169</v>
      </c>
      <c r="CF74" s="146">
        <v>0.16011082592907169</v>
      </c>
      <c r="CG74" s="156" t="s">
        <v>165</v>
      </c>
      <c r="CH74" t="s">
        <v>207</v>
      </c>
      <c r="CI74" t="s">
        <v>165</v>
      </c>
      <c r="CJ74" t="s">
        <v>178</v>
      </c>
      <c r="CK74" t="s">
        <v>181</v>
      </c>
      <c r="CL74" t="s">
        <v>181</v>
      </c>
      <c r="CM74" t="s">
        <v>181</v>
      </c>
      <c r="CN74" t="s">
        <v>165</v>
      </c>
      <c r="CO74" t="s">
        <v>165</v>
      </c>
      <c r="CP74" t="s">
        <v>165</v>
      </c>
      <c r="CQ74" t="s">
        <v>165</v>
      </c>
      <c r="CR74" t="s">
        <v>165</v>
      </c>
      <c r="CS74" t="s">
        <v>165</v>
      </c>
      <c r="CT74" t="s">
        <v>165</v>
      </c>
      <c r="CU74">
        <v>35</v>
      </c>
      <c r="CV74" t="s">
        <v>183</v>
      </c>
      <c r="CW74" s="154">
        <v>3</v>
      </c>
      <c r="CX74" s="133" t="s">
        <v>199</v>
      </c>
      <c r="CY74" s="133" t="s">
        <v>165</v>
      </c>
      <c r="CZ74" s="133" t="s">
        <v>165</v>
      </c>
      <c r="DA74" s="133" t="s">
        <v>165</v>
      </c>
      <c r="DB74" s="133" t="s">
        <v>165</v>
      </c>
      <c r="DC74" s="133" t="s">
        <v>165</v>
      </c>
      <c r="DD74" s="133" t="s">
        <v>165</v>
      </c>
      <c r="DE74" s="133" t="s">
        <v>165</v>
      </c>
      <c r="DF74" s="133" t="s">
        <v>165</v>
      </c>
      <c r="DG74" s="133" t="s">
        <v>165</v>
      </c>
      <c r="DH74" s="133" t="s">
        <v>165</v>
      </c>
      <c r="DI74" s="133" t="s">
        <v>165</v>
      </c>
      <c r="DJ74" s="133" t="s">
        <v>165</v>
      </c>
      <c r="DK74" s="145">
        <v>432.56244218316402</v>
      </c>
      <c r="DL74" t="s">
        <v>204</v>
      </c>
      <c r="DM74">
        <v>37.1</v>
      </c>
      <c r="DN74" t="s">
        <v>205</v>
      </c>
      <c r="DO74">
        <v>39.61</v>
      </c>
      <c r="DP74" t="s">
        <v>183</v>
      </c>
      <c r="DQ74" s="146">
        <f t="shared" si="14"/>
        <v>0.21128000000000002</v>
      </c>
      <c r="DR74" t="s">
        <v>184</v>
      </c>
      <c r="DS74" t="s">
        <v>200</v>
      </c>
      <c r="DT74" t="s">
        <v>201</v>
      </c>
      <c r="DU74">
        <v>1.0271999999999999</v>
      </c>
      <c r="DV74" t="s">
        <v>165</v>
      </c>
      <c r="DW74" t="s">
        <v>165</v>
      </c>
      <c r="DX74" t="s">
        <v>197</v>
      </c>
      <c r="DY74" t="s">
        <v>181</v>
      </c>
      <c r="DZ74" t="s">
        <v>181</v>
      </c>
      <c r="EA74" t="s">
        <v>202</v>
      </c>
      <c r="EB74" t="s">
        <v>203</v>
      </c>
      <c r="EC74" s="147" t="s">
        <v>206</v>
      </c>
      <c r="ED74" s="147" t="s">
        <v>206</v>
      </c>
      <c r="EE74" s="133" t="s">
        <v>165</v>
      </c>
      <c r="EF74" s="133" t="s">
        <v>165</v>
      </c>
      <c r="EG74" s="133" t="s">
        <v>165</v>
      </c>
      <c r="EH74" t="s">
        <v>185</v>
      </c>
      <c r="EI74" t="s">
        <v>179</v>
      </c>
      <c r="EJ74" t="s">
        <v>165</v>
      </c>
      <c r="EK74">
        <v>2401</v>
      </c>
      <c r="EL74" s="147" t="s">
        <v>211</v>
      </c>
      <c r="EM74" s="147">
        <v>175</v>
      </c>
      <c r="EN74">
        <v>175</v>
      </c>
      <c r="EO74" t="s">
        <v>165</v>
      </c>
      <c r="EP74" t="s">
        <v>165</v>
      </c>
      <c r="EQ74" t="s">
        <v>165</v>
      </c>
      <c r="ER74" t="s">
        <v>165</v>
      </c>
      <c r="ES74" s="148">
        <v>8.1855162885859905</v>
      </c>
      <c r="ET74" t="s">
        <v>187</v>
      </c>
      <c r="EU74" s="133" t="s">
        <v>165</v>
      </c>
      <c r="EV74" s="133" t="s">
        <v>165</v>
      </c>
      <c r="EW74" s="149">
        <v>262.64218440000002</v>
      </c>
      <c r="EX74">
        <v>21</v>
      </c>
      <c r="EY74" t="s">
        <v>186</v>
      </c>
      <c r="EZ74" s="150">
        <v>241.64218439999999</v>
      </c>
      <c r="FA74" s="151">
        <v>36.060655534790016</v>
      </c>
      <c r="FB74" s="151">
        <v>35.199414761789001</v>
      </c>
      <c r="FC74" t="s">
        <v>176</v>
      </c>
      <c r="FD74" t="s">
        <v>188</v>
      </c>
      <c r="FE74" t="s">
        <v>165</v>
      </c>
      <c r="FF74" t="s">
        <v>165</v>
      </c>
      <c r="FG74" t="s">
        <v>165</v>
      </c>
      <c r="FH74" t="s">
        <v>165</v>
      </c>
      <c r="FI74" t="s">
        <v>165</v>
      </c>
      <c r="FJ74" t="s">
        <v>165</v>
      </c>
      <c r="FK74" t="s">
        <v>165</v>
      </c>
      <c r="FL74" t="s">
        <v>165</v>
      </c>
      <c r="FM74" t="s">
        <v>165</v>
      </c>
      <c r="FN74" t="s">
        <v>165</v>
      </c>
      <c r="FO74" t="s">
        <v>165</v>
      </c>
      <c r="FP74" t="s">
        <v>165</v>
      </c>
    </row>
    <row r="75" spans="1:172">
      <c r="A75" s="131" t="s">
        <v>154</v>
      </c>
      <c r="B75" t="s">
        <v>155</v>
      </c>
      <c r="C75">
        <v>2017</v>
      </c>
      <c r="D75" s="132" t="s">
        <v>156</v>
      </c>
      <c r="E75" s="145">
        <f t="shared" si="15"/>
        <v>1115.26</v>
      </c>
      <c r="F75">
        <f t="shared" si="16"/>
        <v>2</v>
      </c>
      <c r="G75">
        <f t="shared" si="17"/>
        <v>2</v>
      </c>
      <c r="H75" s="149">
        <f t="shared" si="18"/>
        <v>222.33685819999999</v>
      </c>
      <c r="I75" s="149">
        <f t="shared" si="19"/>
        <v>34.100599513809016</v>
      </c>
      <c r="J75" s="149">
        <f t="shared" si="20"/>
        <v>33.394010036017988</v>
      </c>
      <c r="K75" t="s">
        <v>209</v>
      </c>
      <c r="L75" s="132" t="s">
        <v>210</v>
      </c>
      <c r="M75" s="1" t="s">
        <v>157</v>
      </c>
      <c r="N75" s="132" t="s">
        <v>156</v>
      </c>
      <c r="O75" t="s">
        <v>158</v>
      </c>
      <c r="P75" s="139" t="s">
        <v>162</v>
      </c>
      <c r="Q75" s="139">
        <v>5</v>
      </c>
      <c r="R75" s="139">
        <v>1</v>
      </c>
      <c r="S75" s="140">
        <v>80.892932000000371</v>
      </c>
      <c r="T75" s="140">
        <f t="shared" si="12"/>
        <v>82.892932000000371</v>
      </c>
      <c r="U75" s="141">
        <v>36.908704640000003</v>
      </c>
      <c r="V75" s="141">
        <v>36.908704640000003</v>
      </c>
      <c r="W75" t="s">
        <v>165</v>
      </c>
      <c r="X75" t="s">
        <v>160</v>
      </c>
      <c r="Y75" s="135">
        <v>12.74</v>
      </c>
      <c r="Z75" s="135">
        <v>-78.739999999999995</v>
      </c>
      <c r="AA75" t="s">
        <v>165</v>
      </c>
      <c r="AB75" t="s">
        <v>165</v>
      </c>
      <c r="AC75">
        <v>-2839</v>
      </c>
      <c r="AD75" t="s">
        <v>165</v>
      </c>
      <c r="AE75" t="s">
        <v>165</v>
      </c>
      <c r="AF75" t="s">
        <v>165</v>
      </c>
      <c r="AG75">
        <v>1115.26</v>
      </c>
      <c r="AH75" t="s">
        <v>163</v>
      </c>
      <c r="AI75">
        <v>2</v>
      </c>
      <c r="AJ75">
        <v>2</v>
      </c>
      <c r="AK75" t="s">
        <v>165</v>
      </c>
      <c r="AL75" t="s">
        <v>164</v>
      </c>
      <c r="AM75" t="s">
        <v>165</v>
      </c>
      <c r="AN75" t="s">
        <v>165</v>
      </c>
      <c r="AO75" t="s">
        <v>165</v>
      </c>
      <c r="AP75" t="s">
        <v>165</v>
      </c>
      <c r="AQ75" t="s">
        <v>165</v>
      </c>
      <c r="AR75" t="s">
        <v>165</v>
      </c>
      <c r="AS75" t="s">
        <v>165</v>
      </c>
      <c r="AT75" t="s">
        <v>165</v>
      </c>
      <c r="AU75" t="s">
        <v>166</v>
      </c>
      <c r="AV75" t="s">
        <v>167</v>
      </c>
      <c r="AW75" t="s">
        <v>168</v>
      </c>
      <c r="AX75" s="154">
        <v>2</v>
      </c>
      <c r="AY75" t="s">
        <v>169</v>
      </c>
      <c r="AZ75" t="s">
        <v>170</v>
      </c>
      <c r="BA75" t="s">
        <v>171</v>
      </c>
      <c r="BB75" t="s">
        <v>165</v>
      </c>
      <c r="BC75" s="154">
        <v>2</v>
      </c>
      <c r="BD75" s="133" t="s">
        <v>165</v>
      </c>
      <c r="BE75" s="146">
        <v>20.934999999999999</v>
      </c>
      <c r="BF75" t="s">
        <v>172</v>
      </c>
      <c r="BG75" s="146">
        <v>0.19400513799999999</v>
      </c>
      <c r="BH75">
        <v>0.64</v>
      </c>
      <c r="BI75" t="s">
        <v>173</v>
      </c>
      <c r="BJ75">
        <v>3.4000000000000002E-2</v>
      </c>
      <c r="BK75">
        <v>9.1</v>
      </c>
      <c r="BL75" t="s">
        <v>163</v>
      </c>
      <c r="BM75">
        <v>0.56000000000000005</v>
      </c>
      <c r="BN75" t="s">
        <v>174</v>
      </c>
      <c r="BO75" t="s">
        <v>175</v>
      </c>
      <c r="BP75" s="155">
        <f t="shared" si="21"/>
        <v>20.108333333333334</v>
      </c>
      <c r="BQ75" s="133" t="s">
        <v>183</v>
      </c>
      <c r="BR75" s="133" t="s">
        <v>165</v>
      </c>
      <c r="BS75" s="133" t="s">
        <v>165</v>
      </c>
      <c r="BT75" t="s">
        <v>176</v>
      </c>
      <c r="BU75" s="133">
        <v>10</v>
      </c>
      <c r="BV75" s="133" t="s">
        <v>198</v>
      </c>
      <c r="BW75" s="133" t="s">
        <v>165</v>
      </c>
      <c r="BX75" s="145">
        <v>26.32885001</v>
      </c>
      <c r="BY75" t="s">
        <v>163</v>
      </c>
      <c r="BZ75">
        <v>3</v>
      </c>
      <c r="CA75">
        <v>3</v>
      </c>
      <c r="CB75" t="s">
        <v>165</v>
      </c>
      <c r="CC75" s="146">
        <v>3.8664286885937984</v>
      </c>
      <c r="CD75" t="s">
        <v>180</v>
      </c>
      <c r="CE75" s="146">
        <f t="shared" si="13"/>
        <v>0.15465714754375193</v>
      </c>
      <c r="CF75" s="146">
        <v>0.15465714754375193</v>
      </c>
      <c r="CG75" s="156" t="s">
        <v>165</v>
      </c>
      <c r="CH75" t="s">
        <v>207</v>
      </c>
      <c r="CI75" t="s">
        <v>165</v>
      </c>
      <c r="CJ75" t="s">
        <v>178</v>
      </c>
      <c r="CK75" t="s">
        <v>181</v>
      </c>
      <c r="CL75" t="s">
        <v>181</v>
      </c>
      <c r="CM75" t="s">
        <v>181</v>
      </c>
      <c r="CN75" t="s">
        <v>165</v>
      </c>
      <c r="CO75" t="s">
        <v>165</v>
      </c>
      <c r="CP75" t="s">
        <v>165</v>
      </c>
      <c r="CQ75" t="s">
        <v>165</v>
      </c>
      <c r="CR75" t="s">
        <v>165</v>
      </c>
      <c r="CS75" t="s">
        <v>165</v>
      </c>
      <c r="CT75" t="s">
        <v>165</v>
      </c>
      <c r="CU75">
        <v>35</v>
      </c>
      <c r="CV75" t="s">
        <v>183</v>
      </c>
      <c r="CW75" s="154">
        <v>3</v>
      </c>
      <c r="CX75" s="133" t="s">
        <v>199</v>
      </c>
      <c r="CY75" s="133" t="s">
        <v>165</v>
      </c>
      <c r="CZ75" s="133" t="s">
        <v>165</v>
      </c>
      <c r="DA75" s="133" t="s">
        <v>165</v>
      </c>
      <c r="DB75" s="133" t="s">
        <v>165</v>
      </c>
      <c r="DC75" s="133" t="s">
        <v>165</v>
      </c>
      <c r="DD75" s="133" t="s">
        <v>165</v>
      </c>
      <c r="DE75" s="133" t="s">
        <v>165</v>
      </c>
      <c r="DF75" s="133" t="s">
        <v>165</v>
      </c>
      <c r="DG75" s="133" t="s">
        <v>165</v>
      </c>
      <c r="DH75" s="133" t="s">
        <v>165</v>
      </c>
      <c r="DI75" s="133" t="s">
        <v>165</v>
      </c>
      <c r="DJ75" s="133" t="s">
        <v>165</v>
      </c>
      <c r="DK75" s="145">
        <v>432.56244218316402</v>
      </c>
      <c r="DL75" t="s">
        <v>204</v>
      </c>
      <c r="DM75">
        <v>37.1</v>
      </c>
      <c r="DN75" t="s">
        <v>205</v>
      </c>
      <c r="DO75">
        <v>39.61</v>
      </c>
      <c r="DP75" t="s">
        <v>183</v>
      </c>
      <c r="DQ75" s="146">
        <f t="shared" si="14"/>
        <v>0.21152600000000002</v>
      </c>
      <c r="DR75" t="s">
        <v>184</v>
      </c>
      <c r="DS75" t="s">
        <v>200</v>
      </c>
      <c r="DT75" t="s">
        <v>201</v>
      </c>
      <c r="DU75">
        <v>1.0271999999999999</v>
      </c>
      <c r="DV75" t="s">
        <v>165</v>
      </c>
      <c r="DW75" t="s">
        <v>165</v>
      </c>
      <c r="DX75" t="s">
        <v>197</v>
      </c>
      <c r="DY75" t="s">
        <v>181</v>
      </c>
      <c r="DZ75" t="s">
        <v>181</v>
      </c>
      <c r="EA75" t="s">
        <v>202</v>
      </c>
      <c r="EB75" t="s">
        <v>203</v>
      </c>
      <c r="EC75" s="147" t="s">
        <v>206</v>
      </c>
      <c r="ED75" s="147" t="s">
        <v>206</v>
      </c>
      <c r="EE75" s="133" t="s">
        <v>165</v>
      </c>
      <c r="EF75" s="133" t="s">
        <v>165</v>
      </c>
      <c r="EG75" s="133" t="s">
        <v>165</v>
      </c>
      <c r="EH75" t="s">
        <v>185</v>
      </c>
      <c r="EI75" t="s">
        <v>179</v>
      </c>
      <c r="EJ75" t="s">
        <v>165</v>
      </c>
      <c r="EK75">
        <v>2402</v>
      </c>
      <c r="EL75" s="147" t="s">
        <v>211</v>
      </c>
      <c r="EM75" s="147">
        <v>175</v>
      </c>
      <c r="EN75">
        <v>175</v>
      </c>
      <c r="EO75" t="s">
        <v>165</v>
      </c>
      <c r="EP75" t="s">
        <v>165</v>
      </c>
      <c r="EQ75" t="s">
        <v>165</v>
      </c>
      <c r="ER75" t="s">
        <v>165</v>
      </c>
      <c r="ES75" s="148">
        <v>8.2115802548634704</v>
      </c>
      <c r="ET75" t="s">
        <v>187</v>
      </c>
      <c r="EU75" s="133" t="s">
        <v>165</v>
      </c>
      <c r="EV75" s="133" t="s">
        <v>165</v>
      </c>
      <c r="EW75" s="149">
        <v>243.33685819999999</v>
      </c>
      <c r="EX75">
        <v>21</v>
      </c>
      <c r="EY75" t="s">
        <v>186</v>
      </c>
      <c r="EZ75" s="150">
        <v>222.33685819999999</v>
      </c>
      <c r="FA75" s="151">
        <v>34.100599513809016</v>
      </c>
      <c r="FB75" s="151">
        <v>33.394010036017988</v>
      </c>
      <c r="FC75" t="s">
        <v>176</v>
      </c>
      <c r="FD75" t="s">
        <v>188</v>
      </c>
      <c r="FE75" t="s">
        <v>165</v>
      </c>
      <c r="FF75" t="s">
        <v>165</v>
      </c>
      <c r="FG75" t="s">
        <v>165</v>
      </c>
      <c r="FH75" t="s">
        <v>165</v>
      </c>
      <c r="FI75" t="s">
        <v>165</v>
      </c>
      <c r="FJ75" t="s">
        <v>165</v>
      </c>
      <c r="FK75" t="s">
        <v>165</v>
      </c>
      <c r="FL75" t="s">
        <v>165</v>
      </c>
      <c r="FM75" t="s">
        <v>165</v>
      </c>
      <c r="FN75" t="s">
        <v>165</v>
      </c>
      <c r="FO75" t="s">
        <v>165</v>
      </c>
      <c r="FP75" t="s">
        <v>165</v>
      </c>
    </row>
    <row r="76" spans="1:172">
      <c r="A76" s="131" t="s">
        <v>154</v>
      </c>
      <c r="B76" t="s">
        <v>155</v>
      </c>
      <c r="C76">
        <v>2017</v>
      </c>
      <c r="D76" s="132" t="s">
        <v>156</v>
      </c>
      <c r="E76" s="145">
        <f t="shared" si="15"/>
        <v>1117.8599999999999</v>
      </c>
      <c r="F76">
        <f t="shared" si="16"/>
        <v>2</v>
      </c>
      <c r="G76">
        <f t="shared" si="17"/>
        <v>2</v>
      </c>
      <c r="H76" s="149">
        <f t="shared" si="18"/>
        <v>208.91475</v>
      </c>
      <c r="I76" s="149">
        <f t="shared" si="19"/>
        <v>32.15766081491401</v>
      </c>
      <c r="J76" s="149">
        <f t="shared" si="20"/>
        <v>31.614661924713005</v>
      </c>
      <c r="K76" t="s">
        <v>209</v>
      </c>
      <c r="L76" s="132" t="s">
        <v>210</v>
      </c>
      <c r="M76" s="1" t="s">
        <v>157</v>
      </c>
      <c r="N76" s="132" t="s">
        <v>156</v>
      </c>
      <c r="O76" t="s">
        <v>158</v>
      </c>
      <c r="P76" s="139" t="s">
        <v>162</v>
      </c>
      <c r="Q76" s="139">
        <v>5</v>
      </c>
      <c r="R76" s="139">
        <v>1</v>
      </c>
      <c r="S76" s="140">
        <v>90.361001000000073</v>
      </c>
      <c r="T76" s="140">
        <f t="shared" si="12"/>
        <v>92.361001000000073</v>
      </c>
      <c r="U76" s="141">
        <v>37.00338533</v>
      </c>
      <c r="V76" s="141">
        <v>37.00338533</v>
      </c>
      <c r="W76" t="s">
        <v>165</v>
      </c>
      <c r="X76" t="s">
        <v>160</v>
      </c>
      <c r="Y76" s="135">
        <v>12.74</v>
      </c>
      <c r="Z76" s="135">
        <v>-78.739999999999995</v>
      </c>
      <c r="AA76" t="s">
        <v>165</v>
      </c>
      <c r="AB76" t="s">
        <v>165</v>
      </c>
      <c r="AC76">
        <v>-2839</v>
      </c>
      <c r="AD76" t="s">
        <v>165</v>
      </c>
      <c r="AE76" t="s">
        <v>165</v>
      </c>
      <c r="AF76" t="s">
        <v>165</v>
      </c>
      <c r="AG76">
        <v>1117.8599999999999</v>
      </c>
      <c r="AH76" t="s">
        <v>163</v>
      </c>
      <c r="AI76">
        <v>2</v>
      </c>
      <c r="AJ76">
        <v>2</v>
      </c>
      <c r="AK76" t="s">
        <v>165</v>
      </c>
      <c r="AL76" t="s">
        <v>164</v>
      </c>
      <c r="AM76" t="s">
        <v>165</v>
      </c>
      <c r="AN76" t="s">
        <v>165</v>
      </c>
      <c r="AO76" t="s">
        <v>165</v>
      </c>
      <c r="AP76" t="s">
        <v>165</v>
      </c>
      <c r="AQ76" t="s">
        <v>165</v>
      </c>
      <c r="AR76" t="s">
        <v>165</v>
      </c>
      <c r="AS76" t="s">
        <v>165</v>
      </c>
      <c r="AT76" t="s">
        <v>165</v>
      </c>
      <c r="AU76" t="s">
        <v>166</v>
      </c>
      <c r="AV76" t="s">
        <v>167</v>
      </c>
      <c r="AW76" t="s">
        <v>168</v>
      </c>
      <c r="AX76" s="154">
        <v>2</v>
      </c>
      <c r="AY76" t="s">
        <v>169</v>
      </c>
      <c r="AZ76" t="s">
        <v>170</v>
      </c>
      <c r="BA76" t="s">
        <v>171</v>
      </c>
      <c r="BB76" t="s">
        <v>165</v>
      </c>
      <c r="BC76" s="154">
        <v>2</v>
      </c>
      <c r="BD76" s="133" t="s">
        <v>165</v>
      </c>
      <c r="BE76" s="146">
        <v>21.107182569999999</v>
      </c>
      <c r="BF76" t="s">
        <v>172</v>
      </c>
      <c r="BG76" s="146">
        <v>0.149424944</v>
      </c>
      <c r="BH76">
        <v>0.64</v>
      </c>
      <c r="BI76" t="s">
        <v>173</v>
      </c>
      <c r="BJ76">
        <v>3.4000000000000002E-2</v>
      </c>
      <c r="BK76">
        <v>9.1</v>
      </c>
      <c r="BL76" t="s">
        <v>163</v>
      </c>
      <c r="BM76">
        <v>0.56000000000000005</v>
      </c>
      <c r="BN76" t="s">
        <v>174</v>
      </c>
      <c r="BO76" t="s">
        <v>175</v>
      </c>
      <c r="BP76" s="155">
        <f t="shared" si="21"/>
        <v>20.395304283333335</v>
      </c>
      <c r="BQ76" s="133" t="s">
        <v>183</v>
      </c>
      <c r="BR76" s="133" t="s">
        <v>165</v>
      </c>
      <c r="BS76" s="133" t="s">
        <v>165</v>
      </c>
      <c r="BT76" t="s">
        <v>176</v>
      </c>
      <c r="BU76" s="133">
        <v>10</v>
      </c>
      <c r="BV76" s="133" t="s">
        <v>198</v>
      </c>
      <c r="BW76" s="133" t="s">
        <v>165</v>
      </c>
      <c r="BX76" s="145">
        <v>26.648023349999999</v>
      </c>
      <c r="BY76" t="s">
        <v>163</v>
      </c>
      <c r="BZ76">
        <v>3</v>
      </c>
      <c r="CA76">
        <v>3</v>
      </c>
      <c r="CB76" t="s">
        <v>165</v>
      </c>
      <c r="CC76" s="146">
        <v>3.989770434521112</v>
      </c>
      <c r="CD76" t="s">
        <v>180</v>
      </c>
      <c r="CE76" s="146">
        <f t="shared" si="13"/>
        <v>0.15959081738084449</v>
      </c>
      <c r="CF76" s="146">
        <v>0.15959081738084449</v>
      </c>
      <c r="CG76" s="156" t="s">
        <v>165</v>
      </c>
      <c r="CH76" t="s">
        <v>207</v>
      </c>
      <c r="CI76" t="s">
        <v>165</v>
      </c>
      <c r="CJ76" t="s">
        <v>178</v>
      </c>
      <c r="CK76" t="s">
        <v>181</v>
      </c>
      <c r="CL76" t="s">
        <v>181</v>
      </c>
      <c r="CM76" t="s">
        <v>181</v>
      </c>
      <c r="CN76" t="s">
        <v>165</v>
      </c>
      <c r="CO76" t="s">
        <v>165</v>
      </c>
      <c r="CP76" t="s">
        <v>165</v>
      </c>
      <c r="CQ76" t="s">
        <v>165</v>
      </c>
      <c r="CR76" t="s">
        <v>165</v>
      </c>
      <c r="CS76" t="s">
        <v>165</v>
      </c>
      <c r="CT76" t="s">
        <v>165</v>
      </c>
      <c r="CU76">
        <v>35</v>
      </c>
      <c r="CV76" t="s">
        <v>183</v>
      </c>
      <c r="CW76" s="154">
        <v>3</v>
      </c>
      <c r="CX76" s="133" t="s">
        <v>199</v>
      </c>
      <c r="CY76" s="133" t="s">
        <v>165</v>
      </c>
      <c r="CZ76" s="133" t="s">
        <v>165</v>
      </c>
      <c r="DA76" s="133" t="s">
        <v>165</v>
      </c>
      <c r="DB76" s="133" t="s">
        <v>165</v>
      </c>
      <c r="DC76" s="133" t="s">
        <v>165</v>
      </c>
      <c r="DD76" s="133" t="s">
        <v>165</v>
      </c>
      <c r="DE76" s="133" t="s">
        <v>165</v>
      </c>
      <c r="DF76" s="133" t="s">
        <v>165</v>
      </c>
      <c r="DG76" s="133" t="s">
        <v>165</v>
      </c>
      <c r="DH76" s="133" t="s">
        <v>165</v>
      </c>
      <c r="DI76" s="133" t="s">
        <v>165</v>
      </c>
      <c r="DJ76" s="133" t="s">
        <v>165</v>
      </c>
      <c r="DK76" s="145">
        <v>432.56244218316402</v>
      </c>
      <c r="DL76" t="s">
        <v>204</v>
      </c>
      <c r="DM76">
        <v>37.1</v>
      </c>
      <c r="DN76" t="s">
        <v>205</v>
      </c>
      <c r="DO76">
        <v>39.61</v>
      </c>
      <c r="DP76" t="s">
        <v>183</v>
      </c>
      <c r="DQ76" s="146">
        <f t="shared" si="14"/>
        <v>0.211786</v>
      </c>
      <c r="DR76" t="s">
        <v>184</v>
      </c>
      <c r="DS76" t="s">
        <v>200</v>
      </c>
      <c r="DT76" t="s">
        <v>201</v>
      </c>
      <c r="DU76">
        <v>1.0271999999999999</v>
      </c>
      <c r="DV76" t="s">
        <v>165</v>
      </c>
      <c r="DW76" t="s">
        <v>165</v>
      </c>
      <c r="DX76" t="s">
        <v>197</v>
      </c>
      <c r="DY76" t="s">
        <v>181</v>
      </c>
      <c r="DZ76" t="s">
        <v>181</v>
      </c>
      <c r="EA76" t="s">
        <v>202</v>
      </c>
      <c r="EB76" t="s">
        <v>203</v>
      </c>
      <c r="EC76" s="147" t="s">
        <v>206</v>
      </c>
      <c r="ED76" s="147" t="s">
        <v>206</v>
      </c>
      <c r="EE76" s="133" t="s">
        <v>165</v>
      </c>
      <c r="EF76" s="133" t="s">
        <v>165</v>
      </c>
      <c r="EG76" s="133" t="s">
        <v>165</v>
      </c>
      <c r="EH76" t="s">
        <v>185</v>
      </c>
      <c r="EI76" t="s">
        <v>179</v>
      </c>
      <c r="EJ76" t="s">
        <v>165</v>
      </c>
      <c r="EK76">
        <v>2403</v>
      </c>
      <c r="EL76" s="147" t="s">
        <v>211</v>
      </c>
      <c r="EM76" s="147">
        <v>175</v>
      </c>
      <c r="EN76">
        <v>175</v>
      </c>
      <c r="EO76" t="s">
        <v>165</v>
      </c>
      <c r="EP76" t="s">
        <v>165</v>
      </c>
      <c r="EQ76" t="s">
        <v>165</v>
      </c>
      <c r="ER76" t="s">
        <v>165</v>
      </c>
      <c r="ES76" s="148">
        <v>8.2295900330282308</v>
      </c>
      <c r="ET76" t="s">
        <v>187</v>
      </c>
      <c r="EU76" s="133" t="s">
        <v>165</v>
      </c>
      <c r="EV76" s="133" t="s">
        <v>165</v>
      </c>
      <c r="EW76" s="149">
        <v>229.91475</v>
      </c>
      <c r="EX76">
        <v>21</v>
      </c>
      <c r="EY76" t="s">
        <v>186</v>
      </c>
      <c r="EZ76" s="150">
        <v>208.91475</v>
      </c>
      <c r="FA76" s="151">
        <v>32.15766081491401</v>
      </c>
      <c r="FB76" s="151">
        <v>31.614661924713005</v>
      </c>
      <c r="FC76" t="s">
        <v>176</v>
      </c>
      <c r="FD76" t="s">
        <v>188</v>
      </c>
      <c r="FE76" t="s">
        <v>165</v>
      </c>
      <c r="FF76" t="s">
        <v>165</v>
      </c>
      <c r="FG76" t="s">
        <v>165</v>
      </c>
      <c r="FH76" t="s">
        <v>165</v>
      </c>
      <c r="FI76" t="s">
        <v>165</v>
      </c>
      <c r="FJ76" t="s">
        <v>165</v>
      </c>
      <c r="FK76" t="s">
        <v>165</v>
      </c>
      <c r="FL76" t="s">
        <v>165</v>
      </c>
      <c r="FM76" t="s">
        <v>165</v>
      </c>
      <c r="FN76" t="s">
        <v>165</v>
      </c>
      <c r="FO76" t="s">
        <v>165</v>
      </c>
      <c r="FP76" t="s">
        <v>165</v>
      </c>
    </row>
    <row r="77" spans="1:172">
      <c r="A77" s="131" t="s">
        <v>154</v>
      </c>
      <c r="B77" t="s">
        <v>155</v>
      </c>
      <c r="C77">
        <v>2017</v>
      </c>
      <c r="D77" s="132" t="s">
        <v>156</v>
      </c>
      <c r="E77" s="145">
        <f t="shared" si="15"/>
        <v>1120.3599999999999</v>
      </c>
      <c r="F77">
        <f t="shared" si="16"/>
        <v>2</v>
      </c>
      <c r="G77">
        <f t="shared" si="17"/>
        <v>2</v>
      </c>
      <c r="H77" s="149">
        <f t="shared" si="18"/>
        <v>243.3561393</v>
      </c>
      <c r="I77" s="149">
        <f t="shared" si="19"/>
        <v>35.895111597328025</v>
      </c>
      <c r="J77" s="149">
        <f t="shared" si="20"/>
        <v>35.122515495253992</v>
      </c>
      <c r="K77" t="s">
        <v>209</v>
      </c>
      <c r="L77" s="132" t="s">
        <v>210</v>
      </c>
      <c r="M77" s="1" t="s">
        <v>157</v>
      </c>
      <c r="N77" s="132" t="s">
        <v>156</v>
      </c>
      <c r="O77" t="s">
        <v>158</v>
      </c>
      <c r="P77" s="139" t="s">
        <v>162</v>
      </c>
      <c r="Q77" s="139">
        <v>5</v>
      </c>
      <c r="R77" s="139">
        <v>1</v>
      </c>
      <c r="S77" s="140">
        <v>98.801709999999986</v>
      </c>
      <c r="T77" s="140">
        <f t="shared" si="12"/>
        <v>100.80170999999999</v>
      </c>
      <c r="U77" s="141">
        <v>37.08779242</v>
      </c>
      <c r="V77" s="141">
        <v>37.08779242</v>
      </c>
      <c r="W77" t="s">
        <v>165</v>
      </c>
      <c r="X77" t="s">
        <v>160</v>
      </c>
      <c r="Y77" s="135">
        <v>12.74</v>
      </c>
      <c r="Z77" s="135">
        <v>-78.739999999999995</v>
      </c>
      <c r="AA77" t="s">
        <v>165</v>
      </c>
      <c r="AB77" t="s">
        <v>165</v>
      </c>
      <c r="AC77">
        <v>-2839</v>
      </c>
      <c r="AD77" t="s">
        <v>165</v>
      </c>
      <c r="AE77" t="s">
        <v>165</v>
      </c>
      <c r="AF77" t="s">
        <v>165</v>
      </c>
      <c r="AG77">
        <v>1120.3599999999999</v>
      </c>
      <c r="AH77" t="s">
        <v>163</v>
      </c>
      <c r="AI77">
        <v>2</v>
      </c>
      <c r="AJ77">
        <v>2</v>
      </c>
      <c r="AK77" t="s">
        <v>165</v>
      </c>
      <c r="AL77" t="s">
        <v>164</v>
      </c>
      <c r="AM77" t="s">
        <v>165</v>
      </c>
      <c r="AN77" t="s">
        <v>165</v>
      </c>
      <c r="AO77" t="s">
        <v>165</v>
      </c>
      <c r="AP77" t="s">
        <v>165</v>
      </c>
      <c r="AQ77" t="s">
        <v>165</v>
      </c>
      <c r="AR77" t="s">
        <v>165</v>
      </c>
      <c r="AS77" t="s">
        <v>165</v>
      </c>
      <c r="AT77" t="s">
        <v>165</v>
      </c>
      <c r="AU77" t="s">
        <v>166</v>
      </c>
      <c r="AV77" t="s">
        <v>167</v>
      </c>
      <c r="AW77" t="s">
        <v>168</v>
      </c>
      <c r="AX77" s="154">
        <v>2</v>
      </c>
      <c r="AY77" t="s">
        <v>169</v>
      </c>
      <c r="AZ77" t="s">
        <v>170</v>
      </c>
      <c r="BA77" t="s">
        <v>171</v>
      </c>
      <c r="BB77" t="s">
        <v>165</v>
      </c>
      <c r="BC77" s="154">
        <v>2</v>
      </c>
      <c r="BD77" s="133" t="s">
        <v>165</v>
      </c>
      <c r="BE77" s="146">
        <v>20.785485380000001</v>
      </c>
      <c r="BF77" t="s">
        <v>172</v>
      </c>
      <c r="BG77" s="146">
        <v>0.15332352399999999</v>
      </c>
      <c r="BH77">
        <v>0.64</v>
      </c>
      <c r="BI77" t="s">
        <v>173</v>
      </c>
      <c r="BJ77">
        <v>3.4000000000000002E-2</v>
      </c>
      <c r="BK77">
        <v>9.1</v>
      </c>
      <c r="BL77" t="s">
        <v>163</v>
      </c>
      <c r="BM77">
        <v>0.56000000000000005</v>
      </c>
      <c r="BN77" t="s">
        <v>174</v>
      </c>
      <c r="BO77" t="s">
        <v>175</v>
      </c>
      <c r="BP77" s="155">
        <f t="shared" si="21"/>
        <v>19.859142300000002</v>
      </c>
      <c r="BQ77" s="133" t="s">
        <v>183</v>
      </c>
      <c r="BR77" s="133" t="s">
        <v>165</v>
      </c>
      <c r="BS77" s="133" t="s">
        <v>165</v>
      </c>
      <c r="BT77" t="s">
        <v>176</v>
      </c>
      <c r="BU77" s="133">
        <v>10</v>
      </c>
      <c r="BV77" s="133" t="s">
        <v>198</v>
      </c>
      <c r="BW77" s="133" t="s">
        <v>165</v>
      </c>
      <c r="BX77" s="145">
        <v>27.09466544</v>
      </c>
      <c r="BY77" t="s">
        <v>163</v>
      </c>
      <c r="BZ77">
        <v>3</v>
      </c>
      <c r="CA77">
        <v>3</v>
      </c>
      <c r="CB77" t="s">
        <v>165</v>
      </c>
      <c r="CC77" s="146">
        <v>4.1754965300287168</v>
      </c>
      <c r="CD77" t="s">
        <v>180</v>
      </c>
      <c r="CE77" s="146">
        <f t="shared" si="13"/>
        <v>0.16701986120114867</v>
      </c>
      <c r="CF77" s="146">
        <v>0.16701986120114867</v>
      </c>
      <c r="CG77" s="156" t="s">
        <v>165</v>
      </c>
      <c r="CH77" t="s">
        <v>207</v>
      </c>
      <c r="CI77" t="s">
        <v>165</v>
      </c>
      <c r="CJ77" t="s">
        <v>178</v>
      </c>
      <c r="CK77" t="s">
        <v>181</v>
      </c>
      <c r="CL77" t="s">
        <v>181</v>
      </c>
      <c r="CM77" t="s">
        <v>181</v>
      </c>
      <c r="CN77" t="s">
        <v>165</v>
      </c>
      <c r="CO77" t="s">
        <v>165</v>
      </c>
      <c r="CP77" t="s">
        <v>165</v>
      </c>
      <c r="CQ77" t="s">
        <v>165</v>
      </c>
      <c r="CR77" t="s">
        <v>165</v>
      </c>
      <c r="CS77" t="s">
        <v>165</v>
      </c>
      <c r="CT77" t="s">
        <v>165</v>
      </c>
      <c r="CU77">
        <v>35</v>
      </c>
      <c r="CV77" t="s">
        <v>183</v>
      </c>
      <c r="CW77" s="154">
        <v>3</v>
      </c>
      <c r="CX77" s="133" t="s">
        <v>199</v>
      </c>
      <c r="CY77" s="133" t="s">
        <v>165</v>
      </c>
      <c r="CZ77" s="133" t="s">
        <v>165</v>
      </c>
      <c r="DA77" s="133" t="s">
        <v>165</v>
      </c>
      <c r="DB77" s="133" t="s">
        <v>165</v>
      </c>
      <c r="DC77" s="133" t="s">
        <v>165</v>
      </c>
      <c r="DD77" s="133" t="s">
        <v>165</v>
      </c>
      <c r="DE77" s="133" t="s">
        <v>165</v>
      </c>
      <c r="DF77" s="133" t="s">
        <v>165</v>
      </c>
      <c r="DG77" s="133" t="s">
        <v>165</v>
      </c>
      <c r="DH77" s="133" t="s">
        <v>165</v>
      </c>
      <c r="DI77" s="133" t="s">
        <v>165</v>
      </c>
      <c r="DJ77" s="133" t="s">
        <v>165</v>
      </c>
      <c r="DK77" s="145">
        <v>432.56244218316402</v>
      </c>
      <c r="DL77" t="s">
        <v>204</v>
      </c>
      <c r="DM77">
        <v>37.1</v>
      </c>
      <c r="DN77" t="s">
        <v>205</v>
      </c>
      <c r="DO77">
        <v>39.61</v>
      </c>
      <c r="DP77" t="s">
        <v>183</v>
      </c>
      <c r="DQ77" s="146">
        <f t="shared" si="14"/>
        <v>0.212036</v>
      </c>
      <c r="DR77" t="s">
        <v>184</v>
      </c>
      <c r="DS77" t="s">
        <v>200</v>
      </c>
      <c r="DT77" t="s">
        <v>201</v>
      </c>
      <c r="DU77">
        <v>1.0271999999999999</v>
      </c>
      <c r="DV77" t="s">
        <v>165</v>
      </c>
      <c r="DW77" t="s">
        <v>165</v>
      </c>
      <c r="DX77" t="s">
        <v>197</v>
      </c>
      <c r="DY77" t="s">
        <v>181</v>
      </c>
      <c r="DZ77" t="s">
        <v>181</v>
      </c>
      <c r="EA77" t="s">
        <v>202</v>
      </c>
      <c r="EB77" t="s">
        <v>203</v>
      </c>
      <c r="EC77" s="147" t="s">
        <v>206</v>
      </c>
      <c r="ED77" s="147" t="s">
        <v>206</v>
      </c>
      <c r="EE77" s="133" t="s">
        <v>165</v>
      </c>
      <c r="EF77" s="133" t="s">
        <v>165</v>
      </c>
      <c r="EG77" s="133" t="s">
        <v>165</v>
      </c>
      <c r="EH77" t="s">
        <v>185</v>
      </c>
      <c r="EI77" t="s">
        <v>179</v>
      </c>
      <c r="EJ77" t="s">
        <v>165</v>
      </c>
      <c r="EK77">
        <v>2404</v>
      </c>
      <c r="EL77" s="147" t="s">
        <v>211</v>
      </c>
      <c r="EM77" s="147">
        <v>175</v>
      </c>
      <c r="EN77">
        <v>175</v>
      </c>
      <c r="EO77" t="s">
        <v>165</v>
      </c>
      <c r="EP77" t="s">
        <v>165</v>
      </c>
      <c r="EQ77" t="s">
        <v>165</v>
      </c>
      <c r="ER77" t="s">
        <v>165</v>
      </c>
      <c r="ES77" s="148">
        <v>8.1831046758065398</v>
      </c>
      <c r="ET77" t="s">
        <v>187</v>
      </c>
      <c r="EU77" s="133" t="s">
        <v>165</v>
      </c>
      <c r="EV77" s="133" t="s">
        <v>165</v>
      </c>
      <c r="EW77" s="149">
        <v>264.3561393</v>
      </c>
      <c r="EX77">
        <v>21</v>
      </c>
      <c r="EY77" t="s">
        <v>186</v>
      </c>
      <c r="EZ77" s="150">
        <v>243.3561393</v>
      </c>
      <c r="FA77" s="151">
        <v>35.895111597328025</v>
      </c>
      <c r="FB77" s="151">
        <v>35.122515495253992</v>
      </c>
      <c r="FC77" t="s">
        <v>176</v>
      </c>
      <c r="FD77" t="s">
        <v>188</v>
      </c>
      <c r="FE77" t="s">
        <v>165</v>
      </c>
      <c r="FF77" t="s">
        <v>165</v>
      </c>
      <c r="FG77" t="s">
        <v>165</v>
      </c>
      <c r="FH77" t="s">
        <v>165</v>
      </c>
      <c r="FI77" t="s">
        <v>165</v>
      </c>
      <c r="FJ77" t="s">
        <v>165</v>
      </c>
      <c r="FK77" t="s">
        <v>165</v>
      </c>
      <c r="FL77" t="s">
        <v>165</v>
      </c>
      <c r="FM77" t="s">
        <v>165</v>
      </c>
      <c r="FN77" t="s">
        <v>165</v>
      </c>
      <c r="FO77" t="s">
        <v>165</v>
      </c>
      <c r="FP77" t="s">
        <v>165</v>
      </c>
    </row>
    <row r="78" spans="1:172">
      <c r="A78" s="131" t="s">
        <v>154</v>
      </c>
      <c r="B78" t="s">
        <v>155</v>
      </c>
      <c r="C78">
        <v>2017</v>
      </c>
      <c r="D78" s="132" t="s">
        <v>156</v>
      </c>
      <c r="E78" s="145">
        <f t="shared" si="15"/>
        <v>1123.0899999999999</v>
      </c>
      <c r="F78">
        <f t="shared" si="16"/>
        <v>2</v>
      </c>
      <c r="G78">
        <f t="shared" si="17"/>
        <v>2</v>
      </c>
      <c r="H78" s="149">
        <f t="shared" si="18"/>
        <v>196.93406450000001</v>
      </c>
      <c r="I78" s="149">
        <f t="shared" si="19"/>
        <v>31.127967239859004</v>
      </c>
      <c r="J78" s="149">
        <f t="shared" si="20"/>
        <v>30.623996794093017</v>
      </c>
      <c r="K78" t="s">
        <v>209</v>
      </c>
      <c r="L78" s="132" t="s">
        <v>210</v>
      </c>
      <c r="M78" s="1" t="s">
        <v>157</v>
      </c>
      <c r="N78" s="132" t="s">
        <v>156</v>
      </c>
      <c r="O78" t="s">
        <v>158</v>
      </c>
      <c r="P78" s="139" t="s">
        <v>162</v>
      </c>
      <c r="Q78" s="139">
        <v>5</v>
      </c>
      <c r="R78" s="139">
        <v>1</v>
      </c>
      <c r="S78" s="140">
        <v>108</v>
      </c>
      <c r="T78" s="140">
        <f t="shared" si="12"/>
        <v>110</v>
      </c>
      <c r="U78" s="141">
        <v>37.18</v>
      </c>
      <c r="V78" s="141">
        <v>37.18</v>
      </c>
      <c r="W78" t="s">
        <v>165</v>
      </c>
      <c r="X78" t="s">
        <v>160</v>
      </c>
      <c r="Y78" s="135">
        <v>12.74</v>
      </c>
      <c r="Z78" s="135">
        <v>-78.739999999999995</v>
      </c>
      <c r="AA78" t="s">
        <v>165</v>
      </c>
      <c r="AB78" t="s">
        <v>165</v>
      </c>
      <c r="AC78">
        <v>-2839</v>
      </c>
      <c r="AD78" t="s">
        <v>165</v>
      </c>
      <c r="AE78" t="s">
        <v>165</v>
      </c>
      <c r="AF78" t="s">
        <v>165</v>
      </c>
      <c r="AG78">
        <v>1123.0899999999999</v>
      </c>
      <c r="AH78" t="s">
        <v>163</v>
      </c>
      <c r="AI78">
        <v>2</v>
      </c>
      <c r="AJ78">
        <v>2</v>
      </c>
      <c r="AK78" t="s">
        <v>165</v>
      </c>
      <c r="AL78" t="s">
        <v>164</v>
      </c>
      <c r="AM78" t="s">
        <v>165</v>
      </c>
      <c r="AN78" t="s">
        <v>165</v>
      </c>
      <c r="AO78" t="s">
        <v>165</v>
      </c>
      <c r="AP78" t="s">
        <v>165</v>
      </c>
      <c r="AQ78" t="s">
        <v>165</v>
      </c>
      <c r="AR78" t="s">
        <v>165</v>
      </c>
      <c r="AS78" t="s">
        <v>165</v>
      </c>
      <c r="AT78" t="s">
        <v>165</v>
      </c>
      <c r="AU78" t="s">
        <v>166</v>
      </c>
      <c r="AV78" t="s">
        <v>167</v>
      </c>
      <c r="AW78" t="s">
        <v>168</v>
      </c>
      <c r="AX78" s="154">
        <v>2</v>
      </c>
      <c r="AY78" t="s">
        <v>169</v>
      </c>
      <c r="AZ78" t="s">
        <v>170</v>
      </c>
      <c r="BA78" t="s">
        <v>171</v>
      </c>
      <c r="BB78" t="s">
        <v>165</v>
      </c>
      <c r="BC78" s="154">
        <v>2</v>
      </c>
      <c r="BD78" s="133" t="s">
        <v>165</v>
      </c>
      <c r="BE78" s="146">
        <v>21.251716349999999</v>
      </c>
      <c r="BF78" t="s">
        <v>172</v>
      </c>
      <c r="BG78" s="146">
        <v>0.14808570600000001</v>
      </c>
      <c r="BH78">
        <v>0.64</v>
      </c>
      <c r="BI78" t="s">
        <v>173</v>
      </c>
      <c r="BJ78">
        <v>3.4000000000000002E-2</v>
      </c>
      <c r="BK78">
        <v>9.1</v>
      </c>
      <c r="BL78" t="s">
        <v>163</v>
      </c>
      <c r="BM78">
        <v>0.56000000000000005</v>
      </c>
      <c r="BN78" t="s">
        <v>174</v>
      </c>
      <c r="BO78" t="s">
        <v>175</v>
      </c>
      <c r="BP78" s="155">
        <f t="shared" si="21"/>
        <v>20.636193916666667</v>
      </c>
      <c r="BQ78" s="133" t="s">
        <v>183</v>
      </c>
      <c r="BR78" s="133" t="s">
        <v>165</v>
      </c>
      <c r="BS78" s="133" t="s">
        <v>165</v>
      </c>
      <c r="BT78" t="s">
        <v>176</v>
      </c>
      <c r="BU78" s="133">
        <v>10</v>
      </c>
      <c r="BV78" s="133" t="s">
        <v>198</v>
      </c>
      <c r="BW78" s="133" t="s">
        <v>165</v>
      </c>
      <c r="BX78" s="145">
        <v>26.750982010000001</v>
      </c>
      <c r="BY78" t="s">
        <v>163</v>
      </c>
      <c r="BZ78">
        <v>3</v>
      </c>
      <c r="CA78">
        <v>3</v>
      </c>
      <c r="CB78" t="s">
        <v>165</v>
      </c>
      <c r="CC78" s="146">
        <v>4.0589616152941002</v>
      </c>
      <c r="CD78" t="s">
        <v>180</v>
      </c>
      <c r="CE78" s="146">
        <f t="shared" si="13"/>
        <v>0.16235846461176401</v>
      </c>
      <c r="CF78" s="146">
        <v>0.16235846461176401</v>
      </c>
      <c r="CG78" s="156" t="s">
        <v>165</v>
      </c>
      <c r="CH78" t="s">
        <v>207</v>
      </c>
      <c r="CI78" t="s">
        <v>165</v>
      </c>
      <c r="CJ78" t="s">
        <v>178</v>
      </c>
      <c r="CK78" t="s">
        <v>181</v>
      </c>
      <c r="CL78" t="s">
        <v>181</v>
      </c>
      <c r="CM78" t="s">
        <v>181</v>
      </c>
      <c r="CN78" t="s">
        <v>165</v>
      </c>
      <c r="CO78" t="s">
        <v>165</v>
      </c>
      <c r="CP78" t="s">
        <v>165</v>
      </c>
      <c r="CQ78" t="s">
        <v>165</v>
      </c>
      <c r="CR78" t="s">
        <v>165</v>
      </c>
      <c r="CS78" t="s">
        <v>165</v>
      </c>
      <c r="CT78" t="s">
        <v>165</v>
      </c>
      <c r="CU78">
        <v>35</v>
      </c>
      <c r="CV78" t="s">
        <v>183</v>
      </c>
      <c r="CW78" s="154">
        <v>3</v>
      </c>
      <c r="CX78" s="133" t="s">
        <v>199</v>
      </c>
      <c r="CY78" s="133" t="s">
        <v>165</v>
      </c>
      <c r="CZ78" s="133" t="s">
        <v>165</v>
      </c>
      <c r="DA78" s="133" t="s">
        <v>165</v>
      </c>
      <c r="DB78" s="133" t="s">
        <v>165</v>
      </c>
      <c r="DC78" s="133" t="s">
        <v>165</v>
      </c>
      <c r="DD78" s="133" t="s">
        <v>165</v>
      </c>
      <c r="DE78" s="133" t="s">
        <v>165</v>
      </c>
      <c r="DF78" s="133" t="s">
        <v>165</v>
      </c>
      <c r="DG78" s="133" t="s">
        <v>165</v>
      </c>
      <c r="DH78" s="133" t="s">
        <v>165</v>
      </c>
      <c r="DI78" s="133" t="s">
        <v>165</v>
      </c>
      <c r="DJ78" s="133" t="s">
        <v>165</v>
      </c>
      <c r="DK78" s="145">
        <v>432.56244218316402</v>
      </c>
      <c r="DL78" t="s">
        <v>204</v>
      </c>
      <c r="DM78">
        <v>37.1</v>
      </c>
      <c r="DN78" t="s">
        <v>205</v>
      </c>
      <c r="DO78">
        <v>39.61</v>
      </c>
      <c r="DP78" t="s">
        <v>183</v>
      </c>
      <c r="DQ78" s="146">
        <f t="shared" si="14"/>
        <v>0.212309</v>
      </c>
      <c r="DR78" t="s">
        <v>184</v>
      </c>
      <c r="DS78" t="s">
        <v>200</v>
      </c>
      <c r="DT78" t="s">
        <v>201</v>
      </c>
      <c r="DU78">
        <v>1.0271999999999999</v>
      </c>
      <c r="DV78" t="s">
        <v>165</v>
      </c>
      <c r="DW78" t="s">
        <v>165</v>
      </c>
      <c r="DX78" t="s">
        <v>197</v>
      </c>
      <c r="DY78" t="s">
        <v>181</v>
      </c>
      <c r="DZ78" t="s">
        <v>181</v>
      </c>
      <c r="EA78" t="s">
        <v>202</v>
      </c>
      <c r="EB78" t="s">
        <v>203</v>
      </c>
      <c r="EC78" s="147" t="s">
        <v>206</v>
      </c>
      <c r="ED78" s="147" t="s">
        <v>206</v>
      </c>
      <c r="EE78" s="133" t="s">
        <v>165</v>
      </c>
      <c r="EF78" s="133" t="s">
        <v>165</v>
      </c>
      <c r="EG78" s="133" t="s">
        <v>165</v>
      </c>
      <c r="EH78" t="s">
        <v>185</v>
      </c>
      <c r="EI78" t="s">
        <v>179</v>
      </c>
      <c r="EJ78" t="s">
        <v>165</v>
      </c>
      <c r="EK78">
        <v>2405</v>
      </c>
      <c r="EL78" s="147" t="s">
        <v>211</v>
      </c>
      <c r="EM78" s="147">
        <v>175</v>
      </c>
      <c r="EN78">
        <v>175</v>
      </c>
      <c r="EO78" t="s">
        <v>165</v>
      </c>
      <c r="EP78" t="s">
        <v>165</v>
      </c>
      <c r="EQ78" t="s">
        <v>165</v>
      </c>
      <c r="ER78" t="s">
        <v>165</v>
      </c>
      <c r="ES78" s="148">
        <v>8.24694417316352</v>
      </c>
      <c r="ET78" t="s">
        <v>187</v>
      </c>
      <c r="EU78" s="133" t="s">
        <v>165</v>
      </c>
      <c r="EV78" s="133" t="s">
        <v>165</v>
      </c>
      <c r="EW78" s="149">
        <v>217.93406450000001</v>
      </c>
      <c r="EX78">
        <v>21</v>
      </c>
      <c r="EY78" t="s">
        <v>186</v>
      </c>
      <c r="EZ78" s="150">
        <v>196.93406450000001</v>
      </c>
      <c r="FA78" s="151">
        <v>31.127967239859004</v>
      </c>
      <c r="FB78" s="151">
        <v>30.623996794093017</v>
      </c>
      <c r="FC78" t="s">
        <v>176</v>
      </c>
      <c r="FD78" t="s">
        <v>188</v>
      </c>
      <c r="FE78" t="s">
        <v>165</v>
      </c>
      <c r="FF78" t="s">
        <v>165</v>
      </c>
      <c r="FG78" t="s">
        <v>165</v>
      </c>
      <c r="FH78" t="s">
        <v>165</v>
      </c>
      <c r="FI78" t="s">
        <v>165</v>
      </c>
      <c r="FJ78" t="s">
        <v>165</v>
      </c>
      <c r="FK78" t="s">
        <v>165</v>
      </c>
      <c r="FL78" t="s">
        <v>165</v>
      </c>
      <c r="FM78" t="s">
        <v>165</v>
      </c>
      <c r="FN78" t="s">
        <v>165</v>
      </c>
      <c r="FO78" t="s">
        <v>165</v>
      </c>
      <c r="FP78" t="s">
        <v>165</v>
      </c>
    </row>
    <row r="79" spans="1:172">
      <c r="A79" s="131" t="s">
        <v>154</v>
      </c>
      <c r="B79" t="s">
        <v>155</v>
      </c>
      <c r="C79">
        <v>2017</v>
      </c>
      <c r="D79" s="132" t="s">
        <v>156</v>
      </c>
      <c r="E79" s="145">
        <f t="shared" si="15"/>
        <v>1126.06</v>
      </c>
      <c r="F79">
        <f t="shared" si="16"/>
        <v>2</v>
      </c>
      <c r="G79">
        <f t="shared" si="17"/>
        <v>2</v>
      </c>
      <c r="H79" s="149">
        <f t="shared" si="18"/>
        <v>242.75019159999999</v>
      </c>
      <c r="I79" s="149">
        <f t="shared" si="19"/>
        <v>36.766680271343034</v>
      </c>
      <c r="J79" s="149">
        <f t="shared" si="20"/>
        <v>35.214065905580981</v>
      </c>
      <c r="K79" t="s">
        <v>209</v>
      </c>
      <c r="L79" s="132" t="s">
        <v>210</v>
      </c>
      <c r="M79" s="1" t="s">
        <v>157</v>
      </c>
      <c r="N79" s="132" t="s">
        <v>156</v>
      </c>
      <c r="O79" t="s">
        <v>158</v>
      </c>
      <c r="P79" s="139" t="s">
        <v>162</v>
      </c>
      <c r="Q79" s="139">
        <v>5</v>
      </c>
      <c r="R79" s="139">
        <v>1</v>
      </c>
      <c r="S79" s="140">
        <v>118</v>
      </c>
      <c r="T79" s="140">
        <f t="shared" si="12"/>
        <v>120</v>
      </c>
      <c r="U79" s="141">
        <v>37.28</v>
      </c>
      <c r="V79" s="141">
        <v>37.28</v>
      </c>
      <c r="W79" t="s">
        <v>165</v>
      </c>
      <c r="X79" t="s">
        <v>160</v>
      </c>
      <c r="Y79" s="135">
        <v>12.74</v>
      </c>
      <c r="Z79" s="135">
        <v>-78.739999999999995</v>
      </c>
      <c r="AA79" t="s">
        <v>165</v>
      </c>
      <c r="AB79" t="s">
        <v>165</v>
      </c>
      <c r="AC79">
        <v>-2839</v>
      </c>
      <c r="AD79" t="s">
        <v>165</v>
      </c>
      <c r="AE79" t="s">
        <v>165</v>
      </c>
      <c r="AF79" t="s">
        <v>165</v>
      </c>
      <c r="AG79">
        <v>1126.06</v>
      </c>
      <c r="AH79" t="s">
        <v>163</v>
      </c>
      <c r="AI79">
        <v>2</v>
      </c>
      <c r="AJ79">
        <v>2</v>
      </c>
      <c r="AK79" t="s">
        <v>165</v>
      </c>
      <c r="AL79" t="s">
        <v>164</v>
      </c>
      <c r="AM79" t="s">
        <v>165</v>
      </c>
      <c r="AN79" t="s">
        <v>165</v>
      </c>
      <c r="AO79" t="s">
        <v>165</v>
      </c>
      <c r="AP79" t="s">
        <v>165</v>
      </c>
      <c r="AQ79" t="s">
        <v>165</v>
      </c>
      <c r="AR79" t="s">
        <v>165</v>
      </c>
      <c r="AS79" t="s">
        <v>165</v>
      </c>
      <c r="AT79" t="s">
        <v>165</v>
      </c>
      <c r="AU79" t="s">
        <v>166</v>
      </c>
      <c r="AV79" t="s">
        <v>167</v>
      </c>
      <c r="AW79" t="s">
        <v>168</v>
      </c>
      <c r="AX79" s="154">
        <v>2</v>
      </c>
      <c r="AY79" t="s">
        <v>169</v>
      </c>
      <c r="AZ79" t="s">
        <v>170</v>
      </c>
      <c r="BA79" t="s">
        <v>171</v>
      </c>
      <c r="BB79" t="s">
        <v>165</v>
      </c>
      <c r="BC79" s="154">
        <v>2</v>
      </c>
      <c r="BD79" s="133" t="s">
        <v>165</v>
      </c>
      <c r="BE79" s="146">
        <v>20.635507010000001</v>
      </c>
      <c r="BF79" t="s">
        <v>172</v>
      </c>
      <c r="BG79" s="146">
        <v>0.21353292400000001</v>
      </c>
      <c r="BH79">
        <v>0.64</v>
      </c>
      <c r="BI79" t="s">
        <v>173</v>
      </c>
      <c r="BJ79">
        <v>3.4000000000000002E-2</v>
      </c>
      <c r="BK79">
        <v>9.1</v>
      </c>
      <c r="BL79" t="s">
        <v>163</v>
      </c>
      <c r="BM79">
        <v>0.56000000000000005</v>
      </c>
      <c r="BN79" t="s">
        <v>174</v>
      </c>
      <c r="BO79" t="s">
        <v>175</v>
      </c>
      <c r="BP79" s="155">
        <f t="shared" si="21"/>
        <v>19.609178350000004</v>
      </c>
      <c r="BQ79" s="133" t="s">
        <v>183</v>
      </c>
      <c r="BR79" s="133" t="s">
        <v>165</v>
      </c>
      <c r="BS79" s="133" t="s">
        <v>165</v>
      </c>
      <c r="BT79" t="s">
        <v>176</v>
      </c>
      <c r="BU79" s="133">
        <v>10</v>
      </c>
      <c r="BV79" s="133" t="s">
        <v>198</v>
      </c>
      <c r="BW79" s="133" t="s">
        <v>165</v>
      </c>
      <c r="BX79" s="145">
        <v>25.05464023</v>
      </c>
      <c r="BY79" t="s">
        <v>163</v>
      </c>
      <c r="BZ79">
        <v>3</v>
      </c>
      <c r="CA79">
        <v>3</v>
      </c>
      <c r="CB79" t="s">
        <v>165</v>
      </c>
      <c r="CC79" s="146">
        <v>3.5024311291596772</v>
      </c>
      <c r="CD79" t="s">
        <v>180</v>
      </c>
      <c r="CE79" s="146">
        <f t="shared" si="13"/>
        <v>0.14009724516638708</v>
      </c>
      <c r="CF79" s="146">
        <v>0.14009724516638708</v>
      </c>
      <c r="CG79" s="156" t="s">
        <v>165</v>
      </c>
      <c r="CH79" t="s">
        <v>207</v>
      </c>
      <c r="CI79" t="s">
        <v>165</v>
      </c>
      <c r="CJ79" t="s">
        <v>178</v>
      </c>
      <c r="CK79" t="s">
        <v>181</v>
      </c>
      <c r="CL79" t="s">
        <v>181</v>
      </c>
      <c r="CM79" t="s">
        <v>181</v>
      </c>
      <c r="CN79" t="s">
        <v>165</v>
      </c>
      <c r="CO79" t="s">
        <v>165</v>
      </c>
      <c r="CP79" t="s">
        <v>165</v>
      </c>
      <c r="CQ79" t="s">
        <v>165</v>
      </c>
      <c r="CR79" t="s">
        <v>165</v>
      </c>
      <c r="CS79" t="s">
        <v>165</v>
      </c>
      <c r="CT79" t="s">
        <v>165</v>
      </c>
      <c r="CU79">
        <v>35</v>
      </c>
      <c r="CV79" t="s">
        <v>183</v>
      </c>
      <c r="CW79" s="154">
        <v>3</v>
      </c>
      <c r="CX79" s="133" t="s">
        <v>199</v>
      </c>
      <c r="CY79" s="133" t="s">
        <v>165</v>
      </c>
      <c r="CZ79" s="133" t="s">
        <v>165</v>
      </c>
      <c r="DA79" s="133" t="s">
        <v>165</v>
      </c>
      <c r="DB79" s="133" t="s">
        <v>165</v>
      </c>
      <c r="DC79" s="133" t="s">
        <v>165</v>
      </c>
      <c r="DD79" s="133" t="s">
        <v>165</v>
      </c>
      <c r="DE79" s="133" t="s">
        <v>165</v>
      </c>
      <c r="DF79" s="133" t="s">
        <v>165</v>
      </c>
      <c r="DG79" s="133" t="s">
        <v>165</v>
      </c>
      <c r="DH79" s="133" t="s">
        <v>165</v>
      </c>
      <c r="DI79" s="133" t="s">
        <v>165</v>
      </c>
      <c r="DJ79" s="133" t="s">
        <v>165</v>
      </c>
      <c r="DK79" s="145">
        <v>432.56244218316402</v>
      </c>
      <c r="DL79" t="s">
        <v>204</v>
      </c>
      <c r="DM79">
        <v>37.1</v>
      </c>
      <c r="DN79" t="s">
        <v>205</v>
      </c>
      <c r="DO79">
        <v>39.61</v>
      </c>
      <c r="DP79" t="s">
        <v>183</v>
      </c>
      <c r="DQ79" s="146">
        <f t="shared" si="14"/>
        <v>0.21260600000000002</v>
      </c>
      <c r="DR79" t="s">
        <v>184</v>
      </c>
      <c r="DS79" t="s">
        <v>200</v>
      </c>
      <c r="DT79" t="s">
        <v>201</v>
      </c>
      <c r="DU79">
        <v>1.0271999999999999</v>
      </c>
      <c r="DV79" t="s">
        <v>165</v>
      </c>
      <c r="DW79" t="s">
        <v>165</v>
      </c>
      <c r="DX79" t="s">
        <v>197</v>
      </c>
      <c r="DY79" t="s">
        <v>181</v>
      </c>
      <c r="DZ79" t="s">
        <v>181</v>
      </c>
      <c r="EA79" t="s">
        <v>202</v>
      </c>
      <c r="EB79" t="s">
        <v>203</v>
      </c>
      <c r="EC79" s="147" t="s">
        <v>206</v>
      </c>
      <c r="ED79" s="147" t="s">
        <v>206</v>
      </c>
      <c r="EE79" s="133" t="s">
        <v>165</v>
      </c>
      <c r="EF79" s="133" t="s">
        <v>165</v>
      </c>
      <c r="EG79" s="133" t="s">
        <v>165</v>
      </c>
      <c r="EH79" t="s">
        <v>185</v>
      </c>
      <c r="EI79" t="s">
        <v>179</v>
      </c>
      <c r="EJ79" t="s">
        <v>165</v>
      </c>
      <c r="EK79">
        <v>2406</v>
      </c>
      <c r="EL79" s="147" t="s">
        <v>211</v>
      </c>
      <c r="EM79" s="147">
        <v>175</v>
      </c>
      <c r="EN79">
        <v>175</v>
      </c>
      <c r="EO79" t="s">
        <v>165</v>
      </c>
      <c r="EP79" t="s">
        <v>165</v>
      </c>
      <c r="EQ79" t="s">
        <v>165</v>
      </c>
      <c r="ER79" t="s">
        <v>165</v>
      </c>
      <c r="ES79" s="148">
        <v>8.1868997105982206</v>
      </c>
      <c r="ET79" t="s">
        <v>187</v>
      </c>
      <c r="EU79" s="133" t="s">
        <v>165</v>
      </c>
      <c r="EV79" s="133" t="s">
        <v>165</v>
      </c>
      <c r="EW79" s="149">
        <v>263.75019159999999</v>
      </c>
      <c r="EX79">
        <v>21</v>
      </c>
      <c r="EY79" t="s">
        <v>186</v>
      </c>
      <c r="EZ79" s="150">
        <v>242.75019159999999</v>
      </c>
      <c r="FA79" s="151">
        <v>36.766680271343034</v>
      </c>
      <c r="FB79" s="151">
        <v>35.214065905580981</v>
      </c>
      <c r="FC79" t="s">
        <v>176</v>
      </c>
      <c r="FD79" t="s">
        <v>188</v>
      </c>
      <c r="FE79" t="s">
        <v>165</v>
      </c>
      <c r="FF79" t="s">
        <v>165</v>
      </c>
      <c r="FG79" t="s">
        <v>165</v>
      </c>
      <c r="FH79" t="s">
        <v>165</v>
      </c>
      <c r="FI79" t="s">
        <v>165</v>
      </c>
      <c r="FJ79" t="s">
        <v>165</v>
      </c>
      <c r="FK79" t="s">
        <v>165</v>
      </c>
      <c r="FL79" t="s">
        <v>165</v>
      </c>
      <c r="FM79" t="s">
        <v>165</v>
      </c>
      <c r="FN79" t="s">
        <v>165</v>
      </c>
      <c r="FO79" t="s">
        <v>165</v>
      </c>
      <c r="FP79" t="s">
        <v>165</v>
      </c>
    </row>
    <row r="80" spans="1:172">
      <c r="A80" s="131" t="s">
        <v>154</v>
      </c>
      <c r="B80" t="s">
        <v>155</v>
      </c>
      <c r="C80">
        <v>2017</v>
      </c>
      <c r="D80" s="132" t="s">
        <v>156</v>
      </c>
      <c r="E80" s="145">
        <f t="shared" si="15"/>
        <v>1127.81</v>
      </c>
      <c r="F80">
        <f t="shared" si="16"/>
        <v>2</v>
      </c>
      <c r="G80">
        <f t="shared" si="17"/>
        <v>2</v>
      </c>
      <c r="H80" s="149">
        <f t="shared" si="18"/>
        <v>241.55714459999999</v>
      </c>
      <c r="I80" s="149">
        <f t="shared" si="19"/>
        <v>36.527146339345023</v>
      </c>
      <c r="J80" s="149">
        <f t="shared" si="20"/>
        <v>35.195127459437998</v>
      </c>
      <c r="K80" t="s">
        <v>209</v>
      </c>
      <c r="L80" s="132" t="s">
        <v>210</v>
      </c>
      <c r="M80" s="1" t="s">
        <v>157</v>
      </c>
      <c r="N80" s="132" t="s">
        <v>156</v>
      </c>
      <c r="O80" t="s">
        <v>158</v>
      </c>
      <c r="P80" s="139" t="s">
        <v>162</v>
      </c>
      <c r="Q80" s="139">
        <v>5</v>
      </c>
      <c r="R80" s="139">
        <v>1</v>
      </c>
      <c r="S80" s="140">
        <v>123</v>
      </c>
      <c r="T80" s="140">
        <f t="shared" si="12"/>
        <v>125</v>
      </c>
      <c r="U80" s="141">
        <v>37.33</v>
      </c>
      <c r="V80" s="141">
        <v>37.33</v>
      </c>
      <c r="W80" t="s">
        <v>165</v>
      </c>
      <c r="X80" t="s">
        <v>160</v>
      </c>
      <c r="Y80" s="135">
        <v>12.74</v>
      </c>
      <c r="Z80" s="135">
        <v>-78.739999999999995</v>
      </c>
      <c r="AA80" t="s">
        <v>165</v>
      </c>
      <c r="AB80" t="s">
        <v>165</v>
      </c>
      <c r="AC80">
        <v>-2839</v>
      </c>
      <c r="AD80" t="s">
        <v>165</v>
      </c>
      <c r="AE80" t="s">
        <v>165</v>
      </c>
      <c r="AF80" t="s">
        <v>165</v>
      </c>
      <c r="AG80">
        <v>1127.81</v>
      </c>
      <c r="AH80" t="s">
        <v>163</v>
      </c>
      <c r="AI80">
        <v>2</v>
      </c>
      <c r="AJ80">
        <v>2</v>
      </c>
      <c r="AK80" t="s">
        <v>165</v>
      </c>
      <c r="AL80" t="s">
        <v>164</v>
      </c>
      <c r="AM80" t="s">
        <v>165</v>
      </c>
      <c r="AN80" t="s">
        <v>165</v>
      </c>
      <c r="AO80" t="s">
        <v>165</v>
      </c>
      <c r="AP80" t="s">
        <v>165</v>
      </c>
      <c r="AQ80" t="s">
        <v>165</v>
      </c>
      <c r="AR80" t="s">
        <v>165</v>
      </c>
      <c r="AS80" t="s">
        <v>165</v>
      </c>
      <c r="AT80" t="s">
        <v>165</v>
      </c>
      <c r="AU80" t="s">
        <v>166</v>
      </c>
      <c r="AV80" t="s">
        <v>167</v>
      </c>
      <c r="AW80" t="s">
        <v>168</v>
      </c>
      <c r="AX80" s="154">
        <v>2</v>
      </c>
      <c r="AY80" t="s">
        <v>169</v>
      </c>
      <c r="AZ80" t="s">
        <v>170</v>
      </c>
      <c r="BA80" t="s">
        <v>171</v>
      </c>
      <c r="BB80" t="s">
        <v>165</v>
      </c>
      <c r="BC80" s="154">
        <v>2</v>
      </c>
      <c r="BD80" s="133" t="s">
        <v>165</v>
      </c>
      <c r="BE80" s="146">
        <v>20.631648850000001</v>
      </c>
      <c r="BF80" t="s">
        <v>172</v>
      </c>
      <c r="BG80" s="146">
        <v>0.220123392</v>
      </c>
      <c r="BH80">
        <v>0.64</v>
      </c>
      <c r="BI80" t="s">
        <v>173</v>
      </c>
      <c r="BJ80">
        <v>3.4000000000000002E-2</v>
      </c>
      <c r="BK80">
        <v>9.1</v>
      </c>
      <c r="BL80" t="s">
        <v>163</v>
      </c>
      <c r="BM80">
        <v>0.56000000000000005</v>
      </c>
      <c r="BN80" t="s">
        <v>174</v>
      </c>
      <c r="BO80" t="s">
        <v>175</v>
      </c>
      <c r="BP80" s="155">
        <f t="shared" si="21"/>
        <v>19.602748083333339</v>
      </c>
      <c r="BQ80" s="133" t="s">
        <v>183</v>
      </c>
      <c r="BR80" s="133" t="s">
        <v>165</v>
      </c>
      <c r="BS80" s="133" t="s">
        <v>165</v>
      </c>
      <c r="BT80" t="s">
        <v>176</v>
      </c>
      <c r="BU80" s="133">
        <v>10</v>
      </c>
      <c r="BV80" s="133" t="s">
        <v>198</v>
      </c>
      <c r="BW80" s="133" t="s">
        <v>165</v>
      </c>
      <c r="BX80" s="145">
        <v>24.88153981</v>
      </c>
      <c r="BY80" t="s">
        <v>163</v>
      </c>
      <c r="BZ80">
        <v>3</v>
      </c>
      <c r="CA80">
        <v>3</v>
      </c>
      <c r="CB80" t="s">
        <v>165</v>
      </c>
      <c r="CC80" s="146">
        <v>3.4482894569759326</v>
      </c>
      <c r="CD80" t="s">
        <v>180</v>
      </c>
      <c r="CE80" s="146">
        <f t="shared" si="13"/>
        <v>0.13793157827903732</v>
      </c>
      <c r="CF80" s="146">
        <v>0.13793157827903732</v>
      </c>
      <c r="CG80" s="156" t="s">
        <v>165</v>
      </c>
      <c r="CH80" t="s">
        <v>207</v>
      </c>
      <c r="CI80" t="s">
        <v>165</v>
      </c>
      <c r="CJ80" t="s">
        <v>178</v>
      </c>
      <c r="CK80" t="s">
        <v>181</v>
      </c>
      <c r="CL80" t="s">
        <v>181</v>
      </c>
      <c r="CM80" t="s">
        <v>181</v>
      </c>
      <c r="CN80" t="s">
        <v>165</v>
      </c>
      <c r="CO80" t="s">
        <v>165</v>
      </c>
      <c r="CP80" t="s">
        <v>165</v>
      </c>
      <c r="CQ80" t="s">
        <v>165</v>
      </c>
      <c r="CR80" t="s">
        <v>165</v>
      </c>
      <c r="CS80" t="s">
        <v>165</v>
      </c>
      <c r="CT80" t="s">
        <v>165</v>
      </c>
      <c r="CU80">
        <v>35</v>
      </c>
      <c r="CV80" t="s">
        <v>183</v>
      </c>
      <c r="CW80" s="154">
        <v>3</v>
      </c>
      <c r="CX80" s="133" t="s">
        <v>199</v>
      </c>
      <c r="CY80" s="133" t="s">
        <v>165</v>
      </c>
      <c r="CZ80" s="133" t="s">
        <v>165</v>
      </c>
      <c r="DA80" s="133" t="s">
        <v>165</v>
      </c>
      <c r="DB80" s="133" t="s">
        <v>165</v>
      </c>
      <c r="DC80" s="133" t="s">
        <v>165</v>
      </c>
      <c r="DD80" s="133" t="s">
        <v>165</v>
      </c>
      <c r="DE80" s="133" t="s">
        <v>165</v>
      </c>
      <c r="DF80" s="133" t="s">
        <v>165</v>
      </c>
      <c r="DG80" s="133" t="s">
        <v>165</v>
      </c>
      <c r="DH80" s="133" t="s">
        <v>165</v>
      </c>
      <c r="DI80" s="133" t="s">
        <v>165</v>
      </c>
      <c r="DJ80" s="133" t="s">
        <v>165</v>
      </c>
      <c r="DK80" s="145">
        <v>432.56244218316402</v>
      </c>
      <c r="DL80" t="s">
        <v>204</v>
      </c>
      <c r="DM80">
        <v>37.1</v>
      </c>
      <c r="DN80" t="s">
        <v>205</v>
      </c>
      <c r="DO80">
        <v>39.61</v>
      </c>
      <c r="DP80" t="s">
        <v>183</v>
      </c>
      <c r="DQ80" s="146">
        <f t="shared" si="14"/>
        <v>0.212781</v>
      </c>
      <c r="DR80" t="s">
        <v>184</v>
      </c>
      <c r="DS80" t="s">
        <v>200</v>
      </c>
      <c r="DT80" t="s">
        <v>201</v>
      </c>
      <c r="DU80">
        <v>1.0271999999999999</v>
      </c>
      <c r="DV80" t="s">
        <v>165</v>
      </c>
      <c r="DW80" t="s">
        <v>165</v>
      </c>
      <c r="DX80" t="s">
        <v>197</v>
      </c>
      <c r="DY80" t="s">
        <v>181</v>
      </c>
      <c r="DZ80" t="s">
        <v>181</v>
      </c>
      <c r="EA80" t="s">
        <v>202</v>
      </c>
      <c r="EB80" t="s">
        <v>203</v>
      </c>
      <c r="EC80" s="147" t="s">
        <v>206</v>
      </c>
      <c r="ED80" s="147" t="s">
        <v>206</v>
      </c>
      <c r="EE80" s="133" t="s">
        <v>165</v>
      </c>
      <c r="EF80" s="133" t="s">
        <v>165</v>
      </c>
      <c r="EG80" s="133" t="s">
        <v>165</v>
      </c>
      <c r="EH80" t="s">
        <v>185</v>
      </c>
      <c r="EI80" t="s">
        <v>179</v>
      </c>
      <c r="EJ80" t="s">
        <v>165</v>
      </c>
      <c r="EK80">
        <v>2407</v>
      </c>
      <c r="EL80" s="147" t="s">
        <v>211</v>
      </c>
      <c r="EM80" s="147">
        <v>175</v>
      </c>
      <c r="EN80">
        <v>175</v>
      </c>
      <c r="EO80" t="s">
        <v>165</v>
      </c>
      <c r="EP80" t="s">
        <v>165</v>
      </c>
      <c r="EQ80" t="s">
        <v>165</v>
      </c>
      <c r="ER80" t="s">
        <v>165</v>
      </c>
      <c r="ES80" s="148">
        <v>8.18845375612322</v>
      </c>
      <c r="ET80" t="s">
        <v>187</v>
      </c>
      <c r="EU80" s="133" t="s">
        <v>165</v>
      </c>
      <c r="EV80" s="133" t="s">
        <v>165</v>
      </c>
      <c r="EW80" s="149">
        <v>262.55714460000002</v>
      </c>
      <c r="EX80">
        <v>21</v>
      </c>
      <c r="EY80" t="s">
        <v>186</v>
      </c>
      <c r="EZ80" s="150">
        <v>241.55714459999999</v>
      </c>
      <c r="FA80" s="151">
        <v>36.527146339345023</v>
      </c>
      <c r="FB80" s="151">
        <v>35.195127459437998</v>
      </c>
      <c r="FC80" t="s">
        <v>176</v>
      </c>
      <c r="FD80" t="s">
        <v>188</v>
      </c>
      <c r="FE80" t="s">
        <v>165</v>
      </c>
      <c r="FF80" t="s">
        <v>165</v>
      </c>
      <c r="FG80" t="s">
        <v>165</v>
      </c>
      <c r="FH80" t="s">
        <v>165</v>
      </c>
      <c r="FI80" t="s">
        <v>165</v>
      </c>
      <c r="FJ80" t="s">
        <v>165</v>
      </c>
      <c r="FK80" t="s">
        <v>165</v>
      </c>
      <c r="FL80" t="s">
        <v>165</v>
      </c>
      <c r="FM80" t="s">
        <v>165</v>
      </c>
      <c r="FN80" t="s">
        <v>165</v>
      </c>
      <c r="FO80" t="s">
        <v>165</v>
      </c>
      <c r="FP80" t="s">
        <v>165</v>
      </c>
    </row>
    <row r="81" spans="1:172">
      <c r="A81" s="131" t="s">
        <v>154</v>
      </c>
      <c r="B81" t="s">
        <v>155</v>
      </c>
      <c r="C81">
        <v>2017</v>
      </c>
      <c r="D81" s="132" t="s">
        <v>156</v>
      </c>
      <c r="E81" s="145">
        <f t="shared" si="15"/>
        <v>1130.97</v>
      </c>
      <c r="F81">
        <f t="shared" si="16"/>
        <v>2</v>
      </c>
      <c r="G81">
        <f t="shared" si="17"/>
        <v>2</v>
      </c>
      <c r="H81" s="149">
        <f t="shared" si="18"/>
        <v>246.5238334</v>
      </c>
      <c r="I81" s="149">
        <f t="shared" si="19"/>
        <v>36.04957404084098</v>
      </c>
      <c r="J81" s="149">
        <f t="shared" si="20"/>
        <v>34.839578191182</v>
      </c>
      <c r="K81" t="s">
        <v>209</v>
      </c>
      <c r="L81" s="132" t="s">
        <v>210</v>
      </c>
      <c r="M81" s="1" t="s">
        <v>157</v>
      </c>
      <c r="N81" s="132" t="s">
        <v>156</v>
      </c>
      <c r="O81" t="s">
        <v>158</v>
      </c>
      <c r="P81" s="139" t="s">
        <v>162</v>
      </c>
      <c r="Q81" s="139">
        <v>5</v>
      </c>
      <c r="R81" s="139">
        <v>1</v>
      </c>
      <c r="S81" s="140">
        <v>132</v>
      </c>
      <c r="T81" s="140">
        <f t="shared" si="12"/>
        <v>134</v>
      </c>
      <c r="U81" s="141">
        <v>37.42</v>
      </c>
      <c r="V81" s="141">
        <v>37.42</v>
      </c>
      <c r="W81" t="s">
        <v>165</v>
      </c>
      <c r="X81" t="s">
        <v>160</v>
      </c>
      <c r="Y81" s="135">
        <v>12.74</v>
      </c>
      <c r="Z81" s="135">
        <v>-78.739999999999995</v>
      </c>
      <c r="AA81" t="s">
        <v>165</v>
      </c>
      <c r="AB81" t="s">
        <v>165</v>
      </c>
      <c r="AC81">
        <v>-2839</v>
      </c>
      <c r="AD81" t="s">
        <v>165</v>
      </c>
      <c r="AE81" t="s">
        <v>165</v>
      </c>
      <c r="AF81" t="s">
        <v>165</v>
      </c>
      <c r="AG81">
        <v>1130.97</v>
      </c>
      <c r="AH81" t="s">
        <v>163</v>
      </c>
      <c r="AI81">
        <v>2</v>
      </c>
      <c r="AJ81">
        <v>2</v>
      </c>
      <c r="AK81" t="s">
        <v>165</v>
      </c>
      <c r="AL81" t="s">
        <v>164</v>
      </c>
      <c r="AM81" t="s">
        <v>165</v>
      </c>
      <c r="AN81" t="s">
        <v>165</v>
      </c>
      <c r="AO81" t="s">
        <v>165</v>
      </c>
      <c r="AP81" t="s">
        <v>165</v>
      </c>
      <c r="AQ81" t="s">
        <v>165</v>
      </c>
      <c r="AR81" t="s">
        <v>165</v>
      </c>
      <c r="AS81" t="s">
        <v>165</v>
      </c>
      <c r="AT81" t="s">
        <v>165</v>
      </c>
      <c r="AU81" t="s">
        <v>166</v>
      </c>
      <c r="AV81" t="s">
        <v>167</v>
      </c>
      <c r="AW81" t="s">
        <v>168</v>
      </c>
      <c r="AX81" s="154">
        <v>2</v>
      </c>
      <c r="AY81" t="s">
        <v>169</v>
      </c>
      <c r="AZ81" t="s">
        <v>170</v>
      </c>
      <c r="BA81" t="s">
        <v>171</v>
      </c>
      <c r="BB81" t="s">
        <v>165</v>
      </c>
      <c r="BC81" s="154">
        <v>2</v>
      </c>
      <c r="BD81" s="133" t="s">
        <v>165</v>
      </c>
      <c r="BE81" s="146">
        <v>20.633755820000001</v>
      </c>
      <c r="BF81" t="s">
        <v>172</v>
      </c>
      <c r="BG81" s="146">
        <v>0.162198646</v>
      </c>
      <c r="BH81">
        <v>0.64</v>
      </c>
      <c r="BI81" t="s">
        <v>173</v>
      </c>
      <c r="BJ81">
        <v>3.4000000000000002E-2</v>
      </c>
      <c r="BK81">
        <v>9.1</v>
      </c>
      <c r="BL81" t="s">
        <v>163</v>
      </c>
      <c r="BM81">
        <v>0.56000000000000005</v>
      </c>
      <c r="BN81" t="s">
        <v>174</v>
      </c>
      <c r="BO81" t="s">
        <v>175</v>
      </c>
      <c r="BP81" s="155">
        <f t="shared" si="21"/>
        <v>19.606259700000003</v>
      </c>
      <c r="BQ81" s="133" t="s">
        <v>183</v>
      </c>
      <c r="BR81" s="133" t="s">
        <v>165</v>
      </c>
      <c r="BS81" s="133" t="s">
        <v>165</v>
      </c>
      <c r="BT81" t="s">
        <v>176</v>
      </c>
      <c r="BU81" s="133">
        <v>10</v>
      </c>
      <c r="BV81" s="133" t="s">
        <v>198</v>
      </c>
      <c r="BW81" s="133" t="s">
        <v>165</v>
      </c>
      <c r="BX81" s="145">
        <v>25.535231769999999</v>
      </c>
      <c r="BY81" t="s">
        <v>163</v>
      </c>
      <c r="BZ81">
        <v>3</v>
      </c>
      <c r="CA81">
        <v>3</v>
      </c>
      <c r="CB81" t="s">
        <v>165</v>
      </c>
      <c r="CC81" s="146">
        <v>3.6760776998066587</v>
      </c>
      <c r="CD81" t="s">
        <v>180</v>
      </c>
      <c r="CE81" s="146">
        <f t="shared" si="13"/>
        <v>0.14704310799226636</v>
      </c>
      <c r="CF81" s="146">
        <v>0.14704310799226636</v>
      </c>
      <c r="CG81" s="156" t="s">
        <v>165</v>
      </c>
      <c r="CH81" t="s">
        <v>207</v>
      </c>
      <c r="CI81" t="s">
        <v>165</v>
      </c>
      <c r="CJ81" t="s">
        <v>178</v>
      </c>
      <c r="CK81" t="s">
        <v>181</v>
      </c>
      <c r="CL81" t="s">
        <v>181</v>
      </c>
      <c r="CM81" t="s">
        <v>181</v>
      </c>
      <c r="CN81" t="s">
        <v>165</v>
      </c>
      <c r="CO81" t="s">
        <v>165</v>
      </c>
      <c r="CP81" t="s">
        <v>165</v>
      </c>
      <c r="CQ81" t="s">
        <v>165</v>
      </c>
      <c r="CR81" t="s">
        <v>165</v>
      </c>
      <c r="CS81" t="s">
        <v>165</v>
      </c>
      <c r="CT81" t="s">
        <v>165</v>
      </c>
      <c r="CU81">
        <v>35</v>
      </c>
      <c r="CV81" t="s">
        <v>183</v>
      </c>
      <c r="CW81" s="154">
        <v>3</v>
      </c>
      <c r="CX81" s="133" t="s">
        <v>199</v>
      </c>
      <c r="CY81" s="133" t="s">
        <v>165</v>
      </c>
      <c r="CZ81" s="133" t="s">
        <v>165</v>
      </c>
      <c r="DA81" s="133" t="s">
        <v>165</v>
      </c>
      <c r="DB81" s="133" t="s">
        <v>165</v>
      </c>
      <c r="DC81" s="133" t="s">
        <v>165</v>
      </c>
      <c r="DD81" s="133" t="s">
        <v>165</v>
      </c>
      <c r="DE81" s="133" t="s">
        <v>165</v>
      </c>
      <c r="DF81" s="133" t="s">
        <v>165</v>
      </c>
      <c r="DG81" s="133" t="s">
        <v>165</v>
      </c>
      <c r="DH81" s="133" t="s">
        <v>165</v>
      </c>
      <c r="DI81" s="133" t="s">
        <v>165</v>
      </c>
      <c r="DJ81" s="133" t="s">
        <v>165</v>
      </c>
      <c r="DK81" s="145">
        <v>432.56244218316402</v>
      </c>
      <c r="DL81" t="s">
        <v>204</v>
      </c>
      <c r="DM81">
        <v>37.1</v>
      </c>
      <c r="DN81" t="s">
        <v>205</v>
      </c>
      <c r="DO81">
        <v>39.61</v>
      </c>
      <c r="DP81" t="s">
        <v>183</v>
      </c>
      <c r="DQ81" s="146">
        <f t="shared" si="14"/>
        <v>0.21309700000000001</v>
      </c>
      <c r="DR81" t="s">
        <v>184</v>
      </c>
      <c r="DS81" t="s">
        <v>200</v>
      </c>
      <c r="DT81" t="s">
        <v>201</v>
      </c>
      <c r="DU81">
        <v>1.0271999999999999</v>
      </c>
      <c r="DV81" t="s">
        <v>165</v>
      </c>
      <c r="DW81" t="s">
        <v>165</v>
      </c>
      <c r="DX81" t="s">
        <v>197</v>
      </c>
      <c r="DY81" t="s">
        <v>181</v>
      </c>
      <c r="DZ81" t="s">
        <v>181</v>
      </c>
      <c r="EA81" t="s">
        <v>202</v>
      </c>
      <c r="EB81" t="s">
        <v>203</v>
      </c>
      <c r="EC81" s="147" t="s">
        <v>206</v>
      </c>
      <c r="ED81" s="147" t="s">
        <v>206</v>
      </c>
      <c r="EE81" s="133" t="s">
        <v>165</v>
      </c>
      <c r="EF81" s="133" t="s">
        <v>165</v>
      </c>
      <c r="EG81" s="133" t="s">
        <v>165</v>
      </c>
      <c r="EH81" t="s">
        <v>185</v>
      </c>
      <c r="EI81" t="s">
        <v>179</v>
      </c>
      <c r="EJ81" t="s">
        <v>165</v>
      </c>
      <c r="EK81">
        <v>2408</v>
      </c>
      <c r="EL81" s="147" t="s">
        <v>211</v>
      </c>
      <c r="EM81" s="147">
        <v>175</v>
      </c>
      <c r="EN81">
        <v>175</v>
      </c>
      <c r="EO81" t="s">
        <v>165</v>
      </c>
      <c r="EP81" t="s">
        <v>165</v>
      </c>
      <c r="EQ81" t="s">
        <v>165</v>
      </c>
      <c r="ER81" t="s">
        <v>165</v>
      </c>
      <c r="ES81" s="148">
        <v>8.1810477928629997</v>
      </c>
      <c r="ET81" t="s">
        <v>187</v>
      </c>
      <c r="EU81" s="133" t="s">
        <v>165</v>
      </c>
      <c r="EV81" s="133" t="s">
        <v>165</v>
      </c>
      <c r="EW81" s="149">
        <v>267.5238334</v>
      </c>
      <c r="EX81">
        <v>21</v>
      </c>
      <c r="EY81" t="s">
        <v>186</v>
      </c>
      <c r="EZ81" s="150">
        <v>246.5238334</v>
      </c>
      <c r="FA81" s="151">
        <v>36.04957404084098</v>
      </c>
      <c r="FB81" s="151">
        <v>34.839578191182</v>
      </c>
      <c r="FC81" t="s">
        <v>176</v>
      </c>
      <c r="FD81" t="s">
        <v>188</v>
      </c>
      <c r="FE81" t="s">
        <v>165</v>
      </c>
      <c r="FF81" t="s">
        <v>165</v>
      </c>
      <c r="FG81" t="s">
        <v>165</v>
      </c>
      <c r="FH81" t="s">
        <v>165</v>
      </c>
      <c r="FI81" t="s">
        <v>165</v>
      </c>
      <c r="FJ81" t="s">
        <v>165</v>
      </c>
      <c r="FK81" t="s">
        <v>165</v>
      </c>
      <c r="FL81" t="s">
        <v>165</v>
      </c>
      <c r="FM81" t="s">
        <v>165</v>
      </c>
      <c r="FN81" t="s">
        <v>165</v>
      </c>
      <c r="FO81" t="s">
        <v>165</v>
      </c>
      <c r="FP81" t="s">
        <v>165</v>
      </c>
    </row>
    <row r="82" spans="1:172">
      <c r="A82" s="131" t="s">
        <v>154</v>
      </c>
      <c r="B82" t="s">
        <v>155</v>
      </c>
      <c r="C82">
        <v>2017</v>
      </c>
      <c r="D82" s="132" t="s">
        <v>156</v>
      </c>
      <c r="E82" s="145">
        <f t="shared" si="15"/>
        <v>1136.57</v>
      </c>
      <c r="F82">
        <f t="shared" si="16"/>
        <v>2</v>
      </c>
      <c r="G82">
        <f t="shared" si="17"/>
        <v>2</v>
      </c>
      <c r="H82" s="149">
        <f t="shared" si="18"/>
        <v>292.22401189999999</v>
      </c>
      <c r="I82" s="149">
        <f t="shared" si="19"/>
        <v>40.855489154011991</v>
      </c>
      <c r="J82" s="149">
        <f t="shared" si="20"/>
        <v>38.69439636007499</v>
      </c>
      <c r="K82" t="s">
        <v>209</v>
      </c>
      <c r="L82" s="132" t="s">
        <v>210</v>
      </c>
      <c r="M82" s="1" t="s">
        <v>157</v>
      </c>
      <c r="N82" s="132" t="s">
        <v>156</v>
      </c>
      <c r="O82" t="s">
        <v>158</v>
      </c>
      <c r="P82" s="139" t="s">
        <v>162</v>
      </c>
      <c r="Q82" s="139">
        <v>5</v>
      </c>
      <c r="R82" s="139">
        <v>1</v>
      </c>
      <c r="S82" s="140">
        <v>148</v>
      </c>
      <c r="T82" s="140">
        <f t="shared" si="12"/>
        <v>150</v>
      </c>
      <c r="U82" s="141">
        <v>37.58</v>
      </c>
      <c r="V82" s="141">
        <v>37.58</v>
      </c>
      <c r="W82" t="s">
        <v>165</v>
      </c>
      <c r="X82" t="s">
        <v>160</v>
      </c>
      <c r="Y82" s="135">
        <v>12.74</v>
      </c>
      <c r="Z82" s="135">
        <v>-78.739999999999995</v>
      </c>
      <c r="AA82" t="s">
        <v>165</v>
      </c>
      <c r="AB82" t="s">
        <v>165</v>
      </c>
      <c r="AC82">
        <v>-2839</v>
      </c>
      <c r="AD82" t="s">
        <v>165</v>
      </c>
      <c r="AE82" t="s">
        <v>165</v>
      </c>
      <c r="AF82" t="s">
        <v>165</v>
      </c>
      <c r="AG82">
        <v>1136.57</v>
      </c>
      <c r="AH82" t="s">
        <v>163</v>
      </c>
      <c r="AI82">
        <v>2</v>
      </c>
      <c r="AJ82">
        <v>2</v>
      </c>
      <c r="AK82" t="s">
        <v>165</v>
      </c>
      <c r="AL82" t="s">
        <v>164</v>
      </c>
      <c r="AM82" t="s">
        <v>165</v>
      </c>
      <c r="AN82" t="s">
        <v>165</v>
      </c>
      <c r="AO82" t="s">
        <v>165</v>
      </c>
      <c r="AP82" t="s">
        <v>165</v>
      </c>
      <c r="AQ82" t="s">
        <v>165</v>
      </c>
      <c r="AR82" t="s">
        <v>165</v>
      </c>
      <c r="AS82" t="s">
        <v>165</v>
      </c>
      <c r="AT82" t="s">
        <v>165</v>
      </c>
      <c r="AU82" t="s">
        <v>166</v>
      </c>
      <c r="AV82" t="s">
        <v>167</v>
      </c>
      <c r="AW82" t="s">
        <v>168</v>
      </c>
      <c r="AX82" s="154">
        <v>2</v>
      </c>
      <c r="AY82" t="s">
        <v>169</v>
      </c>
      <c r="AZ82" t="s">
        <v>170</v>
      </c>
      <c r="BA82" t="s">
        <v>171</v>
      </c>
      <c r="BB82" t="s">
        <v>165</v>
      </c>
      <c r="BC82" s="154">
        <v>2</v>
      </c>
      <c r="BD82" s="133" t="s">
        <v>165</v>
      </c>
      <c r="BE82" s="146">
        <v>20.23242814</v>
      </c>
      <c r="BF82" t="s">
        <v>172</v>
      </c>
      <c r="BG82" s="146">
        <v>0.15004474400000001</v>
      </c>
      <c r="BH82">
        <v>0.64</v>
      </c>
      <c r="BI82" t="s">
        <v>173</v>
      </c>
      <c r="BJ82">
        <v>3.4000000000000002E-2</v>
      </c>
      <c r="BK82">
        <v>9.1</v>
      </c>
      <c r="BL82" t="s">
        <v>163</v>
      </c>
      <c r="BM82">
        <v>0.56000000000000005</v>
      </c>
      <c r="BN82" t="s">
        <v>174</v>
      </c>
      <c r="BO82" t="s">
        <v>175</v>
      </c>
      <c r="BP82" s="155">
        <f t="shared" si="21"/>
        <v>18.937380233333336</v>
      </c>
      <c r="BQ82" s="133" t="s">
        <v>183</v>
      </c>
      <c r="BR82" s="133" t="s">
        <v>165</v>
      </c>
      <c r="BS82" s="133" t="s">
        <v>165</v>
      </c>
      <c r="BT82" t="s">
        <v>176</v>
      </c>
      <c r="BU82" s="133">
        <v>10</v>
      </c>
      <c r="BV82" s="133" t="s">
        <v>198</v>
      </c>
      <c r="BW82" s="133" t="s">
        <v>165</v>
      </c>
      <c r="BX82" s="145">
        <v>25.31786885</v>
      </c>
      <c r="BY82" t="s">
        <v>163</v>
      </c>
      <c r="BZ82">
        <v>3</v>
      </c>
      <c r="CA82">
        <v>3</v>
      </c>
      <c r="CB82" t="s">
        <v>165</v>
      </c>
      <c r="CC82" s="146">
        <v>3.6323095448875868</v>
      </c>
      <c r="CD82" t="s">
        <v>180</v>
      </c>
      <c r="CE82" s="146">
        <f t="shared" si="13"/>
        <v>0.14529238179550347</v>
      </c>
      <c r="CF82" s="146">
        <v>0.14529238179550347</v>
      </c>
      <c r="CG82" s="156" t="s">
        <v>165</v>
      </c>
      <c r="CH82" t="s">
        <v>207</v>
      </c>
      <c r="CI82" t="s">
        <v>165</v>
      </c>
      <c r="CJ82" t="s">
        <v>178</v>
      </c>
      <c r="CK82" t="s">
        <v>181</v>
      </c>
      <c r="CL82" t="s">
        <v>181</v>
      </c>
      <c r="CM82" t="s">
        <v>181</v>
      </c>
      <c r="CN82" t="s">
        <v>165</v>
      </c>
      <c r="CO82" t="s">
        <v>165</v>
      </c>
      <c r="CP82" t="s">
        <v>165</v>
      </c>
      <c r="CQ82" t="s">
        <v>165</v>
      </c>
      <c r="CR82" t="s">
        <v>165</v>
      </c>
      <c r="CS82" t="s">
        <v>165</v>
      </c>
      <c r="CT82" t="s">
        <v>165</v>
      </c>
      <c r="CU82">
        <v>35</v>
      </c>
      <c r="CV82" t="s">
        <v>183</v>
      </c>
      <c r="CW82" s="154">
        <v>3</v>
      </c>
      <c r="CX82" s="133" t="s">
        <v>199</v>
      </c>
      <c r="CY82" s="133" t="s">
        <v>165</v>
      </c>
      <c r="CZ82" s="133" t="s">
        <v>165</v>
      </c>
      <c r="DA82" s="133" t="s">
        <v>165</v>
      </c>
      <c r="DB82" s="133" t="s">
        <v>165</v>
      </c>
      <c r="DC82" s="133" t="s">
        <v>165</v>
      </c>
      <c r="DD82" s="133" t="s">
        <v>165</v>
      </c>
      <c r="DE82" s="133" t="s">
        <v>165</v>
      </c>
      <c r="DF82" s="133" t="s">
        <v>165</v>
      </c>
      <c r="DG82" s="133" t="s">
        <v>165</v>
      </c>
      <c r="DH82" s="133" t="s">
        <v>165</v>
      </c>
      <c r="DI82" s="133" t="s">
        <v>165</v>
      </c>
      <c r="DJ82" s="133" t="s">
        <v>165</v>
      </c>
      <c r="DK82" s="145">
        <v>432.56244218316402</v>
      </c>
      <c r="DL82" t="s">
        <v>204</v>
      </c>
      <c r="DM82">
        <v>37.1</v>
      </c>
      <c r="DN82" t="s">
        <v>205</v>
      </c>
      <c r="DO82">
        <v>39.61</v>
      </c>
      <c r="DP82" t="s">
        <v>183</v>
      </c>
      <c r="DQ82" s="146">
        <f t="shared" si="14"/>
        <v>0.21365699999999999</v>
      </c>
      <c r="DR82" t="s">
        <v>184</v>
      </c>
      <c r="DS82" t="s">
        <v>200</v>
      </c>
      <c r="DT82" t="s">
        <v>201</v>
      </c>
      <c r="DU82">
        <v>1.0271999999999999</v>
      </c>
      <c r="DV82" t="s">
        <v>165</v>
      </c>
      <c r="DW82" t="s">
        <v>165</v>
      </c>
      <c r="DX82" t="s">
        <v>197</v>
      </c>
      <c r="DY82" t="s">
        <v>181</v>
      </c>
      <c r="DZ82" t="s">
        <v>181</v>
      </c>
      <c r="EA82" t="s">
        <v>202</v>
      </c>
      <c r="EB82" t="s">
        <v>203</v>
      </c>
      <c r="EC82" s="147" t="s">
        <v>206</v>
      </c>
      <c r="ED82" s="147" t="s">
        <v>206</v>
      </c>
      <c r="EE82" s="133" t="s">
        <v>165</v>
      </c>
      <c r="EF82" s="133" t="s">
        <v>165</v>
      </c>
      <c r="EG82" s="133" t="s">
        <v>165</v>
      </c>
      <c r="EH82" t="s">
        <v>185</v>
      </c>
      <c r="EI82" t="s">
        <v>179</v>
      </c>
      <c r="EJ82" t="s">
        <v>165</v>
      </c>
      <c r="EK82">
        <v>2409</v>
      </c>
      <c r="EL82" s="147" t="s">
        <v>211</v>
      </c>
      <c r="EM82" s="147">
        <v>175</v>
      </c>
      <c r="EN82">
        <v>175</v>
      </c>
      <c r="EO82" t="s">
        <v>165</v>
      </c>
      <c r="EP82" t="s">
        <v>165</v>
      </c>
      <c r="EQ82" t="s">
        <v>165</v>
      </c>
      <c r="ER82" t="s">
        <v>165</v>
      </c>
      <c r="ES82" s="148">
        <v>8.1279632123809495</v>
      </c>
      <c r="ET82" t="s">
        <v>187</v>
      </c>
      <c r="EU82" s="133" t="s">
        <v>165</v>
      </c>
      <c r="EV82" s="133" t="s">
        <v>165</v>
      </c>
      <c r="EW82" s="149">
        <v>313.22401189999999</v>
      </c>
      <c r="EX82">
        <v>21</v>
      </c>
      <c r="EY82" t="s">
        <v>186</v>
      </c>
      <c r="EZ82" s="150">
        <v>292.22401189999999</v>
      </c>
      <c r="FA82" s="151">
        <v>40.855489154011991</v>
      </c>
      <c r="FB82" s="151">
        <v>38.69439636007499</v>
      </c>
      <c r="FC82" t="s">
        <v>176</v>
      </c>
      <c r="FD82" t="s">
        <v>188</v>
      </c>
      <c r="FE82" t="s">
        <v>165</v>
      </c>
      <c r="FF82" t="s">
        <v>165</v>
      </c>
      <c r="FG82" t="s">
        <v>165</v>
      </c>
      <c r="FH82" t="s">
        <v>165</v>
      </c>
      <c r="FI82" t="s">
        <v>165</v>
      </c>
      <c r="FJ82" t="s">
        <v>165</v>
      </c>
      <c r="FK82" t="s">
        <v>165</v>
      </c>
      <c r="FL82" t="s">
        <v>165</v>
      </c>
      <c r="FM82" t="s">
        <v>165</v>
      </c>
      <c r="FN82" t="s">
        <v>165</v>
      </c>
      <c r="FO82" t="s">
        <v>165</v>
      </c>
      <c r="FP82" t="s">
        <v>165</v>
      </c>
    </row>
    <row r="83" spans="1:172">
      <c r="A83" s="131" t="s">
        <v>154</v>
      </c>
      <c r="B83" t="s">
        <v>155</v>
      </c>
      <c r="C83">
        <v>2017</v>
      </c>
      <c r="D83" s="132" t="s">
        <v>156</v>
      </c>
      <c r="E83" s="145">
        <f t="shared" si="15"/>
        <v>1140.03</v>
      </c>
      <c r="F83">
        <f t="shared" si="16"/>
        <v>2</v>
      </c>
      <c r="G83">
        <f t="shared" si="17"/>
        <v>2</v>
      </c>
      <c r="H83" s="149">
        <f t="shared" si="18"/>
        <v>308.46774260000001</v>
      </c>
      <c r="I83" s="149">
        <f t="shared" si="19"/>
        <v>45.212316457018972</v>
      </c>
      <c r="J83" s="149">
        <f t="shared" si="20"/>
        <v>42.310123271376028</v>
      </c>
      <c r="K83" t="s">
        <v>209</v>
      </c>
      <c r="L83" s="132" t="s">
        <v>210</v>
      </c>
      <c r="M83" s="1" t="s">
        <v>157</v>
      </c>
      <c r="N83" s="132" t="s">
        <v>156</v>
      </c>
      <c r="O83" t="s">
        <v>158</v>
      </c>
      <c r="P83" s="139" t="s">
        <v>162</v>
      </c>
      <c r="Q83" s="139">
        <v>5</v>
      </c>
      <c r="R83" s="139">
        <v>2</v>
      </c>
      <c r="S83" s="140">
        <v>7.8864019999996913</v>
      </c>
      <c r="T83" s="140">
        <f t="shared" si="12"/>
        <v>9.8864019999996913</v>
      </c>
      <c r="U83" s="141">
        <v>37.678639339999997</v>
      </c>
      <c r="V83" s="141">
        <v>37.678639339999997</v>
      </c>
      <c r="W83" t="s">
        <v>165</v>
      </c>
      <c r="X83" t="s">
        <v>160</v>
      </c>
      <c r="Y83" s="135">
        <v>12.74</v>
      </c>
      <c r="Z83" s="135">
        <v>-78.739999999999995</v>
      </c>
      <c r="AA83" t="s">
        <v>165</v>
      </c>
      <c r="AB83" t="s">
        <v>165</v>
      </c>
      <c r="AC83">
        <v>-2839</v>
      </c>
      <c r="AD83" t="s">
        <v>165</v>
      </c>
      <c r="AE83" t="s">
        <v>165</v>
      </c>
      <c r="AF83" t="s">
        <v>165</v>
      </c>
      <c r="AG83">
        <v>1140.03</v>
      </c>
      <c r="AH83" t="s">
        <v>163</v>
      </c>
      <c r="AI83">
        <v>2</v>
      </c>
      <c r="AJ83">
        <v>2</v>
      </c>
      <c r="AK83" t="s">
        <v>165</v>
      </c>
      <c r="AL83" t="s">
        <v>164</v>
      </c>
      <c r="AM83" t="s">
        <v>165</v>
      </c>
      <c r="AN83" t="s">
        <v>165</v>
      </c>
      <c r="AO83" t="s">
        <v>165</v>
      </c>
      <c r="AP83" t="s">
        <v>165</v>
      </c>
      <c r="AQ83" t="s">
        <v>165</v>
      </c>
      <c r="AR83" t="s">
        <v>165</v>
      </c>
      <c r="AS83" t="s">
        <v>165</v>
      </c>
      <c r="AT83" t="s">
        <v>165</v>
      </c>
      <c r="AU83" t="s">
        <v>166</v>
      </c>
      <c r="AV83" t="s">
        <v>167</v>
      </c>
      <c r="AW83" t="s">
        <v>168</v>
      </c>
      <c r="AX83" s="154">
        <v>2</v>
      </c>
      <c r="AY83" t="s">
        <v>169</v>
      </c>
      <c r="AZ83" t="s">
        <v>170</v>
      </c>
      <c r="BA83" t="s">
        <v>171</v>
      </c>
      <c r="BB83" t="s">
        <v>165</v>
      </c>
      <c r="BC83" s="154">
        <v>2</v>
      </c>
      <c r="BD83" s="133" t="s">
        <v>165</v>
      </c>
      <c r="BE83" s="146">
        <v>20.04</v>
      </c>
      <c r="BF83" t="s">
        <v>172</v>
      </c>
      <c r="BG83" s="146">
        <v>0.194540186</v>
      </c>
      <c r="BH83">
        <v>0.64</v>
      </c>
      <c r="BI83" t="s">
        <v>173</v>
      </c>
      <c r="BJ83">
        <v>3.4000000000000002E-2</v>
      </c>
      <c r="BK83">
        <v>9.1</v>
      </c>
      <c r="BL83" t="s">
        <v>163</v>
      </c>
      <c r="BM83">
        <v>0.56000000000000005</v>
      </c>
      <c r="BN83" t="s">
        <v>174</v>
      </c>
      <c r="BO83" t="s">
        <v>175</v>
      </c>
      <c r="BP83" s="155">
        <f t="shared" si="21"/>
        <v>18.616666666666667</v>
      </c>
      <c r="BQ83" s="133" t="s">
        <v>183</v>
      </c>
      <c r="BR83" s="133" t="s">
        <v>165</v>
      </c>
      <c r="BS83" s="133" t="s">
        <v>165</v>
      </c>
      <c r="BT83" t="s">
        <v>176</v>
      </c>
      <c r="BU83" s="133">
        <v>10</v>
      </c>
      <c r="BV83" s="133" t="s">
        <v>198</v>
      </c>
      <c r="BW83" s="133" t="s">
        <v>165</v>
      </c>
      <c r="BX83" s="145">
        <v>24.33830867</v>
      </c>
      <c r="BY83" t="s">
        <v>163</v>
      </c>
      <c r="BZ83">
        <v>3</v>
      </c>
      <c r="CA83">
        <v>3</v>
      </c>
      <c r="CB83" t="s">
        <v>165</v>
      </c>
      <c r="CC83" s="146">
        <v>3.3423965709729231</v>
      </c>
      <c r="CD83" t="s">
        <v>180</v>
      </c>
      <c r="CE83" s="146">
        <f t="shared" si="13"/>
        <v>0.13369586283891693</v>
      </c>
      <c r="CF83" s="146">
        <v>0.13369586283891693</v>
      </c>
      <c r="CG83" s="156" t="s">
        <v>165</v>
      </c>
      <c r="CH83" t="s">
        <v>207</v>
      </c>
      <c r="CI83" t="s">
        <v>165</v>
      </c>
      <c r="CJ83" t="s">
        <v>178</v>
      </c>
      <c r="CK83" t="s">
        <v>181</v>
      </c>
      <c r="CL83" t="s">
        <v>181</v>
      </c>
      <c r="CM83" t="s">
        <v>181</v>
      </c>
      <c r="CN83" t="s">
        <v>165</v>
      </c>
      <c r="CO83" t="s">
        <v>165</v>
      </c>
      <c r="CP83" t="s">
        <v>165</v>
      </c>
      <c r="CQ83" t="s">
        <v>165</v>
      </c>
      <c r="CR83" t="s">
        <v>165</v>
      </c>
      <c r="CS83" t="s">
        <v>165</v>
      </c>
      <c r="CT83" t="s">
        <v>165</v>
      </c>
      <c r="CU83">
        <v>35</v>
      </c>
      <c r="CV83" t="s">
        <v>183</v>
      </c>
      <c r="CW83" s="154">
        <v>3</v>
      </c>
      <c r="CX83" s="133" t="s">
        <v>199</v>
      </c>
      <c r="CY83" s="133" t="s">
        <v>165</v>
      </c>
      <c r="CZ83" s="133" t="s">
        <v>165</v>
      </c>
      <c r="DA83" s="133" t="s">
        <v>165</v>
      </c>
      <c r="DB83" s="133" t="s">
        <v>165</v>
      </c>
      <c r="DC83" s="133" t="s">
        <v>165</v>
      </c>
      <c r="DD83" s="133" t="s">
        <v>165</v>
      </c>
      <c r="DE83" s="133" t="s">
        <v>165</v>
      </c>
      <c r="DF83" s="133" t="s">
        <v>165</v>
      </c>
      <c r="DG83" s="133" t="s">
        <v>165</v>
      </c>
      <c r="DH83" s="133" t="s">
        <v>165</v>
      </c>
      <c r="DI83" s="133" t="s">
        <v>165</v>
      </c>
      <c r="DJ83" s="133" t="s">
        <v>165</v>
      </c>
      <c r="DK83" s="145">
        <v>432.56244218316402</v>
      </c>
      <c r="DL83" t="s">
        <v>204</v>
      </c>
      <c r="DM83">
        <v>37.1</v>
      </c>
      <c r="DN83" t="s">
        <v>205</v>
      </c>
      <c r="DO83">
        <v>39.61</v>
      </c>
      <c r="DP83" t="s">
        <v>183</v>
      </c>
      <c r="DQ83" s="146">
        <f t="shared" si="14"/>
        <v>0.214003</v>
      </c>
      <c r="DR83" t="s">
        <v>184</v>
      </c>
      <c r="DS83" t="s">
        <v>200</v>
      </c>
      <c r="DT83" t="s">
        <v>201</v>
      </c>
      <c r="DU83">
        <v>1.0271999999999999</v>
      </c>
      <c r="DV83" t="s">
        <v>165</v>
      </c>
      <c r="DW83" t="s">
        <v>165</v>
      </c>
      <c r="DX83" t="s">
        <v>197</v>
      </c>
      <c r="DY83" t="s">
        <v>181</v>
      </c>
      <c r="DZ83" t="s">
        <v>181</v>
      </c>
      <c r="EA83" t="s">
        <v>202</v>
      </c>
      <c r="EB83" t="s">
        <v>203</v>
      </c>
      <c r="EC83" s="147" t="s">
        <v>206</v>
      </c>
      <c r="ED83" s="147" t="s">
        <v>206</v>
      </c>
      <c r="EE83" s="133" t="s">
        <v>165</v>
      </c>
      <c r="EF83" s="133" t="s">
        <v>165</v>
      </c>
      <c r="EG83" s="133" t="s">
        <v>165</v>
      </c>
      <c r="EH83" t="s">
        <v>185</v>
      </c>
      <c r="EI83" t="s">
        <v>179</v>
      </c>
      <c r="EJ83" t="s">
        <v>165</v>
      </c>
      <c r="EK83">
        <v>2410</v>
      </c>
      <c r="EL83" s="147" t="s">
        <v>211</v>
      </c>
      <c r="EM83" s="147">
        <v>175</v>
      </c>
      <c r="EN83">
        <v>175</v>
      </c>
      <c r="EO83" t="s">
        <v>165</v>
      </c>
      <c r="EP83" t="s">
        <v>165</v>
      </c>
      <c r="EQ83" t="s">
        <v>165</v>
      </c>
      <c r="ER83" t="s">
        <v>165</v>
      </c>
      <c r="ES83" s="148">
        <v>8.1115267741068102</v>
      </c>
      <c r="ET83" t="s">
        <v>187</v>
      </c>
      <c r="EU83" s="133" t="s">
        <v>165</v>
      </c>
      <c r="EV83" s="133" t="s">
        <v>165</v>
      </c>
      <c r="EW83" s="149">
        <v>329.46774260000001</v>
      </c>
      <c r="EX83">
        <v>21</v>
      </c>
      <c r="EY83" t="s">
        <v>186</v>
      </c>
      <c r="EZ83" s="150">
        <v>308.46774260000001</v>
      </c>
      <c r="FA83" s="151">
        <v>45.212316457018972</v>
      </c>
      <c r="FB83" s="151">
        <v>42.310123271376028</v>
      </c>
      <c r="FC83" t="s">
        <v>176</v>
      </c>
      <c r="FD83" t="s">
        <v>188</v>
      </c>
      <c r="FE83" t="s">
        <v>165</v>
      </c>
      <c r="FF83" t="s">
        <v>165</v>
      </c>
      <c r="FG83" t="s">
        <v>165</v>
      </c>
      <c r="FH83" t="s">
        <v>165</v>
      </c>
      <c r="FI83" t="s">
        <v>165</v>
      </c>
      <c r="FJ83" t="s">
        <v>165</v>
      </c>
      <c r="FK83" t="s">
        <v>165</v>
      </c>
      <c r="FL83" t="s">
        <v>165</v>
      </c>
      <c r="FM83" t="s">
        <v>165</v>
      </c>
      <c r="FN83" t="s">
        <v>165</v>
      </c>
      <c r="FO83" t="s">
        <v>165</v>
      </c>
      <c r="FP83" t="s">
        <v>165</v>
      </c>
    </row>
    <row r="84" spans="1:172">
      <c r="A84" s="131" t="s">
        <v>154</v>
      </c>
      <c r="B84" t="s">
        <v>155</v>
      </c>
      <c r="C84">
        <v>2017</v>
      </c>
      <c r="D84" s="132" t="s">
        <v>156</v>
      </c>
      <c r="E84" s="145">
        <f t="shared" si="15"/>
        <v>1143.23</v>
      </c>
      <c r="F84">
        <f t="shared" si="16"/>
        <v>2</v>
      </c>
      <c r="G84">
        <f t="shared" si="17"/>
        <v>2</v>
      </c>
      <c r="H84" s="149">
        <f t="shared" si="18"/>
        <v>280.06984080000001</v>
      </c>
      <c r="I84" s="149">
        <f t="shared" si="19"/>
        <v>43.365862654740965</v>
      </c>
      <c r="J84" s="149">
        <f t="shared" si="20"/>
        <v>40.637095406523997</v>
      </c>
      <c r="K84" t="s">
        <v>209</v>
      </c>
      <c r="L84" s="132" t="s">
        <v>210</v>
      </c>
      <c r="M84" s="1" t="s">
        <v>157</v>
      </c>
      <c r="N84" s="132" t="s">
        <v>156</v>
      </c>
      <c r="O84" t="s">
        <v>158</v>
      </c>
      <c r="P84" s="139" t="s">
        <v>162</v>
      </c>
      <c r="Q84" s="139">
        <v>5</v>
      </c>
      <c r="R84" s="139">
        <v>2</v>
      </c>
      <c r="S84" s="140">
        <v>17</v>
      </c>
      <c r="T84" s="140">
        <f t="shared" si="12"/>
        <v>19</v>
      </c>
      <c r="U84" s="141">
        <v>37.770000000000003</v>
      </c>
      <c r="V84" s="141">
        <v>37.770000000000003</v>
      </c>
      <c r="W84" t="s">
        <v>165</v>
      </c>
      <c r="X84" t="s">
        <v>160</v>
      </c>
      <c r="Y84" s="135">
        <v>12.74</v>
      </c>
      <c r="Z84" s="135">
        <v>-78.739999999999995</v>
      </c>
      <c r="AA84" t="s">
        <v>165</v>
      </c>
      <c r="AB84" t="s">
        <v>165</v>
      </c>
      <c r="AC84">
        <v>-2839</v>
      </c>
      <c r="AD84" t="s">
        <v>165</v>
      </c>
      <c r="AE84" t="s">
        <v>165</v>
      </c>
      <c r="AF84" t="s">
        <v>165</v>
      </c>
      <c r="AG84">
        <v>1143.23</v>
      </c>
      <c r="AH84" t="s">
        <v>163</v>
      </c>
      <c r="AI84">
        <v>2</v>
      </c>
      <c r="AJ84">
        <v>2</v>
      </c>
      <c r="AK84" t="s">
        <v>165</v>
      </c>
      <c r="AL84" t="s">
        <v>164</v>
      </c>
      <c r="AM84" t="s">
        <v>165</v>
      </c>
      <c r="AN84" t="s">
        <v>165</v>
      </c>
      <c r="AO84" t="s">
        <v>165</v>
      </c>
      <c r="AP84" t="s">
        <v>165</v>
      </c>
      <c r="AQ84" t="s">
        <v>165</v>
      </c>
      <c r="AR84" t="s">
        <v>165</v>
      </c>
      <c r="AS84" t="s">
        <v>165</v>
      </c>
      <c r="AT84" t="s">
        <v>165</v>
      </c>
      <c r="AU84" t="s">
        <v>166</v>
      </c>
      <c r="AV84" t="s">
        <v>167</v>
      </c>
      <c r="AW84" t="s">
        <v>168</v>
      </c>
      <c r="AX84" s="154">
        <v>2</v>
      </c>
      <c r="AY84" t="s">
        <v>169</v>
      </c>
      <c r="AZ84" t="s">
        <v>170</v>
      </c>
      <c r="BA84" t="s">
        <v>171</v>
      </c>
      <c r="BB84" t="s">
        <v>165</v>
      </c>
      <c r="BC84" s="154">
        <v>2</v>
      </c>
      <c r="BD84" s="133" t="s">
        <v>165</v>
      </c>
      <c r="BE84" s="146">
        <v>20.18038387</v>
      </c>
      <c r="BF84" t="s">
        <v>172</v>
      </c>
      <c r="BG84" s="146">
        <v>0.24422612199999999</v>
      </c>
      <c r="BH84">
        <v>0.64</v>
      </c>
      <c r="BI84" t="s">
        <v>173</v>
      </c>
      <c r="BJ84">
        <v>3.4000000000000002E-2</v>
      </c>
      <c r="BK84">
        <v>9.1</v>
      </c>
      <c r="BL84" t="s">
        <v>163</v>
      </c>
      <c r="BM84">
        <v>0.56000000000000005</v>
      </c>
      <c r="BN84" t="s">
        <v>174</v>
      </c>
      <c r="BO84" t="s">
        <v>175</v>
      </c>
      <c r="BP84" s="155">
        <f t="shared" si="21"/>
        <v>18.850639783333335</v>
      </c>
      <c r="BQ84" s="133" t="s">
        <v>183</v>
      </c>
      <c r="BR84" s="133" t="s">
        <v>165</v>
      </c>
      <c r="BS84" s="133" t="s">
        <v>165</v>
      </c>
      <c r="BT84" t="s">
        <v>176</v>
      </c>
      <c r="BU84" s="133">
        <v>10</v>
      </c>
      <c r="BV84" s="133" t="s">
        <v>198</v>
      </c>
      <c r="BW84" s="133" t="s">
        <v>165</v>
      </c>
      <c r="BX84" s="145">
        <v>23.302753750000001</v>
      </c>
      <c r="BY84" t="s">
        <v>163</v>
      </c>
      <c r="BZ84">
        <v>3</v>
      </c>
      <c r="CA84">
        <v>3</v>
      </c>
      <c r="CB84" t="s">
        <v>165</v>
      </c>
      <c r="CC84" s="146">
        <v>3.0524835970582589</v>
      </c>
      <c r="CD84" t="s">
        <v>180</v>
      </c>
      <c r="CE84" s="146">
        <f t="shared" si="13"/>
        <v>0.12209934388233036</v>
      </c>
      <c r="CF84" s="146">
        <v>0.12209934388233036</v>
      </c>
      <c r="CG84" s="156" t="s">
        <v>165</v>
      </c>
      <c r="CH84" t="s">
        <v>207</v>
      </c>
      <c r="CI84" t="s">
        <v>165</v>
      </c>
      <c r="CJ84" t="s">
        <v>178</v>
      </c>
      <c r="CK84" t="s">
        <v>181</v>
      </c>
      <c r="CL84" t="s">
        <v>181</v>
      </c>
      <c r="CM84" t="s">
        <v>181</v>
      </c>
      <c r="CN84" t="s">
        <v>165</v>
      </c>
      <c r="CO84" t="s">
        <v>165</v>
      </c>
      <c r="CP84" t="s">
        <v>165</v>
      </c>
      <c r="CQ84" t="s">
        <v>165</v>
      </c>
      <c r="CR84" t="s">
        <v>165</v>
      </c>
      <c r="CS84" t="s">
        <v>165</v>
      </c>
      <c r="CT84" t="s">
        <v>165</v>
      </c>
      <c r="CU84">
        <v>35</v>
      </c>
      <c r="CV84" t="s">
        <v>183</v>
      </c>
      <c r="CW84" s="154">
        <v>3</v>
      </c>
      <c r="CX84" s="133" t="s">
        <v>199</v>
      </c>
      <c r="CY84" s="133" t="s">
        <v>165</v>
      </c>
      <c r="CZ84" s="133" t="s">
        <v>165</v>
      </c>
      <c r="DA84" s="133" t="s">
        <v>165</v>
      </c>
      <c r="DB84" s="133" t="s">
        <v>165</v>
      </c>
      <c r="DC84" s="133" t="s">
        <v>165</v>
      </c>
      <c r="DD84" s="133" t="s">
        <v>165</v>
      </c>
      <c r="DE84" s="133" t="s">
        <v>165</v>
      </c>
      <c r="DF84" s="133" t="s">
        <v>165</v>
      </c>
      <c r="DG84" s="133" t="s">
        <v>165</v>
      </c>
      <c r="DH84" s="133" t="s">
        <v>165</v>
      </c>
      <c r="DI84" s="133" t="s">
        <v>165</v>
      </c>
      <c r="DJ84" s="133" t="s">
        <v>165</v>
      </c>
      <c r="DK84" s="145">
        <v>432.56244218316402</v>
      </c>
      <c r="DL84" t="s">
        <v>204</v>
      </c>
      <c r="DM84">
        <v>37.1</v>
      </c>
      <c r="DN84" t="s">
        <v>205</v>
      </c>
      <c r="DO84">
        <v>39.61</v>
      </c>
      <c r="DP84" t="s">
        <v>183</v>
      </c>
      <c r="DQ84" s="146">
        <f t="shared" si="14"/>
        <v>0.21432300000000001</v>
      </c>
      <c r="DR84" t="s">
        <v>184</v>
      </c>
      <c r="DS84" t="s">
        <v>200</v>
      </c>
      <c r="DT84" t="s">
        <v>201</v>
      </c>
      <c r="DU84">
        <v>1.0271999999999999</v>
      </c>
      <c r="DV84" t="s">
        <v>165</v>
      </c>
      <c r="DW84" t="s">
        <v>165</v>
      </c>
      <c r="DX84" t="s">
        <v>197</v>
      </c>
      <c r="DY84" t="s">
        <v>181</v>
      </c>
      <c r="DZ84" t="s">
        <v>181</v>
      </c>
      <c r="EA84" t="s">
        <v>202</v>
      </c>
      <c r="EB84" t="s">
        <v>203</v>
      </c>
      <c r="EC84" s="147" t="s">
        <v>206</v>
      </c>
      <c r="ED84" s="147" t="s">
        <v>206</v>
      </c>
      <c r="EE84" s="133" t="s">
        <v>165</v>
      </c>
      <c r="EF84" s="133" t="s">
        <v>165</v>
      </c>
      <c r="EG84" s="133" t="s">
        <v>165</v>
      </c>
      <c r="EH84" t="s">
        <v>185</v>
      </c>
      <c r="EI84" t="s">
        <v>179</v>
      </c>
      <c r="EJ84" t="s">
        <v>165</v>
      </c>
      <c r="EK84">
        <v>2411</v>
      </c>
      <c r="EL84" s="147" t="s">
        <v>211</v>
      </c>
      <c r="EM84" s="147">
        <v>175</v>
      </c>
      <c r="EN84">
        <v>175</v>
      </c>
      <c r="EO84" t="s">
        <v>165</v>
      </c>
      <c r="EP84" t="s">
        <v>165</v>
      </c>
      <c r="EQ84" t="s">
        <v>165</v>
      </c>
      <c r="ER84" t="s">
        <v>165</v>
      </c>
      <c r="ES84" s="148">
        <v>8.1439800997642706</v>
      </c>
      <c r="ET84" t="s">
        <v>187</v>
      </c>
      <c r="EU84" s="133" t="s">
        <v>165</v>
      </c>
      <c r="EV84" s="133" t="s">
        <v>165</v>
      </c>
      <c r="EW84" s="149">
        <v>301.06984080000001</v>
      </c>
      <c r="EX84">
        <v>21</v>
      </c>
      <c r="EY84" t="s">
        <v>186</v>
      </c>
      <c r="EZ84" s="150">
        <v>280.06984080000001</v>
      </c>
      <c r="FA84" s="151">
        <v>43.365862654740965</v>
      </c>
      <c r="FB84" s="151">
        <v>40.637095406523997</v>
      </c>
      <c r="FC84" t="s">
        <v>176</v>
      </c>
      <c r="FD84" t="s">
        <v>188</v>
      </c>
      <c r="FE84" t="s">
        <v>165</v>
      </c>
      <c r="FF84" t="s">
        <v>165</v>
      </c>
      <c r="FG84" t="s">
        <v>165</v>
      </c>
      <c r="FH84" t="s">
        <v>165</v>
      </c>
      <c r="FI84" t="s">
        <v>165</v>
      </c>
      <c r="FJ84" t="s">
        <v>165</v>
      </c>
      <c r="FK84" t="s">
        <v>165</v>
      </c>
      <c r="FL84" t="s">
        <v>165</v>
      </c>
      <c r="FM84" t="s">
        <v>165</v>
      </c>
      <c r="FN84" t="s">
        <v>165</v>
      </c>
      <c r="FO84" t="s">
        <v>165</v>
      </c>
      <c r="FP84" t="s">
        <v>165</v>
      </c>
    </row>
    <row r="85" spans="1:172">
      <c r="A85" s="131" t="s">
        <v>154</v>
      </c>
      <c r="B85" t="s">
        <v>155</v>
      </c>
      <c r="C85">
        <v>2017</v>
      </c>
      <c r="D85" s="132" t="s">
        <v>156</v>
      </c>
      <c r="E85" s="145">
        <f t="shared" si="15"/>
        <v>1145.33</v>
      </c>
      <c r="F85">
        <f t="shared" si="16"/>
        <v>2</v>
      </c>
      <c r="G85">
        <f t="shared" si="17"/>
        <v>2</v>
      </c>
      <c r="H85" s="149">
        <f t="shared" si="18"/>
        <v>298.21053569999998</v>
      </c>
      <c r="I85" s="149">
        <f t="shared" si="19"/>
        <v>43.985811146079016</v>
      </c>
      <c r="J85" s="149">
        <f t="shared" si="20"/>
        <v>41.286925841060963</v>
      </c>
      <c r="K85" t="s">
        <v>209</v>
      </c>
      <c r="L85" s="132" t="s">
        <v>210</v>
      </c>
      <c r="M85" s="1" t="s">
        <v>157</v>
      </c>
      <c r="N85" s="132" t="s">
        <v>156</v>
      </c>
      <c r="O85" t="s">
        <v>158</v>
      </c>
      <c r="P85" s="139" t="s">
        <v>162</v>
      </c>
      <c r="Q85" s="139">
        <v>5</v>
      </c>
      <c r="R85" s="139">
        <v>2</v>
      </c>
      <c r="S85" s="140">
        <v>23</v>
      </c>
      <c r="T85" s="140">
        <f t="shared" si="12"/>
        <v>25</v>
      </c>
      <c r="U85" s="141">
        <v>37.83</v>
      </c>
      <c r="V85" s="141">
        <v>37.83</v>
      </c>
      <c r="W85" t="s">
        <v>165</v>
      </c>
      <c r="X85" t="s">
        <v>160</v>
      </c>
      <c r="Y85" s="135">
        <v>12.74</v>
      </c>
      <c r="Z85" s="135">
        <v>-78.739999999999995</v>
      </c>
      <c r="AA85" t="s">
        <v>165</v>
      </c>
      <c r="AB85" t="s">
        <v>165</v>
      </c>
      <c r="AC85">
        <v>-2839</v>
      </c>
      <c r="AD85" t="s">
        <v>165</v>
      </c>
      <c r="AE85" t="s">
        <v>165</v>
      </c>
      <c r="AF85" t="s">
        <v>165</v>
      </c>
      <c r="AG85">
        <v>1145.33</v>
      </c>
      <c r="AH85" t="s">
        <v>163</v>
      </c>
      <c r="AI85">
        <v>2</v>
      </c>
      <c r="AJ85">
        <v>2</v>
      </c>
      <c r="AK85" t="s">
        <v>165</v>
      </c>
      <c r="AL85" t="s">
        <v>164</v>
      </c>
      <c r="AM85" t="s">
        <v>165</v>
      </c>
      <c r="AN85" t="s">
        <v>165</v>
      </c>
      <c r="AO85" t="s">
        <v>165</v>
      </c>
      <c r="AP85" t="s">
        <v>165</v>
      </c>
      <c r="AQ85" t="s">
        <v>165</v>
      </c>
      <c r="AR85" t="s">
        <v>165</v>
      </c>
      <c r="AS85" t="s">
        <v>165</v>
      </c>
      <c r="AT85" t="s">
        <v>165</v>
      </c>
      <c r="AU85" t="s">
        <v>166</v>
      </c>
      <c r="AV85" t="s">
        <v>167</v>
      </c>
      <c r="AW85" t="s">
        <v>168</v>
      </c>
      <c r="AX85" s="154">
        <v>2</v>
      </c>
      <c r="AY85" t="s">
        <v>169</v>
      </c>
      <c r="AZ85" t="s">
        <v>170</v>
      </c>
      <c r="BA85" t="s">
        <v>171</v>
      </c>
      <c r="BB85" t="s">
        <v>165</v>
      </c>
      <c r="BC85" s="154">
        <v>2</v>
      </c>
      <c r="BD85" s="133" t="s">
        <v>165</v>
      </c>
      <c r="BE85" s="146">
        <v>20.09301133</v>
      </c>
      <c r="BF85" t="s">
        <v>172</v>
      </c>
      <c r="BG85" s="146">
        <v>0.22981889999999999</v>
      </c>
      <c r="BH85">
        <v>0.64</v>
      </c>
      <c r="BI85" t="s">
        <v>173</v>
      </c>
      <c r="BJ85">
        <v>3.4000000000000002E-2</v>
      </c>
      <c r="BK85">
        <v>9.1</v>
      </c>
      <c r="BL85" t="s">
        <v>163</v>
      </c>
      <c r="BM85">
        <v>0.56000000000000005</v>
      </c>
      <c r="BN85" t="s">
        <v>174</v>
      </c>
      <c r="BO85" t="s">
        <v>175</v>
      </c>
      <c r="BP85" s="155">
        <f t="shared" si="21"/>
        <v>18.705018883333334</v>
      </c>
      <c r="BQ85" s="133" t="s">
        <v>183</v>
      </c>
      <c r="BR85" s="133" t="s">
        <v>165</v>
      </c>
      <c r="BS85" s="133" t="s">
        <v>165</v>
      </c>
      <c r="BT85" t="s">
        <v>176</v>
      </c>
      <c r="BU85" s="133">
        <v>10</v>
      </c>
      <c r="BV85" s="133" t="s">
        <v>198</v>
      </c>
      <c r="BW85" s="133" t="s">
        <v>165</v>
      </c>
      <c r="BX85" s="145">
        <v>24.04556758</v>
      </c>
      <c r="BY85" t="s">
        <v>163</v>
      </c>
      <c r="BZ85">
        <v>3</v>
      </c>
      <c r="CA85">
        <v>3</v>
      </c>
      <c r="CB85" t="s">
        <v>165</v>
      </c>
      <c r="CC85" s="146">
        <v>3.2715420449268695</v>
      </c>
      <c r="CD85" t="s">
        <v>180</v>
      </c>
      <c r="CE85" s="146">
        <f t="shared" si="13"/>
        <v>0.13086168179707477</v>
      </c>
      <c r="CF85" s="146">
        <v>0.13086168179707477</v>
      </c>
      <c r="CG85" s="156" t="s">
        <v>165</v>
      </c>
      <c r="CH85" t="s">
        <v>207</v>
      </c>
      <c r="CI85" t="s">
        <v>165</v>
      </c>
      <c r="CJ85" t="s">
        <v>178</v>
      </c>
      <c r="CK85" t="s">
        <v>181</v>
      </c>
      <c r="CL85" t="s">
        <v>181</v>
      </c>
      <c r="CM85" t="s">
        <v>181</v>
      </c>
      <c r="CN85" t="s">
        <v>165</v>
      </c>
      <c r="CO85" t="s">
        <v>165</v>
      </c>
      <c r="CP85" t="s">
        <v>165</v>
      </c>
      <c r="CQ85" t="s">
        <v>165</v>
      </c>
      <c r="CR85" t="s">
        <v>165</v>
      </c>
      <c r="CS85" t="s">
        <v>165</v>
      </c>
      <c r="CT85" t="s">
        <v>165</v>
      </c>
      <c r="CU85">
        <v>35</v>
      </c>
      <c r="CV85" t="s">
        <v>183</v>
      </c>
      <c r="CW85" s="154">
        <v>3</v>
      </c>
      <c r="CX85" s="133" t="s">
        <v>199</v>
      </c>
      <c r="CY85" s="133" t="s">
        <v>165</v>
      </c>
      <c r="CZ85" s="133" t="s">
        <v>165</v>
      </c>
      <c r="DA85" s="133" t="s">
        <v>165</v>
      </c>
      <c r="DB85" s="133" t="s">
        <v>165</v>
      </c>
      <c r="DC85" s="133" t="s">
        <v>165</v>
      </c>
      <c r="DD85" s="133" t="s">
        <v>165</v>
      </c>
      <c r="DE85" s="133" t="s">
        <v>165</v>
      </c>
      <c r="DF85" s="133" t="s">
        <v>165</v>
      </c>
      <c r="DG85" s="133" t="s">
        <v>165</v>
      </c>
      <c r="DH85" s="133" t="s">
        <v>165</v>
      </c>
      <c r="DI85" s="133" t="s">
        <v>165</v>
      </c>
      <c r="DJ85" s="133" t="s">
        <v>165</v>
      </c>
      <c r="DK85" s="145">
        <v>432.56244218316402</v>
      </c>
      <c r="DL85" t="s">
        <v>204</v>
      </c>
      <c r="DM85">
        <v>37.1</v>
      </c>
      <c r="DN85" t="s">
        <v>205</v>
      </c>
      <c r="DO85">
        <v>39.61</v>
      </c>
      <c r="DP85" t="s">
        <v>183</v>
      </c>
      <c r="DQ85" s="146">
        <f t="shared" si="14"/>
        <v>0.214533</v>
      </c>
      <c r="DR85" t="s">
        <v>184</v>
      </c>
      <c r="DS85" t="s">
        <v>200</v>
      </c>
      <c r="DT85" t="s">
        <v>201</v>
      </c>
      <c r="DU85">
        <v>1.0271999999999999</v>
      </c>
      <c r="DV85" t="s">
        <v>165</v>
      </c>
      <c r="DW85" t="s">
        <v>165</v>
      </c>
      <c r="DX85" t="s">
        <v>197</v>
      </c>
      <c r="DY85" t="s">
        <v>181</v>
      </c>
      <c r="DZ85" t="s">
        <v>181</v>
      </c>
      <c r="EA85" t="s">
        <v>202</v>
      </c>
      <c r="EB85" t="s">
        <v>203</v>
      </c>
      <c r="EC85" s="147" t="s">
        <v>206</v>
      </c>
      <c r="ED85" s="147" t="s">
        <v>206</v>
      </c>
      <c r="EE85" s="133" t="s">
        <v>165</v>
      </c>
      <c r="EF85" s="133" t="s">
        <v>165</v>
      </c>
      <c r="EG85" s="133" t="s">
        <v>165</v>
      </c>
      <c r="EH85" t="s">
        <v>185</v>
      </c>
      <c r="EI85" t="s">
        <v>179</v>
      </c>
      <c r="EJ85" t="s">
        <v>165</v>
      </c>
      <c r="EK85">
        <v>2412</v>
      </c>
      <c r="EL85" s="147" t="s">
        <v>211</v>
      </c>
      <c r="EM85" s="147">
        <v>175</v>
      </c>
      <c r="EN85">
        <v>175</v>
      </c>
      <c r="EO85" t="s">
        <v>165</v>
      </c>
      <c r="EP85" t="s">
        <v>165</v>
      </c>
      <c r="EQ85" t="s">
        <v>165</v>
      </c>
      <c r="ER85" t="s">
        <v>165</v>
      </c>
      <c r="ES85" s="148">
        <v>8.1229483314257394</v>
      </c>
      <c r="ET85" t="s">
        <v>187</v>
      </c>
      <c r="EU85" s="133" t="s">
        <v>165</v>
      </c>
      <c r="EV85" s="133" t="s">
        <v>165</v>
      </c>
      <c r="EW85" s="149">
        <v>319.21053569999998</v>
      </c>
      <c r="EX85">
        <v>21</v>
      </c>
      <c r="EY85" t="s">
        <v>186</v>
      </c>
      <c r="EZ85" s="150">
        <v>298.21053569999998</v>
      </c>
      <c r="FA85" s="151">
        <v>43.985811146079016</v>
      </c>
      <c r="FB85" s="151">
        <v>41.286925841060963</v>
      </c>
      <c r="FC85" t="s">
        <v>176</v>
      </c>
      <c r="FD85" t="s">
        <v>188</v>
      </c>
      <c r="FE85" t="s">
        <v>165</v>
      </c>
      <c r="FF85" t="s">
        <v>165</v>
      </c>
      <c r="FG85" t="s">
        <v>165</v>
      </c>
      <c r="FH85" t="s">
        <v>165</v>
      </c>
      <c r="FI85" t="s">
        <v>165</v>
      </c>
      <c r="FJ85" t="s">
        <v>165</v>
      </c>
      <c r="FK85" t="s">
        <v>165</v>
      </c>
      <c r="FL85" t="s">
        <v>165</v>
      </c>
      <c r="FM85" t="s">
        <v>165</v>
      </c>
      <c r="FN85" t="s">
        <v>165</v>
      </c>
      <c r="FO85" t="s">
        <v>165</v>
      </c>
      <c r="FP85" t="s">
        <v>165</v>
      </c>
    </row>
    <row r="86" spans="1:172">
      <c r="A86" s="131" t="s">
        <v>154</v>
      </c>
      <c r="B86" t="s">
        <v>155</v>
      </c>
      <c r="C86">
        <v>2017</v>
      </c>
      <c r="D86" s="132" t="s">
        <v>156</v>
      </c>
      <c r="E86" s="145">
        <f t="shared" si="15"/>
        <v>1148.9000000000001</v>
      </c>
      <c r="F86">
        <f t="shared" si="16"/>
        <v>2</v>
      </c>
      <c r="G86">
        <f t="shared" si="17"/>
        <v>2</v>
      </c>
      <c r="H86" s="149">
        <f t="shared" si="18"/>
        <v>314.92612270000001</v>
      </c>
      <c r="I86" s="149">
        <f t="shared" si="19"/>
        <v>52.294788541621017</v>
      </c>
      <c r="J86" s="149">
        <f t="shared" si="20"/>
        <v>49.411603955115027</v>
      </c>
      <c r="K86" t="s">
        <v>209</v>
      </c>
      <c r="L86" s="132" t="s">
        <v>210</v>
      </c>
      <c r="M86" s="1" t="s">
        <v>157</v>
      </c>
      <c r="N86" s="132" t="s">
        <v>156</v>
      </c>
      <c r="O86" t="s">
        <v>158</v>
      </c>
      <c r="P86" s="139" t="s">
        <v>162</v>
      </c>
      <c r="Q86" s="139">
        <v>5</v>
      </c>
      <c r="R86" s="139">
        <v>2</v>
      </c>
      <c r="S86" s="140">
        <v>33.208349000000169</v>
      </c>
      <c r="T86" s="140">
        <f t="shared" si="12"/>
        <v>35.208349000000169</v>
      </c>
      <c r="U86" s="141">
        <v>37.931858810000001</v>
      </c>
      <c r="V86" s="141">
        <v>37.931858810000001</v>
      </c>
      <c r="W86" t="s">
        <v>165</v>
      </c>
      <c r="X86" t="s">
        <v>160</v>
      </c>
      <c r="Y86" s="135">
        <v>12.74</v>
      </c>
      <c r="Z86" s="135">
        <v>-78.739999999999995</v>
      </c>
      <c r="AA86" t="s">
        <v>165</v>
      </c>
      <c r="AB86" t="s">
        <v>165</v>
      </c>
      <c r="AC86">
        <v>-2839</v>
      </c>
      <c r="AD86" t="s">
        <v>165</v>
      </c>
      <c r="AE86" t="s">
        <v>165</v>
      </c>
      <c r="AF86" t="s">
        <v>165</v>
      </c>
      <c r="AG86">
        <v>1148.9000000000001</v>
      </c>
      <c r="AH86" t="s">
        <v>163</v>
      </c>
      <c r="AI86">
        <v>2</v>
      </c>
      <c r="AJ86">
        <v>2</v>
      </c>
      <c r="AK86" t="s">
        <v>165</v>
      </c>
      <c r="AL86" t="s">
        <v>164</v>
      </c>
      <c r="AM86" t="s">
        <v>165</v>
      </c>
      <c r="AN86" t="s">
        <v>165</v>
      </c>
      <c r="AO86" t="s">
        <v>165</v>
      </c>
      <c r="AP86" t="s">
        <v>165</v>
      </c>
      <c r="AQ86" t="s">
        <v>165</v>
      </c>
      <c r="AR86" t="s">
        <v>165</v>
      </c>
      <c r="AS86" t="s">
        <v>165</v>
      </c>
      <c r="AT86" t="s">
        <v>165</v>
      </c>
      <c r="AU86" t="s">
        <v>166</v>
      </c>
      <c r="AV86" t="s">
        <v>167</v>
      </c>
      <c r="AW86" t="s">
        <v>168</v>
      </c>
      <c r="AX86" s="154">
        <v>2</v>
      </c>
      <c r="AY86" t="s">
        <v>169</v>
      </c>
      <c r="AZ86" t="s">
        <v>170</v>
      </c>
      <c r="BA86" t="s">
        <v>171</v>
      </c>
      <c r="BB86" t="s">
        <v>165</v>
      </c>
      <c r="BC86" s="154">
        <v>2</v>
      </c>
      <c r="BD86" s="133" t="s">
        <v>165</v>
      </c>
      <c r="BE86" s="146">
        <v>19.962607640000002</v>
      </c>
      <c r="BF86" t="s">
        <v>172</v>
      </c>
      <c r="BG86" s="146">
        <v>0.35340079800000002</v>
      </c>
      <c r="BH86">
        <v>0.64</v>
      </c>
      <c r="BI86" t="s">
        <v>173</v>
      </c>
      <c r="BJ86">
        <v>3.4000000000000002E-2</v>
      </c>
      <c r="BK86">
        <v>9.1</v>
      </c>
      <c r="BL86" t="s">
        <v>163</v>
      </c>
      <c r="BM86">
        <v>0.56000000000000005</v>
      </c>
      <c r="BN86" t="s">
        <v>174</v>
      </c>
      <c r="BO86" t="s">
        <v>175</v>
      </c>
      <c r="BP86" s="155">
        <f t="shared" si="21"/>
        <v>18.487679400000005</v>
      </c>
      <c r="BQ86" s="133" t="s">
        <v>183</v>
      </c>
      <c r="BR86" s="133" t="s">
        <v>165</v>
      </c>
      <c r="BS86" s="133" t="s">
        <v>165</v>
      </c>
      <c r="BT86" t="s">
        <v>176</v>
      </c>
      <c r="BU86" s="133">
        <v>10</v>
      </c>
      <c r="BV86" s="133" t="s">
        <v>198</v>
      </c>
      <c r="BW86" s="133" t="s">
        <v>165</v>
      </c>
      <c r="BX86" s="145">
        <v>23.832587669999999</v>
      </c>
      <c r="BY86" t="s">
        <v>163</v>
      </c>
      <c r="BZ86">
        <v>3</v>
      </c>
      <c r="CA86">
        <v>3</v>
      </c>
      <c r="CB86" t="s">
        <v>165</v>
      </c>
      <c r="CC86" s="146">
        <v>3.225071021659236</v>
      </c>
      <c r="CD86" t="s">
        <v>180</v>
      </c>
      <c r="CE86" s="146">
        <f t="shared" si="13"/>
        <v>0.12900284086636943</v>
      </c>
      <c r="CF86" s="146">
        <v>0.12900284086636943</v>
      </c>
      <c r="CG86" s="156" t="s">
        <v>165</v>
      </c>
      <c r="CH86" t="s">
        <v>207</v>
      </c>
      <c r="CI86" t="s">
        <v>165</v>
      </c>
      <c r="CJ86" t="s">
        <v>178</v>
      </c>
      <c r="CK86" t="s">
        <v>181</v>
      </c>
      <c r="CL86" t="s">
        <v>181</v>
      </c>
      <c r="CM86" t="s">
        <v>181</v>
      </c>
      <c r="CN86" t="s">
        <v>165</v>
      </c>
      <c r="CO86" t="s">
        <v>165</v>
      </c>
      <c r="CP86" t="s">
        <v>165</v>
      </c>
      <c r="CQ86" t="s">
        <v>165</v>
      </c>
      <c r="CR86" t="s">
        <v>165</v>
      </c>
      <c r="CS86" t="s">
        <v>165</v>
      </c>
      <c r="CT86" t="s">
        <v>165</v>
      </c>
      <c r="CU86">
        <v>35</v>
      </c>
      <c r="CV86" t="s">
        <v>183</v>
      </c>
      <c r="CW86" s="154">
        <v>3</v>
      </c>
      <c r="CX86" s="133" t="s">
        <v>199</v>
      </c>
      <c r="CY86" s="133" t="s">
        <v>165</v>
      </c>
      <c r="CZ86" s="133" t="s">
        <v>165</v>
      </c>
      <c r="DA86" s="133" t="s">
        <v>165</v>
      </c>
      <c r="DB86" s="133" t="s">
        <v>165</v>
      </c>
      <c r="DC86" s="133" t="s">
        <v>165</v>
      </c>
      <c r="DD86" s="133" t="s">
        <v>165</v>
      </c>
      <c r="DE86" s="133" t="s">
        <v>165</v>
      </c>
      <c r="DF86" s="133" t="s">
        <v>165</v>
      </c>
      <c r="DG86" s="133" t="s">
        <v>165</v>
      </c>
      <c r="DH86" s="133" t="s">
        <v>165</v>
      </c>
      <c r="DI86" s="133" t="s">
        <v>165</v>
      </c>
      <c r="DJ86" s="133" t="s">
        <v>165</v>
      </c>
      <c r="DK86" s="145">
        <v>432.56244218316402</v>
      </c>
      <c r="DL86" t="s">
        <v>204</v>
      </c>
      <c r="DM86">
        <v>37.1</v>
      </c>
      <c r="DN86" t="s">
        <v>205</v>
      </c>
      <c r="DO86">
        <v>39.61</v>
      </c>
      <c r="DP86" t="s">
        <v>183</v>
      </c>
      <c r="DQ86" s="146">
        <f t="shared" si="14"/>
        <v>0.21489000000000003</v>
      </c>
      <c r="DR86" t="s">
        <v>184</v>
      </c>
      <c r="DS86" t="s">
        <v>200</v>
      </c>
      <c r="DT86" t="s">
        <v>201</v>
      </c>
      <c r="DU86">
        <v>1.0271999999999999</v>
      </c>
      <c r="DV86" t="s">
        <v>165</v>
      </c>
      <c r="DW86" t="s">
        <v>165</v>
      </c>
      <c r="DX86" t="s">
        <v>197</v>
      </c>
      <c r="DY86" t="s">
        <v>181</v>
      </c>
      <c r="DZ86" t="s">
        <v>181</v>
      </c>
      <c r="EA86" t="s">
        <v>202</v>
      </c>
      <c r="EB86" t="s">
        <v>203</v>
      </c>
      <c r="EC86" s="147" t="s">
        <v>206</v>
      </c>
      <c r="ED86" s="147" t="s">
        <v>206</v>
      </c>
      <c r="EE86" s="133" t="s">
        <v>165</v>
      </c>
      <c r="EF86" s="133" t="s">
        <v>165</v>
      </c>
      <c r="EG86" s="133" t="s">
        <v>165</v>
      </c>
      <c r="EH86" t="s">
        <v>185</v>
      </c>
      <c r="EI86" t="s">
        <v>179</v>
      </c>
      <c r="EJ86" t="s">
        <v>165</v>
      </c>
      <c r="EK86">
        <v>2413</v>
      </c>
      <c r="EL86" s="147" t="s">
        <v>211</v>
      </c>
      <c r="EM86" s="147">
        <v>175</v>
      </c>
      <c r="EN86">
        <v>175</v>
      </c>
      <c r="EO86" t="s">
        <v>165</v>
      </c>
      <c r="EP86" t="s">
        <v>165</v>
      </c>
      <c r="EQ86" t="s">
        <v>165</v>
      </c>
      <c r="ER86" t="s">
        <v>165</v>
      </c>
      <c r="ES86" s="148">
        <v>8.1057785798925597</v>
      </c>
      <c r="ET86" t="s">
        <v>187</v>
      </c>
      <c r="EU86" s="133" t="s">
        <v>165</v>
      </c>
      <c r="EV86" s="133" t="s">
        <v>165</v>
      </c>
      <c r="EW86" s="149">
        <v>335.92612270000001</v>
      </c>
      <c r="EX86">
        <v>21</v>
      </c>
      <c r="EY86" t="s">
        <v>186</v>
      </c>
      <c r="EZ86" s="150">
        <v>314.92612270000001</v>
      </c>
      <c r="FA86" s="151">
        <v>52.294788541621017</v>
      </c>
      <c r="FB86" s="151">
        <v>49.411603955115027</v>
      </c>
      <c r="FC86" t="s">
        <v>176</v>
      </c>
      <c r="FD86" t="s">
        <v>188</v>
      </c>
      <c r="FE86" t="s">
        <v>165</v>
      </c>
      <c r="FF86" t="s">
        <v>165</v>
      </c>
      <c r="FG86" t="s">
        <v>165</v>
      </c>
      <c r="FH86" t="s">
        <v>165</v>
      </c>
      <c r="FI86" t="s">
        <v>165</v>
      </c>
      <c r="FJ86" t="s">
        <v>165</v>
      </c>
      <c r="FK86" t="s">
        <v>165</v>
      </c>
      <c r="FL86" t="s">
        <v>165</v>
      </c>
      <c r="FM86" t="s">
        <v>165</v>
      </c>
      <c r="FN86" t="s">
        <v>165</v>
      </c>
      <c r="FO86" t="s">
        <v>165</v>
      </c>
      <c r="FP86" t="s">
        <v>165</v>
      </c>
    </row>
    <row r="87" spans="1:172">
      <c r="A87" s="131" t="s">
        <v>154</v>
      </c>
      <c r="B87" t="s">
        <v>155</v>
      </c>
      <c r="C87">
        <v>2017</v>
      </c>
      <c r="D87" s="132" t="s">
        <v>156</v>
      </c>
      <c r="E87" s="145">
        <f t="shared" si="15"/>
        <v>1150.94</v>
      </c>
      <c r="F87">
        <f t="shared" si="16"/>
        <v>2</v>
      </c>
      <c r="G87">
        <f t="shared" si="17"/>
        <v>2</v>
      </c>
      <c r="H87" s="149">
        <f t="shared" si="18"/>
        <v>262.12715809999997</v>
      </c>
      <c r="I87" s="149">
        <f t="shared" si="19"/>
        <v>39.029958104301045</v>
      </c>
      <c r="J87" s="149">
        <f t="shared" si="20"/>
        <v>38.400641805425977</v>
      </c>
      <c r="K87" t="s">
        <v>209</v>
      </c>
      <c r="L87" s="132" t="s">
        <v>210</v>
      </c>
      <c r="M87" s="1" t="s">
        <v>157</v>
      </c>
      <c r="N87" s="132" t="s">
        <v>156</v>
      </c>
      <c r="O87" t="s">
        <v>158</v>
      </c>
      <c r="P87" s="139" t="s">
        <v>162</v>
      </c>
      <c r="Q87" s="139">
        <v>5</v>
      </c>
      <c r="R87" s="139">
        <v>2</v>
      </c>
      <c r="S87" s="140">
        <v>39</v>
      </c>
      <c r="T87" s="140">
        <f t="shared" si="12"/>
        <v>41</v>
      </c>
      <c r="U87" s="141">
        <v>37.99</v>
      </c>
      <c r="V87" s="141">
        <v>37.99</v>
      </c>
      <c r="W87" t="s">
        <v>165</v>
      </c>
      <c r="X87" t="s">
        <v>160</v>
      </c>
      <c r="Y87" s="135">
        <v>12.74</v>
      </c>
      <c r="Z87" s="135">
        <v>-78.739999999999995</v>
      </c>
      <c r="AA87" t="s">
        <v>165</v>
      </c>
      <c r="AB87" t="s">
        <v>165</v>
      </c>
      <c r="AC87">
        <v>-2839</v>
      </c>
      <c r="AD87" t="s">
        <v>165</v>
      </c>
      <c r="AE87" t="s">
        <v>165</v>
      </c>
      <c r="AF87" t="s">
        <v>165</v>
      </c>
      <c r="AG87">
        <v>1150.94</v>
      </c>
      <c r="AH87" t="s">
        <v>163</v>
      </c>
      <c r="AI87">
        <v>2</v>
      </c>
      <c r="AJ87">
        <v>2</v>
      </c>
      <c r="AK87" t="s">
        <v>165</v>
      </c>
      <c r="AL87" t="s">
        <v>164</v>
      </c>
      <c r="AM87" t="s">
        <v>165</v>
      </c>
      <c r="AN87" t="s">
        <v>165</v>
      </c>
      <c r="AO87" t="s">
        <v>165</v>
      </c>
      <c r="AP87" t="s">
        <v>165</v>
      </c>
      <c r="AQ87" t="s">
        <v>165</v>
      </c>
      <c r="AR87" t="s">
        <v>165</v>
      </c>
      <c r="AS87" t="s">
        <v>165</v>
      </c>
      <c r="AT87" t="s">
        <v>165</v>
      </c>
      <c r="AU87" t="s">
        <v>166</v>
      </c>
      <c r="AV87" t="s">
        <v>167</v>
      </c>
      <c r="AW87" t="s">
        <v>168</v>
      </c>
      <c r="AX87" s="154">
        <v>2</v>
      </c>
      <c r="AY87" t="s">
        <v>169</v>
      </c>
      <c r="AZ87" t="s">
        <v>170</v>
      </c>
      <c r="BA87" t="s">
        <v>171</v>
      </c>
      <c r="BB87" t="s">
        <v>165</v>
      </c>
      <c r="BC87" s="154">
        <v>2</v>
      </c>
      <c r="BD87" s="133" t="s">
        <v>165</v>
      </c>
      <c r="BE87" s="146">
        <v>20.309999999999999</v>
      </c>
      <c r="BF87" t="s">
        <v>172</v>
      </c>
      <c r="BG87" s="146">
        <v>0.23907551199999999</v>
      </c>
      <c r="BH87">
        <v>0.64</v>
      </c>
      <c r="BI87" t="s">
        <v>173</v>
      </c>
      <c r="BJ87">
        <v>3.4000000000000002E-2</v>
      </c>
      <c r="BK87">
        <v>9.1</v>
      </c>
      <c r="BL87" t="s">
        <v>163</v>
      </c>
      <c r="BM87">
        <v>0.56000000000000005</v>
      </c>
      <c r="BN87" t="s">
        <v>174</v>
      </c>
      <c r="BO87" t="s">
        <v>175</v>
      </c>
      <c r="BP87" s="155">
        <f t="shared" si="21"/>
        <v>19.066666666666666</v>
      </c>
      <c r="BQ87" s="133" t="s">
        <v>183</v>
      </c>
      <c r="BR87" s="133" t="s">
        <v>165</v>
      </c>
      <c r="BS87" s="133" t="s">
        <v>165</v>
      </c>
      <c r="BT87" t="s">
        <v>176</v>
      </c>
      <c r="BU87" s="133">
        <v>10</v>
      </c>
      <c r="BV87" s="133" t="s">
        <v>198</v>
      </c>
      <c r="BW87" s="133" t="s">
        <v>165</v>
      </c>
      <c r="BX87" s="145">
        <v>23.023440319999999</v>
      </c>
      <c r="BY87" t="s">
        <v>163</v>
      </c>
      <c r="BZ87">
        <v>3</v>
      </c>
      <c r="CA87">
        <v>3</v>
      </c>
      <c r="CB87" t="s">
        <v>165</v>
      </c>
      <c r="CC87" s="146">
        <v>3.0057920800475317</v>
      </c>
      <c r="CD87" t="s">
        <v>180</v>
      </c>
      <c r="CE87" s="146">
        <f t="shared" si="13"/>
        <v>0.12023168320190127</v>
      </c>
      <c r="CF87" s="146">
        <v>0.12023168320190127</v>
      </c>
      <c r="CG87" s="156" t="s">
        <v>165</v>
      </c>
      <c r="CH87" t="s">
        <v>207</v>
      </c>
      <c r="CI87" t="s">
        <v>165</v>
      </c>
      <c r="CJ87" t="s">
        <v>178</v>
      </c>
      <c r="CK87" t="s">
        <v>181</v>
      </c>
      <c r="CL87" t="s">
        <v>181</v>
      </c>
      <c r="CM87" t="s">
        <v>181</v>
      </c>
      <c r="CN87" t="s">
        <v>165</v>
      </c>
      <c r="CO87" t="s">
        <v>165</v>
      </c>
      <c r="CP87" t="s">
        <v>165</v>
      </c>
      <c r="CQ87" t="s">
        <v>165</v>
      </c>
      <c r="CR87" t="s">
        <v>165</v>
      </c>
      <c r="CS87" t="s">
        <v>165</v>
      </c>
      <c r="CT87" t="s">
        <v>165</v>
      </c>
      <c r="CU87">
        <v>35</v>
      </c>
      <c r="CV87" t="s">
        <v>183</v>
      </c>
      <c r="CW87" s="154">
        <v>3</v>
      </c>
      <c r="CX87" s="133" t="s">
        <v>199</v>
      </c>
      <c r="CY87" s="133" t="s">
        <v>165</v>
      </c>
      <c r="CZ87" s="133" t="s">
        <v>165</v>
      </c>
      <c r="DA87" s="133" t="s">
        <v>165</v>
      </c>
      <c r="DB87" s="133" t="s">
        <v>165</v>
      </c>
      <c r="DC87" s="133" t="s">
        <v>165</v>
      </c>
      <c r="DD87" s="133" t="s">
        <v>165</v>
      </c>
      <c r="DE87" s="133" t="s">
        <v>165</v>
      </c>
      <c r="DF87" s="133" t="s">
        <v>165</v>
      </c>
      <c r="DG87" s="133" t="s">
        <v>165</v>
      </c>
      <c r="DH87" s="133" t="s">
        <v>165</v>
      </c>
      <c r="DI87" s="133" t="s">
        <v>165</v>
      </c>
      <c r="DJ87" s="133" t="s">
        <v>165</v>
      </c>
      <c r="DK87" s="145">
        <v>432.56244218316402</v>
      </c>
      <c r="DL87" t="s">
        <v>204</v>
      </c>
      <c r="DM87">
        <v>37.1</v>
      </c>
      <c r="DN87" t="s">
        <v>205</v>
      </c>
      <c r="DO87">
        <v>39.61</v>
      </c>
      <c r="DP87" t="s">
        <v>183</v>
      </c>
      <c r="DQ87" s="146">
        <f t="shared" si="14"/>
        <v>0.21509400000000001</v>
      </c>
      <c r="DR87" t="s">
        <v>184</v>
      </c>
      <c r="DS87" t="s">
        <v>200</v>
      </c>
      <c r="DT87" t="s">
        <v>201</v>
      </c>
      <c r="DU87">
        <v>1.0271999999999999</v>
      </c>
      <c r="DV87" t="s">
        <v>165</v>
      </c>
      <c r="DW87" t="s">
        <v>165</v>
      </c>
      <c r="DX87" t="s">
        <v>197</v>
      </c>
      <c r="DY87" t="s">
        <v>181</v>
      </c>
      <c r="DZ87" t="s">
        <v>181</v>
      </c>
      <c r="EA87" t="s">
        <v>202</v>
      </c>
      <c r="EB87" t="s">
        <v>203</v>
      </c>
      <c r="EC87" s="147" t="s">
        <v>206</v>
      </c>
      <c r="ED87" s="147" t="s">
        <v>206</v>
      </c>
      <c r="EE87" s="133" t="s">
        <v>165</v>
      </c>
      <c r="EF87" s="133" t="s">
        <v>165</v>
      </c>
      <c r="EG87" s="133" t="s">
        <v>165</v>
      </c>
      <c r="EH87" t="s">
        <v>185</v>
      </c>
      <c r="EI87" t="s">
        <v>179</v>
      </c>
      <c r="EJ87" t="s">
        <v>165</v>
      </c>
      <c r="EK87">
        <v>2414</v>
      </c>
      <c r="EL87" s="147" t="s">
        <v>211</v>
      </c>
      <c r="EM87" s="147">
        <v>175</v>
      </c>
      <c r="EN87">
        <v>175</v>
      </c>
      <c r="EO87" t="s">
        <v>165</v>
      </c>
      <c r="EP87" t="s">
        <v>165</v>
      </c>
      <c r="EQ87" t="s">
        <v>165</v>
      </c>
      <c r="ER87" t="s">
        <v>165</v>
      </c>
      <c r="ES87" s="148">
        <v>8.1657448839488005</v>
      </c>
      <c r="ET87" t="s">
        <v>187</v>
      </c>
      <c r="EU87" s="133" t="s">
        <v>165</v>
      </c>
      <c r="EV87" s="133" t="s">
        <v>165</v>
      </c>
      <c r="EW87" s="149">
        <v>283.12715809999997</v>
      </c>
      <c r="EX87">
        <v>21</v>
      </c>
      <c r="EY87" t="s">
        <v>186</v>
      </c>
      <c r="EZ87" s="150">
        <v>262.12715809999997</v>
      </c>
      <c r="FA87" s="151">
        <v>39.029958104301045</v>
      </c>
      <c r="FB87" s="151">
        <v>38.400641805425977</v>
      </c>
      <c r="FC87" t="s">
        <v>176</v>
      </c>
      <c r="FD87" t="s">
        <v>188</v>
      </c>
      <c r="FE87" t="s">
        <v>165</v>
      </c>
      <c r="FF87" t="s">
        <v>165</v>
      </c>
      <c r="FG87" t="s">
        <v>165</v>
      </c>
      <c r="FH87" t="s">
        <v>165</v>
      </c>
      <c r="FI87" t="s">
        <v>165</v>
      </c>
      <c r="FJ87" t="s">
        <v>165</v>
      </c>
      <c r="FK87" t="s">
        <v>165</v>
      </c>
      <c r="FL87" t="s">
        <v>165</v>
      </c>
      <c r="FM87" t="s">
        <v>165</v>
      </c>
      <c r="FN87" t="s">
        <v>165</v>
      </c>
      <c r="FO87" t="s">
        <v>165</v>
      </c>
      <c r="FP87" t="s">
        <v>165</v>
      </c>
    </row>
    <row r="88" spans="1:172">
      <c r="A88" s="131" t="s">
        <v>154</v>
      </c>
      <c r="B88" t="s">
        <v>155</v>
      </c>
      <c r="C88">
        <v>2017</v>
      </c>
      <c r="D88" s="132" t="s">
        <v>156</v>
      </c>
      <c r="E88" s="145">
        <f t="shared" si="15"/>
        <v>1154.0899999999999</v>
      </c>
      <c r="F88">
        <f t="shared" si="16"/>
        <v>2</v>
      </c>
      <c r="G88">
        <f t="shared" si="17"/>
        <v>2</v>
      </c>
      <c r="H88" s="149">
        <f t="shared" si="18"/>
        <v>246.3945483</v>
      </c>
      <c r="I88" s="149">
        <f t="shared" si="19"/>
        <v>37.652452665310989</v>
      </c>
      <c r="J88" s="149">
        <f t="shared" si="20"/>
        <v>36.004043339790002</v>
      </c>
      <c r="K88" t="s">
        <v>209</v>
      </c>
      <c r="L88" s="132" t="s">
        <v>210</v>
      </c>
      <c r="M88" s="1" t="s">
        <v>157</v>
      </c>
      <c r="N88" s="132" t="s">
        <v>156</v>
      </c>
      <c r="O88" t="s">
        <v>158</v>
      </c>
      <c r="P88" s="139" t="s">
        <v>162</v>
      </c>
      <c r="Q88" s="139">
        <v>5</v>
      </c>
      <c r="R88" s="139">
        <v>2</v>
      </c>
      <c r="S88" s="140">
        <v>48</v>
      </c>
      <c r="T88" s="140">
        <f t="shared" si="12"/>
        <v>50</v>
      </c>
      <c r="U88" s="141">
        <v>38.08</v>
      </c>
      <c r="V88" s="141">
        <v>38.08</v>
      </c>
      <c r="W88" t="s">
        <v>165</v>
      </c>
      <c r="X88" t="s">
        <v>160</v>
      </c>
      <c r="Y88" s="135">
        <v>12.74</v>
      </c>
      <c r="Z88" s="135">
        <v>-78.739999999999995</v>
      </c>
      <c r="AA88" t="s">
        <v>165</v>
      </c>
      <c r="AB88" t="s">
        <v>165</v>
      </c>
      <c r="AC88">
        <v>-2839</v>
      </c>
      <c r="AD88" t="s">
        <v>165</v>
      </c>
      <c r="AE88" t="s">
        <v>165</v>
      </c>
      <c r="AF88" t="s">
        <v>165</v>
      </c>
      <c r="AG88">
        <v>1154.0899999999999</v>
      </c>
      <c r="AH88" t="s">
        <v>163</v>
      </c>
      <c r="AI88">
        <v>2</v>
      </c>
      <c r="AJ88">
        <v>2</v>
      </c>
      <c r="AK88" t="s">
        <v>165</v>
      </c>
      <c r="AL88" t="s">
        <v>164</v>
      </c>
      <c r="AM88" t="s">
        <v>165</v>
      </c>
      <c r="AN88" t="s">
        <v>165</v>
      </c>
      <c r="AO88" t="s">
        <v>165</v>
      </c>
      <c r="AP88" t="s">
        <v>165</v>
      </c>
      <c r="AQ88" t="s">
        <v>165</v>
      </c>
      <c r="AR88" t="s">
        <v>165</v>
      </c>
      <c r="AS88" t="s">
        <v>165</v>
      </c>
      <c r="AT88" t="s">
        <v>165</v>
      </c>
      <c r="AU88" t="s">
        <v>166</v>
      </c>
      <c r="AV88" t="s">
        <v>167</v>
      </c>
      <c r="AW88" t="s">
        <v>168</v>
      </c>
      <c r="AX88" s="154">
        <v>2</v>
      </c>
      <c r="AY88" t="s">
        <v>169</v>
      </c>
      <c r="AZ88" t="s">
        <v>170</v>
      </c>
      <c r="BA88" t="s">
        <v>171</v>
      </c>
      <c r="BB88" t="s">
        <v>165</v>
      </c>
      <c r="BC88" s="154">
        <v>2</v>
      </c>
      <c r="BD88" s="133" t="s">
        <v>165</v>
      </c>
      <c r="BE88" s="146">
        <v>20.519103950000002</v>
      </c>
      <c r="BF88" t="s">
        <v>172</v>
      </c>
      <c r="BG88" s="146">
        <v>0.222955026</v>
      </c>
      <c r="BH88">
        <v>0.64</v>
      </c>
      <c r="BI88" t="s">
        <v>173</v>
      </c>
      <c r="BJ88">
        <v>3.4000000000000002E-2</v>
      </c>
      <c r="BK88">
        <v>9.1</v>
      </c>
      <c r="BL88" t="s">
        <v>163</v>
      </c>
      <c r="BM88">
        <v>0.56000000000000005</v>
      </c>
      <c r="BN88" t="s">
        <v>174</v>
      </c>
      <c r="BO88" t="s">
        <v>175</v>
      </c>
      <c r="BP88" s="155">
        <f t="shared" si="21"/>
        <v>19.415173250000006</v>
      </c>
      <c r="BQ88" s="133" t="s">
        <v>183</v>
      </c>
      <c r="BR88" s="133" t="s">
        <v>165</v>
      </c>
      <c r="BS88" s="133" t="s">
        <v>165</v>
      </c>
      <c r="BT88" t="s">
        <v>176</v>
      </c>
      <c r="BU88" s="133">
        <v>10</v>
      </c>
      <c r="BV88" s="133" t="s">
        <v>198</v>
      </c>
      <c r="BW88" s="133" t="s">
        <v>165</v>
      </c>
      <c r="BX88" s="145">
        <v>24.003456360000001</v>
      </c>
      <c r="BY88" t="s">
        <v>163</v>
      </c>
      <c r="BZ88">
        <v>3</v>
      </c>
      <c r="CA88">
        <v>3</v>
      </c>
      <c r="CB88" t="s">
        <v>165</v>
      </c>
      <c r="CC88" s="146">
        <v>3.2746396578140695</v>
      </c>
      <c r="CD88" t="s">
        <v>180</v>
      </c>
      <c r="CE88" s="146">
        <f t="shared" si="13"/>
        <v>0.1309855863125628</v>
      </c>
      <c r="CF88" s="146">
        <v>0.1309855863125628</v>
      </c>
      <c r="CG88" s="156" t="s">
        <v>165</v>
      </c>
      <c r="CH88" t="s">
        <v>207</v>
      </c>
      <c r="CI88" t="s">
        <v>165</v>
      </c>
      <c r="CJ88" t="s">
        <v>178</v>
      </c>
      <c r="CK88" t="s">
        <v>181</v>
      </c>
      <c r="CL88" t="s">
        <v>181</v>
      </c>
      <c r="CM88" t="s">
        <v>181</v>
      </c>
      <c r="CN88" t="s">
        <v>165</v>
      </c>
      <c r="CO88" t="s">
        <v>165</v>
      </c>
      <c r="CP88" t="s">
        <v>165</v>
      </c>
      <c r="CQ88" t="s">
        <v>165</v>
      </c>
      <c r="CR88" t="s">
        <v>165</v>
      </c>
      <c r="CS88" t="s">
        <v>165</v>
      </c>
      <c r="CT88" t="s">
        <v>165</v>
      </c>
      <c r="CU88">
        <v>35</v>
      </c>
      <c r="CV88" t="s">
        <v>183</v>
      </c>
      <c r="CW88" s="154">
        <v>3</v>
      </c>
      <c r="CX88" s="133" t="s">
        <v>199</v>
      </c>
      <c r="CY88" s="133" t="s">
        <v>165</v>
      </c>
      <c r="CZ88" s="133" t="s">
        <v>165</v>
      </c>
      <c r="DA88" s="133" t="s">
        <v>165</v>
      </c>
      <c r="DB88" s="133" t="s">
        <v>165</v>
      </c>
      <c r="DC88" s="133" t="s">
        <v>165</v>
      </c>
      <c r="DD88" s="133" t="s">
        <v>165</v>
      </c>
      <c r="DE88" s="133" t="s">
        <v>165</v>
      </c>
      <c r="DF88" s="133" t="s">
        <v>165</v>
      </c>
      <c r="DG88" s="133" t="s">
        <v>165</v>
      </c>
      <c r="DH88" s="133" t="s">
        <v>165</v>
      </c>
      <c r="DI88" s="133" t="s">
        <v>165</v>
      </c>
      <c r="DJ88" s="133" t="s">
        <v>165</v>
      </c>
      <c r="DK88" s="145">
        <v>432.56244218316402</v>
      </c>
      <c r="DL88" t="s">
        <v>204</v>
      </c>
      <c r="DM88">
        <v>37.1</v>
      </c>
      <c r="DN88" t="s">
        <v>205</v>
      </c>
      <c r="DO88">
        <v>39.61</v>
      </c>
      <c r="DP88" t="s">
        <v>183</v>
      </c>
      <c r="DQ88" s="146">
        <f t="shared" si="14"/>
        <v>0.21540900000000002</v>
      </c>
      <c r="DR88" t="s">
        <v>184</v>
      </c>
      <c r="DS88" t="s">
        <v>200</v>
      </c>
      <c r="DT88" t="s">
        <v>201</v>
      </c>
      <c r="DU88">
        <v>1.0271999999999999</v>
      </c>
      <c r="DV88" t="s">
        <v>165</v>
      </c>
      <c r="DW88" t="s">
        <v>165</v>
      </c>
      <c r="DX88" t="s">
        <v>197</v>
      </c>
      <c r="DY88" t="s">
        <v>181</v>
      </c>
      <c r="DZ88" t="s">
        <v>181</v>
      </c>
      <c r="EA88" t="s">
        <v>202</v>
      </c>
      <c r="EB88" t="s">
        <v>203</v>
      </c>
      <c r="EC88" s="147" t="s">
        <v>206</v>
      </c>
      <c r="ED88" s="147" t="s">
        <v>206</v>
      </c>
      <c r="EE88" s="133" t="s">
        <v>165</v>
      </c>
      <c r="EF88" s="133" t="s">
        <v>165</v>
      </c>
      <c r="EG88" s="133" t="s">
        <v>165</v>
      </c>
      <c r="EH88" t="s">
        <v>185</v>
      </c>
      <c r="EI88" t="s">
        <v>179</v>
      </c>
      <c r="EJ88" t="s">
        <v>165</v>
      </c>
      <c r="EK88">
        <v>2415</v>
      </c>
      <c r="EL88" s="147" t="s">
        <v>211</v>
      </c>
      <c r="EM88" s="147">
        <v>175</v>
      </c>
      <c r="EN88">
        <v>175</v>
      </c>
      <c r="EO88" t="s">
        <v>165</v>
      </c>
      <c r="EP88" t="s">
        <v>165</v>
      </c>
      <c r="EQ88" t="s">
        <v>165</v>
      </c>
      <c r="ER88" t="s">
        <v>165</v>
      </c>
      <c r="ES88" s="148">
        <v>8.1835330632976806</v>
      </c>
      <c r="ET88" t="s">
        <v>187</v>
      </c>
      <c r="EU88" s="133" t="s">
        <v>165</v>
      </c>
      <c r="EV88" s="133" t="s">
        <v>165</v>
      </c>
      <c r="EW88" s="149">
        <v>267.3945483</v>
      </c>
      <c r="EX88">
        <v>21</v>
      </c>
      <c r="EY88" t="s">
        <v>186</v>
      </c>
      <c r="EZ88" s="150">
        <v>246.3945483</v>
      </c>
      <c r="FA88" s="151">
        <v>37.652452665310989</v>
      </c>
      <c r="FB88" s="151">
        <v>36.004043339790002</v>
      </c>
      <c r="FC88" t="s">
        <v>176</v>
      </c>
      <c r="FD88" t="s">
        <v>188</v>
      </c>
      <c r="FE88" t="s">
        <v>165</v>
      </c>
      <c r="FF88" t="s">
        <v>165</v>
      </c>
      <c r="FG88" t="s">
        <v>165</v>
      </c>
      <c r="FH88" t="s">
        <v>165</v>
      </c>
      <c r="FI88" t="s">
        <v>165</v>
      </c>
      <c r="FJ88" t="s">
        <v>165</v>
      </c>
      <c r="FK88" t="s">
        <v>165</v>
      </c>
      <c r="FL88" t="s">
        <v>165</v>
      </c>
      <c r="FM88" t="s">
        <v>165</v>
      </c>
      <c r="FN88" t="s">
        <v>165</v>
      </c>
      <c r="FO88" t="s">
        <v>165</v>
      </c>
      <c r="FP88" t="s">
        <v>165</v>
      </c>
    </row>
    <row r="89" spans="1:172">
      <c r="A89" s="131" t="s">
        <v>154</v>
      </c>
      <c r="B89" t="s">
        <v>155</v>
      </c>
      <c r="C89">
        <v>2017</v>
      </c>
      <c r="D89" s="132" t="s">
        <v>156</v>
      </c>
      <c r="E89" s="145">
        <f t="shared" si="15"/>
        <v>1157.77</v>
      </c>
      <c r="F89">
        <f t="shared" si="16"/>
        <v>2</v>
      </c>
      <c r="G89">
        <f t="shared" si="17"/>
        <v>2</v>
      </c>
      <c r="H89" s="149">
        <f t="shared" si="18"/>
        <v>301.9340588</v>
      </c>
      <c r="I89" s="149">
        <f t="shared" si="19"/>
        <v>44.670751358211021</v>
      </c>
      <c r="J89" s="149">
        <f t="shared" si="20"/>
        <v>42.146764635550028</v>
      </c>
      <c r="K89" t="s">
        <v>209</v>
      </c>
      <c r="L89" s="132" t="s">
        <v>210</v>
      </c>
      <c r="M89" s="1" t="s">
        <v>157</v>
      </c>
      <c r="N89" s="132" t="s">
        <v>156</v>
      </c>
      <c r="O89" t="s">
        <v>158</v>
      </c>
      <c r="P89" s="139" t="s">
        <v>162</v>
      </c>
      <c r="Q89" s="139">
        <v>5</v>
      </c>
      <c r="R89" s="139">
        <v>2</v>
      </c>
      <c r="S89" s="140">
        <v>58.530575000000283</v>
      </c>
      <c r="T89" s="140">
        <f t="shared" si="12"/>
        <v>60.530575000000283</v>
      </c>
      <c r="U89" s="141">
        <v>38.185081070000003</v>
      </c>
      <c r="V89" s="141">
        <v>38.185081070000003</v>
      </c>
      <c r="W89" t="s">
        <v>165</v>
      </c>
      <c r="X89" t="s">
        <v>160</v>
      </c>
      <c r="Y89" s="135">
        <v>12.74</v>
      </c>
      <c r="Z89" s="135">
        <v>-78.739999999999995</v>
      </c>
      <c r="AA89" t="s">
        <v>165</v>
      </c>
      <c r="AB89" t="s">
        <v>165</v>
      </c>
      <c r="AC89">
        <v>-2839</v>
      </c>
      <c r="AD89" t="s">
        <v>165</v>
      </c>
      <c r="AE89" t="s">
        <v>165</v>
      </c>
      <c r="AF89" t="s">
        <v>165</v>
      </c>
      <c r="AG89">
        <v>1157.77</v>
      </c>
      <c r="AH89" t="s">
        <v>163</v>
      </c>
      <c r="AI89">
        <v>2</v>
      </c>
      <c r="AJ89">
        <v>2</v>
      </c>
      <c r="AK89" t="s">
        <v>165</v>
      </c>
      <c r="AL89" t="s">
        <v>164</v>
      </c>
      <c r="AM89" t="s">
        <v>165</v>
      </c>
      <c r="AN89" t="s">
        <v>165</v>
      </c>
      <c r="AO89" t="s">
        <v>165</v>
      </c>
      <c r="AP89" t="s">
        <v>165</v>
      </c>
      <c r="AQ89" t="s">
        <v>165</v>
      </c>
      <c r="AR89" t="s">
        <v>165</v>
      </c>
      <c r="AS89" t="s">
        <v>165</v>
      </c>
      <c r="AT89" t="s">
        <v>165</v>
      </c>
      <c r="AU89" t="s">
        <v>166</v>
      </c>
      <c r="AV89" t="s">
        <v>167</v>
      </c>
      <c r="AW89" t="s">
        <v>168</v>
      </c>
      <c r="AX89" s="154">
        <v>2</v>
      </c>
      <c r="AY89" t="s">
        <v>169</v>
      </c>
      <c r="AZ89" t="s">
        <v>170</v>
      </c>
      <c r="BA89" t="s">
        <v>171</v>
      </c>
      <c r="BB89" t="s">
        <v>165</v>
      </c>
      <c r="BC89" s="154">
        <v>2</v>
      </c>
      <c r="BD89" s="133" t="s">
        <v>165</v>
      </c>
      <c r="BE89" s="146">
        <v>20.102758009999999</v>
      </c>
      <c r="BF89" t="s">
        <v>172</v>
      </c>
      <c r="BG89" s="146">
        <v>0.217485602</v>
      </c>
      <c r="BH89">
        <v>0.64</v>
      </c>
      <c r="BI89" t="s">
        <v>173</v>
      </c>
      <c r="BJ89">
        <v>3.4000000000000002E-2</v>
      </c>
      <c r="BK89">
        <v>9.1</v>
      </c>
      <c r="BL89" t="s">
        <v>163</v>
      </c>
      <c r="BM89">
        <v>0.56000000000000005</v>
      </c>
      <c r="BN89" t="s">
        <v>174</v>
      </c>
      <c r="BO89" t="s">
        <v>175</v>
      </c>
      <c r="BP89" s="155">
        <f t="shared" si="21"/>
        <v>18.721263350000001</v>
      </c>
      <c r="BQ89" s="133" t="s">
        <v>183</v>
      </c>
      <c r="BR89" s="133" t="s">
        <v>165</v>
      </c>
      <c r="BS89" s="133" t="s">
        <v>165</v>
      </c>
      <c r="BT89" t="s">
        <v>176</v>
      </c>
      <c r="BU89" s="133">
        <v>10</v>
      </c>
      <c r="BV89" s="133" t="s">
        <v>198</v>
      </c>
      <c r="BW89" s="133" t="s">
        <v>165</v>
      </c>
      <c r="BX89" s="145">
        <v>24.5289015</v>
      </c>
      <c r="BY89" t="s">
        <v>163</v>
      </c>
      <c r="BZ89">
        <v>3</v>
      </c>
      <c r="CA89">
        <v>3</v>
      </c>
      <c r="CB89" t="s">
        <v>165</v>
      </c>
      <c r="CC89" s="146">
        <v>3.4288489882960311</v>
      </c>
      <c r="CD89" t="s">
        <v>180</v>
      </c>
      <c r="CE89" s="146">
        <f t="shared" si="13"/>
        <v>0.13715395953184126</v>
      </c>
      <c r="CF89" s="146">
        <v>0.13715395953184126</v>
      </c>
      <c r="CG89" s="156" t="s">
        <v>165</v>
      </c>
      <c r="CH89" t="s">
        <v>207</v>
      </c>
      <c r="CI89" t="s">
        <v>165</v>
      </c>
      <c r="CJ89" t="s">
        <v>178</v>
      </c>
      <c r="CK89" t="s">
        <v>181</v>
      </c>
      <c r="CL89" t="s">
        <v>181</v>
      </c>
      <c r="CM89" t="s">
        <v>181</v>
      </c>
      <c r="CN89" t="s">
        <v>165</v>
      </c>
      <c r="CO89" t="s">
        <v>165</v>
      </c>
      <c r="CP89" t="s">
        <v>165</v>
      </c>
      <c r="CQ89" t="s">
        <v>165</v>
      </c>
      <c r="CR89" t="s">
        <v>165</v>
      </c>
      <c r="CS89" t="s">
        <v>165</v>
      </c>
      <c r="CT89" t="s">
        <v>165</v>
      </c>
      <c r="CU89">
        <v>35</v>
      </c>
      <c r="CV89" t="s">
        <v>183</v>
      </c>
      <c r="CW89" s="154">
        <v>3</v>
      </c>
      <c r="CX89" s="133" t="s">
        <v>199</v>
      </c>
      <c r="CY89" s="133" t="s">
        <v>165</v>
      </c>
      <c r="CZ89" s="133" t="s">
        <v>165</v>
      </c>
      <c r="DA89" s="133" t="s">
        <v>165</v>
      </c>
      <c r="DB89" s="133" t="s">
        <v>165</v>
      </c>
      <c r="DC89" s="133" t="s">
        <v>165</v>
      </c>
      <c r="DD89" s="133" t="s">
        <v>165</v>
      </c>
      <c r="DE89" s="133" t="s">
        <v>165</v>
      </c>
      <c r="DF89" s="133" t="s">
        <v>165</v>
      </c>
      <c r="DG89" s="133" t="s">
        <v>165</v>
      </c>
      <c r="DH89" s="133" t="s">
        <v>165</v>
      </c>
      <c r="DI89" s="133" t="s">
        <v>165</v>
      </c>
      <c r="DJ89" s="133" t="s">
        <v>165</v>
      </c>
      <c r="DK89" s="145">
        <v>432.56244218316402</v>
      </c>
      <c r="DL89" t="s">
        <v>204</v>
      </c>
      <c r="DM89">
        <v>37.1</v>
      </c>
      <c r="DN89" t="s">
        <v>205</v>
      </c>
      <c r="DO89">
        <v>39.61</v>
      </c>
      <c r="DP89" t="s">
        <v>183</v>
      </c>
      <c r="DQ89" s="146">
        <f t="shared" si="14"/>
        <v>0.215777</v>
      </c>
      <c r="DR89" t="s">
        <v>184</v>
      </c>
      <c r="DS89" t="s">
        <v>200</v>
      </c>
      <c r="DT89" t="s">
        <v>201</v>
      </c>
      <c r="DU89">
        <v>1.0271999999999999</v>
      </c>
      <c r="DV89" t="s">
        <v>165</v>
      </c>
      <c r="DW89" t="s">
        <v>165</v>
      </c>
      <c r="DX89" t="s">
        <v>197</v>
      </c>
      <c r="DY89" t="s">
        <v>181</v>
      </c>
      <c r="DZ89" t="s">
        <v>181</v>
      </c>
      <c r="EA89" t="s">
        <v>202</v>
      </c>
      <c r="EB89" t="s">
        <v>203</v>
      </c>
      <c r="EC89" s="147" t="s">
        <v>206</v>
      </c>
      <c r="ED89" s="147" t="s">
        <v>206</v>
      </c>
      <c r="EE89" s="133" t="s">
        <v>165</v>
      </c>
      <c r="EF89" s="133" t="s">
        <v>165</v>
      </c>
      <c r="EG89" s="133" t="s">
        <v>165</v>
      </c>
      <c r="EH89" t="s">
        <v>185</v>
      </c>
      <c r="EI89" t="s">
        <v>179</v>
      </c>
      <c r="EJ89" t="s">
        <v>165</v>
      </c>
      <c r="EK89">
        <v>2416</v>
      </c>
      <c r="EL89" s="147" t="s">
        <v>211</v>
      </c>
      <c r="EM89" s="147">
        <v>175</v>
      </c>
      <c r="EN89">
        <v>175</v>
      </c>
      <c r="EO89" t="s">
        <v>165</v>
      </c>
      <c r="EP89" t="s">
        <v>165</v>
      </c>
      <c r="EQ89" t="s">
        <v>165</v>
      </c>
      <c r="ER89" t="s">
        <v>165</v>
      </c>
      <c r="ES89" s="148">
        <v>8.1184380907580707</v>
      </c>
      <c r="ET89" t="s">
        <v>187</v>
      </c>
      <c r="EU89" s="133" t="s">
        <v>165</v>
      </c>
      <c r="EV89" s="133" t="s">
        <v>165</v>
      </c>
      <c r="EW89" s="149">
        <v>322.9340588</v>
      </c>
      <c r="EX89">
        <v>21</v>
      </c>
      <c r="EY89" t="s">
        <v>186</v>
      </c>
      <c r="EZ89" s="150">
        <v>301.9340588</v>
      </c>
      <c r="FA89" s="151">
        <v>44.670751358211021</v>
      </c>
      <c r="FB89" s="151">
        <v>42.146764635550028</v>
      </c>
      <c r="FC89" t="s">
        <v>176</v>
      </c>
      <c r="FD89" t="s">
        <v>188</v>
      </c>
      <c r="FE89" t="s">
        <v>165</v>
      </c>
      <c r="FF89" t="s">
        <v>165</v>
      </c>
      <c r="FG89" t="s">
        <v>165</v>
      </c>
      <c r="FH89" t="s">
        <v>165</v>
      </c>
      <c r="FI89" t="s">
        <v>165</v>
      </c>
      <c r="FJ89" t="s">
        <v>165</v>
      </c>
      <c r="FK89" t="s">
        <v>165</v>
      </c>
      <c r="FL89" t="s">
        <v>165</v>
      </c>
      <c r="FM89" t="s">
        <v>165</v>
      </c>
      <c r="FN89" t="s">
        <v>165</v>
      </c>
      <c r="FO89" t="s">
        <v>165</v>
      </c>
      <c r="FP89" t="s">
        <v>165</v>
      </c>
    </row>
    <row r="90" spans="1:172">
      <c r="A90" s="131" t="s">
        <v>154</v>
      </c>
      <c r="B90" t="s">
        <v>155</v>
      </c>
      <c r="C90">
        <v>2017</v>
      </c>
      <c r="D90" s="132" t="s">
        <v>156</v>
      </c>
      <c r="E90" s="145">
        <f t="shared" si="15"/>
        <v>1160.73</v>
      </c>
      <c r="F90">
        <f t="shared" si="16"/>
        <v>2</v>
      </c>
      <c r="G90">
        <f t="shared" si="17"/>
        <v>2</v>
      </c>
      <c r="H90" s="149">
        <f t="shared" si="18"/>
        <v>311.41142660000003</v>
      </c>
      <c r="I90" s="149">
        <f t="shared" si="19"/>
        <v>45.691829283649952</v>
      </c>
      <c r="J90" s="149">
        <f t="shared" si="20"/>
        <v>42.345422190779004</v>
      </c>
      <c r="K90" t="s">
        <v>209</v>
      </c>
      <c r="L90" s="132" t="s">
        <v>210</v>
      </c>
      <c r="M90" s="1" t="s">
        <v>157</v>
      </c>
      <c r="N90" s="132" t="s">
        <v>156</v>
      </c>
      <c r="O90" t="s">
        <v>158</v>
      </c>
      <c r="P90" s="139" t="s">
        <v>162</v>
      </c>
      <c r="Q90" s="139">
        <v>5</v>
      </c>
      <c r="R90" s="139">
        <v>2</v>
      </c>
      <c r="S90" s="140">
        <v>66.971234999999695</v>
      </c>
      <c r="T90" s="140">
        <f t="shared" si="12"/>
        <v>68.971234999999695</v>
      </c>
      <c r="U90" s="141">
        <v>38.269487669999997</v>
      </c>
      <c r="V90" s="141">
        <v>38.269487669999997</v>
      </c>
      <c r="W90" t="s">
        <v>165</v>
      </c>
      <c r="X90" t="s">
        <v>160</v>
      </c>
      <c r="Y90" s="135">
        <v>12.74</v>
      </c>
      <c r="Z90" s="135">
        <v>-78.739999999999995</v>
      </c>
      <c r="AA90" t="s">
        <v>165</v>
      </c>
      <c r="AB90" t="s">
        <v>165</v>
      </c>
      <c r="AC90">
        <v>-2839</v>
      </c>
      <c r="AD90" t="s">
        <v>165</v>
      </c>
      <c r="AE90" t="s">
        <v>165</v>
      </c>
      <c r="AF90" t="s">
        <v>165</v>
      </c>
      <c r="AG90">
        <v>1160.73</v>
      </c>
      <c r="AH90" t="s">
        <v>163</v>
      </c>
      <c r="AI90">
        <v>2</v>
      </c>
      <c r="AJ90">
        <v>2</v>
      </c>
      <c r="AK90" t="s">
        <v>165</v>
      </c>
      <c r="AL90" t="s">
        <v>164</v>
      </c>
      <c r="AM90" t="s">
        <v>165</v>
      </c>
      <c r="AN90" t="s">
        <v>165</v>
      </c>
      <c r="AO90" t="s">
        <v>165</v>
      </c>
      <c r="AP90" t="s">
        <v>165</v>
      </c>
      <c r="AQ90" t="s">
        <v>165</v>
      </c>
      <c r="AR90" t="s">
        <v>165</v>
      </c>
      <c r="AS90" t="s">
        <v>165</v>
      </c>
      <c r="AT90" t="s">
        <v>165</v>
      </c>
      <c r="AU90" t="s">
        <v>166</v>
      </c>
      <c r="AV90" t="s">
        <v>167</v>
      </c>
      <c r="AW90" t="s">
        <v>168</v>
      </c>
      <c r="AX90" s="154">
        <v>2</v>
      </c>
      <c r="AY90" t="s">
        <v>169</v>
      </c>
      <c r="AZ90" t="s">
        <v>170</v>
      </c>
      <c r="BA90" t="s">
        <v>171</v>
      </c>
      <c r="BB90" t="s">
        <v>165</v>
      </c>
      <c r="BC90" s="154">
        <v>2</v>
      </c>
      <c r="BD90" s="133" t="s">
        <v>165</v>
      </c>
      <c r="BE90" s="146">
        <v>19.98</v>
      </c>
      <c r="BF90" t="s">
        <v>172</v>
      </c>
      <c r="BG90" s="146">
        <v>0.21643417200000001</v>
      </c>
      <c r="BH90">
        <v>0.64</v>
      </c>
      <c r="BI90" t="s">
        <v>173</v>
      </c>
      <c r="BJ90">
        <v>3.4000000000000002E-2</v>
      </c>
      <c r="BK90">
        <v>9.1</v>
      </c>
      <c r="BL90" t="s">
        <v>163</v>
      </c>
      <c r="BM90">
        <v>0.56000000000000005</v>
      </c>
      <c r="BN90" t="s">
        <v>174</v>
      </c>
      <c r="BO90" t="s">
        <v>175</v>
      </c>
      <c r="BP90" s="155">
        <f t="shared" si="21"/>
        <v>18.516666666666669</v>
      </c>
      <c r="BQ90" s="133" t="s">
        <v>183</v>
      </c>
      <c r="BR90" s="133" t="s">
        <v>165</v>
      </c>
      <c r="BS90" s="133" t="s">
        <v>165</v>
      </c>
      <c r="BT90" t="s">
        <v>176</v>
      </c>
      <c r="BU90" s="133">
        <v>10</v>
      </c>
      <c r="BV90" s="133" t="s">
        <v>198</v>
      </c>
      <c r="BW90" s="133" t="s">
        <v>165</v>
      </c>
      <c r="BX90" s="145">
        <v>23.843971790000001</v>
      </c>
      <c r="BY90" t="s">
        <v>163</v>
      </c>
      <c r="BZ90">
        <v>3</v>
      </c>
      <c r="CA90">
        <v>3</v>
      </c>
      <c r="CB90" t="s">
        <v>165</v>
      </c>
      <c r="CC90" s="146">
        <v>3.2156274578758648</v>
      </c>
      <c r="CD90" t="s">
        <v>180</v>
      </c>
      <c r="CE90" s="146">
        <f t="shared" si="13"/>
        <v>0.1286250983150346</v>
      </c>
      <c r="CF90" s="146">
        <v>0.1286250983150346</v>
      </c>
      <c r="CG90" s="156" t="s">
        <v>165</v>
      </c>
      <c r="CH90" t="s">
        <v>207</v>
      </c>
      <c r="CI90" t="s">
        <v>165</v>
      </c>
      <c r="CJ90" t="s">
        <v>178</v>
      </c>
      <c r="CK90" t="s">
        <v>181</v>
      </c>
      <c r="CL90" t="s">
        <v>181</v>
      </c>
      <c r="CM90" t="s">
        <v>181</v>
      </c>
      <c r="CN90" t="s">
        <v>165</v>
      </c>
      <c r="CO90" t="s">
        <v>165</v>
      </c>
      <c r="CP90" t="s">
        <v>165</v>
      </c>
      <c r="CQ90" t="s">
        <v>165</v>
      </c>
      <c r="CR90" t="s">
        <v>165</v>
      </c>
      <c r="CS90" t="s">
        <v>165</v>
      </c>
      <c r="CT90" t="s">
        <v>165</v>
      </c>
      <c r="CU90">
        <v>35</v>
      </c>
      <c r="CV90" t="s">
        <v>183</v>
      </c>
      <c r="CW90" s="154">
        <v>3</v>
      </c>
      <c r="CX90" s="133" t="s">
        <v>199</v>
      </c>
      <c r="CY90" s="133" t="s">
        <v>165</v>
      </c>
      <c r="CZ90" s="133" t="s">
        <v>165</v>
      </c>
      <c r="DA90" s="133" t="s">
        <v>165</v>
      </c>
      <c r="DB90" s="133" t="s">
        <v>165</v>
      </c>
      <c r="DC90" s="133" t="s">
        <v>165</v>
      </c>
      <c r="DD90" s="133" t="s">
        <v>165</v>
      </c>
      <c r="DE90" s="133" t="s">
        <v>165</v>
      </c>
      <c r="DF90" s="133" t="s">
        <v>165</v>
      </c>
      <c r="DG90" s="133" t="s">
        <v>165</v>
      </c>
      <c r="DH90" s="133" t="s">
        <v>165</v>
      </c>
      <c r="DI90" s="133" t="s">
        <v>165</v>
      </c>
      <c r="DJ90" s="133" t="s">
        <v>165</v>
      </c>
      <c r="DK90" s="145">
        <v>432.56244218316402</v>
      </c>
      <c r="DL90" t="s">
        <v>204</v>
      </c>
      <c r="DM90">
        <v>37.1</v>
      </c>
      <c r="DN90" t="s">
        <v>205</v>
      </c>
      <c r="DO90">
        <v>39.61</v>
      </c>
      <c r="DP90" t="s">
        <v>183</v>
      </c>
      <c r="DQ90" s="146">
        <f t="shared" si="14"/>
        <v>0.21607300000000002</v>
      </c>
      <c r="DR90" t="s">
        <v>184</v>
      </c>
      <c r="DS90" t="s">
        <v>200</v>
      </c>
      <c r="DT90" t="s">
        <v>201</v>
      </c>
      <c r="DU90">
        <v>1.0271999999999999</v>
      </c>
      <c r="DV90" t="s">
        <v>165</v>
      </c>
      <c r="DW90" t="s">
        <v>165</v>
      </c>
      <c r="DX90" t="s">
        <v>197</v>
      </c>
      <c r="DY90" t="s">
        <v>181</v>
      </c>
      <c r="DZ90" t="s">
        <v>181</v>
      </c>
      <c r="EA90" t="s">
        <v>202</v>
      </c>
      <c r="EB90" t="s">
        <v>203</v>
      </c>
      <c r="EC90" s="147" t="s">
        <v>206</v>
      </c>
      <c r="ED90" s="147" t="s">
        <v>206</v>
      </c>
      <c r="EE90" s="133" t="s">
        <v>165</v>
      </c>
      <c r="EF90" s="133" t="s">
        <v>165</v>
      </c>
      <c r="EG90" s="133" t="s">
        <v>165</v>
      </c>
      <c r="EH90" t="s">
        <v>185</v>
      </c>
      <c r="EI90" t="s">
        <v>179</v>
      </c>
      <c r="EJ90" t="s">
        <v>165</v>
      </c>
      <c r="EK90">
        <v>2417</v>
      </c>
      <c r="EL90" s="147" t="s">
        <v>211</v>
      </c>
      <c r="EM90" s="147">
        <v>175</v>
      </c>
      <c r="EN90">
        <v>175</v>
      </c>
      <c r="EO90" t="s">
        <v>165</v>
      </c>
      <c r="EP90" t="s">
        <v>165</v>
      </c>
      <c r="EQ90" t="s">
        <v>165</v>
      </c>
      <c r="ER90" t="s">
        <v>165</v>
      </c>
      <c r="ES90" s="148">
        <v>8.1087633042367404</v>
      </c>
      <c r="ET90" t="s">
        <v>187</v>
      </c>
      <c r="EU90" s="133" t="s">
        <v>165</v>
      </c>
      <c r="EV90" s="133" t="s">
        <v>165</v>
      </c>
      <c r="EW90" s="149">
        <v>332.41142660000003</v>
      </c>
      <c r="EX90">
        <v>21</v>
      </c>
      <c r="EY90" t="s">
        <v>186</v>
      </c>
      <c r="EZ90" s="150">
        <v>311.41142660000003</v>
      </c>
      <c r="FA90" s="151">
        <v>45.691829283649952</v>
      </c>
      <c r="FB90" s="151">
        <v>42.345422190779004</v>
      </c>
      <c r="FC90" t="s">
        <v>176</v>
      </c>
      <c r="FD90" t="s">
        <v>188</v>
      </c>
      <c r="FE90" t="s">
        <v>165</v>
      </c>
      <c r="FF90" t="s">
        <v>165</v>
      </c>
      <c r="FG90" t="s">
        <v>165</v>
      </c>
      <c r="FH90" t="s">
        <v>165</v>
      </c>
      <c r="FI90" t="s">
        <v>165</v>
      </c>
      <c r="FJ90" t="s">
        <v>165</v>
      </c>
      <c r="FK90" t="s">
        <v>165</v>
      </c>
      <c r="FL90" t="s">
        <v>165</v>
      </c>
      <c r="FM90" t="s">
        <v>165</v>
      </c>
      <c r="FN90" t="s">
        <v>165</v>
      </c>
      <c r="FO90" t="s">
        <v>165</v>
      </c>
      <c r="FP90" t="s">
        <v>165</v>
      </c>
    </row>
    <row r="91" spans="1:172">
      <c r="A91" s="131" t="s">
        <v>154</v>
      </c>
      <c r="B91" t="s">
        <v>155</v>
      </c>
      <c r="C91">
        <v>2017</v>
      </c>
      <c r="D91" s="132" t="s">
        <v>156</v>
      </c>
      <c r="E91" s="145">
        <f t="shared" si="15"/>
        <v>1162.8499999999999</v>
      </c>
      <c r="F91">
        <f t="shared" si="16"/>
        <v>2</v>
      </c>
      <c r="G91">
        <f t="shared" si="17"/>
        <v>2</v>
      </c>
      <c r="H91" s="149">
        <f t="shared" si="18"/>
        <v>273.66994490000002</v>
      </c>
      <c r="I91" s="149">
        <f t="shared" si="19"/>
        <v>39.539264790007962</v>
      </c>
      <c r="J91" s="149">
        <f t="shared" si="20"/>
        <v>37.399312833493013</v>
      </c>
      <c r="K91" t="s">
        <v>209</v>
      </c>
      <c r="L91" s="132" t="s">
        <v>210</v>
      </c>
      <c r="M91" s="1" t="s">
        <v>157</v>
      </c>
      <c r="N91" s="132" t="s">
        <v>156</v>
      </c>
      <c r="O91" t="s">
        <v>158</v>
      </c>
      <c r="P91" s="139" t="s">
        <v>162</v>
      </c>
      <c r="Q91" s="139">
        <v>5</v>
      </c>
      <c r="R91" s="139">
        <v>2</v>
      </c>
      <c r="S91" s="140">
        <v>73</v>
      </c>
      <c r="T91" s="140">
        <f t="shared" si="12"/>
        <v>75</v>
      </c>
      <c r="U91" s="141">
        <v>38.33</v>
      </c>
      <c r="V91" s="141">
        <v>38.33</v>
      </c>
      <c r="W91" t="s">
        <v>165</v>
      </c>
      <c r="X91" t="s">
        <v>160</v>
      </c>
      <c r="Y91" s="135">
        <v>12.74</v>
      </c>
      <c r="Z91" s="135">
        <v>-78.739999999999995</v>
      </c>
      <c r="AA91" t="s">
        <v>165</v>
      </c>
      <c r="AB91" t="s">
        <v>165</v>
      </c>
      <c r="AC91">
        <v>-2839</v>
      </c>
      <c r="AD91" t="s">
        <v>165</v>
      </c>
      <c r="AE91" t="s">
        <v>165</v>
      </c>
      <c r="AF91" t="s">
        <v>165</v>
      </c>
      <c r="AG91">
        <v>1162.8499999999999</v>
      </c>
      <c r="AH91" t="s">
        <v>163</v>
      </c>
      <c r="AI91">
        <v>2</v>
      </c>
      <c r="AJ91">
        <v>2</v>
      </c>
      <c r="AK91" t="s">
        <v>165</v>
      </c>
      <c r="AL91" t="s">
        <v>164</v>
      </c>
      <c r="AM91" t="s">
        <v>165</v>
      </c>
      <c r="AN91" t="s">
        <v>165</v>
      </c>
      <c r="AO91" t="s">
        <v>165</v>
      </c>
      <c r="AP91" t="s">
        <v>165</v>
      </c>
      <c r="AQ91" t="s">
        <v>165</v>
      </c>
      <c r="AR91" t="s">
        <v>165</v>
      </c>
      <c r="AS91" t="s">
        <v>165</v>
      </c>
      <c r="AT91" t="s">
        <v>165</v>
      </c>
      <c r="AU91" t="s">
        <v>166</v>
      </c>
      <c r="AV91" t="s">
        <v>167</v>
      </c>
      <c r="AW91" t="s">
        <v>168</v>
      </c>
      <c r="AX91" s="154">
        <v>2</v>
      </c>
      <c r="AY91" t="s">
        <v>169</v>
      </c>
      <c r="AZ91" t="s">
        <v>170</v>
      </c>
      <c r="BA91" t="s">
        <v>171</v>
      </c>
      <c r="BB91" t="s">
        <v>165</v>
      </c>
      <c r="BC91" s="154">
        <v>2</v>
      </c>
      <c r="BD91" s="133" t="s">
        <v>165</v>
      </c>
      <c r="BE91" s="146">
        <v>20.37160853</v>
      </c>
      <c r="BF91" t="s">
        <v>172</v>
      </c>
      <c r="BG91" s="146">
        <v>0.19426560200000001</v>
      </c>
      <c r="BH91">
        <v>0.64</v>
      </c>
      <c r="BI91" t="s">
        <v>173</v>
      </c>
      <c r="BJ91">
        <v>3.4000000000000002E-2</v>
      </c>
      <c r="BK91">
        <v>9.1</v>
      </c>
      <c r="BL91" t="s">
        <v>163</v>
      </c>
      <c r="BM91">
        <v>0.56000000000000005</v>
      </c>
      <c r="BN91" t="s">
        <v>174</v>
      </c>
      <c r="BO91" t="s">
        <v>175</v>
      </c>
      <c r="BP91" s="155">
        <f t="shared" si="21"/>
        <v>19.169347550000001</v>
      </c>
      <c r="BQ91" s="133" t="s">
        <v>183</v>
      </c>
      <c r="BR91" s="133" t="s">
        <v>165</v>
      </c>
      <c r="BS91" s="133" t="s">
        <v>165</v>
      </c>
      <c r="BT91" t="s">
        <v>176</v>
      </c>
      <c r="BU91" s="133">
        <v>10</v>
      </c>
      <c r="BV91" s="133" t="s">
        <v>198</v>
      </c>
      <c r="BW91" s="133" t="s">
        <v>165</v>
      </c>
      <c r="BX91" s="145">
        <v>25.252022969999999</v>
      </c>
      <c r="BY91" t="s">
        <v>163</v>
      </c>
      <c r="BZ91">
        <v>3</v>
      </c>
      <c r="CA91">
        <v>3</v>
      </c>
      <c r="CB91" t="s">
        <v>165</v>
      </c>
      <c r="CC91" s="146">
        <v>3.6453845905833457</v>
      </c>
      <c r="CD91" t="s">
        <v>180</v>
      </c>
      <c r="CE91" s="146">
        <f t="shared" si="13"/>
        <v>0.14581538362333382</v>
      </c>
      <c r="CF91" s="146">
        <v>0.14581538362333382</v>
      </c>
      <c r="CG91" s="156" t="s">
        <v>165</v>
      </c>
      <c r="CH91" t="s">
        <v>207</v>
      </c>
      <c r="CI91" t="s">
        <v>165</v>
      </c>
      <c r="CJ91" t="s">
        <v>178</v>
      </c>
      <c r="CK91" t="s">
        <v>181</v>
      </c>
      <c r="CL91" t="s">
        <v>181</v>
      </c>
      <c r="CM91" t="s">
        <v>181</v>
      </c>
      <c r="CN91" t="s">
        <v>165</v>
      </c>
      <c r="CO91" t="s">
        <v>165</v>
      </c>
      <c r="CP91" t="s">
        <v>165</v>
      </c>
      <c r="CQ91" t="s">
        <v>165</v>
      </c>
      <c r="CR91" t="s">
        <v>165</v>
      </c>
      <c r="CS91" t="s">
        <v>165</v>
      </c>
      <c r="CT91" t="s">
        <v>165</v>
      </c>
      <c r="CU91">
        <v>35</v>
      </c>
      <c r="CV91" t="s">
        <v>183</v>
      </c>
      <c r="CW91" s="154">
        <v>3</v>
      </c>
      <c r="CX91" s="133" t="s">
        <v>199</v>
      </c>
      <c r="CY91" s="133" t="s">
        <v>165</v>
      </c>
      <c r="CZ91" s="133" t="s">
        <v>165</v>
      </c>
      <c r="DA91" s="133" t="s">
        <v>165</v>
      </c>
      <c r="DB91" s="133" t="s">
        <v>165</v>
      </c>
      <c r="DC91" s="133" t="s">
        <v>165</v>
      </c>
      <c r="DD91" s="133" t="s">
        <v>165</v>
      </c>
      <c r="DE91" s="133" t="s">
        <v>165</v>
      </c>
      <c r="DF91" s="133" t="s">
        <v>165</v>
      </c>
      <c r="DG91" s="133" t="s">
        <v>165</v>
      </c>
      <c r="DH91" s="133" t="s">
        <v>165</v>
      </c>
      <c r="DI91" s="133" t="s">
        <v>165</v>
      </c>
      <c r="DJ91" s="133" t="s">
        <v>165</v>
      </c>
      <c r="DK91" s="145">
        <v>432.56244218316402</v>
      </c>
      <c r="DL91" t="s">
        <v>204</v>
      </c>
      <c r="DM91">
        <v>37.1</v>
      </c>
      <c r="DN91" t="s">
        <v>205</v>
      </c>
      <c r="DO91">
        <v>39.61</v>
      </c>
      <c r="DP91" t="s">
        <v>183</v>
      </c>
      <c r="DQ91" s="146">
        <f t="shared" si="14"/>
        <v>0.21628500000000001</v>
      </c>
      <c r="DR91" t="s">
        <v>184</v>
      </c>
      <c r="DS91" t="s">
        <v>200</v>
      </c>
      <c r="DT91" t="s">
        <v>201</v>
      </c>
      <c r="DU91">
        <v>1.0271999999999999</v>
      </c>
      <c r="DV91" t="s">
        <v>165</v>
      </c>
      <c r="DW91" t="s">
        <v>165</v>
      </c>
      <c r="DX91" t="s">
        <v>197</v>
      </c>
      <c r="DY91" t="s">
        <v>181</v>
      </c>
      <c r="DZ91" t="s">
        <v>181</v>
      </c>
      <c r="EA91" t="s">
        <v>202</v>
      </c>
      <c r="EB91" t="s">
        <v>203</v>
      </c>
      <c r="EC91" s="147" t="s">
        <v>206</v>
      </c>
      <c r="ED91" s="147" t="s">
        <v>206</v>
      </c>
      <c r="EE91" s="133" t="s">
        <v>165</v>
      </c>
      <c r="EF91" s="133" t="s">
        <v>165</v>
      </c>
      <c r="EG91" s="133" t="s">
        <v>165</v>
      </c>
      <c r="EH91" t="s">
        <v>185</v>
      </c>
      <c r="EI91" t="s">
        <v>179</v>
      </c>
      <c r="EJ91" t="s">
        <v>165</v>
      </c>
      <c r="EK91">
        <v>2418</v>
      </c>
      <c r="EL91" s="147" t="s">
        <v>211</v>
      </c>
      <c r="EM91" s="147">
        <v>175</v>
      </c>
      <c r="EN91">
        <v>175</v>
      </c>
      <c r="EO91" t="s">
        <v>165</v>
      </c>
      <c r="EP91" t="s">
        <v>165</v>
      </c>
      <c r="EQ91" t="s">
        <v>165</v>
      </c>
      <c r="ER91" t="s">
        <v>165</v>
      </c>
      <c r="ES91" s="148">
        <v>8.1487911267720499</v>
      </c>
      <c r="ET91" t="s">
        <v>187</v>
      </c>
      <c r="EU91" s="133" t="s">
        <v>165</v>
      </c>
      <c r="EV91" s="133" t="s">
        <v>165</v>
      </c>
      <c r="EW91" s="149">
        <v>294.66994490000002</v>
      </c>
      <c r="EX91">
        <v>21</v>
      </c>
      <c r="EY91" t="s">
        <v>186</v>
      </c>
      <c r="EZ91" s="150">
        <v>273.66994490000002</v>
      </c>
      <c r="FA91" s="151">
        <v>39.539264790007962</v>
      </c>
      <c r="FB91" s="151">
        <v>37.399312833493013</v>
      </c>
      <c r="FC91" t="s">
        <v>176</v>
      </c>
      <c r="FD91" t="s">
        <v>188</v>
      </c>
      <c r="FE91" t="s">
        <v>165</v>
      </c>
      <c r="FF91" t="s">
        <v>165</v>
      </c>
      <c r="FG91" t="s">
        <v>165</v>
      </c>
      <c r="FH91" t="s">
        <v>165</v>
      </c>
      <c r="FI91" t="s">
        <v>165</v>
      </c>
      <c r="FJ91" t="s">
        <v>165</v>
      </c>
      <c r="FK91" t="s">
        <v>165</v>
      </c>
      <c r="FL91" t="s">
        <v>165</v>
      </c>
      <c r="FM91" t="s">
        <v>165</v>
      </c>
      <c r="FN91" t="s">
        <v>165</v>
      </c>
      <c r="FO91" t="s">
        <v>165</v>
      </c>
      <c r="FP91" t="s">
        <v>165</v>
      </c>
    </row>
    <row r="92" spans="1:172">
      <c r="A92" s="131" t="s">
        <v>154</v>
      </c>
      <c r="B92" t="s">
        <v>155</v>
      </c>
      <c r="C92">
        <v>2017</v>
      </c>
      <c r="D92" s="132" t="s">
        <v>156</v>
      </c>
      <c r="E92" s="145">
        <f t="shared" si="15"/>
        <v>1169.8599999999999</v>
      </c>
      <c r="F92">
        <f t="shared" si="16"/>
        <v>2</v>
      </c>
      <c r="G92">
        <f t="shared" si="17"/>
        <v>2</v>
      </c>
      <c r="H92" s="149">
        <f t="shared" si="18"/>
        <v>283.11378259999998</v>
      </c>
      <c r="I92" s="149">
        <f t="shared" si="19"/>
        <v>40.48591622164804</v>
      </c>
      <c r="J92" s="149">
        <f t="shared" si="20"/>
        <v>37.343431608319975</v>
      </c>
      <c r="K92" t="s">
        <v>209</v>
      </c>
      <c r="L92" s="132" t="s">
        <v>210</v>
      </c>
      <c r="M92" s="1" t="s">
        <v>157</v>
      </c>
      <c r="N92" s="132" t="s">
        <v>156</v>
      </c>
      <c r="O92" t="s">
        <v>158</v>
      </c>
      <c r="P92" s="139" t="s">
        <v>162</v>
      </c>
      <c r="Q92" s="139">
        <v>5</v>
      </c>
      <c r="R92" s="139">
        <v>2</v>
      </c>
      <c r="S92" s="140">
        <v>93</v>
      </c>
      <c r="T92" s="140">
        <f t="shared" si="12"/>
        <v>95</v>
      </c>
      <c r="U92" s="141">
        <v>38.53</v>
      </c>
      <c r="V92" s="141">
        <v>38.53</v>
      </c>
      <c r="W92" t="s">
        <v>165</v>
      </c>
      <c r="X92" t="s">
        <v>160</v>
      </c>
      <c r="Y92" s="135">
        <v>12.74</v>
      </c>
      <c r="Z92" s="135">
        <v>-78.739999999999995</v>
      </c>
      <c r="AA92" t="s">
        <v>165</v>
      </c>
      <c r="AB92" t="s">
        <v>165</v>
      </c>
      <c r="AC92">
        <v>-2839</v>
      </c>
      <c r="AD92" t="s">
        <v>165</v>
      </c>
      <c r="AE92" t="s">
        <v>165</v>
      </c>
      <c r="AF92" t="s">
        <v>165</v>
      </c>
      <c r="AG92">
        <v>1169.8599999999999</v>
      </c>
      <c r="AH92" t="s">
        <v>163</v>
      </c>
      <c r="AI92">
        <v>2</v>
      </c>
      <c r="AJ92">
        <v>2</v>
      </c>
      <c r="AK92" t="s">
        <v>165</v>
      </c>
      <c r="AL92" t="s">
        <v>164</v>
      </c>
      <c r="AM92" t="s">
        <v>165</v>
      </c>
      <c r="AN92" t="s">
        <v>165</v>
      </c>
      <c r="AO92" t="s">
        <v>165</v>
      </c>
      <c r="AP92" t="s">
        <v>165</v>
      </c>
      <c r="AQ92" t="s">
        <v>165</v>
      </c>
      <c r="AR92" t="s">
        <v>165</v>
      </c>
      <c r="AS92" t="s">
        <v>165</v>
      </c>
      <c r="AT92" t="s">
        <v>165</v>
      </c>
      <c r="AU92" t="s">
        <v>166</v>
      </c>
      <c r="AV92" t="s">
        <v>167</v>
      </c>
      <c r="AW92" t="s">
        <v>168</v>
      </c>
      <c r="AX92" s="154">
        <v>2</v>
      </c>
      <c r="AY92" t="s">
        <v>169</v>
      </c>
      <c r="AZ92" t="s">
        <v>170</v>
      </c>
      <c r="BA92" t="s">
        <v>171</v>
      </c>
      <c r="BB92" t="s">
        <v>165</v>
      </c>
      <c r="BC92" s="154">
        <v>2</v>
      </c>
      <c r="BD92" s="133" t="s">
        <v>165</v>
      </c>
      <c r="BE92" s="146">
        <v>20.291287440000001</v>
      </c>
      <c r="BF92" t="s">
        <v>172</v>
      </c>
      <c r="BG92" s="146">
        <v>0.15786813</v>
      </c>
      <c r="BH92">
        <v>0.64</v>
      </c>
      <c r="BI92" t="s">
        <v>173</v>
      </c>
      <c r="BJ92">
        <v>3.4000000000000002E-2</v>
      </c>
      <c r="BK92">
        <v>9.1</v>
      </c>
      <c r="BL92" t="s">
        <v>163</v>
      </c>
      <c r="BM92">
        <v>0.56000000000000005</v>
      </c>
      <c r="BN92" t="s">
        <v>174</v>
      </c>
      <c r="BO92" t="s">
        <v>175</v>
      </c>
      <c r="BP92" s="155">
        <f t="shared" si="21"/>
        <v>19.035479066666671</v>
      </c>
      <c r="BQ92" s="133" t="s">
        <v>183</v>
      </c>
      <c r="BR92" s="133" t="s">
        <v>165</v>
      </c>
      <c r="BS92" s="133" t="s">
        <v>165</v>
      </c>
      <c r="BT92" t="s">
        <v>176</v>
      </c>
      <c r="BU92" s="133">
        <v>10</v>
      </c>
      <c r="BV92" s="133" t="s">
        <v>198</v>
      </c>
      <c r="BW92" s="133" t="s">
        <v>165</v>
      </c>
      <c r="BX92" s="145">
        <v>25.169538159999998</v>
      </c>
      <c r="BY92" t="s">
        <v>163</v>
      </c>
      <c r="BZ92">
        <v>3</v>
      </c>
      <c r="CA92">
        <v>3</v>
      </c>
      <c r="CB92" t="s">
        <v>165</v>
      </c>
      <c r="CC92" s="146">
        <v>3.6044102645215927</v>
      </c>
      <c r="CD92" t="s">
        <v>180</v>
      </c>
      <c r="CE92" s="146">
        <f t="shared" si="13"/>
        <v>0.14417641058086372</v>
      </c>
      <c r="CF92" s="146">
        <v>0.14417641058086372</v>
      </c>
      <c r="CG92" s="156" t="s">
        <v>165</v>
      </c>
      <c r="CH92" t="s">
        <v>207</v>
      </c>
      <c r="CI92" t="s">
        <v>165</v>
      </c>
      <c r="CJ92" t="s">
        <v>178</v>
      </c>
      <c r="CK92" t="s">
        <v>181</v>
      </c>
      <c r="CL92" t="s">
        <v>181</v>
      </c>
      <c r="CM92" t="s">
        <v>181</v>
      </c>
      <c r="CN92" t="s">
        <v>165</v>
      </c>
      <c r="CO92" t="s">
        <v>165</v>
      </c>
      <c r="CP92" t="s">
        <v>165</v>
      </c>
      <c r="CQ92" t="s">
        <v>165</v>
      </c>
      <c r="CR92" t="s">
        <v>165</v>
      </c>
      <c r="CS92" t="s">
        <v>165</v>
      </c>
      <c r="CT92" t="s">
        <v>165</v>
      </c>
      <c r="CU92">
        <v>35</v>
      </c>
      <c r="CV92" t="s">
        <v>183</v>
      </c>
      <c r="CW92" s="154">
        <v>3</v>
      </c>
      <c r="CX92" s="133" t="s">
        <v>199</v>
      </c>
      <c r="CY92" s="133" t="s">
        <v>165</v>
      </c>
      <c r="CZ92" s="133" t="s">
        <v>165</v>
      </c>
      <c r="DA92" s="133" t="s">
        <v>165</v>
      </c>
      <c r="DB92" s="133" t="s">
        <v>165</v>
      </c>
      <c r="DC92" s="133" t="s">
        <v>165</v>
      </c>
      <c r="DD92" s="133" t="s">
        <v>165</v>
      </c>
      <c r="DE92" s="133" t="s">
        <v>165</v>
      </c>
      <c r="DF92" s="133" t="s">
        <v>165</v>
      </c>
      <c r="DG92" s="133" t="s">
        <v>165</v>
      </c>
      <c r="DH92" s="133" t="s">
        <v>165</v>
      </c>
      <c r="DI92" s="133" t="s">
        <v>165</v>
      </c>
      <c r="DJ92" s="133" t="s">
        <v>165</v>
      </c>
      <c r="DK92" s="145">
        <v>432.56244218316402</v>
      </c>
      <c r="DL92" t="s">
        <v>204</v>
      </c>
      <c r="DM92">
        <v>37.1</v>
      </c>
      <c r="DN92" t="s">
        <v>205</v>
      </c>
      <c r="DO92">
        <v>39.61</v>
      </c>
      <c r="DP92" t="s">
        <v>183</v>
      </c>
      <c r="DQ92" s="146">
        <f t="shared" si="14"/>
        <v>0.21698600000000001</v>
      </c>
      <c r="DR92" t="s">
        <v>184</v>
      </c>
      <c r="DS92" t="s">
        <v>200</v>
      </c>
      <c r="DT92" t="s">
        <v>201</v>
      </c>
      <c r="DU92">
        <v>1.0271999999999999</v>
      </c>
      <c r="DV92" t="s">
        <v>165</v>
      </c>
      <c r="DW92" t="s">
        <v>165</v>
      </c>
      <c r="DX92" t="s">
        <v>197</v>
      </c>
      <c r="DY92" t="s">
        <v>181</v>
      </c>
      <c r="DZ92" t="s">
        <v>181</v>
      </c>
      <c r="EA92" t="s">
        <v>202</v>
      </c>
      <c r="EB92" t="s">
        <v>203</v>
      </c>
      <c r="EC92" s="147" t="s">
        <v>206</v>
      </c>
      <c r="ED92" s="147" t="s">
        <v>206</v>
      </c>
      <c r="EE92" s="133" t="s">
        <v>165</v>
      </c>
      <c r="EF92" s="133" t="s">
        <v>165</v>
      </c>
      <c r="EG92" s="133" t="s">
        <v>165</v>
      </c>
      <c r="EH92" t="s">
        <v>185</v>
      </c>
      <c r="EI92" t="s">
        <v>179</v>
      </c>
      <c r="EJ92" t="s">
        <v>165</v>
      </c>
      <c r="EK92">
        <v>2419</v>
      </c>
      <c r="EL92" s="147" t="s">
        <v>211</v>
      </c>
      <c r="EM92" s="147">
        <v>175</v>
      </c>
      <c r="EN92">
        <v>175</v>
      </c>
      <c r="EO92" t="s">
        <v>165</v>
      </c>
      <c r="EP92" t="s">
        <v>165</v>
      </c>
      <c r="EQ92" t="s">
        <v>165</v>
      </c>
      <c r="ER92" t="s">
        <v>165</v>
      </c>
      <c r="ES92" s="148">
        <v>8.1383238498249995</v>
      </c>
      <c r="ET92" t="s">
        <v>187</v>
      </c>
      <c r="EU92" s="133" t="s">
        <v>165</v>
      </c>
      <c r="EV92" s="133" t="s">
        <v>165</v>
      </c>
      <c r="EW92" s="149">
        <v>304.11378259999998</v>
      </c>
      <c r="EX92">
        <v>21</v>
      </c>
      <c r="EY92" t="s">
        <v>186</v>
      </c>
      <c r="EZ92" s="150">
        <v>283.11378259999998</v>
      </c>
      <c r="FA92" s="151">
        <v>40.48591622164804</v>
      </c>
      <c r="FB92" s="151">
        <v>37.343431608319975</v>
      </c>
      <c r="FC92" t="s">
        <v>176</v>
      </c>
      <c r="FD92" t="s">
        <v>188</v>
      </c>
      <c r="FE92" t="s">
        <v>165</v>
      </c>
      <c r="FF92" t="s">
        <v>165</v>
      </c>
      <c r="FG92" t="s">
        <v>165</v>
      </c>
      <c r="FH92" t="s">
        <v>165</v>
      </c>
      <c r="FI92" t="s">
        <v>165</v>
      </c>
      <c r="FJ92" t="s">
        <v>165</v>
      </c>
      <c r="FK92" t="s">
        <v>165</v>
      </c>
      <c r="FL92" t="s">
        <v>165</v>
      </c>
      <c r="FM92" t="s">
        <v>165</v>
      </c>
      <c r="FN92" t="s">
        <v>165</v>
      </c>
      <c r="FO92" t="s">
        <v>165</v>
      </c>
      <c r="FP92" t="s">
        <v>165</v>
      </c>
    </row>
    <row r="93" spans="1:172">
      <c r="A93" s="131" t="s">
        <v>154</v>
      </c>
      <c r="B93" t="s">
        <v>155</v>
      </c>
      <c r="C93">
        <v>2017</v>
      </c>
      <c r="D93" s="132" t="s">
        <v>156</v>
      </c>
      <c r="E93" s="145">
        <f t="shared" si="15"/>
        <v>1177.57</v>
      </c>
      <c r="F93">
        <f t="shared" si="16"/>
        <v>2</v>
      </c>
      <c r="G93">
        <f t="shared" si="17"/>
        <v>2</v>
      </c>
      <c r="H93" s="149">
        <f t="shared" si="18"/>
        <v>271.52357590000003</v>
      </c>
      <c r="I93" s="149">
        <f t="shared" si="19"/>
        <v>38.773854723268983</v>
      </c>
      <c r="J93" s="149">
        <f t="shared" si="20"/>
        <v>37.295947283120029</v>
      </c>
      <c r="K93" t="s">
        <v>209</v>
      </c>
      <c r="L93" s="132" t="s">
        <v>210</v>
      </c>
      <c r="M93" s="1" t="s">
        <v>157</v>
      </c>
      <c r="N93" s="132" t="s">
        <v>156</v>
      </c>
      <c r="O93" t="s">
        <v>158</v>
      </c>
      <c r="P93" s="139" t="s">
        <v>162</v>
      </c>
      <c r="Q93" s="139">
        <v>5</v>
      </c>
      <c r="R93" s="139">
        <v>2</v>
      </c>
      <c r="S93" s="140">
        <v>120.22590400000007</v>
      </c>
      <c r="T93" s="140">
        <f t="shared" si="12"/>
        <v>122.22590400000007</v>
      </c>
      <c r="U93" s="141">
        <v>38.80203436</v>
      </c>
      <c r="V93" s="141">
        <v>38.80203436</v>
      </c>
      <c r="W93" t="s">
        <v>165</v>
      </c>
      <c r="X93" t="s">
        <v>160</v>
      </c>
      <c r="Y93" s="135">
        <v>12.74</v>
      </c>
      <c r="Z93" s="135">
        <v>-78.739999999999995</v>
      </c>
      <c r="AA93" t="s">
        <v>165</v>
      </c>
      <c r="AB93" t="s">
        <v>165</v>
      </c>
      <c r="AC93">
        <v>-2839</v>
      </c>
      <c r="AD93" t="s">
        <v>165</v>
      </c>
      <c r="AE93" t="s">
        <v>165</v>
      </c>
      <c r="AF93" t="s">
        <v>165</v>
      </c>
      <c r="AG93">
        <v>1177.57</v>
      </c>
      <c r="AH93" t="s">
        <v>163</v>
      </c>
      <c r="AI93">
        <v>2</v>
      </c>
      <c r="AJ93">
        <v>2</v>
      </c>
      <c r="AK93" t="s">
        <v>165</v>
      </c>
      <c r="AL93" t="s">
        <v>164</v>
      </c>
      <c r="AM93" t="s">
        <v>165</v>
      </c>
      <c r="AN93" t="s">
        <v>165</v>
      </c>
      <c r="AO93" t="s">
        <v>165</v>
      </c>
      <c r="AP93" t="s">
        <v>165</v>
      </c>
      <c r="AQ93" t="s">
        <v>165</v>
      </c>
      <c r="AR93" t="s">
        <v>165</v>
      </c>
      <c r="AS93" t="s">
        <v>165</v>
      </c>
      <c r="AT93" t="s">
        <v>165</v>
      </c>
      <c r="AU93" t="s">
        <v>166</v>
      </c>
      <c r="AV93" t="s">
        <v>167</v>
      </c>
      <c r="AW93" t="s">
        <v>168</v>
      </c>
      <c r="AX93" s="154">
        <v>2</v>
      </c>
      <c r="AY93" t="s">
        <v>169</v>
      </c>
      <c r="AZ93" t="s">
        <v>170</v>
      </c>
      <c r="BA93" t="s">
        <v>171</v>
      </c>
      <c r="BB93" t="s">
        <v>165</v>
      </c>
      <c r="BC93" s="154">
        <v>2</v>
      </c>
      <c r="BD93" s="133" t="s">
        <v>165</v>
      </c>
      <c r="BE93" s="146">
        <v>20.364437330000001</v>
      </c>
      <c r="BF93" t="s">
        <v>172</v>
      </c>
      <c r="BG93" s="146">
        <v>0.17548992399999999</v>
      </c>
      <c r="BH93">
        <v>0.64</v>
      </c>
      <c r="BI93" t="s">
        <v>173</v>
      </c>
      <c r="BJ93">
        <v>3.4000000000000002E-2</v>
      </c>
      <c r="BK93">
        <v>9.1</v>
      </c>
      <c r="BL93" t="s">
        <v>163</v>
      </c>
      <c r="BM93">
        <v>0.56000000000000005</v>
      </c>
      <c r="BN93" t="s">
        <v>174</v>
      </c>
      <c r="BO93" t="s">
        <v>175</v>
      </c>
      <c r="BP93" s="155">
        <f t="shared" si="21"/>
        <v>19.157395550000004</v>
      </c>
      <c r="BQ93" s="133" t="s">
        <v>183</v>
      </c>
      <c r="BR93" s="133" t="s">
        <v>165</v>
      </c>
      <c r="BS93" s="133" t="s">
        <v>165</v>
      </c>
      <c r="BT93" t="s">
        <v>176</v>
      </c>
      <c r="BU93" s="133">
        <v>10</v>
      </c>
      <c r="BV93" s="133" t="s">
        <v>198</v>
      </c>
      <c r="BW93" s="133" t="s">
        <v>165</v>
      </c>
      <c r="BX93" s="145">
        <v>24.957658460000001</v>
      </c>
      <c r="BY93" t="s">
        <v>163</v>
      </c>
      <c r="BZ93">
        <v>3</v>
      </c>
      <c r="CA93">
        <v>3</v>
      </c>
      <c r="CB93" t="s">
        <v>165</v>
      </c>
      <c r="CC93" s="146">
        <v>3.5178773533677314</v>
      </c>
      <c r="CD93" t="s">
        <v>180</v>
      </c>
      <c r="CE93" s="146">
        <f t="shared" si="13"/>
        <v>0.14071509413470926</v>
      </c>
      <c r="CF93" s="146">
        <v>0.14071509413470926</v>
      </c>
      <c r="CG93" s="156" t="s">
        <v>165</v>
      </c>
      <c r="CH93" t="s">
        <v>207</v>
      </c>
      <c r="CI93" t="s">
        <v>165</v>
      </c>
      <c r="CJ93" t="s">
        <v>178</v>
      </c>
      <c r="CK93" t="s">
        <v>181</v>
      </c>
      <c r="CL93" t="s">
        <v>181</v>
      </c>
      <c r="CM93" t="s">
        <v>181</v>
      </c>
      <c r="CN93" t="s">
        <v>165</v>
      </c>
      <c r="CO93" t="s">
        <v>165</v>
      </c>
      <c r="CP93" t="s">
        <v>165</v>
      </c>
      <c r="CQ93" t="s">
        <v>165</v>
      </c>
      <c r="CR93" t="s">
        <v>165</v>
      </c>
      <c r="CS93" t="s">
        <v>165</v>
      </c>
      <c r="CT93" t="s">
        <v>165</v>
      </c>
      <c r="CU93">
        <v>35</v>
      </c>
      <c r="CV93" t="s">
        <v>183</v>
      </c>
      <c r="CW93" s="154">
        <v>3</v>
      </c>
      <c r="CX93" s="133" t="s">
        <v>199</v>
      </c>
      <c r="CY93" s="133" t="s">
        <v>165</v>
      </c>
      <c r="CZ93" s="133" t="s">
        <v>165</v>
      </c>
      <c r="DA93" s="133" t="s">
        <v>165</v>
      </c>
      <c r="DB93" s="133" t="s">
        <v>165</v>
      </c>
      <c r="DC93" s="133" t="s">
        <v>165</v>
      </c>
      <c r="DD93" s="133" t="s">
        <v>165</v>
      </c>
      <c r="DE93" s="133" t="s">
        <v>165</v>
      </c>
      <c r="DF93" s="133" t="s">
        <v>165</v>
      </c>
      <c r="DG93" s="133" t="s">
        <v>165</v>
      </c>
      <c r="DH93" s="133" t="s">
        <v>165</v>
      </c>
      <c r="DI93" s="133" t="s">
        <v>165</v>
      </c>
      <c r="DJ93" s="133" t="s">
        <v>165</v>
      </c>
      <c r="DK93" s="145">
        <v>432.56244218316402</v>
      </c>
      <c r="DL93" t="s">
        <v>204</v>
      </c>
      <c r="DM93">
        <v>37.1</v>
      </c>
      <c r="DN93" t="s">
        <v>205</v>
      </c>
      <c r="DO93">
        <v>39.61</v>
      </c>
      <c r="DP93" t="s">
        <v>183</v>
      </c>
      <c r="DQ93" s="146">
        <f t="shared" si="14"/>
        <v>0.21775700000000001</v>
      </c>
      <c r="DR93" t="s">
        <v>184</v>
      </c>
      <c r="DS93" t="s">
        <v>200</v>
      </c>
      <c r="DT93" t="s">
        <v>201</v>
      </c>
      <c r="DU93">
        <v>1.0271999999999999</v>
      </c>
      <c r="DV93" t="s">
        <v>165</v>
      </c>
      <c r="DW93" t="s">
        <v>165</v>
      </c>
      <c r="DX93" t="s">
        <v>197</v>
      </c>
      <c r="DY93" t="s">
        <v>181</v>
      </c>
      <c r="DZ93" t="s">
        <v>181</v>
      </c>
      <c r="EA93" t="s">
        <v>202</v>
      </c>
      <c r="EB93" t="s">
        <v>203</v>
      </c>
      <c r="EC93" s="147" t="s">
        <v>206</v>
      </c>
      <c r="ED93" s="147" t="s">
        <v>206</v>
      </c>
      <c r="EE93" s="133" t="s">
        <v>165</v>
      </c>
      <c r="EF93" s="133" t="s">
        <v>165</v>
      </c>
      <c r="EG93" s="133" t="s">
        <v>165</v>
      </c>
      <c r="EH93" t="s">
        <v>185</v>
      </c>
      <c r="EI93" t="s">
        <v>179</v>
      </c>
      <c r="EJ93" t="s">
        <v>165</v>
      </c>
      <c r="EK93">
        <v>2420</v>
      </c>
      <c r="EL93" s="147" t="s">
        <v>211</v>
      </c>
      <c r="EM93" s="147">
        <v>175</v>
      </c>
      <c r="EN93">
        <v>175</v>
      </c>
      <c r="EO93" t="s">
        <v>165</v>
      </c>
      <c r="EP93" t="s">
        <v>165</v>
      </c>
      <c r="EQ93" t="s">
        <v>165</v>
      </c>
      <c r="ER93" t="s">
        <v>165</v>
      </c>
      <c r="ES93" s="148">
        <v>8.1516001252830694</v>
      </c>
      <c r="ET93" t="s">
        <v>187</v>
      </c>
      <c r="EU93" s="133" t="s">
        <v>165</v>
      </c>
      <c r="EV93" s="133" t="s">
        <v>165</v>
      </c>
      <c r="EW93" s="149">
        <v>292.52357590000003</v>
      </c>
      <c r="EX93">
        <v>21</v>
      </c>
      <c r="EY93" t="s">
        <v>186</v>
      </c>
      <c r="EZ93" s="150">
        <v>271.52357590000003</v>
      </c>
      <c r="FA93" s="151">
        <v>38.773854723268983</v>
      </c>
      <c r="FB93" s="151">
        <v>37.295947283120029</v>
      </c>
      <c r="FC93" t="s">
        <v>176</v>
      </c>
      <c r="FD93" t="s">
        <v>188</v>
      </c>
      <c r="FE93" t="s">
        <v>165</v>
      </c>
      <c r="FF93" t="s">
        <v>165</v>
      </c>
      <c r="FG93" t="s">
        <v>165</v>
      </c>
      <c r="FH93" t="s">
        <v>165</v>
      </c>
      <c r="FI93" t="s">
        <v>165</v>
      </c>
      <c r="FJ93" t="s">
        <v>165</v>
      </c>
      <c r="FK93" t="s">
        <v>165</v>
      </c>
      <c r="FL93" t="s">
        <v>165</v>
      </c>
      <c r="FM93" t="s">
        <v>165</v>
      </c>
      <c r="FN93" t="s">
        <v>165</v>
      </c>
      <c r="FO93" t="s">
        <v>165</v>
      </c>
      <c r="FP93" t="s">
        <v>165</v>
      </c>
    </row>
    <row r="94" spans="1:172">
      <c r="A94" s="131" t="s">
        <v>154</v>
      </c>
      <c r="B94" t="s">
        <v>155</v>
      </c>
      <c r="C94">
        <v>2017</v>
      </c>
      <c r="D94" s="132" t="s">
        <v>156</v>
      </c>
      <c r="E94" s="145">
        <f t="shared" si="15"/>
        <v>1179.6600000000001</v>
      </c>
      <c r="F94">
        <f t="shared" si="16"/>
        <v>2</v>
      </c>
      <c r="G94">
        <f t="shared" si="17"/>
        <v>2</v>
      </c>
      <c r="H94" s="149">
        <f t="shared" si="18"/>
        <v>261.6177012</v>
      </c>
      <c r="I94" s="149">
        <f t="shared" si="19"/>
        <v>38.358902014012017</v>
      </c>
      <c r="J94" s="149">
        <f t="shared" si="20"/>
        <v>37.547298219332987</v>
      </c>
      <c r="K94" t="s">
        <v>209</v>
      </c>
      <c r="L94" s="132" t="s">
        <v>210</v>
      </c>
      <c r="M94" s="1" t="s">
        <v>157</v>
      </c>
      <c r="N94" s="132" t="s">
        <v>156</v>
      </c>
      <c r="O94" t="s">
        <v>158</v>
      </c>
      <c r="P94" s="139" t="s">
        <v>162</v>
      </c>
      <c r="Q94" s="139">
        <v>5</v>
      </c>
      <c r="R94" s="139">
        <v>2</v>
      </c>
      <c r="S94" s="140">
        <v>130.45642100000018</v>
      </c>
      <c r="T94" s="140">
        <f t="shared" si="12"/>
        <v>132.45642100000018</v>
      </c>
      <c r="U94" s="141">
        <v>38.904339530000001</v>
      </c>
      <c r="V94" s="141">
        <v>38.904339530000001</v>
      </c>
      <c r="W94" t="s">
        <v>165</v>
      </c>
      <c r="X94" t="s">
        <v>160</v>
      </c>
      <c r="Y94" s="135">
        <v>12.74</v>
      </c>
      <c r="Z94" s="135">
        <v>-78.739999999999995</v>
      </c>
      <c r="AA94" t="s">
        <v>165</v>
      </c>
      <c r="AB94" t="s">
        <v>165</v>
      </c>
      <c r="AC94">
        <v>-2839</v>
      </c>
      <c r="AD94" t="s">
        <v>165</v>
      </c>
      <c r="AE94" t="s">
        <v>165</v>
      </c>
      <c r="AF94" t="s">
        <v>165</v>
      </c>
      <c r="AG94">
        <v>1179.6600000000001</v>
      </c>
      <c r="AH94" t="s">
        <v>163</v>
      </c>
      <c r="AI94">
        <v>2</v>
      </c>
      <c r="AJ94">
        <v>2</v>
      </c>
      <c r="AK94" t="s">
        <v>165</v>
      </c>
      <c r="AL94" t="s">
        <v>164</v>
      </c>
      <c r="AM94" t="s">
        <v>165</v>
      </c>
      <c r="AN94" t="s">
        <v>165</v>
      </c>
      <c r="AO94" t="s">
        <v>165</v>
      </c>
      <c r="AP94" t="s">
        <v>165</v>
      </c>
      <c r="AQ94" t="s">
        <v>165</v>
      </c>
      <c r="AR94" t="s">
        <v>165</v>
      </c>
      <c r="AS94" t="s">
        <v>165</v>
      </c>
      <c r="AT94" t="s">
        <v>165</v>
      </c>
      <c r="AU94" t="s">
        <v>166</v>
      </c>
      <c r="AV94" t="s">
        <v>167</v>
      </c>
      <c r="AW94" t="s">
        <v>168</v>
      </c>
      <c r="AX94" s="154">
        <v>2</v>
      </c>
      <c r="AY94" t="s">
        <v>169</v>
      </c>
      <c r="AZ94" t="s">
        <v>170</v>
      </c>
      <c r="BA94" t="s">
        <v>171</v>
      </c>
      <c r="BB94" t="s">
        <v>165</v>
      </c>
      <c r="BC94" s="154">
        <v>2</v>
      </c>
      <c r="BD94" s="133" t="s">
        <v>165</v>
      </c>
      <c r="BE94" s="146">
        <v>20.497592919999999</v>
      </c>
      <c r="BF94" t="s">
        <v>172</v>
      </c>
      <c r="BG94" s="146">
        <v>0.19726300399999999</v>
      </c>
      <c r="BH94">
        <v>0.64</v>
      </c>
      <c r="BI94" t="s">
        <v>173</v>
      </c>
      <c r="BJ94">
        <v>3.4000000000000002E-2</v>
      </c>
      <c r="BK94">
        <v>9.1</v>
      </c>
      <c r="BL94" t="s">
        <v>163</v>
      </c>
      <c r="BM94">
        <v>0.56000000000000005</v>
      </c>
      <c r="BN94" t="s">
        <v>174</v>
      </c>
      <c r="BO94" t="s">
        <v>175</v>
      </c>
      <c r="BP94" s="155">
        <f t="shared" si="21"/>
        <v>19.379321533333332</v>
      </c>
      <c r="BQ94" s="133" t="s">
        <v>183</v>
      </c>
      <c r="BR94" s="133" t="s">
        <v>165</v>
      </c>
      <c r="BS94" s="133" t="s">
        <v>165</v>
      </c>
      <c r="BT94" t="s">
        <v>176</v>
      </c>
      <c r="BU94" s="133">
        <v>10</v>
      </c>
      <c r="BV94" s="133" t="s">
        <v>198</v>
      </c>
      <c r="BW94" s="133" t="s">
        <v>165</v>
      </c>
      <c r="BX94" s="145">
        <v>25.544653570000001</v>
      </c>
      <c r="BY94" t="s">
        <v>163</v>
      </c>
      <c r="BZ94">
        <v>3</v>
      </c>
      <c r="CA94">
        <v>3</v>
      </c>
      <c r="CB94" t="s">
        <v>165</v>
      </c>
      <c r="CC94" s="146">
        <v>3.7038360152177661</v>
      </c>
      <c r="CD94" t="s">
        <v>180</v>
      </c>
      <c r="CE94" s="146">
        <f t="shared" si="13"/>
        <v>0.14815344060871063</v>
      </c>
      <c r="CF94" s="146">
        <v>0.14815344060871063</v>
      </c>
      <c r="CG94" s="156" t="s">
        <v>165</v>
      </c>
      <c r="CH94" t="s">
        <v>207</v>
      </c>
      <c r="CI94" t="s">
        <v>165</v>
      </c>
      <c r="CJ94" t="s">
        <v>178</v>
      </c>
      <c r="CK94" t="s">
        <v>181</v>
      </c>
      <c r="CL94" t="s">
        <v>181</v>
      </c>
      <c r="CM94" t="s">
        <v>181</v>
      </c>
      <c r="CN94" t="s">
        <v>165</v>
      </c>
      <c r="CO94" t="s">
        <v>165</v>
      </c>
      <c r="CP94" t="s">
        <v>165</v>
      </c>
      <c r="CQ94" t="s">
        <v>165</v>
      </c>
      <c r="CR94" t="s">
        <v>165</v>
      </c>
      <c r="CS94" t="s">
        <v>165</v>
      </c>
      <c r="CT94" t="s">
        <v>165</v>
      </c>
      <c r="CU94">
        <v>35</v>
      </c>
      <c r="CV94" t="s">
        <v>183</v>
      </c>
      <c r="CW94" s="154">
        <v>3</v>
      </c>
      <c r="CX94" s="133" t="s">
        <v>199</v>
      </c>
      <c r="CY94" s="133" t="s">
        <v>165</v>
      </c>
      <c r="CZ94" s="133" t="s">
        <v>165</v>
      </c>
      <c r="DA94" s="133" t="s">
        <v>165</v>
      </c>
      <c r="DB94" s="133" t="s">
        <v>165</v>
      </c>
      <c r="DC94" s="133" t="s">
        <v>165</v>
      </c>
      <c r="DD94" s="133" t="s">
        <v>165</v>
      </c>
      <c r="DE94" s="133" t="s">
        <v>165</v>
      </c>
      <c r="DF94" s="133" t="s">
        <v>165</v>
      </c>
      <c r="DG94" s="133" t="s">
        <v>165</v>
      </c>
      <c r="DH94" s="133" t="s">
        <v>165</v>
      </c>
      <c r="DI94" s="133" t="s">
        <v>165</v>
      </c>
      <c r="DJ94" s="133" t="s">
        <v>165</v>
      </c>
      <c r="DK94" s="145">
        <v>432.56244218316402</v>
      </c>
      <c r="DL94" t="s">
        <v>204</v>
      </c>
      <c r="DM94">
        <v>37.1</v>
      </c>
      <c r="DN94" t="s">
        <v>205</v>
      </c>
      <c r="DO94">
        <v>39.61</v>
      </c>
      <c r="DP94" t="s">
        <v>183</v>
      </c>
      <c r="DQ94" s="146">
        <f t="shared" si="14"/>
        <v>0.21796599999999999</v>
      </c>
      <c r="DR94" t="s">
        <v>184</v>
      </c>
      <c r="DS94" t="s">
        <v>200</v>
      </c>
      <c r="DT94" t="s">
        <v>201</v>
      </c>
      <c r="DU94">
        <v>1.0271999999999999</v>
      </c>
      <c r="DV94" t="s">
        <v>165</v>
      </c>
      <c r="DW94" t="s">
        <v>165</v>
      </c>
      <c r="DX94" t="s">
        <v>197</v>
      </c>
      <c r="DY94" t="s">
        <v>181</v>
      </c>
      <c r="DZ94" t="s">
        <v>181</v>
      </c>
      <c r="EA94" t="s">
        <v>202</v>
      </c>
      <c r="EB94" t="s">
        <v>203</v>
      </c>
      <c r="EC94" s="147" t="s">
        <v>206</v>
      </c>
      <c r="ED94" s="147" t="s">
        <v>206</v>
      </c>
      <c r="EE94" s="133" t="s">
        <v>165</v>
      </c>
      <c r="EF94" s="133" t="s">
        <v>165</v>
      </c>
      <c r="EG94" s="133" t="s">
        <v>165</v>
      </c>
      <c r="EH94" t="s">
        <v>185</v>
      </c>
      <c r="EI94" t="s">
        <v>179</v>
      </c>
      <c r="EJ94" t="s">
        <v>165</v>
      </c>
      <c r="EK94">
        <v>2421</v>
      </c>
      <c r="EL94" s="147" t="s">
        <v>211</v>
      </c>
      <c r="EM94" s="147">
        <v>175</v>
      </c>
      <c r="EN94">
        <v>175</v>
      </c>
      <c r="EO94" t="s">
        <v>165</v>
      </c>
      <c r="EP94" t="s">
        <v>165</v>
      </c>
      <c r="EQ94" t="s">
        <v>165</v>
      </c>
      <c r="ER94" t="s">
        <v>165</v>
      </c>
      <c r="ES94" s="148">
        <v>8.1629084727785095</v>
      </c>
      <c r="ET94" t="s">
        <v>187</v>
      </c>
      <c r="EU94" s="133" t="s">
        <v>165</v>
      </c>
      <c r="EV94" s="133" t="s">
        <v>165</v>
      </c>
      <c r="EW94" s="149">
        <v>282.6177012</v>
      </c>
      <c r="EX94">
        <v>21</v>
      </c>
      <c r="EY94" t="s">
        <v>186</v>
      </c>
      <c r="EZ94" s="150">
        <v>261.6177012</v>
      </c>
      <c r="FA94" s="151">
        <v>38.358902014012017</v>
      </c>
      <c r="FB94" s="151">
        <v>37.547298219332987</v>
      </c>
      <c r="FC94" t="s">
        <v>176</v>
      </c>
      <c r="FD94" t="s">
        <v>188</v>
      </c>
      <c r="FE94" t="s">
        <v>165</v>
      </c>
      <c r="FF94" t="s">
        <v>165</v>
      </c>
      <c r="FG94" t="s">
        <v>165</v>
      </c>
      <c r="FH94" t="s">
        <v>165</v>
      </c>
      <c r="FI94" t="s">
        <v>165</v>
      </c>
      <c r="FJ94" t="s">
        <v>165</v>
      </c>
      <c r="FK94" t="s">
        <v>165</v>
      </c>
      <c r="FL94" t="s">
        <v>165</v>
      </c>
      <c r="FM94" t="s">
        <v>165</v>
      </c>
      <c r="FN94" t="s">
        <v>165</v>
      </c>
      <c r="FO94" t="s">
        <v>165</v>
      </c>
      <c r="FP94" t="s">
        <v>165</v>
      </c>
    </row>
    <row r="95" spans="1:172">
      <c r="A95" s="131" t="s">
        <v>154</v>
      </c>
      <c r="B95" t="s">
        <v>155</v>
      </c>
      <c r="C95">
        <v>2017</v>
      </c>
      <c r="D95" s="132" t="s">
        <v>156</v>
      </c>
      <c r="E95" s="145">
        <f t="shared" si="15"/>
        <v>1181.75</v>
      </c>
      <c r="F95">
        <f t="shared" si="16"/>
        <v>2</v>
      </c>
      <c r="G95">
        <f t="shared" si="17"/>
        <v>2</v>
      </c>
      <c r="H95" s="149">
        <f t="shared" si="18"/>
        <v>228.50452369999999</v>
      </c>
      <c r="I95" s="149">
        <f t="shared" si="19"/>
        <v>33.494281999697989</v>
      </c>
      <c r="J95" s="149">
        <f t="shared" si="20"/>
        <v>33.244602996726002</v>
      </c>
      <c r="K95" t="s">
        <v>209</v>
      </c>
      <c r="L95" s="132" t="s">
        <v>210</v>
      </c>
      <c r="M95" s="1" t="s">
        <v>157</v>
      </c>
      <c r="N95" s="132" t="s">
        <v>156</v>
      </c>
      <c r="O95" t="s">
        <v>158</v>
      </c>
      <c r="P95" s="139" t="s">
        <v>162</v>
      </c>
      <c r="Q95" s="139">
        <v>5</v>
      </c>
      <c r="R95" s="139">
        <v>2</v>
      </c>
      <c r="S95" s="140">
        <v>140.68698299999974</v>
      </c>
      <c r="T95" s="140">
        <f t="shared" si="12"/>
        <v>142.68698299999974</v>
      </c>
      <c r="U95" s="141">
        <v>39.006645149999997</v>
      </c>
      <c r="V95" s="141">
        <v>39.006645149999997</v>
      </c>
      <c r="W95" t="s">
        <v>165</v>
      </c>
      <c r="X95" t="s">
        <v>160</v>
      </c>
      <c r="Y95" s="135">
        <v>12.74</v>
      </c>
      <c r="Z95" s="135">
        <v>-78.739999999999995</v>
      </c>
      <c r="AA95" t="s">
        <v>165</v>
      </c>
      <c r="AB95" t="s">
        <v>165</v>
      </c>
      <c r="AC95">
        <v>-2839</v>
      </c>
      <c r="AD95" t="s">
        <v>165</v>
      </c>
      <c r="AE95" t="s">
        <v>165</v>
      </c>
      <c r="AF95" t="s">
        <v>165</v>
      </c>
      <c r="AG95">
        <v>1181.75</v>
      </c>
      <c r="AH95" t="s">
        <v>163</v>
      </c>
      <c r="AI95">
        <v>2</v>
      </c>
      <c r="AJ95">
        <v>2</v>
      </c>
      <c r="AK95" t="s">
        <v>165</v>
      </c>
      <c r="AL95" t="s">
        <v>164</v>
      </c>
      <c r="AM95" t="s">
        <v>165</v>
      </c>
      <c r="AN95" t="s">
        <v>165</v>
      </c>
      <c r="AO95" t="s">
        <v>165</v>
      </c>
      <c r="AP95" t="s">
        <v>165</v>
      </c>
      <c r="AQ95" t="s">
        <v>165</v>
      </c>
      <c r="AR95" t="s">
        <v>165</v>
      </c>
      <c r="AS95" t="s">
        <v>165</v>
      </c>
      <c r="AT95" t="s">
        <v>165</v>
      </c>
      <c r="AU95" t="s">
        <v>166</v>
      </c>
      <c r="AV95" t="s">
        <v>167</v>
      </c>
      <c r="AW95" t="s">
        <v>168</v>
      </c>
      <c r="AX95" s="154">
        <v>2</v>
      </c>
      <c r="AY95" t="s">
        <v>169</v>
      </c>
      <c r="AZ95" t="s">
        <v>170</v>
      </c>
      <c r="BA95" t="s">
        <v>171</v>
      </c>
      <c r="BB95" t="s">
        <v>165</v>
      </c>
      <c r="BC95" s="154">
        <v>2</v>
      </c>
      <c r="BD95" s="133" t="s">
        <v>165</v>
      </c>
      <c r="BE95" s="146">
        <v>20.849184019999999</v>
      </c>
      <c r="BF95" t="s">
        <v>172</v>
      </c>
      <c r="BG95" s="146">
        <v>0.14637763600000001</v>
      </c>
      <c r="BH95">
        <v>0.64</v>
      </c>
      <c r="BI95" t="s">
        <v>173</v>
      </c>
      <c r="BJ95">
        <v>3.4000000000000002E-2</v>
      </c>
      <c r="BK95">
        <v>9.1</v>
      </c>
      <c r="BL95" t="s">
        <v>163</v>
      </c>
      <c r="BM95">
        <v>0.56000000000000005</v>
      </c>
      <c r="BN95" t="s">
        <v>174</v>
      </c>
      <c r="BO95" t="s">
        <v>175</v>
      </c>
      <c r="BP95" s="155">
        <f t="shared" si="21"/>
        <v>19.965306699999999</v>
      </c>
      <c r="BQ95" s="133" t="s">
        <v>183</v>
      </c>
      <c r="BR95" s="133" t="s">
        <v>165</v>
      </c>
      <c r="BS95" s="133" t="s">
        <v>165</v>
      </c>
      <c r="BT95" t="s">
        <v>176</v>
      </c>
      <c r="BU95" s="133">
        <v>10</v>
      </c>
      <c r="BV95" s="133" t="s">
        <v>198</v>
      </c>
      <c r="BW95" s="133" t="s">
        <v>165</v>
      </c>
      <c r="BX95" s="145">
        <v>26.121038939999998</v>
      </c>
      <c r="BY95" t="s">
        <v>163</v>
      </c>
      <c r="BZ95">
        <v>3</v>
      </c>
      <c r="CA95">
        <v>3</v>
      </c>
      <c r="CB95" t="s">
        <v>165</v>
      </c>
      <c r="CC95" s="146">
        <v>3.8958861975830157</v>
      </c>
      <c r="CD95" t="s">
        <v>180</v>
      </c>
      <c r="CE95" s="146">
        <f t="shared" si="13"/>
        <v>0.15583544790332063</v>
      </c>
      <c r="CF95" s="146">
        <v>0.15583544790332063</v>
      </c>
      <c r="CG95" s="156" t="s">
        <v>165</v>
      </c>
      <c r="CH95" t="s">
        <v>207</v>
      </c>
      <c r="CI95" t="s">
        <v>165</v>
      </c>
      <c r="CJ95" t="s">
        <v>178</v>
      </c>
      <c r="CK95" t="s">
        <v>181</v>
      </c>
      <c r="CL95" t="s">
        <v>181</v>
      </c>
      <c r="CM95" t="s">
        <v>181</v>
      </c>
      <c r="CN95" t="s">
        <v>165</v>
      </c>
      <c r="CO95" t="s">
        <v>165</v>
      </c>
      <c r="CP95" t="s">
        <v>165</v>
      </c>
      <c r="CQ95" t="s">
        <v>165</v>
      </c>
      <c r="CR95" t="s">
        <v>165</v>
      </c>
      <c r="CS95" t="s">
        <v>165</v>
      </c>
      <c r="CT95" t="s">
        <v>165</v>
      </c>
      <c r="CU95">
        <v>35</v>
      </c>
      <c r="CV95" t="s">
        <v>183</v>
      </c>
      <c r="CW95" s="154">
        <v>3</v>
      </c>
      <c r="CX95" s="133" t="s">
        <v>199</v>
      </c>
      <c r="CY95" s="133" t="s">
        <v>165</v>
      </c>
      <c r="CZ95" s="133" t="s">
        <v>165</v>
      </c>
      <c r="DA95" s="133" t="s">
        <v>165</v>
      </c>
      <c r="DB95" s="133" t="s">
        <v>165</v>
      </c>
      <c r="DC95" s="133" t="s">
        <v>165</v>
      </c>
      <c r="DD95" s="133" t="s">
        <v>165</v>
      </c>
      <c r="DE95" s="133" t="s">
        <v>165</v>
      </c>
      <c r="DF95" s="133" t="s">
        <v>165</v>
      </c>
      <c r="DG95" s="133" t="s">
        <v>165</v>
      </c>
      <c r="DH95" s="133" t="s">
        <v>165</v>
      </c>
      <c r="DI95" s="133" t="s">
        <v>165</v>
      </c>
      <c r="DJ95" s="133" t="s">
        <v>165</v>
      </c>
      <c r="DK95" s="145">
        <v>432.56244218316402</v>
      </c>
      <c r="DL95" t="s">
        <v>204</v>
      </c>
      <c r="DM95">
        <v>37.1</v>
      </c>
      <c r="DN95" t="s">
        <v>205</v>
      </c>
      <c r="DO95">
        <v>39.61</v>
      </c>
      <c r="DP95" t="s">
        <v>183</v>
      </c>
      <c r="DQ95" s="146">
        <f t="shared" si="14"/>
        <v>0.21817500000000001</v>
      </c>
      <c r="DR95" t="s">
        <v>184</v>
      </c>
      <c r="DS95" t="s">
        <v>200</v>
      </c>
      <c r="DT95" t="s">
        <v>201</v>
      </c>
      <c r="DU95">
        <v>1.0271999999999999</v>
      </c>
      <c r="DV95" t="s">
        <v>165</v>
      </c>
      <c r="DW95" t="s">
        <v>165</v>
      </c>
      <c r="DX95" t="s">
        <v>197</v>
      </c>
      <c r="DY95" t="s">
        <v>181</v>
      </c>
      <c r="DZ95" t="s">
        <v>181</v>
      </c>
      <c r="EA95" t="s">
        <v>202</v>
      </c>
      <c r="EB95" t="s">
        <v>203</v>
      </c>
      <c r="EC95" s="147" t="s">
        <v>206</v>
      </c>
      <c r="ED95" s="147" t="s">
        <v>206</v>
      </c>
      <c r="EE95" s="133" t="s">
        <v>165</v>
      </c>
      <c r="EF95" s="133" t="s">
        <v>165</v>
      </c>
      <c r="EG95" s="133" t="s">
        <v>165</v>
      </c>
      <c r="EH95" t="s">
        <v>185</v>
      </c>
      <c r="EI95" t="s">
        <v>179</v>
      </c>
      <c r="EJ95" t="s">
        <v>165</v>
      </c>
      <c r="EK95">
        <v>2422</v>
      </c>
      <c r="EL95" s="147" t="s">
        <v>211</v>
      </c>
      <c r="EM95" s="147">
        <v>175</v>
      </c>
      <c r="EN95">
        <v>175</v>
      </c>
      <c r="EO95" t="s">
        <v>165</v>
      </c>
      <c r="EP95" t="s">
        <v>165</v>
      </c>
      <c r="EQ95" t="s">
        <v>165</v>
      </c>
      <c r="ER95" t="s">
        <v>165</v>
      </c>
      <c r="ES95" s="148">
        <v>8.2037186839006502</v>
      </c>
      <c r="ET95" t="s">
        <v>187</v>
      </c>
      <c r="EU95" s="133" t="s">
        <v>165</v>
      </c>
      <c r="EV95" s="133" t="s">
        <v>165</v>
      </c>
      <c r="EW95" s="149">
        <v>249.50452369999999</v>
      </c>
      <c r="EX95">
        <v>21</v>
      </c>
      <c r="EY95" t="s">
        <v>186</v>
      </c>
      <c r="EZ95" s="150">
        <v>228.50452369999999</v>
      </c>
      <c r="FA95" s="151">
        <v>33.494281999697989</v>
      </c>
      <c r="FB95" s="151">
        <v>33.244602996726002</v>
      </c>
      <c r="FC95" t="s">
        <v>176</v>
      </c>
      <c r="FD95" t="s">
        <v>188</v>
      </c>
      <c r="FE95" t="s">
        <v>165</v>
      </c>
      <c r="FF95" t="s">
        <v>165</v>
      </c>
      <c r="FG95" t="s">
        <v>165</v>
      </c>
      <c r="FH95" t="s">
        <v>165</v>
      </c>
      <c r="FI95" t="s">
        <v>165</v>
      </c>
      <c r="FJ95" t="s">
        <v>165</v>
      </c>
      <c r="FK95" t="s">
        <v>165</v>
      </c>
      <c r="FL95" t="s">
        <v>165</v>
      </c>
      <c r="FM95" t="s">
        <v>165</v>
      </c>
      <c r="FN95" t="s">
        <v>165</v>
      </c>
      <c r="FO95" t="s">
        <v>165</v>
      </c>
      <c r="FP95" t="s">
        <v>165</v>
      </c>
    </row>
    <row r="96" spans="1:172">
      <c r="A96" s="131" t="s">
        <v>154</v>
      </c>
      <c r="B96" t="s">
        <v>155</v>
      </c>
      <c r="C96">
        <v>2017</v>
      </c>
      <c r="D96" s="132" t="s">
        <v>156</v>
      </c>
      <c r="E96" s="145">
        <f t="shared" si="15"/>
        <v>1184.06</v>
      </c>
      <c r="F96">
        <f t="shared" si="16"/>
        <v>2</v>
      </c>
      <c r="G96">
        <f t="shared" si="17"/>
        <v>2</v>
      </c>
      <c r="H96" s="149">
        <f t="shared" si="18"/>
        <v>222.41688250000001</v>
      </c>
      <c r="I96" s="149">
        <f t="shared" si="19"/>
        <v>33.757694666535002</v>
      </c>
      <c r="J96" s="149">
        <f t="shared" si="20"/>
        <v>33.202581097024023</v>
      </c>
      <c r="K96" t="s">
        <v>209</v>
      </c>
      <c r="L96" s="132" t="s">
        <v>210</v>
      </c>
      <c r="M96" s="1" t="s">
        <v>157</v>
      </c>
      <c r="N96" s="132" t="s">
        <v>156</v>
      </c>
      <c r="O96" t="s">
        <v>158</v>
      </c>
      <c r="P96" s="139" t="s">
        <v>162</v>
      </c>
      <c r="Q96" s="139">
        <v>5</v>
      </c>
      <c r="R96" s="139">
        <v>3</v>
      </c>
      <c r="S96" s="140">
        <v>2</v>
      </c>
      <c r="T96" s="140">
        <f t="shared" si="12"/>
        <v>4</v>
      </c>
      <c r="U96" s="141">
        <v>39.119999999999997</v>
      </c>
      <c r="V96" s="141">
        <v>39.119999999999997</v>
      </c>
      <c r="W96" t="s">
        <v>165</v>
      </c>
      <c r="X96" t="s">
        <v>160</v>
      </c>
      <c r="Y96" s="135">
        <v>12.74</v>
      </c>
      <c r="Z96" s="135">
        <v>-78.739999999999995</v>
      </c>
      <c r="AA96" t="s">
        <v>165</v>
      </c>
      <c r="AB96" t="s">
        <v>165</v>
      </c>
      <c r="AC96">
        <v>-2839</v>
      </c>
      <c r="AD96" t="s">
        <v>165</v>
      </c>
      <c r="AE96" t="s">
        <v>165</v>
      </c>
      <c r="AF96" t="s">
        <v>165</v>
      </c>
      <c r="AG96">
        <v>1184.06</v>
      </c>
      <c r="AH96" t="s">
        <v>163</v>
      </c>
      <c r="AI96">
        <v>2</v>
      </c>
      <c r="AJ96">
        <v>2</v>
      </c>
      <c r="AK96" t="s">
        <v>165</v>
      </c>
      <c r="AL96" t="s">
        <v>164</v>
      </c>
      <c r="AM96" t="s">
        <v>165</v>
      </c>
      <c r="AN96" t="s">
        <v>165</v>
      </c>
      <c r="AO96" t="s">
        <v>165</v>
      </c>
      <c r="AP96" t="s">
        <v>165</v>
      </c>
      <c r="AQ96" t="s">
        <v>165</v>
      </c>
      <c r="AR96" t="s">
        <v>165</v>
      </c>
      <c r="AS96" t="s">
        <v>165</v>
      </c>
      <c r="AT96" t="s">
        <v>165</v>
      </c>
      <c r="AU96" t="s">
        <v>166</v>
      </c>
      <c r="AV96" t="s">
        <v>167</v>
      </c>
      <c r="AW96" t="s">
        <v>168</v>
      </c>
      <c r="AX96" s="154">
        <v>2</v>
      </c>
      <c r="AY96" t="s">
        <v>169</v>
      </c>
      <c r="AZ96" t="s">
        <v>170</v>
      </c>
      <c r="BA96" t="s">
        <v>171</v>
      </c>
      <c r="BB96" t="s">
        <v>165</v>
      </c>
      <c r="BC96" s="154">
        <v>2</v>
      </c>
      <c r="BD96" s="133" t="s">
        <v>165</v>
      </c>
      <c r="BE96" s="146">
        <v>20.832362369999998</v>
      </c>
      <c r="BF96" t="s">
        <v>172</v>
      </c>
      <c r="BG96" s="146">
        <v>0.17948405200000001</v>
      </c>
      <c r="BH96">
        <v>0.64</v>
      </c>
      <c r="BI96" t="s">
        <v>173</v>
      </c>
      <c r="BJ96">
        <v>3.4000000000000002E-2</v>
      </c>
      <c r="BK96">
        <v>9.1</v>
      </c>
      <c r="BL96" t="s">
        <v>163</v>
      </c>
      <c r="BM96">
        <v>0.56000000000000005</v>
      </c>
      <c r="BN96" t="s">
        <v>174</v>
      </c>
      <c r="BO96" t="s">
        <v>175</v>
      </c>
      <c r="BP96" s="155">
        <f t="shared" si="21"/>
        <v>19.937270616666666</v>
      </c>
      <c r="BQ96" s="133" t="s">
        <v>183</v>
      </c>
      <c r="BR96" s="133" t="s">
        <v>165</v>
      </c>
      <c r="BS96" s="133" t="s">
        <v>165</v>
      </c>
      <c r="BT96" t="s">
        <v>176</v>
      </c>
      <c r="BU96" s="133">
        <v>10</v>
      </c>
      <c r="BV96" s="133" t="s">
        <v>198</v>
      </c>
      <c r="BW96" s="133" t="s">
        <v>165</v>
      </c>
      <c r="BX96" s="145">
        <v>25.04226976</v>
      </c>
      <c r="BY96" t="s">
        <v>163</v>
      </c>
      <c r="BZ96">
        <v>3</v>
      </c>
      <c r="CA96">
        <v>3</v>
      </c>
      <c r="CB96" t="s">
        <v>165</v>
      </c>
      <c r="CC96" s="146">
        <v>3.5260348857581363</v>
      </c>
      <c r="CD96" t="s">
        <v>180</v>
      </c>
      <c r="CE96" s="146">
        <f t="shared" si="13"/>
        <v>0.14104139543032546</v>
      </c>
      <c r="CF96" s="146">
        <v>0.14104139543032546</v>
      </c>
      <c r="CG96" s="156" t="s">
        <v>165</v>
      </c>
      <c r="CH96" t="s">
        <v>207</v>
      </c>
      <c r="CI96" t="s">
        <v>165</v>
      </c>
      <c r="CJ96" t="s">
        <v>178</v>
      </c>
      <c r="CK96" t="s">
        <v>181</v>
      </c>
      <c r="CL96" t="s">
        <v>181</v>
      </c>
      <c r="CM96" t="s">
        <v>181</v>
      </c>
      <c r="CN96" t="s">
        <v>165</v>
      </c>
      <c r="CO96" t="s">
        <v>165</v>
      </c>
      <c r="CP96" t="s">
        <v>165</v>
      </c>
      <c r="CQ96" t="s">
        <v>165</v>
      </c>
      <c r="CR96" t="s">
        <v>165</v>
      </c>
      <c r="CS96" t="s">
        <v>165</v>
      </c>
      <c r="CT96" t="s">
        <v>165</v>
      </c>
      <c r="CU96">
        <v>35</v>
      </c>
      <c r="CV96" t="s">
        <v>183</v>
      </c>
      <c r="CW96" s="154">
        <v>3</v>
      </c>
      <c r="CX96" s="133" t="s">
        <v>199</v>
      </c>
      <c r="CY96" s="133" t="s">
        <v>165</v>
      </c>
      <c r="CZ96" s="133" t="s">
        <v>165</v>
      </c>
      <c r="DA96" s="133" t="s">
        <v>165</v>
      </c>
      <c r="DB96" s="133" t="s">
        <v>165</v>
      </c>
      <c r="DC96" s="133" t="s">
        <v>165</v>
      </c>
      <c r="DD96" s="133" t="s">
        <v>165</v>
      </c>
      <c r="DE96" s="133" t="s">
        <v>165</v>
      </c>
      <c r="DF96" s="133" t="s">
        <v>165</v>
      </c>
      <c r="DG96" s="133" t="s">
        <v>165</v>
      </c>
      <c r="DH96" s="133" t="s">
        <v>165</v>
      </c>
      <c r="DI96" s="133" t="s">
        <v>165</v>
      </c>
      <c r="DJ96" s="133" t="s">
        <v>165</v>
      </c>
      <c r="DK96" s="145">
        <v>432.56244218316402</v>
      </c>
      <c r="DL96" t="s">
        <v>204</v>
      </c>
      <c r="DM96">
        <v>37.1</v>
      </c>
      <c r="DN96" t="s">
        <v>205</v>
      </c>
      <c r="DO96">
        <v>39.61</v>
      </c>
      <c r="DP96" t="s">
        <v>183</v>
      </c>
      <c r="DQ96" s="146">
        <f t="shared" si="14"/>
        <v>0.21840600000000002</v>
      </c>
      <c r="DR96" t="s">
        <v>184</v>
      </c>
      <c r="DS96" t="s">
        <v>200</v>
      </c>
      <c r="DT96" t="s">
        <v>201</v>
      </c>
      <c r="DU96">
        <v>1.0271999999999999</v>
      </c>
      <c r="DV96" t="s">
        <v>165</v>
      </c>
      <c r="DW96" t="s">
        <v>165</v>
      </c>
      <c r="DX96" t="s">
        <v>197</v>
      </c>
      <c r="DY96" t="s">
        <v>181</v>
      </c>
      <c r="DZ96" t="s">
        <v>181</v>
      </c>
      <c r="EA96" t="s">
        <v>202</v>
      </c>
      <c r="EB96" t="s">
        <v>203</v>
      </c>
      <c r="EC96" s="147" t="s">
        <v>206</v>
      </c>
      <c r="ED96" s="147" t="s">
        <v>206</v>
      </c>
      <c r="EE96" s="133" t="s">
        <v>165</v>
      </c>
      <c r="EF96" s="133" t="s">
        <v>165</v>
      </c>
      <c r="EG96" s="133" t="s">
        <v>165</v>
      </c>
      <c r="EH96" t="s">
        <v>185</v>
      </c>
      <c r="EI96" t="s">
        <v>179</v>
      </c>
      <c r="EJ96" t="s">
        <v>165</v>
      </c>
      <c r="EK96">
        <v>2423</v>
      </c>
      <c r="EL96" s="147" t="s">
        <v>211</v>
      </c>
      <c r="EM96" s="147">
        <v>175</v>
      </c>
      <c r="EN96">
        <v>175</v>
      </c>
      <c r="EO96" t="s">
        <v>165</v>
      </c>
      <c r="EP96" t="s">
        <v>165</v>
      </c>
      <c r="EQ96" t="s">
        <v>165</v>
      </c>
      <c r="ER96" t="s">
        <v>165</v>
      </c>
      <c r="ES96" s="148">
        <v>8.2134615332848302</v>
      </c>
      <c r="ET96" t="s">
        <v>187</v>
      </c>
      <c r="EU96" s="133" t="s">
        <v>165</v>
      </c>
      <c r="EV96" s="133" t="s">
        <v>165</v>
      </c>
      <c r="EW96" s="149">
        <v>243.41688250000001</v>
      </c>
      <c r="EX96">
        <v>21</v>
      </c>
      <c r="EY96" t="s">
        <v>186</v>
      </c>
      <c r="EZ96" s="150">
        <v>222.41688250000001</v>
      </c>
      <c r="FA96" s="151">
        <v>33.757694666535002</v>
      </c>
      <c r="FB96" s="151">
        <v>33.202581097024023</v>
      </c>
      <c r="FC96" t="s">
        <v>176</v>
      </c>
      <c r="FD96" t="s">
        <v>188</v>
      </c>
      <c r="FE96" t="s">
        <v>165</v>
      </c>
      <c r="FF96" t="s">
        <v>165</v>
      </c>
      <c r="FG96" t="s">
        <v>165</v>
      </c>
      <c r="FH96" t="s">
        <v>165</v>
      </c>
      <c r="FI96" t="s">
        <v>165</v>
      </c>
      <c r="FJ96" t="s">
        <v>165</v>
      </c>
      <c r="FK96" t="s">
        <v>165</v>
      </c>
      <c r="FL96" t="s">
        <v>165</v>
      </c>
      <c r="FM96" t="s">
        <v>165</v>
      </c>
      <c r="FN96" t="s">
        <v>165</v>
      </c>
      <c r="FO96" t="s">
        <v>165</v>
      </c>
      <c r="FP96" t="s">
        <v>165</v>
      </c>
    </row>
    <row r="97" spans="1:172">
      <c r="A97" s="131" t="s">
        <v>154</v>
      </c>
      <c r="B97" t="s">
        <v>155</v>
      </c>
      <c r="C97">
        <v>2017</v>
      </c>
      <c r="D97" s="132" t="s">
        <v>156</v>
      </c>
      <c r="E97" s="145">
        <f t="shared" si="15"/>
        <v>1185.97</v>
      </c>
      <c r="F97">
        <f t="shared" si="16"/>
        <v>2</v>
      </c>
      <c r="G97">
        <f t="shared" si="17"/>
        <v>2</v>
      </c>
      <c r="H97" s="149">
        <f t="shared" si="18"/>
        <v>254.35988839999999</v>
      </c>
      <c r="I97" s="149">
        <f t="shared" si="19"/>
        <v>38.360921059812995</v>
      </c>
      <c r="J97" s="149">
        <f t="shared" si="20"/>
        <v>35.498186561271979</v>
      </c>
      <c r="K97" t="s">
        <v>209</v>
      </c>
      <c r="L97" s="132" t="s">
        <v>210</v>
      </c>
      <c r="M97" s="1" t="s">
        <v>157</v>
      </c>
      <c r="N97" s="132" t="s">
        <v>156</v>
      </c>
      <c r="O97" t="s">
        <v>158</v>
      </c>
      <c r="P97" s="142" t="s">
        <v>162</v>
      </c>
      <c r="Q97" s="142">
        <v>5</v>
      </c>
      <c r="R97" s="142">
        <v>3</v>
      </c>
      <c r="S97" s="143">
        <v>10.111267999999939</v>
      </c>
      <c r="T97" s="143">
        <f t="shared" si="12"/>
        <v>12.111267999999939</v>
      </c>
      <c r="U97" s="144">
        <v>39.200887999999999</v>
      </c>
      <c r="V97" s="144">
        <v>39.200887999999999</v>
      </c>
      <c r="W97" t="s">
        <v>165</v>
      </c>
      <c r="X97" t="s">
        <v>160</v>
      </c>
      <c r="Y97" s="135">
        <v>12.74</v>
      </c>
      <c r="Z97" s="135">
        <v>-78.739999999999995</v>
      </c>
      <c r="AA97" t="s">
        <v>165</v>
      </c>
      <c r="AB97" t="s">
        <v>165</v>
      </c>
      <c r="AC97">
        <v>-2839</v>
      </c>
      <c r="AD97" t="s">
        <v>165</v>
      </c>
      <c r="AE97" t="s">
        <v>165</v>
      </c>
      <c r="AF97" t="s">
        <v>165</v>
      </c>
      <c r="AG97">
        <v>1185.97</v>
      </c>
      <c r="AH97" t="s">
        <v>163</v>
      </c>
      <c r="AI97">
        <v>2</v>
      </c>
      <c r="AJ97">
        <v>2</v>
      </c>
      <c r="AK97" t="s">
        <v>165</v>
      </c>
      <c r="AL97" t="s">
        <v>164</v>
      </c>
      <c r="AM97" t="s">
        <v>165</v>
      </c>
      <c r="AN97" t="s">
        <v>165</v>
      </c>
      <c r="AO97" t="s">
        <v>165</v>
      </c>
      <c r="AP97" t="s">
        <v>165</v>
      </c>
      <c r="AQ97" t="s">
        <v>165</v>
      </c>
      <c r="AR97" t="s">
        <v>165</v>
      </c>
      <c r="AS97" t="s">
        <v>165</v>
      </c>
      <c r="AT97" t="s">
        <v>165</v>
      </c>
      <c r="AU97" t="s">
        <v>166</v>
      </c>
      <c r="AV97" t="s">
        <v>167</v>
      </c>
      <c r="AW97" t="s">
        <v>168</v>
      </c>
      <c r="AX97" s="154">
        <v>2</v>
      </c>
      <c r="AY97" t="s">
        <v>169</v>
      </c>
      <c r="AZ97" t="s">
        <v>170</v>
      </c>
      <c r="BA97" t="s">
        <v>171</v>
      </c>
      <c r="BB97" t="s">
        <v>165</v>
      </c>
      <c r="BC97" s="154">
        <v>2</v>
      </c>
      <c r="BD97" s="133" t="s">
        <v>165</v>
      </c>
      <c r="BE97" s="146">
        <v>20.574240379999999</v>
      </c>
      <c r="BF97" t="s">
        <v>172</v>
      </c>
      <c r="BG97" s="146">
        <v>0.19473354400000001</v>
      </c>
      <c r="BH97">
        <v>0.64</v>
      </c>
      <c r="BI97" t="s">
        <v>173</v>
      </c>
      <c r="BJ97">
        <v>3.4000000000000002E-2</v>
      </c>
      <c r="BK97">
        <v>9.1</v>
      </c>
      <c r="BL97" t="s">
        <v>163</v>
      </c>
      <c r="BM97">
        <v>0.56000000000000005</v>
      </c>
      <c r="BN97" t="s">
        <v>174</v>
      </c>
      <c r="BO97" t="s">
        <v>175</v>
      </c>
      <c r="BP97" s="155">
        <f t="shared" si="21"/>
        <v>19.507067299999999</v>
      </c>
      <c r="BQ97" s="133" t="s">
        <v>183</v>
      </c>
      <c r="BR97" s="133" t="s">
        <v>165</v>
      </c>
      <c r="BS97" s="133" t="s">
        <v>165</v>
      </c>
      <c r="BT97" t="s">
        <v>176</v>
      </c>
      <c r="BU97" s="133">
        <v>10</v>
      </c>
      <c r="BV97" s="133" t="s">
        <v>198</v>
      </c>
      <c r="BW97" s="133" t="s">
        <v>165</v>
      </c>
      <c r="BX97" s="145">
        <v>25.717720530000001</v>
      </c>
      <c r="BY97" t="s">
        <v>163</v>
      </c>
      <c r="BZ97">
        <v>3</v>
      </c>
      <c r="CA97">
        <v>3</v>
      </c>
      <c r="CB97" t="s">
        <v>165</v>
      </c>
      <c r="CC97" s="146">
        <v>3.7470338261404286</v>
      </c>
      <c r="CD97" t="s">
        <v>180</v>
      </c>
      <c r="CE97" s="146">
        <f t="shared" si="13"/>
        <v>0.14988135304561714</v>
      </c>
      <c r="CF97" s="146">
        <v>0.14988135304561714</v>
      </c>
      <c r="CG97" s="156" t="s">
        <v>165</v>
      </c>
      <c r="CH97" t="s">
        <v>207</v>
      </c>
      <c r="CI97" t="s">
        <v>165</v>
      </c>
      <c r="CJ97" t="s">
        <v>178</v>
      </c>
      <c r="CK97" t="s">
        <v>181</v>
      </c>
      <c r="CL97" t="s">
        <v>181</v>
      </c>
      <c r="CM97" t="s">
        <v>181</v>
      </c>
      <c r="CN97" t="s">
        <v>165</v>
      </c>
      <c r="CO97" t="s">
        <v>165</v>
      </c>
      <c r="CP97" t="s">
        <v>165</v>
      </c>
      <c r="CQ97" t="s">
        <v>165</v>
      </c>
      <c r="CR97" t="s">
        <v>165</v>
      </c>
      <c r="CS97" t="s">
        <v>165</v>
      </c>
      <c r="CT97" t="s">
        <v>165</v>
      </c>
      <c r="CU97">
        <v>35</v>
      </c>
      <c r="CV97" t="s">
        <v>183</v>
      </c>
      <c r="CW97" s="154">
        <v>3</v>
      </c>
      <c r="CX97" s="133" t="s">
        <v>199</v>
      </c>
      <c r="CY97" s="133" t="s">
        <v>165</v>
      </c>
      <c r="CZ97" s="133" t="s">
        <v>165</v>
      </c>
      <c r="DA97" s="133" t="s">
        <v>165</v>
      </c>
      <c r="DB97" s="133" t="s">
        <v>165</v>
      </c>
      <c r="DC97" s="133" t="s">
        <v>165</v>
      </c>
      <c r="DD97" s="133" t="s">
        <v>165</v>
      </c>
      <c r="DE97" s="133" t="s">
        <v>165</v>
      </c>
      <c r="DF97" s="133" t="s">
        <v>165</v>
      </c>
      <c r="DG97" s="133" t="s">
        <v>165</v>
      </c>
      <c r="DH97" s="133" t="s">
        <v>165</v>
      </c>
      <c r="DI97" s="133" t="s">
        <v>165</v>
      </c>
      <c r="DJ97" s="133" t="s">
        <v>165</v>
      </c>
      <c r="DK97" s="145">
        <v>432.56244218316402</v>
      </c>
      <c r="DL97" t="s">
        <v>204</v>
      </c>
      <c r="DM97">
        <v>37.1</v>
      </c>
      <c r="DN97" t="s">
        <v>205</v>
      </c>
      <c r="DO97">
        <v>39.61</v>
      </c>
      <c r="DP97" t="s">
        <v>183</v>
      </c>
      <c r="DQ97" s="146">
        <f t="shared" si="14"/>
        <v>0.21859700000000001</v>
      </c>
      <c r="DR97" t="s">
        <v>184</v>
      </c>
      <c r="DS97" t="s">
        <v>200</v>
      </c>
      <c r="DT97" t="s">
        <v>201</v>
      </c>
      <c r="DU97">
        <v>1.0271999999999999</v>
      </c>
      <c r="DV97" t="s">
        <v>165</v>
      </c>
      <c r="DW97" t="s">
        <v>165</v>
      </c>
      <c r="DX97" t="s">
        <v>197</v>
      </c>
      <c r="DY97" t="s">
        <v>181</v>
      </c>
      <c r="DZ97" t="s">
        <v>181</v>
      </c>
      <c r="EA97" t="s">
        <v>202</v>
      </c>
      <c r="EB97" t="s">
        <v>203</v>
      </c>
      <c r="EC97" s="147" t="s">
        <v>206</v>
      </c>
      <c r="ED97" s="147" t="s">
        <v>206</v>
      </c>
      <c r="EE97" s="133" t="s">
        <v>165</v>
      </c>
      <c r="EF97" s="133" t="s">
        <v>165</v>
      </c>
      <c r="EG97" s="133" t="s">
        <v>165</v>
      </c>
      <c r="EH97" t="s">
        <v>185</v>
      </c>
      <c r="EI97" t="s">
        <v>179</v>
      </c>
      <c r="EJ97" t="s">
        <v>165</v>
      </c>
      <c r="EK97">
        <v>2424</v>
      </c>
      <c r="EL97" s="147" t="s">
        <v>211</v>
      </c>
      <c r="EM97" s="147">
        <v>175</v>
      </c>
      <c r="EN97">
        <v>175</v>
      </c>
      <c r="EO97" t="s">
        <v>165</v>
      </c>
      <c r="EP97" t="s">
        <v>165</v>
      </c>
      <c r="EQ97" t="s">
        <v>165</v>
      </c>
      <c r="ER97" t="s">
        <v>165</v>
      </c>
      <c r="ES97" s="148">
        <v>8.1716158295797197</v>
      </c>
      <c r="ET97" t="s">
        <v>187</v>
      </c>
      <c r="EU97" s="133" t="s">
        <v>165</v>
      </c>
      <c r="EV97" s="133" t="s">
        <v>165</v>
      </c>
      <c r="EW97" s="149">
        <v>275.35988839999999</v>
      </c>
      <c r="EX97">
        <v>21</v>
      </c>
      <c r="EY97" t="s">
        <v>186</v>
      </c>
      <c r="EZ97" s="150">
        <v>254.35988839999999</v>
      </c>
      <c r="FA97" s="151">
        <v>38.360921059812995</v>
      </c>
      <c r="FB97" s="151">
        <v>35.498186561271979</v>
      </c>
      <c r="FC97" t="s">
        <v>176</v>
      </c>
      <c r="FD97" t="s">
        <v>188</v>
      </c>
      <c r="FE97" t="s">
        <v>165</v>
      </c>
      <c r="FF97" t="s">
        <v>165</v>
      </c>
      <c r="FG97" t="s">
        <v>165</v>
      </c>
      <c r="FH97" t="s">
        <v>165</v>
      </c>
      <c r="FI97" t="s">
        <v>165</v>
      </c>
      <c r="FJ97" t="s">
        <v>165</v>
      </c>
      <c r="FK97" t="s">
        <v>165</v>
      </c>
      <c r="FL97" t="s">
        <v>165</v>
      </c>
      <c r="FM97" t="s">
        <v>165</v>
      </c>
      <c r="FN97" t="s">
        <v>165</v>
      </c>
      <c r="FO97" t="s">
        <v>165</v>
      </c>
      <c r="FP97" t="s">
        <v>165</v>
      </c>
    </row>
    <row r="98" spans="1:172">
      <c r="A98" s="131" t="s">
        <v>154</v>
      </c>
      <c r="B98" t="s">
        <v>155</v>
      </c>
      <c r="C98">
        <v>2017</v>
      </c>
      <c r="D98" s="132" t="s">
        <v>156</v>
      </c>
      <c r="E98" s="145">
        <f t="shared" si="15"/>
        <v>1188.07</v>
      </c>
      <c r="F98">
        <f t="shared" si="16"/>
        <v>2</v>
      </c>
      <c r="G98">
        <f t="shared" si="17"/>
        <v>2</v>
      </c>
      <c r="H98" s="149">
        <f t="shared" si="18"/>
        <v>263.57386609999998</v>
      </c>
      <c r="I98" s="149">
        <f t="shared" si="19"/>
        <v>38.389266939233039</v>
      </c>
      <c r="J98" s="149">
        <f t="shared" si="20"/>
        <v>36.161952737399986</v>
      </c>
      <c r="K98" t="s">
        <v>209</v>
      </c>
      <c r="L98" s="132" t="s">
        <v>210</v>
      </c>
      <c r="M98" s="1" t="s">
        <v>157</v>
      </c>
      <c r="N98" s="132" t="s">
        <v>156</v>
      </c>
      <c r="O98" t="s">
        <v>158</v>
      </c>
      <c r="P98" s="139" t="s">
        <v>162</v>
      </c>
      <c r="Q98" s="139">
        <v>5</v>
      </c>
      <c r="R98" s="139">
        <v>3</v>
      </c>
      <c r="S98" s="140">
        <v>18.570803000000012</v>
      </c>
      <c r="T98" s="140">
        <f t="shared" si="12"/>
        <v>20.570803000000012</v>
      </c>
      <c r="U98" s="141">
        <v>39.28548335</v>
      </c>
      <c r="V98" s="141">
        <v>39.28548335</v>
      </c>
      <c r="W98" t="s">
        <v>165</v>
      </c>
      <c r="X98" t="s">
        <v>160</v>
      </c>
      <c r="Y98" s="135">
        <v>12.74</v>
      </c>
      <c r="Z98" s="135">
        <v>-78.739999999999995</v>
      </c>
      <c r="AA98" t="s">
        <v>165</v>
      </c>
      <c r="AB98" t="s">
        <v>165</v>
      </c>
      <c r="AC98">
        <v>-2839</v>
      </c>
      <c r="AD98" t="s">
        <v>165</v>
      </c>
      <c r="AE98" t="s">
        <v>165</v>
      </c>
      <c r="AF98" t="s">
        <v>165</v>
      </c>
      <c r="AG98">
        <v>1188.07</v>
      </c>
      <c r="AH98" t="s">
        <v>163</v>
      </c>
      <c r="AI98">
        <v>2</v>
      </c>
      <c r="AJ98">
        <v>2</v>
      </c>
      <c r="AK98" t="s">
        <v>165</v>
      </c>
      <c r="AL98" t="s">
        <v>164</v>
      </c>
      <c r="AM98" t="s">
        <v>165</v>
      </c>
      <c r="AN98" t="s">
        <v>165</v>
      </c>
      <c r="AO98" t="s">
        <v>165</v>
      </c>
      <c r="AP98" t="s">
        <v>165</v>
      </c>
      <c r="AQ98" t="s">
        <v>165</v>
      </c>
      <c r="AR98" t="s">
        <v>165</v>
      </c>
      <c r="AS98" t="s">
        <v>165</v>
      </c>
      <c r="AT98" t="s">
        <v>165</v>
      </c>
      <c r="AU98" t="s">
        <v>166</v>
      </c>
      <c r="AV98" t="s">
        <v>167</v>
      </c>
      <c r="AW98" t="s">
        <v>168</v>
      </c>
      <c r="AX98" s="154">
        <v>2</v>
      </c>
      <c r="AY98" t="s">
        <v>169</v>
      </c>
      <c r="AZ98" t="s">
        <v>170</v>
      </c>
      <c r="BA98" t="s">
        <v>171</v>
      </c>
      <c r="BB98" t="s">
        <v>165</v>
      </c>
      <c r="BC98" s="154">
        <v>2</v>
      </c>
      <c r="BD98" s="133" t="s">
        <v>165</v>
      </c>
      <c r="BE98" s="146">
        <v>20.444129319999998</v>
      </c>
      <c r="BF98" t="s">
        <v>172</v>
      </c>
      <c r="BG98" s="146">
        <v>0.18617460199999999</v>
      </c>
      <c r="BH98">
        <v>0.64</v>
      </c>
      <c r="BI98" t="s">
        <v>173</v>
      </c>
      <c r="BJ98">
        <v>3.4000000000000002E-2</v>
      </c>
      <c r="BK98">
        <v>9.1</v>
      </c>
      <c r="BL98" t="s">
        <v>163</v>
      </c>
      <c r="BM98">
        <v>0.56000000000000005</v>
      </c>
      <c r="BN98" t="s">
        <v>174</v>
      </c>
      <c r="BO98" t="s">
        <v>175</v>
      </c>
      <c r="BP98" s="155">
        <f t="shared" si="21"/>
        <v>19.290215533333331</v>
      </c>
      <c r="BQ98" s="133" t="s">
        <v>183</v>
      </c>
      <c r="BR98" s="133" t="s">
        <v>165</v>
      </c>
      <c r="BS98" s="133" t="s">
        <v>165</v>
      </c>
      <c r="BT98" t="s">
        <v>176</v>
      </c>
      <c r="BU98" s="133">
        <v>10</v>
      </c>
      <c r="BV98" s="133" t="s">
        <v>198</v>
      </c>
      <c r="BW98" s="133" t="s">
        <v>165</v>
      </c>
      <c r="BX98" s="145">
        <v>25.10194787</v>
      </c>
      <c r="BY98" t="s">
        <v>163</v>
      </c>
      <c r="BZ98">
        <v>3</v>
      </c>
      <c r="CA98">
        <v>3</v>
      </c>
      <c r="CB98" t="s">
        <v>165</v>
      </c>
      <c r="CC98" s="146">
        <v>3.5355528917381869</v>
      </c>
      <c r="CD98" t="s">
        <v>180</v>
      </c>
      <c r="CE98" s="146">
        <f t="shared" si="13"/>
        <v>0.14142211566952748</v>
      </c>
      <c r="CF98" s="146">
        <v>0.14142211566952748</v>
      </c>
      <c r="CG98" s="156" t="s">
        <v>165</v>
      </c>
      <c r="CH98" t="s">
        <v>207</v>
      </c>
      <c r="CI98" t="s">
        <v>165</v>
      </c>
      <c r="CJ98" t="s">
        <v>178</v>
      </c>
      <c r="CK98" t="s">
        <v>181</v>
      </c>
      <c r="CL98" t="s">
        <v>181</v>
      </c>
      <c r="CM98" t="s">
        <v>181</v>
      </c>
      <c r="CN98" t="s">
        <v>165</v>
      </c>
      <c r="CO98" t="s">
        <v>165</v>
      </c>
      <c r="CP98" t="s">
        <v>165</v>
      </c>
      <c r="CQ98" t="s">
        <v>165</v>
      </c>
      <c r="CR98" t="s">
        <v>165</v>
      </c>
      <c r="CS98" t="s">
        <v>165</v>
      </c>
      <c r="CT98" t="s">
        <v>165</v>
      </c>
      <c r="CU98">
        <v>35</v>
      </c>
      <c r="CV98" t="s">
        <v>183</v>
      </c>
      <c r="CW98" s="154">
        <v>3</v>
      </c>
      <c r="CX98" s="133" t="s">
        <v>199</v>
      </c>
      <c r="CY98" s="133" t="s">
        <v>165</v>
      </c>
      <c r="CZ98" s="133" t="s">
        <v>165</v>
      </c>
      <c r="DA98" s="133" t="s">
        <v>165</v>
      </c>
      <c r="DB98" s="133" t="s">
        <v>165</v>
      </c>
      <c r="DC98" s="133" t="s">
        <v>165</v>
      </c>
      <c r="DD98" s="133" t="s">
        <v>165</v>
      </c>
      <c r="DE98" s="133" t="s">
        <v>165</v>
      </c>
      <c r="DF98" s="133" t="s">
        <v>165</v>
      </c>
      <c r="DG98" s="133" t="s">
        <v>165</v>
      </c>
      <c r="DH98" s="133" t="s">
        <v>165</v>
      </c>
      <c r="DI98" s="133" t="s">
        <v>165</v>
      </c>
      <c r="DJ98" s="133" t="s">
        <v>165</v>
      </c>
      <c r="DK98" s="145">
        <v>432.56244218316402</v>
      </c>
      <c r="DL98" t="s">
        <v>204</v>
      </c>
      <c r="DM98">
        <v>37.1</v>
      </c>
      <c r="DN98" t="s">
        <v>205</v>
      </c>
      <c r="DO98">
        <v>39.61</v>
      </c>
      <c r="DP98" t="s">
        <v>183</v>
      </c>
      <c r="DQ98" s="146">
        <f t="shared" si="14"/>
        <v>0.218807</v>
      </c>
      <c r="DR98" t="s">
        <v>184</v>
      </c>
      <c r="DS98" t="s">
        <v>200</v>
      </c>
      <c r="DT98" t="s">
        <v>201</v>
      </c>
      <c r="DU98">
        <v>1.0271999999999999</v>
      </c>
      <c r="DV98" t="s">
        <v>165</v>
      </c>
      <c r="DW98" t="s">
        <v>165</v>
      </c>
      <c r="DX98" t="s">
        <v>197</v>
      </c>
      <c r="DY98" t="s">
        <v>181</v>
      </c>
      <c r="DZ98" t="s">
        <v>181</v>
      </c>
      <c r="EA98" t="s">
        <v>202</v>
      </c>
      <c r="EB98" t="s">
        <v>203</v>
      </c>
      <c r="EC98" s="147" t="s">
        <v>206</v>
      </c>
      <c r="ED98" s="147" t="s">
        <v>206</v>
      </c>
      <c r="EE98" s="133" t="s">
        <v>165</v>
      </c>
      <c r="EF98" s="133" t="s">
        <v>165</v>
      </c>
      <c r="EG98" s="133" t="s">
        <v>165</v>
      </c>
      <c r="EH98" t="s">
        <v>185</v>
      </c>
      <c r="EI98" t="s">
        <v>179</v>
      </c>
      <c r="EJ98" t="s">
        <v>165</v>
      </c>
      <c r="EK98">
        <v>2425</v>
      </c>
      <c r="EL98" s="147" t="s">
        <v>211</v>
      </c>
      <c r="EM98" s="147">
        <v>175</v>
      </c>
      <c r="EN98">
        <v>175</v>
      </c>
      <c r="EO98" t="s">
        <v>165</v>
      </c>
      <c r="EP98" t="s">
        <v>165</v>
      </c>
      <c r="EQ98" t="s">
        <v>165</v>
      </c>
      <c r="ER98" t="s">
        <v>165</v>
      </c>
      <c r="ES98" s="148">
        <v>8.1610697403956909</v>
      </c>
      <c r="ET98" t="s">
        <v>187</v>
      </c>
      <c r="EU98" s="133" t="s">
        <v>165</v>
      </c>
      <c r="EV98" s="133" t="s">
        <v>165</v>
      </c>
      <c r="EW98" s="149">
        <v>284.57386609999998</v>
      </c>
      <c r="EX98">
        <v>21</v>
      </c>
      <c r="EY98" t="s">
        <v>186</v>
      </c>
      <c r="EZ98" s="150">
        <v>263.57386609999998</v>
      </c>
      <c r="FA98" s="151">
        <v>38.389266939233039</v>
      </c>
      <c r="FB98" s="151">
        <v>36.161952737399986</v>
      </c>
      <c r="FC98" t="s">
        <v>176</v>
      </c>
      <c r="FD98" t="s">
        <v>188</v>
      </c>
      <c r="FE98" t="s">
        <v>165</v>
      </c>
      <c r="FF98" t="s">
        <v>165</v>
      </c>
      <c r="FG98" t="s">
        <v>165</v>
      </c>
      <c r="FH98" t="s">
        <v>165</v>
      </c>
      <c r="FI98" t="s">
        <v>165</v>
      </c>
      <c r="FJ98" t="s">
        <v>165</v>
      </c>
      <c r="FK98" t="s">
        <v>165</v>
      </c>
      <c r="FL98" t="s">
        <v>165</v>
      </c>
      <c r="FM98" t="s">
        <v>165</v>
      </c>
      <c r="FN98" t="s">
        <v>165</v>
      </c>
      <c r="FO98" t="s">
        <v>165</v>
      </c>
      <c r="FP98" t="s">
        <v>165</v>
      </c>
    </row>
    <row r="99" spans="1:172">
      <c r="A99" s="131" t="s">
        <v>154</v>
      </c>
      <c r="B99" t="s">
        <v>155</v>
      </c>
      <c r="C99">
        <v>2017</v>
      </c>
      <c r="D99" s="132" t="s">
        <v>156</v>
      </c>
      <c r="E99" s="145">
        <f t="shared" si="15"/>
        <v>1191.31</v>
      </c>
      <c r="F99">
        <f t="shared" si="16"/>
        <v>2</v>
      </c>
      <c r="G99">
        <f t="shared" si="17"/>
        <v>2</v>
      </c>
      <c r="H99" s="149">
        <f t="shared" si="18"/>
        <v>211.01563530000001</v>
      </c>
      <c r="I99" s="149">
        <f t="shared" si="19"/>
        <v>32.707985576238997</v>
      </c>
      <c r="J99" s="149">
        <f t="shared" si="20"/>
        <v>31.437210493558013</v>
      </c>
      <c r="K99" t="s">
        <v>209</v>
      </c>
      <c r="L99" s="132" t="s">
        <v>210</v>
      </c>
      <c r="M99" s="1" t="s">
        <v>157</v>
      </c>
      <c r="N99" s="132" t="s">
        <v>156</v>
      </c>
      <c r="O99" t="s">
        <v>158</v>
      </c>
      <c r="P99" s="142" t="s">
        <v>162</v>
      </c>
      <c r="Q99" s="142">
        <v>5</v>
      </c>
      <c r="R99" s="142">
        <v>3</v>
      </c>
      <c r="S99" s="143">
        <v>27.029711000000077</v>
      </c>
      <c r="T99" s="143">
        <f t="shared" si="12"/>
        <v>29.029711000000077</v>
      </c>
      <c r="U99" s="144">
        <v>39.37007243</v>
      </c>
      <c r="V99" s="144">
        <v>39.37007243</v>
      </c>
      <c r="W99" t="s">
        <v>165</v>
      </c>
      <c r="X99" t="s">
        <v>160</v>
      </c>
      <c r="Y99" s="135">
        <v>12.74</v>
      </c>
      <c r="Z99" s="135">
        <v>-78.739999999999995</v>
      </c>
      <c r="AA99" t="s">
        <v>165</v>
      </c>
      <c r="AB99" t="s">
        <v>165</v>
      </c>
      <c r="AC99">
        <v>-2839</v>
      </c>
      <c r="AD99" t="s">
        <v>165</v>
      </c>
      <c r="AE99" t="s">
        <v>165</v>
      </c>
      <c r="AF99" t="s">
        <v>165</v>
      </c>
      <c r="AG99">
        <v>1191.31</v>
      </c>
      <c r="AH99" t="s">
        <v>163</v>
      </c>
      <c r="AI99">
        <v>2</v>
      </c>
      <c r="AJ99">
        <v>2</v>
      </c>
      <c r="AK99" t="s">
        <v>165</v>
      </c>
      <c r="AL99" t="s">
        <v>164</v>
      </c>
      <c r="AM99" t="s">
        <v>165</v>
      </c>
      <c r="AN99" t="s">
        <v>165</v>
      </c>
      <c r="AO99" t="s">
        <v>165</v>
      </c>
      <c r="AP99" t="s">
        <v>165</v>
      </c>
      <c r="AQ99" t="s">
        <v>165</v>
      </c>
      <c r="AR99" t="s">
        <v>165</v>
      </c>
      <c r="AS99" t="s">
        <v>165</v>
      </c>
      <c r="AT99" t="s">
        <v>165</v>
      </c>
      <c r="AU99" t="s">
        <v>166</v>
      </c>
      <c r="AV99" t="s">
        <v>167</v>
      </c>
      <c r="AW99" t="s">
        <v>168</v>
      </c>
      <c r="AX99" s="154">
        <v>2</v>
      </c>
      <c r="AY99" t="s">
        <v>169</v>
      </c>
      <c r="AZ99" t="s">
        <v>170</v>
      </c>
      <c r="BA99" t="s">
        <v>171</v>
      </c>
      <c r="BB99" t="s">
        <v>165</v>
      </c>
      <c r="BC99" s="154">
        <v>2</v>
      </c>
      <c r="BD99" s="133" t="s">
        <v>165</v>
      </c>
      <c r="BE99" s="146">
        <v>20.946358920000002</v>
      </c>
      <c r="BF99" t="s">
        <v>172</v>
      </c>
      <c r="BG99" s="146">
        <v>0.146908178</v>
      </c>
      <c r="BH99">
        <v>0.64</v>
      </c>
      <c r="BI99" t="s">
        <v>173</v>
      </c>
      <c r="BJ99">
        <v>3.4000000000000002E-2</v>
      </c>
      <c r="BK99">
        <v>9.1</v>
      </c>
      <c r="BL99" t="s">
        <v>163</v>
      </c>
      <c r="BM99">
        <v>0.56000000000000005</v>
      </c>
      <c r="BN99" t="s">
        <v>174</v>
      </c>
      <c r="BO99" t="s">
        <v>175</v>
      </c>
      <c r="BP99" s="155">
        <f t="shared" si="21"/>
        <v>20.127264866666671</v>
      </c>
      <c r="BQ99" s="133" t="s">
        <v>183</v>
      </c>
      <c r="BR99" s="133" t="s">
        <v>165</v>
      </c>
      <c r="BS99" s="133" t="s">
        <v>165</v>
      </c>
      <c r="BT99" t="s">
        <v>176</v>
      </c>
      <c r="BU99" s="133">
        <v>10</v>
      </c>
      <c r="BV99" s="133" t="s">
        <v>198</v>
      </c>
      <c r="BW99" s="133" t="s">
        <v>165</v>
      </c>
      <c r="BX99" s="145">
        <v>24.921200299999999</v>
      </c>
      <c r="BY99" t="s">
        <v>163</v>
      </c>
      <c r="BZ99">
        <v>3</v>
      </c>
      <c r="CA99">
        <v>3</v>
      </c>
      <c r="CB99" t="s">
        <v>165</v>
      </c>
      <c r="CC99" s="146">
        <v>3.4738315536437967</v>
      </c>
      <c r="CD99" t="s">
        <v>180</v>
      </c>
      <c r="CE99" s="146">
        <f t="shared" si="13"/>
        <v>0.13895326214575188</v>
      </c>
      <c r="CF99" s="146">
        <v>0.13895326214575188</v>
      </c>
      <c r="CG99" s="156" t="s">
        <v>165</v>
      </c>
      <c r="CH99" t="s">
        <v>207</v>
      </c>
      <c r="CI99" t="s">
        <v>165</v>
      </c>
      <c r="CJ99" t="s">
        <v>178</v>
      </c>
      <c r="CK99" t="s">
        <v>181</v>
      </c>
      <c r="CL99" t="s">
        <v>181</v>
      </c>
      <c r="CM99" t="s">
        <v>181</v>
      </c>
      <c r="CN99" t="s">
        <v>165</v>
      </c>
      <c r="CO99" t="s">
        <v>165</v>
      </c>
      <c r="CP99" t="s">
        <v>165</v>
      </c>
      <c r="CQ99" t="s">
        <v>165</v>
      </c>
      <c r="CR99" t="s">
        <v>165</v>
      </c>
      <c r="CS99" t="s">
        <v>165</v>
      </c>
      <c r="CT99" t="s">
        <v>165</v>
      </c>
      <c r="CU99">
        <v>35</v>
      </c>
      <c r="CV99" t="s">
        <v>183</v>
      </c>
      <c r="CW99" s="154">
        <v>3</v>
      </c>
      <c r="CX99" s="133" t="s">
        <v>199</v>
      </c>
      <c r="CY99" s="133" t="s">
        <v>165</v>
      </c>
      <c r="CZ99" s="133" t="s">
        <v>165</v>
      </c>
      <c r="DA99" s="133" t="s">
        <v>165</v>
      </c>
      <c r="DB99" s="133" t="s">
        <v>165</v>
      </c>
      <c r="DC99" s="133" t="s">
        <v>165</v>
      </c>
      <c r="DD99" s="133" t="s">
        <v>165</v>
      </c>
      <c r="DE99" s="133" t="s">
        <v>165</v>
      </c>
      <c r="DF99" s="133" t="s">
        <v>165</v>
      </c>
      <c r="DG99" s="133" t="s">
        <v>165</v>
      </c>
      <c r="DH99" s="133" t="s">
        <v>165</v>
      </c>
      <c r="DI99" s="133" t="s">
        <v>165</v>
      </c>
      <c r="DJ99" s="133" t="s">
        <v>165</v>
      </c>
      <c r="DK99" s="145">
        <v>432.56244218316402</v>
      </c>
      <c r="DL99" t="s">
        <v>204</v>
      </c>
      <c r="DM99">
        <v>37.1</v>
      </c>
      <c r="DN99" t="s">
        <v>205</v>
      </c>
      <c r="DO99">
        <v>39.61</v>
      </c>
      <c r="DP99" t="s">
        <v>183</v>
      </c>
      <c r="DQ99" s="146">
        <f t="shared" si="14"/>
        <v>0.21913100000000002</v>
      </c>
      <c r="DR99" t="s">
        <v>184</v>
      </c>
      <c r="DS99" t="s">
        <v>200</v>
      </c>
      <c r="DT99" t="s">
        <v>201</v>
      </c>
      <c r="DU99">
        <v>1.0271999999999999</v>
      </c>
      <c r="DV99" t="s">
        <v>165</v>
      </c>
      <c r="DW99" t="s">
        <v>165</v>
      </c>
      <c r="DX99" t="s">
        <v>197</v>
      </c>
      <c r="DY99" t="s">
        <v>181</v>
      </c>
      <c r="DZ99" t="s">
        <v>181</v>
      </c>
      <c r="EA99" t="s">
        <v>202</v>
      </c>
      <c r="EB99" t="s">
        <v>203</v>
      </c>
      <c r="EC99" s="147" t="s">
        <v>206</v>
      </c>
      <c r="ED99" s="147" t="s">
        <v>206</v>
      </c>
      <c r="EE99" s="133" t="s">
        <v>165</v>
      </c>
      <c r="EF99" s="133" t="s">
        <v>165</v>
      </c>
      <c r="EG99" s="133" t="s">
        <v>165</v>
      </c>
      <c r="EH99" t="s">
        <v>185</v>
      </c>
      <c r="EI99" t="s">
        <v>179</v>
      </c>
      <c r="EJ99" t="s">
        <v>165</v>
      </c>
      <c r="EK99">
        <v>2426</v>
      </c>
      <c r="EL99" s="147" t="s">
        <v>211</v>
      </c>
      <c r="EM99" s="147">
        <v>175</v>
      </c>
      <c r="EN99">
        <v>175</v>
      </c>
      <c r="EO99" t="s">
        <v>165</v>
      </c>
      <c r="EP99" t="s">
        <v>165</v>
      </c>
      <c r="EQ99" t="s">
        <v>165</v>
      </c>
      <c r="ER99" t="s">
        <v>165</v>
      </c>
      <c r="ES99" s="148">
        <v>8.23007079863679</v>
      </c>
      <c r="ET99" t="s">
        <v>187</v>
      </c>
      <c r="EU99" s="133" t="s">
        <v>165</v>
      </c>
      <c r="EV99" s="133" t="s">
        <v>165</v>
      </c>
      <c r="EW99" s="149">
        <v>232.01563530000001</v>
      </c>
      <c r="EX99">
        <v>21</v>
      </c>
      <c r="EY99" t="s">
        <v>186</v>
      </c>
      <c r="EZ99" s="150">
        <v>211.01563530000001</v>
      </c>
      <c r="FA99" s="151">
        <v>32.707985576238997</v>
      </c>
      <c r="FB99" s="151">
        <v>31.437210493558013</v>
      </c>
      <c r="FC99" t="s">
        <v>176</v>
      </c>
      <c r="FD99" t="s">
        <v>188</v>
      </c>
      <c r="FE99" t="s">
        <v>165</v>
      </c>
      <c r="FF99" t="s">
        <v>165</v>
      </c>
      <c r="FG99" t="s">
        <v>165</v>
      </c>
      <c r="FH99" t="s">
        <v>165</v>
      </c>
      <c r="FI99" t="s">
        <v>165</v>
      </c>
      <c r="FJ99" t="s">
        <v>165</v>
      </c>
      <c r="FK99" t="s">
        <v>165</v>
      </c>
      <c r="FL99" t="s">
        <v>165</v>
      </c>
      <c r="FM99" t="s">
        <v>165</v>
      </c>
      <c r="FN99" t="s">
        <v>165</v>
      </c>
      <c r="FO99" t="s">
        <v>165</v>
      </c>
      <c r="FP99" t="s">
        <v>165</v>
      </c>
    </row>
    <row r="100" spans="1:172">
      <c r="A100" s="131" t="s">
        <v>154</v>
      </c>
      <c r="B100" t="s">
        <v>155</v>
      </c>
      <c r="C100">
        <v>2017</v>
      </c>
      <c r="D100" s="132" t="s">
        <v>156</v>
      </c>
      <c r="E100" s="145">
        <f t="shared" si="15"/>
        <v>1195.1500000000001</v>
      </c>
      <c r="F100">
        <f t="shared" si="16"/>
        <v>2</v>
      </c>
      <c r="G100">
        <f t="shared" si="17"/>
        <v>2</v>
      </c>
      <c r="H100" s="149">
        <f t="shared" si="18"/>
        <v>203.2736453</v>
      </c>
      <c r="I100" s="149">
        <f t="shared" si="19"/>
        <v>32.625007589755</v>
      </c>
      <c r="J100" s="149">
        <f t="shared" si="20"/>
        <v>31.064840117539006</v>
      </c>
      <c r="K100" t="s">
        <v>209</v>
      </c>
      <c r="L100" s="132" t="s">
        <v>210</v>
      </c>
      <c r="M100" s="1" t="s">
        <v>157</v>
      </c>
      <c r="N100" s="132" t="s">
        <v>156</v>
      </c>
      <c r="O100" t="s">
        <v>158</v>
      </c>
      <c r="P100" s="139" t="s">
        <v>162</v>
      </c>
      <c r="Q100" s="139">
        <v>5</v>
      </c>
      <c r="R100" s="139">
        <v>3</v>
      </c>
      <c r="S100" s="140">
        <v>37</v>
      </c>
      <c r="T100" s="140">
        <f t="shared" si="12"/>
        <v>39</v>
      </c>
      <c r="U100" s="141">
        <v>39.47</v>
      </c>
      <c r="V100" s="141">
        <v>39.47</v>
      </c>
      <c r="W100" t="s">
        <v>165</v>
      </c>
      <c r="X100" t="s">
        <v>160</v>
      </c>
      <c r="Y100" s="135">
        <v>12.74</v>
      </c>
      <c r="Z100" s="135">
        <v>-78.739999999999995</v>
      </c>
      <c r="AA100" t="s">
        <v>165</v>
      </c>
      <c r="AB100" t="s">
        <v>165</v>
      </c>
      <c r="AC100">
        <v>-2839</v>
      </c>
      <c r="AD100" t="s">
        <v>165</v>
      </c>
      <c r="AE100" t="s">
        <v>165</v>
      </c>
      <c r="AF100" t="s">
        <v>165</v>
      </c>
      <c r="AG100">
        <v>1195.1500000000001</v>
      </c>
      <c r="AH100" t="s">
        <v>163</v>
      </c>
      <c r="AI100">
        <v>2</v>
      </c>
      <c r="AJ100">
        <v>2</v>
      </c>
      <c r="AK100" t="s">
        <v>165</v>
      </c>
      <c r="AL100" t="s">
        <v>164</v>
      </c>
      <c r="AM100" t="s">
        <v>165</v>
      </c>
      <c r="AN100" t="s">
        <v>165</v>
      </c>
      <c r="AO100" t="s">
        <v>165</v>
      </c>
      <c r="AP100" t="s">
        <v>165</v>
      </c>
      <c r="AQ100" t="s">
        <v>165</v>
      </c>
      <c r="AR100" t="s">
        <v>165</v>
      </c>
      <c r="AS100" t="s">
        <v>165</v>
      </c>
      <c r="AT100" t="s">
        <v>165</v>
      </c>
      <c r="AU100" t="s">
        <v>166</v>
      </c>
      <c r="AV100" t="s">
        <v>167</v>
      </c>
      <c r="AW100" t="s">
        <v>168</v>
      </c>
      <c r="AX100" s="154">
        <v>2</v>
      </c>
      <c r="AY100" t="s">
        <v>169</v>
      </c>
      <c r="AZ100" t="s">
        <v>170</v>
      </c>
      <c r="BA100" t="s">
        <v>171</v>
      </c>
      <c r="BB100" t="s">
        <v>165</v>
      </c>
      <c r="BC100" s="154">
        <v>2</v>
      </c>
      <c r="BD100" s="133" t="s">
        <v>165</v>
      </c>
      <c r="BE100" s="146">
        <v>20.97</v>
      </c>
      <c r="BF100" t="s">
        <v>172</v>
      </c>
      <c r="BG100" s="146">
        <v>0.178041634</v>
      </c>
      <c r="BH100">
        <v>0.64</v>
      </c>
      <c r="BI100" t="s">
        <v>173</v>
      </c>
      <c r="BJ100">
        <v>3.4000000000000002E-2</v>
      </c>
      <c r="BK100">
        <v>9.1</v>
      </c>
      <c r="BL100" t="s">
        <v>163</v>
      </c>
      <c r="BM100">
        <v>0.56000000000000005</v>
      </c>
      <c r="BN100" t="s">
        <v>174</v>
      </c>
      <c r="BO100" t="s">
        <v>175</v>
      </c>
      <c r="BP100" s="155">
        <f t="shared" si="21"/>
        <v>20.166666666666668</v>
      </c>
      <c r="BQ100" s="133" t="s">
        <v>183</v>
      </c>
      <c r="BR100" s="133" t="s">
        <v>165</v>
      </c>
      <c r="BS100" s="133" t="s">
        <v>165</v>
      </c>
      <c r="BT100" t="s">
        <v>176</v>
      </c>
      <c r="BU100" s="133">
        <v>10</v>
      </c>
      <c r="BV100" s="133" t="s">
        <v>198</v>
      </c>
      <c r="BW100" s="133" t="s">
        <v>165</v>
      </c>
      <c r="BX100" s="145">
        <v>24.15624373</v>
      </c>
      <c r="BY100" t="s">
        <v>163</v>
      </c>
      <c r="BZ100">
        <v>3</v>
      </c>
      <c r="CA100">
        <v>3</v>
      </c>
      <c r="CB100" t="s">
        <v>165</v>
      </c>
      <c r="CC100" s="146">
        <v>3.2339694933336096</v>
      </c>
      <c r="CD100" t="s">
        <v>180</v>
      </c>
      <c r="CE100" s="146">
        <f t="shared" si="13"/>
        <v>0.12935877973334439</v>
      </c>
      <c r="CF100" s="146">
        <v>0.12935877973334439</v>
      </c>
      <c r="CG100" s="156" t="s">
        <v>165</v>
      </c>
      <c r="CH100" t="s">
        <v>207</v>
      </c>
      <c r="CI100" t="s">
        <v>165</v>
      </c>
      <c r="CJ100" t="s">
        <v>178</v>
      </c>
      <c r="CK100" t="s">
        <v>181</v>
      </c>
      <c r="CL100" t="s">
        <v>181</v>
      </c>
      <c r="CM100" t="s">
        <v>181</v>
      </c>
      <c r="CN100" t="s">
        <v>165</v>
      </c>
      <c r="CO100" t="s">
        <v>165</v>
      </c>
      <c r="CP100" t="s">
        <v>165</v>
      </c>
      <c r="CQ100" t="s">
        <v>165</v>
      </c>
      <c r="CR100" t="s">
        <v>165</v>
      </c>
      <c r="CS100" t="s">
        <v>165</v>
      </c>
      <c r="CT100" t="s">
        <v>165</v>
      </c>
      <c r="CU100">
        <v>35</v>
      </c>
      <c r="CV100" t="s">
        <v>183</v>
      </c>
      <c r="CW100" s="154">
        <v>3</v>
      </c>
      <c r="CX100" s="133" t="s">
        <v>199</v>
      </c>
      <c r="CY100" s="133" t="s">
        <v>165</v>
      </c>
      <c r="CZ100" s="133" t="s">
        <v>165</v>
      </c>
      <c r="DA100" s="133" t="s">
        <v>165</v>
      </c>
      <c r="DB100" s="133" t="s">
        <v>165</v>
      </c>
      <c r="DC100" s="133" t="s">
        <v>165</v>
      </c>
      <c r="DD100" s="133" t="s">
        <v>165</v>
      </c>
      <c r="DE100" s="133" t="s">
        <v>165</v>
      </c>
      <c r="DF100" s="133" t="s">
        <v>165</v>
      </c>
      <c r="DG100" s="133" t="s">
        <v>165</v>
      </c>
      <c r="DH100" s="133" t="s">
        <v>165</v>
      </c>
      <c r="DI100" s="133" t="s">
        <v>165</v>
      </c>
      <c r="DJ100" s="133" t="s">
        <v>165</v>
      </c>
      <c r="DK100" s="145">
        <v>432.56244218316402</v>
      </c>
      <c r="DL100" t="s">
        <v>204</v>
      </c>
      <c r="DM100">
        <v>37.1</v>
      </c>
      <c r="DN100" t="s">
        <v>205</v>
      </c>
      <c r="DO100">
        <v>39.61</v>
      </c>
      <c r="DP100" t="s">
        <v>183</v>
      </c>
      <c r="DQ100" s="146">
        <f t="shared" ref="DQ100:DQ113" si="22">0.1+0.1*AG100/1000</f>
        <v>0.21951500000000002</v>
      </c>
      <c r="DR100" t="s">
        <v>184</v>
      </c>
      <c r="DS100" t="s">
        <v>200</v>
      </c>
      <c r="DT100" t="s">
        <v>201</v>
      </c>
      <c r="DU100">
        <v>1.0271999999999999</v>
      </c>
      <c r="DV100" t="s">
        <v>165</v>
      </c>
      <c r="DW100" t="s">
        <v>165</v>
      </c>
      <c r="DX100" t="s">
        <v>197</v>
      </c>
      <c r="DY100" t="s">
        <v>181</v>
      </c>
      <c r="DZ100" t="s">
        <v>181</v>
      </c>
      <c r="EA100" t="s">
        <v>202</v>
      </c>
      <c r="EB100" t="s">
        <v>203</v>
      </c>
      <c r="EC100" s="147" t="s">
        <v>206</v>
      </c>
      <c r="ED100" s="147" t="s">
        <v>206</v>
      </c>
      <c r="EE100" s="133" t="s">
        <v>165</v>
      </c>
      <c r="EF100" s="133" t="s">
        <v>165</v>
      </c>
      <c r="EG100" s="133" t="s">
        <v>165</v>
      </c>
      <c r="EH100" t="s">
        <v>185</v>
      </c>
      <c r="EI100" t="s">
        <v>179</v>
      </c>
      <c r="EJ100" t="s">
        <v>165</v>
      </c>
      <c r="EK100">
        <v>2427</v>
      </c>
      <c r="EL100" s="147" t="s">
        <v>211</v>
      </c>
      <c r="EM100" s="147">
        <v>175</v>
      </c>
      <c r="EN100">
        <v>175</v>
      </c>
      <c r="EO100" t="s">
        <v>165</v>
      </c>
      <c r="EP100" t="s">
        <v>165</v>
      </c>
      <c r="EQ100" t="s">
        <v>165</v>
      </c>
      <c r="ER100" t="s">
        <v>165</v>
      </c>
      <c r="ES100" s="148">
        <v>8.2420665574691192</v>
      </c>
      <c r="ET100" t="s">
        <v>187</v>
      </c>
      <c r="EU100" s="133" t="s">
        <v>165</v>
      </c>
      <c r="EV100" s="133" t="s">
        <v>165</v>
      </c>
      <c r="EW100" s="149">
        <v>224.2736453</v>
      </c>
      <c r="EX100">
        <v>21</v>
      </c>
      <c r="EY100" t="s">
        <v>186</v>
      </c>
      <c r="EZ100" s="150">
        <v>203.2736453</v>
      </c>
      <c r="FA100" s="151">
        <v>32.625007589755</v>
      </c>
      <c r="FB100" s="151">
        <v>31.064840117539006</v>
      </c>
      <c r="FC100" t="s">
        <v>176</v>
      </c>
      <c r="FD100" t="s">
        <v>188</v>
      </c>
      <c r="FE100" t="s">
        <v>165</v>
      </c>
      <c r="FF100" t="s">
        <v>165</v>
      </c>
      <c r="FG100" t="s">
        <v>165</v>
      </c>
      <c r="FH100" t="s">
        <v>165</v>
      </c>
      <c r="FI100" t="s">
        <v>165</v>
      </c>
      <c r="FJ100" t="s">
        <v>165</v>
      </c>
      <c r="FK100" t="s">
        <v>165</v>
      </c>
      <c r="FL100" t="s">
        <v>165</v>
      </c>
      <c r="FM100" t="s">
        <v>165</v>
      </c>
      <c r="FN100" t="s">
        <v>165</v>
      </c>
      <c r="FO100" t="s">
        <v>165</v>
      </c>
      <c r="FP100" t="s">
        <v>165</v>
      </c>
    </row>
    <row r="101" spans="1:172">
      <c r="A101" s="131" t="s">
        <v>154</v>
      </c>
      <c r="B101" t="s">
        <v>155</v>
      </c>
      <c r="C101">
        <v>2017</v>
      </c>
      <c r="D101" s="132" t="s">
        <v>156</v>
      </c>
      <c r="E101" s="145">
        <f t="shared" si="15"/>
        <v>1203.26</v>
      </c>
      <c r="F101">
        <f t="shared" si="16"/>
        <v>2</v>
      </c>
      <c r="G101">
        <f t="shared" si="17"/>
        <v>2</v>
      </c>
      <c r="H101" s="149">
        <f t="shared" si="18"/>
        <v>189.30044659999999</v>
      </c>
      <c r="I101" s="149">
        <f t="shared" si="19"/>
        <v>30.683121171037016</v>
      </c>
      <c r="J101" s="149">
        <f t="shared" si="20"/>
        <v>29.642032073037996</v>
      </c>
      <c r="K101" t="s">
        <v>209</v>
      </c>
      <c r="L101" s="132" t="s">
        <v>210</v>
      </c>
      <c r="M101" s="1" t="s">
        <v>157</v>
      </c>
      <c r="N101" s="132" t="s">
        <v>156</v>
      </c>
      <c r="O101" t="s">
        <v>158</v>
      </c>
      <c r="P101" s="142" t="s">
        <v>162</v>
      </c>
      <c r="Q101" s="142">
        <v>5</v>
      </c>
      <c r="R101" s="142">
        <v>3</v>
      </c>
      <c r="S101" s="143">
        <v>58</v>
      </c>
      <c r="T101" s="143">
        <f t="shared" si="12"/>
        <v>60</v>
      </c>
      <c r="U101" s="144">
        <v>39.68</v>
      </c>
      <c r="V101" s="144">
        <v>39.68</v>
      </c>
      <c r="W101" t="s">
        <v>165</v>
      </c>
      <c r="X101" t="s">
        <v>160</v>
      </c>
      <c r="Y101" s="135">
        <v>12.74</v>
      </c>
      <c r="Z101" s="135">
        <v>-78.739999999999995</v>
      </c>
      <c r="AA101" t="s">
        <v>165</v>
      </c>
      <c r="AB101" t="s">
        <v>165</v>
      </c>
      <c r="AC101">
        <v>-2839</v>
      </c>
      <c r="AD101" t="s">
        <v>165</v>
      </c>
      <c r="AE101" t="s">
        <v>165</v>
      </c>
      <c r="AF101" t="s">
        <v>165</v>
      </c>
      <c r="AG101">
        <v>1203.26</v>
      </c>
      <c r="AH101" t="s">
        <v>163</v>
      </c>
      <c r="AI101">
        <v>2</v>
      </c>
      <c r="AJ101">
        <v>2</v>
      </c>
      <c r="AK101" t="s">
        <v>165</v>
      </c>
      <c r="AL101" t="s">
        <v>164</v>
      </c>
      <c r="AM101" t="s">
        <v>165</v>
      </c>
      <c r="AN101" t="s">
        <v>165</v>
      </c>
      <c r="AO101" t="s">
        <v>165</v>
      </c>
      <c r="AP101" t="s">
        <v>165</v>
      </c>
      <c r="AQ101" t="s">
        <v>165</v>
      </c>
      <c r="AR101" t="s">
        <v>165</v>
      </c>
      <c r="AS101" t="s">
        <v>165</v>
      </c>
      <c r="AT101" t="s">
        <v>165</v>
      </c>
      <c r="AU101" t="s">
        <v>166</v>
      </c>
      <c r="AV101" t="s">
        <v>167</v>
      </c>
      <c r="AW101" t="s">
        <v>168</v>
      </c>
      <c r="AX101" s="154">
        <v>2</v>
      </c>
      <c r="AY101" t="s">
        <v>169</v>
      </c>
      <c r="AZ101" t="s">
        <v>170</v>
      </c>
      <c r="BA101" t="s">
        <v>171</v>
      </c>
      <c r="BB101" t="s">
        <v>165</v>
      </c>
      <c r="BC101" s="154">
        <v>2</v>
      </c>
      <c r="BD101" s="133" t="s">
        <v>165</v>
      </c>
      <c r="BE101" s="146">
        <v>21.220684389999999</v>
      </c>
      <c r="BF101" t="s">
        <v>172</v>
      </c>
      <c r="BG101" s="146">
        <v>0.14698281999999999</v>
      </c>
      <c r="BH101">
        <v>0.64</v>
      </c>
      <c r="BI101" t="s">
        <v>173</v>
      </c>
      <c r="BJ101">
        <v>3.4000000000000002E-2</v>
      </c>
      <c r="BK101">
        <v>9.1</v>
      </c>
      <c r="BL101" t="s">
        <v>163</v>
      </c>
      <c r="BM101">
        <v>0.56000000000000005</v>
      </c>
      <c r="BN101" t="s">
        <v>174</v>
      </c>
      <c r="BO101" t="s">
        <v>175</v>
      </c>
      <c r="BP101" s="155">
        <f t="shared" si="21"/>
        <v>20.584473983333332</v>
      </c>
      <c r="BQ101" s="133" t="s">
        <v>183</v>
      </c>
      <c r="BR101" s="133" t="s">
        <v>165</v>
      </c>
      <c r="BS101" s="133" t="s">
        <v>165</v>
      </c>
      <c r="BT101" t="s">
        <v>176</v>
      </c>
      <c r="BU101" s="133">
        <v>10</v>
      </c>
      <c r="BV101" s="133" t="s">
        <v>198</v>
      </c>
      <c r="BW101" s="133" t="s">
        <v>165</v>
      </c>
      <c r="BX101" s="145">
        <v>25.23691556</v>
      </c>
      <c r="BY101" t="s">
        <v>163</v>
      </c>
      <c r="BZ101">
        <v>3</v>
      </c>
      <c r="CA101">
        <v>3</v>
      </c>
      <c r="CB101" t="s">
        <v>165</v>
      </c>
      <c r="CC101" s="146">
        <v>3.5449117641615664</v>
      </c>
      <c r="CD101" t="s">
        <v>180</v>
      </c>
      <c r="CE101" s="146">
        <f t="shared" si="13"/>
        <v>0.14179647056646266</v>
      </c>
      <c r="CF101" s="146">
        <v>0.14179647056646266</v>
      </c>
      <c r="CG101" s="156" t="s">
        <v>165</v>
      </c>
      <c r="CH101" t="s">
        <v>207</v>
      </c>
      <c r="CI101" t="s">
        <v>165</v>
      </c>
      <c r="CJ101" t="s">
        <v>178</v>
      </c>
      <c r="CK101" t="s">
        <v>181</v>
      </c>
      <c r="CL101" t="s">
        <v>181</v>
      </c>
      <c r="CM101" t="s">
        <v>181</v>
      </c>
      <c r="CN101" t="s">
        <v>165</v>
      </c>
      <c r="CO101" t="s">
        <v>165</v>
      </c>
      <c r="CP101" t="s">
        <v>165</v>
      </c>
      <c r="CQ101" t="s">
        <v>165</v>
      </c>
      <c r="CR101" t="s">
        <v>165</v>
      </c>
      <c r="CS101" t="s">
        <v>165</v>
      </c>
      <c r="CT101" t="s">
        <v>165</v>
      </c>
      <c r="CU101">
        <v>35</v>
      </c>
      <c r="CV101" t="s">
        <v>183</v>
      </c>
      <c r="CW101" s="154">
        <v>3</v>
      </c>
      <c r="CX101" s="133" t="s">
        <v>199</v>
      </c>
      <c r="CY101" s="133" t="s">
        <v>165</v>
      </c>
      <c r="CZ101" s="133" t="s">
        <v>165</v>
      </c>
      <c r="DA101" s="133" t="s">
        <v>165</v>
      </c>
      <c r="DB101" s="133" t="s">
        <v>165</v>
      </c>
      <c r="DC101" s="133" t="s">
        <v>165</v>
      </c>
      <c r="DD101" s="133" t="s">
        <v>165</v>
      </c>
      <c r="DE101" s="133" t="s">
        <v>165</v>
      </c>
      <c r="DF101" s="133" t="s">
        <v>165</v>
      </c>
      <c r="DG101" s="133" t="s">
        <v>165</v>
      </c>
      <c r="DH101" s="133" t="s">
        <v>165</v>
      </c>
      <c r="DI101" s="133" t="s">
        <v>165</v>
      </c>
      <c r="DJ101" s="133" t="s">
        <v>165</v>
      </c>
      <c r="DK101" s="145">
        <v>432.56244218316402</v>
      </c>
      <c r="DL101" t="s">
        <v>204</v>
      </c>
      <c r="DM101">
        <v>37.1</v>
      </c>
      <c r="DN101" t="s">
        <v>205</v>
      </c>
      <c r="DO101">
        <v>39.61</v>
      </c>
      <c r="DP101" t="s">
        <v>183</v>
      </c>
      <c r="DQ101" s="146">
        <f t="shared" si="22"/>
        <v>0.22032600000000002</v>
      </c>
      <c r="DR101" t="s">
        <v>184</v>
      </c>
      <c r="DS101" t="s">
        <v>200</v>
      </c>
      <c r="DT101" t="s">
        <v>201</v>
      </c>
      <c r="DU101">
        <v>1.0271999999999999</v>
      </c>
      <c r="DV101" t="s">
        <v>165</v>
      </c>
      <c r="DW101" t="s">
        <v>165</v>
      </c>
      <c r="DX101" t="s">
        <v>197</v>
      </c>
      <c r="DY101" t="s">
        <v>181</v>
      </c>
      <c r="DZ101" t="s">
        <v>181</v>
      </c>
      <c r="EA101" t="s">
        <v>202</v>
      </c>
      <c r="EB101" t="s">
        <v>203</v>
      </c>
      <c r="EC101" s="147" t="s">
        <v>206</v>
      </c>
      <c r="ED101" s="147" t="s">
        <v>206</v>
      </c>
      <c r="EE101" s="133" t="s">
        <v>165</v>
      </c>
      <c r="EF101" s="133" t="s">
        <v>165</v>
      </c>
      <c r="EG101" s="133" t="s">
        <v>165</v>
      </c>
      <c r="EH101" t="s">
        <v>185</v>
      </c>
      <c r="EI101" t="s">
        <v>179</v>
      </c>
      <c r="EJ101" t="s">
        <v>165</v>
      </c>
      <c r="EK101">
        <v>2428</v>
      </c>
      <c r="EL101" s="147" t="s">
        <v>211</v>
      </c>
      <c r="EM101" s="147">
        <v>175</v>
      </c>
      <c r="EN101">
        <v>175</v>
      </c>
      <c r="EO101" t="s">
        <v>165</v>
      </c>
      <c r="EP101" t="s">
        <v>165</v>
      </c>
      <c r="EQ101" t="s">
        <v>165</v>
      </c>
      <c r="ER101" t="s">
        <v>165</v>
      </c>
      <c r="ES101" s="148">
        <v>8.2613797542213305</v>
      </c>
      <c r="ET101" t="s">
        <v>187</v>
      </c>
      <c r="EU101" s="133" t="s">
        <v>165</v>
      </c>
      <c r="EV101" s="133" t="s">
        <v>165</v>
      </c>
      <c r="EW101" s="149">
        <v>210.30044659999999</v>
      </c>
      <c r="EX101">
        <v>21</v>
      </c>
      <c r="EY101" t="s">
        <v>186</v>
      </c>
      <c r="EZ101" s="150">
        <v>189.30044659999999</v>
      </c>
      <c r="FA101" s="151">
        <v>30.683121171037016</v>
      </c>
      <c r="FB101" s="151">
        <v>29.642032073037996</v>
      </c>
      <c r="FC101" t="s">
        <v>176</v>
      </c>
      <c r="FD101" t="s">
        <v>188</v>
      </c>
      <c r="FE101" t="s">
        <v>165</v>
      </c>
      <c r="FF101" t="s">
        <v>165</v>
      </c>
      <c r="FG101" t="s">
        <v>165</v>
      </c>
      <c r="FH101" t="s">
        <v>165</v>
      </c>
      <c r="FI101" t="s">
        <v>165</v>
      </c>
      <c r="FJ101" t="s">
        <v>165</v>
      </c>
      <c r="FK101" t="s">
        <v>165</v>
      </c>
      <c r="FL101" t="s">
        <v>165</v>
      </c>
      <c r="FM101" t="s">
        <v>165</v>
      </c>
      <c r="FN101" t="s">
        <v>165</v>
      </c>
      <c r="FO101" t="s">
        <v>165</v>
      </c>
      <c r="FP101" t="s">
        <v>165</v>
      </c>
    </row>
    <row r="102" spans="1:172">
      <c r="A102" s="131" t="s">
        <v>154</v>
      </c>
      <c r="B102" t="s">
        <v>155</v>
      </c>
      <c r="C102">
        <v>2017</v>
      </c>
      <c r="D102" s="132" t="s">
        <v>156</v>
      </c>
      <c r="E102" s="145">
        <f t="shared" si="15"/>
        <v>1206.76</v>
      </c>
      <c r="F102">
        <f t="shared" si="16"/>
        <v>2</v>
      </c>
      <c r="G102">
        <f t="shared" si="17"/>
        <v>2</v>
      </c>
      <c r="H102" s="149">
        <f t="shared" si="18"/>
        <v>212.9832313</v>
      </c>
      <c r="I102" s="149">
        <f t="shared" si="19"/>
        <v>32.301944586183993</v>
      </c>
      <c r="J102" s="149">
        <f t="shared" si="20"/>
        <v>31.772115733514994</v>
      </c>
      <c r="K102" t="s">
        <v>209</v>
      </c>
      <c r="L102" s="132" t="s">
        <v>210</v>
      </c>
      <c r="M102" s="1" t="s">
        <v>157</v>
      </c>
      <c r="N102" s="132" t="s">
        <v>156</v>
      </c>
      <c r="O102" t="s">
        <v>158</v>
      </c>
      <c r="P102" s="139" t="s">
        <v>162</v>
      </c>
      <c r="Q102" s="139">
        <v>5</v>
      </c>
      <c r="R102" s="139">
        <v>3</v>
      </c>
      <c r="S102" s="140">
        <v>67</v>
      </c>
      <c r="T102" s="140">
        <f t="shared" si="12"/>
        <v>69</v>
      </c>
      <c r="U102" s="141">
        <v>39.770000000000003</v>
      </c>
      <c r="V102" s="141">
        <v>39.770000000000003</v>
      </c>
      <c r="W102" t="s">
        <v>165</v>
      </c>
      <c r="X102" t="s">
        <v>160</v>
      </c>
      <c r="Y102" s="135">
        <v>12.74</v>
      </c>
      <c r="Z102" s="135">
        <v>-78.739999999999995</v>
      </c>
      <c r="AA102" t="s">
        <v>165</v>
      </c>
      <c r="AB102" t="s">
        <v>165</v>
      </c>
      <c r="AC102">
        <v>-2839</v>
      </c>
      <c r="AD102" t="s">
        <v>165</v>
      </c>
      <c r="AE102" t="s">
        <v>165</v>
      </c>
      <c r="AF102" t="s">
        <v>165</v>
      </c>
      <c r="AG102">
        <v>1206.76</v>
      </c>
      <c r="AH102" t="s">
        <v>163</v>
      </c>
      <c r="AI102">
        <v>2</v>
      </c>
      <c r="AJ102">
        <v>2</v>
      </c>
      <c r="AK102" t="s">
        <v>165</v>
      </c>
      <c r="AL102" t="s">
        <v>164</v>
      </c>
      <c r="AM102" t="s">
        <v>165</v>
      </c>
      <c r="AN102" t="s">
        <v>165</v>
      </c>
      <c r="AO102" t="s">
        <v>165</v>
      </c>
      <c r="AP102" t="s">
        <v>165</v>
      </c>
      <c r="AQ102" t="s">
        <v>165</v>
      </c>
      <c r="AR102" t="s">
        <v>165</v>
      </c>
      <c r="AS102" t="s">
        <v>165</v>
      </c>
      <c r="AT102" t="s">
        <v>165</v>
      </c>
      <c r="AU102" t="s">
        <v>166</v>
      </c>
      <c r="AV102" t="s">
        <v>167</v>
      </c>
      <c r="AW102" t="s">
        <v>168</v>
      </c>
      <c r="AX102" s="154">
        <v>2</v>
      </c>
      <c r="AY102" t="s">
        <v>169</v>
      </c>
      <c r="AZ102" t="s">
        <v>170</v>
      </c>
      <c r="BA102" t="s">
        <v>171</v>
      </c>
      <c r="BB102" t="s">
        <v>165</v>
      </c>
      <c r="BC102" s="154">
        <v>2</v>
      </c>
      <c r="BD102" s="133" t="s">
        <v>165</v>
      </c>
      <c r="BE102" s="146">
        <v>20.99090554</v>
      </c>
      <c r="BF102" t="s">
        <v>172</v>
      </c>
      <c r="BG102" s="146">
        <v>0.14387740600000001</v>
      </c>
      <c r="BH102">
        <v>0.64</v>
      </c>
      <c r="BI102" t="s">
        <v>173</v>
      </c>
      <c r="BJ102">
        <v>3.4000000000000002E-2</v>
      </c>
      <c r="BK102">
        <v>9.1</v>
      </c>
      <c r="BL102" t="s">
        <v>163</v>
      </c>
      <c r="BM102">
        <v>0.56000000000000005</v>
      </c>
      <c r="BN102" t="s">
        <v>174</v>
      </c>
      <c r="BO102" t="s">
        <v>175</v>
      </c>
      <c r="BP102" s="155">
        <f t="shared" si="21"/>
        <v>20.201509233333336</v>
      </c>
      <c r="BQ102" s="133" t="s">
        <v>183</v>
      </c>
      <c r="BR102" s="133" t="s">
        <v>165</v>
      </c>
      <c r="BS102" s="133" t="s">
        <v>165</v>
      </c>
      <c r="BT102" t="s">
        <v>176</v>
      </c>
      <c r="BU102" s="133">
        <v>10</v>
      </c>
      <c r="BV102" s="133" t="s">
        <v>198</v>
      </c>
      <c r="BW102" s="133" t="s">
        <v>165</v>
      </c>
      <c r="BX102" s="145">
        <v>25.851531690000002</v>
      </c>
      <c r="BY102" t="s">
        <v>163</v>
      </c>
      <c r="BZ102">
        <v>3</v>
      </c>
      <c r="CA102">
        <v>3</v>
      </c>
      <c r="CB102" t="s">
        <v>165</v>
      </c>
      <c r="CC102" s="146">
        <v>3.7362127829540839</v>
      </c>
      <c r="CD102" t="s">
        <v>180</v>
      </c>
      <c r="CE102" s="146">
        <f t="shared" si="13"/>
        <v>0.14944851131816336</v>
      </c>
      <c r="CF102" s="146">
        <v>0.14944851131816336</v>
      </c>
      <c r="CG102" s="156" t="s">
        <v>165</v>
      </c>
      <c r="CH102" t="s">
        <v>207</v>
      </c>
      <c r="CI102" t="s">
        <v>165</v>
      </c>
      <c r="CJ102" t="s">
        <v>178</v>
      </c>
      <c r="CK102" t="s">
        <v>181</v>
      </c>
      <c r="CL102" t="s">
        <v>181</v>
      </c>
      <c r="CM102" t="s">
        <v>181</v>
      </c>
      <c r="CN102" t="s">
        <v>165</v>
      </c>
      <c r="CO102" t="s">
        <v>165</v>
      </c>
      <c r="CP102" t="s">
        <v>165</v>
      </c>
      <c r="CQ102" t="s">
        <v>165</v>
      </c>
      <c r="CR102" t="s">
        <v>165</v>
      </c>
      <c r="CS102" t="s">
        <v>165</v>
      </c>
      <c r="CT102" t="s">
        <v>165</v>
      </c>
      <c r="CU102">
        <v>35</v>
      </c>
      <c r="CV102" t="s">
        <v>183</v>
      </c>
      <c r="CW102" s="154">
        <v>3</v>
      </c>
      <c r="CX102" s="133" t="s">
        <v>199</v>
      </c>
      <c r="CY102" s="133" t="s">
        <v>165</v>
      </c>
      <c r="CZ102" s="133" t="s">
        <v>165</v>
      </c>
      <c r="DA102" s="133" t="s">
        <v>165</v>
      </c>
      <c r="DB102" s="133" t="s">
        <v>165</v>
      </c>
      <c r="DC102" s="133" t="s">
        <v>165</v>
      </c>
      <c r="DD102" s="133" t="s">
        <v>165</v>
      </c>
      <c r="DE102" s="133" t="s">
        <v>165</v>
      </c>
      <c r="DF102" s="133" t="s">
        <v>165</v>
      </c>
      <c r="DG102" s="133" t="s">
        <v>165</v>
      </c>
      <c r="DH102" s="133" t="s">
        <v>165</v>
      </c>
      <c r="DI102" s="133" t="s">
        <v>165</v>
      </c>
      <c r="DJ102" s="133" t="s">
        <v>165</v>
      </c>
      <c r="DK102" s="145">
        <v>432.56244218316402</v>
      </c>
      <c r="DL102" t="s">
        <v>204</v>
      </c>
      <c r="DM102">
        <v>37.1</v>
      </c>
      <c r="DN102" t="s">
        <v>205</v>
      </c>
      <c r="DO102">
        <v>39.61</v>
      </c>
      <c r="DP102" t="s">
        <v>183</v>
      </c>
      <c r="DQ102" s="146">
        <f t="shared" si="22"/>
        <v>0.22067600000000001</v>
      </c>
      <c r="DR102" t="s">
        <v>184</v>
      </c>
      <c r="DS102" t="s">
        <v>200</v>
      </c>
      <c r="DT102" t="s">
        <v>201</v>
      </c>
      <c r="DU102">
        <v>1.0271999999999999</v>
      </c>
      <c r="DV102" t="s">
        <v>165</v>
      </c>
      <c r="DW102" t="s">
        <v>165</v>
      </c>
      <c r="DX102" t="s">
        <v>197</v>
      </c>
      <c r="DY102" t="s">
        <v>181</v>
      </c>
      <c r="DZ102" t="s">
        <v>181</v>
      </c>
      <c r="EA102" t="s">
        <v>202</v>
      </c>
      <c r="EB102" t="s">
        <v>203</v>
      </c>
      <c r="EC102" s="147" t="s">
        <v>206</v>
      </c>
      <c r="ED102" s="147" t="s">
        <v>206</v>
      </c>
      <c r="EE102" s="133" t="s">
        <v>165</v>
      </c>
      <c r="EF102" s="133" t="s">
        <v>165</v>
      </c>
      <c r="EG102" s="133" t="s">
        <v>165</v>
      </c>
      <c r="EH102" t="s">
        <v>185</v>
      </c>
      <c r="EI102" t="s">
        <v>179</v>
      </c>
      <c r="EJ102" t="s">
        <v>165</v>
      </c>
      <c r="EK102">
        <v>2429</v>
      </c>
      <c r="EL102" s="147" t="s">
        <v>211</v>
      </c>
      <c r="EM102" s="147">
        <v>175</v>
      </c>
      <c r="EN102">
        <v>175</v>
      </c>
      <c r="EO102" t="s">
        <v>165</v>
      </c>
      <c r="EP102" t="s">
        <v>165</v>
      </c>
      <c r="EQ102" t="s">
        <v>165</v>
      </c>
      <c r="ER102" t="s">
        <v>165</v>
      </c>
      <c r="ES102" s="148">
        <v>8.2252836891415999</v>
      </c>
      <c r="ET102" t="s">
        <v>187</v>
      </c>
      <c r="EU102" s="133" t="s">
        <v>165</v>
      </c>
      <c r="EV102" s="133" t="s">
        <v>165</v>
      </c>
      <c r="EW102" s="149">
        <v>233.9832313</v>
      </c>
      <c r="EX102">
        <v>21</v>
      </c>
      <c r="EY102" t="s">
        <v>186</v>
      </c>
      <c r="EZ102" s="150">
        <v>212.9832313</v>
      </c>
      <c r="FA102" s="151">
        <v>32.301944586183993</v>
      </c>
      <c r="FB102" s="151">
        <v>31.772115733514994</v>
      </c>
      <c r="FC102" t="s">
        <v>176</v>
      </c>
      <c r="FD102" t="s">
        <v>188</v>
      </c>
      <c r="FE102" t="s">
        <v>165</v>
      </c>
      <c r="FF102" t="s">
        <v>165</v>
      </c>
      <c r="FG102" t="s">
        <v>165</v>
      </c>
      <c r="FH102" t="s">
        <v>165</v>
      </c>
      <c r="FI102" t="s">
        <v>165</v>
      </c>
      <c r="FJ102" t="s">
        <v>165</v>
      </c>
      <c r="FK102" t="s">
        <v>165</v>
      </c>
      <c r="FL102" t="s">
        <v>165</v>
      </c>
      <c r="FM102" t="s">
        <v>165</v>
      </c>
      <c r="FN102" t="s">
        <v>165</v>
      </c>
      <c r="FO102" t="s">
        <v>165</v>
      </c>
      <c r="FP102" t="s">
        <v>165</v>
      </c>
    </row>
    <row r="103" spans="1:172">
      <c r="A103" s="131" t="s">
        <v>154</v>
      </c>
      <c r="B103" t="s">
        <v>155</v>
      </c>
      <c r="C103">
        <v>2017</v>
      </c>
      <c r="D103" s="132" t="s">
        <v>156</v>
      </c>
      <c r="E103" s="145">
        <f t="shared" si="15"/>
        <v>1209.99</v>
      </c>
      <c r="F103">
        <f t="shared" si="16"/>
        <v>2</v>
      </c>
      <c r="G103">
        <f t="shared" si="17"/>
        <v>2</v>
      </c>
      <c r="H103" s="149">
        <f t="shared" si="18"/>
        <v>235.1503955</v>
      </c>
      <c r="I103" s="149">
        <f t="shared" si="19"/>
        <v>36.447523315226022</v>
      </c>
      <c r="J103" s="149">
        <f t="shared" si="20"/>
        <v>34.145107930322013</v>
      </c>
      <c r="K103" t="s">
        <v>209</v>
      </c>
      <c r="L103" s="132" t="s">
        <v>210</v>
      </c>
      <c r="M103" s="1" t="s">
        <v>157</v>
      </c>
      <c r="N103" s="132" t="s">
        <v>156</v>
      </c>
      <c r="O103" t="s">
        <v>158</v>
      </c>
      <c r="P103" s="139" t="s">
        <v>162</v>
      </c>
      <c r="Q103" s="139">
        <v>5</v>
      </c>
      <c r="R103" s="139">
        <v>3</v>
      </c>
      <c r="S103" s="140">
        <v>77.78518100000008</v>
      </c>
      <c r="T103" s="140">
        <f t="shared" si="12"/>
        <v>79.78518100000008</v>
      </c>
      <c r="U103" s="141">
        <v>39.87762713</v>
      </c>
      <c r="V103" s="141">
        <v>39.87762713</v>
      </c>
      <c r="W103" t="s">
        <v>165</v>
      </c>
      <c r="X103" t="s">
        <v>160</v>
      </c>
      <c r="Y103" s="135">
        <v>12.74</v>
      </c>
      <c r="Z103" s="135">
        <v>-78.739999999999995</v>
      </c>
      <c r="AA103" t="s">
        <v>165</v>
      </c>
      <c r="AB103" t="s">
        <v>165</v>
      </c>
      <c r="AC103">
        <v>-2839</v>
      </c>
      <c r="AD103" t="s">
        <v>165</v>
      </c>
      <c r="AE103" t="s">
        <v>165</v>
      </c>
      <c r="AF103" t="s">
        <v>165</v>
      </c>
      <c r="AG103">
        <v>1209.99</v>
      </c>
      <c r="AH103" t="s">
        <v>163</v>
      </c>
      <c r="AI103">
        <v>2</v>
      </c>
      <c r="AJ103">
        <v>2</v>
      </c>
      <c r="AK103" t="s">
        <v>165</v>
      </c>
      <c r="AL103" t="s">
        <v>164</v>
      </c>
      <c r="AM103" t="s">
        <v>165</v>
      </c>
      <c r="AN103" t="s">
        <v>165</v>
      </c>
      <c r="AO103" t="s">
        <v>165</v>
      </c>
      <c r="AP103" t="s">
        <v>165</v>
      </c>
      <c r="AQ103" t="s">
        <v>165</v>
      </c>
      <c r="AR103" t="s">
        <v>165</v>
      </c>
      <c r="AS103" t="s">
        <v>165</v>
      </c>
      <c r="AT103" t="s">
        <v>165</v>
      </c>
      <c r="AU103" t="s">
        <v>166</v>
      </c>
      <c r="AV103" t="s">
        <v>167</v>
      </c>
      <c r="AW103" t="s">
        <v>168</v>
      </c>
      <c r="AX103" s="154">
        <v>2</v>
      </c>
      <c r="AY103" t="s">
        <v>169</v>
      </c>
      <c r="AZ103" t="s">
        <v>170</v>
      </c>
      <c r="BA103" t="s">
        <v>171</v>
      </c>
      <c r="BB103" t="s">
        <v>165</v>
      </c>
      <c r="BC103" s="154">
        <v>2</v>
      </c>
      <c r="BD103" s="133" t="s">
        <v>165</v>
      </c>
      <c r="BE103" s="146">
        <v>20.71</v>
      </c>
      <c r="BF103" t="s">
        <v>172</v>
      </c>
      <c r="BG103" s="146">
        <v>0.18053741400000001</v>
      </c>
      <c r="BH103">
        <v>0.64</v>
      </c>
      <c r="BI103" t="s">
        <v>173</v>
      </c>
      <c r="BJ103">
        <v>3.4000000000000002E-2</v>
      </c>
      <c r="BK103">
        <v>9.1</v>
      </c>
      <c r="BL103" t="s">
        <v>163</v>
      </c>
      <c r="BM103">
        <v>0.56000000000000005</v>
      </c>
      <c r="BN103" t="s">
        <v>174</v>
      </c>
      <c r="BO103" t="s">
        <v>175</v>
      </c>
      <c r="BP103" s="155">
        <f t="shared" si="21"/>
        <v>19.733333333333338</v>
      </c>
      <c r="BQ103" s="133" t="s">
        <v>183</v>
      </c>
      <c r="BR103" s="133" t="s">
        <v>165</v>
      </c>
      <c r="BS103" s="133" t="s">
        <v>165</v>
      </c>
      <c r="BT103" t="s">
        <v>176</v>
      </c>
      <c r="BU103" s="133">
        <v>10</v>
      </c>
      <c r="BV103" s="133" t="s">
        <v>198</v>
      </c>
      <c r="BW103" s="133" t="s">
        <v>165</v>
      </c>
      <c r="BX103" s="145">
        <v>25.158027149999999</v>
      </c>
      <c r="BY103" t="s">
        <v>163</v>
      </c>
      <c r="BZ103">
        <v>3</v>
      </c>
      <c r="CA103">
        <v>3</v>
      </c>
      <c r="CB103" t="s">
        <v>165</v>
      </c>
      <c r="CC103" s="146">
        <v>3.5052854622714156</v>
      </c>
      <c r="CD103" t="s">
        <v>180</v>
      </c>
      <c r="CE103" s="146">
        <f t="shared" si="13"/>
        <v>0.14021141849085664</v>
      </c>
      <c r="CF103" s="146">
        <v>0.14021141849085664</v>
      </c>
      <c r="CG103" s="156" t="s">
        <v>165</v>
      </c>
      <c r="CH103" t="s">
        <v>207</v>
      </c>
      <c r="CI103" t="s">
        <v>165</v>
      </c>
      <c r="CJ103" t="s">
        <v>178</v>
      </c>
      <c r="CK103" t="s">
        <v>181</v>
      </c>
      <c r="CL103" t="s">
        <v>181</v>
      </c>
      <c r="CM103" t="s">
        <v>181</v>
      </c>
      <c r="CN103" t="s">
        <v>165</v>
      </c>
      <c r="CO103" t="s">
        <v>165</v>
      </c>
      <c r="CP103" t="s">
        <v>165</v>
      </c>
      <c r="CQ103" t="s">
        <v>165</v>
      </c>
      <c r="CR103" t="s">
        <v>165</v>
      </c>
      <c r="CS103" t="s">
        <v>165</v>
      </c>
      <c r="CT103" t="s">
        <v>165</v>
      </c>
      <c r="CU103">
        <v>35</v>
      </c>
      <c r="CV103" t="s">
        <v>183</v>
      </c>
      <c r="CW103" s="154">
        <v>3</v>
      </c>
      <c r="CX103" s="133" t="s">
        <v>199</v>
      </c>
      <c r="CY103" s="133" t="s">
        <v>165</v>
      </c>
      <c r="CZ103" s="133" t="s">
        <v>165</v>
      </c>
      <c r="DA103" s="133" t="s">
        <v>165</v>
      </c>
      <c r="DB103" s="133" t="s">
        <v>165</v>
      </c>
      <c r="DC103" s="133" t="s">
        <v>165</v>
      </c>
      <c r="DD103" s="133" t="s">
        <v>165</v>
      </c>
      <c r="DE103" s="133" t="s">
        <v>165</v>
      </c>
      <c r="DF103" s="133" t="s">
        <v>165</v>
      </c>
      <c r="DG103" s="133" t="s">
        <v>165</v>
      </c>
      <c r="DH103" s="133" t="s">
        <v>165</v>
      </c>
      <c r="DI103" s="133" t="s">
        <v>165</v>
      </c>
      <c r="DJ103" s="133" t="s">
        <v>165</v>
      </c>
      <c r="DK103" s="145">
        <v>432.56244218316402</v>
      </c>
      <c r="DL103" t="s">
        <v>204</v>
      </c>
      <c r="DM103">
        <v>37.1</v>
      </c>
      <c r="DN103" t="s">
        <v>205</v>
      </c>
      <c r="DO103">
        <v>39.61</v>
      </c>
      <c r="DP103" t="s">
        <v>183</v>
      </c>
      <c r="DQ103" s="146">
        <f t="shared" si="22"/>
        <v>0.220999</v>
      </c>
      <c r="DR103" t="s">
        <v>184</v>
      </c>
      <c r="DS103" t="s">
        <v>200</v>
      </c>
      <c r="DT103" t="s">
        <v>201</v>
      </c>
      <c r="DU103">
        <v>1.0271999999999999</v>
      </c>
      <c r="DV103" t="s">
        <v>165</v>
      </c>
      <c r="DW103" t="s">
        <v>165</v>
      </c>
      <c r="DX103" t="s">
        <v>197</v>
      </c>
      <c r="DY103" t="s">
        <v>181</v>
      </c>
      <c r="DZ103" t="s">
        <v>181</v>
      </c>
      <c r="EA103" t="s">
        <v>202</v>
      </c>
      <c r="EB103" t="s">
        <v>203</v>
      </c>
      <c r="EC103" s="147" t="s">
        <v>206</v>
      </c>
      <c r="ED103" s="147" t="s">
        <v>206</v>
      </c>
      <c r="EE103" s="133" t="s">
        <v>165</v>
      </c>
      <c r="EF103" s="133" t="s">
        <v>165</v>
      </c>
      <c r="EG103" s="133" t="s">
        <v>165</v>
      </c>
      <c r="EH103" t="s">
        <v>185</v>
      </c>
      <c r="EI103" t="s">
        <v>179</v>
      </c>
      <c r="EJ103" t="s">
        <v>165</v>
      </c>
      <c r="EK103">
        <v>2430</v>
      </c>
      <c r="EL103" s="147" t="s">
        <v>211</v>
      </c>
      <c r="EM103" s="147">
        <v>175</v>
      </c>
      <c r="EN103">
        <v>175</v>
      </c>
      <c r="EO103" t="s">
        <v>165</v>
      </c>
      <c r="EP103" t="s">
        <v>165</v>
      </c>
      <c r="EQ103" t="s">
        <v>165</v>
      </c>
      <c r="ER103" t="s">
        <v>165</v>
      </c>
      <c r="ES103" s="148">
        <v>8.1962874395774907</v>
      </c>
      <c r="ET103" t="s">
        <v>187</v>
      </c>
      <c r="EU103" s="133" t="s">
        <v>165</v>
      </c>
      <c r="EV103" s="133" t="s">
        <v>165</v>
      </c>
      <c r="EW103" s="149">
        <v>256.1503955</v>
      </c>
      <c r="EX103">
        <v>21</v>
      </c>
      <c r="EY103" t="s">
        <v>186</v>
      </c>
      <c r="EZ103" s="150">
        <v>235.1503955</v>
      </c>
      <c r="FA103" s="151">
        <v>36.447523315226022</v>
      </c>
      <c r="FB103" s="151">
        <v>34.145107930322013</v>
      </c>
      <c r="FC103" t="s">
        <v>176</v>
      </c>
      <c r="FD103" t="s">
        <v>188</v>
      </c>
      <c r="FE103" t="s">
        <v>165</v>
      </c>
      <c r="FF103" t="s">
        <v>165</v>
      </c>
      <c r="FG103" t="s">
        <v>165</v>
      </c>
      <c r="FH103" t="s">
        <v>165</v>
      </c>
      <c r="FI103" t="s">
        <v>165</v>
      </c>
      <c r="FJ103" t="s">
        <v>165</v>
      </c>
      <c r="FK103" t="s">
        <v>165</v>
      </c>
      <c r="FL103" t="s">
        <v>165</v>
      </c>
      <c r="FM103" t="s">
        <v>165</v>
      </c>
      <c r="FN103" t="s">
        <v>165</v>
      </c>
      <c r="FO103" t="s">
        <v>165</v>
      </c>
      <c r="FP103" t="s">
        <v>165</v>
      </c>
    </row>
    <row r="104" spans="1:172">
      <c r="A104" s="131" t="s">
        <v>154</v>
      </c>
      <c r="B104" t="s">
        <v>155</v>
      </c>
      <c r="C104">
        <v>2017</v>
      </c>
      <c r="D104" s="132" t="s">
        <v>156</v>
      </c>
      <c r="E104" s="145">
        <f t="shared" si="15"/>
        <v>1214.48</v>
      </c>
      <c r="F104">
        <f t="shared" si="16"/>
        <v>2</v>
      </c>
      <c r="G104">
        <f t="shared" si="17"/>
        <v>2</v>
      </c>
      <c r="H104" s="149">
        <f t="shared" si="18"/>
        <v>288.0500356</v>
      </c>
      <c r="I104" s="149">
        <f t="shared" si="19"/>
        <v>40.133098718538974</v>
      </c>
      <c r="J104" s="149">
        <f t="shared" si="20"/>
        <v>39.118647608976005</v>
      </c>
      <c r="K104" t="s">
        <v>209</v>
      </c>
      <c r="L104" s="132" t="s">
        <v>210</v>
      </c>
      <c r="M104" s="1" t="s">
        <v>157</v>
      </c>
      <c r="N104" s="132" t="s">
        <v>156</v>
      </c>
      <c r="O104" t="s">
        <v>158</v>
      </c>
      <c r="P104" s="142" t="s">
        <v>162</v>
      </c>
      <c r="Q104" s="142">
        <v>5</v>
      </c>
      <c r="R104" s="142">
        <v>3</v>
      </c>
      <c r="S104" s="143">
        <v>94.703500999999989</v>
      </c>
      <c r="T104" s="143">
        <f t="shared" si="12"/>
        <v>96.703500999999989</v>
      </c>
      <c r="U104" s="144">
        <v>40.04681033</v>
      </c>
      <c r="V104" s="144">
        <v>40.04681033</v>
      </c>
      <c r="W104" t="s">
        <v>165</v>
      </c>
      <c r="X104" t="s">
        <v>160</v>
      </c>
      <c r="Y104" s="135">
        <v>12.74</v>
      </c>
      <c r="Z104" s="135">
        <v>-78.739999999999995</v>
      </c>
      <c r="AA104" t="s">
        <v>165</v>
      </c>
      <c r="AB104" t="s">
        <v>165</v>
      </c>
      <c r="AC104">
        <v>-2839</v>
      </c>
      <c r="AD104" t="s">
        <v>165</v>
      </c>
      <c r="AE104" t="s">
        <v>165</v>
      </c>
      <c r="AF104" t="s">
        <v>165</v>
      </c>
      <c r="AG104">
        <v>1214.48</v>
      </c>
      <c r="AH104" t="s">
        <v>163</v>
      </c>
      <c r="AI104">
        <v>2</v>
      </c>
      <c r="AJ104">
        <v>2</v>
      </c>
      <c r="AK104" t="s">
        <v>165</v>
      </c>
      <c r="AL104" t="s">
        <v>164</v>
      </c>
      <c r="AM104" t="s">
        <v>165</v>
      </c>
      <c r="AN104" t="s">
        <v>165</v>
      </c>
      <c r="AO104" t="s">
        <v>165</v>
      </c>
      <c r="AP104" t="s">
        <v>165</v>
      </c>
      <c r="AQ104" t="s">
        <v>165</v>
      </c>
      <c r="AR104" t="s">
        <v>165</v>
      </c>
      <c r="AS104" t="s">
        <v>165</v>
      </c>
      <c r="AT104" t="s">
        <v>165</v>
      </c>
      <c r="AU104" t="s">
        <v>166</v>
      </c>
      <c r="AV104" t="s">
        <v>167</v>
      </c>
      <c r="AW104" t="s">
        <v>168</v>
      </c>
      <c r="AX104" s="154">
        <v>2</v>
      </c>
      <c r="AY104" t="s">
        <v>169</v>
      </c>
      <c r="AZ104" t="s">
        <v>170</v>
      </c>
      <c r="BA104" t="s">
        <v>171</v>
      </c>
      <c r="BB104" t="s">
        <v>165</v>
      </c>
      <c r="BC104" s="154">
        <v>2</v>
      </c>
      <c r="BD104" s="133" t="s">
        <v>165</v>
      </c>
      <c r="BE104" s="146">
        <v>20.234999999999999</v>
      </c>
      <c r="BF104" t="s">
        <v>172</v>
      </c>
      <c r="BG104" s="146">
        <v>0.17693286</v>
      </c>
      <c r="BH104">
        <v>0.64</v>
      </c>
      <c r="BI104" t="s">
        <v>173</v>
      </c>
      <c r="BJ104">
        <v>3.4000000000000002E-2</v>
      </c>
      <c r="BK104">
        <v>9.1</v>
      </c>
      <c r="BL104" t="s">
        <v>163</v>
      </c>
      <c r="BM104">
        <v>0.56000000000000005</v>
      </c>
      <c r="BN104" t="s">
        <v>174</v>
      </c>
      <c r="BO104" t="s">
        <v>175</v>
      </c>
      <c r="BP104" s="155">
        <f t="shared" si="21"/>
        <v>18.941666666666666</v>
      </c>
      <c r="BQ104" s="133" t="s">
        <v>183</v>
      </c>
      <c r="BR104" s="133" t="s">
        <v>165</v>
      </c>
      <c r="BS104" s="133" t="s">
        <v>165</v>
      </c>
      <c r="BT104" t="s">
        <v>176</v>
      </c>
      <c r="BU104" s="133">
        <v>10</v>
      </c>
      <c r="BV104" s="133" t="s">
        <v>198</v>
      </c>
      <c r="BW104" s="133" t="s">
        <v>165</v>
      </c>
      <c r="BX104" s="145">
        <v>24.977316030000001</v>
      </c>
      <c r="BY104" t="s">
        <v>163</v>
      </c>
      <c r="BZ104">
        <v>3</v>
      </c>
      <c r="CA104">
        <v>3</v>
      </c>
      <c r="CB104" t="s">
        <v>165</v>
      </c>
      <c r="CC104" s="146">
        <v>3.4343385689548018</v>
      </c>
      <c r="CD104" t="s">
        <v>180</v>
      </c>
      <c r="CE104" s="146">
        <f t="shared" si="13"/>
        <v>0.13737354275819208</v>
      </c>
      <c r="CF104" s="146">
        <v>0.13737354275819208</v>
      </c>
      <c r="CG104" s="156" t="s">
        <v>165</v>
      </c>
      <c r="CH104" t="s">
        <v>207</v>
      </c>
      <c r="CI104" t="s">
        <v>165</v>
      </c>
      <c r="CJ104" t="s">
        <v>178</v>
      </c>
      <c r="CK104" t="s">
        <v>181</v>
      </c>
      <c r="CL104" t="s">
        <v>181</v>
      </c>
      <c r="CM104" t="s">
        <v>181</v>
      </c>
      <c r="CN104" t="s">
        <v>165</v>
      </c>
      <c r="CO104" t="s">
        <v>165</v>
      </c>
      <c r="CP104" t="s">
        <v>165</v>
      </c>
      <c r="CQ104" t="s">
        <v>165</v>
      </c>
      <c r="CR104" t="s">
        <v>165</v>
      </c>
      <c r="CS104" t="s">
        <v>165</v>
      </c>
      <c r="CT104" t="s">
        <v>165</v>
      </c>
      <c r="CU104">
        <v>35</v>
      </c>
      <c r="CV104" t="s">
        <v>183</v>
      </c>
      <c r="CW104" s="154">
        <v>3</v>
      </c>
      <c r="CX104" s="133" t="s">
        <v>199</v>
      </c>
      <c r="CY104" s="133" t="s">
        <v>165</v>
      </c>
      <c r="CZ104" s="133" t="s">
        <v>165</v>
      </c>
      <c r="DA104" s="133" t="s">
        <v>165</v>
      </c>
      <c r="DB104" s="133" t="s">
        <v>165</v>
      </c>
      <c r="DC104" s="133" t="s">
        <v>165</v>
      </c>
      <c r="DD104" s="133" t="s">
        <v>165</v>
      </c>
      <c r="DE104" s="133" t="s">
        <v>165</v>
      </c>
      <c r="DF104" s="133" t="s">
        <v>165</v>
      </c>
      <c r="DG104" s="133" t="s">
        <v>165</v>
      </c>
      <c r="DH104" s="133" t="s">
        <v>165</v>
      </c>
      <c r="DI104" s="133" t="s">
        <v>165</v>
      </c>
      <c r="DJ104" s="133" t="s">
        <v>165</v>
      </c>
      <c r="DK104" s="145">
        <v>432.56244218316402</v>
      </c>
      <c r="DL104" t="s">
        <v>204</v>
      </c>
      <c r="DM104">
        <v>37.1</v>
      </c>
      <c r="DN104" t="s">
        <v>205</v>
      </c>
      <c r="DO104">
        <v>39.61</v>
      </c>
      <c r="DP104" t="s">
        <v>183</v>
      </c>
      <c r="DQ104" s="146">
        <f t="shared" si="22"/>
        <v>0.22144800000000003</v>
      </c>
      <c r="DR104" t="s">
        <v>184</v>
      </c>
      <c r="DS104" t="s">
        <v>200</v>
      </c>
      <c r="DT104" t="s">
        <v>201</v>
      </c>
      <c r="DU104">
        <v>1.0271999999999999</v>
      </c>
      <c r="DV104" t="s">
        <v>165</v>
      </c>
      <c r="DW104" t="s">
        <v>165</v>
      </c>
      <c r="DX104" t="s">
        <v>197</v>
      </c>
      <c r="DY104" t="s">
        <v>181</v>
      </c>
      <c r="DZ104" t="s">
        <v>181</v>
      </c>
      <c r="EA104" t="s">
        <v>202</v>
      </c>
      <c r="EB104" t="s">
        <v>203</v>
      </c>
      <c r="EC104" s="147" t="s">
        <v>206</v>
      </c>
      <c r="ED104" s="147" t="s">
        <v>206</v>
      </c>
      <c r="EE104" s="133" t="s">
        <v>165</v>
      </c>
      <c r="EF104" s="133" t="s">
        <v>165</v>
      </c>
      <c r="EG104" s="133" t="s">
        <v>165</v>
      </c>
      <c r="EH104" t="s">
        <v>185</v>
      </c>
      <c r="EI104" t="s">
        <v>179</v>
      </c>
      <c r="EJ104" t="s">
        <v>165</v>
      </c>
      <c r="EK104">
        <v>2431</v>
      </c>
      <c r="EL104" s="147" t="s">
        <v>211</v>
      </c>
      <c r="EM104" s="147">
        <v>175</v>
      </c>
      <c r="EN104">
        <v>175</v>
      </c>
      <c r="EO104" t="s">
        <v>165</v>
      </c>
      <c r="EP104" t="s">
        <v>165</v>
      </c>
      <c r="EQ104" t="s">
        <v>165</v>
      </c>
      <c r="ER104" t="s">
        <v>165</v>
      </c>
      <c r="ES104" s="148">
        <v>8.1333092552126907</v>
      </c>
      <c r="ET104" t="s">
        <v>187</v>
      </c>
      <c r="EU104" s="133" t="s">
        <v>165</v>
      </c>
      <c r="EV104" s="133" t="s">
        <v>165</v>
      </c>
      <c r="EW104" s="149">
        <v>309.0500356</v>
      </c>
      <c r="EX104">
        <v>21</v>
      </c>
      <c r="EY104" t="s">
        <v>186</v>
      </c>
      <c r="EZ104" s="150">
        <v>288.0500356</v>
      </c>
      <c r="FA104" s="151">
        <v>40.133098718538974</v>
      </c>
      <c r="FB104" s="151">
        <v>39.118647608976005</v>
      </c>
      <c r="FC104" t="s">
        <v>176</v>
      </c>
      <c r="FD104" t="s">
        <v>188</v>
      </c>
      <c r="FE104" t="s">
        <v>165</v>
      </c>
      <c r="FF104" t="s">
        <v>165</v>
      </c>
      <c r="FG104" t="s">
        <v>165</v>
      </c>
      <c r="FH104" t="s">
        <v>165</v>
      </c>
      <c r="FI104" t="s">
        <v>165</v>
      </c>
      <c r="FJ104" t="s">
        <v>165</v>
      </c>
      <c r="FK104" t="s">
        <v>165</v>
      </c>
      <c r="FL104" t="s">
        <v>165</v>
      </c>
      <c r="FM104" t="s">
        <v>165</v>
      </c>
      <c r="FN104" t="s">
        <v>165</v>
      </c>
      <c r="FO104" t="s">
        <v>165</v>
      </c>
      <c r="FP104" t="s">
        <v>165</v>
      </c>
    </row>
    <row r="105" spans="1:172">
      <c r="A105" s="131" t="s">
        <v>154</v>
      </c>
      <c r="B105" t="s">
        <v>155</v>
      </c>
      <c r="C105">
        <v>2017</v>
      </c>
      <c r="D105" s="132" t="s">
        <v>156</v>
      </c>
      <c r="E105" s="145">
        <f t="shared" si="15"/>
        <v>1216.42</v>
      </c>
      <c r="F105">
        <f t="shared" si="16"/>
        <v>2</v>
      </c>
      <c r="G105">
        <f t="shared" si="17"/>
        <v>2</v>
      </c>
      <c r="H105" s="149">
        <f t="shared" si="18"/>
        <v>271.69856399999998</v>
      </c>
      <c r="I105" s="149">
        <f t="shared" si="19"/>
        <v>40.300393314868018</v>
      </c>
      <c r="J105" s="149">
        <f t="shared" si="20"/>
        <v>37.671469581254968</v>
      </c>
      <c r="K105" t="s">
        <v>209</v>
      </c>
      <c r="L105" s="132" t="s">
        <v>210</v>
      </c>
      <c r="M105" s="1" t="s">
        <v>157</v>
      </c>
      <c r="N105" s="132" t="s">
        <v>156</v>
      </c>
      <c r="O105" t="s">
        <v>158</v>
      </c>
      <c r="P105" s="142" t="s">
        <v>162</v>
      </c>
      <c r="Q105" s="142">
        <v>5</v>
      </c>
      <c r="R105" s="142">
        <v>3</v>
      </c>
      <c r="S105" s="143">
        <v>102</v>
      </c>
      <c r="T105" s="143">
        <f t="shared" si="12"/>
        <v>104</v>
      </c>
      <c r="U105" s="144">
        <v>40.119999999999997</v>
      </c>
      <c r="V105" s="144">
        <v>40.119999999999997</v>
      </c>
      <c r="W105" t="s">
        <v>165</v>
      </c>
      <c r="X105" t="s">
        <v>160</v>
      </c>
      <c r="Y105" s="135">
        <v>12.74</v>
      </c>
      <c r="Z105" s="135">
        <v>-78.739999999999995</v>
      </c>
      <c r="AA105" t="s">
        <v>165</v>
      </c>
      <c r="AB105" t="s">
        <v>165</v>
      </c>
      <c r="AC105">
        <v>-2839</v>
      </c>
      <c r="AD105" t="s">
        <v>165</v>
      </c>
      <c r="AE105" t="s">
        <v>165</v>
      </c>
      <c r="AF105" t="s">
        <v>165</v>
      </c>
      <c r="AG105">
        <v>1216.42</v>
      </c>
      <c r="AH105" t="s">
        <v>163</v>
      </c>
      <c r="AI105">
        <v>2</v>
      </c>
      <c r="AJ105">
        <v>2</v>
      </c>
      <c r="AK105" t="s">
        <v>165</v>
      </c>
      <c r="AL105" t="s">
        <v>164</v>
      </c>
      <c r="AM105" t="s">
        <v>165</v>
      </c>
      <c r="AN105" t="s">
        <v>165</v>
      </c>
      <c r="AO105" t="s">
        <v>165</v>
      </c>
      <c r="AP105" t="s">
        <v>165</v>
      </c>
      <c r="AQ105" t="s">
        <v>165</v>
      </c>
      <c r="AR105" t="s">
        <v>165</v>
      </c>
      <c r="AS105" t="s">
        <v>165</v>
      </c>
      <c r="AT105" t="s">
        <v>165</v>
      </c>
      <c r="AU105" t="s">
        <v>166</v>
      </c>
      <c r="AV105" t="s">
        <v>167</v>
      </c>
      <c r="AW105" t="s">
        <v>168</v>
      </c>
      <c r="AX105" s="154">
        <v>2</v>
      </c>
      <c r="AY105" t="s">
        <v>169</v>
      </c>
      <c r="AZ105" t="s">
        <v>170</v>
      </c>
      <c r="BA105" t="s">
        <v>171</v>
      </c>
      <c r="BB105" t="s">
        <v>165</v>
      </c>
      <c r="BC105" s="154">
        <v>2</v>
      </c>
      <c r="BD105" s="133" t="s">
        <v>165</v>
      </c>
      <c r="BE105" s="146">
        <v>20.356538149999999</v>
      </c>
      <c r="BF105" t="s">
        <v>172</v>
      </c>
      <c r="BG105" s="146">
        <v>0.21990035999999999</v>
      </c>
      <c r="BH105">
        <v>0.64</v>
      </c>
      <c r="BI105" t="s">
        <v>173</v>
      </c>
      <c r="BJ105">
        <v>3.4000000000000002E-2</v>
      </c>
      <c r="BK105">
        <v>9.1</v>
      </c>
      <c r="BL105" t="s">
        <v>163</v>
      </c>
      <c r="BM105">
        <v>0.56000000000000005</v>
      </c>
      <c r="BN105" t="s">
        <v>174</v>
      </c>
      <c r="BO105" t="s">
        <v>175</v>
      </c>
      <c r="BP105" s="155">
        <f t="shared" si="21"/>
        <v>19.14423025</v>
      </c>
      <c r="BQ105" s="133" t="s">
        <v>183</v>
      </c>
      <c r="BR105" s="133" t="s">
        <v>165</v>
      </c>
      <c r="BS105" s="133" t="s">
        <v>165</v>
      </c>
      <c r="BT105" t="s">
        <v>176</v>
      </c>
      <c r="BU105" s="133">
        <v>10</v>
      </c>
      <c r="BV105" s="133" t="s">
        <v>198</v>
      </c>
      <c r="BW105" s="133" t="s">
        <v>165</v>
      </c>
      <c r="BX105" s="145">
        <v>24.84939455</v>
      </c>
      <c r="BY105" t="s">
        <v>163</v>
      </c>
      <c r="BZ105">
        <v>3</v>
      </c>
      <c r="CA105">
        <v>3</v>
      </c>
      <c r="CB105" t="s">
        <v>165</v>
      </c>
      <c r="CC105" s="146">
        <v>3.3902624608114964</v>
      </c>
      <c r="CD105" t="s">
        <v>180</v>
      </c>
      <c r="CE105" s="146">
        <f t="shared" si="13"/>
        <v>0.13561049843245987</v>
      </c>
      <c r="CF105" s="146">
        <v>0.13561049843245987</v>
      </c>
      <c r="CG105" s="156" t="s">
        <v>165</v>
      </c>
      <c r="CH105" t="s">
        <v>207</v>
      </c>
      <c r="CI105" t="s">
        <v>165</v>
      </c>
      <c r="CJ105" t="s">
        <v>178</v>
      </c>
      <c r="CK105" t="s">
        <v>181</v>
      </c>
      <c r="CL105" t="s">
        <v>181</v>
      </c>
      <c r="CM105" t="s">
        <v>181</v>
      </c>
      <c r="CN105" t="s">
        <v>165</v>
      </c>
      <c r="CO105" t="s">
        <v>165</v>
      </c>
      <c r="CP105" t="s">
        <v>165</v>
      </c>
      <c r="CQ105" t="s">
        <v>165</v>
      </c>
      <c r="CR105" t="s">
        <v>165</v>
      </c>
      <c r="CS105" t="s">
        <v>165</v>
      </c>
      <c r="CT105" t="s">
        <v>165</v>
      </c>
      <c r="CU105">
        <v>35</v>
      </c>
      <c r="CV105" t="s">
        <v>183</v>
      </c>
      <c r="CW105" s="154">
        <v>3</v>
      </c>
      <c r="CX105" s="133" t="s">
        <v>199</v>
      </c>
      <c r="CY105" s="133" t="s">
        <v>165</v>
      </c>
      <c r="CZ105" s="133" t="s">
        <v>165</v>
      </c>
      <c r="DA105" s="133" t="s">
        <v>165</v>
      </c>
      <c r="DB105" s="133" t="s">
        <v>165</v>
      </c>
      <c r="DC105" s="133" t="s">
        <v>165</v>
      </c>
      <c r="DD105" s="133" t="s">
        <v>165</v>
      </c>
      <c r="DE105" s="133" t="s">
        <v>165</v>
      </c>
      <c r="DF105" s="133" t="s">
        <v>165</v>
      </c>
      <c r="DG105" s="133" t="s">
        <v>165</v>
      </c>
      <c r="DH105" s="133" t="s">
        <v>165</v>
      </c>
      <c r="DI105" s="133" t="s">
        <v>165</v>
      </c>
      <c r="DJ105" s="133" t="s">
        <v>165</v>
      </c>
      <c r="DK105" s="145">
        <v>432.56244218316402</v>
      </c>
      <c r="DL105" t="s">
        <v>204</v>
      </c>
      <c r="DM105">
        <v>37.1</v>
      </c>
      <c r="DN105" t="s">
        <v>205</v>
      </c>
      <c r="DO105">
        <v>39.61</v>
      </c>
      <c r="DP105" t="s">
        <v>183</v>
      </c>
      <c r="DQ105" s="146">
        <f t="shared" si="22"/>
        <v>0.22164200000000001</v>
      </c>
      <c r="DR105" t="s">
        <v>184</v>
      </c>
      <c r="DS105" t="s">
        <v>200</v>
      </c>
      <c r="DT105" t="s">
        <v>201</v>
      </c>
      <c r="DU105">
        <v>1.0271999999999999</v>
      </c>
      <c r="DV105" t="s">
        <v>165</v>
      </c>
      <c r="DW105" t="s">
        <v>165</v>
      </c>
      <c r="DX105" t="s">
        <v>197</v>
      </c>
      <c r="DY105" t="s">
        <v>181</v>
      </c>
      <c r="DZ105" t="s">
        <v>181</v>
      </c>
      <c r="EA105" t="s">
        <v>202</v>
      </c>
      <c r="EB105" t="s">
        <v>203</v>
      </c>
      <c r="EC105" s="147" t="s">
        <v>206</v>
      </c>
      <c r="ED105" s="147" t="s">
        <v>206</v>
      </c>
      <c r="EE105" s="133" t="s">
        <v>165</v>
      </c>
      <c r="EF105" s="133" t="s">
        <v>165</v>
      </c>
      <c r="EG105" s="133" t="s">
        <v>165</v>
      </c>
      <c r="EH105" t="s">
        <v>185</v>
      </c>
      <c r="EI105" t="s">
        <v>179</v>
      </c>
      <c r="EJ105" t="s">
        <v>165</v>
      </c>
      <c r="EK105">
        <v>2432</v>
      </c>
      <c r="EL105" s="147" t="s">
        <v>211</v>
      </c>
      <c r="EM105" s="147">
        <v>175</v>
      </c>
      <c r="EN105">
        <v>175</v>
      </c>
      <c r="EO105" t="s">
        <v>165</v>
      </c>
      <c r="EP105" t="s">
        <v>165</v>
      </c>
      <c r="EQ105" t="s">
        <v>165</v>
      </c>
      <c r="ER105" t="s">
        <v>165</v>
      </c>
      <c r="ES105" s="148">
        <v>8.1518829649970606</v>
      </c>
      <c r="ET105" t="s">
        <v>187</v>
      </c>
      <c r="EU105" s="133" t="s">
        <v>165</v>
      </c>
      <c r="EV105" s="133" t="s">
        <v>165</v>
      </c>
      <c r="EW105" s="149">
        <v>292.69856399999998</v>
      </c>
      <c r="EX105">
        <v>21</v>
      </c>
      <c r="EY105" t="s">
        <v>186</v>
      </c>
      <c r="EZ105" s="150">
        <v>271.69856399999998</v>
      </c>
      <c r="FA105" s="151">
        <v>40.300393314868018</v>
      </c>
      <c r="FB105" s="151">
        <v>37.671469581254968</v>
      </c>
      <c r="FC105" t="s">
        <v>176</v>
      </c>
      <c r="FD105" t="s">
        <v>188</v>
      </c>
      <c r="FE105" t="s">
        <v>165</v>
      </c>
      <c r="FF105" t="s">
        <v>165</v>
      </c>
      <c r="FG105" t="s">
        <v>165</v>
      </c>
      <c r="FH105" t="s">
        <v>165</v>
      </c>
      <c r="FI105" t="s">
        <v>165</v>
      </c>
      <c r="FJ105" t="s">
        <v>165</v>
      </c>
      <c r="FK105" t="s">
        <v>165</v>
      </c>
      <c r="FL105" t="s">
        <v>165</v>
      </c>
      <c r="FM105" t="s">
        <v>165</v>
      </c>
      <c r="FN105" t="s">
        <v>165</v>
      </c>
      <c r="FO105" t="s">
        <v>165</v>
      </c>
      <c r="FP105" t="s">
        <v>165</v>
      </c>
    </row>
    <row r="106" spans="1:172">
      <c r="A106" s="131" t="s">
        <v>154</v>
      </c>
      <c r="B106" t="s">
        <v>155</v>
      </c>
      <c r="C106">
        <v>2017</v>
      </c>
      <c r="D106" s="132" t="s">
        <v>156</v>
      </c>
      <c r="E106" s="145">
        <f t="shared" si="15"/>
        <v>1218.54</v>
      </c>
      <c r="F106">
        <f t="shared" si="16"/>
        <v>2</v>
      </c>
      <c r="G106">
        <f t="shared" si="17"/>
        <v>2</v>
      </c>
      <c r="H106" s="149">
        <f t="shared" si="18"/>
        <v>301.07789350000002</v>
      </c>
      <c r="I106" s="149">
        <f t="shared" si="19"/>
        <v>44.66716765528497</v>
      </c>
      <c r="J106" s="149">
        <f t="shared" si="20"/>
        <v>41.818762933787013</v>
      </c>
      <c r="K106" t="s">
        <v>209</v>
      </c>
      <c r="L106" s="132" t="s">
        <v>210</v>
      </c>
      <c r="M106" s="1" t="s">
        <v>157</v>
      </c>
      <c r="N106" s="132" t="s">
        <v>156</v>
      </c>
      <c r="O106" t="s">
        <v>158</v>
      </c>
      <c r="P106" s="139" t="s">
        <v>162</v>
      </c>
      <c r="Q106" s="139">
        <v>5</v>
      </c>
      <c r="R106" s="139">
        <v>3</v>
      </c>
      <c r="S106" s="140">
        <v>110</v>
      </c>
      <c r="T106" s="140">
        <f t="shared" si="12"/>
        <v>112</v>
      </c>
      <c r="U106" s="141">
        <v>40.200000000000003</v>
      </c>
      <c r="V106" s="141">
        <v>40.200000000000003</v>
      </c>
      <c r="W106" t="s">
        <v>165</v>
      </c>
      <c r="X106" t="s">
        <v>160</v>
      </c>
      <c r="Y106" s="135">
        <v>12.74</v>
      </c>
      <c r="Z106" s="135">
        <v>-78.739999999999995</v>
      </c>
      <c r="AA106" t="s">
        <v>165</v>
      </c>
      <c r="AB106" t="s">
        <v>165</v>
      </c>
      <c r="AC106">
        <v>-2839</v>
      </c>
      <c r="AD106" t="s">
        <v>165</v>
      </c>
      <c r="AE106" t="s">
        <v>165</v>
      </c>
      <c r="AF106" t="s">
        <v>165</v>
      </c>
      <c r="AG106">
        <v>1218.54</v>
      </c>
      <c r="AH106" t="s">
        <v>163</v>
      </c>
      <c r="AI106">
        <v>2</v>
      </c>
      <c r="AJ106">
        <v>2</v>
      </c>
      <c r="AK106" t="s">
        <v>165</v>
      </c>
      <c r="AL106" t="s">
        <v>164</v>
      </c>
      <c r="AM106" t="s">
        <v>165</v>
      </c>
      <c r="AN106" t="s">
        <v>165</v>
      </c>
      <c r="AO106" t="s">
        <v>165</v>
      </c>
      <c r="AP106" t="s">
        <v>165</v>
      </c>
      <c r="AQ106" t="s">
        <v>165</v>
      </c>
      <c r="AR106" t="s">
        <v>165</v>
      </c>
      <c r="AS106" t="s">
        <v>165</v>
      </c>
      <c r="AT106" t="s">
        <v>165</v>
      </c>
      <c r="AU106" t="s">
        <v>166</v>
      </c>
      <c r="AV106" t="s">
        <v>167</v>
      </c>
      <c r="AW106" t="s">
        <v>168</v>
      </c>
      <c r="AX106" s="154">
        <v>2</v>
      </c>
      <c r="AY106" t="s">
        <v>169</v>
      </c>
      <c r="AZ106" t="s">
        <v>170</v>
      </c>
      <c r="BA106" t="s">
        <v>171</v>
      </c>
      <c r="BB106" t="s">
        <v>165</v>
      </c>
      <c r="BC106" s="154">
        <v>2</v>
      </c>
      <c r="BD106" s="133" t="s">
        <v>165</v>
      </c>
      <c r="BE106" s="146">
        <v>20.073427200000001</v>
      </c>
      <c r="BF106" t="s">
        <v>172</v>
      </c>
      <c r="BG106" s="146">
        <v>0.22101573799999999</v>
      </c>
      <c r="BH106">
        <v>0.64</v>
      </c>
      <c r="BI106" t="s">
        <v>173</v>
      </c>
      <c r="BJ106">
        <v>3.4000000000000002E-2</v>
      </c>
      <c r="BK106">
        <v>9.1</v>
      </c>
      <c r="BL106" t="s">
        <v>163</v>
      </c>
      <c r="BM106">
        <v>0.56000000000000005</v>
      </c>
      <c r="BN106" t="s">
        <v>174</v>
      </c>
      <c r="BO106" t="s">
        <v>175</v>
      </c>
      <c r="BP106" s="155">
        <f t="shared" si="21"/>
        <v>18.67237866666667</v>
      </c>
      <c r="BQ106" s="133" t="s">
        <v>183</v>
      </c>
      <c r="BR106" s="133" t="s">
        <v>165</v>
      </c>
      <c r="BS106" s="133" t="s">
        <v>165</v>
      </c>
      <c r="BT106" t="s">
        <v>176</v>
      </c>
      <c r="BU106" s="133">
        <v>10</v>
      </c>
      <c r="BV106" s="133" t="s">
        <v>198</v>
      </c>
      <c r="BW106" s="133" t="s">
        <v>165</v>
      </c>
      <c r="BX106" s="145">
        <v>24.129130150000002</v>
      </c>
      <c r="BY106" t="s">
        <v>163</v>
      </c>
      <c r="BZ106">
        <v>3</v>
      </c>
      <c r="CA106">
        <v>3</v>
      </c>
      <c r="CB106" t="s">
        <v>165</v>
      </c>
      <c r="CC106" s="146">
        <v>3.1729908929986768</v>
      </c>
      <c r="CD106" t="s">
        <v>180</v>
      </c>
      <c r="CE106" s="146">
        <f t="shared" si="13"/>
        <v>0.12691963571994708</v>
      </c>
      <c r="CF106" s="146">
        <v>0.12691963571994708</v>
      </c>
      <c r="CG106" s="156" t="s">
        <v>165</v>
      </c>
      <c r="CH106" t="s">
        <v>207</v>
      </c>
      <c r="CI106" t="s">
        <v>165</v>
      </c>
      <c r="CJ106" t="s">
        <v>178</v>
      </c>
      <c r="CK106" t="s">
        <v>181</v>
      </c>
      <c r="CL106" t="s">
        <v>181</v>
      </c>
      <c r="CM106" t="s">
        <v>181</v>
      </c>
      <c r="CN106" t="s">
        <v>165</v>
      </c>
      <c r="CO106" t="s">
        <v>165</v>
      </c>
      <c r="CP106" t="s">
        <v>165</v>
      </c>
      <c r="CQ106" t="s">
        <v>165</v>
      </c>
      <c r="CR106" t="s">
        <v>165</v>
      </c>
      <c r="CS106" t="s">
        <v>165</v>
      </c>
      <c r="CT106" t="s">
        <v>165</v>
      </c>
      <c r="CU106">
        <v>35</v>
      </c>
      <c r="CV106" t="s">
        <v>183</v>
      </c>
      <c r="CW106" s="154">
        <v>3</v>
      </c>
      <c r="CX106" s="133" t="s">
        <v>199</v>
      </c>
      <c r="CY106" s="133" t="s">
        <v>165</v>
      </c>
      <c r="CZ106" s="133" t="s">
        <v>165</v>
      </c>
      <c r="DA106" s="133" t="s">
        <v>165</v>
      </c>
      <c r="DB106" s="133" t="s">
        <v>165</v>
      </c>
      <c r="DC106" s="133" t="s">
        <v>165</v>
      </c>
      <c r="DD106" s="133" t="s">
        <v>165</v>
      </c>
      <c r="DE106" s="133" t="s">
        <v>165</v>
      </c>
      <c r="DF106" s="133" t="s">
        <v>165</v>
      </c>
      <c r="DG106" s="133" t="s">
        <v>165</v>
      </c>
      <c r="DH106" s="133" t="s">
        <v>165</v>
      </c>
      <c r="DI106" s="133" t="s">
        <v>165</v>
      </c>
      <c r="DJ106" s="133" t="s">
        <v>165</v>
      </c>
      <c r="DK106" s="145">
        <v>432.56244218316402</v>
      </c>
      <c r="DL106" t="s">
        <v>204</v>
      </c>
      <c r="DM106">
        <v>37.1</v>
      </c>
      <c r="DN106" t="s">
        <v>205</v>
      </c>
      <c r="DO106">
        <v>39.61</v>
      </c>
      <c r="DP106" t="s">
        <v>183</v>
      </c>
      <c r="DQ106" s="146">
        <f t="shared" si="22"/>
        <v>0.221854</v>
      </c>
      <c r="DR106" t="s">
        <v>184</v>
      </c>
      <c r="DS106" t="s">
        <v>200</v>
      </c>
      <c r="DT106" t="s">
        <v>201</v>
      </c>
      <c r="DU106">
        <v>1.0271999999999999</v>
      </c>
      <c r="DV106" t="s">
        <v>165</v>
      </c>
      <c r="DW106" t="s">
        <v>165</v>
      </c>
      <c r="DX106" t="s">
        <v>197</v>
      </c>
      <c r="DY106" t="s">
        <v>181</v>
      </c>
      <c r="DZ106" t="s">
        <v>181</v>
      </c>
      <c r="EA106" t="s">
        <v>202</v>
      </c>
      <c r="EB106" t="s">
        <v>203</v>
      </c>
      <c r="EC106" s="147" t="s">
        <v>206</v>
      </c>
      <c r="ED106" s="147" t="s">
        <v>206</v>
      </c>
      <c r="EE106" s="133" t="s">
        <v>165</v>
      </c>
      <c r="EF106" s="133" t="s">
        <v>165</v>
      </c>
      <c r="EG106" s="133" t="s">
        <v>165</v>
      </c>
      <c r="EH106" t="s">
        <v>185</v>
      </c>
      <c r="EI106" t="s">
        <v>179</v>
      </c>
      <c r="EJ106" t="s">
        <v>165</v>
      </c>
      <c r="EK106">
        <v>2433</v>
      </c>
      <c r="EL106" s="147" t="s">
        <v>211</v>
      </c>
      <c r="EM106" s="147">
        <v>175</v>
      </c>
      <c r="EN106">
        <v>175</v>
      </c>
      <c r="EO106" t="s">
        <v>165</v>
      </c>
      <c r="EP106" t="s">
        <v>165</v>
      </c>
      <c r="EQ106" t="s">
        <v>165</v>
      </c>
      <c r="ER106" t="s">
        <v>165</v>
      </c>
      <c r="ES106" s="148">
        <v>8.1197951003869004</v>
      </c>
      <c r="ET106" t="s">
        <v>187</v>
      </c>
      <c r="EU106" s="133" t="s">
        <v>165</v>
      </c>
      <c r="EV106" s="133" t="s">
        <v>165</v>
      </c>
      <c r="EW106" s="149">
        <v>322.07789350000002</v>
      </c>
      <c r="EX106">
        <v>21</v>
      </c>
      <c r="EY106" t="s">
        <v>186</v>
      </c>
      <c r="EZ106" s="150">
        <v>301.07789350000002</v>
      </c>
      <c r="FA106" s="151">
        <v>44.66716765528497</v>
      </c>
      <c r="FB106" s="151">
        <v>41.818762933787013</v>
      </c>
      <c r="FC106" t="s">
        <v>176</v>
      </c>
      <c r="FD106" t="s">
        <v>188</v>
      </c>
      <c r="FE106" t="s">
        <v>165</v>
      </c>
      <c r="FF106" t="s">
        <v>165</v>
      </c>
      <c r="FG106" t="s">
        <v>165</v>
      </c>
      <c r="FH106" t="s">
        <v>165</v>
      </c>
      <c r="FI106" t="s">
        <v>165</v>
      </c>
      <c r="FJ106" t="s">
        <v>165</v>
      </c>
      <c r="FK106" t="s">
        <v>165</v>
      </c>
      <c r="FL106" t="s">
        <v>165</v>
      </c>
      <c r="FM106" t="s">
        <v>165</v>
      </c>
      <c r="FN106" t="s">
        <v>165</v>
      </c>
      <c r="FO106" t="s">
        <v>165</v>
      </c>
      <c r="FP106" t="s">
        <v>165</v>
      </c>
    </row>
    <row r="107" spans="1:172">
      <c r="A107" s="131" t="s">
        <v>154</v>
      </c>
      <c r="B107" t="s">
        <v>155</v>
      </c>
      <c r="C107">
        <v>2017</v>
      </c>
      <c r="D107" s="132" t="s">
        <v>156</v>
      </c>
      <c r="E107" s="145">
        <f t="shared" si="15"/>
        <v>1224.18</v>
      </c>
      <c r="F107">
        <f t="shared" si="16"/>
        <v>2</v>
      </c>
      <c r="G107">
        <f t="shared" si="17"/>
        <v>2</v>
      </c>
      <c r="H107" s="149">
        <f t="shared" si="18"/>
        <v>252.53129150000001</v>
      </c>
      <c r="I107" s="149">
        <f t="shared" si="19"/>
        <v>37.92943187202701</v>
      </c>
      <c r="J107" s="149">
        <f t="shared" si="20"/>
        <v>37.543007119137002</v>
      </c>
      <c r="K107" t="s">
        <v>209</v>
      </c>
      <c r="L107" s="132" t="s">
        <v>210</v>
      </c>
      <c r="M107" s="1" t="s">
        <v>157</v>
      </c>
      <c r="N107" s="132" t="s">
        <v>156</v>
      </c>
      <c r="O107" t="s">
        <v>158</v>
      </c>
      <c r="P107" s="142" t="s">
        <v>162</v>
      </c>
      <c r="Q107" s="142">
        <v>5</v>
      </c>
      <c r="R107" s="142">
        <v>3</v>
      </c>
      <c r="S107" s="143">
        <v>128.54058400000022</v>
      </c>
      <c r="T107" s="143">
        <f t="shared" si="12"/>
        <v>130.54058400000022</v>
      </c>
      <c r="U107" s="144">
        <v>40.385181160000002</v>
      </c>
      <c r="V107" s="144">
        <v>40.385181160000002</v>
      </c>
      <c r="W107" t="s">
        <v>165</v>
      </c>
      <c r="X107" t="s">
        <v>160</v>
      </c>
      <c r="Y107" s="135">
        <v>12.74</v>
      </c>
      <c r="Z107" s="135">
        <v>-78.739999999999995</v>
      </c>
      <c r="AA107" t="s">
        <v>165</v>
      </c>
      <c r="AB107" t="s">
        <v>165</v>
      </c>
      <c r="AC107">
        <v>-2839</v>
      </c>
      <c r="AD107" t="s">
        <v>165</v>
      </c>
      <c r="AE107" t="s">
        <v>165</v>
      </c>
      <c r="AF107" t="s">
        <v>165</v>
      </c>
      <c r="AG107">
        <v>1224.18</v>
      </c>
      <c r="AH107" t="s">
        <v>163</v>
      </c>
      <c r="AI107">
        <v>2</v>
      </c>
      <c r="AJ107">
        <v>2</v>
      </c>
      <c r="AK107" t="s">
        <v>165</v>
      </c>
      <c r="AL107" t="s">
        <v>164</v>
      </c>
      <c r="AM107" t="s">
        <v>165</v>
      </c>
      <c r="AN107" t="s">
        <v>165</v>
      </c>
      <c r="AO107" t="s">
        <v>165</v>
      </c>
      <c r="AP107" t="s">
        <v>165</v>
      </c>
      <c r="AQ107" t="s">
        <v>165</v>
      </c>
      <c r="AR107" t="s">
        <v>165</v>
      </c>
      <c r="AS107" t="s">
        <v>165</v>
      </c>
      <c r="AT107" t="s">
        <v>165</v>
      </c>
      <c r="AU107" t="s">
        <v>166</v>
      </c>
      <c r="AV107" t="s">
        <v>167</v>
      </c>
      <c r="AW107" t="s">
        <v>168</v>
      </c>
      <c r="AX107" s="154">
        <v>2</v>
      </c>
      <c r="AY107" t="s">
        <v>169</v>
      </c>
      <c r="AZ107" t="s">
        <v>170</v>
      </c>
      <c r="BA107" t="s">
        <v>171</v>
      </c>
      <c r="BB107" t="s">
        <v>165</v>
      </c>
      <c r="BC107" s="154">
        <v>2</v>
      </c>
      <c r="BD107" s="133" t="s">
        <v>165</v>
      </c>
      <c r="BE107" s="146">
        <v>20.531904579999999</v>
      </c>
      <c r="BF107" t="s">
        <v>172</v>
      </c>
      <c r="BG107" s="146">
        <v>0.23632450399999999</v>
      </c>
      <c r="BH107">
        <v>0.64</v>
      </c>
      <c r="BI107" t="s">
        <v>173</v>
      </c>
      <c r="BJ107">
        <v>3.4000000000000002E-2</v>
      </c>
      <c r="BK107">
        <v>9.1</v>
      </c>
      <c r="BL107" t="s">
        <v>163</v>
      </c>
      <c r="BM107">
        <v>0.56000000000000005</v>
      </c>
      <c r="BN107" t="s">
        <v>174</v>
      </c>
      <c r="BO107" t="s">
        <v>175</v>
      </c>
      <c r="BP107" s="155">
        <f t="shared" si="21"/>
        <v>19.436507633333335</v>
      </c>
      <c r="BQ107" s="133" t="s">
        <v>183</v>
      </c>
      <c r="BR107" s="133" t="s">
        <v>165</v>
      </c>
      <c r="BS107" s="133" t="s">
        <v>165</v>
      </c>
      <c r="BT107" t="s">
        <v>176</v>
      </c>
      <c r="BU107" s="133">
        <v>10</v>
      </c>
      <c r="BV107" s="133" t="s">
        <v>198</v>
      </c>
      <c r="BW107" s="133" t="s">
        <v>165</v>
      </c>
      <c r="BX107" s="145">
        <v>24.9842008</v>
      </c>
      <c r="BY107" t="s">
        <v>163</v>
      </c>
      <c r="BZ107">
        <v>3</v>
      </c>
      <c r="CA107">
        <v>3</v>
      </c>
      <c r="CB107" t="s">
        <v>165</v>
      </c>
      <c r="CC107" s="146">
        <v>3.412260624337498</v>
      </c>
      <c r="CD107" t="s">
        <v>180</v>
      </c>
      <c r="CE107" s="146">
        <f t="shared" si="13"/>
        <v>0.13649042497349992</v>
      </c>
      <c r="CF107" s="146">
        <v>0.13649042497349992</v>
      </c>
      <c r="CG107" s="156" t="s">
        <v>165</v>
      </c>
      <c r="CH107" t="s">
        <v>207</v>
      </c>
      <c r="CI107" t="s">
        <v>165</v>
      </c>
      <c r="CJ107" t="s">
        <v>178</v>
      </c>
      <c r="CK107" t="s">
        <v>181</v>
      </c>
      <c r="CL107" t="s">
        <v>181</v>
      </c>
      <c r="CM107" t="s">
        <v>181</v>
      </c>
      <c r="CN107" t="s">
        <v>165</v>
      </c>
      <c r="CO107" t="s">
        <v>165</v>
      </c>
      <c r="CP107" t="s">
        <v>165</v>
      </c>
      <c r="CQ107" t="s">
        <v>165</v>
      </c>
      <c r="CR107" t="s">
        <v>165</v>
      </c>
      <c r="CS107" t="s">
        <v>165</v>
      </c>
      <c r="CT107" t="s">
        <v>165</v>
      </c>
      <c r="CU107">
        <v>35</v>
      </c>
      <c r="CV107" t="s">
        <v>183</v>
      </c>
      <c r="CW107" s="154">
        <v>3</v>
      </c>
      <c r="CX107" s="133" t="s">
        <v>199</v>
      </c>
      <c r="CY107" s="133" t="s">
        <v>165</v>
      </c>
      <c r="CZ107" s="133" t="s">
        <v>165</v>
      </c>
      <c r="DA107" s="133" t="s">
        <v>165</v>
      </c>
      <c r="DB107" s="133" t="s">
        <v>165</v>
      </c>
      <c r="DC107" s="133" t="s">
        <v>165</v>
      </c>
      <c r="DD107" s="133" t="s">
        <v>165</v>
      </c>
      <c r="DE107" s="133" t="s">
        <v>165</v>
      </c>
      <c r="DF107" s="133" t="s">
        <v>165</v>
      </c>
      <c r="DG107" s="133" t="s">
        <v>165</v>
      </c>
      <c r="DH107" s="133" t="s">
        <v>165</v>
      </c>
      <c r="DI107" s="133" t="s">
        <v>165</v>
      </c>
      <c r="DJ107" s="133" t="s">
        <v>165</v>
      </c>
      <c r="DK107" s="145">
        <v>432.56244218316402</v>
      </c>
      <c r="DL107" t="s">
        <v>204</v>
      </c>
      <c r="DM107">
        <v>37.1</v>
      </c>
      <c r="DN107" t="s">
        <v>205</v>
      </c>
      <c r="DO107">
        <v>39.61</v>
      </c>
      <c r="DP107" t="s">
        <v>183</v>
      </c>
      <c r="DQ107" s="146">
        <f t="shared" si="22"/>
        <v>0.222418</v>
      </c>
      <c r="DR107" t="s">
        <v>184</v>
      </c>
      <c r="DS107" t="s">
        <v>200</v>
      </c>
      <c r="DT107" t="s">
        <v>201</v>
      </c>
      <c r="DU107">
        <v>1.0271999999999999</v>
      </c>
      <c r="DV107" t="s">
        <v>165</v>
      </c>
      <c r="DW107" t="s">
        <v>165</v>
      </c>
      <c r="DX107" t="s">
        <v>197</v>
      </c>
      <c r="DY107" t="s">
        <v>181</v>
      </c>
      <c r="DZ107" t="s">
        <v>181</v>
      </c>
      <c r="EA107" t="s">
        <v>202</v>
      </c>
      <c r="EB107" t="s">
        <v>203</v>
      </c>
      <c r="EC107" s="147" t="s">
        <v>206</v>
      </c>
      <c r="ED107" s="147" t="s">
        <v>206</v>
      </c>
      <c r="EE107" s="133" t="s">
        <v>165</v>
      </c>
      <c r="EF107" s="133" t="s">
        <v>165</v>
      </c>
      <c r="EG107" s="133" t="s">
        <v>165</v>
      </c>
      <c r="EH107" t="s">
        <v>185</v>
      </c>
      <c r="EI107" t="s">
        <v>179</v>
      </c>
      <c r="EJ107" t="s">
        <v>165</v>
      </c>
      <c r="EK107">
        <v>2434</v>
      </c>
      <c r="EL107" s="147" t="s">
        <v>211</v>
      </c>
      <c r="EM107" s="147">
        <v>175</v>
      </c>
      <c r="EN107">
        <v>175</v>
      </c>
      <c r="EO107" t="s">
        <v>165</v>
      </c>
      <c r="EP107" t="s">
        <v>165</v>
      </c>
      <c r="EQ107" t="s">
        <v>165</v>
      </c>
      <c r="ER107" t="s">
        <v>165</v>
      </c>
      <c r="ES107" s="148">
        <v>8.1746548437481401</v>
      </c>
      <c r="ET107" t="s">
        <v>187</v>
      </c>
      <c r="EU107" s="133" t="s">
        <v>165</v>
      </c>
      <c r="EV107" s="133" t="s">
        <v>165</v>
      </c>
      <c r="EW107" s="149">
        <v>273.53129150000001</v>
      </c>
      <c r="EX107">
        <v>21</v>
      </c>
      <c r="EY107" t="s">
        <v>186</v>
      </c>
      <c r="EZ107" s="150">
        <v>252.53129150000001</v>
      </c>
      <c r="FA107" s="151">
        <v>37.92943187202701</v>
      </c>
      <c r="FB107" s="151">
        <v>37.543007119137002</v>
      </c>
      <c r="FC107" t="s">
        <v>176</v>
      </c>
      <c r="FD107" t="s">
        <v>188</v>
      </c>
      <c r="FE107" t="s">
        <v>165</v>
      </c>
      <c r="FF107" t="s">
        <v>165</v>
      </c>
      <c r="FG107" t="s">
        <v>165</v>
      </c>
      <c r="FH107" t="s">
        <v>165</v>
      </c>
      <c r="FI107" t="s">
        <v>165</v>
      </c>
      <c r="FJ107" t="s">
        <v>165</v>
      </c>
      <c r="FK107" t="s">
        <v>165</v>
      </c>
      <c r="FL107" t="s">
        <v>165</v>
      </c>
      <c r="FM107" t="s">
        <v>165</v>
      </c>
      <c r="FN107" t="s">
        <v>165</v>
      </c>
      <c r="FO107" t="s">
        <v>165</v>
      </c>
      <c r="FP107" t="s">
        <v>165</v>
      </c>
    </row>
    <row r="108" spans="1:172">
      <c r="A108" s="131" t="s">
        <v>154</v>
      </c>
      <c r="B108" t="s">
        <v>155</v>
      </c>
      <c r="C108">
        <v>2017</v>
      </c>
      <c r="D108" s="132" t="s">
        <v>156</v>
      </c>
      <c r="E108" s="145">
        <f t="shared" si="15"/>
        <v>1227.17</v>
      </c>
      <c r="F108">
        <f t="shared" si="16"/>
        <v>2</v>
      </c>
      <c r="G108">
        <f t="shared" si="17"/>
        <v>2</v>
      </c>
      <c r="H108" s="149">
        <f t="shared" si="18"/>
        <v>270.713052</v>
      </c>
      <c r="I108" s="149">
        <f t="shared" si="19"/>
        <v>40.283391368747004</v>
      </c>
      <c r="J108" s="149">
        <f t="shared" si="20"/>
        <v>38.100604684948991</v>
      </c>
      <c r="K108" t="s">
        <v>209</v>
      </c>
      <c r="L108" s="132" t="s">
        <v>210</v>
      </c>
      <c r="M108" s="1" t="s">
        <v>157</v>
      </c>
      <c r="N108" s="132" t="s">
        <v>156</v>
      </c>
      <c r="O108" t="s">
        <v>158</v>
      </c>
      <c r="P108" s="139" t="s">
        <v>162</v>
      </c>
      <c r="Q108" s="139">
        <v>5</v>
      </c>
      <c r="R108" s="139">
        <v>3</v>
      </c>
      <c r="S108" s="140">
        <v>136.99988199999987</v>
      </c>
      <c r="T108" s="140">
        <f t="shared" si="12"/>
        <v>138.99988199999987</v>
      </c>
      <c r="U108" s="141">
        <v>40.469774139999998</v>
      </c>
      <c r="V108" s="141">
        <v>40.469774139999998</v>
      </c>
      <c r="W108" t="s">
        <v>165</v>
      </c>
      <c r="X108" t="s">
        <v>160</v>
      </c>
      <c r="Y108" s="135">
        <v>12.74</v>
      </c>
      <c r="Z108" s="135">
        <v>-78.739999999999995</v>
      </c>
      <c r="AA108" t="s">
        <v>165</v>
      </c>
      <c r="AB108" t="s">
        <v>165</v>
      </c>
      <c r="AC108">
        <v>-2839</v>
      </c>
      <c r="AD108" t="s">
        <v>165</v>
      </c>
      <c r="AE108" t="s">
        <v>165</v>
      </c>
      <c r="AF108" t="s">
        <v>165</v>
      </c>
      <c r="AG108">
        <v>1227.17</v>
      </c>
      <c r="AH108" t="s">
        <v>163</v>
      </c>
      <c r="AI108">
        <v>2</v>
      </c>
      <c r="AJ108">
        <v>2</v>
      </c>
      <c r="AK108" t="s">
        <v>165</v>
      </c>
      <c r="AL108" t="s">
        <v>164</v>
      </c>
      <c r="AM108" t="s">
        <v>165</v>
      </c>
      <c r="AN108" t="s">
        <v>165</v>
      </c>
      <c r="AO108" t="s">
        <v>165</v>
      </c>
      <c r="AP108" t="s">
        <v>165</v>
      </c>
      <c r="AQ108" t="s">
        <v>165</v>
      </c>
      <c r="AR108" t="s">
        <v>165</v>
      </c>
      <c r="AS108" t="s">
        <v>165</v>
      </c>
      <c r="AT108" t="s">
        <v>165</v>
      </c>
      <c r="AU108" t="s">
        <v>166</v>
      </c>
      <c r="AV108" t="s">
        <v>167</v>
      </c>
      <c r="AW108" t="s">
        <v>168</v>
      </c>
      <c r="AX108" s="154">
        <v>2</v>
      </c>
      <c r="AY108" t="s">
        <v>169</v>
      </c>
      <c r="AZ108" t="s">
        <v>170</v>
      </c>
      <c r="BA108" t="s">
        <v>171</v>
      </c>
      <c r="BB108" t="s">
        <v>165</v>
      </c>
      <c r="BC108" s="154">
        <v>2</v>
      </c>
      <c r="BD108" s="133" t="s">
        <v>165</v>
      </c>
      <c r="BE108" s="146">
        <v>20.376740099999999</v>
      </c>
      <c r="BF108" t="s">
        <v>172</v>
      </c>
      <c r="BG108" s="146">
        <v>0.21315179000000001</v>
      </c>
      <c r="BH108">
        <v>0.64</v>
      </c>
      <c r="BI108" t="s">
        <v>173</v>
      </c>
      <c r="BJ108">
        <v>3.4000000000000002E-2</v>
      </c>
      <c r="BK108">
        <v>9.1</v>
      </c>
      <c r="BL108" t="s">
        <v>163</v>
      </c>
      <c r="BM108">
        <v>0.56000000000000005</v>
      </c>
      <c r="BN108" t="s">
        <v>174</v>
      </c>
      <c r="BO108" t="s">
        <v>175</v>
      </c>
      <c r="BP108" s="155">
        <f t="shared" si="21"/>
        <v>19.177900166666667</v>
      </c>
      <c r="BQ108" s="133" t="s">
        <v>183</v>
      </c>
      <c r="BR108" s="133" t="s">
        <v>165</v>
      </c>
      <c r="BS108" s="133" t="s">
        <v>165</v>
      </c>
      <c r="BT108" t="s">
        <v>176</v>
      </c>
      <c r="BU108" s="133">
        <v>10</v>
      </c>
      <c r="BV108" s="133" t="s">
        <v>198</v>
      </c>
      <c r="BW108" s="133" t="s">
        <v>165</v>
      </c>
      <c r="BX108" s="145">
        <v>25.042515940000001</v>
      </c>
      <c r="BY108" t="s">
        <v>163</v>
      </c>
      <c r="BZ108">
        <v>3</v>
      </c>
      <c r="CA108">
        <v>3</v>
      </c>
      <c r="CB108" t="s">
        <v>165</v>
      </c>
      <c r="CC108" s="146">
        <v>3.4253197888385545</v>
      </c>
      <c r="CD108" t="s">
        <v>180</v>
      </c>
      <c r="CE108" s="146">
        <f t="shared" si="13"/>
        <v>0.13701279155354218</v>
      </c>
      <c r="CF108" s="146">
        <v>0.13701279155354218</v>
      </c>
      <c r="CG108" s="156" t="s">
        <v>165</v>
      </c>
      <c r="CH108" t="s">
        <v>207</v>
      </c>
      <c r="CI108" t="s">
        <v>165</v>
      </c>
      <c r="CJ108" t="s">
        <v>178</v>
      </c>
      <c r="CK108" t="s">
        <v>181</v>
      </c>
      <c r="CL108" t="s">
        <v>181</v>
      </c>
      <c r="CM108" t="s">
        <v>181</v>
      </c>
      <c r="CN108" t="s">
        <v>165</v>
      </c>
      <c r="CO108" t="s">
        <v>165</v>
      </c>
      <c r="CP108" t="s">
        <v>165</v>
      </c>
      <c r="CQ108" t="s">
        <v>165</v>
      </c>
      <c r="CR108" t="s">
        <v>165</v>
      </c>
      <c r="CS108" t="s">
        <v>165</v>
      </c>
      <c r="CT108" t="s">
        <v>165</v>
      </c>
      <c r="CU108">
        <v>35</v>
      </c>
      <c r="CV108" t="s">
        <v>183</v>
      </c>
      <c r="CW108" s="154">
        <v>3</v>
      </c>
      <c r="CX108" s="133" t="s">
        <v>199</v>
      </c>
      <c r="CY108" s="133" t="s">
        <v>165</v>
      </c>
      <c r="CZ108" s="133" t="s">
        <v>165</v>
      </c>
      <c r="DA108" s="133" t="s">
        <v>165</v>
      </c>
      <c r="DB108" s="133" t="s">
        <v>165</v>
      </c>
      <c r="DC108" s="133" t="s">
        <v>165</v>
      </c>
      <c r="DD108" s="133" t="s">
        <v>165</v>
      </c>
      <c r="DE108" s="133" t="s">
        <v>165</v>
      </c>
      <c r="DF108" s="133" t="s">
        <v>165</v>
      </c>
      <c r="DG108" s="133" t="s">
        <v>165</v>
      </c>
      <c r="DH108" s="133" t="s">
        <v>165</v>
      </c>
      <c r="DI108" s="133" t="s">
        <v>165</v>
      </c>
      <c r="DJ108" s="133" t="s">
        <v>165</v>
      </c>
      <c r="DK108" s="145">
        <v>432.56244218316402</v>
      </c>
      <c r="DL108" t="s">
        <v>204</v>
      </c>
      <c r="DM108">
        <v>37.1</v>
      </c>
      <c r="DN108" t="s">
        <v>205</v>
      </c>
      <c r="DO108">
        <v>39.61</v>
      </c>
      <c r="DP108" t="s">
        <v>183</v>
      </c>
      <c r="DQ108" s="146">
        <f t="shared" si="22"/>
        <v>0.222717</v>
      </c>
      <c r="DR108" t="s">
        <v>184</v>
      </c>
      <c r="DS108" t="s">
        <v>200</v>
      </c>
      <c r="DT108" t="s">
        <v>201</v>
      </c>
      <c r="DU108">
        <v>1.0271999999999999</v>
      </c>
      <c r="DV108" t="s">
        <v>165</v>
      </c>
      <c r="DW108" t="s">
        <v>165</v>
      </c>
      <c r="DX108" t="s">
        <v>197</v>
      </c>
      <c r="DY108" t="s">
        <v>181</v>
      </c>
      <c r="DZ108" t="s">
        <v>181</v>
      </c>
      <c r="EA108" t="s">
        <v>202</v>
      </c>
      <c r="EB108" t="s">
        <v>203</v>
      </c>
      <c r="EC108" s="147" t="s">
        <v>206</v>
      </c>
      <c r="ED108" s="147" t="s">
        <v>206</v>
      </c>
      <c r="EE108" s="133" t="s">
        <v>165</v>
      </c>
      <c r="EF108" s="133" t="s">
        <v>165</v>
      </c>
      <c r="EG108" s="133" t="s">
        <v>165</v>
      </c>
      <c r="EH108" t="s">
        <v>185</v>
      </c>
      <c r="EI108" t="s">
        <v>179</v>
      </c>
      <c r="EJ108" t="s">
        <v>165</v>
      </c>
      <c r="EK108">
        <v>2435</v>
      </c>
      <c r="EL108" s="147" t="s">
        <v>211</v>
      </c>
      <c r="EM108" s="147">
        <v>175</v>
      </c>
      <c r="EN108">
        <v>175</v>
      </c>
      <c r="EO108" t="s">
        <v>165</v>
      </c>
      <c r="EP108" t="s">
        <v>165</v>
      </c>
      <c r="EQ108" t="s">
        <v>165</v>
      </c>
      <c r="ER108" t="s">
        <v>165</v>
      </c>
      <c r="ES108" s="148">
        <v>8.1528677910178597</v>
      </c>
      <c r="ET108" t="s">
        <v>187</v>
      </c>
      <c r="EU108" s="133" t="s">
        <v>165</v>
      </c>
      <c r="EV108" s="133" t="s">
        <v>165</v>
      </c>
      <c r="EW108" s="149">
        <v>291.713052</v>
      </c>
      <c r="EX108">
        <v>21</v>
      </c>
      <c r="EY108" t="s">
        <v>186</v>
      </c>
      <c r="EZ108" s="150">
        <v>270.713052</v>
      </c>
      <c r="FA108" s="151">
        <v>40.283391368747004</v>
      </c>
      <c r="FB108" s="151">
        <v>38.100604684948991</v>
      </c>
      <c r="FC108" t="s">
        <v>176</v>
      </c>
      <c r="FD108" t="s">
        <v>188</v>
      </c>
      <c r="FE108" t="s">
        <v>165</v>
      </c>
      <c r="FF108" t="s">
        <v>165</v>
      </c>
      <c r="FG108" t="s">
        <v>165</v>
      </c>
      <c r="FH108" t="s">
        <v>165</v>
      </c>
      <c r="FI108" t="s">
        <v>165</v>
      </c>
      <c r="FJ108" t="s">
        <v>165</v>
      </c>
      <c r="FK108" t="s">
        <v>165</v>
      </c>
      <c r="FL108" t="s">
        <v>165</v>
      </c>
      <c r="FM108" t="s">
        <v>165</v>
      </c>
      <c r="FN108" t="s">
        <v>165</v>
      </c>
      <c r="FO108" t="s">
        <v>165</v>
      </c>
      <c r="FP108" t="s">
        <v>165</v>
      </c>
    </row>
    <row r="109" spans="1:172">
      <c r="A109" s="131" t="s">
        <v>154</v>
      </c>
      <c r="B109" t="s">
        <v>155</v>
      </c>
      <c r="C109">
        <v>2017</v>
      </c>
      <c r="D109" s="132" t="s">
        <v>156</v>
      </c>
      <c r="E109" s="145">
        <f t="shared" si="15"/>
        <v>1230.72</v>
      </c>
      <c r="F109">
        <f t="shared" si="16"/>
        <v>2</v>
      </c>
      <c r="G109">
        <f t="shared" si="17"/>
        <v>2</v>
      </c>
      <c r="H109" s="149">
        <f t="shared" si="18"/>
        <v>314.03957329999997</v>
      </c>
      <c r="I109" s="149">
        <f t="shared" si="19"/>
        <v>46.459602966605019</v>
      </c>
      <c r="J109" s="149">
        <f t="shared" si="20"/>
        <v>44.360044374614972</v>
      </c>
      <c r="K109" t="s">
        <v>209</v>
      </c>
      <c r="L109" s="132" t="s">
        <v>210</v>
      </c>
      <c r="M109" s="1" t="s">
        <v>157</v>
      </c>
      <c r="N109" s="132" t="s">
        <v>156</v>
      </c>
      <c r="O109" t="s">
        <v>158</v>
      </c>
      <c r="P109" s="142" t="s">
        <v>162</v>
      </c>
      <c r="Q109" s="142">
        <v>5</v>
      </c>
      <c r="R109" s="142">
        <v>3</v>
      </c>
      <c r="S109" s="143">
        <v>147</v>
      </c>
      <c r="T109" s="143">
        <f t="shared" si="12"/>
        <v>149</v>
      </c>
      <c r="U109" s="144">
        <v>40.57</v>
      </c>
      <c r="V109" s="144">
        <v>40.57</v>
      </c>
      <c r="W109" t="s">
        <v>165</v>
      </c>
      <c r="X109" t="s">
        <v>160</v>
      </c>
      <c r="Y109" s="135">
        <v>12.74</v>
      </c>
      <c r="Z109" s="135">
        <v>-78.739999999999995</v>
      </c>
      <c r="AA109" t="s">
        <v>165</v>
      </c>
      <c r="AB109" t="s">
        <v>165</v>
      </c>
      <c r="AC109">
        <v>-2839</v>
      </c>
      <c r="AD109" t="s">
        <v>165</v>
      </c>
      <c r="AE109" t="s">
        <v>165</v>
      </c>
      <c r="AF109" t="s">
        <v>165</v>
      </c>
      <c r="AG109">
        <v>1230.72</v>
      </c>
      <c r="AH109" t="s">
        <v>163</v>
      </c>
      <c r="AI109">
        <v>2</v>
      </c>
      <c r="AJ109">
        <v>2</v>
      </c>
      <c r="AK109" t="s">
        <v>165</v>
      </c>
      <c r="AL109" t="s">
        <v>164</v>
      </c>
      <c r="AM109" t="s">
        <v>165</v>
      </c>
      <c r="AN109" t="s">
        <v>165</v>
      </c>
      <c r="AO109" t="s">
        <v>165</v>
      </c>
      <c r="AP109" t="s">
        <v>165</v>
      </c>
      <c r="AQ109" t="s">
        <v>165</v>
      </c>
      <c r="AR109" t="s">
        <v>165</v>
      </c>
      <c r="AS109" t="s">
        <v>165</v>
      </c>
      <c r="AT109" t="s">
        <v>165</v>
      </c>
      <c r="AU109" t="s">
        <v>166</v>
      </c>
      <c r="AV109" t="s">
        <v>167</v>
      </c>
      <c r="AW109" t="s">
        <v>168</v>
      </c>
      <c r="AX109" s="154">
        <v>2</v>
      </c>
      <c r="AY109" t="s">
        <v>169</v>
      </c>
      <c r="AZ109" t="s">
        <v>170</v>
      </c>
      <c r="BA109" t="s">
        <v>171</v>
      </c>
      <c r="BB109" t="s">
        <v>165</v>
      </c>
      <c r="BC109" s="154">
        <v>2</v>
      </c>
      <c r="BD109" s="133" t="s">
        <v>165</v>
      </c>
      <c r="BE109" s="146">
        <v>20.041196150000001</v>
      </c>
      <c r="BF109" t="s">
        <v>172</v>
      </c>
      <c r="BG109" s="146">
        <v>0.248398278</v>
      </c>
      <c r="BH109">
        <v>0.64</v>
      </c>
      <c r="BI109" t="s">
        <v>173</v>
      </c>
      <c r="BJ109">
        <v>3.4000000000000002E-2</v>
      </c>
      <c r="BK109">
        <v>9.1</v>
      </c>
      <c r="BL109" t="s">
        <v>163</v>
      </c>
      <c r="BM109">
        <v>0.56000000000000005</v>
      </c>
      <c r="BN109" t="s">
        <v>174</v>
      </c>
      <c r="BO109" t="s">
        <v>175</v>
      </c>
      <c r="BP109" s="155">
        <f t="shared" si="21"/>
        <v>18.618660250000005</v>
      </c>
      <c r="BQ109" s="133" t="s">
        <v>183</v>
      </c>
      <c r="BR109" s="133" t="s">
        <v>165</v>
      </c>
      <c r="BS109" s="133" t="s">
        <v>165</v>
      </c>
      <c r="BT109" t="s">
        <v>176</v>
      </c>
      <c r="BU109" s="133">
        <v>10</v>
      </c>
      <c r="BV109" s="133" t="s">
        <v>198</v>
      </c>
      <c r="BW109" s="133" t="s">
        <v>165</v>
      </c>
      <c r="BX109" s="145">
        <v>25.042597690000001</v>
      </c>
      <c r="BY109" t="s">
        <v>163</v>
      </c>
      <c r="BZ109">
        <v>3</v>
      </c>
      <c r="CA109">
        <v>3</v>
      </c>
      <c r="CB109" t="s">
        <v>165</v>
      </c>
      <c r="CC109" s="146">
        <v>3.415521186809702</v>
      </c>
      <c r="CD109" t="s">
        <v>180</v>
      </c>
      <c r="CE109" s="146">
        <f t="shared" si="13"/>
        <v>0.13662084747238809</v>
      </c>
      <c r="CF109" s="146">
        <v>0.13662084747238809</v>
      </c>
      <c r="CG109" s="156" t="s">
        <v>165</v>
      </c>
      <c r="CH109" t="s">
        <v>207</v>
      </c>
      <c r="CI109" t="s">
        <v>165</v>
      </c>
      <c r="CJ109" t="s">
        <v>178</v>
      </c>
      <c r="CK109" t="s">
        <v>181</v>
      </c>
      <c r="CL109" t="s">
        <v>181</v>
      </c>
      <c r="CM109" t="s">
        <v>181</v>
      </c>
      <c r="CN109" t="s">
        <v>165</v>
      </c>
      <c r="CO109" t="s">
        <v>165</v>
      </c>
      <c r="CP109" t="s">
        <v>165</v>
      </c>
      <c r="CQ109" t="s">
        <v>165</v>
      </c>
      <c r="CR109" t="s">
        <v>165</v>
      </c>
      <c r="CS109" t="s">
        <v>165</v>
      </c>
      <c r="CT109" t="s">
        <v>165</v>
      </c>
      <c r="CU109">
        <v>35</v>
      </c>
      <c r="CV109" t="s">
        <v>183</v>
      </c>
      <c r="CW109" s="154">
        <v>3</v>
      </c>
      <c r="CX109" s="133" t="s">
        <v>199</v>
      </c>
      <c r="CY109" s="133" t="s">
        <v>165</v>
      </c>
      <c r="CZ109" s="133" t="s">
        <v>165</v>
      </c>
      <c r="DA109" s="133" t="s">
        <v>165</v>
      </c>
      <c r="DB109" s="133" t="s">
        <v>165</v>
      </c>
      <c r="DC109" s="133" t="s">
        <v>165</v>
      </c>
      <c r="DD109" s="133" t="s">
        <v>165</v>
      </c>
      <c r="DE109" s="133" t="s">
        <v>165</v>
      </c>
      <c r="DF109" s="133" t="s">
        <v>165</v>
      </c>
      <c r="DG109" s="133" t="s">
        <v>165</v>
      </c>
      <c r="DH109" s="133" t="s">
        <v>165</v>
      </c>
      <c r="DI109" s="133" t="s">
        <v>165</v>
      </c>
      <c r="DJ109" s="133" t="s">
        <v>165</v>
      </c>
      <c r="DK109" s="145">
        <v>432.56244218316402</v>
      </c>
      <c r="DL109" t="s">
        <v>204</v>
      </c>
      <c r="DM109">
        <v>37.1</v>
      </c>
      <c r="DN109" t="s">
        <v>205</v>
      </c>
      <c r="DO109">
        <v>39.61</v>
      </c>
      <c r="DP109" t="s">
        <v>183</v>
      </c>
      <c r="DQ109" s="146">
        <f t="shared" si="22"/>
        <v>0.22307199999999999</v>
      </c>
      <c r="DR109" t="s">
        <v>184</v>
      </c>
      <c r="DS109" t="s">
        <v>200</v>
      </c>
      <c r="DT109" t="s">
        <v>201</v>
      </c>
      <c r="DU109">
        <v>1.0271999999999999</v>
      </c>
      <c r="DV109" t="s">
        <v>165</v>
      </c>
      <c r="DW109" t="s">
        <v>165</v>
      </c>
      <c r="DX109" t="s">
        <v>197</v>
      </c>
      <c r="DY109" t="s">
        <v>181</v>
      </c>
      <c r="DZ109" t="s">
        <v>181</v>
      </c>
      <c r="EA109" t="s">
        <v>202</v>
      </c>
      <c r="EB109" t="s">
        <v>203</v>
      </c>
      <c r="EC109" s="147" t="s">
        <v>206</v>
      </c>
      <c r="ED109" s="147" t="s">
        <v>206</v>
      </c>
      <c r="EE109" s="133" t="s">
        <v>165</v>
      </c>
      <c r="EF109" s="133" t="s">
        <v>165</v>
      </c>
      <c r="EG109" s="133" t="s">
        <v>165</v>
      </c>
      <c r="EH109" t="s">
        <v>185</v>
      </c>
      <c r="EI109" t="s">
        <v>179</v>
      </c>
      <c r="EJ109" t="s">
        <v>165</v>
      </c>
      <c r="EK109">
        <v>2436</v>
      </c>
      <c r="EL109" s="147" t="s">
        <v>211</v>
      </c>
      <c r="EM109" s="147">
        <v>175</v>
      </c>
      <c r="EN109">
        <v>175</v>
      </c>
      <c r="EO109" t="s">
        <v>165</v>
      </c>
      <c r="EP109" t="s">
        <v>165</v>
      </c>
      <c r="EQ109" t="s">
        <v>165</v>
      </c>
      <c r="ER109" t="s">
        <v>165</v>
      </c>
      <c r="ES109" s="148">
        <v>8.1051037228766294</v>
      </c>
      <c r="ET109" t="s">
        <v>187</v>
      </c>
      <c r="EU109" s="133" t="s">
        <v>165</v>
      </c>
      <c r="EV109" s="133" t="s">
        <v>165</v>
      </c>
      <c r="EW109" s="149">
        <v>335.03957329999997</v>
      </c>
      <c r="EX109">
        <v>21</v>
      </c>
      <c r="EY109" t="s">
        <v>186</v>
      </c>
      <c r="EZ109" s="150">
        <v>314.03957329999997</v>
      </c>
      <c r="FA109" s="151">
        <v>46.459602966605019</v>
      </c>
      <c r="FB109" s="151">
        <v>44.360044374614972</v>
      </c>
      <c r="FC109" t="s">
        <v>176</v>
      </c>
      <c r="FD109" t="s">
        <v>188</v>
      </c>
      <c r="FE109" t="s">
        <v>165</v>
      </c>
      <c r="FF109" t="s">
        <v>165</v>
      </c>
      <c r="FG109" t="s">
        <v>165</v>
      </c>
      <c r="FH109" t="s">
        <v>165</v>
      </c>
      <c r="FI109" t="s">
        <v>165</v>
      </c>
      <c r="FJ109" t="s">
        <v>165</v>
      </c>
      <c r="FK109" t="s">
        <v>165</v>
      </c>
      <c r="FL109" t="s">
        <v>165</v>
      </c>
      <c r="FM109" t="s">
        <v>165</v>
      </c>
      <c r="FN109" t="s">
        <v>165</v>
      </c>
      <c r="FO109" t="s">
        <v>165</v>
      </c>
      <c r="FP109" t="s">
        <v>165</v>
      </c>
    </row>
    <row r="110" spans="1:172">
      <c r="A110" s="131" t="s">
        <v>154</v>
      </c>
      <c r="B110" t="s">
        <v>155</v>
      </c>
      <c r="C110">
        <v>2017</v>
      </c>
      <c r="D110" s="132" t="s">
        <v>156</v>
      </c>
      <c r="E110" s="145">
        <f t="shared" si="15"/>
        <v>1233.9000000000001</v>
      </c>
      <c r="F110">
        <f t="shared" si="16"/>
        <v>2</v>
      </c>
      <c r="G110">
        <f t="shared" si="17"/>
        <v>2</v>
      </c>
      <c r="H110" s="149">
        <f t="shared" si="18"/>
        <v>295.24227999999999</v>
      </c>
      <c r="I110" s="149">
        <f t="shared" si="19"/>
        <v>41.894227570763007</v>
      </c>
      <c r="J110" s="149">
        <f t="shared" si="20"/>
        <v>40.710332691111006</v>
      </c>
      <c r="K110" t="s">
        <v>209</v>
      </c>
      <c r="L110" s="132" t="s">
        <v>210</v>
      </c>
      <c r="M110" s="1" t="s">
        <v>157</v>
      </c>
      <c r="N110" s="132" t="s">
        <v>156</v>
      </c>
      <c r="O110" t="s">
        <v>158</v>
      </c>
      <c r="P110" s="139" t="s">
        <v>162</v>
      </c>
      <c r="Q110" s="139">
        <v>5</v>
      </c>
      <c r="R110" s="139">
        <v>4</v>
      </c>
      <c r="S110" s="140">
        <v>6</v>
      </c>
      <c r="T110" s="140">
        <f t="shared" si="12"/>
        <v>8</v>
      </c>
      <c r="U110" s="141">
        <v>40.659999999999997</v>
      </c>
      <c r="V110" s="141">
        <v>40.659999999999997</v>
      </c>
      <c r="W110" t="s">
        <v>165</v>
      </c>
      <c r="X110" t="s">
        <v>160</v>
      </c>
      <c r="Y110" s="135">
        <v>12.74</v>
      </c>
      <c r="Z110" s="135">
        <v>-78.739999999999995</v>
      </c>
      <c r="AA110" t="s">
        <v>165</v>
      </c>
      <c r="AB110" t="s">
        <v>165</v>
      </c>
      <c r="AC110">
        <v>-2839</v>
      </c>
      <c r="AD110" t="s">
        <v>165</v>
      </c>
      <c r="AE110" t="s">
        <v>165</v>
      </c>
      <c r="AF110" t="s">
        <v>165</v>
      </c>
      <c r="AG110">
        <v>1233.9000000000001</v>
      </c>
      <c r="AH110" t="s">
        <v>163</v>
      </c>
      <c r="AI110">
        <v>2</v>
      </c>
      <c r="AJ110">
        <v>2</v>
      </c>
      <c r="AK110" t="s">
        <v>165</v>
      </c>
      <c r="AL110" t="s">
        <v>164</v>
      </c>
      <c r="AM110" t="s">
        <v>165</v>
      </c>
      <c r="AN110" t="s">
        <v>165</v>
      </c>
      <c r="AO110" t="s">
        <v>165</v>
      </c>
      <c r="AP110" t="s">
        <v>165</v>
      </c>
      <c r="AQ110" t="s">
        <v>165</v>
      </c>
      <c r="AR110" t="s">
        <v>165</v>
      </c>
      <c r="AS110" t="s">
        <v>165</v>
      </c>
      <c r="AT110" t="s">
        <v>165</v>
      </c>
      <c r="AU110" t="s">
        <v>166</v>
      </c>
      <c r="AV110" t="s">
        <v>167</v>
      </c>
      <c r="AW110" t="s">
        <v>168</v>
      </c>
      <c r="AX110" s="154">
        <v>2</v>
      </c>
      <c r="AY110" t="s">
        <v>169</v>
      </c>
      <c r="AZ110" t="s">
        <v>170</v>
      </c>
      <c r="BA110" t="s">
        <v>171</v>
      </c>
      <c r="BB110" t="s">
        <v>165</v>
      </c>
      <c r="BC110" s="154">
        <v>2</v>
      </c>
      <c r="BD110" s="133" t="s">
        <v>165</v>
      </c>
      <c r="BE110" s="146">
        <v>20.225000000000001</v>
      </c>
      <c r="BF110" t="s">
        <v>172</v>
      </c>
      <c r="BG110" s="146">
        <v>0.207754982</v>
      </c>
      <c r="BH110">
        <v>0.64</v>
      </c>
      <c r="BI110" t="s">
        <v>173</v>
      </c>
      <c r="BJ110">
        <v>3.4000000000000002E-2</v>
      </c>
      <c r="BK110">
        <v>9.1</v>
      </c>
      <c r="BL110" t="s">
        <v>163</v>
      </c>
      <c r="BM110">
        <v>0.56000000000000005</v>
      </c>
      <c r="BN110" t="s">
        <v>174</v>
      </c>
      <c r="BO110" t="s">
        <v>175</v>
      </c>
      <c r="BP110" s="155">
        <f t="shared" si="21"/>
        <v>18.925000000000004</v>
      </c>
      <c r="BQ110" s="133" t="s">
        <v>183</v>
      </c>
      <c r="BR110" s="133" t="s">
        <v>165</v>
      </c>
      <c r="BS110" s="133" t="s">
        <v>165</v>
      </c>
      <c r="BT110" t="s">
        <v>176</v>
      </c>
      <c r="BU110" s="133">
        <v>10</v>
      </c>
      <c r="BV110" s="133" t="s">
        <v>198</v>
      </c>
      <c r="BW110" s="133" t="s">
        <v>165</v>
      </c>
      <c r="BX110" s="145">
        <v>25.655881789999999</v>
      </c>
      <c r="BY110" t="s">
        <v>163</v>
      </c>
      <c r="BZ110">
        <v>3</v>
      </c>
      <c r="CA110">
        <v>3</v>
      </c>
      <c r="CB110" t="s">
        <v>165</v>
      </c>
      <c r="CC110" s="146">
        <v>3.6041358749812109</v>
      </c>
      <c r="CD110" t="s">
        <v>180</v>
      </c>
      <c r="CE110" s="146">
        <f t="shared" si="13"/>
        <v>0.14416543499924844</v>
      </c>
      <c r="CF110" s="146">
        <v>0.14416543499924844</v>
      </c>
      <c r="CG110" s="156" t="s">
        <v>165</v>
      </c>
      <c r="CH110" t="s">
        <v>207</v>
      </c>
      <c r="CI110" t="s">
        <v>165</v>
      </c>
      <c r="CJ110" t="s">
        <v>178</v>
      </c>
      <c r="CK110" t="s">
        <v>181</v>
      </c>
      <c r="CL110" t="s">
        <v>181</v>
      </c>
      <c r="CM110" t="s">
        <v>181</v>
      </c>
      <c r="CN110" t="s">
        <v>165</v>
      </c>
      <c r="CO110" t="s">
        <v>165</v>
      </c>
      <c r="CP110" t="s">
        <v>165</v>
      </c>
      <c r="CQ110" t="s">
        <v>165</v>
      </c>
      <c r="CR110" t="s">
        <v>165</v>
      </c>
      <c r="CS110" t="s">
        <v>165</v>
      </c>
      <c r="CT110" t="s">
        <v>165</v>
      </c>
      <c r="CU110">
        <v>35</v>
      </c>
      <c r="CV110" t="s">
        <v>183</v>
      </c>
      <c r="CW110" s="154">
        <v>3</v>
      </c>
      <c r="CX110" s="133" t="s">
        <v>199</v>
      </c>
      <c r="CY110" s="133" t="s">
        <v>165</v>
      </c>
      <c r="CZ110" s="133" t="s">
        <v>165</v>
      </c>
      <c r="DA110" s="133" t="s">
        <v>165</v>
      </c>
      <c r="DB110" s="133" t="s">
        <v>165</v>
      </c>
      <c r="DC110" s="133" t="s">
        <v>165</v>
      </c>
      <c r="DD110" s="133" t="s">
        <v>165</v>
      </c>
      <c r="DE110" s="133" t="s">
        <v>165</v>
      </c>
      <c r="DF110" s="133" t="s">
        <v>165</v>
      </c>
      <c r="DG110" s="133" t="s">
        <v>165</v>
      </c>
      <c r="DH110" s="133" t="s">
        <v>165</v>
      </c>
      <c r="DI110" s="133" t="s">
        <v>165</v>
      </c>
      <c r="DJ110" s="133" t="s">
        <v>165</v>
      </c>
      <c r="DK110" s="145">
        <v>432.56244218316402</v>
      </c>
      <c r="DL110" t="s">
        <v>204</v>
      </c>
      <c r="DM110">
        <v>37.1</v>
      </c>
      <c r="DN110" t="s">
        <v>205</v>
      </c>
      <c r="DO110">
        <v>39.61</v>
      </c>
      <c r="DP110" t="s">
        <v>183</v>
      </c>
      <c r="DQ110" s="146">
        <f t="shared" si="22"/>
        <v>0.22339000000000003</v>
      </c>
      <c r="DR110" t="s">
        <v>184</v>
      </c>
      <c r="DS110" t="s">
        <v>200</v>
      </c>
      <c r="DT110" t="s">
        <v>201</v>
      </c>
      <c r="DU110">
        <v>1.0271999999999999</v>
      </c>
      <c r="DV110" t="s">
        <v>165</v>
      </c>
      <c r="DW110" t="s">
        <v>165</v>
      </c>
      <c r="DX110" t="s">
        <v>197</v>
      </c>
      <c r="DY110" t="s">
        <v>181</v>
      </c>
      <c r="DZ110" t="s">
        <v>181</v>
      </c>
      <c r="EA110" t="s">
        <v>202</v>
      </c>
      <c r="EB110" t="s">
        <v>203</v>
      </c>
      <c r="EC110" s="147" t="s">
        <v>206</v>
      </c>
      <c r="ED110" s="147" t="s">
        <v>206</v>
      </c>
      <c r="EE110" s="133" t="s">
        <v>165</v>
      </c>
      <c r="EF110" s="133" t="s">
        <v>165</v>
      </c>
      <c r="EG110" s="133" t="s">
        <v>165</v>
      </c>
      <c r="EH110" t="s">
        <v>185</v>
      </c>
      <c r="EI110" t="s">
        <v>179</v>
      </c>
      <c r="EJ110" t="s">
        <v>165</v>
      </c>
      <c r="EK110">
        <v>2437</v>
      </c>
      <c r="EL110" s="147" t="s">
        <v>211</v>
      </c>
      <c r="EM110" s="147">
        <v>175</v>
      </c>
      <c r="EN110">
        <v>175</v>
      </c>
      <c r="EO110" t="s">
        <v>165</v>
      </c>
      <c r="EP110" t="s">
        <v>165</v>
      </c>
      <c r="EQ110" t="s">
        <v>165</v>
      </c>
      <c r="ER110" t="s">
        <v>165</v>
      </c>
      <c r="ES110" s="148">
        <v>8.1241822058375508</v>
      </c>
      <c r="ET110" t="s">
        <v>187</v>
      </c>
      <c r="EU110" s="133" t="s">
        <v>165</v>
      </c>
      <c r="EV110" s="133" t="s">
        <v>165</v>
      </c>
      <c r="EW110" s="149">
        <v>316.24227999999999</v>
      </c>
      <c r="EX110">
        <v>21</v>
      </c>
      <c r="EY110" t="s">
        <v>186</v>
      </c>
      <c r="EZ110" s="150">
        <v>295.24227999999999</v>
      </c>
      <c r="FA110" s="151">
        <v>41.894227570763007</v>
      </c>
      <c r="FB110" s="151">
        <v>40.710332691111006</v>
      </c>
      <c r="FC110" t="s">
        <v>176</v>
      </c>
      <c r="FD110" t="s">
        <v>188</v>
      </c>
      <c r="FE110" t="s">
        <v>165</v>
      </c>
      <c r="FF110" t="s">
        <v>165</v>
      </c>
      <c r="FG110" t="s">
        <v>165</v>
      </c>
      <c r="FH110" t="s">
        <v>165</v>
      </c>
      <c r="FI110" t="s">
        <v>165</v>
      </c>
      <c r="FJ110" t="s">
        <v>165</v>
      </c>
      <c r="FK110" t="s">
        <v>165</v>
      </c>
      <c r="FL110" t="s">
        <v>165</v>
      </c>
      <c r="FM110" t="s">
        <v>165</v>
      </c>
      <c r="FN110" t="s">
        <v>165</v>
      </c>
      <c r="FO110" t="s">
        <v>165</v>
      </c>
      <c r="FP110" t="s">
        <v>165</v>
      </c>
    </row>
    <row r="111" spans="1:172">
      <c r="A111" s="131" t="s">
        <v>154</v>
      </c>
      <c r="B111" t="s">
        <v>155</v>
      </c>
      <c r="C111">
        <v>2017</v>
      </c>
      <c r="D111" s="132" t="s">
        <v>156</v>
      </c>
      <c r="E111" s="145">
        <f t="shared" si="15"/>
        <v>1236.18</v>
      </c>
      <c r="F111">
        <f t="shared" si="16"/>
        <v>2</v>
      </c>
      <c r="G111">
        <f t="shared" si="17"/>
        <v>2</v>
      </c>
      <c r="H111" s="149">
        <f t="shared" si="18"/>
        <v>259.779582</v>
      </c>
      <c r="I111" s="149">
        <f t="shared" si="19"/>
        <v>37.744337263808006</v>
      </c>
      <c r="J111" s="149">
        <f t="shared" si="20"/>
        <v>35.33873520476601</v>
      </c>
      <c r="K111" t="s">
        <v>209</v>
      </c>
      <c r="L111" s="132" t="s">
        <v>210</v>
      </c>
      <c r="M111" s="1" t="s">
        <v>157</v>
      </c>
      <c r="N111" s="132" t="s">
        <v>156</v>
      </c>
      <c r="O111" t="s">
        <v>158</v>
      </c>
      <c r="P111" s="139" t="s">
        <v>162</v>
      </c>
      <c r="Q111" s="139">
        <v>5</v>
      </c>
      <c r="R111" s="139">
        <v>4</v>
      </c>
      <c r="S111" s="140">
        <v>12.459163999999788</v>
      </c>
      <c r="T111" s="140">
        <f t="shared" si="12"/>
        <v>14.459163999999788</v>
      </c>
      <c r="U111" s="141">
        <v>40.724366959999998</v>
      </c>
      <c r="V111" s="141">
        <v>40.724366959999998</v>
      </c>
      <c r="W111" t="s">
        <v>165</v>
      </c>
      <c r="X111" t="s">
        <v>160</v>
      </c>
      <c r="Y111" s="135">
        <v>12.74</v>
      </c>
      <c r="Z111" s="135">
        <v>-78.739999999999995</v>
      </c>
      <c r="AA111" t="s">
        <v>165</v>
      </c>
      <c r="AB111" t="s">
        <v>165</v>
      </c>
      <c r="AC111">
        <v>-2839</v>
      </c>
      <c r="AD111" t="s">
        <v>165</v>
      </c>
      <c r="AE111" t="s">
        <v>165</v>
      </c>
      <c r="AF111" t="s">
        <v>165</v>
      </c>
      <c r="AG111">
        <v>1236.18</v>
      </c>
      <c r="AH111" t="s">
        <v>163</v>
      </c>
      <c r="AI111">
        <v>2</v>
      </c>
      <c r="AJ111">
        <v>2</v>
      </c>
      <c r="AK111" t="s">
        <v>165</v>
      </c>
      <c r="AL111" t="s">
        <v>164</v>
      </c>
      <c r="AM111" t="s">
        <v>165</v>
      </c>
      <c r="AN111" t="s">
        <v>165</v>
      </c>
      <c r="AO111" t="s">
        <v>165</v>
      </c>
      <c r="AP111" t="s">
        <v>165</v>
      </c>
      <c r="AQ111" t="s">
        <v>165</v>
      </c>
      <c r="AR111" t="s">
        <v>165</v>
      </c>
      <c r="AS111" t="s">
        <v>165</v>
      </c>
      <c r="AT111" t="s">
        <v>165</v>
      </c>
      <c r="AU111" t="s">
        <v>166</v>
      </c>
      <c r="AV111" t="s">
        <v>167</v>
      </c>
      <c r="AW111" t="s">
        <v>168</v>
      </c>
      <c r="AX111" s="154">
        <v>2</v>
      </c>
      <c r="AY111" t="s">
        <v>169</v>
      </c>
      <c r="AZ111" t="s">
        <v>170</v>
      </c>
      <c r="BA111" t="s">
        <v>171</v>
      </c>
      <c r="BB111" t="s">
        <v>165</v>
      </c>
      <c r="BC111" s="154">
        <v>2</v>
      </c>
      <c r="BD111" s="133" t="s">
        <v>165</v>
      </c>
      <c r="BE111" s="146">
        <v>20.564001139999998</v>
      </c>
      <c r="BF111" t="s">
        <v>172</v>
      </c>
      <c r="BG111" s="146">
        <v>0.17050941999999999</v>
      </c>
      <c r="BH111">
        <v>0.64</v>
      </c>
      <c r="BI111" t="s">
        <v>173</v>
      </c>
      <c r="BJ111">
        <v>3.4000000000000002E-2</v>
      </c>
      <c r="BK111">
        <v>9.1</v>
      </c>
      <c r="BL111" t="s">
        <v>163</v>
      </c>
      <c r="BM111">
        <v>0.56000000000000005</v>
      </c>
      <c r="BN111" t="s">
        <v>174</v>
      </c>
      <c r="BO111" t="s">
        <v>175</v>
      </c>
      <c r="BP111" s="155">
        <f t="shared" si="21"/>
        <v>19.490001899999999</v>
      </c>
      <c r="BQ111" s="133" t="s">
        <v>183</v>
      </c>
      <c r="BR111" s="133" t="s">
        <v>165</v>
      </c>
      <c r="BS111" s="133" t="s">
        <v>165</v>
      </c>
      <c r="BT111" t="s">
        <v>176</v>
      </c>
      <c r="BU111" s="133">
        <v>10</v>
      </c>
      <c r="BV111" s="133" t="s">
        <v>198</v>
      </c>
      <c r="BW111" s="133" t="s">
        <v>165</v>
      </c>
      <c r="BX111" s="145">
        <v>26.304711749999999</v>
      </c>
      <c r="BY111" t="s">
        <v>163</v>
      </c>
      <c r="BZ111">
        <v>3</v>
      </c>
      <c r="CA111">
        <v>3</v>
      </c>
      <c r="CB111" t="s">
        <v>165</v>
      </c>
      <c r="CC111" s="146">
        <v>3.809790274253829</v>
      </c>
      <c r="CD111" t="s">
        <v>180</v>
      </c>
      <c r="CE111" s="146">
        <f t="shared" si="13"/>
        <v>0.15239161097015316</v>
      </c>
      <c r="CF111" s="146">
        <v>0.15239161097015316</v>
      </c>
      <c r="CG111" s="156" t="s">
        <v>165</v>
      </c>
      <c r="CH111" t="s">
        <v>207</v>
      </c>
      <c r="CI111" t="s">
        <v>165</v>
      </c>
      <c r="CJ111" t="s">
        <v>178</v>
      </c>
      <c r="CK111" t="s">
        <v>181</v>
      </c>
      <c r="CL111" t="s">
        <v>181</v>
      </c>
      <c r="CM111" t="s">
        <v>181</v>
      </c>
      <c r="CN111" t="s">
        <v>165</v>
      </c>
      <c r="CO111" t="s">
        <v>165</v>
      </c>
      <c r="CP111" t="s">
        <v>165</v>
      </c>
      <c r="CQ111" t="s">
        <v>165</v>
      </c>
      <c r="CR111" t="s">
        <v>165</v>
      </c>
      <c r="CS111" t="s">
        <v>165</v>
      </c>
      <c r="CT111" t="s">
        <v>165</v>
      </c>
      <c r="CU111">
        <v>35</v>
      </c>
      <c r="CV111" t="s">
        <v>183</v>
      </c>
      <c r="CW111" s="154">
        <v>3</v>
      </c>
      <c r="CX111" s="133" t="s">
        <v>199</v>
      </c>
      <c r="CY111" s="133" t="s">
        <v>165</v>
      </c>
      <c r="CZ111" s="133" t="s">
        <v>165</v>
      </c>
      <c r="DA111" s="133" t="s">
        <v>165</v>
      </c>
      <c r="DB111" s="133" t="s">
        <v>165</v>
      </c>
      <c r="DC111" s="133" t="s">
        <v>165</v>
      </c>
      <c r="DD111" s="133" t="s">
        <v>165</v>
      </c>
      <c r="DE111" s="133" t="s">
        <v>165</v>
      </c>
      <c r="DF111" s="133" t="s">
        <v>165</v>
      </c>
      <c r="DG111" s="133" t="s">
        <v>165</v>
      </c>
      <c r="DH111" s="133" t="s">
        <v>165</v>
      </c>
      <c r="DI111" s="133" t="s">
        <v>165</v>
      </c>
      <c r="DJ111" s="133" t="s">
        <v>165</v>
      </c>
      <c r="DK111" s="145">
        <v>432.56244218316402</v>
      </c>
      <c r="DL111" t="s">
        <v>204</v>
      </c>
      <c r="DM111">
        <v>37.1</v>
      </c>
      <c r="DN111" t="s">
        <v>205</v>
      </c>
      <c r="DO111">
        <v>39.61</v>
      </c>
      <c r="DP111" t="s">
        <v>183</v>
      </c>
      <c r="DQ111" s="146">
        <f t="shared" si="22"/>
        <v>0.22361800000000001</v>
      </c>
      <c r="DR111" t="s">
        <v>184</v>
      </c>
      <c r="DS111" t="s">
        <v>200</v>
      </c>
      <c r="DT111" t="s">
        <v>201</v>
      </c>
      <c r="DU111">
        <v>1.0271999999999999</v>
      </c>
      <c r="DV111" t="s">
        <v>165</v>
      </c>
      <c r="DW111" t="s">
        <v>165</v>
      </c>
      <c r="DX111" t="s">
        <v>197</v>
      </c>
      <c r="DY111" t="s">
        <v>181</v>
      </c>
      <c r="DZ111" t="s">
        <v>181</v>
      </c>
      <c r="EA111" t="s">
        <v>202</v>
      </c>
      <c r="EB111" t="s">
        <v>203</v>
      </c>
      <c r="EC111" s="147" t="s">
        <v>206</v>
      </c>
      <c r="ED111" s="147" t="s">
        <v>206</v>
      </c>
      <c r="EE111" s="133" t="s">
        <v>165</v>
      </c>
      <c r="EF111" s="133" t="s">
        <v>165</v>
      </c>
      <c r="EG111" s="133" t="s">
        <v>165</v>
      </c>
      <c r="EH111" t="s">
        <v>185</v>
      </c>
      <c r="EI111" t="s">
        <v>179</v>
      </c>
      <c r="EJ111" t="s">
        <v>165</v>
      </c>
      <c r="EK111">
        <v>2438</v>
      </c>
      <c r="EL111" s="147" t="s">
        <v>211</v>
      </c>
      <c r="EM111" s="147">
        <v>175</v>
      </c>
      <c r="EN111">
        <v>175</v>
      </c>
      <c r="EO111" t="s">
        <v>165</v>
      </c>
      <c r="EP111" t="s">
        <v>165</v>
      </c>
      <c r="EQ111" t="s">
        <v>165</v>
      </c>
      <c r="ER111" t="s">
        <v>165</v>
      </c>
      <c r="ES111" s="148">
        <v>8.1638712208222302</v>
      </c>
      <c r="ET111" t="s">
        <v>187</v>
      </c>
      <c r="EU111" s="133" t="s">
        <v>165</v>
      </c>
      <c r="EV111" s="133" t="s">
        <v>165</v>
      </c>
      <c r="EW111" s="149">
        <v>280.779582</v>
      </c>
      <c r="EX111">
        <v>21</v>
      </c>
      <c r="EY111" t="s">
        <v>186</v>
      </c>
      <c r="EZ111" s="150">
        <v>259.779582</v>
      </c>
      <c r="FA111" s="151">
        <v>37.744337263808006</v>
      </c>
      <c r="FB111" s="151">
        <v>35.33873520476601</v>
      </c>
      <c r="FC111" t="s">
        <v>176</v>
      </c>
      <c r="FD111" t="s">
        <v>188</v>
      </c>
      <c r="FE111" t="s">
        <v>165</v>
      </c>
      <c r="FF111" t="s">
        <v>165</v>
      </c>
      <c r="FG111" t="s">
        <v>165</v>
      </c>
      <c r="FH111" t="s">
        <v>165</v>
      </c>
      <c r="FI111" t="s">
        <v>165</v>
      </c>
      <c r="FJ111" t="s">
        <v>165</v>
      </c>
      <c r="FK111" t="s">
        <v>165</v>
      </c>
      <c r="FL111" t="s">
        <v>165</v>
      </c>
      <c r="FM111" t="s">
        <v>165</v>
      </c>
      <c r="FN111" t="s">
        <v>165</v>
      </c>
      <c r="FO111" t="s">
        <v>165</v>
      </c>
      <c r="FP111" t="s">
        <v>165</v>
      </c>
    </row>
    <row r="112" spans="1:172">
      <c r="A112" s="131" t="s">
        <v>154</v>
      </c>
      <c r="B112" t="s">
        <v>155</v>
      </c>
      <c r="C112">
        <v>2017</v>
      </c>
      <c r="D112" s="132" t="s">
        <v>156</v>
      </c>
      <c r="E112" s="145">
        <f t="shared" si="15"/>
        <v>1239.83</v>
      </c>
      <c r="F112">
        <f t="shared" si="16"/>
        <v>2</v>
      </c>
      <c r="G112">
        <f t="shared" si="17"/>
        <v>2</v>
      </c>
      <c r="H112" s="149">
        <f t="shared" si="18"/>
        <v>265.64764280000003</v>
      </c>
      <c r="I112" s="149">
        <f t="shared" si="19"/>
        <v>39.189645442429992</v>
      </c>
      <c r="J112" s="149">
        <f t="shared" si="20"/>
        <v>37.571565167341021</v>
      </c>
      <c r="K112" t="s">
        <v>209</v>
      </c>
      <c r="L112" s="132" t="s">
        <v>210</v>
      </c>
      <c r="M112" s="1" t="s">
        <v>157</v>
      </c>
      <c r="N112" s="132" t="s">
        <v>156</v>
      </c>
      <c r="O112" t="s">
        <v>158</v>
      </c>
      <c r="P112" s="142" t="s">
        <v>162</v>
      </c>
      <c r="Q112" s="142">
        <v>5</v>
      </c>
      <c r="R112" s="142">
        <v>4</v>
      </c>
      <c r="S112" s="143">
        <v>21</v>
      </c>
      <c r="T112" s="143">
        <f t="shared" si="12"/>
        <v>23</v>
      </c>
      <c r="U112" s="144">
        <v>40.81</v>
      </c>
      <c r="V112" s="144">
        <v>40.81</v>
      </c>
      <c r="W112" t="s">
        <v>165</v>
      </c>
      <c r="X112" t="s">
        <v>160</v>
      </c>
      <c r="Y112" s="135">
        <v>12.74</v>
      </c>
      <c r="Z112" s="135">
        <v>-78.739999999999995</v>
      </c>
      <c r="AA112" t="s">
        <v>165</v>
      </c>
      <c r="AB112" t="s">
        <v>165</v>
      </c>
      <c r="AC112">
        <v>-2839</v>
      </c>
      <c r="AD112" t="s">
        <v>165</v>
      </c>
      <c r="AE112" t="s">
        <v>165</v>
      </c>
      <c r="AF112" t="s">
        <v>165</v>
      </c>
      <c r="AG112">
        <v>1239.83</v>
      </c>
      <c r="AH112" t="s">
        <v>163</v>
      </c>
      <c r="AI112">
        <v>2</v>
      </c>
      <c r="AJ112">
        <v>2</v>
      </c>
      <c r="AK112" t="s">
        <v>165</v>
      </c>
      <c r="AL112" t="s">
        <v>164</v>
      </c>
      <c r="AM112" t="s">
        <v>165</v>
      </c>
      <c r="AN112" t="s">
        <v>165</v>
      </c>
      <c r="AO112" t="s">
        <v>165</v>
      </c>
      <c r="AP112" t="s">
        <v>165</v>
      </c>
      <c r="AQ112" t="s">
        <v>165</v>
      </c>
      <c r="AR112" t="s">
        <v>165</v>
      </c>
      <c r="AS112" t="s">
        <v>165</v>
      </c>
      <c r="AT112" t="s">
        <v>165</v>
      </c>
      <c r="AU112" t="s">
        <v>166</v>
      </c>
      <c r="AV112" t="s">
        <v>167</v>
      </c>
      <c r="AW112" t="s">
        <v>168</v>
      </c>
      <c r="AX112" s="154">
        <v>2</v>
      </c>
      <c r="AY112" t="s">
        <v>169</v>
      </c>
      <c r="AZ112" t="s">
        <v>170</v>
      </c>
      <c r="BA112" t="s">
        <v>171</v>
      </c>
      <c r="BB112" t="s">
        <v>165</v>
      </c>
      <c r="BC112" s="154">
        <v>2</v>
      </c>
      <c r="BD112" s="133" t="s">
        <v>165</v>
      </c>
      <c r="BE112" s="146">
        <v>20.54738004</v>
      </c>
      <c r="BF112" t="s">
        <v>172</v>
      </c>
      <c r="BG112" s="146">
        <v>0.207386182</v>
      </c>
      <c r="BH112">
        <v>0.64</v>
      </c>
      <c r="BI112" t="s">
        <v>173</v>
      </c>
      <c r="BJ112">
        <v>3.4000000000000002E-2</v>
      </c>
      <c r="BK112">
        <v>9.1</v>
      </c>
      <c r="BL112" t="s">
        <v>163</v>
      </c>
      <c r="BM112">
        <v>0.56000000000000005</v>
      </c>
      <c r="BN112" t="s">
        <v>174</v>
      </c>
      <c r="BO112" t="s">
        <v>175</v>
      </c>
      <c r="BP112" s="155">
        <f t="shared" si="21"/>
        <v>19.462300066666668</v>
      </c>
      <c r="BQ112" s="133" t="s">
        <v>183</v>
      </c>
      <c r="BR112" s="133" t="s">
        <v>165</v>
      </c>
      <c r="BS112" s="133" t="s">
        <v>165</v>
      </c>
      <c r="BT112" t="s">
        <v>176</v>
      </c>
      <c r="BU112" s="133">
        <v>10</v>
      </c>
      <c r="BV112" s="133" t="s">
        <v>198</v>
      </c>
      <c r="BW112" s="133" t="s">
        <v>165</v>
      </c>
      <c r="BX112" s="145">
        <v>26.790870470000002</v>
      </c>
      <c r="BY112" t="s">
        <v>163</v>
      </c>
      <c r="BZ112">
        <v>3</v>
      </c>
      <c r="CA112">
        <v>3</v>
      </c>
      <c r="CB112" t="s">
        <v>165</v>
      </c>
      <c r="CC112" s="146">
        <v>3.9743824857629071</v>
      </c>
      <c r="CD112" t="s">
        <v>180</v>
      </c>
      <c r="CE112" s="146">
        <f t="shared" si="13"/>
        <v>0.15897529943051628</v>
      </c>
      <c r="CF112" s="146">
        <v>0.15897529943051628</v>
      </c>
      <c r="CG112" s="156" t="s">
        <v>165</v>
      </c>
      <c r="CH112" t="s">
        <v>207</v>
      </c>
      <c r="CI112" t="s">
        <v>165</v>
      </c>
      <c r="CJ112" t="s">
        <v>178</v>
      </c>
      <c r="CK112" t="s">
        <v>181</v>
      </c>
      <c r="CL112" t="s">
        <v>181</v>
      </c>
      <c r="CM112" t="s">
        <v>181</v>
      </c>
      <c r="CN112" t="s">
        <v>165</v>
      </c>
      <c r="CO112" t="s">
        <v>165</v>
      </c>
      <c r="CP112" t="s">
        <v>165</v>
      </c>
      <c r="CQ112" t="s">
        <v>165</v>
      </c>
      <c r="CR112" t="s">
        <v>165</v>
      </c>
      <c r="CS112" t="s">
        <v>165</v>
      </c>
      <c r="CT112" t="s">
        <v>165</v>
      </c>
      <c r="CU112">
        <v>35</v>
      </c>
      <c r="CV112" t="s">
        <v>183</v>
      </c>
      <c r="CW112" s="154">
        <v>3</v>
      </c>
      <c r="CX112" s="133" t="s">
        <v>199</v>
      </c>
      <c r="CY112" s="133" t="s">
        <v>165</v>
      </c>
      <c r="CZ112" s="133" t="s">
        <v>165</v>
      </c>
      <c r="DA112" s="133" t="s">
        <v>165</v>
      </c>
      <c r="DB112" s="133" t="s">
        <v>165</v>
      </c>
      <c r="DC112" s="133" t="s">
        <v>165</v>
      </c>
      <c r="DD112" s="133" t="s">
        <v>165</v>
      </c>
      <c r="DE112" s="133" t="s">
        <v>165</v>
      </c>
      <c r="DF112" s="133" t="s">
        <v>165</v>
      </c>
      <c r="DG112" s="133" t="s">
        <v>165</v>
      </c>
      <c r="DH112" s="133" t="s">
        <v>165</v>
      </c>
      <c r="DI112" s="133" t="s">
        <v>165</v>
      </c>
      <c r="DJ112" s="133" t="s">
        <v>165</v>
      </c>
      <c r="DK112" s="145">
        <v>432.56244218316402</v>
      </c>
      <c r="DL112" t="s">
        <v>204</v>
      </c>
      <c r="DM112">
        <v>37.1</v>
      </c>
      <c r="DN112" t="s">
        <v>205</v>
      </c>
      <c r="DO112">
        <v>39.61</v>
      </c>
      <c r="DP112" t="s">
        <v>183</v>
      </c>
      <c r="DQ112" s="146">
        <f t="shared" si="22"/>
        <v>0.22398300000000002</v>
      </c>
      <c r="DR112" t="s">
        <v>184</v>
      </c>
      <c r="DS112" t="s">
        <v>200</v>
      </c>
      <c r="DT112" t="s">
        <v>201</v>
      </c>
      <c r="DU112">
        <v>1.0271999999999999</v>
      </c>
      <c r="DV112" t="s">
        <v>165</v>
      </c>
      <c r="DW112" t="s">
        <v>165</v>
      </c>
      <c r="DX112" t="s">
        <v>197</v>
      </c>
      <c r="DY112" t="s">
        <v>181</v>
      </c>
      <c r="DZ112" t="s">
        <v>181</v>
      </c>
      <c r="EA112" t="s">
        <v>202</v>
      </c>
      <c r="EB112" t="s">
        <v>203</v>
      </c>
      <c r="EC112" s="147" t="s">
        <v>206</v>
      </c>
      <c r="ED112" s="147" t="s">
        <v>206</v>
      </c>
      <c r="EE112" s="133" t="s">
        <v>165</v>
      </c>
      <c r="EF112" s="133" t="s">
        <v>165</v>
      </c>
      <c r="EG112" s="133" t="s">
        <v>165</v>
      </c>
      <c r="EH112" t="s">
        <v>185</v>
      </c>
      <c r="EI112" t="s">
        <v>179</v>
      </c>
      <c r="EJ112" t="s">
        <v>165</v>
      </c>
      <c r="EK112">
        <v>2439</v>
      </c>
      <c r="EL112" s="147" t="s">
        <v>211</v>
      </c>
      <c r="EM112" s="147">
        <v>175</v>
      </c>
      <c r="EN112">
        <v>175</v>
      </c>
      <c r="EO112" t="s">
        <v>165</v>
      </c>
      <c r="EP112" t="s">
        <v>165</v>
      </c>
      <c r="EQ112" t="s">
        <v>165</v>
      </c>
      <c r="ER112" t="s">
        <v>165</v>
      </c>
      <c r="ES112" s="148">
        <v>8.1563629371641309</v>
      </c>
      <c r="ET112" t="s">
        <v>187</v>
      </c>
      <c r="EU112" s="133" t="s">
        <v>165</v>
      </c>
      <c r="EV112" s="133" t="s">
        <v>165</v>
      </c>
      <c r="EW112" s="149">
        <v>286.64764280000003</v>
      </c>
      <c r="EX112">
        <v>21</v>
      </c>
      <c r="EY112" t="s">
        <v>186</v>
      </c>
      <c r="EZ112" s="150">
        <v>265.64764280000003</v>
      </c>
      <c r="FA112" s="151">
        <v>39.189645442429992</v>
      </c>
      <c r="FB112" s="151">
        <v>37.571565167341021</v>
      </c>
      <c r="FC112" t="s">
        <v>176</v>
      </c>
      <c r="FD112" t="s">
        <v>188</v>
      </c>
      <c r="FE112" t="s">
        <v>165</v>
      </c>
      <c r="FF112" t="s">
        <v>165</v>
      </c>
      <c r="FG112" t="s">
        <v>165</v>
      </c>
      <c r="FH112" t="s">
        <v>165</v>
      </c>
      <c r="FI112" t="s">
        <v>165</v>
      </c>
      <c r="FJ112" t="s">
        <v>165</v>
      </c>
      <c r="FK112" t="s">
        <v>165</v>
      </c>
      <c r="FL112" t="s">
        <v>165</v>
      </c>
      <c r="FM112" t="s">
        <v>165</v>
      </c>
      <c r="FN112" t="s">
        <v>165</v>
      </c>
      <c r="FO112" t="s">
        <v>165</v>
      </c>
      <c r="FP112" t="s">
        <v>165</v>
      </c>
    </row>
    <row r="113" spans="1:172">
      <c r="A113" s="131" t="s">
        <v>154</v>
      </c>
      <c r="B113" t="s">
        <v>155</v>
      </c>
      <c r="C113">
        <v>2017</v>
      </c>
      <c r="D113" s="132" t="s">
        <v>156</v>
      </c>
      <c r="E113" s="145">
        <f t="shared" si="15"/>
        <v>1243.25</v>
      </c>
      <c r="F113">
        <f t="shared" si="16"/>
        <v>2</v>
      </c>
      <c r="G113">
        <f t="shared" si="17"/>
        <v>2</v>
      </c>
      <c r="H113" s="149">
        <f t="shared" si="18"/>
        <v>288.5075635</v>
      </c>
      <c r="I113" s="149">
        <f t="shared" si="19"/>
        <v>39.952441544902001</v>
      </c>
      <c r="J113" s="149">
        <f t="shared" si="20"/>
        <v>38.416460486042013</v>
      </c>
      <c r="K113" t="s">
        <v>209</v>
      </c>
      <c r="L113" s="132" t="s">
        <v>210</v>
      </c>
      <c r="M113" s="1" t="s">
        <v>157</v>
      </c>
      <c r="N113" s="132" t="s">
        <v>156</v>
      </c>
      <c r="O113" t="s">
        <v>158</v>
      </c>
      <c r="P113" s="139" t="s">
        <v>162</v>
      </c>
      <c r="Q113" s="139">
        <v>5</v>
      </c>
      <c r="R113" s="139">
        <v>4</v>
      </c>
      <c r="S113" s="140">
        <v>29</v>
      </c>
      <c r="T113" s="140">
        <f t="shared" si="12"/>
        <v>31</v>
      </c>
      <c r="U113" s="141">
        <v>40.89</v>
      </c>
      <c r="V113" s="141">
        <v>40.89</v>
      </c>
      <c r="W113" t="s">
        <v>165</v>
      </c>
      <c r="X113" t="s">
        <v>160</v>
      </c>
      <c r="Y113" s="135">
        <v>12.74</v>
      </c>
      <c r="Z113" s="135">
        <v>-78.739999999999995</v>
      </c>
      <c r="AA113" t="s">
        <v>165</v>
      </c>
      <c r="AB113" t="s">
        <v>165</v>
      </c>
      <c r="AC113">
        <v>-2839</v>
      </c>
      <c r="AD113" t="s">
        <v>165</v>
      </c>
      <c r="AE113" t="s">
        <v>165</v>
      </c>
      <c r="AF113" t="s">
        <v>165</v>
      </c>
      <c r="AG113">
        <v>1243.25</v>
      </c>
      <c r="AH113" t="s">
        <v>163</v>
      </c>
      <c r="AI113">
        <v>2</v>
      </c>
      <c r="AJ113">
        <v>2</v>
      </c>
      <c r="AK113" t="s">
        <v>165</v>
      </c>
      <c r="AL113" t="s">
        <v>164</v>
      </c>
      <c r="AM113" t="s">
        <v>165</v>
      </c>
      <c r="AN113" t="s">
        <v>165</v>
      </c>
      <c r="AO113" t="s">
        <v>165</v>
      </c>
      <c r="AP113" t="s">
        <v>165</v>
      </c>
      <c r="AQ113" t="s">
        <v>165</v>
      </c>
      <c r="AR113" t="s">
        <v>165</v>
      </c>
      <c r="AS113" t="s">
        <v>165</v>
      </c>
      <c r="AT113" t="s">
        <v>165</v>
      </c>
      <c r="AU113" t="s">
        <v>166</v>
      </c>
      <c r="AV113" t="s">
        <v>167</v>
      </c>
      <c r="AW113" t="s">
        <v>168</v>
      </c>
      <c r="AX113" s="154">
        <v>2</v>
      </c>
      <c r="AY113" t="s">
        <v>169</v>
      </c>
      <c r="AZ113" t="s">
        <v>170</v>
      </c>
      <c r="BA113" t="s">
        <v>171</v>
      </c>
      <c r="BB113" t="s">
        <v>165</v>
      </c>
      <c r="BC113" s="154">
        <v>2</v>
      </c>
      <c r="BD113" s="133" t="s">
        <v>165</v>
      </c>
      <c r="BE113" s="146">
        <v>20.46</v>
      </c>
      <c r="BF113" t="s">
        <v>172</v>
      </c>
      <c r="BG113" s="146">
        <v>0.15259805400000001</v>
      </c>
      <c r="BH113">
        <v>0.64</v>
      </c>
      <c r="BI113" t="s">
        <v>173</v>
      </c>
      <c r="BJ113">
        <v>3.4000000000000002E-2</v>
      </c>
      <c r="BK113">
        <v>9.1</v>
      </c>
      <c r="BL113" t="s">
        <v>163</v>
      </c>
      <c r="BM113">
        <v>0.56000000000000005</v>
      </c>
      <c r="BN113" t="s">
        <v>174</v>
      </c>
      <c r="BO113" t="s">
        <v>175</v>
      </c>
      <c r="BP113" s="155">
        <f t="shared" si="21"/>
        <v>19.31666666666667</v>
      </c>
      <c r="BQ113" s="133" t="s">
        <v>183</v>
      </c>
      <c r="BR113" s="133" t="s">
        <v>165</v>
      </c>
      <c r="BS113" s="133" t="s">
        <v>165</v>
      </c>
      <c r="BT113" t="s">
        <v>176</v>
      </c>
      <c r="BU113" s="133">
        <v>10</v>
      </c>
      <c r="BV113" s="133" t="s">
        <v>198</v>
      </c>
      <c r="BW113" s="133" t="s">
        <v>165</v>
      </c>
      <c r="BX113" s="145">
        <v>28.171230820000002</v>
      </c>
      <c r="BY113" t="s">
        <v>163</v>
      </c>
      <c r="BZ113">
        <v>3</v>
      </c>
      <c r="CA113">
        <v>3</v>
      </c>
      <c r="CB113" t="s">
        <v>165</v>
      </c>
      <c r="CC113" s="146">
        <v>4.4918539232517594</v>
      </c>
      <c r="CD113" t="s">
        <v>180</v>
      </c>
      <c r="CE113" s="146">
        <f t="shared" si="13"/>
        <v>0.17967415693007038</v>
      </c>
      <c r="CF113" s="146">
        <v>0.17967415693007038</v>
      </c>
      <c r="CG113" s="156" t="s">
        <v>165</v>
      </c>
      <c r="CH113" t="s">
        <v>207</v>
      </c>
      <c r="CI113" t="s">
        <v>165</v>
      </c>
      <c r="CJ113" t="s">
        <v>178</v>
      </c>
      <c r="CK113" t="s">
        <v>181</v>
      </c>
      <c r="CL113" t="s">
        <v>181</v>
      </c>
      <c r="CM113" t="s">
        <v>181</v>
      </c>
      <c r="CN113" t="s">
        <v>165</v>
      </c>
      <c r="CO113" t="s">
        <v>165</v>
      </c>
      <c r="CP113" t="s">
        <v>165</v>
      </c>
      <c r="CQ113" t="s">
        <v>165</v>
      </c>
      <c r="CR113" t="s">
        <v>165</v>
      </c>
      <c r="CS113" t="s">
        <v>165</v>
      </c>
      <c r="CT113" t="s">
        <v>165</v>
      </c>
      <c r="CU113">
        <v>35</v>
      </c>
      <c r="CV113" t="s">
        <v>183</v>
      </c>
      <c r="CW113" s="154">
        <v>3</v>
      </c>
      <c r="CX113" s="133" t="s">
        <v>199</v>
      </c>
      <c r="CY113" s="133" t="s">
        <v>165</v>
      </c>
      <c r="CZ113" s="133" t="s">
        <v>165</v>
      </c>
      <c r="DA113" s="133" t="s">
        <v>165</v>
      </c>
      <c r="DB113" s="133" t="s">
        <v>165</v>
      </c>
      <c r="DC113" s="133" t="s">
        <v>165</v>
      </c>
      <c r="DD113" s="133" t="s">
        <v>165</v>
      </c>
      <c r="DE113" s="133" t="s">
        <v>165</v>
      </c>
      <c r="DF113" s="133" t="s">
        <v>165</v>
      </c>
      <c r="DG113" s="133" t="s">
        <v>165</v>
      </c>
      <c r="DH113" s="133" t="s">
        <v>165</v>
      </c>
      <c r="DI113" s="133" t="s">
        <v>165</v>
      </c>
      <c r="DJ113" s="133" t="s">
        <v>165</v>
      </c>
      <c r="DK113" s="145">
        <v>432.56244218316402</v>
      </c>
      <c r="DL113" t="s">
        <v>204</v>
      </c>
      <c r="DM113">
        <v>37.1</v>
      </c>
      <c r="DN113" t="s">
        <v>205</v>
      </c>
      <c r="DO113">
        <v>39.61</v>
      </c>
      <c r="DP113" t="s">
        <v>183</v>
      </c>
      <c r="DQ113" s="146">
        <f t="shared" si="22"/>
        <v>0.224325</v>
      </c>
      <c r="DR113" t="s">
        <v>184</v>
      </c>
      <c r="DS113" t="s">
        <v>200</v>
      </c>
      <c r="DT113" t="s">
        <v>201</v>
      </c>
      <c r="DU113">
        <v>1.0271999999999999</v>
      </c>
      <c r="DV113" t="s">
        <v>165</v>
      </c>
      <c r="DW113" t="s">
        <v>165</v>
      </c>
      <c r="DX113" t="s">
        <v>197</v>
      </c>
      <c r="DY113" t="s">
        <v>181</v>
      </c>
      <c r="DZ113" t="s">
        <v>181</v>
      </c>
      <c r="EA113" t="s">
        <v>202</v>
      </c>
      <c r="EB113" t="s">
        <v>203</v>
      </c>
      <c r="EC113" s="147" t="s">
        <v>206</v>
      </c>
      <c r="ED113" s="147" t="s">
        <v>206</v>
      </c>
      <c r="EE113" s="133" t="s">
        <v>165</v>
      </c>
      <c r="EF113" s="133" t="s">
        <v>165</v>
      </c>
      <c r="EG113" s="133" t="s">
        <v>165</v>
      </c>
      <c r="EH113" t="s">
        <v>185</v>
      </c>
      <c r="EI113" t="s">
        <v>179</v>
      </c>
      <c r="EJ113" t="s">
        <v>165</v>
      </c>
      <c r="EK113">
        <v>2440</v>
      </c>
      <c r="EL113" s="147" t="s">
        <v>211</v>
      </c>
      <c r="EM113" s="147">
        <v>175</v>
      </c>
      <c r="EN113">
        <v>175</v>
      </c>
      <c r="EO113" t="s">
        <v>165</v>
      </c>
      <c r="EP113" t="s">
        <v>165</v>
      </c>
      <c r="EQ113" t="s">
        <v>165</v>
      </c>
      <c r="ER113" t="s">
        <v>165</v>
      </c>
      <c r="ES113" s="148">
        <v>8.1282861307531</v>
      </c>
      <c r="ET113" t="s">
        <v>187</v>
      </c>
      <c r="EU113" s="133" t="s">
        <v>165</v>
      </c>
      <c r="EV113" s="133" t="s">
        <v>165</v>
      </c>
      <c r="EW113" s="149">
        <v>309.5075635</v>
      </c>
      <c r="EX113">
        <v>21</v>
      </c>
      <c r="EY113" t="s">
        <v>186</v>
      </c>
      <c r="EZ113" s="150">
        <v>288.5075635</v>
      </c>
      <c r="FA113" s="149">
        <v>39.952441544902001</v>
      </c>
      <c r="FB113" s="149">
        <v>38.416460486042013</v>
      </c>
      <c r="FC113" t="s">
        <v>176</v>
      </c>
      <c r="FD113" t="s">
        <v>188</v>
      </c>
      <c r="FE113" t="s">
        <v>165</v>
      </c>
      <c r="FF113" t="s">
        <v>165</v>
      </c>
      <c r="FG113" t="s">
        <v>165</v>
      </c>
      <c r="FH113" t="s">
        <v>165</v>
      </c>
      <c r="FI113" t="s">
        <v>165</v>
      </c>
      <c r="FJ113" t="s">
        <v>165</v>
      </c>
      <c r="FK113" t="s">
        <v>165</v>
      </c>
      <c r="FL113" t="s">
        <v>165</v>
      </c>
      <c r="FM113" t="s">
        <v>165</v>
      </c>
      <c r="FN113" t="s">
        <v>165</v>
      </c>
      <c r="FO113" t="s">
        <v>165</v>
      </c>
      <c r="FP113" t="s">
        <v>165</v>
      </c>
    </row>
  </sheetData>
  <phoneticPr fontId="38" type="noConversion"/>
  <hyperlinks>
    <hyperlink ref="D4" r:id="rId1" display="https://doi.org/10.1073/pnas.1702143114" xr:uid="{00000000-0004-0000-0000-000000000000}"/>
    <hyperlink ref="N4" r:id="rId2" display="https://doi.org/10.1073/pnas.1702143114" xr:uid="{00000000-0004-0000-0000-000001000000}"/>
    <hyperlink ref="L4" r:id="rId3" display="t.chalk@noc.soton.ac.uk, elwyn" xr:uid="{00000000-0004-0000-0000-000002000000}"/>
    <hyperlink ref="N5" r:id="rId4" display="https://doi.org/10.1073/pnas.1702143114" xr:uid="{00000000-0004-0000-0000-000070000000}"/>
    <hyperlink ref="N6" r:id="rId5" display="https://doi.org/10.1073/pnas.1702143114" xr:uid="{00000000-0004-0000-0000-000071000000}"/>
    <hyperlink ref="N8" r:id="rId6" display="https://doi.org/10.1073/pnas.1702143114" xr:uid="{00000000-0004-0000-0000-000072000000}"/>
    <hyperlink ref="N10" r:id="rId7" display="https://doi.org/10.1073/pnas.1702143114" xr:uid="{00000000-0004-0000-0000-000073000000}"/>
    <hyperlink ref="N12" r:id="rId8" display="https://doi.org/10.1073/pnas.1702143114" xr:uid="{00000000-0004-0000-0000-000074000000}"/>
    <hyperlink ref="N14" r:id="rId9" display="https://doi.org/10.1073/pnas.1702143114" xr:uid="{00000000-0004-0000-0000-000075000000}"/>
    <hyperlink ref="N16" r:id="rId10" display="https://doi.org/10.1073/pnas.1702143114" xr:uid="{00000000-0004-0000-0000-000076000000}"/>
    <hyperlink ref="N18" r:id="rId11" display="https://doi.org/10.1073/pnas.1702143114" xr:uid="{00000000-0004-0000-0000-000077000000}"/>
    <hyperlink ref="N20" r:id="rId12" display="https://doi.org/10.1073/pnas.1702143114" xr:uid="{00000000-0004-0000-0000-000078000000}"/>
    <hyperlink ref="N22" r:id="rId13" display="https://doi.org/10.1073/pnas.1702143114" xr:uid="{00000000-0004-0000-0000-000079000000}"/>
    <hyperlink ref="N24" r:id="rId14" display="https://doi.org/10.1073/pnas.1702143114" xr:uid="{00000000-0004-0000-0000-00007A000000}"/>
    <hyperlink ref="N26" r:id="rId15" display="https://doi.org/10.1073/pnas.1702143114" xr:uid="{00000000-0004-0000-0000-00007B000000}"/>
    <hyperlink ref="N28" r:id="rId16" display="https://doi.org/10.1073/pnas.1702143114" xr:uid="{00000000-0004-0000-0000-00007C000000}"/>
    <hyperlink ref="N30" r:id="rId17" display="https://doi.org/10.1073/pnas.1702143114" xr:uid="{00000000-0004-0000-0000-00007D000000}"/>
    <hyperlink ref="N32" r:id="rId18" display="https://doi.org/10.1073/pnas.1702143114" xr:uid="{00000000-0004-0000-0000-00007E000000}"/>
    <hyperlink ref="N34" r:id="rId19" display="https://doi.org/10.1073/pnas.1702143114" xr:uid="{00000000-0004-0000-0000-00007F000000}"/>
    <hyperlink ref="N36" r:id="rId20" display="https://doi.org/10.1073/pnas.1702143114" xr:uid="{00000000-0004-0000-0000-000080000000}"/>
    <hyperlink ref="N38" r:id="rId21" display="https://doi.org/10.1073/pnas.1702143114" xr:uid="{00000000-0004-0000-0000-000081000000}"/>
    <hyperlink ref="N40" r:id="rId22" display="https://doi.org/10.1073/pnas.1702143114" xr:uid="{00000000-0004-0000-0000-000082000000}"/>
    <hyperlink ref="N42" r:id="rId23" display="https://doi.org/10.1073/pnas.1702143114" xr:uid="{00000000-0004-0000-0000-000083000000}"/>
    <hyperlink ref="N44" r:id="rId24" display="https://doi.org/10.1073/pnas.1702143114" xr:uid="{00000000-0004-0000-0000-000084000000}"/>
    <hyperlink ref="N46" r:id="rId25" display="https://doi.org/10.1073/pnas.1702143114" xr:uid="{00000000-0004-0000-0000-000085000000}"/>
    <hyperlink ref="N48" r:id="rId26" display="https://doi.org/10.1073/pnas.1702143114" xr:uid="{00000000-0004-0000-0000-000086000000}"/>
    <hyperlink ref="N50" r:id="rId27" display="https://doi.org/10.1073/pnas.1702143114" xr:uid="{00000000-0004-0000-0000-000087000000}"/>
    <hyperlink ref="N52" r:id="rId28" display="https://doi.org/10.1073/pnas.1702143114" xr:uid="{00000000-0004-0000-0000-000088000000}"/>
    <hyperlink ref="N54" r:id="rId29" display="https://doi.org/10.1073/pnas.1702143114" xr:uid="{00000000-0004-0000-0000-000089000000}"/>
    <hyperlink ref="N56" r:id="rId30" display="https://doi.org/10.1073/pnas.1702143114" xr:uid="{00000000-0004-0000-0000-00008A000000}"/>
    <hyperlink ref="N58" r:id="rId31" display="https://doi.org/10.1073/pnas.1702143114" xr:uid="{00000000-0004-0000-0000-00008B000000}"/>
    <hyperlink ref="N60" r:id="rId32" display="https://doi.org/10.1073/pnas.1702143114" xr:uid="{00000000-0004-0000-0000-00008C000000}"/>
    <hyperlink ref="N62" r:id="rId33" display="https://doi.org/10.1073/pnas.1702143114" xr:uid="{00000000-0004-0000-0000-00008D000000}"/>
    <hyperlink ref="N64" r:id="rId34" display="https://doi.org/10.1073/pnas.1702143114" xr:uid="{00000000-0004-0000-0000-00008E000000}"/>
    <hyperlink ref="N66" r:id="rId35" display="https://doi.org/10.1073/pnas.1702143114" xr:uid="{00000000-0004-0000-0000-00008F000000}"/>
    <hyperlink ref="N68" r:id="rId36" display="https://doi.org/10.1073/pnas.1702143114" xr:uid="{00000000-0004-0000-0000-000090000000}"/>
    <hyperlink ref="N70" r:id="rId37" display="https://doi.org/10.1073/pnas.1702143114" xr:uid="{00000000-0004-0000-0000-000091000000}"/>
    <hyperlink ref="N72" r:id="rId38" display="https://doi.org/10.1073/pnas.1702143114" xr:uid="{00000000-0004-0000-0000-000092000000}"/>
    <hyperlink ref="N74" r:id="rId39" display="https://doi.org/10.1073/pnas.1702143114" xr:uid="{00000000-0004-0000-0000-000093000000}"/>
    <hyperlink ref="N76" r:id="rId40" display="https://doi.org/10.1073/pnas.1702143114" xr:uid="{00000000-0004-0000-0000-000094000000}"/>
    <hyperlink ref="N78" r:id="rId41" display="https://doi.org/10.1073/pnas.1702143114" xr:uid="{00000000-0004-0000-0000-000095000000}"/>
    <hyperlink ref="N80" r:id="rId42" display="https://doi.org/10.1073/pnas.1702143114" xr:uid="{00000000-0004-0000-0000-000096000000}"/>
    <hyperlink ref="N82" r:id="rId43" display="https://doi.org/10.1073/pnas.1702143114" xr:uid="{00000000-0004-0000-0000-000097000000}"/>
    <hyperlink ref="N84" r:id="rId44" display="https://doi.org/10.1073/pnas.1702143114" xr:uid="{00000000-0004-0000-0000-000098000000}"/>
    <hyperlink ref="N86" r:id="rId45" display="https://doi.org/10.1073/pnas.1702143114" xr:uid="{00000000-0004-0000-0000-000099000000}"/>
    <hyperlink ref="N88" r:id="rId46" display="https://doi.org/10.1073/pnas.1702143114" xr:uid="{00000000-0004-0000-0000-00009A000000}"/>
    <hyperlink ref="N90" r:id="rId47" display="https://doi.org/10.1073/pnas.1702143114" xr:uid="{00000000-0004-0000-0000-00009B000000}"/>
    <hyperlink ref="N92" r:id="rId48" display="https://doi.org/10.1073/pnas.1702143114" xr:uid="{00000000-0004-0000-0000-00009C000000}"/>
    <hyperlink ref="N94" r:id="rId49" display="https://doi.org/10.1073/pnas.1702143114" xr:uid="{00000000-0004-0000-0000-00009D000000}"/>
    <hyperlink ref="N96" r:id="rId50" display="https://doi.org/10.1073/pnas.1702143114" xr:uid="{00000000-0004-0000-0000-00009E000000}"/>
    <hyperlink ref="N98" r:id="rId51" display="https://doi.org/10.1073/pnas.1702143114" xr:uid="{00000000-0004-0000-0000-00009F000000}"/>
    <hyperlink ref="N100" r:id="rId52" display="https://doi.org/10.1073/pnas.1702143114" xr:uid="{00000000-0004-0000-0000-0000A0000000}"/>
    <hyperlink ref="N102" r:id="rId53" display="https://doi.org/10.1073/pnas.1702143114" xr:uid="{00000000-0004-0000-0000-0000A1000000}"/>
    <hyperlink ref="N104" r:id="rId54" display="https://doi.org/10.1073/pnas.1702143114" xr:uid="{00000000-0004-0000-0000-0000A2000000}"/>
    <hyperlink ref="N106" r:id="rId55" display="https://doi.org/10.1073/pnas.1702143114" xr:uid="{00000000-0004-0000-0000-0000A3000000}"/>
    <hyperlink ref="N108" r:id="rId56" display="https://doi.org/10.1073/pnas.1702143114" xr:uid="{00000000-0004-0000-0000-0000A4000000}"/>
    <hyperlink ref="N110" r:id="rId57" display="https://doi.org/10.1073/pnas.1702143114" xr:uid="{00000000-0004-0000-0000-0000A5000000}"/>
    <hyperlink ref="N112" r:id="rId58" display="https://doi.org/10.1073/pnas.1702143114" xr:uid="{00000000-0004-0000-0000-0000A6000000}"/>
    <hyperlink ref="N7" r:id="rId59" display="https://doi.org/10.1073/pnas.1702143114" xr:uid="{00000000-0004-0000-0000-0000A7000000}"/>
    <hyperlink ref="N9" r:id="rId60" display="https://doi.org/10.1073/pnas.1702143114" xr:uid="{00000000-0004-0000-0000-0000A8000000}"/>
    <hyperlink ref="N11" r:id="rId61" display="https://doi.org/10.1073/pnas.1702143114" xr:uid="{00000000-0004-0000-0000-0000A9000000}"/>
    <hyperlink ref="N13" r:id="rId62" display="https://doi.org/10.1073/pnas.1702143114" xr:uid="{00000000-0004-0000-0000-0000AA000000}"/>
    <hyperlink ref="N15" r:id="rId63" display="https://doi.org/10.1073/pnas.1702143114" xr:uid="{00000000-0004-0000-0000-0000AB000000}"/>
    <hyperlink ref="N17" r:id="rId64" display="https://doi.org/10.1073/pnas.1702143114" xr:uid="{00000000-0004-0000-0000-0000AC000000}"/>
    <hyperlink ref="N19" r:id="rId65" display="https://doi.org/10.1073/pnas.1702143114" xr:uid="{00000000-0004-0000-0000-0000AD000000}"/>
    <hyperlink ref="N21" r:id="rId66" display="https://doi.org/10.1073/pnas.1702143114" xr:uid="{00000000-0004-0000-0000-0000AE000000}"/>
    <hyperlink ref="N23" r:id="rId67" display="https://doi.org/10.1073/pnas.1702143114" xr:uid="{00000000-0004-0000-0000-0000AF000000}"/>
    <hyperlink ref="N25" r:id="rId68" display="https://doi.org/10.1073/pnas.1702143114" xr:uid="{00000000-0004-0000-0000-0000B0000000}"/>
    <hyperlink ref="N27" r:id="rId69" display="https://doi.org/10.1073/pnas.1702143114" xr:uid="{00000000-0004-0000-0000-0000B1000000}"/>
    <hyperlink ref="N29" r:id="rId70" display="https://doi.org/10.1073/pnas.1702143114" xr:uid="{00000000-0004-0000-0000-0000B2000000}"/>
    <hyperlink ref="N31" r:id="rId71" display="https://doi.org/10.1073/pnas.1702143114" xr:uid="{00000000-0004-0000-0000-0000B3000000}"/>
    <hyperlink ref="N33" r:id="rId72" display="https://doi.org/10.1073/pnas.1702143114" xr:uid="{00000000-0004-0000-0000-0000B4000000}"/>
    <hyperlink ref="N35" r:id="rId73" display="https://doi.org/10.1073/pnas.1702143114" xr:uid="{00000000-0004-0000-0000-0000B5000000}"/>
    <hyperlink ref="N37" r:id="rId74" display="https://doi.org/10.1073/pnas.1702143114" xr:uid="{00000000-0004-0000-0000-0000B6000000}"/>
    <hyperlink ref="N39" r:id="rId75" display="https://doi.org/10.1073/pnas.1702143114" xr:uid="{00000000-0004-0000-0000-0000B7000000}"/>
    <hyperlink ref="N41" r:id="rId76" display="https://doi.org/10.1073/pnas.1702143114" xr:uid="{00000000-0004-0000-0000-0000B8000000}"/>
    <hyperlink ref="N43" r:id="rId77" display="https://doi.org/10.1073/pnas.1702143114" xr:uid="{00000000-0004-0000-0000-0000B9000000}"/>
    <hyperlink ref="N45" r:id="rId78" display="https://doi.org/10.1073/pnas.1702143114" xr:uid="{00000000-0004-0000-0000-0000BA000000}"/>
    <hyperlink ref="N47" r:id="rId79" display="https://doi.org/10.1073/pnas.1702143114" xr:uid="{00000000-0004-0000-0000-0000BB000000}"/>
    <hyperlink ref="N49" r:id="rId80" display="https://doi.org/10.1073/pnas.1702143114" xr:uid="{00000000-0004-0000-0000-0000BC000000}"/>
    <hyperlink ref="N51" r:id="rId81" display="https://doi.org/10.1073/pnas.1702143114" xr:uid="{00000000-0004-0000-0000-0000BD000000}"/>
    <hyperlink ref="N53" r:id="rId82" display="https://doi.org/10.1073/pnas.1702143114" xr:uid="{00000000-0004-0000-0000-0000BE000000}"/>
    <hyperlink ref="N55" r:id="rId83" display="https://doi.org/10.1073/pnas.1702143114" xr:uid="{00000000-0004-0000-0000-0000BF000000}"/>
    <hyperlink ref="N57" r:id="rId84" display="https://doi.org/10.1073/pnas.1702143114" xr:uid="{00000000-0004-0000-0000-0000C0000000}"/>
    <hyperlink ref="N59" r:id="rId85" display="https://doi.org/10.1073/pnas.1702143114" xr:uid="{00000000-0004-0000-0000-0000C1000000}"/>
    <hyperlink ref="N61" r:id="rId86" display="https://doi.org/10.1073/pnas.1702143114" xr:uid="{00000000-0004-0000-0000-0000C2000000}"/>
    <hyperlink ref="N63" r:id="rId87" display="https://doi.org/10.1073/pnas.1702143114" xr:uid="{00000000-0004-0000-0000-0000C3000000}"/>
    <hyperlink ref="N65" r:id="rId88" display="https://doi.org/10.1073/pnas.1702143114" xr:uid="{00000000-0004-0000-0000-0000C4000000}"/>
    <hyperlink ref="N67" r:id="rId89" display="https://doi.org/10.1073/pnas.1702143114" xr:uid="{00000000-0004-0000-0000-0000C5000000}"/>
    <hyperlink ref="N69" r:id="rId90" display="https://doi.org/10.1073/pnas.1702143114" xr:uid="{00000000-0004-0000-0000-0000C6000000}"/>
    <hyperlink ref="N71" r:id="rId91" display="https://doi.org/10.1073/pnas.1702143114" xr:uid="{00000000-0004-0000-0000-0000C7000000}"/>
    <hyperlink ref="N73" r:id="rId92" display="https://doi.org/10.1073/pnas.1702143114" xr:uid="{00000000-0004-0000-0000-0000C8000000}"/>
    <hyperlink ref="N75" r:id="rId93" display="https://doi.org/10.1073/pnas.1702143114" xr:uid="{00000000-0004-0000-0000-0000C9000000}"/>
    <hyperlink ref="N77" r:id="rId94" display="https://doi.org/10.1073/pnas.1702143114" xr:uid="{00000000-0004-0000-0000-0000CA000000}"/>
    <hyperlink ref="N79" r:id="rId95" display="https://doi.org/10.1073/pnas.1702143114" xr:uid="{00000000-0004-0000-0000-0000CB000000}"/>
    <hyperlink ref="N81" r:id="rId96" display="https://doi.org/10.1073/pnas.1702143114" xr:uid="{00000000-0004-0000-0000-0000CC000000}"/>
    <hyperlink ref="N83" r:id="rId97" display="https://doi.org/10.1073/pnas.1702143114" xr:uid="{00000000-0004-0000-0000-0000CD000000}"/>
    <hyperlink ref="N85" r:id="rId98" display="https://doi.org/10.1073/pnas.1702143114" xr:uid="{00000000-0004-0000-0000-0000CE000000}"/>
    <hyperlink ref="N87" r:id="rId99" display="https://doi.org/10.1073/pnas.1702143114" xr:uid="{00000000-0004-0000-0000-0000CF000000}"/>
    <hyperlink ref="N89" r:id="rId100" display="https://doi.org/10.1073/pnas.1702143114" xr:uid="{00000000-0004-0000-0000-0000D0000000}"/>
    <hyperlink ref="N91" r:id="rId101" display="https://doi.org/10.1073/pnas.1702143114" xr:uid="{00000000-0004-0000-0000-0000D1000000}"/>
    <hyperlink ref="N93" r:id="rId102" display="https://doi.org/10.1073/pnas.1702143114" xr:uid="{00000000-0004-0000-0000-0000D2000000}"/>
    <hyperlink ref="N95" r:id="rId103" display="https://doi.org/10.1073/pnas.1702143114" xr:uid="{00000000-0004-0000-0000-0000D3000000}"/>
    <hyperlink ref="N97" r:id="rId104" display="https://doi.org/10.1073/pnas.1702143114" xr:uid="{00000000-0004-0000-0000-0000D4000000}"/>
    <hyperlink ref="N99" r:id="rId105" display="https://doi.org/10.1073/pnas.1702143114" xr:uid="{00000000-0004-0000-0000-0000D5000000}"/>
    <hyperlink ref="N101" r:id="rId106" display="https://doi.org/10.1073/pnas.1702143114" xr:uid="{00000000-0004-0000-0000-0000D6000000}"/>
    <hyperlink ref="N103" r:id="rId107" display="https://doi.org/10.1073/pnas.1702143114" xr:uid="{00000000-0004-0000-0000-0000D7000000}"/>
    <hyperlink ref="N105" r:id="rId108" display="https://doi.org/10.1073/pnas.1702143114" xr:uid="{00000000-0004-0000-0000-0000D8000000}"/>
    <hyperlink ref="N107" r:id="rId109" display="https://doi.org/10.1073/pnas.1702143114" xr:uid="{00000000-0004-0000-0000-0000D9000000}"/>
    <hyperlink ref="N109" r:id="rId110" display="https://doi.org/10.1073/pnas.1702143114" xr:uid="{00000000-0004-0000-0000-0000DA000000}"/>
    <hyperlink ref="N111" r:id="rId111" display="https://doi.org/10.1073/pnas.1702143114" xr:uid="{00000000-0004-0000-0000-0000DB000000}"/>
    <hyperlink ref="N113" r:id="rId112" display="https://doi.org/10.1073/pnas.1702143114" xr:uid="{00000000-0004-0000-0000-0000DC000000}"/>
    <hyperlink ref="D5" r:id="rId113" display="https://doi.org/10.1073/pnas.1702143114" xr:uid="{00000000-0004-0000-0000-0000DD000000}"/>
    <hyperlink ref="D6" r:id="rId114" display="https://doi.org/10.1073/pnas.1702143114" xr:uid="{00000000-0004-0000-0000-0000DE000000}"/>
    <hyperlink ref="D8" r:id="rId115" display="https://doi.org/10.1073/pnas.1702143114" xr:uid="{00000000-0004-0000-0000-0000DF000000}"/>
    <hyperlink ref="D10" r:id="rId116" display="https://doi.org/10.1073/pnas.1702143114" xr:uid="{00000000-0004-0000-0000-0000E0000000}"/>
    <hyperlink ref="D12" r:id="rId117" display="https://doi.org/10.1073/pnas.1702143114" xr:uid="{00000000-0004-0000-0000-0000E1000000}"/>
    <hyperlink ref="D14" r:id="rId118" display="https://doi.org/10.1073/pnas.1702143114" xr:uid="{00000000-0004-0000-0000-0000E2000000}"/>
    <hyperlink ref="D16" r:id="rId119" display="https://doi.org/10.1073/pnas.1702143114" xr:uid="{00000000-0004-0000-0000-0000E3000000}"/>
    <hyperlink ref="D18" r:id="rId120" display="https://doi.org/10.1073/pnas.1702143114" xr:uid="{00000000-0004-0000-0000-0000E4000000}"/>
    <hyperlink ref="D20" r:id="rId121" display="https://doi.org/10.1073/pnas.1702143114" xr:uid="{00000000-0004-0000-0000-0000E5000000}"/>
    <hyperlink ref="D22" r:id="rId122" display="https://doi.org/10.1073/pnas.1702143114" xr:uid="{00000000-0004-0000-0000-0000E6000000}"/>
    <hyperlink ref="D24" r:id="rId123" display="https://doi.org/10.1073/pnas.1702143114" xr:uid="{00000000-0004-0000-0000-0000E7000000}"/>
    <hyperlink ref="D26" r:id="rId124" display="https://doi.org/10.1073/pnas.1702143114" xr:uid="{00000000-0004-0000-0000-0000E8000000}"/>
    <hyperlink ref="D28" r:id="rId125" display="https://doi.org/10.1073/pnas.1702143114" xr:uid="{00000000-0004-0000-0000-0000E9000000}"/>
    <hyperlink ref="D30" r:id="rId126" display="https://doi.org/10.1073/pnas.1702143114" xr:uid="{00000000-0004-0000-0000-0000EA000000}"/>
    <hyperlink ref="D32" r:id="rId127" display="https://doi.org/10.1073/pnas.1702143114" xr:uid="{00000000-0004-0000-0000-0000EB000000}"/>
    <hyperlink ref="D34" r:id="rId128" display="https://doi.org/10.1073/pnas.1702143114" xr:uid="{00000000-0004-0000-0000-0000EC000000}"/>
    <hyperlink ref="D36" r:id="rId129" display="https://doi.org/10.1073/pnas.1702143114" xr:uid="{00000000-0004-0000-0000-0000ED000000}"/>
    <hyperlink ref="D38" r:id="rId130" display="https://doi.org/10.1073/pnas.1702143114" xr:uid="{00000000-0004-0000-0000-0000EE000000}"/>
    <hyperlink ref="D40" r:id="rId131" display="https://doi.org/10.1073/pnas.1702143114" xr:uid="{00000000-0004-0000-0000-0000EF000000}"/>
    <hyperlink ref="D42" r:id="rId132" display="https://doi.org/10.1073/pnas.1702143114" xr:uid="{00000000-0004-0000-0000-0000F0000000}"/>
    <hyperlink ref="D44" r:id="rId133" display="https://doi.org/10.1073/pnas.1702143114" xr:uid="{00000000-0004-0000-0000-0000F1000000}"/>
    <hyperlink ref="D46" r:id="rId134" display="https://doi.org/10.1073/pnas.1702143114" xr:uid="{00000000-0004-0000-0000-0000F2000000}"/>
    <hyperlink ref="D48" r:id="rId135" display="https://doi.org/10.1073/pnas.1702143114" xr:uid="{00000000-0004-0000-0000-0000F3000000}"/>
    <hyperlink ref="D50" r:id="rId136" display="https://doi.org/10.1073/pnas.1702143114" xr:uid="{00000000-0004-0000-0000-0000F4000000}"/>
    <hyperlink ref="D52" r:id="rId137" display="https://doi.org/10.1073/pnas.1702143114" xr:uid="{00000000-0004-0000-0000-0000F5000000}"/>
    <hyperlink ref="D54" r:id="rId138" display="https://doi.org/10.1073/pnas.1702143114" xr:uid="{00000000-0004-0000-0000-0000F6000000}"/>
    <hyperlink ref="D56" r:id="rId139" display="https://doi.org/10.1073/pnas.1702143114" xr:uid="{00000000-0004-0000-0000-0000F7000000}"/>
    <hyperlink ref="D58" r:id="rId140" display="https://doi.org/10.1073/pnas.1702143114" xr:uid="{00000000-0004-0000-0000-0000F8000000}"/>
    <hyperlink ref="D60" r:id="rId141" display="https://doi.org/10.1073/pnas.1702143114" xr:uid="{00000000-0004-0000-0000-0000F9000000}"/>
    <hyperlink ref="D62" r:id="rId142" display="https://doi.org/10.1073/pnas.1702143114" xr:uid="{00000000-0004-0000-0000-0000FA000000}"/>
    <hyperlink ref="D64" r:id="rId143" display="https://doi.org/10.1073/pnas.1702143114" xr:uid="{00000000-0004-0000-0000-0000FB000000}"/>
    <hyperlink ref="D66" r:id="rId144" display="https://doi.org/10.1073/pnas.1702143114" xr:uid="{00000000-0004-0000-0000-0000FC000000}"/>
    <hyperlink ref="D68" r:id="rId145" display="https://doi.org/10.1073/pnas.1702143114" xr:uid="{00000000-0004-0000-0000-0000FD000000}"/>
    <hyperlink ref="D70" r:id="rId146" display="https://doi.org/10.1073/pnas.1702143114" xr:uid="{00000000-0004-0000-0000-0000FE000000}"/>
    <hyperlink ref="D72" r:id="rId147" display="https://doi.org/10.1073/pnas.1702143114" xr:uid="{00000000-0004-0000-0000-0000FF000000}"/>
    <hyperlink ref="D74" r:id="rId148" display="https://doi.org/10.1073/pnas.1702143114" xr:uid="{00000000-0004-0000-0000-000000010000}"/>
    <hyperlink ref="D76" r:id="rId149" display="https://doi.org/10.1073/pnas.1702143114" xr:uid="{00000000-0004-0000-0000-000001010000}"/>
    <hyperlink ref="D78" r:id="rId150" display="https://doi.org/10.1073/pnas.1702143114" xr:uid="{00000000-0004-0000-0000-000002010000}"/>
    <hyperlink ref="D80" r:id="rId151" display="https://doi.org/10.1073/pnas.1702143114" xr:uid="{00000000-0004-0000-0000-000003010000}"/>
    <hyperlink ref="D82" r:id="rId152" display="https://doi.org/10.1073/pnas.1702143114" xr:uid="{00000000-0004-0000-0000-000004010000}"/>
    <hyperlink ref="D84" r:id="rId153" display="https://doi.org/10.1073/pnas.1702143114" xr:uid="{00000000-0004-0000-0000-000005010000}"/>
    <hyperlink ref="D86" r:id="rId154" display="https://doi.org/10.1073/pnas.1702143114" xr:uid="{00000000-0004-0000-0000-000006010000}"/>
    <hyperlink ref="D88" r:id="rId155" display="https://doi.org/10.1073/pnas.1702143114" xr:uid="{00000000-0004-0000-0000-000007010000}"/>
    <hyperlink ref="D90" r:id="rId156" display="https://doi.org/10.1073/pnas.1702143114" xr:uid="{00000000-0004-0000-0000-000008010000}"/>
    <hyperlink ref="D92" r:id="rId157" display="https://doi.org/10.1073/pnas.1702143114" xr:uid="{00000000-0004-0000-0000-000009010000}"/>
    <hyperlink ref="D94" r:id="rId158" display="https://doi.org/10.1073/pnas.1702143114" xr:uid="{00000000-0004-0000-0000-00000A010000}"/>
    <hyperlink ref="D96" r:id="rId159" display="https://doi.org/10.1073/pnas.1702143114" xr:uid="{00000000-0004-0000-0000-00000B010000}"/>
    <hyperlink ref="D98" r:id="rId160" display="https://doi.org/10.1073/pnas.1702143114" xr:uid="{00000000-0004-0000-0000-00000C010000}"/>
    <hyperlink ref="D100" r:id="rId161" display="https://doi.org/10.1073/pnas.1702143114" xr:uid="{00000000-0004-0000-0000-00000D010000}"/>
    <hyperlink ref="D102" r:id="rId162" display="https://doi.org/10.1073/pnas.1702143114" xr:uid="{00000000-0004-0000-0000-00000E010000}"/>
    <hyperlink ref="D104" r:id="rId163" display="https://doi.org/10.1073/pnas.1702143114" xr:uid="{00000000-0004-0000-0000-00000F010000}"/>
    <hyperlink ref="D106" r:id="rId164" display="https://doi.org/10.1073/pnas.1702143114" xr:uid="{00000000-0004-0000-0000-000010010000}"/>
    <hyperlink ref="D108" r:id="rId165" display="https://doi.org/10.1073/pnas.1702143114" xr:uid="{00000000-0004-0000-0000-000011010000}"/>
    <hyperlink ref="D110" r:id="rId166" display="https://doi.org/10.1073/pnas.1702143114" xr:uid="{00000000-0004-0000-0000-000012010000}"/>
    <hyperlink ref="D112" r:id="rId167" display="https://doi.org/10.1073/pnas.1702143114" xr:uid="{00000000-0004-0000-0000-000013010000}"/>
    <hyperlink ref="D7" r:id="rId168" display="https://doi.org/10.1073/pnas.1702143114" xr:uid="{00000000-0004-0000-0000-000014010000}"/>
    <hyperlink ref="D9" r:id="rId169" display="https://doi.org/10.1073/pnas.1702143114" xr:uid="{00000000-0004-0000-0000-000015010000}"/>
    <hyperlink ref="D11" r:id="rId170" display="https://doi.org/10.1073/pnas.1702143114" xr:uid="{00000000-0004-0000-0000-000016010000}"/>
    <hyperlink ref="D13" r:id="rId171" display="https://doi.org/10.1073/pnas.1702143114" xr:uid="{00000000-0004-0000-0000-000017010000}"/>
    <hyperlink ref="D15" r:id="rId172" display="https://doi.org/10.1073/pnas.1702143114" xr:uid="{00000000-0004-0000-0000-000018010000}"/>
    <hyperlink ref="D17" r:id="rId173" display="https://doi.org/10.1073/pnas.1702143114" xr:uid="{00000000-0004-0000-0000-000019010000}"/>
    <hyperlink ref="D19" r:id="rId174" display="https://doi.org/10.1073/pnas.1702143114" xr:uid="{00000000-0004-0000-0000-00001A010000}"/>
    <hyperlink ref="D21" r:id="rId175" display="https://doi.org/10.1073/pnas.1702143114" xr:uid="{00000000-0004-0000-0000-00001B010000}"/>
    <hyperlink ref="D23" r:id="rId176" display="https://doi.org/10.1073/pnas.1702143114" xr:uid="{00000000-0004-0000-0000-00001C010000}"/>
    <hyperlink ref="D25" r:id="rId177" display="https://doi.org/10.1073/pnas.1702143114" xr:uid="{00000000-0004-0000-0000-00001D010000}"/>
    <hyperlink ref="D27" r:id="rId178" display="https://doi.org/10.1073/pnas.1702143114" xr:uid="{00000000-0004-0000-0000-00001E010000}"/>
    <hyperlink ref="D29" r:id="rId179" display="https://doi.org/10.1073/pnas.1702143114" xr:uid="{00000000-0004-0000-0000-00001F010000}"/>
    <hyperlink ref="D31" r:id="rId180" display="https://doi.org/10.1073/pnas.1702143114" xr:uid="{00000000-0004-0000-0000-000020010000}"/>
    <hyperlink ref="D33" r:id="rId181" display="https://doi.org/10.1073/pnas.1702143114" xr:uid="{00000000-0004-0000-0000-000021010000}"/>
    <hyperlink ref="D35" r:id="rId182" display="https://doi.org/10.1073/pnas.1702143114" xr:uid="{00000000-0004-0000-0000-000022010000}"/>
    <hyperlink ref="D37" r:id="rId183" display="https://doi.org/10.1073/pnas.1702143114" xr:uid="{00000000-0004-0000-0000-000023010000}"/>
    <hyperlink ref="D39" r:id="rId184" display="https://doi.org/10.1073/pnas.1702143114" xr:uid="{00000000-0004-0000-0000-000024010000}"/>
    <hyperlink ref="D41" r:id="rId185" display="https://doi.org/10.1073/pnas.1702143114" xr:uid="{00000000-0004-0000-0000-000025010000}"/>
    <hyperlink ref="D43" r:id="rId186" display="https://doi.org/10.1073/pnas.1702143114" xr:uid="{00000000-0004-0000-0000-000026010000}"/>
    <hyperlink ref="D45" r:id="rId187" display="https://doi.org/10.1073/pnas.1702143114" xr:uid="{00000000-0004-0000-0000-000027010000}"/>
    <hyperlink ref="D47" r:id="rId188" display="https://doi.org/10.1073/pnas.1702143114" xr:uid="{00000000-0004-0000-0000-000028010000}"/>
    <hyperlink ref="D49" r:id="rId189" display="https://doi.org/10.1073/pnas.1702143114" xr:uid="{00000000-0004-0000-0000-000029010000}"/>
    <hyperlink ref="D51" r:id="rId190" display="https://doi.org/10.1073/pnas.1702143114" xr:uid="{00000000-0004-0000-0000-00002A010000}"/>
    <hyperlink ref="D53" r:id="rId191" display="https://doi.org/10.1073/pnas.1702143114" xr:uid="{00000000-0004-0000-0000-00002B010000}"/>
    <hyperlink ref="D55" r:id="rId192" display="https://doi.org/10.1073/pnas.1702143114" xr:uid="{00000000-0004-0000-0000-00002C010000}"/>
    <hyperlink ref="D57" r:id="rId193" display="https://doi.org/10.1073/pnas.1702143114" xr:uid="{00000000-0004-0000-0000-00002D010000}"/>
    <hyperlink ref="D59" r:id="rId194" display="https://doi.org/10.1073/pnas.1702143114" xr:uid="{00000000-0004-0000-0000-00002E010000}"/>
    <hyperlink ref="D61" r:id="rId195" display="https://doi.org/10.1073/pnas.1702143114" xr:uid="{00000000-0004-0000-0000-00002F010000}"/>
    <hyperlink ref="D63" r:id="rId196" display="https://doi.org/10.1073/pnas.1702143114" xr:uid="{00000000-0004-0000-0000-000030010000}"/>
    <hyperlink ref="D65" r:id="rId197" display="https://doi.org/10.1073/pnas.1702143114" xr:uid="{00000000-0004-0000-0000-000031010000}"/>
    <hyperlink ref="D67" r:id="rId198" display="https://doi.org/10.1073/pnas.1702143114" xr:uid="{00000000-0004-0000-0000-000032010000}"/>
    <hyperlink ref="D69" r:id="rId199" display="https://doi.org/10.1073/pnas.1702143114" xr:uid="{00000000-0004-0000-0000-000033010000}"/>
    <hyperlink ref="D71" r:id="rId200" display="https://doi.org/10.1073/pnas.1702143114" xr:uid="{00000000-0004-0000-0000-000034010000}"/>
    <hyperlink ref="D73" r:id="rId201" display="https://doi.org/10.1073/pnas.1702143114" xr:uid="{00000000-0004-0000-0000-000035010000}"/>
    <hyperlink ref="D75" r:id="rId202" display="https://doi.org/10.1073/pnas.1702143114" xr:uid="{00000000-0004-0000-0000-000036010000}"/>
    <hyperlink ref="D77" r:id="rId203" display="https://doi.org/10.1073/pnas.1702143114" xr:uid="{00000000-0004-0000-0000-000037010000}"/>
    <hyperlink ref="D79" r:id="rId204" display="https://doi.org/10.1073/pnas.1702143114" xr:uid="{00000000-0004-0000-0000-000038010000}"/>
    <hyperlink ref="D81" r:id="rId205" display="https://doi.org/10.1073/pnas.1702143114" xr:uid="{00000000-0004-0000-0000-000039010000}"/>
    <hyperlink ref="D83" r:id="rId206" display="https://doi.org/10.1073/pnas.1702143114" xr:uid="{00000000-0004-0000-0000-00003A010000}"/>
    <hyperlink ref="D85" r:id="rId207" display="https://doi.org/10.1073/pnas.1702143114" xr:uid="{00000000-0004-0000-0000-00003B010000}"/>
    <hyperlink ref="D87" r:id="rId208" display="https://doi.org/10.1073/pnas.1702143114" xr:uid="{00000000-0004-0000-0000-00003C010000}"/>
    <hyperlink ref="D89" r:id="rId209" display="https://doi.org/10.1073/pnas.1702143114" xr:uid="{00000000-0004-0000-0000-00003D010000}"/>
    <hyperlink ref="D91" r:id="rId210" display="https://doi.org/10.1073/pnas.1702143114" xr:uid="{00000000-0004-0000-0000-00003E010000}"/>
    <hyperlink ref="D93" r:id="rId211" display="https://doi.org/10.1073/pnas.1702143114" xr:uid="{00000000-0004-0000-0000-00003F010000}"/>
    <hyperlink ref="D95" r:id="rId212" display="https://doi.org/10.1073/pnas.1702143114" xr:uid="{00000000-0004-0000-0000-000040010000}"/>
    <hyperlink ref="D97" r:id="rId213" display="https://doi.org/10.1073/pnas.1702143114" xr:uid="{00000000-0004-0000-0000-000041010000}"/>
    <hyperlink ref="D99" r:id="rId214" display="https://doi.org/10.1073/pnas.1702143114" xr:uid="{00000000-0004-0000-0000-000042010000}"/>
    <hyperlink ref="D101" r:id="rId215" display="https://doi.org/10.1073/pnas.1702143114" xr:uid="{00000000-0004-0000-0000-000043010000}"/>
    <hyperlink ref="D103" r:id="rId216" display="https://doi.org/10.1073/pnas.1702143114" xr:uid="{00000000-0004-0000-0000-000044010000}"/>
    <hyperlink ref="D105" r:id="rId217" display="https://doi.org/10.1073/pnas.1702143114" xr:uid="{00000000-0004-0000-0000-000045010000}"/>
    <hyperlink ref="D107" r:id="rId218" display="https://doi.org/10.1073/pnas.1702143114" xr:uid="{00000000-0004-0000-0000-000046010000}"/>
    <hyperlink ref="D109" r:id="rId219" display="https://doi.org/10.1073/pnas.1702143114" xr:uid="{00000000-0004-0000-0000-000047010000}"/>
    <hyperlink ref="D111" r:id="rId220" display="https://doi.org/10.1073/pnas.1702143114" xr:uid="{00000000-0004-0000-0000-000048010000}"/>
    <hyperlink ref="D113" r:id="rId221" display="https://doi.org/10.1073/pnas.1702143114" xr:uid="{00000000-0004-0000-0000-000049010000}"/>
    <hyperlink ref="L5:L113" r:id="rId222" display="t.chalk@noc.soton.ac.uk, elwyn" xr:uid="{9301ECC9-D4D4-F642-8FF7-A73CD5A08E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64EB-DCD4-C048-8F26-9E2214BDE1C5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216</v>
      </c>
    </row>
    <row r="3" spans="1:1">
      <c r="A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2020-07-01T19:50:15Z</dcterms:modified>
</cp:coreProperties>
</file>