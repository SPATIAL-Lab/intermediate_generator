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8"/>
  <workbookPr/>
  <mc:AlternateContent xmlns:mc="http://schemas.openxmlformats.org/markup-compatibility/2006">
    <mc:Choice Requires="x15">
      <x15ac:absPath xmlns:x15ac="http://schemas.microsoft.com/office/spreadsheetml/2010/11/ac" url="/Users/Daphnia/Desktop/paleo-CO2 data base/archive/archive data files September 2020/"/>
    </mc:Choice>
  </mc:AlternateContent>
  <xr:revisionPtr revIDLastSave="0" documentId="13_ncr:1_{3BE4322D-D947-5B4A-B229-B37D9E9148CA}" xr6:coauthVersionLast="45" xr6:coauthVersionMax="45" xr10:uidLastSave="{00000000-0000-0000-0000-000000000000}"/>
  <bookViews>
    <workbookView xWindow="1060" yWindow="1720" windowWidth="25600" windowHeight="14240" tabRatio="500" xr2:uid="{00000000-000D-0000-FFFF-FFFF00000000}"/>
  </bookViews>
  <sheets>
    <sheet name="boron isotopes" sheetId="2" r:id="rId1"/>
    <sheet name="Column specifications" sheetId="3" r:id="rId2"/>
  </sheets>
  <calcPr calcId="19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EZ5" i="2" l="1"/>
  <c r="EZ6" i="2"/>
  <c r="EZ7" i="2"/>
  <c r="EZ8" i="2"/>
  <c r="EZ9" i="2"/>
  <c r="EZ10" i="2"/>
  <c r="EZ11" i="2"/>
  <c r="EZ12" i="2"/>
  <c r="EZ13" i="2"/>
  <c r="EZ14" i="2"/>
  <c r="EZ15" i="2"/>
  <c r="EZ16" i="2"/>
  <c r="EZ17" i="2"/>
  <c r="EZ18" i="2"/>
  <c r="EZ19" i="2"/>
  <c r="EZ4" i="2"/>
  <c r="E5" i="2" l="1"/>
  <c r="H5" i="2"/>
  <c r="I5" i="2"/>
  <c r="J5" i="2"/>
  <c r="E6" i="2"/>
  <c r="H6" i="2"/>
  <c r="I6" i="2"/>
  <c r="J6" i="2"/>
  <c r="E7" i="2"/>
  <c r="H7" i="2"/>
  <c r="I7" i="2"/>
  <c r="J7" i="2"/>
  <c r="E8" i="2"/>
  <c r="H8" i="2"/>
  <c r="I8" i="2"/>
  <c r="J8" i="2"/>
  <c r="E9" i="2"/>
  <c r="H9" i="2"/>
  <c r="I9" i="2"/>
  <c r="J9" i="2"/>
  <c r="E10" i="2"/>
  <c r="H10" i="2"/>
  <c r="I10" i="2"/>
  <c r="J10" i="2"/>
  <c r="E11" i="2"/>
  <c r="H11" i="2"/>
  <c r="I11" i="2"/>
  <c r="J11" i="2"/>
  <c r="E12" i="2"/>
  <c r="H12" i="2"/>
  <c r="I12" i="2"/>
  <c r="J12" i="2"/>
  <c r="E13" i="2"/>
  <c r="H13" i="2"/>
  <c r="I13" i="2"/>
  <c r="J13" i="2"/>
  <c r="E14" i="2"/>
  <c r="H14" i="2"/>
  <c r="I14" i="2"/>
  <c r="J14" i="2"/>
  <c r="E15" i="2"/>
  <c r="H15" i="2"/>
  <c r="I15" i="2"/>
  <c r="J15" i="2"/>
  <c r="E16" i="2"/>
  <c r="H16" i="2"/>
  <c r="I16" i="2"/>
  <c r="J16" i="2"/>
  <c r="E17" i="2"/>
  <c r="H17" i="2"/>
  <c r="I17" i="2"/>
  <c r="J17" i="2"/>
  <c r="E18" i="2"/>
  <c r="H18" i="2"/>
  <c r="I18" i="2"/>
  <c r="J18" i="2"/>
  <c r="E19" i="2"/>
  <c r="H19" i="2"/>
  <c r="I19" i="2"/>
  <c r="J19" i="2"/>
  <c r="I4" i="2"/>
  <c r="J4" i="2"/>
  <c r="H4" i="2"/>
  <c r="E4" i="2"/>
  <c r="CE5" i="2"/>
  <c r="CE6" i="2"/>
  <c r="CE7" i="2"/>
  <c r="CE8" i="2"/>
  <c r="CE9" i="2"/>
  <c r="CE10" i="2"/>
  <c r="CE11" i="2"/>
  <c r="CE12" i="2"/>
  <c r="CE13" i="2"/>
  <c r="CE14" i="2"/>
  <c r="CE15" i="2"/>
  <c r="CE16" i="2"/>
  <c r="CE17" i="2"/>
  <c r="CE18" i="2"/>
  <c r="CE19" i="2"/>
  <c r="CE4" i="2"/>
  <c r="BX19" i="2"/>
  <c r="DU19" i="2" s="1"/>
  <c r="BX18" i="2"/>
  <c r="BZ18" i="2" s="1"/>
  <c r="BX17" i="2"/>
  <c r="DU17" i="2" s="1"/>
  <c r="BX16" i="2"/>
  <c r="DU16" i="2" s="1"/>
  <c r="BX15" i="2"/>
  <c r="DU15" i="2" s="1"/>
  <c r="BX14" i="2"/>
  <c r="DU14" i="2" s="1"/>
  <c r="BX13" i="2"/>
  <c r="DU13" i="2" s="1"/>
  <c r="BX12" i="2"/>
  <c r="DU12" i="2" s="1"/>
  <c r="BX11" i="2"/>
  <c r="DU11" i="2" s="1"/>
  <c r="BX10" i="2"/>
  <c r="DU10" i="2" s="1"/>
  <c r="BX9" i="2"/>
  <c r="DU9" i="2" s="1"/>
  <c r="BX8" i="2"/>
  <c r="DU8" i="2" s="1"/>
  <c r="BX7" i="2"/>
  <c r="DU7" i="2" s="1"/>
  <c r="BX6" i="2"/>
  <c r="DU6" i="2" s="1"/>
  <c r="BX5" i="2"/>
  <c r="DU5" i="2" s="1"/>
  <c r="BX4" i="2"/>
  <c r="DU4" i="2" s="1"/>
  <c r="BZ16" i="2" l="1"/>
  <c r="CA4" i="2"/>
  <c r="CA10" i="2"/>
  <c r="BZ4" i="2"/>
  <c r="CA14" i="2"/>
  <c r="CA8" i="2"/>
  <c r="CA18" i="2"/>
  <c r="CA12" i="2"/>
  <c r="BZ8" i="2"/>
  <c r="CA16" i="2"/>
  <c r="BZ12" i="2"/>
  <c r="CA6" i="2"/>
  <c r="BZ14" i="2"/>
  <c r="BZ10" i="2"/>
  <c r="BZ6" i="2"/>
  <c r="CA19" i="2"/>
  <c r="CA17" i="2"/>
  <c r="CA15" i="2"/>
  <c r="CA13" i="2"/>
  <c r="CA11" i="2"/>
  <c r="CA9" i="2"/>
  <c r="CA7" i="2"/>
  <c r="CA5" i="2"/>
  <c r="DU18" i="2"/>
  <c r="BZ19" i="2"/>
  <c r="BZ17" i="2"/>
  <c r="BZ15" i="2"/>
  <c r="BZ13" i="2"/>
  <c r="BZ11" i="2"/>
  <c r="BZ9" i="2"/>
  <c r="BZ7" i="2"/>
  <c r="BZ5" i="2"/>
</calcChain>
</file>

<file path=xl/sharedStrings.xml><?xml version="1.0" encoding="utf-8"?>
<sst xmlns="http://schemas.openxmlformats.org/spreadsheetml/2006/main" count="2305" uniqueCount="334">
  <si>
    <r>
      <rPr>
        <vertAlign val="superscript"/>
        <sz val="10"/>
        <rFont val="Verdana"/>
        <family val="2"/>
      </rPr>
      <t>a</t>
    </r>
    <r>
      <rPr>
        <sz val="12"/>
        <color theme="1"/>
        <rFont val="Calibri"/>
        <family val="2"/>
        <scheme val="minor"/>
      </rPr>
      <t>for definitions of CSF-A, CSF-B and CCSF, please see: https://www.iodp.org/policies-and-guidelines/142-iodp-depth-scales-terminology-april-2011/file</t>
    </r>
  </si>
  <si>
    <t>REFERENCE AND CONTACT INFORMATION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</si>
  <si>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</si>
  <si>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</si>
  <si>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</si>
  <si>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</si>
  <si>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</si>
  <si>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</si>
  <si>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</si>
  <si>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</si>
  <si>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</si>
  <si>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</si>
  <si>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</si>
  <si>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</si>
  <si>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</si>
  <si>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</si>
  <si>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</si>
  <si>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</si>
  <si>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</si>
  <si>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</si>
  <si>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</si>
  <si>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</si>
  <si>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</si>
  <si>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</si>
  <si>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</si>
  <si>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</si>
  <si>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</si>
  <si>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</si>
  <si>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</si>
  <si>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</si>
  <si>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</si>
  <si>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</si>
  <si>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Name of individual entering the data</t>
  </si>
  <si>
    <t>Contact email</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</si>
  <si>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</si>
  <si>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</si>
  <si>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</si>
  <si>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</si>
  <si>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</si>
  <si>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</si>
  <si>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</si>
  <si>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</si>
  <si>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</si>
  <si>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</si>
  <si>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</si>
  <si>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</si>
  <si>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</si>
  <si>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</si>
  <si>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</si>
  <si>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</si>
  <si>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</si>
  <si>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</si>
  <si>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</si>
  <si>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</si>
  <si>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type of uncertainty (e.g., set value, normal distribution, +/- range)</t>
  </si>
  <si>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</si>
  <si>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</si>
  <si>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</si>
  <si>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</si>
  <si>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</si>
  <si>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</si>
  <si>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</si>
  <si>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</si>
  <si>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</si>
  <si>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</si>
  <si>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</si>
  <si>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</si>
  <si>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</si>
  <si>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</si>
  <si>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</si>
  <si>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</si>
  <si>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</si>
  <si>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</si>
  <si>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</si>
  <si>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</si>
  <si>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</si>
  <si>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t>temperature (°C)</t>
  </si>
  <si>
    <t>Mg/Ca  (mmol/mol, average of replicates)</t>
  </si>
  <si>
    <t>temperature calibration equation</t>
  </si>
  <si>
    <t>reference for temperature calibration equation</t>
  </si>
  <si>
    <t>salinity correction (list reference if applied)</t>
  </si>
  <si>
    <t>dissolution correction (list reference if applied)</t>
  </si>
  <si>
    <t>pH correction (list reference if applied)</t>
  </si>
  <si>
    <t>average proxy value (please specify units)</t>
  </si>
  <si>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</si>
  <si>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</si>
  <si>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</si>
  <si>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</si>
  <si>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 xml:space="preserve">reference for [Ca] of seawater value </t>
  </si>
  <si>
    <t>reference for [Mg] of seawater value</t>
  </si>
  <si>
    <t>reference for [SO4] of seawater value</t>
  </si>
  <si>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</si>
  <si>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</si>
  <si>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</si>
  <si>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</si>
  <si>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</si>
  <si>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</si>
  <si>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</si>
  <si>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</si>
  <si>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</si>
  <si>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</si>
  <si>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</si>
  <si>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</si>
  <si>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</si>
  <si>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</si>
  <si>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</si>
  <si>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</si>
  <si>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</si>
  <si>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</si>
  <si>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</si>
  <si>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</si>
  <si>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</si>
  <si>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</si>
  <si>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</si>
  <si>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</si>
  <si>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</si>
  <si>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</si>
  <si>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t>DIC (µmol/kg, if not used as an input parameter</t>
  </si>
  <si>
    <t>Additional Notes</t>
  </si>
  <si>
    <t>Basic Info</t>
  </si>
  <si>
    <t>proxy</t>
  </si>
  <si>
    <t>first_author_last_name</t>
  </si>
  <si>
    <t>publication_year</t>
  </si>
  <si>
    <t>doi</t>
  </si>
  <si>
    <t>age_ka</t>
  </si>
  <si>
    <t>Age_uncertainty_pos_ka</t>
  </si>
  <si>
    <t>Age_uncertainty_neg_ka</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</si>
  <si>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</si>
  <si>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Mg/Ca of individual replicate measurements; separate replicates by commas</t>
  </si>
  <si>
    <t>proxy value of individual replicate measurements; separate replicates by commas</t>
  </si>
  <si>
    <t>central value (µmol/kg)</t>
  </si>
  <si>
    <t>Age (ka)</t>
  </si>
  <si>
    <r>
      <t>2</t>
    </r>
    <r>
      <rPr>
        <sz val="12"/>
        <color theme="1"/>
        <rFont val="Symbol"/>
        <charset val="2"/>
      </rPr>
      <t>s</t>
    </r>
    <r>
      <rPr>
        <sz val="12"/>
        <color theme="1"/>
        <rFont val="Calibri"/>
        <family val="2"/>
        <scheme val="minor"/>
      </rPr>
      <t xml:space="preserve"> Age uncertainty pos (ka)</t>
    </r>
  </si>
  <si>
    <r>
      <t>2</t>
    </r>
    <r>
      <rPr>
        <sz val="12"/>
        <color theme="1"/>
        <rFont val="Symbol"/>
        <charset val="2"/>
      </rPr>
      <t>s</t>
    </r>
    <r>
      <rPr>
        <sz val="12"/>
        <color theme="1"/>
        <rFont val="Calibri"/>
        <family val="2"/>
        <scheme val="minor"/>
      </rPr>
      <t xml:space="preserve"> Age uncertainty neg (ka)</t>
    </r>
  </si>
  <si>
    <r>
      <t>2</t>
    </r>
    <r>
      <rPr>
        <sz val="12"/>
        <color theme="1"/>
        <rFont val="Symbol"/>
        <charset val="2"/>
      </rPr>
      <t>s</t>
    </r>
    <r>
      <rPr>
        <sz val="12"/>
        <color theme="1"/>
        <rFont val="Calibri"/>
        <family val="2"/>
        <scheme val="minor"/>
      </rPr>
      <t xml:space="preserve"> temperature pos (°C)</t>
    </r>
  </si>
  <si>
    <r>
      <t>2</t>
    </r>
    <r>
      <rPr>
        <sz val="12"/>
        <color theme="1"/>
        <rFont val="Symbol"/>
        <charset val="2"/>
      </rPr>
      <t>s</t>
    </r>
    <r>
      <rPr>
        <sz val="12"/>
        <color theme="1"/>
        <rFont val="Calibri"/>
        <family val="2"/>
        <scheme val="minor"/>
      </rPr>
      <t xml:space="preserve"> temperature neg (°C)</t>
    </r>
  </si>
  <si>
    <r>
      <t>2</t>
    </r>
    <r>
      <rPr>
        <sz val="12"/>
        <color theme="1"/>
        <rFont val="Symbol"/>
        <charset val="2"/>
      </rPr>
      <t>s</t>
    </r>
    <r>
      <rPr>
        <sz val="12"/>
        <color theme="1"/>
        <rFont val="Calibri"/>
        <family val="2"/>
        <scheme val="minor"/>
      </rPr>
      <t xml:space="preserve"> Mg uncertainty pos (mmol/mol)</t>
    </r>
  </si>
  <si>
    <r>
      <t>2</t>
    </r>
    <r>
      <rPr>
        <sz val="12"/>
        <color theme="1"/>
        <rFont val="Symbol"/>
        <charset val="2"/>
      </rPr>
      <t>s</t>
    </r>
    <r>
      <rPr>
        <sz val="12"/>
        <color theme="1"/>
        <rFont val="Calibri"/>
        <family val="2"/>
        <scheme val="minor"/>
      </rPr>
      <t xml:space="preserve"> Mg/Ca uncertainty neg (mmol/mol)</t>
    </r>
  </si>
  <si>
    <r>
      <t>[B]</t>
    </r>
    <r>
      <rPr>
        <vertAlign val="subscript"/>
        <sz val="12"/>
        <color theme="1"/>
        <rFont val="Verdana"/>
        <family val="2"/>
      </rPr>
      <t xml:space="preserve">T </t>
    </r>
    <r>
      <rPr>
        <sz val="12"/>
        <color theme="1"/>
        <rFont val="Verdana"/>
        <family val="2"/>
      </rPr>
      <t>(µmol/kg)</t>
    </r>
  </si>
  <si>
    <r>
      <t>2</t>
    </r>
    <r>
      <rPr>
        <sz val="12"/>
        <color rgb="FF000000"/>
        <rFont val="Symbol"/>
        <charset val="2"/>
      </rPr>
      <t>s</t>
    </r>
    <r>
      <rPr>
        <sz val="12"/>
        <color rgb="FF000000"/>
        <rFont val="Verdana"/>
        <family val="2"/>
      </rPr>
      <t xml:space="preserve"> uncertainty</t>
    </r>
  </si>
  <si>
    <r>
      <t>2</t>
    </r>
    <r>
      <rPr>
        <sz val="12"/>
        <color theme="1"/>
        <rFont val="Symbol"/>
        <charset val="2"/>
      </rPr>
      <t>s</t>
    </r>
    <r>
      <rPr>
        <sz val="12"/>
        <color theme="1"/>
        <rFont val="Calibri"/>
        <family val="2"/>
        <scheme val="minor"/>
      </rPr>
      <t xml:space="preserve"> uncertainty pos</t>
    </r>
  </si>
  <si>
    <r>
      <t>2</t>
    </r>
    <r>
      <rPr>
        <sz val="12"/>
        <color theme="1"/>
        <rFont val="Symbol"/>
        <charset val="2"/>
      </rPr>
      <t>s</t>
    </r>
    <r>
      <rPr>
        <sz val="12"/>
        <color theme="1"/>
        <rFont val="Calibri"/>
        <family val="2"/>
        <scheme val="minor"/>
      </rPr>
      <t xml:space="preserve"> uncertainty neg</t>
    </r>
  </si>
  <si>
    <r>
      <t>2</t>
    </r>
    <r>
      <rPr>
        <sz val="12"/>
        <color theme="1"/>
        <rFont val="Symbol"/>
        <charset val="2"/>
      </rPr>
      <t>s</t>
    </r>
    <r>
      <rPr>
        <sz val="12"/>
        <color theme="1"/>
        <rFont val="Calibri"/>
        <family val="2"/>
        <scheme val="minor"/>
      </rPr>
      <t xml:space="preserve"> pCO2 uncertainty pos</t>
    </r>
  </si>
  <si>
    <r>
      <t>2</t>
    </r>
    <r>
      <rPr>
        <sz val="12"/>
        <color theme="1"/>
        <rFont val="Symbol"/>
        <charset val="2"/>
      </rPr>
      <t>s</t>
    </r>
    <r>
      <rPr>
        <sz val="12"/>
        <color theme="1"/>
        <rFont val="Calibri"/>
        <family val="2"/>
        <scheme val="minor"/>
      </rPr>
      <t xml:space="preserve"> pCO2 uncertainty neg</t>
    </r>
  </si>
  <si>
    <r>
      <t>2</t>
    </r>
    <r>
      <rPr>
        <sz val="12"/>
        <color rgb="FF000000"/>
        <rFont val="Symbol"/>
        <charset val="2"/>
      </rPr>
      <t>s</t>
    </r>
    <r>
      <rPr>
        <sz val="12"/>
        <color rgb="FF000000"/>
        <rFont val="Verdana"/>
        <family val="2"/>
      </rPr>
      <t xml:space="preserve"> uncertainty </t>
    </r>
  </si>
  <si>
    <t>Bärbel Hönisch</t>
  </si>
  <si>
    <t>hoenisch@ldeo.columbia.edu</t>
  </si>
  <si>
    <r>
      <t>Hönisch, B. and N.G. Hemming (2005) Surface ocean pH response to variations in pCO2 through two full glacial cycles, Earth and Planetary Science Letters, 236 (1-2), 305-314. Updated by: Hönisch, B., Hemming, N.G., Archer, D., Siddall, M., McManus, J.F., 2009, Atmospheric Carbon Dioxide Concentration over the Mid Pleistocene Transition, Science</t>
    </r>
    <r>
      <rPr>
        <sz val="12"/>
        <color rgb="FF000000"/>
        <rFont val="Optima"/>
        <family val="2"/>
      </rPr>
      <t xml:space="preserve"> 324, p. 1551-1554.</t>
    </r>
  </si>
  <si>
    <t>ODP 668</t>
  </si>
  <si>
    <t>B</t>
  </si>
  <si>
    <t>0.03, CSF-A</t>
  </si>
  <si>
    <t>N/A</t>
  </si>
  <si>
    <t>0.26, CSF-A</t>
  </si>
  <si>
    <t>0.34, CSF-A</t>
  </si>
  <si>
    <t>0.71, CSF-A</t>
  </si>
  <si>
    <t>1.06, CSF-A</t>
  </si>
  <si>
    <t>1.76, CSF-A</t>
  </si>
  <si>
    <t>1.90, CSF-A</t>
  </si>
  <si>
    <t>2.00, CSF-A</t>
  </si>
  <si>
    <t>2.21, CSF-A</t>
  </si>
  <si>
    <t>2.25, CSF-A</t>
  </si>
  <si>
    <t>10.85, CSF-A</t>
  </si>
  <si>
    <t>11.34, CSF-A</t>
  </si>
  <si>
    <t>11.59, CSF-A</t>
  </si>
  <si>
    <t>11.92, CSF-A</t>
  </si>
  <si>
    <t>12.34, CSF-A</t>
  </si>
  <si>
    <t>12.48, CSF-A</t>
  </si>
  <si>
    <t>boron isotopes</t>
  </si>
  <si>
    <t>Hoenisch</t>
  </si>
  <si>
    <t>eastern equatorial Atlantic</t>
  </si>
  <si>
    <t>based on planktic d18O, Holocene is missing</t>
  </si>
  <si>
    <t>set value</t>
  </si>
  <si>
    <t xml:space="preserve">tuned to LR04 benthic oxygen isotope stack (L. E. Lisiecki, M. E. Raymo, Paleoceanography 20,
10.1029/2004PA001071 (2005)), age uncertainties are also based on LR04 </t>
  </si>
  <si>
    <t>tuned to LR04 benthic oxygen isotope stack (L. E. Lisiecki, M. E. Raymo, Paleoceanography 20,
10.1029/2004PA001071 (2005)), age uncertainties are also based on LR06</t>
  </si>
  <si>
    <t>tuned to LR04 benthic oxygen isotope stack (L. E. Lisiecki, M. E. Raymo, Paleoceanography 20,
10.1029/2004PA001071 (2005)), age uncertainties are also based on LR08</t>
  </si>
  <si>
    <t>tuned to LR04 benthic oxygen isotope stack (L. E. Lisiecki, M. E. Raymo, Paleoceanography 20,
10.1029/2004PA001071 (2005)), age uncertainties are also based on LR09</t>
  </si>
  <si>
    <t>tuned to LR04 benthic oxygen isotope stack (L. E. Lisiecki, M. E. Raymo, Paleoceanography 20,
10.1029/2004PA001071 (2005)), age uncertainties are also based on LR10</t>
  </si>
  <si>
    <t>tuned to LR04 benthic oxygen isotope stack (L. E. Lisiecki, M. E. Raymo, Paleoceanography 20,
10.1029/2004PA001071 (2005)), age uncertainties are also based on LR11</t>
  </si>
  <si>
    <t>tuned to LR04 benthic oxygen isotope stack (L. E. Lisiecki, M. E. Raymo, Paleoceanography 20,
10.1029/2004PA001071 (2005)), age uncertainties are also based on LR12</t>
  </si>
  <si>
    <t>tuned to LR04 benthic oxygen isotope stack (L. E. Lisiecki, M. E. Raymo, Paleoceanography 20,
10.1029/2004PA001071 (2005)), age uncertainties are also based on LR13</t>
  </si>
  <si>
    <t>tuned to LR04 benthic oxygen isotope stack (L. E. Lisiecki, M. E. Raymo, Paleoceanography 20,
10.1029/2004PA001071 (2005)), age uncertainties are also based on LR14</t>
  </si>
  <si>
    <t>tuned to LR04 benthic oxygen isotope stack (L. E. Lisiecki, M. E. Raymo, Paleoceanography 20,
10.1029/2004PA001071 (2005)), age uncertainties are also based on LR15</t>
  </si>
  <si>
    <t>tuned to LR04 benthic oxygen isotope stack (L. E. Lisiecki, M. E. Raymo, Paleoceanography 20,
10.1029/2004PA001071 (2005)), age uncertainties are also based on LR16</t>
  </si>
  <si>
    <t>tuned to LR04 benthic oxygen isotope stack (L. E. Lisiecki, M. E. Raymo, Paleoceanography 20,
10.1029/2004PA001071 (2005)), age uncertainties are also based on LR17</t>
  </si>
  <si>
    <t>tuned to LR04 benthic oxygen isotope stack (L. E. Lisiecki, M. E. Raymo, Paleoceanography 20,
10.1029/2004PA001071 (2005)), age uncertainties are also based on LR18</t>
  </si>
  <si>
    <t>tuned to LR04 benthic oxygen isotope stack (L. E. Lisiecki, M. E. Raymo, Paleoceanography 20,
10.1029/2004PA001071 (2005)), age uncertainties are also based on LR19</t>
  </si>
  <si>
    <t>tuned to LR04 benthic oxygen isotope stack (L. E. Lisiecki, M. E. Raymo, Paleoceanography 20,
10.1029/2004PA001071 (2005)), age uncertainties are also based on LR20</t>
  </si>
  <si>
    <t>tuned to LR04 benthic oxygen isotope stack (L. E. Lisiecki, M. E. Raymo, Paleoceanography 20,
10.1029/2004PA001071 (2005)), age uncertainties are also based on LR21</t>
  </si>
  <si>
    <t>NA</t>
  </si>
  <si>
    <t>Globigerinoides sacculifer for d11B, Globigerinoides ruber for Mg/Ca</t>
  </si>
  <si>
    <t>515-865</t>
  </si>
  <si>
    <t>3.99, after cleaning</t>
  </si>
  <si>
    <t>Hönisch, B. and Hemming, N. G., 2005. Surface ocean pH response to variations in pCO2 through two full glacial cycles. Earth and Planetary Science Letters 236, 305-314.</t>
  </si>
  <si>
    <t>N-TIMS, Triton</t>
  </si>
  <si>
    <t>20.92, 20.90, 20.87</t>
  </si>
  <si>
    <t>normal distribution, standard error</t>
  </si>
  <si>
    <t>21.49, 21.26, 21.18</t>
  </si>
  <si>
    <t>21.69, 21.62, 21.35</t>
  </si>
  <si>
    <t>21.16, 21.10, 21.03</t>
  </si>
  <si>
    <t>21.00, 20.88, 21.19</t>
  </si>
  <si>
    <t>20.49, 20.87, 20.80, 20.58</t>
  </si>
  <si>
    <t>21.10, 20.88, 20.98</t>
  </si>
  <si>
    <t>21.74, 22.55, 22.39</t>
  </si>
  <si>
    <t>20.36, 20.73, 20.54</t>
  </si>
  <si>
    <t>21.65, 21.47, 21.51</t>
  </si>
  <si>
    <t>21.09, 21.82, 21.36</t>
  </si>
  <si>
    <t>21.13, 21.45, 20.73, 21.11</t>
  </si>
  <si>
    <t>20.54, 20.90, 20.55</t>
  </si>
  <si>
    <t>21.06, 20.44, 21.15, 20.86</t>
  </si>
  <si>
    <t>22.02,22.15,22.14</t>
  </si>
  <si>
    <t>21.76,22.02,21.86,21.62</t>
  </si>
  <si>
    <t>-4.2‰</t>
  </si>
  <si>
    <t>unlike newer d11B-calcite vs. d11B-borate calibrations, this one is based on the d11B-G. sacculifer vs. pH calibration of Sanyal et al. (2001), corrected for  instrument offsets and gametogenic calcite</t>
  </si>
  <si>
    <t>N</t>
  </si>
  <si>
    <t>based on +/- 3% of measured Mg/Ca value, see column BP</t>
  </si>
  <si>
    <t>3.33, 3.34 (all Mg/Ca analyses performed on G. ruber, 250-300 µm, 80-150 shells per sample)</t>
  </si>
  <si>
    <t>Mg/Ca=0.38 exp 0.09 * (SST-0.61*core depth km)</t>
  </si>
  <si>
    <t>P. S. Dekens, D. W. Lea, D. K. Pak, H. J. Spero, Geochemistry Geophysics
Geosystems 3, DOI 10.1029/2001GC000200 (2002)</t>
  </si>
  <si>
    <t>see sensitivity test in Hönisch et al. (2009), following B. Kisakürek, A. Eisenhauer, F. Böhm, D. Garbe-Schönberg, J. Erez, Earth and
Planetary Science Letters 273, 260 (2008).</t>
  </si>
  <si>
    <t>3.46, 3.56</t>
  </si>
  <si>
    <t>2.96, 2.81</t>
  </si>
  <si>
    <t>2.99, 3.04</t>
  </si>
  <si>
    <t>2.87, N/A</t>
  </si>
  <si>
    <t>3.41, 3.41</t>
  </si>
  <si>
    <t>4.04, 3.97</t>
  </si>
  <si>
    <t>3.62, 3.82</t>
  </si>
  <si>
    <t>2.86, 2.83</t>
  </si>
  <si>
    <t>2.98, 3.02</t>
  </si>
  <si>
    <t>3.20, 3.26</t>
  </si>
  <si>
    <t>2.72, 2.88</t>
  </si>
  <si>
    <t>2.88, 3.11</t>
  </si>
  <si>
    <t>3.10, 3.28</t>
  </si>
  <si>
    <t>3.61, 3.70</t>
  </si>
  <si>
    <t>3.48, 3.36</t>
  </si>
  <si>
    <t>set value, +/-3%</t>
  </si>
  <si>
    <t xml:space="preserve"> +/- range based on  on uncertainty of continental ice volume as determined by Waelbroeck et al. (2002)</t>
  </si>
  <si>
    <t>modulated local modern salinity=35.7‰ with paleo-sealevel estimates of Waelbroeck et al. (2002): Sea-level and deep water temperature changes derived from benthic foraminifera isotopic records, Quat. Sci. Rev. 21 (1–3), assuming average ocean salinity of 34.8‰ and average ocean depth=3800m</t>
  </si>
  <si>
    <t>modern</t>
  </si>
  <si>
    <t>as defined in CO2sys_macro_MAC, 2007</t>
  </si>
  <si>
    <t>Uppstrom, Leif, Deep-Sea Research 21:161-162, 1974.</t>
  </si>
  <si>
    <t>SPIVACK A. J. and EDMOND J. M. ( 1987) Boron isotope exchange
between seawater and the oceanic crust. Geochim. Cosmochim.
Acta 51, 1033-1043.</t>
  </si>
  <si>
    <t>A. G. Dickson, Deep-Sea Res. 37, 755 (1990).</t>
  </si>
  <si>
    <t>F. Millero,  Geochim. Cosmochim. Acta, Vol. 59,  No. 4, p. 661-677, 1995.</t>
  </si>
  <si>
    <t>alpha = 1.0206-0.000049205*T (°C)</t>
  </si>
  <si>
    <t>Kakihana et al. (1977),  Bull. Chem. Soc. Japan,  Vol. 50, No. 1,  p. 158-163.</t>
  </si>
  <si>
    <t>CO2sys_macro_MAC, 2007</t>
  </si>
  <si>
    <t xml:space="preserve">Weiss, R. F., Marine Chemistry 2:203-215, 1974. </t>
  </si>
  <si>
    <t>Mehrbach et al., Limnol. Oceanogr.
18 (1973) 897– 907; refit after Dickson &amp; Millero, Deep-Sea Res. 34 (1987) 1733– 1743.</t>
  </si>
  <si>
    <t>Dickson,
Chem. Thermodyn. 22 (1990) 113– 127.</t>
  </si>
  <si>
    <t>CO2sys_macro_MAC, 2009</t>
  </si>
  <si>
    <t>CO2sys_macro_MAC, 2011</t>
  </si>
  <si>
    <t>CO2sys_macro_MAC, 2012</t>
  </si>
  <si>
    <t>CO2sys_macro_MAC, 2013</t>
  </si>
  <si>
    <t>CO2sys_macro_MAC, 2014</t>
  </si>
  <si>
    <t>CO2sys_macro_MAC, 2015</t>
  </si>
  <si>
    <t>CO2sys_macro_MAC, 2016</t>
  </si>
  <si>
    <t>CO2sys_macro_MAC, 2017</t>
  </si>
  <si>
    <t>CO2sys_macro_MAC, 2018</t>
  </si>
  <si>
    <t>CO2sys_macro_MAC, 2019</t>
  </si>
  <si>
    <t>CO2sys_macro_MAC, 2020</t>
  </si>
  <si>
    <t>CO2sys_macro_MAC, 2021</t>
  </si>
  <si>
    <t>CO2sys_macro_MAC, 2022</t>
  </si>
  <si>
    <t>CO2sys_macro_MAC, 2023</t>
  </si>
  <si>
    <t>CO2sys_macro_MAC, 2024</t>
  </si>
  <si>
    <t>total alkalinity</t>
  </si>
  <si>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.7</t>
    </r>
  </si>
  <si>
    <t>P.U. Clark et al. (2006), Quaternary Science Reviews, Vol. 25, p. 3150-3184.</t>
  </si>
  <si>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.9</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</si>
  <si>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.11</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</si>
  <si>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.12</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</si>
  <si>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.13</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</si>
  <si>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.14</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</si>
  <si>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.15</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</si>
  <si>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.16</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</si>
  <si>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.17</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</si>
  <si>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.18</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</si>
  <si>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.19</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</si>
  <si>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.20</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</si>
  <si>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.21</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</si>
  <si>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.22</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</si>
  <si>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.23</t>
    </r>
    <r>
      <rPr>
        <sz val="12"/>
        <color theme="1"/>
        <rFont val="Calibri"/>
        <family val="2"/>
        <scheme val="minor"/>
      </rPr>
      <t/>
    </r>
  </si>
  <si>
    <r>
      <t>modeled by Clark et al. (2006) and scaled to local alkalinity at the core site using equation  AT</t>
    </r>
    <r>
      <rPr>
        <vertAlign val="subscript"/>
        <sz val="12"/>
        <color theme="1"/>
        <rFont val="Calibri (Body)"/>
      </rPr>
      <t>-t</t>
    </r>
    <r>
      <rPr>
        <sz val="12"/>
        <color theme="1"/>
        <rFont val="Calibri"/>
        <family val="2"/>
        <scheme val="minor"/>
      </rPr>
      <t>=2366 µmol/kg - global AT</t>
    </r>
    <r>
      <rPr>
        <vertAlign val="subscript"/>
        <sz val="12"/>
        <color theme="1"/>
        <rFont val="Calibri (Body)"/>
      </rPr>
      <t>-t0</t>
    </r>
    <r>
      <rPr>
        <sz val="12"/>
        <color theme="1"/>
        <rFont val="Calibri"/>
        <family val="2"/>
        <scheme val="minor"/>
      </rPr>
      <t xml:space="preserve"> + global AT</t>
    </r>
    <r>
      <rPr>
        <vertAlign val="subscript"/>
        <sz val="12"/>
        <color theme="1"/>
        <rFont val="Calibri (Body)"/>
      </rPr>
      <t>-t</t>
    </r>
    <r>
      <rPr>
        <sz val="12"/>
        <color theme="1"/>
        <rFont val="Calibri"/>
        <family val="2"/>
        <scheme val="minor"/>
      </rPr>
      <t xml:space="preserve"> * S</t>
    </r>
    <r>
      <rPr>
        <vertAlign val="subscript"/>
        <sz val="12"/>
        <color theme="1"/>
        <rFont val="Calibri (Body)"/>
      </rPr>
      <t>t</t>
    </r>
    <r>
      <rPr>
        <sz val="12"/>
        <color theme="1"/>
        <rFont val="Calibri"/>
        <family val="2"/>
        <scheme val="minor"/>
      </rPr>
      <t>/35</t>
    </r>
    <r>
      <rPr>
        <i/>
        <sz val="12"/>
        <color theme="1"/>
        <rFont val="Calibri"/>
        <family val="2"/>
        <scheme val="minor"/>
      </rPr>
      <t>.24</t>
    </r>
    <r>
      <rPr>
        <sz val="12"/>
        <color theme="1"/>
        <rFont val="Calibri"/>
        <family val="2"/>
        <scheme val="minor"/>
      </rPr>
      <t/>
    </r>
  </si>
  <si>
    <t>normal distribution</t>
  </si>
  <si>
    <t>seawater scale</t>
  </si>
  <si>
    <t>T. Takahashi et al. (2002),  Deep-Sea Research II, Vol. 49, p. 1601-1622</t>
  </si>
  <si>
    <t>T. Takahashi et al. (2002),  Deep-Sea Research II, Vol. 49, p. 1601-1624</t>
  </si>
  <si>
    <t>T. Takahashi et al. (2002),  Deep-Sea Research II, Vol. 49, p. 1601-1626</t>
  </si>
  <si>
    <t>T. Takahashi et al. (2002),  Deep-Sea Research II, Vol. 49, p. 1601-1627</t>
  </si>
  <si>
    <t>T. Takahashi et al. (2002),  Deep-Sea Research II, Vol. 49, p. 1601-1628</t>
  </si>
  <si>
    <t>T. Takahashi et al. (2002),  Deep-Sea Research II, Vol. 49, p. 1601-1629</t>
  </si>
  <si>
    <t>T. Takahashi et al. (2002),  Deep-Sea Research II, Vol. 49, p. 1601-1630</t>
  </si>
  <si>
    <t>T. Takahashi et al. (2002),  Deep-Sea Research II, Vol. 49, p. 1601-1631</t>
  </si>
  <si>
    <t>T. Takahashi et al. (2002),  Deep-Sea Research II, Vol. 49, p. 1601-1632</t>
  </si>
  <si>
    <t>T. Takahashi et al. (2002),  Deep-Sea Research II, Vol. 49, p. 1601-1633</t>
  </si>
  <si>
    <t>T. Takahashi et al. (2002),  Deep-Sea Research II, Vol. 49, p. 1601-1634</t>
  </si>
  <si>
    <t>T. Takahashi et al. (2002),  Deep-Sea Research II, Vol. 49, p. 1601-1635</t>
  </si>
  <si>
    <t>T. Takahashi et al. (2002),  Deep-Sea Research II, Vol. 49, p. 1601-1636</t>
  </si>
  <si>
    <t>T. Takahashi et al. (2002),  Deep-Sea Research II, Vol. 49, p. 1601-1637</t>
  </si>
  <si>
    <t>T. Takahashi et al. (2002),  Deep-Sea Research II, Vol. 49, p. 1601-1638</t>
  </si>
  <si>
    <t>T. Takahashi et al. (2002),  Deep-Sea Research II, Vol. 49, p. 1601-1639</t>
  </si>
  <si>
    <t>square root of the sum of the squared individual pCO2 uncertainties</t>
  </si>
  <si>
    <t>d11B-calcite,  temperature, salinity,  alkalinity (used only 1se in original calculation)</t>
  </si>
  <si>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</si>
  <si>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</si>
  <si>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</si>
  <si>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</si>
  <si>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</si>
  <si>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</si>
  <si>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</si>
  <si>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r>
      <t xml:space="preserve">reference for </t>
    </r>
    <r>
      <rPr>
        <sz val="12"/>
        <color rgb="FF000000"/>
        <rFont val="Symbol"/>
        <charset val="2"/>
      </rPr>
      <t>a</t>
    </r>
    <r>
      <rPr>
        <vertAlign val="subscript"/>
        <sz val="12"/>
        <color rgb="FF000000"/>
        <rFont val="Verdana"/>
        <family val="2"/>
      </rPr>
      <t>B3-B4</t>
    </r>
  </si>
  <si>
    <t>Kakihana &amp; Kotaka (1977)</t>
  </si>
  <si>
    <t>n of replicate measurements</t>
  </si>
  <si>
    <t>2se of replicates ( [ 2* (sd/sqrt(n))] )</t>
  </si>
  <si>
    <t>Notes (e.g., shell size corrected?)</t>
  </si>
  <si>
    <t>[Ca] (mol/kg)</t>
  </si>
  <si>
    <t>[Mg] (mol/kg)</t>
  </si>
  <si>
    <t>[SO4] (mol/kg)</t>
  </si>
  <si>
    <t>pH scale reported (e.g., total scale, seawater scale)</t>
  </si>
  <si>
    <r>
      <rPr>
        <vertAlign val="superscript"/>
        <sz val="12"/>
        <rFont val="Verdana"/>
        <family val="2"/>
      </rPr>
      <t>c</t>
    </r>
    <r>
      <rPr>
        <sz val="12"/>
        <rFont val="Verdana"/>
        <family val="2"/>
      </rPr>
      <t>Alkalinity (µmol/kg, if not used as an input parameter)</t>
    </r>
  </si>
  <si>
    <r>
      <rPr>
        <sz val="12"/>
        <rFont val="Symbol"/>
        <charset val="2"/>
      </rPr>
      <t>W</t>
    </r>
    <r>
      <rPr>
        <vertAlign val="subscript"/>
        <sz val="12"/>
        <rFont val="Verdana"/>
        <family val="2"/>
      </rPr>
      <t>calcite</t>
    </r>
    <r>
      <rPr>
        <sz val="12"/>
        <rFont val="Verdana"/>
        <family val="2"/>
      </rPr>
      <t>, if not used as an input parameter</t>
    </r>
  </si>
  <si>
    <r>
      <rPr>
        <sz val="12"/>
        <rFont val="Symbol"/>
        <charset val="2"/>
      </rPr>
      <t>W</t>
    </r>
    <r>
      <rPr>
        <vertAlign val="subscript"/>
        <sz val="12"/>
        <rFont val="Verdana"/>
        <family val="2"/>
      </rPr>
      <t>aragonite</t>
    </r>
    <r>
      <rPr>
        <sz val="12"/>
        <rFont val="Verdana"/>
        <family val="2"/>
      </rPr>
      <t>, if not used as an input parameter</t>
    </r>
  </si>
  <si>
    <r>
      <t>The originally published d11B data (Hö</t>
    </r>
    <r>
      <rPr>
        <sz val="12"/>
        <color theme="1"/>
        <rFont val="Calibri (Body)_x0000_"/>
      </rPr>
      <t xml:space="preserve">nisch &amp; Hemming 2005) </t>
    </r>
    <r>
      <rPr>
        <sz val="12"/>
        <color theme="1"/>
        <rFont val="Calibri"/>
        <family val="2"/>
        <scheme val="minor"/>
      </rPr>
      <t xml:space="preserve">were corrected by an instrument offset of +1.1‰ to match data collected on the 6" radius of curvature mass spectrometer at SUNY Stony Brook. Because that mass spectrometer is no longer in operation and because ongoing data collection is done on the Triton TIMS at LDEO, Stony Brook d11B data are now all adjusted to the Triton TIMS at LDEO, and data collected at LDEO are listed as measured. </t>
    </r>
  </si>
  <si>
    <r>
      <t>2</t>
    </r>
    <r>
      <rPr>
        <sz val="12"/>
        <color theme="1"/>
        <rFont val="Symbol"/>
        <charset val="2"/>
      </rPr>
      <t>s</t>
    </r>
    <r>
      <rPr>
        <sz val="12"/>
        <color theme="1"/>
        <rFont val="Calibri"/>
        <family val="2"/>
        <scheme val="minor"/>
      </rPr>
      <t xml:space="preserve"> uncertainty pos (µmol/kg)</t>
    </r>
  </si>
  <si>
    <r>
      <t>2</t>
    </r>
    <r>
      <rPr>
        <sz val="12"/>
        <color theme="1"/>
        <rFont val="Symbol"/>
        <charset val="2"/>
      </rPr>
      <t>s</t>
    </r>
    <r>
      <rPr>
        <sz val="12"/>
        <color theme="1"/>
        <rFont val="Calibri"/>
        <family val="2"/>
        <scheme val="minor"/>
      </rPr>
      <t xml:space="preserve"> uncertainty neg (µmol/kg)</t>
    </r>
  </si>
  <si>
    <r>
      <t>Mg/Ca</t>
    </r>
    <r>
      <rPr>
        <vertAlign val="subscript"/>
        <sz val="12"/>
        <rFont val="Verdana"/>
        <family val="2"/>
      </rPr>
      <t xml:space="preserve">sw </t>
    </r>
    <r>
      <rPr>
        <sz val="12"/>
        <rFont val="Verdana"/>
        <family val="2"/>
      </rPr>
      <t>correction</t>
    </r>
  </si>
  <si>
    <r>
      <t>Mg/Ca</t>
    </r>
    <r>
      <rPr>
        <vertAlign val="subscript"/>
        <sz val="12"/>
        <rFont val="Verdana"/>
        <family val="2"/>
      </rPr>
      <t xml:space="preserve">sw </t>
    </r>
    <r>
      <rPr>
        <sz val="12"/>
        <rFont val="Verdana"/>
        <family val="2"/>
      </rPr>
      <t xml:space="preserve">correction  reference </t>
    </r>
  </si>
  <si>
    <r>
      <rPr>
        <vertAlign val="superscript"/>
        <sz val="10"/>
        <rFont val="Verdana"/>
        <family val="2"/>
      </rPr>
      <t>b</t>
    </r>
    <r>
      <rPr>
        <sz val="12"/>
        <color theme="1"/>
        <rFont val="Calibri"/>
        <family val="2"/>
        <scheme val="minor"/>
      </rPr>
      <t>this spreadsheet is specifically designed for boron isotope records aimed at paleo-pCO</t>
    </r>
    <r>
      <rPr>
        <vertAlign val="subscript"/>
        <sz val="10"/>
        <rFont val="Verdana"/>
        <family val="2"/>
      </rPr>
      <t>2</t>
    </r>
    <r>
      <rPr>
        <sz val="12"/>
        <color theme="1"/>
        <rFont val="Calibri"/>
        <family val="2"/>
        <scheme val="minor"/>
      </rPr>
      <t xml:space="preserve"> reconstructions, but it is equally useful for other boron isotope records collected, e.g., in upwelling areas. Such studies should leave the atmospheric pCO</t>
    </r>
    <r>
      <rPr>
        <vertAlign val="subscript"/>
        <sz val="10"/>
        <rFont val="Verdana"/>
        <family val="2"/>
      </rPr>
      <t>2</t>
    </r>
    <r>
      <rPr>
        <sz val="12"/>
        <color theme="1"/>
        <rFont val="Calibri"/>
        <family val="2"/>
        <scheme val="minor"/>
      </rPr>
      <t xml:space="preserve"> column (EW) blank, but may want to report the air-sea disequilibrium in column EX</t>
    </r>
  </si>
  <si>
    <r>
      <rPr>
        <vertAlign val="superscript"/>
        <sz val="10"/>
        <rFont val="Verdana"/>
        <family val="2"/>
      </rPr>
      <t>c</t>
    </r>
    <r>
      <rPr>
        <sz val="12"/>
        <color theme="1"/>
        <rFont val="Calibri"/>
        <family val="2"/>
        <scheme val="minor"/>
      </rPr>
      <t>because minor alkalinity contributors like NH</t>
    </r>
    <r>
      <rPr>
        <vertAlign val="subscript"/>
        <sz val="10"/>
        <rFont val="Verdana"/>
        <family val="2"/>
      </rPr>
      <t>3</t>
    </r>
    <r>
      <rPr>
        <sz val="12"/>
        <color theme="1"/>
        <rFont val="Calibri"/>
        <family val="2"/>
        <scheme val="minor"/>
      </rPr>
      <t>, H</t>
    </r>
    <r>
      <rPr>
        <vertAlign val="subscript"/>
        <sz val="10"/>
        <rFont val="Verdana"/>
        <family val="2"/>
      </rPr>
      <t>3</t>
    </r>
    <r>
      <rPr>
        <sz val="12"/>
        <color theme="1"/>
        <rFont val="Calibri"/>
        <family val="2"/>
        <scheme val="minor"/>
      </rPr>
      <t>PO</t>
    </r>
    <r>
      <rPr>
        <vertAlign val="subscript"/>
        <sz val="10"/>
        <rFont val="Verdana"/>
        <family val="2"/>
      </rPr>
      <t>4</t>
    </r>
    <r>
      <rPr>
        <sz val="12"/>
        <color theme="1"/>
        <rFont val="Calibri"/>
        <family val="2"/>
        <scheme val="minor"/>
      </rPr>
      <t>, HPO</t>
    </r>
    <r>
      <rPr>
        <vertAlign val="subscript"/>
        <sz val="10"/>
        <rFont val="Verdana"/>
        <family val="2"/>
      </rPr>
      <t>4</t>
    </r>
    <r>
      <rPr>
        <sz val="12"/>
        <color theme="1"/>
        <rFont val="Calibri"/>
        <family val="2"/>
        <scheme val="minor"/>
      </rPr>
      <t>, PO</t>
    </r>
    <r>
      <rPr>
        <vertAlign val="subscript"/>
        <sz val="10"/>
        <rFont val="Verdana"/>
        <family val="2"/>
      </rPr>
      <t>4</t>
    </r>
    <r>
      <rPr>
        <sz val="12"/>
        <color theme="1"/>
        <rFont val="Calibri"/>
        <family val="2"/>
        <scheme val="minor"/>
      </rPr>
      <t>, HSiO</t>
    </r>
    <r>
      <rPr>
        <vertAlign val="subscript"/>
        <sz val="10"/>
        <rFont val="Verdana"/>
        <family val="2"/>
      </rPr>
      <t>3</t>
    </r>
    <r>
      <rPr>
        <sz val="12"/>
        <color theme="1"/>
        <rFont val="Calibri"/>
        <family val="2"/>
        <scheme val="minor"/>
      </rPr>
      <t>, HS</t>
    </r>
    <r>
      <rPr>
        <vertAlign val="superscript"/>
        <sz val="10"/>
        <rFont val="Verdana"/>
        <family val="2"/>
      </rPr>
      <t xml:space="preserve">- </t>
    </r>
    <r>
      <rPr>
        <sz val="12"/>
        <color theme="1"/>
        <rFont val="Calibri"/>
        <family val="2"/>
        <scheme val="minor"/>
      </rPr>
      <t>and S</t>
    </r>
    <r>
      <rPr>
        <vertAlign val="superscript"/>
        <sz val="10"/>
        <rFont val="Verdana"/>
        <family val="2"/>
      </rPr>
      <t>2-</t>
    </r>
    <r>
      <rPr>
        <sz val="12"/>
        <color theme="1"/>
        <rFont val="Calibri"/>
        <family val="2"/>
        <scheme val="minor"/>
      </rPr>
      <t xml:space="preserve"> are not included in these calculations, the alkalinity estimate reported in column EK includes only carbon and boron alkalinity, and should therefore be considered an approximation to total alkalinity</t>
    </r>
  </si>
  <si>
    <r>
      <t>2</t>
    </r>
    <r>
      <rPr>
        <sz val="12"/>
        <color theme="1"/>
        <rFont val="Symbol"/>
        <charset val="2"/>
      </rPr>
      <t>s</t>
    </r>
    <r>
      <rPr>
        <sz val="12"/>
        <color theme="1"/>
        <rFont val="Verdana"/>
        <family val="2"/>
      </rPr>
      <t xml:space="preserve"> uncertainty </t>
    </r>
    <r>
      <rPr>
        <sz val="12"/>
        <color theme="1"/>
        <rFont val="Symbol"/>
        <charset val="2"/>
      </rPr>
      <t>W</t>
    </r>
    <r>
      <rPr>
        <vertAlign val="subscript"/>
        <sz val="12"/>
        <color theme="1"/>
        <rFont val="Verdana"/>
        <family val="2"/>
      </rPr>
      <t>aragonite neg</t>
    </r>
  </si>
  <si>
    <t>notes about uncertainty estimate: e.g., included calibration slope and intercept</t>
  </si>
  <si>
    <t>CO2_ppm</t>
  </si>
  <si>
    <t>CO2_uncertainty_pos_ppm</t>
  </si>
  <si>
    <t>CO2_uncertainty_neg_ppm</t>
  </si>
  <si>
    <t>10.1016/j.epsl.2005.04.027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</si>
</sst>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00"/>
  </numFmts>
  <fonts count="40">
    <font>
      <sz val="12"/>
      <color theme="1"/>
      <name val="Calibri"/>
      <family val="2"/>
      <scheme val="minor"/>
    </font>
    <font>
      <sz val="12"/>
      <color theme="1"/>
      <name val="Calibri"/>
      <family val="2"/>
      <scheme val="minor"/>
    </font>
    <font>
      <vertAlign val="superscript"/>
      <sz val="10"/>
      <name val="Verdana"/>
      <family val="2"/>
    </font>
    <font>
      <vertAlign val="subscript"/>
      <sz val="10"/>
      <name val="Verdana"/>
      <family val="2"/>
    </font>
    <font>
      <b/>
      <sz val="12"/>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rgb="FF000000"/>
      <name val="Symbol"/>
      <charset val="2"/>
    </font>
    <font>
      <sz val="12"/>
      <color theme="1"/>
      <name val="Symbol"/>
      <charset val="2"/>
    </font>
    <font>
      <vertAlign val="superscript"/>
      <sz val="12"/>
      <color theme="1"/>
      <name val="Verdana"/>
      <family val="2"/>
    </font>
    <font>
      <vertAlign val="subscript"/>
      <sz val="12"/>
      <color theme="1"/>
      <name val="Verdana"/>
      <family val="2"/>
    </font>
    <font>
      <vertAlign val="subscript"/>
      <sz val="12"/>
      <name val="Verdana"/>
      <family val="2"/>
    </font>
    <font>
      <sz val="11"/>
      <color rgb="FF000000"/>
      <name val="Calibri"/>
      <family val="2"/>
      <charset val="1"/>
    </font>
    <font>
      <sz val="12"/>
      <name val="Verdana"/>
      <family val="2"/>
      <charset val="2"/>
    </font>
    <font>
      <u/>
      <sz val="12"/>
      <color theme="10"/>
      <name val="Calibri"/>
      <family val="2"/>
      <scheme val="minor"/>
    </font>
    <font>
      <sz val="12"/>
      <color theme="1"/>
      <name val="Optima"/>
      <family val="2"/>
    </font>
    <font>
      <sz val="12"/>
      <color rgb="FF000000"/>
      <name val="Optima"/>
      <family val="2"/>
    </font>
    <font>
      <sz val="10"/>
      <name val="Arial"/>
      <family val="2"/>
    </font>
    <font>
      <sz val="10"/>
      <name val="Verdana"/>
      <family val="2"/>
    </font>
    <font>
      <sz val="11"/>
      <color theme="1"/>
      <name val="Calibri"/>
      <family val="2"/>
      <scheme val="minor"/>
    </font>
    <font>
      <sz val="12"/>
      <color theme="1"/>
      <name val="Arial"/>
      <family val="2"/>
    </font>
    <font>
      <vertAlign val="subscript"/>
      <sz val="12"/>
      <color theme="1"/>
      <name val="Calibri (Body)"/>
    </font>
    <font>
      <i/>
      <sz val="12"/>
      <color theme="1"/>
      <name val="Calibri"/>
      <family val="2"/>
      <scheme val="minor"/>
    </font>
    <font>
      <sz val="12"/>
      <color theme="1"/>
      <name val="Calibri (Body)_x0000_"/>
    </font>
    <font>
      <vertAlign val="subscript"/>
      <sz val="12"/>
      <color rgb="FF000000"/>
      <name val="Verdana"/>
      <family val="2"/>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CDFDCC"/>
        <bgColor rgb="FF000000"/>
      </patternFill>
    </fill>
    <fill>
      <patternFill patternType="solid">
        <fgColor rgb="FFA9D08D"/>
        <bgColor indexed="64"/>
      </patternFill>
    </fill>
    <fill>
      <patternFill patternType="solid">
        <fgColor rgb="FFCEFDCC"/>
        <bgColor indexed="64"/>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7">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4">
    <xf numFmtId="0" fontId="0" fillId="0" borderId="0"/>
    <xf numFmtId="0" fontId="27" fillId="0" borderId="0"/>
    <xf numFmtId="0" fontId="1" fillId="0" borderId="0"/>
    <xf numFmtId="0" fontId="29" fillId="0" borderId="0" applyNumberFormat="0" applyFill="0" applyBorder="0" applyAlignment="0" applyProtection="0"/>
  </cellStyleXfs>
  <cellXfs count="176">
    <xf numFmtId="0" fontId="0" fillId="0" borderId="0" xfId="0"/>
    <xf numFmtId="0" fontId="0" fillId="0" borderId="0" xfId="0" applyAlignment="1">
      <alignment vertical="top"/>
    </xf>
    <xf numFmtId="0" fontId="4" fillId="0" borderId="1" xfId="0" applyFont="1" applyBorder="1"/>
    <xf numFmtId="0" fontId="0" fillId="0" borderId="2" xfId="0" applyBorder="1"/>
    <xf numFmtId="0" fontId="0" fillId="0" borderId="2" xfId="0" applyBorder="1" applyAlignment="1">
      <alignment vertical="top"/>
    </xf>
    <xf numFmtId="0" fontId="0" fillId="0" borderId="3" xfId="0" applyBorder="1"/>
    <xf numFmtId="0" fontId="5" fillId="2" borderId="1" xfId="0" applyFont="1" applyFill="1" applyBorder="1"/>
    <xf numFmtId="0" fontId="5" fillId="2" borderId="2" xfId="0" applyFont="1" applyFill="1" applyBorder="1"/>
    <xf numFmtId="0" fontId="0" fillId="2" borderId="2" xfId="0" applyFill="1" applyBorder="1"/>
    <xf numFmtId="0" fontId="0" fillId="2" borderId="3" xfId="0" applyFill="1" applyBorder="1"/>
    <xf numFmtId="0" fontId="5" fillId="3" borderId="4" xfId="0" applyFont="1" applyFill="1" applyBorder="1" applyAlignment="1">
      <alignment horizontal="left" vertical="center"/>
    </xf>
    <xf numFmtId="0" fontId="5" fillId="3" borderId="5" xfId="0" applyFont="1" applyFill="1" applyBorder="1" applyAlignment="1">
      <alignment wrapText="1"/>
    </xf>
    <xf numFmtId="0" fontId="5" fillId="3" borderId="5" xfId="0" applyFont="1" applyFill="1" applyBorder="1"/>
    <xf numFmtId="0" fontId="0" fillId="3" borderId="5" xfId="0" applyFill="1" applyBorder="1"/>
    <xf numFmtId="0" fontId="6" fillId="3" borderId="4" xfId="0" applyFont="1" applyFill="1" applyBorder="1"/>
    <xf numFmtId="0" fontId="5" fillId="4" borderId="4" xfId="0" applyFont="1" applyFill="1" applyBorder="1"/>
    <xf numFmtId="0" fontId="0" fillId="4" borderId="5" xfId="0" applyFill="1" applyBorder="1"/>
    <xf numFmtId="0" fontId="0" fillId="4" borderId="1" xfId="0" applyFill="1" applyBorder="1"/>
    <xf numFmtId="0" fontId="0" fillId="4" borderId="2" xfId="0" applyFill="1" applyBorder="1"/>
    <xf numFmtId="0" fontId="5" fillId="4" borderId="2" xfId="0" applyFont="1" applyFill="1" applyBorder="1"/>
    <xf numFmtId="0" fontId="5" fillId="4" borderId="3" xfId="0" applyFont="1" applyFill="1" applyBorder="1"/>
    <xf numFmtId="0" fontId="5" fillId="5" borderId="1" xfId="0" applyFont="1" applyFill="1" applyBorder="1"/>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7" fillId="5" borderId="5" xfId="0" applyFont="1" applyFill="1" applyBorder="1" applyAlignment="1">
      <alignment horizontal="left" vertical="center"/>
    </xf>
    <xf numFmtId="0" fontId="6" fillId="5" borderId="5" xfId="0" applyFont="1" applyFill="1" applyBorder="1" applyAlignment="1">
      <alignment horizontal="center" vertical="center" wrapText="1"/>
    </xf>
    <xf numFmtId="0" fontId="5" fillId="6" borderId="1" xfId="0" applyFont="1" applyFill="1" applyBorder="1"/>
    <xf numFmtId="0" fontId="5" fillId="7" borderId="2" xfId="0" applyFont="1" applyFill="1" applyBorder="1"/>
    <xf numFmtId="0" fontId="5" fillId="7" borderId="3" xfId="0" applyFont="1" applyFill="1" applyBorder="1"/>
    <xf numFmtId="0" fontId="5" fillId="6" borderId="2" xfId="0" applyFont="1" applyFill="1" applyBorder="1"/>
    <xf numFmtId="0" fontId="5" fillId="6" borderId="3" xfId="0" applyFont="1" applyFill="1" applyBorder="1"/>
    <xf numFmtId="0" fontId="0" fillId="6" borderId="2" xfId="0" applyFill="1" applyBorder="1"/>
    <xf numFmtId="0" fontId="0" fillId="6" borderId="4" xfId="0" applyFill="1" applyBorder="1"/>
    <xf numFmtId="0" fontId="5" fillId="7" borderId="1" xfId="0" applyFont="1" applyFill="1" applyBorder="1"/>
    <xf numFmtId="0" fontId="5" fillId="7" borderId="5" xfId="0" applyFont="1" applyFill="1" applyBorder="1"/>
    <xf numFmtId="0" fontId="5" fillId="8" borderId="2" xfId="0" applyFont="1" applyFill="1" applyBorder="1"/>
    <xf numFmtId="0" fontId="5" fillId="9" borderId="1" xfId="0" applyFont="1" applyFill="1" applyBorder="1"/>
    <xf numFmtId="0" fontId="5" fillId="9" borderId="2" xfId="0" applyFont="1" applyFill="1" applyBorder="1"/>
    <xf numFmtId="0" fontId="0" fillId="9" borderId="2" xfId="0" applyFill="1" applyBorder="1"/>
    <xf numFmtId="0" fontId="0" fillId="0" borderId="6" xfId="0" applyBorder="1"/>
    <xf numFmtId="0" fontId="4" fillId="0" borderId="7" xfId="0" applyFont="1" applyBorder="1"/>
    <xf numFmtId="0" fontId="0" fillId="0" borderId="8" xfId="0" applyBorder="1"/>
    <xf numFmtId="0" fontId="0" fillId="0" borderId="8" xfId="0" applyBorder="1" applyAlignment="1">
      <alignment vertical="top"/>
    </xf>
    <xf numFmtId="0" fontId="0" fillId="0" borderId="9" xfId="0" applyBorder="1"/>
    <xf numFmtId="0" fontId="5" fillId="2" borderId="8" xfId="0" applyFont="1" applyFill="1" applyBorder="1"/>
    <xf numFmtId="0" fontId="0" fillId="2" borderId="8" xfId="0" applyFill="1" applyBorder="1"/>
    <xf numFmtId="0" fontId="0" fillId="2" borderId="9" xfId="0" applyFill="1" applyBorder="1"/>
    <xf numFmtId="0" fontId="5" fillId="3" borderId="4" xfId="0" applyFont="1" applyFill="1" applyBorder="1" applyAlignment="1">
      <alignment horizontal="center" vertical="center"/>
    </xf>
    <xf numFmtId="0" fontId="6" fillId="4" borderId="1" xfId="0" applyFont="1" applyFill="1" applyBorder="1" applyAlignment="1">
      <alignment horizontal="left" vertical="center"/>
    </xf>
    <xf numFmtId="0" fontId="15" fillId="5" borderId="0" xfId="0" applyFont="1" applyFill="1" applyBorder="1"/>
    <xf numFmtId="0" fontId="6" fillId="5" borderId="0" xfId="0" applyFont="1" applyFill="1" applyBorder="1" applyAlignment="1">
      <alignment horizontal="center" vertical="center" wrapText="1"/>
    </xf>
    <xf numFmtId="0" fontId="7" fillId="5" borderId="7" xfId="0" applyFont="1" applyFill="1" applyBorder="1" applyAlignment="1">
      <alignment horizontal="left" vertical="center"/>
    </xf>
    <xf numFmtId="0" fontId="7" fillId="5" borderId="8" xfId="0" applyFont="1" applyFill="1" applyBorder="1" applyAlignment="1">
      <alignment horizontal="left" vertical="center"/>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7" fillId="5" borderId="2" xfId="0" applyFont="1" applyFill="1" applyBorder="1" applyAlignment="1">
      <alignment horizontal="left" vertical="center"/>
    </xf>
    <xf numFmtId="0" fontId="5" fillId="7" borderId="4" xfId="0" applyFont="1" applyFill="1" applyBorder="1"/>
    <xf numFmtId="0" fontId="5" fillId="7" borderId="0" xfId="0" applyFont="1" applyFill="1" applyBorder="1"/>
    <xf numFmtId="0" fontId="5" fillId="6" borderId="0" xfId="0" applyFont="1" applyFill="1" applyBorder="1"/>
    <xf numFmtId="0" fontId="0" fillId="6" borderId="0" xfId="0" applyFill="1"/>
    <xf numFmtId="0" fontId="7" fillId="7" borderId="4" xfId="0" applyFont="1" applyFill="1" applyBorder="1" applyAlignment="1">
      <alignment horizontal="left" vertical="center"/>
    </xf>
    <xf numFmtId="0" fontId="6" fillId="7" borderId="5" xfId="0" applyFont="1" applyFill="1" applyBorder="1" applyAlignment="1">
      <alignment horizontal="left" vertical="center"/>
    </xf>
    <xf numFmtId="0" fontId="6" fillId="7" borderId="12" xfId="0" applyFont="1" applyFill="1" applyBorder="1" applyAlignment="1">
      <alignment horizontal="left" vertical="center"/>
    </xf>
    <xf numFmtId="0" fontId="5" fillId="7" borderId="12" xfId="0" applyFont="1" applyFill="1" applyBorder="1"/>
    <xf numFmtId="0" fontId="15" fillId="7" borderId="4" xfId="0" applyFont="1" applyFill="1" applyBorder="1"/>
    <xf numFmtId="0" fontId="7" fillId="7" borderId="0" xfId="0" applyFont="1" applyFill="1" applyBorder="1" applyAlignment="1">
      <alignment horizontal="left" vertical="center"/>
    </xf>
    <xf numFmtId="0" fontId="6" fillId="7" borderId="0" xfId="0" applyFont="1" applyFill="1" applyBorder="1" applyAlignment="1">
      <alignment horizontal="left" vertical="center"/>
    </xf>
    <xf numFmtId="0" fontId="5" fillId="6" borderId="4" xfId="0" applyFont="1" applyFill="1" applyBorder="1"/>
    <xf numFmtId="0" fontId="5" fillId="6" borderId="10" xfId="0" applyFont="1" applyFill="1" applyBorder="1"/>
    <xf numFmtId="0" fontId="7" fillId="7" borderId="11" xfId="0" applyFont="1" applyFill="1" applyBorder="1" applyAlignment="1">
      <alignment horizontal="center" vertical="center" wrapText="1"/>
    </xf>
    <xf numFmtId="0" fontId="6" fillId="7" borderId="0" xfId="0" applyFont="1" applyFill="1" applyBorder="1" applyAlignment="1">
      <alignment horizontal="center" vertical="center" wrapText="1"/>
    </xf>
    <xf numFmtId="0" fontId="5" fillId="7" borderId="11" xfId="0" applyFont="1" applyFill="1" applyBorder="1"/>
    <xf numFmtId="0" fontId="5" fillId="8" borderId="0" xfId="0" applyFont="1" applyFill="1" applyBorder="1"/>
    <xf numFmtId="0" fontId="5" fillId="8" borderId="8" xfId="0" applyFont="1" applyFill="1" applyBorder="1"/>
    <xf numFmtId="0" fontId="5" fillId="2" borderId="7" xfId="0" applyFont="1" applyFill="1" applyBorder="1"/>
    <xf numFmtId="0" fontId="0" fillId="0" borderId="13" xfId="0" applyBorder="1"/>
    <xf numFmtId="0" fontId="20" fillId="10" borderId="14" xfId="0" applyFont="1" applyFill="1" applyBorder="1" applyAlignment="1">
      <alignment horizontal="center" vertical="center" wrapText="1"/>
    </xf>
    <xf numFmtId="0" fontId="20" fillId="10" borderId="15" xfId="0" applyFont="1" applyFill="1" applyBorder="1" applyAlignment="1">
      <alignment horizontal="center" vertical="center" wrapText="1"/>
    </xf>
    <xf numFmtId="0" fontId="20" fillId="10" borderId="16"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1" fillId="5" borderId="2"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20" fillId="5" borderId="7" xfId="0" applyFont="1" applyFill="1" applyBorder="1" applyAlignment="1">
      <alignment horizontal="center" vertical="center" wrapText="1"/>
    </xf>
    <xf numFmtId="0" fontId="21" fillId="5" borderId="8" xfId="0" applyFont="1" applyFill="1" applyBorder="1" applyAlignment="1">
      <alignment horizontal="center" vertical="center" wrapText="1"/>
    </xf>
    <xf numFmtId="0" fontId="20" fillId="5" borderId="8"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21" fillId="6" borderId="2" xfId="0" applyFont="1" applyFill="1" applyBorder="1" applyAlignment="1">
      <alignment horizontal="center" vertical="center" wrapText="1"/>
    </xf>
    <xf numFmtId="0" fontId="20" fillId="6"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1" fillId="8" borderId="2"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0" borderId="13" xfId="0" applyFont="1" applyBorder="1" applyAlignment="1">
      <alignment horizontal="center" vertical="center" wrapText="1"/>
    </xf>
    <xf numFmtId="0" fontId="6" fillId="0" borderId="0" xfId="0" applyFont="1" applyAlignment="1">
      <alignment horizontal="center" vertical="center" wrapText="1"/>
    </xf>
    <xf numFmtId="0" fontId="0" fillId="0" borderId="4" xfId="0" applyBorder="1"/>
    <xf numFmtId="0" fontId="0" fillId="0" borderId="5" xfId="0" applyBorder="1"/>
    <xf numFmtId="0" fontId="0" fillId="0" borderId="12" xfId="0" applyBorder="1"/>
    <xf numFmtId="0" fontId="0" fillId="0" borderId="7" xfId="0" applyBorder="1"/>
    <xf numFmtId="0" fontId="0" fillId="0" borderId="1" xfId="0" applyBorder="1"/>
    <xf numFmtId="0" fontId="0" fillId="0" borderId="2" xfId="0" applyBorder="1" applyAlignment="1">
      <alignment wrapText="1"/>
    </xf>
    <xf numFmtId="0" fontId="0" fillId="0" borderId="2" xfId="0" quotePrefix="1" applyBorder="1" applyAlignment="1">
      <alignment wrapText="1"/>
    </xf>
    <xf numFmtId="0" fontId="28" fillId="4" borderId="1"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3" borderId="2" xfId="0" quotePrefix="1" applyFill="1" applyBorder="1" applyAlignment="1">
      <alignment horizontal="center" vertical="center" wrapText="1"/>
    </xf>
    <xf numFmtId="0" fontId="7" fillId="6" borderId="0" xfId="0" applyFont="1" applyFill="1" applyBorder="1" applyAlignment="1">
      <alignment horizontal="left" vertical="center"/>
    </xf>
    <xf numFmtId="0" fontId="0" fillId="13" borderId="3" xfId="0" quotePrefix="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0" fillId="15" borderId="2" xfId="0" quotePrefix="1" applyFill="1" applyBorder="1" applyAlignment="1">
      <alignment horizontal="center" vertical="center" wrapText="1"/>
    </xf>
    <xf numFmtId="0" fontId="6" fillId="4" borderId="2" xfId="0" applyFont="1" applyFill="1" applyBorder="1" applyAlignment="1">
      <alignment horizontal="left" vertical="center"/>
    </xf>
    <xf numFmtId="0" fontId="28" fillId="4" borderId="2" xfId="0" applyFont="1" applyFill="1" applyBorder="1" applyAlignment="1">
      <alignment horizontal="center" vertical="center" wrapText="1"/>
    </xf>
    <xf numFmtId="0" fontId="0" fillId="0" borderId="0" xfId="0" applyAlignment="1">
      <alignment horizontal="center" vertical="top"/>
    </xf>
    <xf numFmtId="0" fontId="29" fillId="0" borderId="0" xfId="3" applyAlignment="1">
      <alignment horizontal="center" vertical="top"/>
    </xf>
    <xf numFmtId="0" fontId="0" fillId="0" borderId="0" xfId="0" applyAlignment="1">
      <alignment horizontal="right" vertical="top"/>
    </xf>
    <xf numFmtId="0" fontId="0" fillId="0" borderId="0" xfId="0" applyAlignment="1">
      <alignment horizontal="right"/>
    </xf>
    <xf numFmtId="0" fontId="0" fillId="0" borderId="0" xfId="0" applyAlignment="1"/>
    <xf numFmtId="0" fontId="0" fillId="0" borderId="0" xfId="0" applyFill="1" applyBorder="1"/>
    <xf numFmtId="0" fontId="29" fillId="0" borderId="0" xfId="3" applyAlignment="1">
      <alignment horizontal="left" vertical="top"/>
    </xf>
    <xf numFmtId="0" fontId="0" fillId="0" borderId="0" xfId="0" applyAlignment="1">
      <alignment horizontal="left" vertical="top"/>
    </xf>
    <xf numFmtId="164" fontId="0" fillId="0" borderId="0" xfId="0" applyNumberFormat="1"/>
    <xf numFmtId="0" fontId="0" fillId="0" borderId="0" xfId="0" applyAlignment="1">
      <alignment horizontal="right" vertical="top" wrapText="1"/>
    </xf>
    <xf numFmtId="0" fontId="0" fillId="0" borderId="0" xfId="0" applyFont="1" applyAlignment="1">
      <alignment horizontal="right" vertical="top"/>
    </xf>
    <xf numFmtId="0" fontId="0" fillId="0" borderId="0" xfId="0" applyFont="1" applyAlignment="1"/>
    <xf numFmtId="2" fontId="0" fillId="0" borderId="0" xfId="0" applyNumberFormat="1" applyFont="1" applyAlignment="1"/>
    <xf numFmtId="0" fontId="0" fillId="0" borderId="0" xfId="0" applyFont="1" applyAlignment="1">
      <alignment horizontal="right"/>
    </xf>
    <xf numFmtId="2" fontId="0" fillId="0" borderId="0" xfId="0" applyNumberFormat="1"/>
    <xf numFmtId="2" fontId="0" fillId="0" borderId="0" xfId="0" applyNumberFormat="1" applyFont="1"/>
    <xf numFmtId="0" fontId="0" fillId="0" borderId="0" xfId="0" quotePrefix="1" applyAlignment="1">
      <alignment horizontal="right" vertical="top"/>
    </xf>
    <xf numFmtId="0" fontId="0" fillId="0" borderId="0" xfId="0" applyAlignment="1">
      <alignment horizontal="left" vertical="top" wrapText="1"/>
    </xf>
    <xf numFmtId="2" fontId="32" fillId="0" borderId="0" xfId="0" applyNumberFormat="1" applyFont="1" applyAlignment="1">
      <alignment horizontal="center" vertical="top"/>
    </xf>
    <xf numFmtId="2" fontId="0" fillId="0" borderId="0" xfId="0" quotePrefix="1" applyNumberFormat="1" applyAlignment="1">
      <alignment horizontal="center" vertical="top"/>
    </xf>
    <xf numFmtId="0" fontId="0" fillId="0" borderId="0" xfId="0" applyAlignment="1">
      <alignment horizontal="center"/>
    </xf>
    <xf numFmtId="0" fontId="0" fillId="0" borderId="0" xfId="0" applyFont="1" applyAlignment="1">
      <alignment horizontal="center"/>
    </xf>
    <xf numFmtId="164" fontId="0" fillId="0" borderId="0" xfId="0" applyNumberFormat="1" applyBorder="1" applyAlignment="1">
      <alignment horizontal="center" vertical="top"/>
    </xf>
    <xf numFmtId="164" fontId="0" fillId="0" borderId="0" xfId="0" applyNumberFormat="1" applyBorder="1" applyAlignment="1">
      <alignment horizontal="center"/>
    </xf>
    <xf numFmtId="0" fontId="0" fillId="0" borderId="0" xfId="0" applyFont="1" applyAlignment="1">
      <alignment vertical="top"/>
    </xf>
    <xf numFmtId="0" fontId="34" fillId="0" borderId="0" xfId="0" applyFont="1" applyAlignment="1">
      <alignment horizontal="center" vertical="top"/>
    </xf>
    <xf numFmtId="0" fontId="0" fillId="0" borderId="0" xfId="0" applyFill="1" applyAlignment="1">
      <alignment horizontal="right" vertical="top"/>
    </xf>
    <xf numFmtId="0" fontId="0" fillId="0" borderId="0" xfId="0" applyFill="1" applyAlignment="1">
      <alignment horizontal="left" vertical="top"/>
    </xf>
    <xf numFmtId="165" fontId="0" fillId="0" borderId="0" xfId="0" applyNumberFormat="1" applyFill="1" applyAlignment="1">
      <alignment horizontal="right" vertical="top"/>
    </xf>
    <xf numFmtId="166" fontId="35" fillId="0" borderId="0" xfId="0" applyNumberFormat="1" applyFont="1" applyFill="1" applyBorder="1" applyAlignment="1">
      <alignment vertical="top"/>
    </xf>
    <xf numFmtId="0" fontId="0" fillId="0" borderId="0" xfId="0" applyFont="1" applyAlignment="1">
      <alignment horizontal="left" vertical="top"/>
    </xf>
    <xf numFmtId="2" fontId="33" fillId="0" borderId="0" xfId="0" applyNumberFormat="1" applyFont="1" applyBorder="1" applyAlignment="1">
      <alignment vertical="top"/>
    </xf>
    <xf numFmtId="164" fontId="0" fillId="0" borderId="0" xfId="0" applyNumberFormat="1" applyAlignment="1">
      <alignment horizontal="right" vertical="top"/>
    </xf>
    <xf numFmtId="2" fontId="33" fillId="0" borderId="0" xfId="0" applyNumberFormat="1" applyFont="1" applyBorder="1"/>
    <xf numFmtId="164" fontId="0" fillId="0" borderId="0" xfId="0" applyNumberFormat="1" applyAlignment="1"/>
    <xf numFmtId="1" fontId="0" fillId="0" borderId="0" xfId="0" applyNumberFormat="1" applyBorder="1" applyAlignment="1">
      <alignment horizontal="center" vertical="top"/>
    </xf>
    <xf numFmtId="0" fontId="30" fillId="0" borderId="0" xfId="0" applyFont="1" applyAlignment="1">
      <alignment horizontal="left" vertical="top"/>
    </xf>
    <xf numFmtId="1" fontId="0" fillId="0" borderId="0" xfId="0" applyNumberFormat="1"/>
    <xf numFmtId="164" fontId="32" fillId="0" borderId="0" xfId="0" applyNumberFormat="1" applyFont="1" applyAlignment="1">
      <alignment horizontal="center" vertical="top"/>
    </xf>
    <xf numFmtId="0" fontId="21" fillId="6" borderId="3" xfId="0" applyFont="1" applyFill="1" applyBorder="1" applyAlignment="1">
      <alignment horizontal="center" vertical="center" wrapText="1"/>
    </xf>
    <xf numFmtId="0" fontId="6" fillId="16" borderId="8" xfId="0" quotePrefix="1"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16" borderId="2"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20" fillId="16" borderId="0" xfId="0" applyFont="1" applyFill="1" applyAlignment="1">
      <alignment vertical="center" wrapText="1"/>
    </xf>
    <xf numFmtId="0" fontId="0" fillId="0" borderId="2" xfId="0" applyBorder="1" applyAlignment="1">
      <alignment horizontal="center" wrapText="1"/>
    </xf>
    <xf numFmtId="0" fontId="0" fillId="0" borderId="2" xfId="0" quotePrefix="1" applyBorder="1" applyAlignment="1">
      <alignment horizontal="center" wrapText="1"/>
    </xf>
    <xf numFmtId="0" fontId="0" fillId="0" borderId="3" xfId="0" quotePrefix="1" applyBorder="1" applyAlignment="1">
      <alignment horizontal="center" wrapText="1"/>
    </xf>
  </cellXfs>
  <cellStyles count="4">
    <cellStyle name="Hyperlink" xfId="3" builtinId="8"/>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colors>
    <mruColors>
      <color rgb="FFFFFF9A"/>
      <color rgb="FFC6E0B4"/>
      <color rgb="FFA9D08D"/>
      <color rgb="FFCEFD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hoenisch@ldeo.columbia.edu" TargetMode="External"/><Relationship Id="rId18" Type="http://schemas.openxmlformats.org/officeDocument/2006/relationships/hyperlink" Target="https://doi.org/10.1016/j.epsl.2005.04.02710.1126/science.1171477" TargetMode="External"/><Relationship Id="rId26" Type="http://schemas.openxmlformats.org/officeDocument/2006/relationships/hyperlink" Target="https://doi.org/10.1016/j.epsl.2005.04.02710.1126/science.1171477" TargetMode="External"/><Relationship Id="rId39" Type="http://schemas.openxmlformats.org/officeDocument/2006/relationships/hyperlink" Target="https://doi.org/10.1016/j.epsl.2005.04.02710.1126/science.1171477" TargetMode="External"/><Relationship Id="rId21" Type="http://schemas.openxmlformats.org/officeDocument/2006/relationships/hyperlink" Target="https://doi.org/10.1016/j.epsl.2005.04.02710.1126/science.1171477" TargetMode="External"/><Relationship Id="rId34" Type="http://schemas.openxmlformats.org/officeDocument/2006/relationships/hyperlink" Target="https://doi.org/10.1016/j.epsl.2005.04.02710.1126/science.1171477" TargetMode="External"/><Relationship Id="rId42" Type="http://schemas.openxmlformats.org/officeDocument/2006/relationships/hyperlink" Target="https://doi.org/10.1016/j.epsl.2005.04.02710.1126/science.1171477" TargetMode="External"/><Relationship Id="rId47" Type="http://schemas.openxmlformats.org/officeDocument/2006/relationships/hyperlink" Target="https://doi.org/10.1016/j.epsl.2005.04.02710.1126/science.1171477" TargetMode="External"/><Relationship Id="rId7" Type="http://schemas.openxmlformats.org/officeDocument/2006/relationships/hyperlink" Target="mailto:hoenisch@ldeo.columbia.edu" TargetMode="External"/><Relationship Id="rId2" Type="http://schemas.openxmlformats.org/officeDocument/2006/relationships/hyperlink" Target="mailto:hoenisch@ldeo.columbia.edu" TargetMode="External"/><Relationship Id="rId16" Type="http://schemas.openxmlformats.org/officeDocument/2006/relationships/hyperlink" Target="mailto:hoenisch@ldeo.columbia.edu" TargetMode="External"/><Relationship Id="rId29" Type="http://schemas.openxmlformats.org/officeDocument/2006/relationships/hyperlink" Target="https://doi.org/10.1016/j.epsl.2005.04.02710.1126/science.1171477" TargetMode="External"/><Relationship Id="rId1" Type="http://schemas.openxmlformats.org/officeDocument/2006/relationships/hyperlink" Target="mailto:hoenisch@ldeo.columbia.edu" TargetMode="External"/><Relationship Id="rId6" Type="http://schemas.openxmlformats.org/officeDocument/2006/relationships/hyperlink" Target="mailto:hoenisch@ldeo.columbia.edu" TargetMode="External"/><Relationship Id="rId11" Type="http://schemas.openxmlformats.org/officeDocument/2006/relationships/hyperlink" Target="mailto:hoenisch@ldeo.columbia.edu" TargetMode="External"/><Relationship Id="rId24" Type="http://schemas.openxmlformats.org/officeDocument/2006/relationships/hyperlink" Target="https://doi.org/10.1016/j.epsl.2005.04.02710.1126/science.1171477" TargetMode="External"/><Relationship Id="rId32" Type="http://schemas.openxmlformats.org/officeDocument/2006/relationships/hyperlink" Target="https://doi.org/10.1016/j.epsl.2005.04.02710.1126/science.1171477" TargetMode="External"/><Relationship Id="rId37" Type="http://schemas.openxmlformats.org/officeDocument/2006/relationships/hyperlink" Target="https://doi.org/10.1016/j.epsl.2005.04.02710.1126/science.1171477" TargetMode="External"/><Relationship Id="rId40" Type="http://schemas.openxmlformats.org/officeDocument/2006/relationships/hyperlink" Target="https://doi.org/10.1016/j.epsl.2005.04.02710.1126/science.1171477" TargetMode="External"/><Relationship Id="rId45" Type="http://schemas.openxmlformats.org/officeDocument/2006/relationships/hyperlink" Target="https://doi.org/10.1016/j.epsl.2005.04.02710.1126/science.1171477" TargetMode="External"/><Relationship Id="rId5" Type="http://schemas.openxmlformats.org/officeDocument/2006/relationships/hyperlink" Target="mailto:hoenisch@ldeo.columbia.edu" TargetMode="External"/><Relationship Id="rId15" Type="http://schemas.openxmlformats.org/officeDocument/2006/relationships/hyperlink" Target="mailto:hoenisch@ldeo.columbia.edu" TargetMode="External"/><Relationship Id="rId23" Type="http://schemas.openxmlformats.org/officeDocument/2006/relationships/hyperlink" Target="https://doi.org/10.1016/j.epsl.2005.04.02710.1126/science.1171477" TargetMode="External"/><Relationship Id="rId28" Type="http://schemas.openxmlformats.org/officeDocument/2006/relationships/hyperlink" Target="https://doi.org/10.1016/j.epsl.2005.04.02710.1126/science.1171477" TargetMode="External"/><Relationship Id="rId36" Type="http://schemas.openxmlformats.org/officeDocument/2006/relationships/hyperlink" Target="https://doi.org/10.1016/j.epsl.2005.04.02710.1126/science.1171477" TargetMode="External"/><Relationship Id="rId10" Type="http://schemas.openxmlformats.org/officeDocument/2006/relationships/hyperlink" Target="mailto:hoenisch@ldeo.columbia.edu" TargetMode="External"/><Relationship Id="rId19" Type="http://schemas.openxmlformats.org/officeDocument/2006/relationships/hyperlink" Target="https://doi.org/10.1016/j.epsl.2005.04.02710.1126/science.1171477" TargetMode="External"/><Relationship Id="rId31" Type="http://schemas.openxmlformats.org/officeDocument/2006/relationships/hyperlink" Target="https://doi.org/10.1016/j.epsl.2005.04.02710.1126/science.1171477" TargetMode="External"/><Relationship Id="rId44" Type="http://schemas.openxmlformats.org/officeDocument/2006/relationships/hyperlink" Target="https://doi.org/10.1016/j.epsl.2005.04.02710.1126/science.1171477" TargetMode="External"/><Relationship Id="rId4" Type="http://schemas.openxmlformats.org/officeDocument/2006/relationships/hyperlink" Target="mailto:hoenisch@ldeo.columbia.edu" TargetMode="External"/><Relationship Id="rId9" Type="http://schemas.openxmlformats.org/officeDocument/2006/relationships/hyperlink" Target="mailto:hoenisch@ldeo.columbia.edu" TargetMode="External"/><Relationship Id="rId14" Type="http://schemas.openxmlformats.org/officeDocument/2006/relationships/hyperlink" Target="mailto:hoenisch@ldeo.columbia.edu" TargetMode="External"/><Relationship Id="rId22" Type="http://schemas.openxmlformats.org/officeDocument/2006/relationships/hyperlink" Target="https://doi.org/10.1016/j.epsl.2005.04.02710.1126/science.1171477" TargetMode="External"/><Relationship Id="rId27" Type="http://schemas.openxmlformats.org/officeDocument/2006/relationships/hyperlink" Target="https://doi.org/10.1016/j.epsl.2005.04.02710.1126/science.1171477" TargetMode="External"/><Relationship Id="rId30" Type="http://schemas.openxmlformats.org/officeDocument/2006/relationships/hyperlink" Target="https://doi.org/10.1016/j.epsl.2005.04.02710.1126/science.1171477" TargetMode="External"/><Relationship Id="rId35" Type="http://schemas.openxmlformats.org/officeDocument/2006/relationships/hyperlink" Target="https://doi.org/10.1016/j.epsl.2005.04.02710.1126/science.1171477" TargetMode="External"/><Relationship Id="rId43" Type="http://schemas.openxmlformats.org/officeDocument/2006/relationships/hyperlink" Target="https://doi.org/10.1016/j.epsl.2005.04.02710.1126/science.1171477" TargetMode="External"/><Relationship Id="rId48" Type="http://schemas.openxmlformats.org/officeDocument/2006/relationships/hyperlink" Target="https://doi.org/10.1016/j.epsl.2005.04.02710.1126/science.1171477" TargetMode="External"/><Relationship Id="rId8" Type="http://schemas.openxmlformats.org/officeDocument/2006/relationships/hyperlink" Target="mailto:hoenisch@ldeo.columbia.edu" TargetMode="External"/><Relationship Id="rId3" Type="http://schemas.openxmlformats.org/officeDocument/2006/relationships/hyperlink" Target="mailto:hoenisch@ldeo.columbia.edu" TargetMode="External"/><Relationship Id="rId12" Type="http://schemas.openxmlformats.org/officeDocument/2006/relationships/hyperlink" Target="mailto:hoenisch@ldeo.columbia.edu" TargetMode="External"/><Relationship Id="rId17" Type="http://schemas.openxmlformats.org/officeDocument/2006/relationships/hyperlink" Target="https://doi.org/10.1016/j.epsl.2005.04.02710.1126/science.1171477" TargetMode="External"/><Relationship Id="rId25" Type="http://schemas.openxmlformats.org/officeDocument/2006/relationships/hyperlink" Target="https://doi.org/10.1016/j.epsl.2005.04.02710.1126/science.1171477" TargetMode="External"/><Relationship Id="rId33" Type="http://schemas.openxmlformats.org/officeDocument/2006/relationships/hyperlink" Target="https://doi.org/10.1016/j.epsl.2005.04.02710.1126/science.1171477" TargetMode="External"/><Relationship Id="rId38" Type="http://schemas.openxmlformats.org/officeDocument/2006/relationships/hyperlink" Target="https://doi.org/10.1016/j.epsl.2005.04.02710.1126/science.1171477" TargetMode="External"/><Relationship Id="rId46" Type="http://schemas.openxmlformats.org/officeDocument/2006/relationships/hyperlink" Target="https://doi.org/10.1016/j.epsl.2005.04.02710.1126/science.1171477" TargetMode="External"/><Relationship Id="rId20" Type="http://schemas.openxmlformats.org/officeDocument/2006/relationships/hyperlink" Target="https://doi.org/10.1016/j.epsl.2005.04.02710.1126/science.1171477" TargetMode="External"/><Relationship Id="rId41" Type="http://schemas.openxmlformats.org/officeDocument/2006/relationships/hyperlink" Target="https://doi.org/10.1016/j.epsl.2005.04.02710.1126/science.11714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I20"/>
  <sheetViews>
    <sheetView tabSelected="1" topLeftCell="AC3" workbookViewId="0">
      <selection activeCell="AK4" sqref="AK4:AK19"/>
    </sheetView>
  </sheetViews>
  <sheetFormatPr baseColWidth="10" defaultColWidth="11" defaultRowHeight="16"/>
  <cols>
    <col min="11" max="11" width="14.1640625" customWidth="1"/>
    <col min="12" max="12" width="25.6640625" customWidth="1"/>
    <col min="13" max="13" width="16" style="1" customWidth="1"/>
    <col min="14" max="14" width="22.33203125" customWidth="1"/>
    <col min="24" max="24" width="23" customWidth="1"/>
    <col min="33" max="33" width="12.6640625" bestFit="1" customWidth="1"/>
    <col min="34" max="34" width="13.33203125" customWidth="1"/>
    <col min="35" max="36" width="14.33203125" customWidth="1"/>
    <col min="38" max="38" width="16.33203125" customWidth="1"/>
    <col min="39" max="39" width="13.5" customWidth="1"/>
    <col min="47" max="47" width="13.5" customWidth="1"/>
    <col min="48" max="48" width="13.83203125" customWidth="1"/>
    <col min="49" max="49" width="14.1640625" customWidth="1"/>
    <col min="50" max="50" width="16.6640625" customWidth="1"/>
    <col min="52" max="52" width="12.83203125" customWidth="1"/>
    <col min="54" max="56" width="16.33203125" customWidth="1"/>
    <col min="57" max="57" width="14.33203125" customWidth="1"/>
    <col min="58" max="58" width="14.5" customWidth="1"/>
    <col min="59" max="59" width="16.5" customWidth="1"/>
    <col min="61" max="61" width="14.5" customWidth="1"/>
    <col min="62" max="62" width="14.1640625" customWidth="1"/>
    <col min="64" max="64" width="14" customWidth="1"/>
    <col min="65" max="65" width="13.83203125" customWidth="1"/>
    <col min="66" max="66" width="13.1640625" customWidth="1"/>
    <col min="69" max="69" width="13.6640625" customWidth="1"/>
    <col min="70" max="70" width="12.83203125" customWidth="1"/>
    <col min="71" max="71" width="14.83203125" customWidth="1"/>
    <col min="72" max="72" width="13.1640625" customWidth="1"/>
    <col min="74" max="74" width="15.1640625" customWidth="1"/>
    <col min="75" max="75" width="15.83203125" customWidth="1"/>
    <col min="76" max="76" width="15.6640625" customWidth="1"/>
    <col min="77" max="77" width="16.6640625" customWidth="1"/>
    <col min="78" max="79" width="14.5" customWidth="1"/>
    <col min="81" max="81" width="15.83203125" customWidth="1"/>
    <col min="82" max="82" width="15.6640625" customWidth="1"/>
    <col min="83" max="84" width="16" customWidth="1"/>
    <col min="85" max="85" width="15.5" customWidth="1"/>
    <col min="86" max="86" width="14" customWidth="1"/>
    <col min="90" max="90" width="15" customWidth="1"/>
    <col min="91" max="91" width="12.6640625" customWidth="1"/>
    <col min="95" max="95" width="12.83203125" customWidth="1"/>
    <col min="102" max="102" width="13.1640625" customWidth="1"/>
    <col min="103" max="103" width="13.83203125" customWidth="1"/>
    <col min="116" max="116" width="14.5" customWidth="1"/>
    <col min="117" max="117" width="13.83203125" customWidth="1"/>
    <col min="118" max="118" width="15" customWidth="1"/>
    <col min="120" max="121" width="15.33203125" customWidth="1"/>
    <col min="123" max="123" width="14.1640625" customWidth="1"/>
    <col min="126" max="126" width="14.33203125" customWidth="1"/>
    <col min="127" max="128" width="13.83203125" customWidth="1"/>
    <col min="129" max="129" width="15.1640625" customWidth="1"/>
    <col min="130" max="130" width="14.6640625" customWidth="1"/>
    <col min="131" max="131" width="15" customWidth="1"/>
    <col min="132" max="132" width="13.33203125" customWidth="1"/>
    <col min="136" max="136" width="14.83203125" customWidth="1"/>
    <col min="137" max="137" width="14.6640625" customWidth="1"/>
    <col min="138" max="138" width="13.83203125" customWidth="1"/>
    <col min="139" max="139" width="15" customWidth="1"/>
    <col min="140" max="140" width="14.33203125" customWidth="1"/>
    <col min="142" max="142" width="15.33203125" customWidth="1"/>
    <col min="143" max="144" width="15" customWidth="1"/>
    <col min="145" max="145" width="14.83203125" customWidth="1"/>
    <col min="146" max="147" width="14.6640625" customWidth="1"/>
    <col min="148" max="148" width="15.1640625" customWidth="1"/>
    <col min="151" max="151" width="14.33203125" customWidth="1"/>
    <col min="152" max="152" width="15" customWidth="1"/>
    <col min="154" max="154" width="15.5" customWidth="1"/>
    <col min="155" max="155" width="15.1640625" customWidth="1"/>
    <col min="156" max="156" width="15.33203125" customWidth="1"/>
    <col min="157" max="158" width="13.83203125" customWidth="1"/>
    <col min="159" max="159" width="14.6640625" customWidth="1"/>
    <col min="160" max="160" width="17" customWidth="1"/>
    <col min="161" max="161" width="13.1640625" customWidth="1"/>
    <col min="162" max="163" width="14" customWidth="1"/>
    <col min="164" max="164" width="13.6640625" customWidth="1"/>
    <col min="167" max="167" width="13.1640625" customWidth="1"/>
    <col min="168" max="169" width="13.83203125" customWidth="1"/>
    <col min="170" max="170" width="16" customWidth="1"/>
    <col min="171" max="172" width="15.5" customWidth="1"/>
    <col min="173" max="173" width="20.5" customWidth="1"/>
  </cols>
  <sheetData>
    <row r="1" spans="1:191" ht="18">
      <c r="A1" s="110" t="s">
        <v>119</v>
      </c>
      <c r="B1" s="111"/>
      <c r="C1" s="111"/>
      <c r="D1" s="111"/>
      <c r="E1" s="111"/>
      <c r="F1" s="111"/>
      <c r="G1" s="111"/>
      <c r="H1" s="111"/>
      <c r="I1" s="111"/>
      <c r="J1" s="112"/>
      <c r="K1" s="2" t="s">
        <v>1</v>
      </c>
      <c r="L1" s="3"/>
      <c r="M1" s="4"/>
      <c r="N1" s="5"/>
      <c r="O1" s="6" t="s">
        <v>2</v>
      </c>
      <c r="P1" s="7"/>
      <c r="Q1" s="7"/>
      <c r="R1" s="7"/>
      <c r="S1" s="7"/>
      <c r="T1" s="7"/>
      <c r="U1" s="8"/>
      <c r="V1" s="9"/>
      <c r="W1" s="8"/>
      <c r="X1" s="7"/>
      <c r="Y1" s="7"/>
      <c r="Z1" s="7"/>
      <c r="AA1" s="7"/>
      <c r="AB1" s="7"/>
      <c r="AC1" s="7"/>
      <c r="AD1" s="7"/>
      <c r="AE1" s="7"/>
      <c r="AF1" s="7"/>
      <c r="AG1" s="10" t="s">
        <v>3</v>
      </c>
      <c r="AH1" s="11"/>
      <c r="AI1" s="12"/>
      <c r="AJ1" s="12"/>
      <c r="AK1" s="13"/>
      <c r="AL1" s="13"/>
      <c r="AM1" s="13"/>
      <c r="AN1" s="14"/>
      <c r="AO1" s="13"/>
      <c r="AP1" s="13"/>
      <c r="AQ1" s="13"/>
      <c r="AR1" s="13"/>
      <c r="AS1" s="13"/>
      <c r="AT1" s="13"/>
      <c r="AU1" s="15" t="s">
        <v>4</v>
      </c>
      <c r="AV1" s="16"/>
      <c r="AW1" s="16"/>
      <c r="AX1" s="16"/>
      <c r="AY1" s="16"/>
      <c r="AZ1" s="16"/>
      <c r="BA1" s="16"/>
      <c r="BB1" s="17"/>
      <c r="BC1" s="18"/>
      <c r="BD1" s="18"/>
      <c r="BE1" s="18"/>
      <c r="BF1" s="19"/>
      <c r="BG1" s="20"/>
      <c r="BH1" s="21" t="s">
        <v>5</v>
      </c>
      <c r="BI1" s="22"/>
      <c r="BJ1" s="22"/>
      <c r="BK1" s="22"/>
      <c r="BL1" s="22"/>
      <c r="BM1" s="22"/>
      <c r="BN1" s="22"/>
      <c r="BO1" s="23"/>
      <c r="BP1" s="24" t="s">
        <v>6</v>
      </c>
      <c r="BQ1" s="24"/>
      <c r="BR1" s="25"/>
      <c r="BS1" s="25"/>
      <c r="BT1" s="25"/>
      <c r="BU1" s="26" t="s">
        <v>7</v>
      </c>
      <c r="BV1" s="27"/>
      <c r="BW1" s="27"/>
      <c r="BX1" s="26"/>
      <c r="BY1" s="29"/>
      <c r="BZ1" s="29"/>
      <c r="CA1" s="30"/>
      <c r="CB1" s="29" t="s">
        <v>8</v>
      </c>
      <c r="CC1" s="31"/>
      <c r="CD1" s="29"/>
      <c r="CE1" s="29"/>
      <c r="CF1" s="29"/>
      <c r="CG1" s="29"/>
      <c r="CH1" s="29"/>
      <c r="CI1" s="29"/>
      <c r="CJ1" s="29"/>
      <c r="CK1" s="29"/>
      <c r="CL1" s="29"/>
      <c r="CM1" s="29"/>
      <c r="CN1" s="26" t="s">
        <v>9</v>
      </c>
      <c r="CO1" s="29"/>
      <c r="CP1" s="29"/>
      <c r="CQ1" s="29"/>
      <c r="CR1" s="29"/>
      <c r="CS1" s="29"/>
      <c r="CT1" s="30"/>
      <c r="CU1" s="27" t="s">
        <v>10</v>
      </c>
      <c r="CV1" s="27"/>
      <c r="CW1" s="27"/>
      <c r="CX1" s="27"/>
      <c r="CY1" s="27"/>
      <c r="CZ1" s="27"/>
      <c r="DA1" s="27"/>
      <c r="DB1" s="27"/>
      <c r="DC1" s="27"/>
      <c r="DD1" s="27"/>
      <c r="DE1" s="27"/>
      <c r="DF1" s="27"/>
      <c r="DG1" s="27"/>
      <c r="DH1" s="27"/>
      <c r="DI1" s="27"/>
      <c r="DJ1" s="27"/>
      <c r="DK1" s="27"/>
      <c r="DL1" s="27"/>
      <c r="DM1" s="27"/>
      <c r="DN1" s="27"/>
      <c r="DO1" s="32"/>
      <c r="DP1" s="29"/>
      <c r="DQ1" s="29"/>
      <c r="DR1" s="30"/>
      <c r="DS1" s="27"/>
      <c r="DT1" s="27"/>
      <c r="DU1" s="33" t="s">
        <v>11</v>
      </c>
      <c r="DV1" s="27"/>
      <c r="DW1" s="27"/>
      <c r="DX1" s="27"/>
      <c r="DY1" s="27"/>
      <c r="DZ1" s="28"/>
      <c r="EA1" s="33" t="s">
        <v>12</v>
      </c>
      <c r="EB1" s="27"/>
      <c r="EC1" s="27"/>
      <c r="ED1" s="27"/>
      <c r="EE1" s="27"/>
      <c r="EF1" s="34"/>
      <c r="EG1" s="63"/>
      <c r="EH1" s="35" t="s">
        <v>13</v>
      </c>
      <c r="EI1" s="35"/>
      <c r="EJ1" s="35"/>
      <c r="EK1" s="35"/>
      <c r="EL1" s="35"/>
      <c r="EM1" s="35"/>
      <c r="EN1" s="35"/>
      <c r="EO1" s="35"/>
      <c r="EP1" s="35"/>
      <c r="EQ1" s="35"/>
      <c r="ER1" s="35"/>
      <c r="ES1" s="36" t="s">
        <v>14</v>
      </c>
      <c r="ET1" s="37"/>
      <c r="EU1" s="37"/>
      <c r="EV1" s="37"/>
      <c r="EW1" s="38"/>
      <c r="EX1" s="38"/>
      <c r="EY1" s="38"/>
      <c r="EZ1" s="38"/>
      <c r="FA1" s="37"/>
      <c r="FB1" s="37"/>
      <c r="FC1" s="37"/>
      <c r="FD1" s="37"/>
      <c r="FE1" s="36"/>
      <c r="FF1" s="37"/>
      <c r="FG1" s="37"/>
      <c r="FH1" s="37"/>
      <c r="FI1" s="37"/>
      <c r="FJ1" s="37"/>
      <c r="FK1" s="7"/>
      <c r="FL1" s="7"/>
      <c r="FM1" s="7"/>
      <c r="FN1" s="7"/>
      <c r="FO1" s="7"/>
      <c r="FP1" s="7"/>
      <c r="FQ1" s="39"/>
    </row>
    <row r="2" spans="1:191" ht="20">
      <c r="A2" s="113"/>
      <c r="B2" s="41"/>
      <c r="C2" s="41"/>
      <c r="D2" s="41"/>
      <c r="E2" s="41"/>
      <c r="F2" s="41"/>
      <c r="G2" s="41"/>
      <c r="H2" s="41"/>
      <c r="I2" s="41"/>
      <c r="J2" s="43"/>
      <c r="K2" s="40"/>
      <c r="L2" s="41"/>
      <c r="M2" s="42"/>
      <c r="N2" s="43"/>
      <c r="O2" s="44"/>
      <c r="P2" s="44"/>
      <c r="Q2" s="44"/>
      <c r="R2" s="44"/>
      <c r="S2" s="44"/>
      <c r="T2" s="44"/>
      <c r="U2" s="45"/>
      <c r="V2" s="46"/>
      <c r="W2" s="45"/>
      <c r="X2" s="44"/>
      <c r="Y2" s="44"/>
      <c r="Z2" s="44"/>
      <c r="AA2" s="44"/>
      <c r="AB2" s="44"/>
      <c r="AC2" s="44"/>
      <c r="AD2" s="44"/>
      <c r="AE2" s="44"/>
      <c r="AF2" s="44"/>
      <c r="AG2" s="47"/>
      <c r="AH2" s="11"/>
      <c r="AI2" s="12"/>
      <c r="AJ2" s="12"/>
      <c r="AK2" s="13"/>
      <c r="AL2" s="13"/>
      <c r="AM2" s="13"/>
      <c r="AN2" s="14" t="s">
        <v>15</v>
      </c>
      <c r="AO2" s="13"/>
      <c r="AP2" s="13"/>
      <c r="AQ2" s="13"/>
      <c r="AR2" s="13"/>
      <c r="AS2" s="13"/>
      <c r="AT2" s="13"/>
      <c r="AU2" s="17"/>
      <c r="AV2" s="18"/>
      <c r="AW2" s="16"/>
      <c r="AX2" s="16"/>
      <c r="AY2" s="16"/>
      <c r="AZ2" s="16"/>
      <c r="BA2" s="18"/>
      <c r="BB2" s="48" t="s">
        <v>16</v>
      </c>
      <c r="BC2" s="125"/>
      <c r="BD2" s="125"/>
      <c r="BE2" s="18"/>
      <c r="BF2" s="19"/>
      <c r="BG2" s="20"/>
      <c r="BH2" s="49" t="s">
        <v>17</v>
      </c>
      <c r="BI2" s="50"/>
      <c r="BJ2" s="50"/>
      <c r="BK2" s="51" t="s">
        <v>18</v>
      </c>
      <c r="BL2" s="52"/>
      <c r="BM2" s="53"/>
      <c r="BN2" s="53"/>
      <c r="BO2" s="54"/>
      <c r="BP2" s="55"/>
      <c r="BQ2" s="55"/>
      <c r="BR2" s="22"/>
      <c r="BS2" s="22"/>
      <c r="BT2" s="22"/>
      <c r="BU2" s="56" t="s">
        <v>19</v>
      </c>
      <c r="BV2" s="57"/>
      <c r="BW2" s="57"/>
      <c r="BX2" s="26" t="s">
        <v>20</v>
      </c>
      <c r="BY2" s="29"/>
      <c r="BZ2" s="29"/>
      <c r="CA2" s="30"/>
      <c r="CB2" s="120" t="s">
        <v>21</v>
      </c>
      <c r="CC2" s="59"/>
      <c r="CD2" s="58"/>
      <c r="CE2" s="58"/>
      <c r="CF2" s="58"/>
      <c r="CG2" s="58"/>
      <c r="CH2" s="58"/>
      <c r="CI2" s="58"/>
      <c r="CJ2" s="58"/>
      <c r="CK2" s="58"/>
      <c r="CL2" s="58"/>
      <c r="CM2" s="58"/>
      <c r="CN2" s="26" t="s">
        <v>22</v>
      </c>
      <c r="CO2" s="31"/>
      <c r="CP2" s="29"/>
      <c r="CQ2" s="29"/>
      <c r="CR2" s="29"/>
      <c r="CS2" s="29"/>
      <c r="CT2" s="30"/>
      <c r="CU2" s="57" t="s">
        <v>23</v>
      </c>
      <c r="CV2" s="57"/>
      <c r="CW2" s="57"/>
      <c r="CX2" s="57"/>
      <c r="CY2" s="60" t="s">
        <v>24</v>
      </c>
      <c r="CZ2" s="61"/>
      <c r="DA2" s="61"/>
      <c r="DB2" s="62"/>
      <c r="DC2" s="60" t="s">
        <v>25</v>
      </c>
      <c r="DD2" s="34"/>
      <c r="DE2" s="34"/>
      <c r="DF2" s="63"/>
      <c r="DG2" s="64" t="s">
        <v>26</v>
      </c>
      <c r="DH2" s="34"/>
      <c r="DI2" s="34"/>
      <c r="DJ2" s="63"/>
      <c r="DK2" s="65" t="s">
        <v>27</v>
      </c>
      <c r="DL2" s="66"/>
      <c r="DM2" s="57"/>
      <c r="DN2" s="57"/>
      <c r="DO2" s="67" t="s">
        <v>28</v>
      </c>
      <c r="DP2" s="58"/>
      <c r="DQ2" s="58"/>
      <c r="DR2" s="68"/>
      <c r="DS2" s="57" t="s">
        <v>29</v>
      </c>
      <c r="DT2" s="57"/>
      <c r="DU2" s="69" t="s">
        <v>30</v>
      </c>
      <c r="DV2" s="70"/>
      <c r="DW2" s="70"/>
      <c r="DX2" s="70"/>
      <c r="DY2" s="57"/>
      <c r="DZ2" s="57"/>
      <c r="EA2" s="71"/>
      <c r="EB2" s="57"/>
      <c r="EC2" s="57"/>
      <c r="ED2" s="57"/>
      <c r="EE2" s="34"/>
      <c r="EF2" s="56" t="s">
        <v>31</v>
      </c>
      <c r="EG2" s="28"/>
      <c r="EH2" s="35"/>
      <c r="EI2" s="35"/>
      <c r="EJ2" s="35"/>
      <c r="EK2" s="72"/>
      <c r="EL2" s="72"/>
      <c r="EM2" s="72"/>
      <c r="EN2" s="72"/>
      <c r="EO2" s="73"/>
      <c r="EP2" s="73"/>
      <c r="EQ2" s="73"/>
      <c r="ER2" s="73"/>
      <c r="ES2" s="74"/>
      <c r="ET2" s="44"/>
      <c r="EU2" s="44"/>
      <c r="EV2" s="44"/>
      <c r="EW2" s="44"/>
      <c r="EX2" s="44"/>
      <c r="EY2" s="44"/>
      <c r="EZ2" s="44"/>
      <c r="FA2" s="44"/>
      <c r="FB2" s="44"/>
      <c r="FC2" s="44"/>
      <c r="FD2" s="44"/>
      <c r="FE2" s="6"/>
      <c r="FF2" s="7"/>
      <c r="FG2" s="7"/>
      <c r="FH2" s="7"/>
      <c r="FI2" s="7"/>
      <c r="FJ2" s="7"/>
      <c r="FK2" s="7"/>
      <c r="FL2" s="7"/>
      <c r="FM2" s="7"/>
      <c r="FN2" s="7"/>
      <c r="FO2" s="7"/>
      <c r="FP2" s="44"/>
      <c r="FQ2" s="75"/>
    </row>
    <row r="3" spans="1:191" ht="238">
      <c r="A3" s="114" t="s">
        <v>120</v>
      </c>
      <c r="B3" s="115" t="s">
        <v>121</v>
      </c>
      <c r="C3" s="115" t="s">
        <v>122</v>
      </c>
      <c r="D3" s="3" t="s">
        <v>123</v>
      </c>
      <c r="E3" s="3" t="s">
        <v>124</v>
      </c>
      <c r="F3" s="116" t="s">
        <v>125</v>
      </c>
      <c r="G3" s="116" t="s">
        <v>126</v>
      </c>
      <c r="H3" s="173" t="s">
        <v>330</v>
      </c>
      <c r="I3" s="174" t="s">
        <v>331</v>
      </c>
      <c r="J3" s="175" t="s">
        <v>332</v>
      </c>
      <c r="K3" s="76" t="s">
        <v>32</v>
      </c>
      <c r="L3" s="77" t="s">
        <v>33</v>
      </c>
      <c r="M3" s="77" t="s">
        <v>34</v>
      </c>
      <c r="N3" s="78" t="s">
        <v>35</v>
      </c>
      <c r="O3" s="79" t="s">
        <v>36</v>
      </c>
      <c r="P3" s="79" t="s">
        <v>37</v>
      </c>
      <c r="Q3" s="79" t="s">
        <v>38</v>
      </c>
      <c r="R3" s="79" t="s">
        <v>39</v>
      </c>
      <c r="S3" s="79" t="s">
        <v>40</v>
      </c>
      <c r="T3" s="79" t="s">
        <v>41</v>
      </c>
      <c r="U3" s="79" t="s">
        <v>42</v>
      </c>
      <c r="V3" s="80" t="s">
        <v>43</v>
      </c>
      <c r="W3" s="79" t="s">
        <v>44</v>
      </c>
      <c r="X3" s="79" t="s">
        <v>45</v>
      </c>
      <c r="Y3" s="79" t="s">
        <v>46</v>
      </c>
      <c r="Z3" s="79" t="s">
        <v>47</v>
      </c>
      <c r="AA3" s="79" t="s">
        <v>48</v>
      </c>
      <c r="AB3" s="79" t="s">
        <v>49</v>
      </c>
      <c r="AC3" s="79" t="s">
        <v>50</v>
      </c>
      <c r="AD3" s="79" t="s">
        <v>51</v>
      </c>
      <c r="AE3" s="79" t="s">
        <v>52</v>
      </c>
      <c r="AF3" s="79" t="s">
        <v>53</v>
      </c>
      <c r="AG3" s="81" t="s">
        <v>131</v>
      </c>
      <c r="AH3" s="82" t="s">
        <v>54</v>
      </c>
      <c r="AI3" s="118" t="s">
        <v>132</v>
      </c>
      <c r="AJ3" s="118" t="s">
        <v>133</v>
      </c>
      <c r="AK3" s="83" t="s">
        <v>55</v>
      </c>
      <c r="AL3" s="83" t="s">
        <v>56</v>
      </c>
      <c r="AM3" s="84" t="s">
        <v>57</v>
      </c>
      <c r="AN3" s="81" t="s">
        <v>131</v>
      </c>
      <c r="AO3" s="82" t="s">
        <v>54</v>
      </c>
      <c r="AP3" s="118" t="s">
        <v>132</v>
      </c>
      <c r="AQ3" s="118" t="s">
        <v>133</v>
      </c>
      <c r="AR3" s="83" t="s">
        <v>55</v>
      </c>
      <c r="AS3" s="83" t="s">
        <v>56</v>
      </c>
      <c r="AT3" s="83" t="s">
        <v>57</v>
      </c>
      <c r="AU3" s="85" t="s">
        <v>58</v>
      </c>
      <c r="AV3" s="86" t="s">
        <v>59</v>
      </c>
      <c r="AW3" s="86" t="s">
        <v>60</v>
      </c>
      <c r="AX3" s="86" t="s">
        <v>61</v>
      </c>
      <c r="AY3" s="86" t="s">
        <v>62</v>
      </c>
      <c r="AZ3" s="86" t="s">
        <v>63</v>
      </c>
      <c r="BA3" s="86" t="s">
        <v>64</v>
      </c>
      <c r="BB3" s="117" t="s">
        <v>127</v>
      </c>
      <c r="BC3" s="126" t="s">
        <v>311</v>
      </c>
      <c r="BD3" s="126" t="s">
        <v>312</v>
      </c>
      <c r="BE3" s="87" t="s">
        <v>65</v>
      </c>
      <c r="BF3" s="88" t="s">
        <v>66</v>
      </c>
      <c r="BG3" s="88" t="s">
        <v>67</v>
      </c>
      <c r="BH3" s="89" t="s">
        <v>68</v>
      </c>
      <c r="BI3" s="90" t="s">
        <v>69</v>
      </c>
      <c r="BJ3" s="91" t="s">
        <v>70</v>
      </c>
      <c r="BK3" s="92" t="s">
        <v>71</v>
      </c>
      <c r="BL3" s="93" t="s">
        <v>69</v>
      </c>
      <c r="BM3" s="94" t="s">
        <v>70</v>
      </c>
      <c r="BN3" s="53" t="s">
        <v>72</v>
      </c>
      <c r="BO3" s="54" t="s">
        <v>313</v>
      </c>
      <c r="BP3" s="94" t="s">
        <v>73</v>
      </c>
      <c r="BQ3" s="90" t="s">
        <v>69</v>
      </c>
      <c r="BR3" s="91" t="s">
        <v>70</v>
      </c>
      <c r="BS3" s="53" t="s">
        <v>329</v>
      </c>
      <c r="BT3" s="53" t="s">
        <v>74</v>
      </c>
      <c r="BU3" s="95" t="s">
        <v>75</v>
      </c>
      <c r="BV3" s="96" t="s">
        <v>54</v>
      </c>
      <c r="BW3" s="166" t="s">
        <v>139</v>
      </c>
      <c r="BX3" s="97" t="s">
        <v>76</v>
      </c>
      <c r="BY3" s="96" t="s">
        <v>54</v>
      </c>
      <c r="BZ3" s="119" t="s">
        <v>134</v>
      </c>
      <c r="CA3" s="121" t="s">
        <v>135</v>
      </c>
      <c r="CB3" s="98" t="s">
        <v>128</v>
      </c>
      <c r="CC3" s="97" t="s">
        <v>77</v>
      </c>
      <c r="CD3" s="96" t="s">
        <v>54</v>
      </c>
      <c r="CE3" s="119" t="s">
        <v>136</v>
      </c>
      <c r="CF3" s="121" t="s">
        <v>137</v>
      </c>
      <c r="CG3" s="98" t="s">
        <v>78</v>
      </c>
      <c r="CH3" s="98" t="s">
        <v>79</v>
      </c>
      <c r="CI3" s="98" t="s">
        <v>324</v>
      </c>
      <c r="CJ3" s="98" t="s">
        <v>325</v>
      </c>
      <c r="CK3" s="98" t="s">
        <v>80</v>
      </c>
      <c r="CL3" s="98" t="s">
        <v>81</v>
      </c>
      <c r="CM3" s="98" t="s">
        <v>82</v>
      </c>
      <c r="CN3" s="99" t="s">
        <v>129</v>
      </c>
      <c r="CO3" s="97" t="s">
        <v>83</v>
      </c>
      <c r="CP3" s="96" t="s">
        <v>54</v>
      </c>
      <c r="CQ3" s="96" t="s">
        <v>144</v>
      </c>
      <c r="CR3" s="98" t="s">
        <v>84</v>
      </c>
      <c r="CS3" s="98" t="s">
        <v>79</v>
      </c>
      <c r="CT3" s="98" t="s">
        <v>85</v>
      </c>
      <c r="CU3" s="95" t="s">
        <v>86</v>
      </c>
      <c r="CV3" s="96" t="s">
        <v>54</v>
      </c>
      <c r="CW3" s="96" t="s">
        <v>144</v>
      </c>
      <c r="CX3" s="100" t="s">
        <v>87</v>
      </c>
      <c r="CY3" s="97" t="s">
        <v>314</v>
      </c>
      <c r="CZ3" s="96" t="s">
        <v>54</v>
      </c>
      <c r="DA3" s="96" t="s">
        <v>144</v>
      </c>
      <c r="DB3" s="100" t="s">
        <v>88</v>
      </c>
      <c r="DC3" s="97" t="s">
        <v>315</v>
      </c>
      <c r="DD3" s="96" t="s">
        <v>54</v>
      </c>
      <c r="DE3" s="96" t="s">
        <v>144</v>
      </c>
      <c r="DF3" s="100" t="s">
        <v>89</v>
      </c>
      <c r="DG3" s="97" t="s">
        <v>316</v>
      </c>
      <c r="DH3" s="96" t="s">
        <v>54</v>
      </c>
      <c r="DI3" s="96" t="s">
        <v>144</v>
      </c>
      <c r="DJ3" s="100" t="s">
        <v>90</v>
      </c>
      <c r="DK3" s="97" t="s">
        <v>138</v>
      </c>
      <c r="DL3" s="96" t="s">
        <v>54</v>
      </c>
      <c r="DM3" s="96" t="s">
        <v>144</v>
      </c>
      <c r="DN3" s="101" t="s">
        <v>91</v>
      </c>
      <c r="DO3" s="95" t="s">
        <v>92</v>
      </c>
      <c r="DP3" s="96" t="s">
        <v>54</v>
      </c>
      <c r="DQ3" s="96" t="s">
        <v>144</v>
      </c>
      <c r="DR3" s="102" t="s">
        <v>93</v>
      </c>
      <c r="DS3" s="101" t="s">
        <v>94</v>
      </c>
      <c r="DT3" s="101" t="s">
        <v>95</v>
      </c>
      <c r="DU3" s="95" t="s">
        <v>96</v>
      </c>
      <c r="DV3" s="96" t="s">
        <v>54</v>
      </c>
      <c r="DW3" s="96" t="s">
        <v>144</v>
      </c>
      <c r="DX3" s="96" t="s">
        <v>309</v>
      </c>
      <c r="DY3" s="101" t="s">
        <v>97</v>
      </c>
      <c r="DZ3" s="100" t="s">
        <v>98</v>
      </c>
      <c r="EA3" s="98" t="s">
        <v>99</v>
      </c>
      <c r="EB3" s="101" t="s">
        <v>100</v>
      </c>
      <c r="EC3" s="101" t="s">
        <v>101</v>
      </c>
      <c r="ED3" s="101" t="s">
        <v>102</v>
      </c>
      <c r="EE3" s="103" t="s">
        <v>103</v>
      </c>
      <c r="EF3" s="104" t="s">
        <v>104</v>
      </c>
      <c r="EG3" s="101" t="s">
        <v>105</v>
      </c>
      <c r="EH3" s="170" t="s">
        <v>106</v>
      </c>
      <c r="EI3" s="171" t="s">
        <v>107</v>
      </c>
      <c r="EJ3" s="171" t="s">
        <v>108</v>
      </c>
      <c r="EK3" s="105" t="s">
        <v>130</v>
      </c>
      <c r="EL3" s="106" t="s">
        <v>54</v>
      </c>
      <c r="EM3" s="122" t="s">
        <v>322</v>
      </c>
      <c r="EN3" s="123" t="s">
        <v>323</v>
      </c>
      <c r="EO3" s="105" t="s">
        <v>109</v>
      </c>
      <c r="EP3" s="106" t="s">
        <v>54</v>
      </c>
      <c r="EQ3" s="122" t="s">
        <v>140</v>
      </c>
      <c r="ER3" s="123" t="s">
        <v>141</v>
      </c>
      <c r="ES3" s="107" t="s">
        <v>110</v>
      </c>
      <c r="ET3" s="79" t="s">
        <v>317</v>
      </c>
      <c r="EU3" s="124" t="s">
        <v>140</v>
      </c>
      <c r="EV3" s="124" t="s">
        <v>141</v>
      </c>
      <c r="EW3" s="79" t="s">
        <v>111</v>
      </c>
      <c r="EX3" s="79" t="s">
        <v>112</v>
      </c>
      <c r="EY3" s="79" t="s">
        <v>113</v>
      </c>
      <c r="EZ3" s="79" t="s">
        <v>114</v>
      </c>
      <c r="FA3" s="124" t="s">
        <v>142</v>
      </c>
      <c r="FB3" s="124" t="s">
        <v>143</v>
      </c>
      <c r="FC3" s="79" t="s">
        <v>115</v>
      </c>
      <c r="FD3" s="79" t="s">
        <v>116</v>
      </c>
      <c r="FE3" s="107" t="s">
        <v>318</v>
      </c>
      <c r="FF3" s="167" t="s">
        <v>302</v>
      </c>
      <c r="FG3" s="167" t="s">
        <v>303</v>
      </c>
      <c r="FH3" s="79" t="s">
        <v>117</v>
      </c>
      <c r="FI3" s="167" t="s">
        <v>304</v>
      </c>
      <c r="FJ3" s="167" t="s">
        <v>305</v>
      </c>
      <c r="FK3" s="168" t="s">
        <v>319</v>
      </c>
      <c r="FL3" s="168" t="s">
        <v>306</v>
      </c>
      <c r="FM3" s="168" t="s">
        <v>307</v>
      </c>
      <c r="FN3" s="168" t="s">
        <v>320</v>
      </c>
      <c r="FO3" s="169" t="s">
        <v>308</v>
      </c>
      <c r="FP3" s="172" t="s">
        <v>328</v>
      </c>
      <c r="FQ3" s="108" t="s">
        <v>118</v>
      </c>
      <c r="FR3" s="109"/>
      <c r="FS3" s="109"/>
      <c r="FT3" s="109"/>
      <c r="FU3" s="109"/>
      <c r="FV3" s="109"/>
      <c r="FW3" s="109"/>
      <c r="FX3" s="109"/>
      <c r="FY3" s="109"/>
      <c r="FZ3" s="109"/>
      <c r="GA3" s="109"/>
      <c r="GB3" s="109"/>
      <c r="GC3" s="109"/>
      <c r="GD3" s="109"/>
      <c r="GE3" s="109"/>
      <c r="GF3" s="109"/>
      <c r="GG3" s="109"/>
      <c r="GH3" s="109"/>
      <c r="GI3" s="109"/>
    </row>
    <row r="4" spans="1:191" ht="18">
      <c r="A4" s="132" t="s">
        <v>167</v>
      </c>
      <c r="B4" t="s">
        <v>168</v>
      </c>
      <c r="C4">
        <v>2005</v>
      </c>
      <c r="D4" s="133" t="s">
        <v>333</v>
      </c>
      <c r="E4" s="141">
        <f>AG4</f>
        <v>3.8330000000000002</v>
      </c>
      <c r="F4" s="135" t="s">
        <v>188</v>
      </c>
      <c r="G4" s="135" t="s">
        <v>188</v>
      </c>
      <c r="H4" s="135">
        <f t="shared" ref="H4:H19" si="0">EZ4</f>
        <v>281.5</v>
      </c>
      <c r="I4" s="135">
        <f t="shared" ref="I4:J4" si="1">FA4</f>
        <v>22.955346473116297</v>
      </c>
      <c r="J4" s="135">
        <f t="shared" si="1"/>
        <v>22.955346473116297</v>
      </c>
      <c r="K4" s="127" t="s">
        <v>145</v>
      </c>
      <c r="L4" s="128" t="s">
        <v>146</v>
      </c>
      <c r="M4" s="163" t="s">
        <v>147</v>
      </c>
      <c r="N4" s="133" t="s">
        <v>333</v>
      </c>
      <c r="O4" s="129" t="s">
        <v>148</v>
      </c>
      <c r="P4" s="129" t="s">
        <v>149</v>
      </c>
      <c r="Q4" s="129">
        <v>1</v>
      </c>
      <c r="R4" s="129">
        <v>1</v>
      </c>
      <c r="S4" s="129">
        <v>2</v>
      </c>
      <c r="T4" s="129">
        <v>4</v>
      </c>
      <c r="U4" s="129" t="s">
        <v>150</v>
      </c>
      <c r="V4" s="129" t="s">
        <v>188</v>
      </c>
      <c r="W4" s="129" t="s">
        <v>188</v>
      </c>
      <c r="X4" s="129" t="s">
        <v>169</v>
      </c>
      <c r="Y4" s="129">
        <v>4.7699999999999996</v>
      </c>
      <c r="Z4" s="129">
        <v>-20.93</v>
      </c>
      <c r="AA4" s="129" t="s">
        <v>188</v>
      </c>
      <c r="AB4" s="129" t="s">
        <v>188</v>
      </c>
      <c r="AC4" s="129">
        <v>-2693.5</v>
      </c>
      <c r="AD4" s="129" t="s">
        <v>188</v>
      </c>
      <c r="AE4" s="129" t="s">
        <v>188</v>
      </c>
      <c r="AF4" s="134" t="s">
        <v>170</v>
      </c>
      <c r="AG4" s="135">
        <v>3.8330000000000002</v>
      </c>
      <c r="AH4" s="136" t="s">
        <v>171</v>
      </c>
      <c r="AI4" s="129" t="s">
        <v>188</v>
      </c>
      <c r="AJ4" s="129" t="s">
        <v>188</v>
      </c>
      <c r="AK4" s="129" t="s">
        <v>188</v>
      </c>
      <c r="AL4" s="134" t="s">
        <v>172</v>
      </c>
      <c r="AM4" s="129" t="s">
        <v>188</v>
      </c>
      <c r="AN4" s="129" t="s">
        <v>188</v>
      </c>
      <c r="AO4" s="129" t="s">
        <v>188</v>
      </c>
      <c r="AP4" s="129" t="s">
        <v>188</v>
      </c>
      <c r="AQ4" s="129" t="s">
        <v>188</v>
      </c>
      <c r="AR4" s="129" t="s">
        <v>188</v>
      </c>
      <c r="AS4" s="129" t="s">
        <v>188</v>
      </c>
      <c r="AT4" s="129" t="s">
        <v>188</v>
      </c>
      <c r="AU4" s="134" t="s">
        <v>189</v>
      </c>
      <c r="AV4" s="136" t="s">
        <v>190</v>
      </c>
      <c r="AW4" s="1">
        <v>50</v>
      </c>
      <c r="AX4" s="1" t="s">
        <v>191</v>
      </c>
      <c r="AY4" s="134" t="s">
        <v>192</v>
      </c>
      <c r="AZ4" s="129" t="s">
        <v>151</v>
      </c>
      <c r="BA4" s="134" t="s">
        <v>193</v>
      </c>
      <c r="BB4" s="129" t="s">
        <v>194</v>
      </c>
      <c r="BC4">
        <v>3</v>
      </c>
      <c r="BD4" s="141">
        <v>2.9059326290271355E-2</v>
      </c>
      <c r="BE4" s="137">
        <v>20.9</v>
      </c>
      <c r="BF4" s="134" t="s">
        <v>195</v>
      </c>
      <c r="BG4" s="137">
        <v>0.33</v>
      </c>
      <c r="BH4" s="129" t="s">
        <v>188</v>
      </c>
      <c r="BI4" s="129" t="s">
        <v>188</v>
      </c>
      <c r="BJ4" s="136" t="s">
        <v>188</v>
      </c>
      <c r="BK4" s="143" t="s">
        <v>211</v>
      </c>
      <c r="BL4" s="129" t="s">
        <v>188</v>
      </c>
      <c r="BM4" s="129" t="s">
        <v>188</v>
      </c>
      <c r="BN4" s="134" t="s">
        <v>192</v>
      </c>
      <c r="BO4" s="134" t="s">
        <v>212</v>
      </c>
      <c r="BP4" t="s">
        <v>188</v>
      </c>
      <c r="BQ4" t="s">
        <v>188</v>
      </c>
      <c r="BR4" t="s">
        <v>188</v>
      </c>
      <c r="BS4" t="s">
        <v>188</v>
      </c>
      <c r="BT4" t="s">
        <v>213</v>
      </c>
      <c r="BU4">
        <v>50</v>
      </c>
      <c r="BV4" t="s">
        <v>188</v>
      </c>
      <c r="BW4" t="s">
        <v>188</v>
      </c>
      <c r="BX4" s="165">
        <f t="shared" ref="BX4:BX19" si="2">LN(CC4/0.38)/0.09+0.61*2.7</f>
        <v>25.797609258336831</v>
      </c>
      <c r="BY4" s="134" t="s">
        <v>214</v>
      </c>
      <c r="BZ4" s="145">
        <f>(LN((CC4*1.03)/0.38)/0.09+0.61*2.7)-BX4</f>
        <v>0.32843113601715501</v>
      </c>
      <c r="CA4" s="145">
        <f>BX4-(LN((CC4*0.97)/0.38)/0.09+0.61*2.7)</f>
        <v>0.33843563871898397</v>
      </c>
      <c r="CB4" s="134" t="s">
        <v>215</v>
      </c>
      <c r="CC4" s="129">
        <v>3.34</v>
      </c>
      <c r="CD4" s="144" t="s">
        <v>234</v>
      </c>
      <c r="CE4" s="146">
        <f>CC4*0.03</f>
        <v>0.1002</v>
      </c>
      <c r="CF4" s="134" t="s">
        <v>216</v>
      </c>
      <c r="CG4" s="134" t="s">
        <v>217</v>
      </c>
      <c r="CH4" s="129" t="s">
        <v>188</v>
      </c>
      <c r="CI4" s="134" t="s">
        <v>218</v>
      </c>
      <c r="CJ4" s="134"/>
      <c r="CK4" s="134" t="s">
        <v>188</v>
      </c>
      <c r="CL4" s="134" t="s">
        <v>217</v>
      </c>
      <c r="CM4" s="134" t="s">
        <v>188</v>
      </c>
      <c r="CN4" s="134" t="s">
        <v>188</v>
      </c>
      <c r="CO4" s="134" t="s">
        <v>188</v>
      </c>
      <c r="CP4" s="134" t="s">
        <v>188</v>
      </c>
      <c r="CQ4" s="134" t="s">
        <v>188</v>
      </c>
      <c r="CR4" s="134" t="s">
        <v>188</v>
      </c>
      <c r="CS4" s="134" t="s">
        <v>188</v>
      </c>
      <c r="CT4" s="134" t="s">
        <v>188</v>
      </c>
      <c r="CU4" s="149">
        <v>35.710806315789476</v>
      </c>
      <c r="CV4" s="151" t="s">
        <v>235</v>
      </c>
      <c r="CW4" s="129">
        <v>0.01</v>
      </c>
      <c r="CX4" s="134" t="s">
        <v>236</v>
      </c>
      <c r="CY4" s="129" t="s">
        <v>237</v>
      </c>
      <c r="CZ4" s="129" t="s">
        <v>188</v>
      </c>
      <c r="DA4" s="129" t="s">
        <v>188</v>
      </c>
      <c r="DB4" s="152" t="s">
        <v>238</v>
      </c>
      <c r="DC4" s="129" t="s">
        <v>237</v>
      </c>
      <c r="DD4" s="129" t="s">
        <v>188</v>
      </c>
      <c r="DE4" s="129" t="s">
        <v>188</v>
      </c>
      <c r="DF4" s="152" t="s">
        <v>238</v>
      </c>
      <c r="DG4" s="129" t="s">
        <v>237</v>
      </c>
      <c r="DH4" s="129" t="s">
        <v>188</v>
      </c>
      <c r="DI4" s="129" t="s">
        <v>188</v>
      </c>
      <c r="DJ4" s="152" t="s">
        <v>238</v>
      </c>
      <c r="DK4" s="153">
        <v>416</v>
      </c>
      <c r="DL4" s="129" t="s">
        <v>188</v>
      </c>
      <c r="DM4" s="129" t="s">
        <v>188</v>
      </c>
      <c r="DN4" s="134" t="s">
        <v>239</v>
      </c>
      <c r="DO4" s="129">
        <v>39.5</v>
      </c>
      <c r="DP4" s="129" t="s">
        <v>188</v>
      </c>
      <c r="DQ4" s="129" t="s">
        <v>188</v>
      </c>
      <c r="DR4" s="134" t="s">
        <v>240</v>
      </c>
      <c r="DS4" s="134" t="s">
        <v>241</v>
      </c>
      <c r="DT4" s="154" t="s">
        <v>242</v>
      </c>
      <c r="DU4" s="155">
        <f>1.0206-0.000049205*BX4</f>
        <v>1.0193306286364434</v>
      </c>
      <c r="DV4" s="153" t="s">
        <v>188</v>
      </c>
      <c r="DW4" s="153" t="s">
        <v>188</v>
      </c>
      <c r="DX4" s="154" t="s">
        <v>310</v>
      </c>
      <c r="DY4" s="156" t="s">
        <v>243</v>
      </c>
      <c r="DZ4" s="154" t="s">
        <v>244</v>
      </c>
      <c r="EA4" s="134" t="s">
        <v>245</v>
      </c>
      <c r="EB4" s="134" t="s">
        <v>246</v>
      </c>
      <c r="EC4" s="157" t="s">
        <v>247</v>
      </c>
      <c r="ED4" s="157" t="s">
        <v>247</v>
      </c>
      <c r="EE4" s="134" t="s">
        <v>248</v>
      </c>
      <c r="EF4" s="134" t="s">
        <v>188</v>
      </c>
      <c r="EG4" s="134" t="s">
        <v>188</v>
      </c>
      <c r="EH4" s="134" t="s">
        <v>264</v>
      </c>
      <c r="EI4" s="134" t="s">
        <v>265</v>
      </c>
      <c r="EJ4" s="134" t="s">
        <v>266</v>
      </c>
      <c r="EK4" s="141">
        <v>2366.3259536673686</v>
      </c>
      <c r="EL4" s="134" t="s">
        <v>282</v>
      </c>
      <c r="EM4" s="129">
        <v>54</v>
      </c>
      <c r="EN4" s="129">
        <v>54</v>
      </c>
      <c r="EO4" t="s">
        <v>188</v>
      </c>
      <c r="EP4" t="s">
        <v>188</v>
      </c>
      <c r="EQ4" t="s">
        <v>188</v>
      </c>
      <c r="ER4" t="s">
        <v>188</v>
      </c>
      <c r="ES4" s="158">
        <v>8.16</v>
      </c>
      <c r="ET4" s="134" t="s">
        <v>283</v>
      </c>
      <c r="EU4" s="129">
        <v>0.03</v>
      </c>
      <c r="EV4" s="129">
        <v>0.03</v>
      </c>
      <c r="EW4" s="159">
        <v>281.5</v>
      </c>
      <c r="EX4" s="127">
        <v>0</v>
      </c>
      <c r="EY4" s="134" t="s">
        <v>284</v>
      </c>
      <c r="EZ4" s="159">
        <f>EW4</f>
        <v>281.5</v>
      </c>
      <c r="FA4" s="149">
        <v>22.955346473116297</v>
      </c>
      <c r="FB4" s="149">
        <v>22.955346473116297</v>
      </c>
      <c r="FC4" s="134" t="s">
        <v>300</v>
      </c>
      <c r="FD4" s="134" t="s">
        <v>301</v>
      </c>
      <c r="FE4" t="s">
        <v>188</v>
      </c>
      <c r="FF4" t="s">
        <v>188</v>
      </c>
      <c r="FG4" t="s">
        <v>188</v>
      </c>
      <c r="FH4" t="s">
        <v>188</v>
      </c>
      <c r="FI4" t="s">
        <v>188</v>
      </c>
      <c r="FJ4" t="s">
        <v>188</v>
      </c>
      <c r="FK4" t="s">
        <v>188</v>
      </c>
      <c r="FL4" t="s">
        <v>188</v>
      </c>
      <c r="FM4" t="s">
        <v>188</v>
      </c>
      <c r="FN4" t="s">
        <v>188</v>
      </c>
      <c r="FO4" t="s">
        <v>188</v>
      </c>
      <c r="FP4" t="s">
        <v>188</v>
      </c>
      <c r="FQ4" s="134" t="s">
        <v>321</v>
      </c>
    </row>
    <row r="5" spans="1:191" ht="18">
      <c r="A5" s="132" t="s">
        <v>167</v>
      </c>
      <c r="B5" t="s">
        <v>168</v>
      </c>
      <c r="C5">
        <v>2005</v>
      </c>
      <c r="D5" s="133" t="s">
        <v>333</v>
      </c>
      <c r="E5" s="141">
        <f t="shared" ref="E5:E19" si="3">AG5</f>
        <v>11.013</v>
      </c>
      <c r="F5" s="135" t="s">
        <v>188</v>
      </c>
      <c r="G5" s="135" t="s">
        <v>188</v>
      </c>
      <c r="H5" s="135">
        <f t="shared" si="0"/>
        <v>255.2</v>
      </c>
      <c r="I5" s="135">
        <f t="shared" ref="I5" si="4">FA5</f>
        <v>20.174096834821935</v>
      </c>
      <c r="J5" s="135">
        <f t="shared" ref="J5" si="5">FB5</f>
        <v>20.174096834821935</v>
      </c>
      <c r="K5" s="127" t="s">
        <v>145</v>
      </c>
      <c r="L5" s="128" t="s">
        <v>146</v>
      </c>
      <c r="M5" s="163" t="s">
        <v>147</v>
      </c>
      <c r="N5" s="133" t="s">
        <v>333</v>
      </c>
      <c r="O5" s="130" t="s">
        <v>148</v>
      </c>
      <c r="P5" s="130" t="s">
        <v>149</v>
      </c>
      <c r="Q5" s="129">
        <v>1</v>
      </c>
      <c r="R5" s="129">
        <v>1</v>
      </c>
      <c r="S5" s="131">
        <v>25</v>
      </c>
      <c r="T5" s="131">
        <v>27</v>
      </c>
      <c r="U5" s="131" t="s">
        <v>152</v>
      </c>
      <c r="V5" s="129" t="s">
        <v>188</v>
      </c>
      <c r="W5" s="129" t="s">
        <v>188</v>
      </c>
      <c r="X5" s="129" t="s">
        <v>169</v>
      </c>
      <c r="Y5" s="129">
        <v>4.7699999999999996</v>
      </c>
      <c r="Z5" s="129">
        <v>-20.93</v>
      </c>
      <c r="AA5" s="129" t="s">
        <v>188</v>
      </c>
      <c r="AB5" s="129" t="s">
        <v>188</v>
      </c>
      <c r="AC5" s="129">
        <v>-2693.5</v>
      </c>
      <c r="AD5" s="129" t="s">
        <v>188</v>
      </c>
      <c r="AE5" s="129" t="s">
        <v>188</v>
      </c>
      <c r="AF5" s="134" t="s">
        <v>170</v>
      </c>
      <c r="AG5" s="135">
        <v>11.013</v>
      </c>
      <c r="AH5" s="136" t="s">
        <v>171</v>
      </c>
      <c r="AI5" s="129" t="s">
        <v>188</v>
      </c>
      <c r="AJ5" s="129" t="s">
        <v>188</v>
      </c>
      <c r="AK5" s="129" t="s">
        <v>188</v>
      </c>
      <c r="AL5" s="134" t="s">
        <v>173</v>
      </c>
      <c r="AM5" s="129" t="s">
        <v>188</v>
      </c>
      <c r="AN5" s="129" t="s">
        <v>188</v>
      </c>
      <c r="AO5" s="129" t="s">
        <v>188</v>
      </c>
      <c r="AP5" s="129" t="s">
        <v>188</v>
      </c>
      <c r="AQ5" s="129" t="s">
        <v>188</v>
      </c>
      <c r="AR5" s="129" t="s">
        <v>188</v>
      </c>
      <c r="AS5" s="129" t="s">
        <v>188</v>
      </c>
      <c r="AT5" s="129" t="s">
        <v>188</v>
      </c>
      <c r="AU5" s="134" t="s">
        <v>189</v>
      </c>
      <c r="AV5" s="130" t="s">
        <v>190</v>
      </c>
      <c r="AW5">
        <v>50</v>
      </c>
      <c r="AX5">
        <v>3.54</v>
      </c>
      <c r="AY5" s="134" t="s">
        <v>192</v>
      </c>
      <c r="AZ5" s="129" t="s">
        <v>151</v>
      </c>
      <c r="BA5" s="134" t="s">
        <v>193</v>
      </c>
      <c r="BB5" s="130" t="s">
        <v>196</v>
      </c>
      <c r="BC5">
        <v>3</v>
      </c>
      <c r="BD5" s="141">
        <v>0.18583146486355023</v>
      </c>
      <c r="BE5" s="138">
        <v>21.31</v>
      </c>
      <c r="BF5" s="134" t="s">
        <v>195</v>
      </c>
      <c r="BG5" s="138">
        <v>0.33</v>
      </c>
      <c r="BH5" s="129" t="s">
        <v>188</v>
      </c>
      <c r="BI5" s="129" t="s">
        <v>188</v>
      </c>
      <c r="BJ5" s="136" t="s">
        <v>188</v>
      </c>
      <c r="BK5" s="143" t="s">
        <v>211</v>
      </c>
      <c r="BL5" s="129" t="s">
        <v>188</v>
      </c>
      <c r="BM5" s="129" t="s">
        <v>188</v>
      </c>
      <c r="BN5" s="134" t="s">
        <v>192</v>
      </c>
      <c r="BO5" s="134" t="s">
        <v>212</v>
      </c>
      <c r="BP5" t="s">
        <v>188</v>
      </c>
      <c r="BQ5" t="s">
        <v>188</v>
      </c>
      <c r="BR5" t="s">
        <v>188</v>
      </c>
      <c r="BS5" t="s">
        <v>188</v>
      </c>
      <c r="BT5" t="s">
        <v>213</v>
      </c>
      <c r="BU5">
        <v>50</v>
      </c>
      <c r="BV5" t="s">
        <v>188</v>
      </c>
      <c r="BW5" t="s">
        <v>188</v>
      </c>
      <c r="BX5" s="165">
        <f t="shared" si="2"/>
        <v>26.349222930438668</v>
      </c>
      <c r="BY5" s="134" t="s">
        <v>214</v>
      </c>
      <c r="BZ5" s="145">
        <f t="shared" ref="BZ5:BZ19" si="6">(LN((CC5*1.03)/0.38)/0.09+0.61*2.7)-BX5</f>
        <v>0.32843113601715856</v>
      </c>
      <c r="CA5" s="145">
        <f t="shared" ref="CA5:CA19" si="7">BX5-(LN((CC5*0.97)/0.38)/0.09+0.61*2.7)</f>
        <v>0.33843563871898752</v>
      </c>
      <c r="CB5" s="147" t="s">
        <v>219</v>
      </c>
      <c r="CC5" s="131">
        <v>3.51</v>
      </c>
      <c r="CD5" s="144" t="s">
        <v>234</v>
      </c>
      <c r="CE5" s="146">
        <f t="shared" ref="CE5:CE19" si="8">CC5*0.03</f>
        <v>0.10529999999999999</v>
      </c>
      <c r="CF5" s="134" t="s">
        <v>216</v>
      </c>
      <c r="CG5" s="134" t="s">
        <v>217</v>
      </c>
      <c r="CH5" s="129" t="s">
        <v>188</v>
      </c>
      <c r="CI5" s="134" t="s">
        <v>218</v>
      </c>
      <c r="CJ5" s="134"/>
      <c r="CK5" s="134" t="s">
        <v>188</v>
      </c>
      <c r="CL5" s="134" t="s">
        <v>217</v>
      </c>
      <c r="CM5" s="134" t="s">
        <v>188</v>
      </c>
      <c r="CN5" s="134" t="s">
        <v>188</v>
      </c>
      <c r="CO5" s="134" t="s">
        <v>188</v>
      </c>
      <c r="CP5" s="134" t="s">
        <v>188</v>
      </c>
      <c r="CQ5" s="134" t="s">
        <v>188</v>
      </c>
      <c r="CR5" s="134" t="s">
        <v>188</v>
      </c>
      <c r="CS5" s="134" t="s">
        <v>188</v>
      </c>
      <c r="CT5" s="134" t="s">
        <v>188</v>
      </c>
      <c r="CU5" s="150">
        <v>36.112013684210531</v>
      </c>
      <c r="CV5" s="151" t="s">
        <v>235</v>
      </c>
      <c r="CW5" s="130">
        <v>0.125</v>
      </c>
      <c r="CX5" s="134" t="s">
        <v>236</v>
      </c>
      <c r="CY5" s="129" t="s">
        <v>237</v>
      </c>
      <c r="CZ5" s="129" t="s">
        <v>188</v>
      </c>
      <c r="DA5" s="129" t="s">
        <v>188</v>
      </c>
      <c r="DB5" s="152" t="s">
        <v>238</v>
      </c>
      <c r="DC5" s="129" t="s">
        <v>237</v>
      </c>
      <c r="DD5" s="129" t="s">
        <v>188</v>
      </c>
      <c r="DE5" s="129" t="s">
        <v>188</v>
      </c>
      <c r="DF5" s="152" t="s">
        <v>238</v>
      </c>
      <c r="DG5" s="129" t="s">
        <v>237</v>
      </c>
      <c r="DH5" s="129" t="s">
        <v>188</v>
      </c>
      <c r="DI5" s="129" t="s">
        <v>188</v>
      </c>
      <c r="DJ5" s="152" t="s">
        <v>238</v>
      </c>
      <c r="DK5" s="153">
        <v>416</v>
      </c>
      <c r="DL5" s="129" t="s">
        <v>188</v>
      </c>
      <c r="DM5" s="129" t="s">
        <v>188</v>
      </c>
      <c r="DN5" s="134" t="s">
        <v>239</v>
      </c>
      <c r="DO5" s="129">
        <v>39.5</v>
      </c>
      <c r="DP5" s="129" t="s">
        <v>188</v>
      </c>
      <c r="DQ5" s="129" t="s">
        <v>188</v>
      </c>
      <c r="DR5" s="134" t="s">
        <v>240</v>
      </c>
      <c r="DS5" s="134" t="s">
        <v>241</v>
      </c>
      <c r="DT5" s="154" t="s">
        <v>242</v>
      </c>
      <c r="DU5" s="155">
        <f t="shared" ref="DU5:DU19" si="9">1.0206-0.000049205*BX5</f>
        <v>1.0193034864857078</v>
      </c>
      <c r="DV5" s="153" t="s">
        <v>188</v>
      </c>
      <c r="DW5" s="153" t="s">
        <v>188</v>
      </c>
      <c r="DX5" s="154" t="s">
        <v>310</v>
      </c>
      <c r="DY5" s="156" t="s">
        <v>243</v>
      </c>
      <c r="DZ5" s="154" t="s">
        <v>244</v>
      </c>
      <c r="EA5" s="134" t="s">
        <v>249</v>
      </c>
      <c r="EB5" s="134" t="s">
        <v>246</v>
      </c>
      <c r="EC5" s="157" t="s">
        <v>247</v>
      </c>
      <c r="ED5" s="157" t="s">
        <v>247</v>
      </c>
      <c r="EE5" s="134" t="s">
        <v>248</v>
      </c>
      <c r="EF5" s="134" t="s">
        <v>188</v>
      </c>
      <c r="EG5" s="134" t="s">
        <v>188</v>
      </c>
      <c r="EH5" s="134" t="s">
        <v>264</v>
      </c>
      <c r="EI5" s="134" t="s">
        <v>267</v>
      </c>
      <c r="EJ5" s="134" t="s">
        <v>266</v>
      </c>
      <c r="EK5" s="141">
        <v>2393.4</v>
      </c>
      <c r="EL5" s="134" t="s">
        <v>282</v>
      </c>
      <c r="EM5" s="129">
        <v>54</v>
      </c>
      <c r="EN5" s="129">
        <v>54</v>
      </c>
      <c r="EO5" t="s">
        <v>188</v>
      </c>
      <c r="EP5" t="s">
        <v>188</v>
      </c>
      <c r="EQ5" t="s">
        <v>188</v>
      </c>
      <c r="ER5" t="s">
        <v>188</v>
      </c>
      <c r="ES5" s="160">
        <v>8.19</v>
      </c>
      <c r="ET5" s="134" t="s">
        <v>283</v>
      </c>
      <c r="EU5" s="129">
        <v>0.03</v>
      </c>
      <c r="EV5" s="129">
        <v>0.03</v>
      </c>
      <c r="EW5" s="161">
        <v>255.2</v>
      </c>
      <c r="EX5" s="162">
        <v>0</v>
      </c>
      <c r="EY5" s="134" t="s">
        <v>285</v>
      </c>
      <c r="EZ5" s="159">
        <f t="shared" ref="EZ5:EZ19" si="10">EW5</f>
        <v>255.2</v>
      </c>
      <c r="FA5" s="150">
        <v>20.174096834821935</v>
      </c>
      <c r="FB5" s="150">
        <v>20.174096834821935</v>
      </c>
      <c r="FC5" s="134" t="s">
        <v>300</v>
      </c>
      <c r="FD5" s="134" t="s">
        <v>301</v>
      </c>
      <c r="FE5" t="s">
        <v>188</v>
      </c>
      <c r="FF5" t="s">
        <v>188</v>
      </c>
      <c r="FG5" t="s">
        <v>188</v>
      </c>
      <c r="FH5" t="s">
        <v>188</v>
      </c>
      <c r="FI5" t="s">
        <v>188</v>
      </c>
      <c r="FJ5" t="s">
        <v>188</v>
      </c>
      <c r="FK5" t="s">
        <v>188</v>
      </c>
      <c r="FL5" t="s">
        <v>188</v>
      </c>
      <c r="FM5" t="s">
        <v>188</v>
      </c>
      <c r="FN5" t="s">
        <v>188</v>
      </c>
      <c r="FO5" t="s">
        <v>188</v>
      </c>
      <c r="FP5" t="s">
        <v>188</v>
      </c>
      <c r="FQ5" s="134" t="s">
        <v>321</v>
      </c>
    </row>
    <row r="6" spans="1:191" ht="18">
      <c r="A6" s="132" t="s">
        <v>167</v>
      </c>
      <c r="B6" t="s">
        <v>168</v>
      </c>
      <c r="C6">
        <v>2005</v>
      </c>
      <c r="D6" s="133" t="s">
        <v>333</v>
      </c>
      <c r="E6" s="141">
        <f t="shared" si="3"/>
        <v>22.722999999999999</v>
      </c>
      <c r="F6" s="135" t="s">
        <v>188</v>
      </c>
      <c r="G6" s="135" t="s">
        <v>188</v>
      </c>
      <c r="H6" s="135">
        <f t="shared" si="0"/>
        <v>185.2</v>
      </c>
      <c r="I6" s="135">
        <f t="shared" ref="I6:I19" si="11">FA6</f>
        <v>13.817484273622176</v>
      </c>
      <c r="J6" s="135">
        <f t="shared" ref="J6:J19" si="12">FB6</f>
        <v>13.817484273622176</v>
      </c>
      <c r="K6" s="127" t="s">
        <v>145</v>
      </c>
      <c r="L6" s="128" t="s">
        <v>146</v>
      </c>
      <c r="M6" s="163" t="s">
        <v>147</v>
      </c>
      <c r="N6" s="133" t="s">
        <v>333</v>
      </c>
      <c r="O6" s="130" t="s">
        <v>148</v>
      </c>
      <c r="P6" s="130" t="s">
        <v>149</v>
      </c>
      <c r="Q6" s="129">
        <v>1</v>
      </c>
      <c r="R6" s="129">
        <v>1</v>
      </c>
      <c r="S6" s="131">
        <v>33</v>
      </c>
      <c r="T6" s="131">
        <v>35</v>
      </c>
      <c r="U6" s="131" t="s">
        <v>153</v>
      </c>
      <c r="V6" s="129" t="s">
        <v>188</v>
      </c>
      <c r="W6" s="129" t="s">
        <v>188</v>
      </c>
      <c r="X6" s="129" t="s">
        <v>169</v>
      </c>
      <c r="Y6" s="129">
        <v>4.7699999999999996</v>
      </c>
      <c r="Z6" s="129">
        <v>-20.93</v>
      </c>
      <c r="AA6" s="129" t="s">
        <v>188</v>
      </c>
      <c r="AB6" s="129" t="s">
        <v>188</v>
      </c>
      <c r="AC6" s="129">
        <v>-2693.5</v>
      </c>
      <c r="AD6" s="129" t="s">
        <v>188</v>
      </c>
      <c r="AE6" s="129" t="s">
        <v>188</v>
      </c>
      <c r="AF6" s="134" t="s">
        <v>170</v>
      </c>
      <c r="AG6" s="135">
        <v>22.722999999999999</v>
      </c>
      <c r="AH6" s="136" t="s">
        <v>171</v>
      </c>
      <c r="AI6" s="129" t="s">
        <v>188</v>
      </c>
      <c r="AJ6" s="129" t="s">
        <v>188</v>
      </c>
      <c r="AK6" s="129" t="s">
        <v>188</v>
      </c>
      <c r="AL6" s="134" t="s">
        <v>174</v>
      </c>
      <c r="AM6" s="129" t="s">
        <v>188</v>
      </c>
      <c r="AN6" s="129" t="s">
        <v>188</v>
      </c>
      <c r="AO6" s="129" t="s">
        <v>188</v>
      </c>
      <c r="AP6" s="129" t="s">
        <v>188</v>
      </c>
      <c r="AQ6" s="129" t="s">
        <v>188</v>
      </c>
      <c r="AR6" s="129" t="s">
        <v>188</v>
      </c>
      <c r="AS6" s="129" t="s">
        <v>188</v>
      </c>
      <c r="AT6" s="129" t="s">
        <v>188</v>
      </c>
      <c r="AU6" s="134" t="s">
        <v>189</v>
      </c>
      <c r="AV6" s="130" t="s">
        <v>190</v>
      </c>
      <c r="AW6">
        <v>50</v>
      </c>
      <c r="AX6">
        <v>4.76</v>
      </c>
      <c r="AY6" s="134" t="s">
        <v>192</v>
      </c>
      <c r="AZ6" s="129" t="s">
        <v>151</v>
      </c>
      <c r="BA6" s="134" t="s">
        <v>193</v>
      </c>
      <c r="BB6" s="140" t="s">
        <v>209</v>
      </c>
      <c r="BC6">
        <v>3</v>
      </c>
      <c r="BD6" s="141">
        <v>8.3533093907611045E-2</v>
      </c>
      <c r="BE6" s="139">
        <v>22.118934409799049</v>
      </c>
      <c r="BF6" s="134" t="s">
        <v>195</v>
      </c>
      <c r="BG6" s="138">
        <v>0.33</v>
      </c>
      <c r="BH6" s="129" t="s">
        <v>188</v>
      </c>
      <c r="BI6" s="129" t="s">
        <v>188</v>
      </c>
      <c r="BJ6" s="136" t="s">
        <v>188</v>
      </c>
      <c r="BK6" s="143" t="s">
        <v>211</v>
      </c>
      <c r="BL6" s="129" t="s">
        <v>188</v>
      </c>
      <c r="BM6" s="129" t="s">
        <v>188</v>
      </c>
      <c r="BN6" s="134" t="s">
        <v>192</v>
      </c>
      <c r="BO6" s="134" t="s">
        <v>212</v>
      </c>
      <c r="BP6" t="s">
        <v>188</v>
      </c>
      <c r="BQ6" t="s">
        <v>188</v>
      </c>
      <c r="BR6" t="s">
        <v>188</v>
      </c>
      <c r="BS6" t="s">
        <v>188</v>
      </c>
      <c r="BT6" t="s">
        <v>213</v>
      </c>
      <c r="BU6">
        <v>50</v>
      </c>
      <c r="BV6" t="s">
        <v>188</v>
      </c>
      <c r="BW6" t="s">
        <v>188</v>
      </c>
      <c r="BX6" s="165">
        <f t="shared" si="2"/>
        <v>24.151159115661777</v>
      </c>
      <c r="BY6" s="134" t="s">
        <v>214</v>
      </c>
      <c r="BZ6" s="145">
        <f t="shared" si="6"/>
        <v>0.32843113601716212</v>
      </c>
      <c r="CA6" s="145">
        <f t="shared" si="7"/>
        <v>0.33843563871898397</v>
      </c>
      <c r="CB6" s="147" t="s">
        <v>220</v>
      </c>
      <c r="CC6" s="131">
        <v>2.88</v>
      </c>
      <c r="CD6" s="144" t="s">
        <v>234</v>
      </c>
      <c r="CE6" s="146">
        <f t="shared" si="8"/>
        <v>8.6399999999999991E-2</v>
      </c>
      <c r="CF6" s="134" t="s">
        <v>216</v>
      </c>
      <c r="CG6" s="134" t="s">
        <v>217</v>
      </c>
      <c r="CH6" s="129" t="s">
        <v>188</v>
      </c>
      <c r="CI6" s="134" t="s">
        <v>218</v>
      </c>
      <c r="CJ6" s="134"/>
      <c r="CK6" s="134" t="s">
        <v>188</v>
      </c>
      <c r="CL6" s="134" t="s">
        <v>217</v>
      </c>
      <c r="CM6" s="134" t="s">
        <v>188</v>
      </c>
      <c r="CN6" s="134" t="s">
        <v>188</v>
      </c>
      <c r="CO6" s="134" t="s">
        <v>188</v>
      </c>
      <c r="CP6" s="134" t="s">
        <v>188</v>
      </c>
      <c r="CQ6" s="134" t="s">
        <v>188</v>
      </c>
      <c r="CR6" s="134" t="s">
        <v>188</v>
      </c>
      <c r="CS6" s="134" t="s">
        <v>188</v>
      </c>
      <c r="CT6" s="134" t="s">
        <v>188</v>
      </c>
      <c r="CU6" s="150">
        <v>36.777975789473686</v>
      </c>
      <c r="CV6" s="151" t="s">
        <v>235</v>
      </c>
      <c r="CW6" s="130">
        <v>0.12</v>
      </c>
      <c r="CX6" s="134" t="s">
        <v>236</v>
      </c>
      <c r="CY6" s="129" t="s">
        <v>237</v>
      </c>
      <c r="CZ6" s="129" t="s">
        <v>188</v>
      </c>
      <c r="DA6" s="129" t="s">
        <v>188</v>
      </c>
      <c r="DB6" s="152" t="s">
        <v>238</v>
      </c>
      <c r="DC6" s="129" t="s">
        <v>237</v>
      </c>
      <c r="DD6" s="129" t="s">
        <v>188</v>
      </c>
      <c r="DE6" s="129" t="s">
        <v>188</v>
      </c>
      <c r="DF6" s="152" t="s">
        <v>238</v>
      </c>
      <c r="DG6" s="129" t="s">
        <v>237</v>
      </c>
      <c r="DH6" s="129" t="s">
        <v>188</v>
      </c>
      <c r="DI6" s="129" t="s">
        <v>188</v>
      </c>
      <c r="DJ6" s="152" t="s">
        <v>238</v>
      </c>
      <c r="DK6" s="153">
        <v>416</v>
      </c>
      <c r="DL6" s="129" t="s">
        <v>188</v>
      </c>
      <c r="DM6" s="129" t="s">
        <v>188</v>
      </c>
      <c r="DN6" s="134" t="s">
        <v>239</v>
      </c>
      <c r="DO6" s="129">
        <v>39.5</v>
      </c>
      <c r="DP6" s="129" t="s">
        <v>188</v>
      </c>
      <c r="DQ6" s="129" t="s">
        <v>188</v>
      </c>
      <c r="DR6" s="134" t="s">
        <v>240</v>
      </c>
      <c r="DS6" s="134" t="s">
        <v>241</v>
      </c>
      <c r="DT6" s="154" t="s">
        <v>242</v>
      </c>
      <c r="DU6" s="155">
        <f t="shared" si="9"/>
        <v>1.0194116422157138</v>
      </c>
      <c r="DV6" s="153" t="s">
        <v>188</v>
      </c>
      <c r="DW6" s="153" t="s">
        <v>188</v>
      </c>
      <c r="DX6" s="154" t="s">
        <v>310</v>
      </c>
      <c r="DY6" s="156" t="s">
        <v>243</v>
      </c>
      <c r="DZ6" s="154" t="s">
        <v>244</v>
      </c>
      <c r="EA6" s="134" t="s">
        <v>250</v>
      </c>
      <c r="EB6" s="134" t="s">
        <v>246</v>
      </c>
      <c r="EC6" s="157" t="s">
        <v>247</v>
      </c>
      <c r="ED6" s="157" t="s">
        <v>247</v>
      </c>
      <c r="EE6" s="134" t="s">
        <v>248</v>
      </c>
      <c r="EF6" s="134" t="s">
        <v>188</v>
      </c>
      <c r="EG6" s="134" t="s">
        <v>188</v>
      </c>
      <c r="EH6" s="134" t="s">
        <v>264</v>
      </c>
      <c r="EI6" s="134" t="s">
        <v>268</v>
      </c>
      <c r="EJ6" s="134" t="s">
        <v>266</v>
      </c>
      <c r="EK6" s="141">
        <v>2438.1999999999998</v>
      </c>
      <c r="EL6" s="134" t="s">
        <v>282</v>
      </c>
      <c r="EM6" s="129">
        <v>54</v>
      </c>
      <c r="EN6" s="129">
        <v>54</v>
      </c>
      <c r="EO6" t="s">
        <v>188</v>
      </c>
      <c r="EP6" t="s">
        <v>188</v>
      </c>
      <c r="EQ6" t="s">
        <v>188</v>
      </c>
      <c r="ER6" t="s">
        <v>188</v>
      </c>
      <c r="ES6" s="160">
        <v>8.32</v>
      </c>
      <c r="ET6" s="134" t="s">
        <v>283</v>
      </c>
      <c r="EU6" s="129">
        <v>0.03</v>
      </c>
      <c r="EV6" s="129">
        <v>0.03</v>
      </c>
      <c r="EW6" s="161">
        <v>185.2</v>
      </c>
      <c r="EX6" s="162">
        <v>0</v>
      </c>
      <c r="EY6" s="134" t="s">
        <v>286</v>
      </c>
      <c r="EZ6" s="159">
        <f t="shared" si="10"/>
        <v>185.2</v>
      </c>
      <c r="FA6" s="150">
        <v>13.817484273622176</v>
      </c>
      <c r="FB6" s="150">
        <v>13.817484273622176</v>
      </c>
      <c r="FC6" s="134" t="s">
        <v>300</v>
      </c>
      <c r="FD6" s="134" t="s">
        <v>301</v>
      </c>
      <c r="FE6" t="s">
        <v>188</v>
      </c>
      <c r="FF6" t="s">
        <v>188</v>
      </c>
      <c r="FG6" t="s">
        <v>188</v>
      </c>
      <c r="FH6" t="s">
        <v>188</v>
      </c>
      <c r="FI6" t="s">
        <v>188</v>
      </c>
      <c r="FJ6" t="s">
        <v>188</v>
      </c>
      <c r="FK6" t="s">
        <v>188</v>
      </c>
      <c r="FL6" t="s">
        <v>188</v>
      </c>
      <c r="FM6" t="s">
        <v>188</v>
      </c>
      <c r="FN6" t="s">
        <v>188</v>
      </c>
      <c r="FO6" t="s">
        <v>188</v>
      </c>
      <c r="FP6" t="s">
        <v>188</v>
      </c>
      <c r="FQ6" s="134" t="s">
        <v>321</v>
      </c>
    </row>
    <row r="7" spans="1:191" ht="18">
      <c r="A7" s="132" t="s">
        <v>167</v>
      </c>
      <c r="B7" t="s">
        <v>168</v>
      </c>
      <c r="C7">
        <v>2005</v>
      </c>
      <c r="D7" s="133" t="s">
        <v>333</v>
      </c>
      <c r="E7" s="141">
        <f t="shared" si="3"/>
        <v>49.414000000000001</v>
      </c>
      <c r="F7" s="135" t="s">
        <v>188</v>
      </c>
      <c r="G7" s="135" t="s">
        <v>188</v>
      </c>
      <c r="H7" s="135">
        <f t="shared" si="0"/>
        <v>222.5</v>
      </c>
      <c r="I7" s="135">
        <f t="shared" si="11"/>
        <v>16.904543187413736</v>
      </c>
      <c r="J7" s="135">
        <f t="shared" si="12"/>
        <v>16.904543187413736</v>
      </c>
      <c r="K7" s="127" t="s">
        <v>145</v>
      </c>
      <c r="L7" s="128" t="s">
        <v>146</v>
      </c>
      <c r="M7" s="163" t="s">
        <v>147</v>
      </c>
      <c r="N7" s="133" t="s">
        <v>333</v>
      </c>
      <c r="O7" s="130" t="s">
        <v>148</v>
      </c>
      <c r="P7" s="130" t="s">
        <v>149</v>
      </c>
      <c r="Q7" s="129">
        <v>1</v>
      </c>
      <c r="R7" s="129">
        <v>1</v>
      </c>
      <c r="S7" s="131">
        <v>70</v>
      </c>
      <c r="T7" s="131">
        <v>72</v>
      </c>
      <c r="U7" s="131" t="s">
        <v>154</v>
      </c>
      <c r="V7" s="129" t="s">
        <v>188</v>
      </c>
      <c r="W7" s="129" t="s">
        <v>188</v>
      </c>
      <c r="X7" s="129" t="s">
        <v>169</v>
      </c>
      <c r="Y7" s="129">
        <v>4.7699999999999996</v>
      </c>
      <c r="Z7" s="129">
        <v>-20.93</v>
      </c>
      <c r="AA7" s="129" t="s">
        <v>188</v>
      </c>
      <c r="AB7" s="129" t="s">
        <v>188</v>
      </c>
      <c r="AC7" s="129">
        <v>-2693.5</v>
      </c>
      <c r="AD7" s="129" t="s">
        <v>188</v>
      </c>
      <c r="AE7" s="129" t="s">
        <v>188</v>
      </c>
      <c r="AF7" s="134" t="s">
        <v>170</v>
      </c>
      <c r="AG7" s="135">
        <v>49.414000000000001</v>
      </c>
      <c r="AH7" s="136" t="s">
        <v>171</v>
      </c>
      <c r="AI7" s="129" t="s">
        <v>188</v>
      </c>
      <c r="AJ7" s="129" t="s">
        <v>188</v>
      </c>
      <c r="AK7" s="129" t="s">
        <v>188</v>
      </c>
      <c r="AL7" s="134" t="s">
        <v>175</v>
      </c>
      <c r="AM7" s="129" t="s">
        <v>188</v>
      </c>
      <c r="AN7" s="129" t="s">
        <v>188</v>
      </c>
      <c r="AO7" s="129" t="s">
        <v>188</v>
      </c>
      <c r="AP7" s="129" t="s">
        <v>188</v>
      </c>
      <c r="AQ7" s="129" t="s">
        <v>188</v>
      </c>
      <c r="AR7" s="129" t="s">
        <v>188</v>
      </c>
      <c r="AS7" s="129" t="s">
        <v>188</v>
      </c>
      <c r="AT7" s="129" t="s">
        <v>188</v>
      </c>
      <c r="AU7" s="134" t="s">
        <v>189</v>
      </c>
      <c r="AV7" s="130" t="s">
        <v>190</v>
      </c>
      <c r="AW7">
        <v>50</v>
      </c>
      <c r="AX7">
        <v>2.4500000000000002</v>
      </c>
      <c r="AY7" s="134" t="s">
        <v>192</v>
      </c>
      <c r="AZ7" s="129" t="s">
        <v>151</v>
      </c>
      <c r="BA7" s="134" t="s">
        <v>193</v>
      </c>
      <c r="BB7" s="130" t="s">
        <v>197</v>
      </c>
      <c r="BC7">
        <v>3</v>
      </c>
      <c r="BD7" s="141">
        <v>0.20731082407288268</v>
      </c>
      <c r="BE7" s="139">
        <v>21.553942034039917</v>
      </c>
      <c r="BF7" s="134" t="s">
        <v>195</v>
      </c>
      <c r="BG7" s="138">
        <v>0.33</v>
      </c>
      <c r="BH7" s="129" t="s">
        <v>188</v>
      </c>
      <c r="BI7" s="129" t="s">
        <v>188</v>
      </c>
      <c r="BJ7" s="136" t="s">
        <v>188</v>
      </c>
      <c r="BK7" s="143" t="s">
        <v>211</v>
      </c>
      <c r="BL7" s="129" t="s">
        <v>188</v>
      </c>
      <c r="BM7" s="129" t="s">
        <v>188</v>
      </c>
      <c r="BN7" s="134" t="s">
        <v>192</v>
      </c>
      <c r="BO7" s="134" t="s">
        <v>212</v>
      </c>
      <c r="BP7" t="s">
        <v>188</v>
      </c>
      <c r="BQ7" t="s">
        <v>188</v>
      </c>
      <c r="BR7" t="s">
        <v>188</v>
      </c>
      <c r="BS7" t="s">
        <v>188</v>
      </c>
      <c r="BT7" t="s">
        <v>213</v>
      </c>
      <c r="BU7">
        <v>50</v>
      </c>
      <c r="BV7" t="s">
        <v>188</v>
      </c>
      <c r="BW7" t="s">
        <v>188</v>
      </c>
      <c r="BX7" s="165">
        <f t="shared" si="2"/>
        <v>24.641712278027661</v>
      </c>
      <c r="BY7" s="134" t="s">
        <v>214</v>
      </c>
      <c r="BZ7" s="145">
        <f t="shared" si="6"/>
        <v>0.32843113601716212</v>
      </c>
      <c r="CA7" s="145">
        <f t="shared" si="7"/>
        <v>0.33843563871898041</v>
      </c>
      <c r="CB7" s="147" t="s">
        <v>221</v>
      </c>
      <c r="CC7" s="131">
        <v>3.01</v>
      </c>
      <c r="CD7" s="144" t="s">
        <v>234</v>
      </c>
      <c r="CE7" s="146">
        <f t="shared" si="8"/>
        <v>9.0299999999999991E-2</v>
      </c>
      <c r="CF7" s="134" t="s">
        <v>216</v>
      </c>
      <c r="CG7" s="134" t="s">
        <v>217</v>
      </c>
      <c r="CH7" s="129" t="s">
        <v>188</v>
      </c>
      <c r="CI7" s="134" t="s">
        <v>218</v>
      </c>
      <c r="CJ7" s="134"/>
      <c r="CK7" s="134" t="s">
        <v>188</v>
      </c>
      <c r="CL7" s="134" t="s">
        <v>217</v>
      </c>
      <c r="CM7" s="134" t="s">
        <v>188</v>
      </c>
      <c r="CN7" s="134" t="s">
        <v>188</v>
      </c>
      <c r="CO7" s="134" t="s">
        <v>188</v>
      </c>
      <c r="CP7" s="134" t="s">
        <v>188</v>
      </c>
      <c r="CQ7" s="134" t="s">
        <v>188</v>
      </c>
      <c r="CR7" s="134" t="s">
        <v>188</v>
      </c>
      <c r="CS7" s="134" t="s">
        <v>188</v>
      </c>
      <c r="CT7" s="134" t="s">
        <v>188</v>
      </c>
      <c r="CU7" s="150">
        <v>36.355796842105264</v>
      </c>
      <c r="CV7" s="151" t="s">
        <v>235</v>
      </c>
      <c r="CW7" s="130">
        <v>0.125</v>
      </c>
      <c r="CX7" s="134" t="s">
        <v>236</v>
      </c>
      <c r="CY7" s="129" t="s">
        <v>237</v>
      </c>
      <c r="CZ7" s="129" t="s">
        <v>188</v>
      </c>
      <c r="DA7" s="129" t="s">
        <v>188</v>
      </c>
      <c r="DB7" s="152" t="s">
        <v>238</v>
      </c>
      <c r="DC7" s="129" t="s">
        <v>237</v>
      </c>
      <c r="DD7" s="129" t="s">
        <v>188</v>
      </c>
      <c r="DE7" s="129" t="s">
        <v>188</v>
      </c>
      <c r="DF7" s="152" t="s">
        <v>238</v>
      </c>
      <c r="DG7" s="129" t="s">
        <v>237</v>
      </c>
      <c r="DH7" s="129" t="s">
        <v>188</v>
      </c>
      <c r="DI7" s="129" t="s">
        <v>188</v>
      </c>
      <c r="DJ7" s="152" t="s">
        <v>238</v>
      </c>
      <c r="DK7" s="153">
        <v>416</v>
      </c>
      <c r="DL7" s="129" t="s">
        <v>188</v>
      </c>
      <c r="DM7" s="129" t="s">
        <v>188</v>
      </c>
      <c r="DN7" s="134" t="s">
        <v>239</v>
      </c>
      <c r="DO7" s="129">
        <v>39.5</v>
      </c>
      <c r="DP7" s="129" t="s">
        <v>188</v>
      </c>
      <c r="DQ7" s="129" t="s">
        <v>188</v>
      </c>
      <c r="DR7" s="134" t="s">
        <v>240</v>
      </c>
      <c r="DS7" s="134" t="s">
        <v>241</v>
      </c>
      <c r="DT7" s="154" t="s">
        <v>242</v>
      </c>
      <c r="DU7" s="155">
        <f t="shared" si="9"/>
        <v>1.0193875045473595</v>
      </c>
      <c r="DV7" s="153" t="s">
        <v>188</v>
      </c>
      <c r="DW7" s="153" t="s">
        <v>188</v>
      </c>
      <c r="DX7" s="154" t="s">
        <v>310</v>
      </c>
      <c r="DY7" s="156" t="s">
        <v>243</v>
      </c>
      <c r="DZ7" s="154" t="s">
        <v>244</v>
      </c>
      <c r="EA7" s="134" t="s">
        <v>251</v>
      </c>
      <c r="EB7" s="134" t="s">
        <v>246</v>
      </c>
      <c r="EC7" s="157" t="s">
        <v>247</v>
      </c>
      <c r="ED7" s="157" t="s">
        <v>247</v>
      </c>
      <c r="EE7" s="134" t="s">
        <v>248</v>
      </c>
      <c r="EF7" s="134" t="s">
        <v>188</v>
      </c>
      <c r="EG7" s="134" t="s">
        <v>188</v>
      </c>
      <c r="EH7" s="134" t="s">
        <v>264</v>
      </c>
      <c r="EI7" s="134" t="s">
        <v>269</v>
      </c>
      <c r="EJ7" s="134" t="s">
        <v>266</v>
      </c>
      <c r="EK7" s="141">
        <v>2409.8000000000002</v>
      </c>
      <c r="EL7" s="134" t="s">
        <v>282</v>
      </c>
      <c r="EM7" s="129">
        <v>54</v>
      </c>
      <c r="EN7" s="129">
        <v>54</v>
      </c>
      <c r="EO7" t="s">
        <v>188</v>
      </c>
      <c r="EP7" t="s">
        <v>188</v>
      </c>
      <c r="EQ7" t="s">
        <v>188</v>
      </c>
      <c r="ER7" t="s">
        <v>188</v>
      </c>
      <c r="ES7" s="160">
        <v>8.25</v>
      </c>
      <c r="ET7" s="134" t="s">
        <v>283</v>
      </c>
      <c r="EU7" s="129">
        <v>0.03</v>
      </c>
      <c r="EV7" s="129">
        <v>0.03</v>
      </c>
      <c r="EW7" s="161">
        <v>222.5</v>
      </c>
      <c r="EX7" s="162">
        <v>0</v>
      </c>
      <c r="EY7" s="134" t="s">
        <v>287</v>
      </c>
      <c r="EZ7" s="159">
        <f t="shared" si="10"/>
        <v>222.5</v>
      </c>
      <c r="FA7" s="150">
        <v>16.904543187413736</v>
      </c>
      <c r="FB7" s="150">
        <v>16.904543187413736</v>
      </c>
      <c r="FC7" s="134" t="s">
        <v>300</v>
      </c>
      <c r="FD7" s="134" t="s">
        <v>301</v>
      </c>
      <c r="FE7" t="s">
        <v>188</v>
      </c>
      <c r="FF7" t="s">
        <v>188</v>
      </c>
      <c r="FG7" t="s">
        <v>188</v>
      </c>
      <c r="FH7" t="s">
        <v>188</v>
      </c>
      <c r="FI7" t="s">
        <v>188</v>
      </c>
      <c r="FJ7" t="s">
        <v>188</v>
      </c>
      <c r="FK7" t="s">
        <v>188</v>
      </c>
      <c r="FL7" t="s">
        <v>188</v>
      </c>
      <c r="FM7" t="s">
        <v>188</v>
      </c>
      <c r="FN7" t="s">
        <v>188</v>
      </c>
      <c r="FO7" t="s">
        <v>188</v>
      </c>
      <c r="FP7" t="s">
        <v>188</v>
      </c>
      <c r="FQ7" s="134" t="s">
        <v>321</v>
      </c>
    </row>
    <row r="8" spans="1:191" ht="18">
      <c r="A8" s="132" t="s">
        <v>167</v>
      </c>
      <c r="B8" t="s">
        <v>168</v>
      </c>
      <c r="C8">
        <v>2005</v>
      </c>
      <c r="D8" s="133" t="s">
        <v>333</v>
      </c>
      <c r="E8" s="141">
        <f t="shared" si="3"/>
        <v>68.106999999999999</v>
      </c>
      <c r="F8" s="135" t="s">
        <v>188</v>
      </c>
      <c r="G8" s="135" t="s">
        <v>188</v>
      </c>
      <c r="H8" s="135">
        <f t="shared" si="0"/>
        <v>251.9</v>
      </c>
      <c r="I8" s="135">
        <f t="shared" si="11"/>
        <v>19.477079947916586</v>
      </c>
      <c r="J8" s="135">
        <f t="shared" si="12"/>
        <v>19.477079947916586</v>
      </c>
      <c r="K8" s="127" t="s">
        <v>145</v>
      </c>
      <c r="L8" s="128" t="s">
        <v>146</v>
      </c>
      <c r="M8" s="163" t="s">
        <v>147</v>
      </c>
      <c r="N8" s="133" t="s">
        <v>333</v>
      </c>
      <c r="O8" s="130" t="s">
        <v>148</v>
      </c>
      <c r="P8" s="130" t="s">
        <v>149</v>
      </c>
      <c r="Q8" s="129">
        <v>1</v>
      </c>
      <c r="R8" s="129">
        <v>1</v>
      </c>
      <c r="S8" s="131">
        <v>105</v>
      </c>
      <c r="T8" s="131">
        <v>107</v>
      </c>
      <c r="U8" s="131" t="s">
        <v>155</v>
      </c>
      <c r="V8" s="129" t="s">
        <v>188</v>
      </c>
      <c r="W8" s="129" t="s">
        <v>188</v>
      </c>
      <c r="X8" s="129" t="s">
        <v>169</v>
      </c>
      <c r="Y8" s="129">
        <v>4.7699999999999996</v>
      </c>
      <c r="Z8" s="129">
        <v>-20.93</v>
      </c>
      <c r="AA8" s="129" t="s">
        <v>188</v>
      </c>
      <c r="AB8" s="129" t="s">
        <v>188</v>
      </c>
      <c r="AC8" s="129">
        <v>-2693.5</v>
      </c>
      <c r="AD8" s="129" t="s">
        <v>188</v>
      </c>
      <c r="AE8" s="129" t="s">
        <v>188</v>
      </c>
      <c r="AF8" s="134" t="s">
        <v>170</v>
      </c>
      <c r="AG8" s="135">
        <v>68.106999999999999</v>
      </c>
      <c r="AH8" s="136" t="s">
        <v>171</v>
      </c>
      <c r="AI8" s="129" t="s">
        <v>188</v>
      </c>
      <c r="AJ8" s="129" t="s">
        <v>188</v>
      </c>
      <c r="AK8" s="129" t="s">
        <v>188</v>
      </c>
      <c r="AL8" s="134" t="s">
        <v>176</v>
      </c>
      <c r="AM8" s="129" t="s">
        <v>188</v>
      </c>
      <c r="AN8" s="129" t="s">
        <v>188</v>
      </c>
      <c r="AO8" s="129" t="s">
        <v>188</v>
      </c>
      <c r="AP8" s="129" t="s">
        <v>188</v>
      </c>
      <c r="AQ8" s="129" t="s">
        <v>188</v>
      </c>
      <c r="AR8" s="129" t="s">
        <v>188</v>
      </c>
      <c r="AS8" s="129" t="s">
        <v>188</v>
      </c>
      <c r="AT8" s="129" t="s">
        <v>188</v>
      </c>
      <c r="AU8" s="134" t="s">
        <v>189</v>
      </c>
      <c r="AV8" s="130" t="s">
        <v>190</v>
      </c>
      <c r="AW8">
        <v>50</v>
      </c>
      <c r="AX8">
        <v>2.69</v>
      </c>
      <c r="AY8" s="134" t="s">
        <v>192</v>
      </c>
      <c r="AZ8" s="129" t="s">
        <v>151</v>
      </c>
      <c r="BA8" s="134" t="s">
        <v>193</v>
      </c>
      <c r="BB8" s="130" t="s">
        <v>198</v>
      </c>
      <c r="BC8">
        <v>3</v>
      </c>
      <c r="BD8" s="141">
        <v>7.5129517797230413E-2</v>
      </c>
      <c r="BE8" s="139">
        <v>21.09673384436849</v>
      </c>
      <c r="BF8" s="134" t="s">
        <v>195</v>
      </c>
      <c r="BG8" s="138">
        <v>0.33</v>
      </c>
      <c r="BH8" s="129" t="s">
        <v>188</v>
      </c>
      <c r="BI8" s="129" t="s">
        <v>188</v>
      </c>
      <c r="BJ8" s="136" t="s">
        <v>188</v>
      </c>
      <c r="BK8" s="143" t="s">
        <v>211</v>
      </c>
      <c r="BL8" s="129" t="s">
        <v>188</v>
      </c>
      <c r="BM8" s="129" t="s">
        <v>188</v>
      </c>
      <c r="BN8" s="134" t="s">
        <v>192</v>
      </c>
      <c r="BO8" s="134" t="s">
        <v>212</v>
      </c>
      <c r="BP8" t="s">
        <v>188</v>
      </c>
      <c r="BQ8" t="s">
        <v>188</v>
      </c>
      <c r="BR8" t="s">
        <v>188</v>
      </c>
      <c r="BS8" t="s">
        <v>188</v>
      </c>
      <c r="BT8" t="s">
        <v>213</v>
      </c>
      <c r="BU8">
        <v>50</v>
      </c>
      <c r="BV8" t="s">
        <v>188</v>
      </c>
      <c r="BW8" t="s">
        <v>188</v>
      </c>
      <c r="BX8" s="165">
        <f t="shared" si="2"/>
        <v>24.112511733702615</v>
      </c>
      <c r="BY8" s="134" t="s">
        <v>214</v>
      </c>
      <c r="BZ8" s="145">
        <f t="shared" si="6"/>
        <v>0.32843113601715856</v>
      </c>
      <c r="CA8" s="145">
        <f t="shared" si="7"/>
        <v>0.33843563871898397</v>
      </c>
      <c r="CB8" s="147" t="s">
        <v>222</v>
      </c>
      <c r="CC8" s="131">
        <v>2.87</v>
      </c>
      <c r="CD8" s="144" t="s">
        <v>234</v>
      </c>
      <c r="CE8" s="146">
        <f t="shared" si="8"/>
        <v>8.6099999999999996E-2</v>
      </c>
      <c r="CF8" s="134" t="s">
        <v>216</v>
      </c>
      <c r="CG8" s="134" t="s">
        <v>217</v>
      </c>
      <c r="CH8" s="129" t="s">
        <v>188</v>
      </c>
      <c r="CI8" s="134" t="s">
        <v>218</v>
      </c>
      <c r="CJ8" s="134"/>
      <c r="CK8" s="134" t="s">
        <v>188</v>
      </c>
      <c r="CL8" s="134" t="s">
        <v>217</v>
      </c>
      <c r="CM8" s="134" t="s">
        <v>188</v>
      </c>
      <c r="CN8" s="134" t="s">
        <v>188</v>
      </c>
      <c r="CO8" s="134" t="s">
        <v>188</v>
      </c>
      <c r="CP8" s="134" t="s">
        <v>188</v>
      </c>
      <c r="CQ8" s="134" t="s">
        <v>188</v>
      </c>
      <c r="CR8" s="134" t="s">
        <v>188</v>
      </c>
      <c r="CS8" s="134" t="s">
        <v>188</v>
      </c>
      <c r="CT8" s="134" t="s">
        <v>188</v>
      </c>
      <c r="CU8" s="150">
        <v>36.41477368421053</v>
      </c>
      <c r="CV8" s="151" t="s">
        <v>235</v>
      </c>
      <c r="CW8" s="130">
        <v>0.14500000000000002</v>
      </c>
      <c r="CX8" s="134" t="s">
        <v>236</v>
      </c>
      <c r="CY8" s="129" t="s">
        <v>237</v>
      </c>
      <c r="CZ8" s="129" t="s">
        <v>188</v>
      </c>
      <c r="DA8" s="129" t="s">
        <v>188</v>
      </c>
      <c r="DB8" s="152" t="s">
        <v>238</v>
      </c>
      <c r="DC8" s="129" t="s">
        <v>237</v>
      </c>
      <c r="DD8" s="129" t="s">
        <v>188</v>
      </c>
      <c r="DE8" s="129" t="s">
        <v>188</v>
      </c>
      <c r="DF8" s="152" t="s">
        <v>238</v>
      </c>
      <c r="DG8" s="129" t="s">
        <v>237</v>
      </c>
      <c r="DH8" s="129" t="s">
        <v>188</v>
      </c>
      <c r="DI8" s="129" t="s">
        <v>188</v>
      </c>
      <c r="DJ8" s="152" t="s">
        <v>238</v>
      </c>
      <c r="DK8" s="153">
        <v>416</v>
      </c>
      <c r="DL8" s="129" t="s">
        <v>188</v>
      </c>
      <c r="DM8" s="129" t="s">
        <v>188</v>
      </c>
      <c r="DN8" s="134" t="s">
        <v>239</v>
      </c>
      <c r="DO8" s="129">
        <v>39.5</v>
      </c>
      <c r="DP8" s="129" t="s">
        <v>188</v>
      </c>
      <c r="DQ8" s="129" t="s">
        <v>188</v>
      </c>
      <c r="DR8" s="134" t="s">
        <v>240</v>
      </c>
      <c r="DS8" s="134" t="s">
        <v>241</v>
      </c>
      <c r="DT8" s="154" t="s">
        <v>242</v>
      </c>
      <c r="DU8" s="155">
        <f t="shared" si="9"/>
        <v>1.019413543860143</v>
      </c>
      <c r="DV8" s="153" t="s">
        <v>188</v>
      </c>
      <c r="DW8" s="153" t="s">
        <v>188</v>
      </c>
      <c r="DX8" s="154" t="s">
        <v>310</v>
      </c>
      <c r="DY8" s="156" t="s">
        <v>243</v>
      </c>
      <c r="DZ8" s="154" t="s">
        <v>244</v>
      </c>
      <c r="EA8" s="134" t="s">
        <v>252</v>
      </c>
      <c r="EB8" s="134" t="s">
        <v>246</v>
      </c>
      <c r="EC8" s="157" t="s">
        <v>247</v>
      </c>
      <c r="ED8" s="157" t="s">
        <v>247</v>
      </c>
      <c r="EE8" s="134" t="s">
        <v>248</v>
      </c>
      <c r="EF8" s="134" t="s">
        <v>188</v>
      </c>
      <c r="EG8" s="134" t="s">
        <v>188</v>
      </c>
      <c r="EH8" s="134" t="s">
        <v>264</v>
      </c>
      <c r="EI8" s="134" t="s">
        <v>270</v>
      </c>
      <c r="EJ8" s="134" t="s">
        <v>266</v>
      </c>
      <c r="EK8" s="141">
        <v>2413.6999999999998</v>
      </c>
      <c r="EL8" s="134" t="s">
        <v>282</v>
      </c>
      <c r="EM8" s="129">
        <v>54</v>
      </c>
      <c r="EN8" s="129">
        <v>54</v>
      </c>
      <c r="EO8" t="s">
        <v>188</v>
      </c>
      <c r="EP8" t="s">
        <v>188</v>
      </c>
      <c r="EQ8" t="s">
        <v>188</v>
      </c>
      <c r="ER8" t="s">
        <v>188</v>
      </c>
      <c r="ES8" s="160">
        <v>8.2200000000000006</v>
      </c>
      <c r="ET8" s="134" t="s">
        <v>283</v>
      </c>
      <c r="EU8" s="129">
        <v>0.03</v>
      </c>
      <c r="EV8" s="129">
        <v>0.03</v>
      </c>
      <c r="EW8" s="161">
        <v>251.9</v>
      </c>
      <c r="EX8" s="162">
        <v>0</v>
      </c>
      <c r="EY8" s="134" t="s">
        <v>288</v>
      </c>
      <c r="EZ8" s="159">
        <f t="shared" si="10"/>
        <v>251.9</v>
      </c>
      <c r="FA8" s="150">
        <v>19.477079947916586</v>
      </c>
      <c r="FB8" s="150">
        <v>19.477079947916586</v>
      </c>
      <c r="FC8" s="134" t="s">
        <v>300</v>
      </c>
      <c r="FD8" s="134" t="s">
        <v>301</v>
      </c>
      <c r="FE8" t="s">
        <v>188</v>
      </c>
      <c r="FF8" t="s">
        <v>188</v>
      </c>
      <c r="FG8" t="s">
        <v>188</v>
      </c>
      <c r="FH8" t="s">
        <v>188</v>
      </c>
      <c r="FI8" t="s">
        <v>188</v>
      </c>
      <c r="FJ8" t="s">
        <v>188</v>
      </c>
      <c r="FK8" t="s">
        <v>188</v>
      </c>
      <c r="FL8" t="s">
        <v>188</v>
      </c>
      <c r="FM8" t="s">
        <v>188</v>
      </c>
      <c r="FN8" t="s">
        <v>188</v>
      </c>
      <c r="FO8" t="s">
        <v>188</v>
      </c>
      <c r="FP8" t="s">
        <v>188</v>
      </c>
      <c r="FQ8" s="134" t="s">
        <v>321</v>
      </c>
    </row>
    <row r="9" spans="1:191" ht="18">
      <c r="A9" s="132" t="s">
        <v>167</v>
      </c>
      <c r="B9" t="s">
        <v>168</v>
      </c>
      <c r="C9">
        <v>2005</v>
      </c>
      <c r="D9" s="133" t="s">
        <v>333</v>
      </c>
      <c r="E9" s="141">
        <f t="shared" si="3"/>
        <v>109.163</v>
      </c>
      <c r="F9" s="135" t="s">
        <v>188</v>
      </c>
      <c r="G9" s="135" t="s">
        <v>188</v>
      </c>
      <c r="H9" s="135">
        <f t="shared" si="0"/>
        <v>277.10000000000002</v>
      </c>
      <c r="I9" s="135">
        <f t="shared" si="11"/>
        <v>21.586419092371496</v>
      </c>
      <c r="J9" s="135">
        <f t="shared" si="12"/>
        <v>21.586419092371496</v>
      </c>
      <c r="K9" s="127" t="s">
        <v>145</v>
      </c>
      <c r="L9" s="128" t="s">
        <v>146</v>
      </c>
      <c r="M9" s="163" t="s">
        <v>147</v>
      </c>
      <c r="N9" s="133" t="s">
        <v>333</v>
      </c>
      <c r="O9" s="130" t="s">
        <v>148</v>
      </c>
      <c r="P9" s="130" t="s">
        <v>149</v>
      </c>
      <c r="Q9" s="129">
        <v>1</v>
      </c>
      <c r="R9" s="129">
        <v>2</v>
      </c>
      <c r="S9" s="131">
        <v>25</v>
      </c>
      <c r="T9" s="131">
        <v>27</v>
      </c>
      <c r="U9" s="131" t="s">
        <v>156</v>
      </c>
      <c r="V9" s="129" t="s">
        <v>188</v>
      </c>
      <c r="W9" s="129" t="s">
        <v>188</v>
      </c>
      <c r="X9" s="129" t="s">
        <v>169</v>
      </c>
      <c r="Y9" s="129">
        <v>4.7699999999999996</v>
      </c>
      <c r="Z9" s="129">
        <v>-20.93</v>
      </c>
      <c r="AA9" s="129" t="s">
        <v>188</v>
      </c>
      <c r="AB9" s="129" t="s">
        <v>188</v>
      </c>
      <c r="AC9" s="129">
        <v>-2693.5</v>
      </c>
      <c r="AD9" s="129" t="s">
        <v>188</v>
      </c>
      <c r="AE9" s="129" t="s">
        <v>188</v>
      </c>
      <c r="AF9" s="134" t="s">
        <v>170</v>
      </c>
      <c r="AG9" s="135">
        <v>109.163</v>
      </c>
      <c r="AH9" s="136" t="s">
        <v>171</v>
      </c>
      <c r="AI9" s="129" t="s">
        <v>188</v>
      </c>
      <c r="AJ9" s="129" t="s">
        <v>188</v>
      </c>
      <c r="AK9" s="129" t="s">
        <v>188</v>
      </c>
      <c r="AL9" s="134" t="s">
        <v>177</v>
      </c>
      <c r="AM9" s="129" t="s">
        <v>188</v>
      </c>
      <c r="AN9" s="129" t="s">
        <v>188</v>
      </c>
      <c r="AO9" s="129" t="s">
        <v>188</v>
      </c>
      <c r="AP9" s="129" t="s">
        <v>188</v>
      </c>
      <c r="AQ9" s="129" t="s">
        <v>188</v>
      </c>
      <c r="AR9" s="129" t="s">
        <v>188</v>
      </c>
      <c r="AS9" s="129" t="s">
        <v>188</v>
      </c>
      <c r="AT9" s="129" t="s">
        <v>188</v>
      </c>
      <c r="AU9" s="134" t="s">
        <v>189</v>
      </c>
      <c r="AV9" s="130" t="s">
        <v>190</v>
      </c>
      <c r="AW9">
        <v>50</v>
      </c>
      <c r="AX9">
        <v>5.03</v>
      </c>
      <c r="AY9" s="134" t="s">
        <v>192</v>
      </c>
      <c r="AZ9" s="129" t="s">
        <v>151</v>
      </c>
      <c r="BA9" s="134" t="s">
        <v>193</v>
      </c>
      <c r="BB9" s="130" t="s">
        <v>199</v>
      </c>
      <c r="BC9">
        <v>3</v>
      </c>
      <c r="BD9" s="141">
        <v>0.18049315160907975</v>
      </c>
      <c r="BE9" s="139">
        <v>21.024766659840161</v>
      </c>
      <c r="BF9" s="134" t="s">
        <v>195</v>
      </c>
      <c r="BG9" s="138">
        <v>0.33</v>
      </c>
      <c r="BH9" s="129" t="s">
        <v>188</v>
      </c>
      <c r="BI9" s="129" t="s">
        <v>188</v>
      </c>
      <c r="BJ9" s="136" t="s">
        <v>188</v>
      </c>
      <c r="BK9" s="143" t="s">
        <v>211</v>
      </c>
      <c r="BL9" s="129" t="s">
        <v>188</v>
      </c>
      <c r="BM9" s="129" t="s">
        <v>188</v>
      </c>
      <c r="BN9" s="134" t="s">
        <v>192</v>
      </c>
      <c r="BO9" s="134" t="s">
        <v>212</v>
      </c>
      <c r="BP9" t="s">
        <v>188</v>
      </c>
      <c r="BQ9" t="s">
        <v>188</v>
      </c>
      <c r="BR9" t="s">
        <v>188</v>
      </c>
      <c r="BS9" t="s">
        <v>188</v>
      </c>
      <c r="BT9" t="s">
        <v>213</v>
      </c>
      <c r="BU9">
        <v>50</v>
      </c>
      <c r="BV9" t="s">
        <v>188</v>
      </c>
      <c r="BW9" t="s">
        <v>188</v>
      </c>
      <c r="BX9" s="165">
        <f t="shared" si="2"/>
        <v>26.028070195079234</v>
      </c>
      <c r="BY9" s="134" t="s">
        <v>214</v>
      </c>
      <c r="BZ9" s="145">
        <f t="shared" si="6"/>
        <v>0.32843113601715856</v>
      </c>
      <c r="CA9" s="145">
        <f t="shared" si="7"/>
        <v>0.33843563871898752</v>
      </c>
      <c r="CB9" s="147" t="s">
        <v>223</v>
      </c>
      <c r="CC9" s="131">
        <v>3.41</v>
      </c>
      <c r="CD9" s="144" t="s">
        <v>234</v>
      </c>
      <c r="CE9" s="146">
        <f t="shared" si="8"/>
        <v>0.1023</v>
      </c>
      <c r="CF9" s="134" t="s">
        <v>216</v>
      </c>
      <c r="CG9" s="134" t="s">
        <v>217</v>
      </c>
      <c r="CH9" s="129" t="s">
        <v>188</v>
      </c>
      <c r="CI9" s="134" t="s">
        <v>218</v>
      </c>
      <c r="CJ9" s="134"/>
      <c r="CK9" s="134" t="s">
        <v>188</v>
      </c>
      <c r="CL9" s="134" t="s">
        <v>217</v>
      </c>
      <c r="CM9" s="134" t="s">
        <v>188</v>
      </c>
      <c r="CN9" s="134" t="s">
        <v>188</v>
      </c>
      <c r="CO9" s="134" t="s">
        <v>188</v>
      </c>
      <c r="CP9" s="134" t="s">
        <v>188</v>
      </c>
      <c r="CQ9" s="134" t="s">
        <v>188</v>
      </c>
      <c r="CR9" s="134" t="s">
        <v>188</v>
      </c>
      <c r="CS9" s="134" t="s">
        <v>188</v>
      </c>
      <c r="CT9" s="134" t="s">
        <v>188</v>
      </c>
      <c r="CU9" s="150">
        <v>36.108625263157897</v>
      </c>
      <c r="CV9" s="151" t="s">
        <v>235</v>
      </c>
      <c r="CW9" s="130">
        <v>0.12</v>
      </c>
      <c r="CX9" s="134" t="s">
        <v>236</v>
      </c>
      <c r="CY9" s="129" t="s">
        <v>237</v>
      </c>
      <c r="CZ9" s="129" t="s">
        <v>188</v>
      </c>
      <c r="DA9" s="129" t="s">
        <v>188</v>
      </c>
      <c r="DB9" s="152" t="s">
        <v>238</v>
      </c>
      <c r="DC9" s="129" t="s">
        <v>237</v>
      </c>
      <c r="DD9" s="129" t="s">
        <v>188</v>
      </c>
      <c r="DE9" s="129" t="s">
        <v>188</v>
      </c>
      <c r="DF9" s="152" t="s">
        <v>238</v>
      </c>
      <c r="DG9" s="129" t="s">
        <v>237</v>
      </c>
      <c r="DH9" s="129" t="s">
        <v>188</v>
      </c>
      <c r="DI9" s="129" t="s">
        <v>188</v>
      </c>
      <c r="DJ9" s="152" t="s">
        <v>238</v>
      </c>
      <c r="DK9" s="153">
        <v>416</v>
      </c>
      <c r="DL9" s="129" t="s">
        <v>188</v>
      </c>
      <c r="DM9" s="129" t="s">
        <v>188</v>
      </c>
      <c r="DN9" s="134" t="s">
        <v>239</v>
      </c>
      <c r="DO9" s="129">
        <v>39.5</v>
      </c>
      <c r="DP9" s="129" t="s">
        <v>188</v>
      </c>
      <c r="DQ9" s="129" t="s">
        <v>188</v>
      </c>
      <c r="DR9" s="134" t="s">
        <v>240</v>
      </c>
      <c r="DS9" s="134" t="s">
        <v>241</v>
      </c>
      <c r="DT9" s="154" t="s">
        <v>242</v>
      </c>
      <c r="DU9" s="155">
        <f t="shared" si="9"/>
        <v>1.0193192888060512</v>
      </c>
      <c r="DV9" s="153" t="s">
        <v>188</v>
      </c>
      <c r="DW9" s="153" t="s">
        <v>188</v>
      </c>
      <c r="DX9" s="154" t="s">
        <v>310</v>
      </c>
      <c r="DY9" s="156" t="s">
        <v>243</v>
      </c>
      <c r="DZ9" s="154" t="s">
        <v>244</v>
      </c>
      <c r="EA9" s="134" t="s">
        <v>253</v>
      </c>
      <c r="EB9" s="134" t="s">
        <v>246</v>
      </c>
      <c r="EC9" s="157" t="s">
        <v>247</v>
      </c>
      <c r="ED9" s="157" t="s">
        <v>247</v>
      </c>
      <c r="EE9" s="134" t="s">
        <v>248</v>
      </c>
      <c r="EF9" s="134" t="s">
        <v>188</v>
      </c>
      <c r="EG9" s="134" t="s">
        <v>188</v>
      </c>
      <c r="EH9" s="134" t="s">
        <v>264</v>
      </c>
      <c r="EI9" s="134" t="s">
        <v>271</v>
      </c>
      <c r="EJ9" s="134" t="s">
        <v>266</v>
      </c>
      <c r="EK9" s="141">
        <v>2393.1</v>
      </c>
      <c r="EL9" s="134" t="s">
        <v>282</v>
      </c>
      <c r="EM9" s="129">
        <v>54</v>
      </c>
      <c r="EN9" s="129">
        <v>54</v>
      </c>
      <c r="EO9" t="s">
        <v>188</v>
      </c>
      <c r="EP9" t="s">
        <v>188</v>
      </c>
      <c r="EQ9" t="s">
        <v>188</v>
      </c>
      <c r="ER9" t="s">
        <v>188</v>
      </c>
      <c r="ES9" s="160">
        <v>8.17</v>
      </c>
      <c r="ET9" s="134" t="s">
        <v>283</v>
      </c>
      <c r="EU9" s="129">
        <v>0.03</v>
      </c>
      <c r="EV9" s="129">
        <v>0.03</v>
      </c>
      <c r="EW9" s="161">
        <v>277.10000000000002</v>
      </c>
      <c r="EX9" s="162">
        <v>0</v>
      </c>
      <c r="EY9" s="134" t="s">
        <v>289</v>
      </c>
      <c r="EZ9" s="159">
        <f t="shared" si="10"/>
        <v>277.10000000000002</v>
      </c>
      <c r="FA9" s="150">
        <v>21.586419092371496</v>
      </c>
      <c r="FB9" s="150">
        <v>21.586419092371496</v>
      </c>
      <c r="FC9" s="134" t="s">
        <v>300</v>
      </c>
      <c r="FD9" s="134" t="s">
        <v>301</v>
      </c>
      <c r="FE9" t="s">
        <v>188</v>
      </c>
      <c r="FF9" t="s">
        <v>188</v>
      </c>
      <c r="FG9" t="s">
        <v>188</v>
      </c>
      <c r="FH9" t="s">
        <v>188</v>
      </c>
      <c r="FI9" t="s">
        <v>188</v>
      </c>
      <c r="FJ9" t="s">
        <v>188</v>
      </c>
      <c r="FK9" t="s">
        <v>188</v>
      </c>
      <c r="FL9" t="s">
        <v>188</v>
      </c>
      <c r="FM9" t="s">
        <v>188</v>
      </c>
      <c r="FN9" t="s">
        <v>188</v>
      </c>
      <c r="FO9" t="s">
        <v>188</v>
      </c>
      <c r="FP9" t="s">
        <v>188</v>
      </c>
      <c r="FQ9" s="134" t="s">
        <v>321</v>
      </c>
    </row>
    <row r="10" spans="1:191" ht="18">
      <c r="A10" s="132" t="s">
        <v>167</v>
      </c>
      <c r="B10" t="s">
        <v>168</v>
      </c>
      <c r="C10">
        <v>2005</v>
      </c>
      <c r="D10" s="133" t="s">
        <v>333</v>
      </c>
      <c r="E10" s="141">
        <f t="shared" si="3"/>
        <v>128.399</v>
      </c>
      <c r="F10" s="135" t="s">
        <v>188</v>
      </c>
      <c r="G10" s="135" t="s">
        <v>188</v>
      </c>
      <c r="H10" s="135">
        <f t="shared" si="0"/>
        <v>330.1</v>
      </c>
      <c r="I10" s="135">
        <f t="shared" si="11"/>
        <v>26.733275604779756</v>
      </c>
      <c r="J10" s="135">
        <f t="shared" si="12"/>
        <v>26.733275604779756</v>
      </c>
      <c r="K10" s="127" t="s">
        <v>145</v>
      </c>
      <c r="L10" s="128" t="s">
        <v>146</v>
      </c>
      <c r="M10" s="163" t="s">
        <v>147</v>
      </c>
      <c r="N10" s="133" t="s">
        <v>333</v>
      </c>
      <c r="O10" s="130" t="s">
        <v>148</v>
      </c>
      <c r="P10" s="130" t="s">
        <v>149</v>
      </c>
      <c r="Q10" s="129">
        <v>1</v>
      </c>
      <c r="R10" s="129">
        <v>2</v>
      </c>
      <c r="S10" s="131">
        <v>39</v>
      </c>
      <c r="T10" s="131">
        <v>41</v>
      </c>
      <c r="U10" s="131" t="s">
        <v>157</v>
      </c>
      <c r="V10" s="129" t="s">
        <v>188</v>
      </c>
      <c r="W10" s="129" t="s">
        <v>188</v>
      </c>
      <c r="X10" s="129" t="s">
        <v>169</v>
      </c>
      <c r="Y10" s="129">
        <v>4.7699999999999996</v>
      </c>
      <c r="Z10" s="129">
        <v>-20.93</v>
      </c>
      <c r="AA10" s="129" t="s">
        <v>188</v>
      </c>
      <c r="AB10" s="129" t="s">
        <v>188</v>
      </c>
      <c r="AC10" s="129">
        <v>-2693.5</v>
      </c>
      <c r="AD10" s="129" t="s">
        <v>188</v>
      </c>
      <c r="AE10" s="129" t="s">
        <v>188</v>
      </c>
      <c r="AF10" s="134" t="s">
        <v>170</v>
      </c>
      <c r="AG10" s="135">
        <v>128.399</v>
      </c>
      <c r="AH10" s="136" t="s">
        <v>171</v>
      </c>
      <c r="AI10" s="129" t="s">
        <v>188</v>
      </c>
      <c r="AJ10" s="129" t="s">
        <v>188</v>
      </c>
      <c r="AK10" s="129" t="s">
        <v>188</v>
      </c>
      <c r="AL10" s="134" t="s">
        <v>178</v>
      </c>
      <c r="AM10" s="129" t="s">
        <v>188</v>
      </c>
      <c r="AN10" s="129" t="s">
        <v>188</v>
      </c>
      <c r="AO10" s="129" t="s">
        <v>188</v>
      </c>
      <c r="AP10" s="129" t="s">
        <v>188</v>
      </c>
      <c r="AQ10" s="129" t="s">
        <v>188</v>
      </c>
      <c r="AR10" s="129" t="s">
        <v>188</v>
      </c>
      <c r="AS10" s="129" t="s">
        <v>188</v>
      </c>
      <c r="AT10" s="129" t="s">
        <v>188</v>
      </c>
      <c r="AU10" s="134" t="s">
        <v>189</v>
      </c>
      <c r="AV10" s="130" t="s">
        <v>190</v>
      </c>
      <c r="AW10">
        <v>50</v>
      </c>
      <c r="AX10">
        <v>2.0699999999999998</v>
      </c>
      <c r="AY10" s="134" t="s">
        <v>192</v>
      </c>
      <c r="AZ10" s="129" t="s">
        <v>151</v>
      </c>
      <c r="BA10" s="134" t="s">
        <v>193</v>
      </c>
      <c r="BB10" s="130" t="s">
        <v>200</v>
      </c>
      <c r="BC10">
        <v>4</v>
      </c>
      <c r="BD10" s="141">
        <v>0.17935068069752946</v>
      </c>
      <c r="BE10" s="139">
        <v>20.684525968865429</v>
      </c>
      <c r="BF10" s="134" t="s">
        <v>195</v>
      </c>
      <c r="BG10" s="138">
        <v>0.28999999999999998</v>
      </c>
      <c r="BH10" s="129" t="s">
        <v>188</v>
      </c>
      <c r="BI10" s="129" t="s">
        <v>188</v>
      </c>
      <c r="BJ10" s="136" t="s">
        <v>188</v>
      </c>
      <c r="BK10" s="143" t="s">
        <v>211</v>
      </c>
      <c r="BL10" s="129" t="s">
        <v>188</v>
      </c>
      <c r="BM10" s="129" t="s">
        <v>188</v>
      </c>
      <c r="BN10" s="134" t="s">
        <v>192</v>
      </c>
      <c r="BO10" s="134" t="s">
        <v>212</v>
      </c>
      <c r="BP10" t="s">
        <v>188</v>
      </c>
      <c r="BQ10" t="s">
        <v>188</v>
      </c>
      <c r="BR10" t="s">
        <v>188</v>
      </c>
      <c r="BS10" t="s">
        <v>188</v>
      </c>
      <c r="BT10" t="s">
        <v>213</v>
      </c>
      <c r="BU10">
        <v>50</v>
      </c>
      <c r="BV10" t="s">
        <v>188</v>
      </c>
      <c r="BW10" t="s">
        <v>188</v>
      </c>
      <c r="BX10" s="165">
        <f t="shared" si="2"/>
        <v>27.80120430423996</v>
      </c>
      <c r="BY10" s="134" t="s">
        <v>214</v>
      </c>
      <c r="BZ10" s="145">
        <f t="shared" si="6"/>
        <v>0.32843113601715856</v>
      </c>
      <c r="CA10" s="145">
        <f t="shared" si="7"/>
        <v>0.33843563871898752</v>
      </c>
      <c r="CB10" s="147" t="s">
        <v>224</v>
      </c>
      <c r="CC10" s="131">
        <v>4</v>
      </c>
      <c r="CD10" s="144" t="s">
        <v>234</v>
      </c>
      <c r="CE10" s="146">
        <f t="shared" si="8"/>
        <v>0.12</v>
      </c>
      <c r="CF10" s="134" t="s">
        <v>216</v>
      </c>
      <c r="CG10" s="134" t="s">
        <v>217</v>
      </c>
      <c r="CH10" s="129" t="s">
        <v>188</v>
      </c>
      <c r="CI10" s="134" t="s">
        <v>218</v>
      </c>
      <c r="CJ10" s="134"/>
      <c r="CK10" s="134" t="s">
        <v>188</v>
      </c>
      <c r="CL10" s="134" t="s">
        <v>217</v>
      </c>
      <c r="CM10" s="134" t="s">
        <v>188</v>
      </c>
      <c r="CN10" s="134" t="s">
        <v>188</v>
      </c>
      <c r="CO10" s="134" t="s">
        <v>188</v>
      </c>
      <c r="CP10" s="134" t="s">
        <v>188</v>
      </c>
      <c r="CQ10" s="134" t="s">
        <v>188</v>
      </c>
      <c r="CR10" s="134" t="s">
        <v>188</v>
      </c>
      <c r="CS10" s="134" t="s">
        <v>188</v>
      </c>
      <c r="CT10" s="134" t="s">
        <v>188</v>
      </c>
      <c r="CU10" s="150">
        <v>35.711447368421055</v>
      </c>
      <c r="CV10" s="151" t="s">
        <v>235</v>
      </c>
      <c r="CW10" s="130">
        <v>0.125</v>
      </c>
      <c r="CX10" s="134" t="s">
        <v>236</v>
      </c>
      <c r="CY10" s="129" t="s">
        <v>237</v>
      </c>
      <c r="CZ10" s="129" t="s">
        <v>188</v>
      </c>
      <c r="DA10" s="129" t="s">
        <v>188</v>
      </c>
      <c r="DB10" s="152" t="s">
        <v>238</v>
      </c>
      <c r="DC10" s="129" t="s">
        <v>237</v>
      </c>
      <c r="DD10" s="129" t="s">
        <v>188</v>
      </c>
      <c r="DE10" s="129" t="s">
        <v>188</v>
      </c>
      <c r="DF10" s="152" t="s">
        <v>238</v>
      </c>
      <c r="DG10" s="129" t="s">
        <v>237</v>
      </c>
      <c r="DH10" s="129" t="s">
        <v>188</v>
      </c>
      <c r="DI10" s="129" t="s">
        <v>188</v>
      </c>
      <c r="DJ10" s="152" t="s">
        <v>238</v>
      </c>
      <c r="DK10" s="153">
        <v>416</v>
      </c>
      <c r="DL10" s="129" t="s">
        <v>188</v>
      </c>
      <c r="DM10" s="129" t="s">
        <v>188</v>
      </c>
      <c r="DN10" s="134" t="s">
        <v>239</v>
      </c>
      <c r="DO10" s="129">
        <v>39.5</v>
      </c>
      <c r="DP10" s="129" t="s">
        <v>188</v>
      </c>
      <c r="DQ10" s="129" t="s">
        <v>188</v>
      </c>
      <c r="DR10" s="134" t="s">
        <v>240</v>
      </c>
      <c r="DS10" s="134" t="s">
        <v>241</v>
      </c>
      <c r="DT10" s="154" t="s">
        <v>242</v>
      </c>
      <c r="DU10" s="155">
        <f t="shared" si="9"/>
        <v>1.0192320417422098</v>
      </c>
      <c r="DV10" s="153" t="s">
        <v>188</v>
      </c>
      <c r="DW10" s="153" t="s">
        <v>188</v>
      </c>
      <c r="DX10" s="154" t="s">
        <v>310</v>
      </c>
      <c r="DY10" s="156" t="s">
        <v>243</v>
      </c>
      <c r="DZ10" s="154" t="s">
        <v>244</v>
      </c>
      <c r="EA10" s="134" t="s">
        <v>254</v>
      </c>
      <c r="EB10" s="134" t="s">
        <v>246</v>
      </c>
      <c r="EC10" s="157" t="s">
        <v>247</v>
      </c>
      <c r="ED10" s="157" t="s">
        <v>247</v>
      </c>
      <c r="EE10" s="134" t="s">
        <v>248</v>
      </c>
      <c r="EF10" s="134" t="s">
        <v>188</v>
      </c>
      <c r="EG10" s="134" t="s">
        <v>188</v>
      </c>
      <c r="EH10" s="134" t="s">
        <v>264</v>
      </c>
      <c r="EI10" s="134" t="s">
        <v>272</v>
      </c>
      <c r="EJ10" s="134" t="s">
        <v>266</v>
      </c>
      <c r="EK10" s="141">
        <v>2366.4</v>
      </c>
      <c r="EL10" s="134" t="s">
        <v>282</v>
      </c>
      <c r="EM10" s="129">
        <v>54</v>
      </c>
      <c r="EN10" s="129">
        <v>54</v>
      </c>
      <c r="EO10" t="s">
        <v>188</v>
      </c>
      <c r="EP10" t="s">
        <v>188</v>
      </c>
      <c r="EQ10" t="s">
        <v>188</v>
      </c>
      <c r="ER10" t="s">
        <v>188</v>
      </c>
      <c r="ES10" s="160">
        <v>8.11</v>
      </c>
      <c r="ET10" s="134" t="s">
        <v>283</v>
      </c>
      <c r="EU10" s="129">
        <v>0.03</v>
      </c>
      <c r="EV10" s="129">
        <v>0.03</v>
      </c>
      <c r="EW10" s="161">
        <v>330.1</v>
      </c>
      <c r="EX10" s="162">
        <v>0</v>
      </c>
      <c r="EY10" s="134" t="s">
        <v>290</v>
      </c>
      <c r="EZ10" s="159">
        <f t="shared" si="10"/>
        <v>330.1</v>
      </c>
      <c r="FA10" s="150">
        <v>26.733275604779756</v>
      </c>
      <c r="FB10" s="150">
        <v>26.733275604779756</v>
      </c>
      <c r="FC10" s="134" t="s">
        <v>300</v>
      </c>
      <c r="FD10" s="134" t="s">
        <v>301</v>
      </c>
      <c r="FE10" t="s">
        <v>188</v>
      </c>
      <c r="FF10" t="s">
        <v>188</v>
      </c>
      <c r="FG10" t="s">
        <v>188</v>
      </c>
      <c r="FH10" t="s">
        <v>188</v>
      </c>
      <c r="FI10" t="s">
        <v>188</v>
      </c>
      <c r="FJ10" t="s">
        <v>188</v>
      </c>
      <c r="FK10" t="s">
        <v>188</v>
      </c>
      <c r="FL10" t="s">
        <v>188</v>
      </c>
      <c r="FM10" t="s">
        <v>188</v>
      </c>
      <c r="FN10" t="s">
        <v>188</v>
      </c>
      <c r="FO10" t="s">
        <v>188</v>
      </c>
      <c r="FP10" t="s">
        <v>188</v>
      </c>
      <c r="FQ10" s="134" t="s">
        <v>321</v>
      </c>
    </row>
    <row r="11" spans="1:191" ht="18">
      <c r="A11" s="132" t="s">
        <v>167</v>
      </c>
      <c r="B11" t="s">
        <v>168</v>
      </c>
      <c r="C11">
        <v>2005</v>
      </c>
      <c r="D11" s="133" t="s">
        <v>333</v>
      </c>
      <c r="E11" s="141">
        <f t="shared" si="3"/>
        <v>131.32</v>
      </c>
      <c r="F11" s="135" t="s">
        <v>188</v>
      </c>
      <c r="G11" s="135" t="s">
        <v>188</v>
      </c>
      <c r="H11" s="135">
        <f t="shared" si="0"/>
        <v>290</v>
      </c>
      <c r="I11" s="135">
        <f t="shared" si="11"/>
        <v>22.819949071978964</v>
      </c>
      <c r="J11" s="135">
        <f t="shared" si="12"/>
        <v>22.819949071978964</v>
      </c>
      <c r="K11" s="127" t="s">
        <v>145</v>
      </c>
      <c r="L11" s="128" t="s">
        <v>146</v>
      </c>
      <c r="M11" s="163" t="s">
        <v>147</v>
      </c>
      <c r="N11" s="133" t="s">
        <v>333</v>
      </c>
      <c r="O11" s="130" t="s">
        <v>148</v>
      </c>
      <c r="P11" s="130" t="s">
        <v>149</v>
      </c>
      <c r="Q11" s="129">
        <v>1</v>
      </c>
      <c r="R11" s="129">
        <v>2</v>
      </c>
      <c r="S11" s="131">
        <v>49</v>
      </c>
      <c r="T11" s="131">
        <v>51</v>
      </c>
      <c r="U11" s="131" t="s">
        <v>158</v>
      </c>
      <c r="V11" s="129" t="s">
        <v>188</v>
      </c>
      <c r="W11" s="129" t="s">
        <v>188</v>
      </c>
      <c r="X11" s="129" t="s">
        <v>169</v>
      </c>
      <c r="Y11" s="129">
        <v>4.7699999999999996</v>
      </c>
      <c r="Z11" s="129">
        <v>-20.93</v>
      </c>
      <c r="AA11" s="129" t="s">
        <v>188</v>
      </c>
      <c r="AB11" s="129" t="s">
        <v>188</v>
      </c>
      <c r="AC11" s="129">
        <v>-2693.5</v>
      </c>
      <c r="AD11" s="129" t="s">
        <v>188</v>
      </c>
      <c r="AE11" s="129" t="s">
        <v>188</v>
      </c>
      <c r="AF11" s="134" t="s">
        <v>170</v>
      </c>
      <c r="AG11" s="135">
        <v>131.32</v>
      </c>
      <c r="AH11" s="136" t="s">
        <v>171</v>
      </c>
      <c r="AI11" s="129" t="s">
        <v>188</v>
      </c>
      <c r="AJ11" s="129" t="s">
        <v>188</v>
      </c>
      <c r="AK11" s="129" t="s">
        <v>188</v>
      </c>
      <c r="AL11" s="134" t="s">
        <v>179</v>
      </c>
      <c r="AM11" s="129" t="s">
        <v>188</v>
      </c>
      <c r="AN11" s="129" t="s">
        <v>188</v>
      </c>
      <c r="AO11" s="129" t="s">
        <v>188</v>
      </c>
      <c r="AP11" s="129" t="s">
        <v>188</v>
      </c>
      <c r="AQ11" s="129" t="s">
        <v>188</v>
      </c>
      <c r="AR11" s="129" t="s">
        <v>188</v>
      </c>
      <c r="AS11" s="129" t="s">
        <v>188</v>
      </c>
      <c r="AT11" s="129" t="s">
        <v>188</v>
      </c>
      <c r="AU11" s="134" t="s">
        <v>189</v>
      </c>
      <c r="AV11" s="130" t="s">
        <v>190</v>
      </c>
      <c r="AW11">
        <v>50</v>
      </c>
      <c r="AX11">
        <v>3.12</v>
      </c>
      <c r="AY11" s="134" t="s">
        <v>192</v>
      </c>
      <c r="AZ11" s="129" t="s">
        <v>151</v>
      </c>
      <c r="BA11" s="134" t="s">
        <v>193</v>
      </c>
      <c r="BB11" s="130" t="s">
        <v>201</v>
      </c>
      <c r="BC11">
        <v>3</v>
      </c>
      <c r="BD11" s="141">
        <v>0.12719189352226082</v>
      </c>
      <c r="BE11" s="139">
        <v>20.987533637288987</v>
      </c>
      <c r="BF11" s="134" t="s">
        <v>195</v>
      </c>
      <c r="BG11" s="138">
        <v>0.33</v>
      </c>
      <c r="BH11" s="129" t="s">
        <v>188</v>
      </c>
      <c r="BI11" s="129" t="s">
        <v>188</v>
      </c>
      <c r="BJ11" s="136" t="s">
        <v>188</v>
      </c>
      <c r="BK11" s="143" t="s">
        <v>211</v>
      </c>
      <c r="BL11" s="129" t="s">
        <v>188</v>
      </c>
      <c r="BM11" s="129" t="s">
        <v>188</v>
      </c>
      <c r="BN11" s="134" t="s">
        <v>192</v>
      </c>
      <c r="BO11" s="134" t="s">
        <v>212</v>
      </c>
      <c r="BP11" t="s">
        <v>188</v>
      </c>
      <c r="BQ11" t="s">
        <v>188</v>
      </c>
      <c r="BR11" t="s">
        <v>188</v>
      </c>
      <c r="BS11" t="s">
        <v>188</v>
      </c>
      <c r="BT11" t="s">
        <v>213</v>
      </c>
      <c r="BU11">
        <v>50</v>
      </c>
      <c r="BV11" t="s">
        <v>188</v>
      </c>
      <c r="BW11" t="s">
        <v>188</v>
      </c>
      <c r="BX11" s="165">
        <f t="shared" si="2"/>
        <v>26.994863272741789</v>
      </c>
      <c r="BY11" s="134" t="s">
        <v>214</v>
      </c>
      <c r="BZ11" s="145">
        <f t="shared" si="6"/>
        <v>0.32843113601715856</v>
      </c>
      <c r="CA11" s="145">
        <f t="shared" si="7"/>
        <v>0.33843563871898397</v>
      </c>
      <c r="CB11" s="147" t="s">
        <v>225</v>
      </c>
      <c r="CC11" s="131">
        <v>3.72</v>
      </c>
      <c r="CD11" s="144" t="s">
        <v>234</v>
      </c>
      <c r="CE11" s="146">
        <f t="shared" si="8"/>
        <v>0.1116</v>
      </c>
      <c r="CF11" s="134" t="s">
        <v>216</v>
      </c>
      <c r="CG11" s="134" t="s">
        <v>217</v>
      </c>
      <c r="CH11" s="129" t="s">
        <v>188</v>
      </c>
      <c r="CI11" s="134" t="s">
        <v>218</v>
      </c>
      <c r="CJ11" s="134"/>
      <c r="CK11" s="134" t="s">
        <v>188</v>
      </c>
      <c r="CL11" s="134" t="s">
        <v>217</v>
      </c>
      <c r="CM11" s="134" t="s">
        <v>188</v>
      </c>
      <c r="CN11" s="134" t="s">
        <v>188</v>
      </c>
      <c r="CO11" s="134" t="s">
        <v>188</v>
      </c>
      <c r="CP11" s="134" t="s">
        <v>188</v>
      </c>
      <c r="CQ11" s="134" t="s">
        <v>188</v>
      </c>
      <c r="CR11" s="134" t="s">
        <v>188</v>
      </c>
      <c r="CS11" s="134" t="s">
        <v>188</v>
      </c>
      <c r="CT11" s="134" t="s">
        <v>188</v>
      </c>
      <c r="CU11" s="150">
        <v>35.969150526315794</v>
      </c>
      <c r="CV11" s="151" t="s">
        <v>235</v>
      </c>
      <c r="CW11" s="130">
        <v>0.15000000000000002</v>
      </c>
      <c r="CX11" s="134" t="s">
        <v>236</v>
      </c>
      <c r="CY11" s="129" t="s">
        <v>237</v>
      </c>
      <c r="CZ11" s="129" t="s">
        <v>188</v>
      </c>
      <c r="DA11" s="129" t="s">
        <v>188</v>
      </c>
      <c r="DB11" s="152" t="s">
        <v>238</v>
      </c>
      <c r="DC11" s="129" t="s">
        <v>237</v>
      </c>
      <c r="DD11" s="129" t="s">
        <v>188</v>
      </c>
      <c r="DE11" s="129" t="s">
        <v>188</v>
      </c>
      <c r="DF11" s="152" t="s">
        <v>238</v>
      </c>
      <c r="DG11" s="129" t="s">
        <v>237</v>
      </c>
      <c r="DH11" s="129" t="s">
        <v>188</v>
      </c>
      <c r="DI11" s="129" t="s">
        <v>188</v>
      </c>
      <c r="DJ11" s="152" t="s">
        <v>238</v>
      </c>
      <c r="DK11" s="153">
        <v>416</v>
      </c>
      <c r="DL11" s="129" t="s">
        <v>188</v>
      </c>
      <c r="DM11" s="129" t="s">
        <v>188</v>
      </c>
      <c r="DN11" s="134" t="s">
        <v>239</v>
      </c>
      <c r="DO11" s="129">
        <v>39.5</v>
      </c>
      <c r="DP11" s="129" t="s">
        <v>188</v>
      </c>
      <c r="DQ11" s="129" t="s">
        <v>188</v>
      </c>
      <c r="DR11" s="134" t="s">
        <v>240</v>
      </c>
      <c r="DS11" s="134" t="s">
        <v>241</v>
      </c>
      <c r="DT11" s="154" t="s">
        <v>242</v>
      </c>
      <c r="DU11" s="155">
        <f t="shared" si="9"/>
        <v>1.0192717177526647</v>
      </c>
      <c r="DV11" s="153" t="s">
        <v>188</v>
      </c>
      <c r="DW11" s="153" t="s">
        <v>188</v>
      </c>
      <c r="DX11" s="154" t="s">
        <v>310</v>
      </c>
      <c r="DY11" s="156" t="s">
        <v>243</v>
      </c>
      <c r="DZ11" s="154" t="s">
        <v>244</v>
      </c>
      <c r="EA11" s="134" t="s">
        <v>255</v>
      </c>
      <c r="EB11" s="134" t="s">
        <v>246</v>
      </c>
      <c r="EC11" s="157" t="s">
        <v>247</v>
      </c>
      <c r="ED11" s="157" t="s">
        <v>247</v>
      </c>
      <c r="EE11" s="134" t="s">
        <v>248</v>
      </c>
      <c r="EF11" s="134" t="s">
        <v>188</v>
      </c>
      <c r="EG11" s="134" t="s">
        <v>188</v>
      </c>
      <c r="EH11" s="134" t="s">
        <v>264</v>
      </c>
      <c r="EI11" s="134" t="s">
        <v>273</v>
      </c>
      <c r="EJ11" s="134" t="s">
        <v>266</v>
      </c>
      <c r="EK11" s="141">
        <v>2383.6999999999998</v>
      </c>
      <c r="EL11" s="134" t="s">
        <v>282</v>
      </c>
      <c r="EM11" s="129">
        <v>54</v>
      </c>
      <c r="EN11" s="129">
        <v>54</v>
      </c>
      <c r="EO11" t="s">
        <v>188</v>
      </c>
      <c r="EP11" t="s">
        <v>188</v>
      </c>
      <c r="EQ11" t="s">
        <v>188</v>
      </c>
      <c r="ER11" t="s">
        <v>188</v>
      </c>
      <c r="ES11" s="160">
        <v>8.15</v>
      </c>
      <c r="ET11" s="134" t="s">
        <v>283</v>
      </c>
      <c r="EU11" s="129">
        <v>0.03</v>
      </c>
      <c r="EV11" s="129">
        <v>0.03</v>
      </c>
      <c r="EW11" s="161">
        <v>290</v>
      </c>
      <c r="EX11" s="162">
        <v>0</v>
      </c>
      <c r="EY11" s="134" t="s">
        <v>291</v>
      </c>
      <c r="EZ11" s="159">
        <f t="shared" si="10"/>
        <v>290</v>
      </c>
      <c r="FA11" s="150">
        <v>22.819949071978964</v>
      </c>
      <c r="FB11" s="150">
        <v>22.819949071978964</v>
      </c>
      <c r="FC11" s="134" t="s">
        <v>300</v>
      </c>
      <c r="FD11" s="134" t="s">
        <v>301</v>
      </c>
      <c r="FE11" t="s">
        <v>188</v>
      </c>
      <c r="FF11" t="s">
        <v>188</v>
      </c>
      <c r="FG11" t="s">
        <v>188</v>
      </c>
      <c r="FH11" t="s">
        <v>188</v>
      </c>
      <c r="FI11" t="s">
        <v>188</v>
      </c>
      <c r="FJ11" t="s">
        <v>188</v>
      </c>
      <c r="FK11" t="s">
        <v>188</v>
      </c>
      <c r="FL11" t="s">
        <v>188</v>
      </c>
      <c r="FM11" t="s">
        <v>188</v>
      </c>
      <c r="FN11" t="s">
        <v>188</v>
      </c>
      <c r="FO11" t="s">
        <v>188</v>
      </c>
      <c r="FP11" t="s">
        <v>188</v>
      </c>
      <c r="FQ11" s="134" t="s">
        <v>321</v>
      </c>
    </row>
    <row r="12" spans="1:191" ht="18">
      <c r="A12" s="132" t="s">
        <v>167</v>
      </c>
      <c r="B12" t="s">
        <v>168</v>
      </c>
      <c r="C12">
        <v>2005</v>
      </c>
      <c r="D12" s="133" t="s">
        <v>333</v>
      </c>
      <c r="E12" s="141">
        <f t="shared" si="3"/>
        <v>136.63200000000001</v>
      </c>
      <c r="F12" s="135" t="s">
        <v>188</v>
      </c>
      <c r="G12" s="135" t="s">
        <v>188</v>
      </c>
      <c r="H12" s="135">
        <f t="shared" si="0"/>
        <v>203.4</v>
      </c>
      <c r="I12" s="135">
        <f t="shared" si="11"/>
        <v>14.857594576570625</v>
      </c>
      <c r="J12" s="135">
        <f t="shared" si="12"/>
        <v>14.857594576570625</v>
      </c>
      <c r="K12" s="127" t="s">
        <v>145</v>
      </c>
      <c r="L12" s="128" t="s">
        <v>146</v>
      </c>
      <c r="M12" s="163" t="s">
        <v>147</v>
      </c>
      <c r="N12" s="133" t="s">
        <v>333</v>
      </c>
      <c r="O12" s="130" t="s">
        <v>148</v>
      </c>
      <c r="P12" s="130" t="s">
        <v>149</v>
      </c>
      <c r="Q12" s="129">
        <v>1</v>
      </c>
      <c r="R12" s="129">
        <v>2</v>
      </c>
      <c r="S12" s="131">
        <v>70</v>
      </c>
      <c r="T12" s="131">
        <v>72</v>
      </c>
      <c r="U12" s="131" t="s">
        <v>159</v>
      </c>
      <c r="V12" s="129" t="s">
        <v>188</v>
      </c>
      <c r="W12" s="129" t="s">
        <v>188</v>
      </c>
      <c r="X12" s="129" t="s">
        <v>169</v>
      </c>
      <c r="Y12" s="129">
        <v>4.7699999999999996</v>
      </c>
      <c r="Z12" s="129">
        <v>-20.93</v>
      </c>
      <c r="AA12" s="129" t="s">
        <v>188</v>
      </c>
      <c r="AB12" s="129" t="s">
        <v>188</v>
      </c>
      <c r="AC12" s="129">
        <v>-2693.5</v>
      </c>
      <c r="AD12" s="129" t="s">
        <v>188</v>
      </c>
      <c r="AE12" s="129" t="s">
        <v>188</v>
      </c>
      <c r="AF12" s="134" t="s">
        <v>170</v>
      </c>
      <c r="AG12" s="135">
        <v>136.63200000000001</v>
      </c>
      <c r="AH12" s="136" t="s">
        <v>171</v>
      </c>
      <c r="AI12" s="129" t="s">
        <v>188</v>
      </c>
      <c r="AJ12" s="129" t="s">
        <v>188</v>
      </c>
      <c r="AK12" s="129" t="s">
        <v>188</v>
      </c>
      <c r="AL12" s="134" t="s">
        <v>180</v>
      </c>
      <c r="AM12" s="129" t="s">
        <v>188</v>
      </c>
      <c r="AN12" s="129" t="s">
        <v>188</v>
      </c>
      <c r="AO12" s="129" t="s">
        <v>188</v>
      </c>
      <c r="AP12" s="129" t="s">
        <v>188</v>
      </c>
      <c r="AQ12" s="129" t="s">
        <v>188</v>
      </c>
      <c r="AR12" s="129" t="s">
        <v>188</v>
      </c>
      <c r="AS12" s="129" t="s">
        <v>188</v>
      </c>
      <c r="AT12" s="129" t="s">
        <v>188</v>
      </c>
      <c r="AU12" s="134" t="s">
        <v>189</v>
      </c>
      <c r="AV12" s="130" t="s">
        <v>190</v>
      </c>
      <c r="AW12">
        <v>50</v>
      </c>
      <c r="AX12">
        <v>4.0599999999999996</v>
      </c>
      <c r="AY12" s="134" t="s">
        <v>192</v>
      </c>
      <c r="AZ12" s="129" t="s">
        <v>151</v>
      </c>
      <c r="BA12" s="134" t="s">
        <v>193</v>
      </c>
      <c r="BB12" s="140" t="s">
        <v>210</v>
      </c>
      <c r="BC12">
        <v>3</v>
      </c>
      <c r="BD12" s="141">
        <v>0.19447936194419674</v>
      </c>
      <c r="BE12" s="139">
        <v>21.814836821688377</v>
      </c>
      <c r="BF12" s="134" t="s">
        <v>195</v>
      </c>
      <c r="BG12" s="138">
        <v>0.33</v>
      </c>
      <c r="BH12" s="129" t="s">
        <v>188</v>
      </c>
      <c r="BI12" s="129" t="s">
        <v>188</v>
      </c>
      <c r="BJ12" s="136" t="s">
        <v>188</v>
      </c>
      <c r="BK12" s="143" t="s">
        <v>211</v>
      </c>
      <c r="BL12" s="129" t="s">
        <v>188</v>
      </c>
      <c r="BM12" s="129" t="s">
        <v>188</v>
      </c>
      <c r="BN12" s="134" t="s">
        <v>192</v>
      </c>
      <c r="BO12" s="134" t="s">
        <v>212</v>
      </c>
      <c r="BP12" t="s">
        <v>188</v>
      </c>
      <c r="BQ12" t="s">
        <v>188</v>
      </c>
      <c r="BR12" t="s">
        <v>188</v>
      </c>
      <c r="BS12" t="s">
        <v>188</v>
      </c>
      <c r="BT12" t="s">
        <v>213</v>
      </c>
      <c r="BU12">
        <v>50</v>
      </c>
      <c r="BV12" t="s">
        <v>188</v>
      </c>
      <c r="BW12" t="s">
        <v>188</v>
      </c>
      <c r="BX12" s="165">
        <f t="shared" si="2"/>
        <v>23.995756427053557</v>
      </c>
      <c r="BY12" s="134" t="s">
        <v>214</v>
      </c>
      <c r="BZ12" s="145">
        <f t="shared" si="6"/>
        <v>0.32843113601716212</v>
      </c>
      <c r="CA12" s="145">
        <f t="shared" si="7"/>
        <v>0.33843563871898397</v>
      </c>
      <c r="CB12" s="147" t="s">
        <v>226</v>
      </c>
      <c r="CC12" s="131">
        <v>2.84</v>
      </c>
      <c r="CD12" s="144" t="s">
        <v>234</v>
      </c>
      <c r="CE12" s="146">
        <f t="shared" si="8"/>
        <v>8.5199999999999998E-2</v>
      </c>
      <c r="CF12" s="134" t="s">
        <v>216</v>
      </c>
      <c r="CG12" s="134" t="s">
        <v>217</v>
      </c>
      <c r="CH12" s="129" t="s">
        <v>188</v>
      </c>
      <c r="CI12" s="134" t="s">
        <v>218</v>
      </c>
      <c r="CJ12" s="134"/>
      <c r="CK12" s="134" t="s">
        <v>188</v>
      </c>
      <c r="CL12" s="134" t="s">
        <v>217</v>
      </c>
      <c r="CM12" s="134" t="s">
        <v>188</v>
      </c>
      <c r="CN12" s="134" t="s">
        <v>188</v>
      </c>
      <c r="CO12" s="134" t="s">
        <v>188</v>
      </c>
      <c r="CP12" s="134" t="s">
        <v>188</v>
      </c>
      <c r="CQ12" s="134" t="s">
        <v>188</v>
      </c>
      <c r="CR12" s="134" t="s">
        <v>188</v>
      </c>
      <c r="CS12" s="134" t="s">
        <v>188</v>
      </c>
      <c r="CT12" s="134" t="s">
        <v>188</v>
      </c>
      <c r="CU12" s="150">
        <v>36.880818947368425</v>
      </c>
      <c r="CV12" s="151" t="s">
        <v>235</v>
      </c>
      <c r="CW12" s="130">
        <v>0.125</v>
      </c>
      <c r="CX12" s="134" t="s">
        <v>236</v>
      </c>
      <c r="CY12" s="129" t="s">
        <v>237</v>
      </c>
      <c r="CZ12" s="129" t="s">
        <v>188</v>
      </c>
      <c r="DA12" s="129" t="s">
        <v>188</v>
      </c>
      <c r="DB12" s="152" t="s">
        <v>238</v>
      </c>
      <c r="DC12" s="129" t="s">
        <v>237</v>
      </c>
      <c r="DD12" s="129" t="s">
        <v>188</v>
      </c>
      <c r="DE12" s="129" t="s">
        <v>188</v>
      </c>
      <c r="DF12" s="152" t="s">
        <v>238</v>
      </c>
      <c r="DG12" s="129" t="s">
        <v>237</v>
      </c>
      <c r="DH12" s="129" t="s">
        <v>188</v>
      </c>
      <c r="DI12" s="129" t="s">
        <v>188</v>
      </c>
      <c r="DJ12" s="152" t="s">
        <v>238</v>
      </c>
      <c r="DK12" s="153">
        <v>416</v>
      </c>
      <c r="DL12" s="129" t="s">
        <v>188</v>
      </c>
      <c r="DM12" s="129" t="s">
        <v>188</v>
      </c>
      <c r="DN12" s="134" t="s">
        <v>239</v>
      </c>
      <c r="DO12" s="129">
        <v>39.5</v>
      </c>
      <c r="DP12" s="129" t="s">
        <v>188</v>
      </c>
      <c r="DQ12" s="129" t="s">
        <v>188</v>
      </c>
      <c r="DR12" s="134" t="s">
        <v>240</v>
      </c>
      <c r="DS12" s="134" t="s">
        <v>241</v>
      </c>
      <c r="DT12" s="154" t="s">
        <v>242</v>
      </c>
      <c r="DU12" s="155">
        <f t="shared" si="9"/>
        <v>1.0194192888050069</v>
      </c>
      <c r="DV12" s="153" t="s">
        <v>188</v>
      </c>
      <c r="DW12" s="153" t="s">
        <v>188</v>
      </c>
      <c r="DX12" s="154" t="s">
        <v>310</v>
      </c>
      <c r="DY12" s="156" t="s">
        <v>243</v>
      </c>
      <c r="DZ12" s="154" t="s">
        <v>244</v>
      </c>
      <c r="EA12" s="134" t="s">
        <v>256</v>
      </c>
      <c r="EB12" s="134" t="s">
        <v>246</v>
      </c>
      <c r="EC12" s="157" t="s">
        <v>247</v>
      </c>
      <c r="ED12" s="157" t="s">
        <v>247</v>
      </c>
      <c r="EE12" s="134" t="s">
        <v>248</v>
      </c>
      <c r="EF12" s="134" t="s">
        <v>188</v>
      </c>
      <c r="EG12" s="134" t="s">
        <v>188</v>
      </c>
      <c r="EH12" s="134" t="s">
        <v>264</v>
      </c>
      <c r="EI12" s="134" t="s">
        <v>274</v>
      </c>
      <c r="EJ12" s="134" t="s">
        <v>266</v>
      </c>
      <c r="EK12" s="141">
        <v>2445.1</v>
      </c>
      <c r="EL12" s="134" t="s">
        <v>282</v>
      </c>
      <c r="EM12" s="129">
        <v>54</v>
      </c>
      <c r="EN12" s="129">
        <v>54</v>
      </c>
      <c r="EO12" t="s">
        <v>188</v>
      </c>
      <c r="EP12" t="s">
        <v>188</v>
      </c>
      <c r="EQ12" t="s">
        <v>188</v>
      </c>
      <c r="ER12" t="s">
        <v>188</v>
      </c>
      <c r="ES12" s="160">
        <v>8.2899999999999991</v>
      </c>
      <c r="ET12" s="134" t="s">
        <v>283</v>
      </c>
      <c r="EU12" s="129">
        <v>0.03</v>
      </c>
      <c r="EV12" s="129">
        <v>0.03</v>
      </c>
      <c r="EW12" s="161">
        <v>203.4</v>
      </c>
      <c r="EX12" s="162">
        <v>0</v>
      </c>
      <c r="EY12" s="134" t="s">
        <v>292</v>
      </c>
      <c r="EZ12" s="159">
        <f t="shared" si="10"/>
        <v>203.4</v>
      </c>
      <c r="FA12" s="150">
        <v>14.857594576570625</v>
      </c>
      <c r="FB12" s="150">
        <v>14.857594576570625</v>
      </c>
      <c r="FC12" s="134" t="s">
        <v>300</v>
      </c>
      <c r="FD12" s="134" t="s">
        <v>301</v>
      </c>
      <c r="FE12" t="s">
        <v>188</v>
      </c>
      <c r="FF12" t="s">
        <v>188</v>
      </c>
      <c r="FG12" t="s">
        <v>188</v>
      </c>
      <c r="FH12" t="s">
        <v>188</v>
      </c>
      <c r="FI12" t="s">
        <v>188</v>
      </c>
      <c r="FJ12" t="s">
        <v>188</v>
      </c>
      <c r="FK12" t="s">
        <v>188</v>
      </c>
      <c r="FL12" t="s">
        <v>188</v>
      </c>
      <c r="FM12" t="s">
        <v>188</v>
      </c>
      <c r="FN12" t="s">
        <v>188</v>
      </c>
      <c r="FO12" t="s">
        <v>188</v>
      </c>
      <c r="FP12" t="s">
        <v>188</v>
      </c>
      <c r="FQ12" s="134" t="s">
        <v>321</v>
      </c>
    </row>
    <row r="13" spans="1:191" ht="18">
      <c r="A13" s="132" t="s">
        <v>167</v>
      </c>
      <c r="B13" t="s">
        <v>168</v>
      </c>
      <c r="C13">
        <v>2005</v>
      </c>
      <c r="D13" s="133" t="s">
        <v>333</v>
      </c>
      <c r="E13" s="141">
        <f t="shared" si="3"/>
        <v>137.69399999999999</v>
      </c>
      <c r="F13" s="135" t="s">
        <v>188</v>
      </c>
      <c r="G13" s="135" t="s">
        <v>188</v>
      </c>
      <c r="H13" s="135">
        <f t="shared" si="0"/>
        <v>189</v>
      </c>
      <c r="I13" s="135">
        <f t="shared" si="11"/>
        <v>13.214808309928291</v>
      </c>
      <c r="J13" s="135">
        <f t="shared" si="12"/>
        <v>13.214808309928291</v>
      </c>
      <c r="K13" s="127" t="s">
        <v>145</v>
      </c>
      <c r="L13" s="128" t="s">
        <v>146</v>
      </c>
      <c r="M13" s="163" t="s">
        <v>147</v>
      </c>
      <c r="N13" s="133" t="s">
        <v>333</v>
      </c>
      <c r="O13" s="130" t="s">
        <v>148</v>
      </c>
      <c r="P13" s="130" t="s">
        <v>149</v>
      </c>
      <c r="Q13" s="129">
        <v>1</v>
      </c>
      <c r="R13" s="129">
        <v>2</v>
      </c>
      <c r="S13" s="131">
        <v>74</v>
      </c>
      <c r="T13" s="131">
        <v>76</v>
      </c>
      <c r="U13" s="131" t="s">
        <v>160</v>
      </c>
      <c r="V13" s="129" t="s">
        <v>188</v>
      </c>
      <c r="W13" s="129" t="s">
        <v>188</v>
      </c>
      <c r="X13" s="129" t="s">
        <v>169</v>
      </c>
      <c r="Y13" s="129">
        <v>4.7699999999999996</v>
      </c>
      <c r="Z13" s="129">
        <v>-20.93</v>
      </c>
      <c r="AA13" s="129" t="s">
        <v>188</v>
      </c>
      <c r="AB13" s="129" t="s">
        <v>188</v>
      </c>
      <c r="AC13" s="129">
        <v>-2693.5</v>
      </c>
      <c r="AD13" s="129" t="s">
        <v>188</v>
      </c>
      <c r="AE13" s="129" t="s">
        <v>188</v>
      </c>
      <c r="AF13" s="134" t="s">
        <v>170</v>
      </c>
      <c r="AG13" s="135">
        <v>137.69399999999999</v>
      </c>
      <c r="AH13" s="136" t="s">
        <v>171</v>
      </c>
      <c r="AI13" s="129" t="s">
        <v>188</v>
      </c>
      <c r="AJ13" s="129" t="s">
        <v>188</v>
      </c>
      <c r="AK13" s="129" t="s">
        <v>188</v>
      </c>
      <c r="AL13" s="134" t="s">
        <v>181</v>
      </c>
      <c r="AM13" s="129" t="s">
        <v>188</v>
      </c>
      <c r="AN13" s="129" t="s">
        <v>188</v>
      </c>
      <c r="AO13" s="129" t="s">
        <v>188</v>
      </c>
      <c r="AP13" s="129" t="s">
        <v>188</v>
      </c>
      <c r="AQ13" s="129" t="s">
        <v>188</v>
      </c>
      <c r="AR13" s="129" t="s">
        <v>188</v>
      </c>
      <c r="AS13" s="129" t="s">
        <v>188</v>
      </c>
      <c r="AT13" s="129" t="s">
        <v>188</v>
      </c>
      <c r="AU13" s="134" t="s">
        <v>189</v>
      </c>
      <c r="AV13" s="130" t="s">
        <v>190</v>
      </c>
      <c r="AW13">
        <v>50</v>
      </c>
      <c r="AX13">
        <v>2.35</v>
      </c>
      <c r="AY13" s="134" t="s">
        <v>192</v>
      </c>
      <c r="AZ13" s="129" t="s">
        <v>151</v>
      </c>
      <c r="BA13" s="134" t="s">
        <v>193</v>
      </c>
      <c r="BB13" s="130" t="s">
        <v>202</v>
      </c>
      <c r="BC13">
        <v>3</v>
      </c>
      <c r="BD13" s="142">
        <v>0.49535621302026611</v>
      </c>
      <c r="BE13" s="139">
        <v>22.231612197843909</v>
      </c>
      <c r="BF13" s="134" t="s">
        <v>195</v>
      </c>
      <c r="BG13" s="138">
        <v>0.5</v>
      </c>
      <c r="BH13" s="129" t="s">
        <v>188</v>
      </c>
      <c r="BI13" s="129" t="s">
        <v>188</v>
      </c>
      <c r="BJ13" s="136" t="s">
        <v>188</v>
      </c>
      <c r="BK13" s="143" t="s">
        <v>211</v>
      </c>
      <c r="BL13" s="129" t="s">
        <v>188</v>
      </c>
      <c r="BM13" s="129" t="s">
        <v>188</v>
      </c>
      <c r="BN13" s="134" t="s">
        <v>192</v>
      </c>
      <c r="BO13" s="134" t="s">
        <v>212</v>
      </c>
      <c r="BP13" t="s">
        <v>188</v>
      </c>
      <c r="BQ13" t="s">
        <v>188</v>
      </c>
      <c r="BR13" t="s">
        <v>188</v>
      </c>
      <c r="BS13" t="s">
        <v>188</v>
      </c>
      <c r="BT13" t="s">
        <v>213</v>
      </c>
      <c r="BU13">
        <v>50</v>
      </c>
      <c r="BV13" t="s">
        <v>188</v>
      </c>
      <c r="BW13" t="s">
        <v>188</v>
      </c>
      <c r="BX13" s="165">
        <f t="shared" si="2"/>
        <v>24.604736832553503</v>
      </c>
      <c r="BY13" s="134" t="s">
        <v>214</v>
      </c>
      <c r="BZ13" s="145">
        <f t="shared" si="6"/>
        <v>0.32843113601716212</v>
      </c>
      <c r="CA13" s="145">
        <f t="shared" si="7"/>
        <v>0.33843563871898397</v>
      </c>
      <c r="CB13" s="147" t="s">
        <v>227</v>
      </c>
      <c r="CC13" s="131">
        <v>3</v>
      </c>
      <c r="CD13" s="144" t="s">
        <v>234</v>
      </c>
      <c r="CE13" s="146">
        <f t="shared" si="8"/>
        <v>0.09</v>
      </c>
      <c r="CF13" s="134" t="s">
        <v>216</v>
      </c>
      <c r="CG13" s="134" t="s">
        <v>217</v>
      </c>
      <c r="CH13" s="129" t="s">
        <v>188</v>
      </c>
      <c r="CI13" s="134" t="s">
        <v>218</v>
      </c>
      <c r="CJ13" s="134"/>
      <c r="CK13" s="134" t="s">
        <v>188</v>
      </c>
      <c r="CL13" s="134" t="s">
        <v>217</v>
      </c>
      <c r="CM13" s="134" t="s">
        <v>188</v>
      </c>
      <c r="CN13" s="134" t="s">
        <v>188</v>
      </c>
      <c r="CO13" s="134" t="s">
        <v>188</v>
      </c>
      <c r="CP13" s="134" t="s">
        <v>188</v>
      </c>
      <c r="CQ13" s="134" t="s">
        <v>188</v>
      </c>
      <c r="CR13" s="134" t="s">
        <v>188</v>
      </c>
      <c r="CS13" s="134" t="s">
        <v>188</v>
      </c>
      <c r="CT13" s="134" t="s">
        <v>188</v>
      </c>
      <c r="CU13" s="150">
        <v>36.863510526315793</v>
      </c>
      <c r="CV13" s="151" t="s">
        <v>235</v>
      </c>
      <c r="CW13" s="130">
        <v>0.125</v>
      </c>
      <c r="CX13" s="134" t="s">
        <v>236</v>
      </c>
      <c r="CY13" s="129" t="s">
        <v>237</v>
      </c>
      <c r="CZ13" s="129" t="s">
        <v>188</v>
      </c>
      <c r="DA13" s="129" t="s">
        <v>188</v>
      </c>
      <c r="DB13" s="152" t="s">
        <v>238</v>
      </c>
      <c r="DC13" s="129" t="s">
        <v>237</v>
      </c>
      <c r="DD13" s="129" t="s">
        <v>188</v>
      </c>
      <c r="DE13" s="129" t="s">
        <v>188</v>
      </c>
      <c r="DF13" s="152" t="s">
        <v>238</v>
      </c>
      <c r="DG13" s="129" t="s">
        <v>237</v>
      </c>
      <c r="DH13" s="129" t="s">
        <v>188</v>
      </c>
      <c r="DI13" s="129" t="s">
        <v>188</v>
      </c>
      <c r="DJ13" s="152" t="s">
        <v>238</v>
      </c>
      <c r="DK13" s="153">
        <v>416</v>
      </c>
      <c r="DL13" s="129" t="s">
        <v>188</v>
      </c>
      <c r="DM13" s="129" t="s">
        <v>188</v>
      </c>
      <c r="DN13" s="134" t="s">
        <v>239</v>
      </c>
      <c r="DO13" s="129">
        <v>39.5</v>
      </c>
      <c r="DP13" s="129" t="s">
        <v>188</v>
      </c>
      <c r="DQ13" s="129" t="s">
        <v>188</v>
      </c>
      <c r="DR13" s="134" t="s">
        <v>240</v>
      </c>
      <c r="DS13" s="134" t="s">
        <v>241</v>
      </c>
      <c r="DT13" s="154" t="s">
        <v>242</v>
      </c>
      <c r="DU13" s="155">
        <f t="shared" si="9"/>
        <v>1.0193893239241543</v>
      </c>
      <c r="DV13" s="153" t="s">
        <v>188</v>
      </c>
      <c r="DW13" s="153" t="s">
        <v>188</v>
      </c>
      <c r="DX13" s="154" t="s">
        <v>310</v>
      </c>
      <c r="DY13" s="156" t="s">
        <v>243</v>
      </c>
      <c r="DZ13" s="154" t="s">
        <v>244</v>
      </c>
      <c r="EA13" s="134" t="s">
        <v>257</v>
      </c>
      <c r="EB13" s="134" t="s">
        <v>246</v>
      </c>
      <c r="EC13" s="157" t="s">
        <v>247</v>
      </c>
      <c r="ED13" s="157" t="s">
        <v>247</v>
      </c>
      <c r="EE13" s="134" t="s">
        <v>248</v>
      </c>
      <c r="EF13" s="134" t="s">
        <v>188</v>
      </c>
      <c r="EG13" s="134" t="s">
        <v>188</v>
      </c>
      <c r="EH13" s="134" t="s">
        <v>264</v>
      </c>
      <c r="EI13" s="134" t="s">
        <v>275</v>
      </c>
      <c r="EJ13" s="134" t="s">
        <v>266</v>
      </c>
      <c r="EK13" s="141">
        <v>2443.9</v>
      </c>
      <c r="EL13" s="134" t="s">
        <v>282</v>
      </c>
      <c r="EM13" s="129">
        <v>54</v>
      </c>
      <c r="EN13" s="129">
        <v>54</v>
      </c>
      <c r="EO13" t="s">
        <v>188</v>
      </c>
      <c r="EP13" t="s">
        <v>188</v>
      </c>
      <c r="EQ13" t="s">
        <v>188</v>
      </c>
      <c r="ER13" t="s">
        <v>188</v>
      </c>
      <c r="ES13" s="160">
        <v>8.3000000000000007</v>
      </c>
      <c r="ET13" s="134" t="s">
        <v>283</v>
      </c>
      <c r="EU13" s="129">
        <v>0.03</v>
      </c>
      <c r="EV13" s="129">
        <v>0.03</v>
      </c>
      <c r="EW13" s="161">
        <v>189</v>
      </c>
      <c r="EX13" s="162">
        <v>0</v>
      </c>
      <c r="EY13" s="134" t="s">
        <v>293</v>
      </c>
      <c r="EZ13" s="159">
        <f t="shared" si="10"/>
        <v>189</v>
      </c>
      <c r="FA13" s="150">
        <v>13.214808309928291</v>
      </c>
      <c r="FB13" s="150">
        <v>13.214808309928291</v>
      </c>
      <c r="FC13" s="134" t="s">
        <v>300</v>
      </c>
      <c r="FD13" s="134" t="s">
        <v>301</v>
      </c>
      <c r="FE13" t="s">
        <v>188</v>
      </c>
      <c r="FF13" t="s">
        <v>188</v>
      </c>
      <c r="FG13" t="s">
        <v>188</v>
      </c>
      <c r="FH13" t="s">
        <v>188</v>
      </c>
      <c r="FI13" t="s">
        <v>188</v>
      </c>
      <c r="FJ13" t="s">
        <v>188</v>
      </c>
      <c r="FK13" t="s">
        <v>188</v>
      </c>
      <c r="FL13" t="s">
        <v>188</v>
      </c>
      <c r="FM13" t="s">
        <v>188</v>
      </c>
      <c r="FN13" t="s">
        <v>188</v>
      </c>
      <c r="FO13" t="s">
        <v>188</v>
      </c>
      <c r="FP13" t="s">
        <v>188</v>
      </c>
      <c r="FQ13" s="134" t="s">
        <v>321</v>
      </c>
    </row>
    <row r="14" spans="1:191" ht="18">
      <c r="A14" s="132" t="s">
        <v>167</v>
      </c>
      <c r="B14" t="s">
        <v>168</v>
      </c>
      <c r="C14">
        <v>2005</v>
      </c>
      <c r="D14" s="133" t="s">
        <v>333</v>
      </c>
      <c r="E14" s="141">
        <f t="shared" si="3"/>
        <v>317.44499999999999</v>
      </c>
      <c r="F14" s="135" t="s">
        <v>188</v>
      </c>
      <c r="G14" s="135" t="s">
        <v>188</v>
      </c>
      <c r="H14" s="135">
        <f t="shared" si="0"/>
        <v>314.10000000000002</v>
      </c>
      <c r="I14" s="135">
        <f t="shared" si="11"/>
        <v>24.582055711417716</v>
      </c>
      <c r="J14" s="135">
        <f t="shared" si="12"/>
        <v>24.582055711417716</v>
      </c>
      <c r="K14" s="127" t="s">
        <v>145</v>
      </c>
      <c r="L14" s="128" t="s">
        <v>146</v>
      </c>
      <c r="M14" s="163" t="s">
        <v>147</v>
      </c>
      <c r="N14" s="133" t="s">
        <v>333</v>
      </c>
      <c r="O14" s="130" t="s">
        <v>148</v>
      </c>
      <c r="P14" s="130" t="s">
        <v>149</v>
      </c>
      <c r="Q14" s="129">
        <v>2</v>
      </c>
      <c r="R14" s="129">
        <v>2</v>
      </c>
      <c r="S14" s="131">
        <v>56</v>
      </c>
      <c r="T14" s="131">
        <v>58</v>
      </c>
      <c r="U14" s="131" t="s">
        <v>161</v>
      </c>
      <c r="V14" s="129" t="s">
        <v>188</v>
      </c>
      <c r="W14" s="129" t="s">
        <v>188</v>
      </c>
      <c r="X14" s="129" t="s">
        <v>169</v>
      </c>
      <c r="Y14" s="129">
        <v>4.7699999999999996</v>
      </c>
      <c r="Z14" s="129">
        <v>-20.93</v>
      </c>
      <c r="AA14" s="129" t="s">
        <v>188</v>
      </c>
      <c r="AB14" s="129" t="s">
        <v>188</v>
      </c>
      <c r="AC14" s="129">
        <v>-2693.5</v>
      </c>
      <c r="AD14" s="129" t="s">
        <v>188</v>
      </c>
      <c r="AE14" s="129" t="s">
        <v>188</v>
      </c>
      <c r="AF14" s="134" t="s">
        <v>170</v>
      </c>
      <c r="AG14" s="135">
        <v>317.44499999999999</v>
      </c>
      <c r="AH14" s="136" t="s">
        <v>171</v>
      </c>
      <c r="AI14" s="129" t="s">
        <v>188</v>
      </c>
      <c r="AJ14" s="129" t="s">
        <v>188</v>
      </c>
      <c r="AK14" s="129" t="s">
        <v>188</v>
      </c>
      <c r="AL14" s="134" t="s">
        <v>182</v>
      </c>
      <c r="AM14" s="129" t="s">
        <v>188</v>
      </c>
      <c r="AN14" s="129" t="s">
        <v>188</v>
      </c>
      <c r="AO14" s="129" t="s">
        <v>188</v>
      </c>
      <c r="AP14" s="129" t="s">
        <v>188</v>
      </c>
      <c r="AQ14" s="129" t="s">
        <v>188</v>
      </c>
      <c r="AR14" s="129" t="s">
        <v>188</v>
      </c>
      <c r="AS14" s="129" t="s">
        <v>188</v>
      </c>
      <c r="AT14" s="129" t="s">
        <v>188</v>
      </c>
      <c r="AU14" s="134" t="s">
        <v>189</v>
      </c>
      <c r="AV14" s="130" t="s">
        <v>190</v>
      </c>
      <c r="AW14">
        <v>50</v>
      </c>
      <c r="AX14">
        <v>2.87</v>
      </c>
      <c r="AY14" s="134" t="s">
        <v>192</v>
      </c>
      <c r="AZ14" s="129" t="s">
        <v>151</v>
      </c>
      <c r="BA14" s="134" t="s">
        <v>193</v>
      </c>
      <c r="BB14" s="130" t="s">
        <v>203</v>
      </c>
      <c r="BC14">
        <v>3</v>
      </c>
      <c r="BD14" s="141">
        <v>0.21364560478616146</v>
      </c>
      <c r="BE14" s="139">
        <v>20.545235315708389</v>
      </c>
      <c r="BF14" s="134" t="s">
        <v>195</v>
      </c>
      <c r="BG14" s="138">
        <v>0.33</v>
      </c>
      <c r="BH14" s="129" t="s">
        <v>188</v>
      </c>
      <c r="BI14" s="129" t="s">
        <v>188</v>
      </c>
      <c r="BJ14" s="136" t="s">
        <v>188</v>
      </c>
      <c r="BK14" s="143" t="s">
        <v>211</v>
      </c>
      <c r="BL14" s="129" t="s">
        <v>188</v>
      </c>
      <c r="BM14" s="129" t="s">
        <v>188</v>
      </c>
      <c r="BN14" s="134" t="s">
        <v>192</v>
      </c>
      <c r="BO14" s="134" t="s">
        <v>212</v>
      </c>
      <c r="BP14" t="s">
        <v>188</v>
      </c>
      <c r="BQ14" t="s">
        <v>188</v>
      </c>
      <c r="BR14" t="s">
        <v>188</v>
      </c>
      <c r="BS14" t="s">
        <v>188</v>
      </c>
      <c r="BT14" t="s">
        <v>213</v>
      </c>
      <c r="BU14">
        <v>50</v>
      </c>
      <c r="BV14" t="s">
        <v>188</v>
      </c>
      <c r="BW14" t="s">
        <v>188</v>
      </c>
      <c r="BX14" s="165">
        <f t="shared" si="2"/>
        <v>25.425512927736342</v>
      </c>
      <c r="BY14" s="134" t="s">
        <v>214</v>
      </c>
      <c r="BZ14" s="145">
        <f t="shared" si="6"/>
        <v>0.32843113601715856</v>
      </c>
      <c r="CA14" s="145">
        <f t="shared" si="7"/>
        <v>0.33843563871898397</v>
      </c>
      <c r="CB14" s="148" t="s">
        <v>228</v>
      </c>
      <c r="CC14" s="131">
        <v>3.23</v>
      </c>
      <c r="CD14" s="144" t="s">
        <v>234</v>
      </c>
      <c r="CE14" s="146">
        <f t="shared" si="8"/>
        <v>9.69E-2</v>
      </c>
      <c r="CF14" s="134" t="s">
        <v>216</v>
      </c>
      <c r="CG14" s="134" t="s">
        <v>217</v>
      </c>
      <c r="CH14" s="129" t="s">
        <v>188</v>
      </c>
      <c r="CI14" s="134" t="s">
        <v>218</v>
      </c>
      <c r="CJ14" s="134"/>
      <c r="CK14" s="134" t="s">
        <v>188</v>
      </c>
      <c r="CL14" s="134" t="s">
        <v>217</v>
      </c>
      <c r="CM14" s="134" t="s">
        <v>188</v>
      </c>
      <c r="CN14" s="134" t="s">
        <v>188</v>
      </c>
      <c r="CO14" s="134" t="s">
        <v>188</v>
      </c>
      <c r="CP14" s="134" t="s">
        <v>188</v>
      </c>
      <c r="CQ14" s="134" t="s">
        <v>188</v>
      </c>
      <c r="CR14" s="134" t="s">
        <v>188</v>
      </c>
      <c r="CS14" s="134" t="s">
        <v>188</v>
      </c>
      <c r="CT14" s="134" t="s">
        <v>188</v>
      </c>
      <c r="CU14" s="150">
        <v>35.893689473684212</v>
      </c>
      <c r="CV14" s="151" t="s">
        <v>235</v>
      </c>
      <c r="CW14" s="130">
        <v>0.12</v>
      </c>
      <c r="CX14" s="134" t="s">
        <v>236</v>
      </c>
      <c r="CY14" s="129" t="s">
        <v>237</v>
      </c>
      <c r="CZ14" s="129" t="s">
        <v>188</v>
      </c>
      <c r="DA14" s="129" t="s">
        <v>188</v>
      </c>
      <c r="DB14" s="152" t="s">
        <v>238</v>
      </c>
      <c r="DC14" s="129" t="s">
        <v>237</v>
      </c>
      <c r="DD14" s="129" t="s">
        <v>188</v>
      </c>
      <c r="DE14" s="129" t="s">
        <v>188</v>
      </c>
      <c r="DF14" s="152" t="s">
        <v>238</v>
      </c>
      <c r="DG14" s="129" t="s">
        <v>237</v>
      </c>
      <c r="DH14" s="129" t="s">
        <v>188</v>
      </c>
      <c r="DI14" s="129" t="s">
        <v>188</v>
      </c>
      <c r="DJ14" s="152" t="s">
        <v>238</v>
      </c>
      <c r="DK14" s="153">
        <v>416</v>
      </c>
      <c r="DL14" s="129" t="s">
        <v>188</v>
      </c>
      <c r="DM14" s="129" t="s">
        <v>188</v>
      </c>
      <c r="DN14" s="134" t="s">
        <v>239</v>
      </c>
      <c r="DO14" s="129">
        <v>39.5</v>
      </c>
      <c r="DP14" s="129" t="s">
        <v>188</v>
      </c>
      <c r="DQ14" s="129" t="s">
        <v>188</v>
      </c>
      <c r="DR14" s="134" t="s">
        <v>240</v>
      </c>
      <c r="DS14" s="134" t="s">
        <v>241</v>
      </c>
      <c r="DT14" s="154" t="s">
        <v>242</v>
      </c>
      <c r="DU14" s="155">
        <f t="shared" si="9"/>
        <v>1.0193489376363907</v>
      </c>
      <c r="DV14" s="153" t="s">
        <v>188</v>
      </c>
      <c r="DW14" s="153" t="s">
        <v>188</v>
      </c>
      <c r="DX14" s="154" t="s">
        <v>310</v>
      </c>
      <c r="DY14" s="156" t="s">
        <v>243</v>
      </c>
      <c r="DZ14" s="154" t="s">
        <v>244</v>
      </c>
      <c r="EA14" s="134" t="s">
        <v>258</v>
      </c>
      <c r="EB14" s="134" t="s">
        <v>246</v>
      </c>
      <c r="EC14" s="157" t="s">
        <v>247</v>
      </c>
      <c r="ED14" s="157" t="s">
        <v>247</v>
      </c>
      <c r="EE14" s="134" t="s">
        <v>248</v>
      </c>
      <c r="EF14" s="134" t="s">
        <v>188</v>
      </c>
      <c r="EG14" s="134" t="s">
        <v>188</v>
      </c>
      <c r="EH14" s="134" t="s">
        <v>264</v>
      </c>
      <c r="EI14" s="134" t="s">
        <v>276</v>
      </c>
      <c r="EJ14" s="134" t="s">
        <v>266</v>
      </c>
      <c r="EK14" s="141">
        <v>2378.6999999999998</v>
      </c>
      <c r="EL14" s="134" t="s">
        <v>282</v>
      </c>
      <c r="EM14" s="129">
        <v>54</v>
      </c>
      <c r="EN14" s="129">
        <v>54</v>
      </c>
      <c r="EO14" t="s">
        <v>188</v>
      </c>
      <c r="EP14" t="s">
        <v>188</v>
      </c>
      <c r="EQ14" t="s">
        <v>188</v>
      </c>
      <c r="ER14" t="s">
        <v>188</v>
      </c>
      <c r="ES14" s="160">
        <v>8.14</v>
      </c>
      <c r="ET14" s="134" t="s">
        <v>283</v>
      </c>
      <c r="EU14" s="129">
        <v>0.03</v>
      </c>
      <c r="EV14" s="129">
        <v>0.03</v>
      </c>
      <c r="EW14" s="161">
        <v>314.10000000000002</v>
      </c>
      <c r="EX14" s="162">
        <v>0</v>
      </c>
      <c r="EY14" s="134" t="s">
        <v>294</v>
      </c>
      <c r="EZ14" s="159">
        <f t="shared" si="10"/>
        <v>314.10000000000002</v>
      </c>
      <c r="FA14" s="150">
        <v>24.582055711417716</v>
      </c>
      <c r="FB14" s="150">
        <v>24.582055711417716</v>
      </c>
      <c r="FC14" s="134" t="s">
        <v>300</v>
      </c>
      <c r="FD14" s="134" t="s">
        <v>301</v>
      </c>
      <c r="FE14" t="s">
        <v>188</v>
      </c>
      <c r="FF14" t="s">
        <v>188</v>
      </c>
      <c r="FG14" t="s">
        <v>188</v>
      </c>
      <c r="FH14" t="s">
        <v>188</v>
      </c>
      <c r="FI14" t="s">
        <v>188</v>
      </c>
      <c r="FJ14" t="s">
        <v>188</v>
      </c>
      <c r="FK14" t="s">
        <v>188</v>
      </c>
      <c r="FL14" t="s">
        <v>188</v>
      </c>
      <c r="FM14" t="s">
        <v>188</v>
      </c>
      <c r="FN14" t="s">
        <v>188</v>
      </c>
      <c r="FO14" t="s">
        <v>188</v>
      </c>
      <c r="FP14" t="s">
        <v>188</v>
      </c>
      <c r="FQ14" s="134" t="s">
        <v>321</v>
      </c>
    </row>
    <row r="15" spans="1:191" ht="18">
      <c r="A15" s="132" t="s">
        <v>167</v>
      </c>
      <c r="B15" t="s">
        <v>168</v>
      </c>
      <c r="C15">
        <v>2005</v>
      </c>
      <c r="D15" s="133" t="s">
        <v>333</v>
      </c>
      <c r="E15" s="141">
        <f t="shared" si="3"/>
        <v>362.42500000000001</v>
      </c>
      <c r="F15" s="135" t="s">
        <v>188</v>
      </c>
      <c r="G15" s="135" t="s">
        <v>188</v>
      </c>
      <c r="H15" s="135">
        <f t="shared" si="0"/>
        <v>214.8</v>
      </c>
      <c r="I15" s="135">
        <f t="shared" si="11"/>
        <v>15.568419724523579</v>
      </c>
      <c r="J15" s="135">
        <f t="shared" si="12"/>
        <v>15.568419724523579</v>
      </c>
      <c r="K15" s="127" t="s">
        <v>145</v>
      </c>
      <c r="L15" s="128" t="s">
        <v>146</v>
      </c>
      <c r="M15" s="163" t="s">
        <v>147</v>
      </c>
      <c r="N15" s="133" t="s">
        <v>333</v>
      </c>
      <c r="O15" s="130" t="s">
        <v>148</v>
      </c>
      <c r="P15" s="130" t="s">
        <v>149</v>
      </c>
      <c r="Q15" s="129">
        <v>2</v>
      </c>
      <c r="R15" s="129">
        <v>2</v>
      </c>
      <c r="S15" s="131">
        <v>105</v>
      </c>
      <c r="T15" s="131">
        <v>107</v>
      </c>
      <c r="U15" s="131" t="s">
        <v>162</v>
      </c>
      <c r="V15" s="129" t="s">
        <v>188</v>
      </c>
      <c r="W15" s="129" t="s">
        <v>188</v>
      </c>
      <c r="X15" s="129" t="s">
        <v>169</v>
      </c>
      <c r="Y15" s="129">
        <v>4.7699999999999996</v>
      </c>
      <c r="Z15" s="129">
        <v>-20.93</v>
      </c>
      <c r="AA15" s="129" t="s">
        <v>188</v>
      </c>
      <c r="AB15" s="129" t="s">
        <v>188</v>
      </c>
      <c r="AC15" s="129">
        <v>-2693.5</v>
      </c>
      <c r="AD15" s="129" t="s">
        <v>188</v>
      </c>
      <c r="AE15" s="129" t="s">
        <v>188</v>
      </c>
      <c r="AF15" s="134" t="s">
        <v>170</v>
      </c>
      <c r="AG15" s="135">
        <v>362.42500000000001</v>
      </c>
      <c r="AH15" s="136" t="s">
        <v>171</v>
      </c>
      <c r="AI15" s="129" t="s">
        <v>188</v>
      </c>
      <c r="AJ15" s="129" t="s">
        <v>188</v>
      </c>
      <c r="AK15" s="129" t="s">
        <v>188</v>
      </c>
      <c r="AL15" s="134" t="s">
        <v>183</v>
      </c>
      <c r="AM15" s="129" t="s">
        <v>188</v>
      </c>
      <c r="AN15" s="129" t="s">
        <v>188</v>
      </c>
      <c r="AO15" s="129" t="s">
        <v>188</v>
      </c>
      <c r="AP15" s="129" t="s">
        <v>188</v>
      </c>
      <c r="AQ15" s="129" t="s">
        <v>188</v>
      </c>
      <c r="AR15" s="129" t="s">
        <v>188</v>
      </c>
      <c r="AS15" s="129" t="s">
        <v>188</v>
      </c>
      <c r="AT15" s="129" t="s">
        <v>188</v>
      </c>
      <c r="AU15" s="134" t="s">
        <v>189</v>
      </c>
      <c r="AV15" s="130" t="s">
        <v>190</v>
      </c>
      <c r="AW15">
        <v>50</v>
      </c>
      <c r="AX15">
        <v>2.9</v>
      </c>
      <c r="AY15" s="134" t="s">
        <v>192</v>
      </c>
      <c r="AZ15" s="129" t="s">
        <v>151</v>
      </c>
      <c r="BA15" s="134" t="s">
        <v>193</v>
      </c>
      <c r="BB15" s="130" t="s">
        <v>204</v>
      </c>
      <c r="BC15">
        <v>3</v>
      </c>
      <c r="BD15" s="141">
        <v>0.10913803695829861</v>
      </c>
      <c r="BE15" s="139">
        <v>21.543613410334494</v>
      </c>
      <c r="BF15" s="134" t="s">
        <v>195</v>
      </c>
      <c r="BG15" s="138">
        <v>0.33</v>
      </c>
      <c r="BH15" s="129" t="s">
        <v>188</v>
      </c>
      <c r="BI15" s="129" t="s">
        <v>188</v>
      </c>
      <c r="BJ15" s="136" t="s">
        <v>188</v>
      </c>
      <c r="BK15" s="143" t="s">
        <v>211</v>
      </c>
      <c r="BL15" s="129" t="s">
        <v>188</v>
      </c>
      <c r="BM15" s="129" t="s">
        <v>188</v>
      </c>
      <c r="BN15" s="134" t="s">
        <v>192</v>
      </c>
      <c r="BO15" s="134" t="s">
        <v>212</v>
      </c>
      <c r="BP15" t="s">
        <v>188</v>
      </c>
      <c r="BQ15" t="s">
        <v>188</v>
      </c>
      <c r="BR15" t="s">
        <v>188</v>
      </c>
      <c r="BS15" t="s">
        <v>188</v>
      </c>
      <c r="BT15" t="s">
        <v>213</v>
      </c>
      <c r="BU15">
        <v>50</v>
      </c>
      <c r="BV15" t="s">
        <v>188</v>
      </c>
      <c r="BW15" t="s">
        <v>188</v>
      </c>
      <c r="BX15" s="165">
        <f t="shared" si="2"/>
        <v>23.838149371587374</v>
      </c>
      <c r="BY15" s="134" t="s">
        <v>214</v>
      </c>
      <c r="BZ15" s="145">
        <f t="shared" si="6"/>
        <v>0.32843113601715856</v>
      </c>
      <c r="CA15" s="145">
        <f t="shared" si="7"/>
        <v>0.33843563871898397</v>
      </c>
      <c r="CB15" s="148" t="s">
        <v>229</v>
      </c>
      <c r="CC15" s="131">
        <v>2.8</v>
      </c>
      <c r="CD15" s="144" t="s">
        <v>234</v>
      </c>
      <c r="CE15" s="146">
        <f t="shared" si="8"/>
        <v>8.3999999999999991E-2</v>
      </c>
      <c r="CF15" s="134" t="s">
        <v>216</v>
      </c>
      <c r="CG15" s="134" t="s">
        <v>217</v>
      </c>
      <c r="CH15" s="129" t="s">
        <v>188</v>
      </c>
      <c r="CI15" s="134" t="s">
        <v>218</v>
      </c>
      <c r="CJ15" s="134"/>
      <c r="CK15" s="134" t="s">
        <v>188</v>
      </c>
      <c r="CL15" s="134" t="s">
        <v>217</v>
      </c>
      <c r="CM15" s="134" t="s">
        <v>188</v>
      </c>
      <c r="CN15" s="134" t="s">
        <v>188</v>
      </c>
      <c r="CO15" s="134" t="s">
        <v>188</v>
      </c>
      <c r="CP15" s="134" t="s">
        <v>188</v>
      </c>
      <c r="CQ15" s="134" t="s">
        <v>188</v>
      </c>
      <c r="CR15" s="134" t="s">
        <v>188</v>
      </c>
      <c r="CS15" s="134" t="s">
        <v>188</v>
      </c>
      <c r="CT15" s="134" t="s">
        <v>188</v>
      </c>
      <c r="CU15" s="150">
        <v>36.19068</v>
      </c>
      <c r="CV15" s="151" t="s">
        <v>235</v>
      </c>
      <c r="CW15" s="130">
        <v>0.125</v>
      </c>
      <c r="CX15" s="134" t="s">
        <v>236</v>
      </c>
      <c r="CY15" s="129" t="s">
        <v>237</v>
      </c>
      <c r="CZ15" s="129" t="s">
        <v>188</v>
      </c>
      <c r="DA15" s="129" t="s">
        <v>188</v>
      </c>
      <c r="DB15" s="152" t="s">
        <v>238</v>
      </c>
      <c r="DC15" s="129" t="s">
        <v>237</v>
      </c>
      <c r="DD15" s="129" t="s">
        <v>188</v>
      </c>
      <c r="DE15" s="129" t="s">
        <v>188</v>
      </c>
      <c r="DF15" s="152" t="s">
        <v>238</v>
      </c>
      <c r="DG15" s="129" t="s">
        <v>237</v>
      </c>
      <c r="DH15" s="129" t="s">
        <v>188</v>
      </c>
      <c r="DI15" s="129" t="s">
        <v>188</v>
      </c>
      <c r="DJ15" s="152" t="s">
        <v>238</v>
      </c>
      <c r="DK15" s="153">
        <v>416</v>
      </c>
      <c r="DL15" s="129" t="s">
        <v>188</v>
      </c>
      <c r="DM15" s="129" t="s">
        <v>188</v>
      </c>
      <c r="DN15" s="134" t="s">
        <v>239</v>
      </c>
      <c r="DO15" s="129">
        <v>39.5</v>
      </c>
      <c r="DP15" s="129" t="s">
        <v>188</v>
      </c>
      <c r="DQ15" s="129" t="s">
        <v>188</v>
      </c>
      <c r="DR15" s="134" t="s">
        <v>240</v>
      </c>
      <c r="DS15" s="134" t="s">
        <v>241</v>
      </c>
      <c r="DT15" s="154" t="s">
        <v>242</v>
      </c>
      <c r="DU15" s="155">
        <f t="shared" si="9"/>
        <v>1.0194270438601709</v>
      </c>
      <c r="DV15" s="153" t="s">
        <v>188</v>
      </c>
      <c r="DW15" s="153" t="s">
        <v>188</v>
      </c>
      <c r="DX15" s="154" t="s">
        <v>310</v>
      </c>
      <c r="DY15" s="156" t="s">
        <v>243</v>
      </c>
      <c r="DZ15" s="154" t="s">
        <v>244</v>
      </c>
      <c r="EA15" s="134" t="s">
        <v>259</v>
      </c>
      <c r="EB15" s="134" t="s">
        <v>246</v>
      </c>
      <c r="EC15" s="157" t="s">
        <v>247</v>
      </c>
      <c r="ED15" s="157" t="s">
        <v>247</v>
      </c>
      <c r="EE15" s="134" t="s">
        <v>248</v>
      </c>
      <c r="EF15" s="134" t="s">
        <v>188</v>
      </c>
      <c r="EG15" s="134" t="s">
        <v>188</v>
      </c>
      <c r="EH15" s="134" t="s">
        <v>264</v>
      </c>
      <c r="EI15" s="134" t="s">
        <v>277</v>
      </c>
      <c r="EJ15" s="134" t="s">
        <v>266</v>
      </c>
      <c r="EK15" s="141">
        <v>2398.6</v>
      </c>
      <c r="EL15" s="134" t="s">
        <v>282</v>
      </c>
      <c r="EM15" s="129">
        <v>54</v>
      </c>
      <c r="EN15" s="129">
        <v>54</v>
      </c>
      <c r="EO15" t="s">
        <v>188</v>
      </c>
      <c r="EP15" t="s">
        <v>188</v>
      </c>
      <c r="EQ15" t="s">
        <v>188</v>
      </c>
      <c r="ER15" t="s">
        <v>188</v>
      </c>
      <c r="ES15" s="160">
        <v>8.26</v>
      </c>
      <c r="ET15" s="134" t="s">
        <v>283</v>
      </c>
      <c r="EU15" s="129">
        <v>0.03</v>
      </c>
      <c r="EV15" s="129">
        <v>0.03</v>
      </c>
      <c r="EW15" s="161">
        <v>214.8</v>
      </c>
      <c r="EX15" s="162">
        <v>0</v>
      </c>
      <c r="EY15" s="134" t="s">
        <v>295</v>
      </c>
      <c r="EZ15" s="159">
        <f t="shared" si="10"/>
        <v>214.8</v>
      </c>
      <c r="FA15" s="150">
        <v>15.568419724523579</v>
      </c>
      <c r="FB15" s="150">
        <v>15.568419724523579</v>
      </c>
      <c r="FC15" s="134" t="s">
        <v>300</v>
      </c>
      <c r="FD15" s="134" t="s">
        <v>301</v>
      </c>
      <c r="FE15" t="s">
        <v>188</v>
      </c>
      <c r="FF15" t="s">
        <v>188</v>
      </c>
      <c r="FG15" t="s">
        <v>188</v>
      </c>
      <c r="FH15" t="s">
        <v>188</v>
      </c>
      <c r="FI15" t="s">
        <v>188</v>
      </c>
      <c r="FJ15" t="s">
        <v>188</v>
      </c>
      <c r="FK15" t="s">
        <v>188</v>
      </c>
      <c r="FL15" t="s">
        <v>188</v>
      </c>
      <c r="FM15" t="s">
        <v>188</v>
      </c>
      <c r="FN15" t="s">
        <v>188</v>
      </c>
      <c r="FO15" t="s">
        <v>188</v>
      </c>
      <c r="FP15" t="s">
        <v>188</v>
      </c>
      <c r="FQ15" s="134" t="s">
        <v>321</v>
      </c>
    </row>
    <row r="16" spans="1:191" ht="18">
      <c r="A16" s="132" t="s">
        <v>167</v>
      </c>
      <c r="B16" t="s">
        <v>168</v>
      </c>
      <c r="C16">
        <v>2005</v>
      </c>
      <c r="D16" s="133" t="s">
        <v>333</v>
      </c>
      <c r="E16" s="141">
        <f t="shared" si="3"/>
        <v>370.03100000000001</v>
      </c>
      <c r="F16" s="135" t="s">
        <v>188</v>
      </c>
      <c r="G16" s="135" t="s">
        <v>188</v>
      </c>
      <c r="H16" s="135">
        <f t="shared" si="0"/>
        <v>229.2</v>
      </c>
      <c r="I16" s="135">
        <f t="shared" si="11"/>
        <v>16.71830566570755</v>
      </c>
      <c r="J16" s="135">
        <f t="shared" si="12"/>
        <v>16.71830566570755</v>
      </c>
      <c r="K16" s="127" t="s">
        <v>145</v>
      </c>
      <c r="L16" s="128" t="s">
        <v>146</v>
      </c>
      <c r="M16" s="163" t="s">
        <v>147</v>
      </c>
      <c r="N16" s="133" t="s">
        <v>333</v>
      </c>
      <c r="O16" s="130" t="s">
        <v>148</v>
      </c>
      <c r="P16" s="130" t="s">
        <v>149</v>
      </c>
      <c r="Q16" s="129">
        <v>2</v>
      </c>
      <c r="R16" s="129">
        <v>2</v>
      </c>
      <c r="S16" s="131">
        <v>130</v>
      </c>
      <c r="T16" s="131">
        <v>132</v>
      </c>
      <c r="U16" s="131" t="s">
        <v>163</v>
      </c>
      <c r="V16" s="129" t="s">
        <v>188</v>
      </c>
      <c r="W16" s="129" t="s">
        <v>188</v>
      </c>
      <c r="X16" s="129" t="s">
        <v>169</v>
      </c>
      <c r="Y16" s="129">
        <v>4.7699999999999996</v>
      </c>
      <c r="Z16" s="129">
        <v>-20.93</v>
      </c>
      <c r="AA16" s="129" t="s">
        <v>188</v>
      </c>
      <c r="AB16" s="129" t="s">
        <v>188</v>
      </c>
      <c r="AC16" s="129">
        <v>-2693.5</v>
      </c>
      <c r="AD16" s="129" t="s">
        <v>188</v>
      </c>
      <c r="AE16" s="129" t="s">
        <v>188</v>
      </c>
      <c r="AF16" s="134" t="s">
        <v>170</v>
      </c>
      <c r="AG16" s="135">
        <v>370.03100000000001</v>
      </c>
      <c r="AH16" s="136" t="s">
        <v>171</v>
      </c>
      <c r="AI16" s="129" t="s">
        <v>188</v>
      </c>
      <c r="AJ16" s="129" t="s">
        <v>188</v>
      </c>
      <c r="AK16" s="129" t="s">
        <v>188</v>
      </c>
      <c r="AL16" s="134" t="s">
        <v>184</v>
      </c>
      <c r="AM16" s="129" t="s">
        <v>188</v>
      </c>
      <c r="AN16" s="129" t="s">
        <v>188</v>
      </c>
      <c r="AO16" s="129" t="s">
        <v>188</v>
      </c>
      <c r="AP16" s="129" t="s">
        <v>188</v>
      </c>
      <c r="AQ16" s="129" t="s">
        <v>188</v>
      </c>
      <c r="AR16" s="129" t="s">
        <v>188</v>
      </c>
      <c r="AS16" s="129" t="s">
        <v>188</v>
      </c>
      <c r="AT16" s="129" t="s">
        <v>188</v>
      </c>
      <c r="AU16" s="134" t="s">
        <v>189</v>
      </c>
      <c r="AV16" s="130" t="s">
        <v>190</v>
      </c>
      <c r="AW16">
        <v>50</v>
      </c>
      <c r="AX16">
        <v>2.5</v>
      </c>
      <c r="AY16" s="134" t="s">
        <v>192</v>
      </c>
      <c r="AZ16" s="129" t="s">
        <v>151</v>
      </c>
      <c r="BA16" s="134" t="s">
        <v>193</v>
      </c>
      <c r="BB16" s="130" t="s">
        <v>205</v>
      </c>
      <c r="BC16">
        <v>3</v>
      </c>
      <c r="BD16" s="141">
        <v>0.42619765889132327</v>
      </c>
      <c r="BE16" s="139">
        <v>21.424206956565722</v>
      </c>
      <c r="BF16" s="134" t="s">
        <v>195</v>
      </c>
      <c r="BG16" s="138">
        <v>0.43</v>
      </c>
      <c r="BH16" s="129" t="s">
        <v>188</v>
      </c>
      <c r="BI16" s="129" t="s">
        <v>188</v>
      </c>
      <c r="BJ16" s="136" t="s">
        <v>188</v>
      </c>
      <c r="BK16" s="143" t="s">
        <v>211</v>
      </c>
      <c r="BL16" s="129" t="s">
        <v>188</v>
      </c>
      <c r="BM16" s="129" t="s">
        <v>188</v>
      </c>
      <c r="BN16" s="134" t="s">
        <v>192</v>
      </c>
      <c r="BO16" s="134" t="s">
        <v>212</v>
      </c>
      <c r="BP16" t="s">
        <v>188</v>
      </c>
      <c r="BQ16" t="s">
        <v>188</v>
      </c>
      <c r="BR16" t="s">
        <v>188</v>
      </c>
      <c r="BS16" t="s">
        <v>188</v>
      </c>
      <c r="BT16" t="s">
        <v>213</v>
      </c>
      <c r="BU16">
        <v>50</v>
      </c>
      <c r="BV16" t="s">
        <v>188</v>
      </c>
      <c r="BW16" t="s">
        <v>188</v>
      </c>
      <c r="BX16" s="165">
        <f t="shared" si="2"/>
        <v>24.604736832553503</v>
      </c>
      <c r="BY16" s="134" t="s">
        <v>214</v>
      </c>
      <c r="BZ16" s="145">
        <f t="shared" si="6"/>
        <v>0.32843113601716212</v>
      </c>
      <c r="CA16" s="145">
        <f t="shared" si="7"/>
        <v>0.33843563871898397</v>
      </c>
      <c r="CB16" s="148" t="s">
        <v>230</v>
      </c>
      <c r="CC16" s="131">
        <v>3</v>
      </c>
      <c r="CD16" s="144" t="s">
        <v>234</v>
      </c>
      <c r="CE16" s="146">
        <f t="shared" si="8"/>
        <v>0.09</v>
      </c>
      <c r="CF16" s="134" t="s">
        <v>216</v>
      </c>
      <c r="CG16" s="134" t="s">
        <v>217</v>
      </c>
      <c r="CH16" s="129" t="s">
        <v>188</v>
      </c>
      <c r="CI16" s="134" t="s">
        <v>218</v>
      </c>
      <c r="CJ16" s="134"/>
      <c r="CK16" s="134" t="s">
        <v>188</v>
      </c>
      <c r="CL16" s="134" t="s">
        <v>217</v>
      </c>
      <c r="CM16" s="134" t="s">
        <v>188</v>
      </c>
      <c r="CN16" s="134" t="s">
        <v>188</v>
      </c>
      <c r="CO16" s="134" t="s">
        <v>188</v>
      </c>
      <c r="CP16" s="134" t="s">
        <v>188</v>
      </c>
      <c r="CQ16" s="134" t="s">
        <v>188</v>
      </c>
      <c r="CR16" s="134" t="s">
        <v>188</v>
      </c>
      <c r="CS16" s="134" t="s">
        <v>188</v>
      </c>
      <c r="CT16" s="134" t="s">
        <v>188</v>
      </c>
      <c r="CU16" s="150">
        <v>36.097910526315793</v>
      </c>
      <c r="CV16" s="151" t="s">
        <v>235</v>
      </c>
      <c r="CW16" s="130">
        <v>0.12</v>
      </c>
      <c r="CX16" s="134" t="s">
        <v>236</v>
      </c>
      <c r="CY16" s="129" t="s">
        <v>237</v>
      </c>
      <c r="CZ16" s="129" t="s">
        <v>188</v>
      </c>
      <c r="DA16" s="129" t="s">
        <v>188</v>
      </c>
      <c r="DB16" s="152" t="s">
        <v>238</v>
      </c>
      <c r="DC16" s="129" t="s">
        <v>237</v>
      </c>
      <c r="DD16" s="129" t="s">
        <v>188</v>
      </c>
      <c r="DE16" s="129" t="s">
        <v>188</v>
      </c>
      <c r="DF16" s="152" t="s">
        <v>238</v>
      </c>
      <c r="DG16" s="129" t="s">
        <v>237</v>
      </c>
      <c r="DH16" s="129" t="s">
        <v>188</v>
      </c>
      <c r="DI16" s="129" t="s">
        <v>188</v>
      </c>
      <c r="DJ16" s="152" t="s">
        <v>238</v>
      </c>
      <c r="DK16" s="153">
        <v>416</v>
      </c>
      <c r="DL16" s="129" t="s">
        <v>188</v>
      </c>
      <c r="DM16" s="129" t="s">
        <v>188</v>
      </c>
      <c r="DN16" s="134" t="s">
        <v>239</v>
      </c>
      <c r="DO16" s="129">
        <v>39.5</v>
      </c>
      <c r="DP16" s="129" t="s">
        <v>188</v>
      </c>
      <c r="DQ16" s="129" t="s">
        <v>188</v>
      </c>
      <c r="DR16" s="134" t="s">
        <v>240</v>
      </c>
      <c r="DS16" s="134" t="s">
        <v>241</v>
      </c>
      <c r="DT16" s="154" t="s">
        <v>242</v>
      </c>
      <c r="DU16" s="155">
        <f t="shared" si="9"/>
        <v>1.0193893239241543</v>
      </c>
      <c r="DV16" s="153" t="s">
        <v>188</v>
      </c>
      <c r="DW16" s="153" t="s">
        <v>188</v>
      </c>
      <c r="DX16" s="154" t="s">
        <v>310</v>
      </c>
      <c r="DY16" s="156" t="s">
        <v>243</v>
      </c>
      <c r="DZ16" s="154" t="s">
        <v>244</v>
      </c>
      <c r="EA16" s="134" t="s">
        <v>260</v>
      </c>
      <c r="EB16" s="134" t="s">
        <v>246</v>
      </c>
      <c r="EC16" s="157" t="s">
        <v>247</v>
      </c>
      <c r="ED16" s="157" t="s">
        <v>247</v>
      </c>
      <c r="EE16" s="134" t="s">
        <v>248</v>
      </c>
      <c r="EF16" s="134" t="s">
        <v>188</v>
      </c>
      <c r="EG16" s="134" t="s">
        <v>188</v>
      </c>
      <c r="EH16" s="134" t="s">
        <v>264</v>
      </c>
      <c r="EI16" s="134" t="s">
        <v>278</v>
      </c>
      <c r="EJ16" s="134" t="s">
        <v>266</v>
      </c>
      <c r="EK16" s="141">
        <v>2392.4</v>
      </c>
      <c r="EL16" s="134" t="s">
        <v>282</v>
      </c>
      <c r="EM16" s="129">
        <v>54</v>
      </c>
      <c r="EN16" s="129">
        <v>54</v>
      </c>
      <c r="EO16" t="s">
        <v>188</v>
      </c>
      <c r="EP16" t="s">
        <v>188</v>
      </c>
      <c r="EQ16" t="s">
        <v>188</v>
      </c>
      <c r="ER16" t="s">
        <v>188</v>
      </c>
      <c r="ES16" s="160">
        <v>8.23</v>
      </c>
      <c r="ET16" s="134" t="s">
        <v>283</v>
      </c>
      <c r="EU16" s="129">
        <v>0.03</v>
      </c>
      <c r="EV16" s="129">
        <v>0.03</v>
      </c>
      <c r="EW16" s="161">
        <v>229.2</v>
      </c>
      <c r="EX16" s="162">
        <v>0</v>
      </c>
      <c r="EY16" s="134" t="s">
        <v>296</v>
      </c>
      <c r="EZ16" s="159">
        <f t="shared" si="10"/>
        <v>229.2</v>
      </c>
      <c r="FA16" s="150">
        <v>16.71830566570755</v>
      </c>
      <c r="FB16" s="150">
        <v>16.71830566570755</v>
      </c>
      <c r="FC16" s="134" t="s">
        <v>300</v>
      </c>
      <c r="FD16" s="134" t="s">
        <v>301</v>
      </c>
      <c r="FE16" t="s">
        <v>188</v>
      </c>
      <c r="FF16" t="s">
        <v>188</v>
      </c>
      <c r="FG16" t="s">
        <v>188</v>
      </c>
      <c r="FH16" t="s">
        <v>188</v>
      </c>
      <c r="FI16" t="s">
        <v>188</v>
      </c>
      <c r="FJ16" t="s">
        <v>188</v>
      </c>
      <c r="FK16" t="s">
        <v>188</v>
      </c>
      <c r="FL16" t="s">
        <v>188</v>
      </c>
      <c r="FM16" t="s">
        <v>188</v>
      </c>
      <c r="FN16" t="s">
        <v>188</v>
      </c>
      <c r="FO16" t="s">
        <v>188</v>
      </c>
      <c r="FP16" t="s">
        <v>188</v>
      </c>
      <c r="FQ16" s="134" t="s">
        <v>321</v>
      </c>
    </row>
    <row r="17" spans="1:173" ht="18">
      <c r="A17" s="132" t="s">
        <v>167</v>
      </c>
      <c r="B17" t="s">
        <v>168</v>
      </c>
      <c r="C17">
        <v>2005</v>
      </c>
      <c r="D17" s="133" t="s">
        <v>333</v>
      </c>
      <c r="E17" s="141">
        <f t="shared" si="3"/>
        <v>383.73399999999998</v>
      </c>
      <c r="F17" s="135" t="s">
        <v>188</v>
      </c>
      <c r="G17" s="135" t="s">
        <v>188</v>
      </c>
      <c r="H17" s="135">
        <f t="shared" si="0"/>
        <v>259.5</v>
      </c>
      <c r="I17" s="135">
        <f t="shared" si="11"/>
        <v>19.380194223369195</v>
      </c>
      <c r="J17" s="135">
        <f t="shared" si="12"/>
        <v>19.380194223369195</v>
      </c>
      <c r="K17" s="127" t="s">
        <v>145</v>
      </c>
      <c r="L17" s="128" t="s">
        <v>146</v>
      </c>
      <c r="M17" s="163" t="s">
        <v>147</v>
      </c>
      <c r="N17" s="133" t="s">
        <v>333</v>
      </c>
      <c r="O17" s="130" t="s">
        <v>148</v>
      </c>
      <c r="P17" s="130" t="s">
        <v>149</v>
      </c>
      <c r="Q17" s="129">
        <v>2</v>
      </c>
      <c r="R17" s="129">
        <v>3</v>
      </c>
      <c r="S17" s="131">
        <v>14</v>
      </c>
      <c r="T17" s="131">
        <v>16</v>
      </c>
      <c r="U17" s="131" t="s">
        <v>164</v>
      </c>
      <c r="V17" s="129" t="s">
        <v>188</v>
      </c>
      <c r="W17" s="129" t="s">
        <v>188</v>
      </c>
      <c r="X17" s="129" t="s">
        <v>169</v>
      </c>
      <c r="Y17" s="129">
        <v>4.7699999999999996</v>
      </c>
      <c r="Z17" s="129">
        <v>-20.93</v>
      </c>
      <c r="AA17" s="129" t="s">
        <v>188</v>
      </c>
      <c r="AB17" s="129" t="s">
        <v>188</v>
      </c>
      <c r="AC17" s="129">
        <v>-2693.5</v>
      </c>
      <c r="AD17" s="129" t="s">
        <v>188</v>
      </c>
      <c r="AE17" s="129" t="s">
        <v>188</v>
      </c>
      <c r="AF17" s="134" t="s">
        <v>170</v>
      </c>
      <c r="AG17" s="135">
        <v>383.73399999999998</v>
      </c>
      <c r="AH17" s="136" t="s">
        <v>171</v>
      </c>
      <c r="AI17" s="129" t="s">
        <v>188</v>
      </c>
      <c r="AJ17" s="129" t="s">
        <v>188</v>
      </c>
      <c r="AK17" s="129" t="s">
        <v>188</v>
      </c>
      <c r="AL17" s="134" t="s">
        <v>185</v>
      </c>
      <c r="AM17" s="129" t="s">
        <v>188</v>
      </c>
      <c r="AN17" s="129" t="s">
        <v>188</v>
      </c>
      <c r="AO17" s="129" t="s">
        <v>188</v>
      </c>
      <c r="AP17" s="129" t="s">
        <v>188</v>
      </c>
      <c r="AQ17" s="129" t="s">
        <v>188</v>
      </c>
      <c r="AR17" s="129" t="s">
        <v>188</v>
      </c>
      <c r="AS17" s="129" t="s">
        <v>188</v>
      </c>
      <c r="AT17" s="129" t="s">
        <v>188</v>
      </c>
      <c r="AU17" s="134" t="s">
        <v>189</v>
      </c>
      <c r="AV17" s="130" t="s">
        <v>190</v>
      </c>
      <c r="AW17">
        <v>50</v>
      </c>
      <c r="AX17">
        <v>2.58</v>
      </c>
      <c r="AY17" s="134" t="s">
        <v>192</v>
      </c>
      <c r="AZ17" s="129" t="s">
        <v>151</v>
      </c>
      <c r="BA17" s="134" t="s">
        <v>193</v>
      </c>
      <c r="BB17" s="130" t="s">
        <v>206</v>
      </c>
      <c r="BC17">
        <v>4</v>
      </c>
      <c r="BD17" s="141">
        <v>0.29456182146820448</v>
      </c>
      <c r="BE17" s="139">
        <v>21.103790420070922</v>
      </c>
      <c r="BF17" s="134" t="s">
        <v>195</v>
      </c>
      <c r="BG17" s="138">
        <v>0.34</v>
      </c>
      <c r="BH17" s="129" t="s">
        <v>188</v>
      </c>
      <c r="BI17" s="129" t="s">
        <v>188</v>
      </c>
      <c r="BJ17" s="136" t="s">
        <v>188</v>
      </c>
      <c r="BK17" s="143" t="s">
        <v>211</v>
      </c>
      <c r="BL17" s="129" t="s">
        <v>188</v>
      </c>
      <c r="BM17" s="129" t="s">
        <v>188</v>
      </c>
      <c r="BN17" s="134" t="s">
        <v>192</v>
      </c>
      <c r="BO17" s="134" t="s">
        <v>212</v>
      </c>
      <c r="BP17" t="s">
        <v>188</v>
      </c>
      <c r="BQ17" t="s">
        <v>188</v>
      </c>
      <c r="BR17" t="s">
        <v>188</v>
      </c>
      <c r="BS17" t="s">
        <v>188</v>
      </c>
      <c r="BT17" t="s">
        <v>213</v>
      </c>
      <c r="BU17">
        <v>50</v>
      </c>
      <c r="BV17" t="s">
        <v>188</v>
      </c>
      <c r="BW17" t="s">
        <v>188</v>
      </c>
      <c r="BX17" s="165">
        <f t="shared" si="2"/>
        <v>25.287054922871764</v>
      </c>
      <c r="BY17" s="134" t="s">
        <v>214</v>
      </c>
      <c r="BZ17" s="145">
        <f t="shared" si="6"/>
        <v>0.32843113601715856</v>
      </c>
      <c r="CA17" s="145">
        <f t="shared" si="7"/>
        <v>0.33843563871898397</v>
      </c>
      <c r="CB17" s="148" t="s">
        <v>231</v>
      </c>
      <c r="CC17" s="131">
        <v>3.19</v>
      </c>
      <c r="CD17" s="144" t="s">
        <v>234</v>
      </c>
      <c r="CE17" s="146">
        <f t="shared" si="8"/>
        <v>9.5699999999999993E-2</v>
      </c>
      <c r="CF17" s="134" t="s">
        <v>216</v>
      </c>
      <c r="CG17" s="134" t="s">
        <v>217</v>
      </c>
      <c r="CH17" s="129" t="s">
        <v>188</v>
      </c>
      <c r="CI17" s="134" t="s">
        <v>218</v>
      </c>
      <c r="CJ17" s="134"/>
      <c r="CK17" s="134" t="s">
        <v>188</v>
      </c>
      <c r="CL17" s="134" t="s">
        <v>217</v>
      </c>
      <c r="CM17" s="134" t="s">
        <v>188</v>
      </c>
      <c r="CN17" s="134" t="s">
        <v>188</v>
      </c>
      <c r="CO17" s="134" t="s">
        <v>188</v>
      </c>
      <c r="CP17" s="134" t="s">
        <v>188</v>
      </c>
      <c r="CQ17" s="134" t="s">
        <v>188</v>
      </c>
      <c r="CR17" s="134" t="s">
        <v>188</v>
      </c>
      <c r="CS17" s="134" t="s">
        <v>188</v>
      </c>
      <c r="CT17" s="134" t="s">
        <v>188</v>
      </c>
      <c r="CU17" s="150">
        <v>35.871802105263164</v>
      </c>
      <c r="CV17" s="151" t="s">
        <v>235</v>
      </c>
      <c r="CW17" s="130">
        <v>0.125</v>
      </c>
      <c r="CX17" s="134" t="s">
        <v>236</v>
      </c>
      <c r="CY17" s="129" t="s">
        <v>237</v>
      </c>
      <c r="CZ17" s="129" t="s">
        <v>188</v>
      </c>
      <c r="DA17" s="129" t="s">
        <v>188</v>
      </c>
      <c r="DB17" s="152" t="s">
        <v>238</v>
      </c>
      <c r="DC17" s="129" t="s">
        <v>237</v>
      </c>
      <c r="DD17" s="129" t="s">
        <v>188</v>
      </c>
      <c r="DE17" s="129" t="s">
        <v>188</v>
      </c>
      <c r="DF17" s="152" t="s">
        <v>238</v>
      </c>
      <c r="DG17" s="129" t="s">
        <v>237</v>
      </c>
      <c r="DH17" s="129" t="s">
        <v>188</v>
      </c>
      <c r="DI17" s="129" t="s">
        <v>188</v>
      </c>
      <c r="DJ17" s="152" t="s">
        <v>238</v>
      </c>
      <c r="DK17" s="153">
        <v>416</v>
      </c>
      <c r="DL17" s="129" t="s">
        <v>188</v>
      </c>
      <c r="DM17" s="129" t="s">
        <v>188</v>
      </c>
      <c r="DN17" s="134" t="s">
        <v>239</v>
      </c>
      <c r="DO17" s="129">
        <v>39.5</v>
      </c>
      <c r="DP17" s="129" t="s">
        <v>188</v>
      </c>
      <c r="DQ17" s="129" t="s">
        <v>188</v>
      </c>
      <c r="DR17" s="134" t="s">
        <v>240</v>
      </c>
      <c r="DS17" s="134" t="s">
        <v>241</v>
      </c>
      <c r="DT17" s="154" t="s">
        <v>242</v>
      </c>
      <c r="DU17" s="155">
        <f t="shared" si="9"/>
        <v>1.0193557504625201</v>
      </c>
      <c r="DV17" s="153" t="s">
        <v>188</v>
      </c>
      <c r="DW17" s="153" t="s">
        <v>188</v>
      </c>
      <c r="DX17" s="154" t="s">
        <v>310</v>
      </c>
      <c r="DY17" s="156" t="s">
        <v>243</v>
      </c>
      <c r="DZ17" s="154" t="s">
        <v>244</v>
      </c>
      <c r="EA17" s="134" t="s">
        <v>261</v>
      </c>
      <c r="EB17" s="134" t="s">
        <v>246</v>
      </c>
      <c r="EC17" s="157" t="s">
        <v>247</v>
      </c>
      <c r="ED17" s="157" t="s">
        <v>247</v>
      </c>
      <c r="EE17" s="134" t="s">
        <v>248</v>
      </c>
      <c r="EF17" s="134" t="s">
        <v>188</v>
      </c>
      <c r="EG17" s="134" t="s">
        <v>188</v>
      </c>
      <c r="EH17" s="134" t="s">
        <v>264</v>
      </c>
      <c r="EI17" s="134" t="s">
        <v>279</v>
      </c>
      <c r="EJ17" s="134" t="s">
        <v>266</v>
      </c>
      <c r="EK17" s="141">
        <v>2377.1999999999998</v>
      </c>
      <c r="EL17" s="134" t="s">
        <v>282</v>
      </c>
      <c r="EM17" s="129">
        <v>54</v>
      </c>
      <c r="EN17" s="129">
        <v>54</v>
      </c>
      <c r="EO17" t="s">
        <v>188</v>
      </c>
      <c r="EP17" t="s">
        <v>188</v>
      </c>
      <c r="EQ17" t="s">
        <v>188</v>
      </c>
      <c r="ER17" t="s">
        <v>188</v>
      </c>
      <c r="ES17" s="160">
        <v>8.19</v>
      </c>
      <c r="ET17" s="134" t="s">
        <v>283</v>
      </c>
      <c r="EU17" s="129">
        <v>0.03</v>
      </c>
      <c r="EV17" s="129">
        <v>0.03</v>
      </c>
      <c r="EW17" s="161">
        <v>259.5</v>
      </c>
      <c r="EX17" s="162">
        <v>0</v>
      </c>
      <c r="EY17" s="134" t="s">
        <v>297</v>
      </c>
      <c r="EZ17" s="159">
        <f t="shared" si="10"/>
        <v>259.5</v>
      </c>
      <c r="FA17" s="150">
        <v>19.380194223369195</v>
      </c>
      <c r="FB17" s="150">
        <v>19.380194223369195</v>
      </c>
      <c r="FC17" s="134" t="s">
        <v>300</v>
      </c>
      <c r="FD17" s="134" t="s">
        <v>301</v>
      </c>
      <c r="FE17" t="s">
        <v>188</v>
      </c>
      <c r="FF17" t="s">
        <v>188</v>
      </c>
      <c r="FG17" t="s">
        <v>188</v>
      </c>
      <c r="FH17" t="s">
        <v>188</v>
      </c>
      <c r="FI17" t="s">
        <v>188</v>
      </c>
      <c r="FJ17" t="s">
        <v>188</v>
      </c>
      <c r="FK17" t="s">
        <v>188</v>
      </c>
      <c r="FL17" t="s">
        <v>188</v>
      </c>
      <c r="FM17" t="s">
        <v>188</v>
      </c>
      <c r="FN17" t="s">
        <v>188</v>
      </c>
      <c r="FO17" t="s">
        <v>188</v>
      </c>
      <c r="FP17" t="s">
        <v>188</v>
      </c>
      <c r="FQ17" s="134" t="s">
        <v>321</v>
      </c>
    </row>
    <row r="18" spans="1:173" ht="18">
      <c r="A18" s="132" t="s">
        <v>167</v>
      </c>
      <c r="B18" t="s">
        <v>168</v>
      </c>
      <c r="C18">
        <v>2005</v>
      </c>
      <c r="D18" s="133" t="s">
        <v>333</v>
      </c>
      <c r="E18" s="141">
        <f t="shared" si="3"/>
        <v>414.08499999999998</v>
      </c>
      <c r="F18" s="135" t="s">
        <v>188</v>
      </c>
      <c r="G18" s="135" t="s">
        <v>188</v>
      </c>
      <c r="H18" s="135">
        <f t="shared" si="0"/>
        <v>317.7</v>
      </c>
      <c r="I18" s="135">
        <f t="shared" si="11"/>
        <v>24.895966965857244</v>
      </c>
      <c r="J18" s="135">
        <f t="shared" si="12"/>
        <v>24.895966965857244</v>
      </c>
      <c r="K18" s="127" t="s">
        <v>145</v>
      </c>
      <c r="L18" s="128" t="s">
        <v>146</v>
      </c>
      <c r="M18" s="163" t="s">
        <v>147</v>
      </c>
      <c r="N18" s="133" t="s">
        <v>333</v>
      </c>
      <c r="O18" s="130" t="s">
        <v>148</v>
      </c>
      <c r="P18" s="130" t="s">
        <v>149</v>
      </c>
      <c r="Q18" s="129">
        <v>2</v>
      </c>
      <c r="R18" s="129">
        <v>3</v>
      </c>
      <c r="S18" s="131">
        <v>56</v>
      </c>
      <c r="T18" s="131">
        <v>58</v>
      </c>
      <c r="U18" s="131" t="s">
        <v>165</v>
      </c>
      <c r="V18" s="129" t="s">
        <v>188</v>
      </c>
      <c r="W18" s="129" t="s">
        <v>188</v>
      </c>
      <c r="X18" s="129" t="s">
        <v>169</v>
      </c>
      <c r="Y18" s="129">
        <v>4.7699999999999996</v>
      </c>
      <c r="Z18" s="129">
        <v>-20.93</v>
      </c>
      <c r="AA18" s="129" t="s">
        <v>188</v>
      </c>
      <c r="AB18" s="129" t="s">
        <v>188</v>
      </c>
      <c r="AC18" s="129">
        <v>-2693.5</v>
      </c>
      <c r="AD18" s="129" t="s">
        <v>188</v>
      </c>
      <c r="AE18" s="129" t="s">
        <v>188</v>
      </c>
      <c r="AF18" s="134" t="s">
        <v>170</v>
      </c>
      <c r="AG18" s="135">
        <v>414.08499999999998</v>
      </c>
      <c r="AH18" s="136" t="s">
        <v>171</v>
      </c>
      <c r="AI18" s="129" t="s">
        <v>188</v>
      </c>
      <c r="AJ18" s="129" t="s">
        <v>188</v>
      </c>
      <c r="AK18" s="129" t="s">
        <v>188</v>
      </c>
      <c r="AL18" s="134" t="s">
        <v>186</v>
      </c>
      <c r="AM18" s="129" t="s">
        <v>188</v>
      </c>
      <c r="AN18" s="129" t="s">
        <v>188</v>
      </c>
      <c r="AO18" s="129" t="s">
        <v>188</v>
      </c>
      <c r="AP18" s="129" t="s">
        <v>188</v>
      </c>
      <c r="AQ18" s="129" t="s">
        <v>188</v>
      </c>
      <c r="AR18" s="129" t="s">
        <v>188</v>
      </c>
      <c r="AS18" s="129" t="s">
        <v>188</v>
      </c>
      <c r="AT18" s="129" t="s">
        <v>188</v>
      </c>
      <c r="AU18" s="134" t="s">
        <v>189</v>
      </c>
      <c r="AV18" s="130" t="s">
        <v>190</v>
      </c>
      <c r="AW18">
        <v>50</v>
      </c>
      <c r="AX18">
        <v>2.11</v>
      </c>
      <c r="AY18" s="134" t="s">
        <v>192</v>
      </c>
      <c r="AZ18" s="129" t="s">
        <v>151</v>
      </c>
      <c r="BA18" s="134" t="s">
        <v>193</v>
      </c>
      <c r="BB18" s="130" t="s">
        <v>207</v>
      </c>
      <c r="BC18">
        <v>3</v>
      </c>
      <c r="BD18" s="141">
        <v>0.23673707872752853</v>
      </c>
      <c r="BE18" s="139">
        <v>20.666180167485255</v>
      </c>
      <c r="BF18" s="134" t="s">
        <v>195</v>
      </c>
      <c r="BG18" s="138">
        <v>0.33</v>
      </c>
      <c r="BH18" s="129" t="s">
        <v>188</v>
      </c>
      <c r="BI18" s="129" t="s">
        <v>188</v>
      </c>
      <c r="BJ18" s="136" t="s">
        <v>188</v>
      </c>
      <c r="BK18" s="143" t="s">
        <v>211</v>
      </c>
      <c r="BL18" s="129" t="s">
        <v>188</v>
      </c>
      <c r="BM18" s="129" t="s">
        <v>188</v>
      </c>
      <c r="BN18" s="134" t="s">
        <v>192</v>
      </c>
      <c r="BO18" s="134" t="s">
        <v>212</v>
      </c>
      <c r="BP18" t="s">
        <v>188</v>
      </c>
      <c r="BQ18" t="s">
        <v>188</v>
      </c>
      <c r="BR18" t="s">
        <v>188</v>
      </c>
      <c r="BS18" t="s">
        <v>188</v>
      </c>
      <c r="BT18" t="s">
        <v>213</v>
      </c>
      <c r="BU18">
        <v>50</v>
      </c>
      <c r="BV18" t="s">
        <v>188</v>
      </c>
      <c r="BW18" t="s">
        <v>188</v>
      </c>
      <c r="BX18" s="165">
        <f t="shared" si="2"/>
        <v>26.814190818610896</v>
      </c>
      <c r="BY18" s="134" t="s">
        <v>214</v>
      </c>
      <c r="BZ18" s="145">
        <f t="shared" si="6"/>
        <v>0.32843113601715501</v>
      </c>
      <c r="CA18" s="145">
        <f t="shared" si="7"/>
        <v>0.33843563871898397</v>
      </c>
      <c r="CB18" s="148" t="s">
        <v>232</v>
      </c>
      <c r="CC18" s="138">
        <v>3.66</v>
      </c>
      <c r="CD18" s="144" t="s">
        <v>234</v>
      </c>
      <c r="CE18" s="146">
        <f t="shared" si="8"/>
        <v>0.10979999999999999</v>
      </c>
      <c r="CF18" s="134" t="s">
        <v>216</v>
      </c>
      <c r="CG18" s="134" t="s">
        <v>217</v>
      </c>
      <c r="CH18" s="129" t="s">
        <v>188</v>
      </c>
      <c r="CI18" s="134" t="s">
        <v>218</v>
      </c>
      <c r="CJ18" s="134"/>
      <c r="CK18" s="134" t="s">
        <v>188</v>
      </c>
      <c r="CL18" s="134" t="s">
        <v>217</v>
      </c>
      <c r="CM18" s="134" t="s">
        <v>188</v>
      </c>
      <c r="CN18" s="134" t="s">
        <v>188</v>
      </c>
      <c r="CO18" s="134" t="s">
        <v>188</v>
      </c>
      <c r="CP18" s="134" t="s">
        <v>188</v>
      </c>
      <c r="CQ18" s="134" t="s">
        <v>188</v>
      </c>
      <c r="CR18" s="134" t="s">
        <v>188</v>
      </c>
      <c r="CS18" s="134" t="s">
        <v>188</v>
      </c>
      <c r="CT18" s="134" t="s">
        <v>188</v>
      </c>
      <c r="CU18" s="150">
        <v>35.732235789473684</v>
      </c>
      <c r="CV18" s="151" t="s">
        <v>235</v>
      </c>
      <c r="CW18" s="130">
        <v>0.16999999999999998</v>
      </c>
      <c r="CX18" s="134" t="s">
        <v>236</v>
      </c>
      <c r="CY18" s="129" t="s">
        <v>237</v>
      </c>
      <c r="CZ18" s="129" t="s">
        <v>188</v>
      </c>
      <c r="DA18" s="129" t="s">
        <v>188</v>
      </c>
      <c r="DB18" s="152" t="s">
        <v>238</v>
      </c>
      <c r="DC18" s="129" t="s">
        <v>237</v>
      </c>
      <c r="DD18" s="129" t="s">
        <v>188</v>
      </c>
      <c r="DE18" s="129" t="s">
        <v>188</v>
      </c>
      <c r="DF18" s="152" t="s">
        <v>238</v>
      </c>
      <c r="DG18" s="129" t="s">
        <v>237</v>
      </c>
      <c r="DH18" s="129" t="s">
        <v>188</v>
      </c>
      <c r="DI18" s="129" t="s">
        <v>188</v>
      </c>
      <c r="DJ18" s="152" t="s">
        <v>238</v>
      </c>
      <c r="DK18" s="153">
        <v>416</v>
      </c>
      <c r="DL18" s="129" t="s">
        <v>188</v>
      </c>
      <c r="DM18" s="129" t="s">
        <v>188</v>
      </c>
      <c r="DN18" s="134" t="s">
        <v>239</v>
      </c>
      <c r="DO18" s="129">
        <v>39.5</v>
      </c>
      <c r="DP18" s="129" t="s">
        <v>188</v>
      </c>
      <c r="DQ18" s="129" t="s">
        <v>188</v>
      </c>
      <c r="DR18" s="134" t="s">
        <v>240</v>
      </c>
      <c r="DS18" s="134" t="s">
        <v>241</v>
      </c>
      <c r="DT18" s="154" t="s">
        <v>242</v>
      </c>
      <c r="DU18" s="155">
        <f t="shared" si="9"/>
        <v>1.0192806077407701</v>
      </c>
      <c r="DV18" s="153" t="s">
        <v>188</v>
      </c>
      <c r="DW18" s="153" t="s">
        <v>188</v>
      </c>
      <c r="DX18" s="154" t="s">
        <v>310</v>
      </c>
      <c r="DY18" s="156" t="s">
        <v>243</v>
      </c>
      <c r="DZ18" s="154" t="s">
        <v>244</v>
      </c>
      <c r="EA18" s="134" t="s">
        <v>262</v>
      </c>
      <c r="EB18" s="134" t="s">
        <v>246</v>
      </c>
      <c r="EC18" s="157" t="s">
        <v>247</v>
      </c>
      <c r="ED18" s="157" t="s">
        <v>247</v>
      </c>
      <c r="EE18" s="134" t="s">
        <v>248</v>
      </c>
      <c r="EF18" s="134" t="s">
        <v>188</v>
      </c>
      <c r="EG18" s="134" t="s">
        <v>188</v>
      </c>
      <c r="EH18" s="134" t="s">
        <v>264</v>
      </c>
      <c r="EI18" s="134" t="s">
        <v>280</v>
      </c>
      <c r="EJ18" s="134" t="s">
        <v>266</v>
      </c>
      <c r="EK18" s="141">
        <v>2367.8000000000002</v>
      </c>
      <c r="EL18" s="134" t="s">
        <v>282</v>
      </c>
      <c r="EM18" s="129">
        <v>54</v>
      </c>
      <c r="EN18" s="129">
        <v>54</v>
      </c>
      <c r="EO18" t="s">
        <v>188</v>
      </c>
      <c r="EP18" t="s">
        <v>188</v>
      </c>
      <c r="EQ18" t="s">
        <v>188</v>
      </c>
      <c r="ER18" t="s">
        <v>188</v>
      </c>
      <c r="ES18" s="160">
        <v>8.1300000000000008</v>
      </c>
      <c r="ET18" s="134" t="s">
        <v>283</v>
      </c>
      <c r="EU18" s="129">
        <v>0.03</v>
      </c>
      <c r="EV18" s="129">
        <v>0.03</v>
      </c>
      <c r="EW18" s="161">
        <v>317.7</v>
      </c>
      <c r="EX18" s="162">
        <v>0</v>
      </c>
      <c r="EY18" s="134" t="s">
        <v>298</v>
      </c>
      <c r="EZ18" s="159">
        <f t="shared" si="10"/>
        <v>317.7</v>
      </c>
      <c r="FA18" s="150">
        <v>24.895966965857244</v>
      </c>
      <c r="FB18" s="150">
        <v>24.895966965857244</v>
      </c>
      <c r="FC18" s="134" t="s">
        <v>300</v>
      </c>
      <c r="FD18" s="134" t="s">
        <v>301</v>
      </c>
      <c r="FE18" t="s">
        <v>188</v>
      </c>
      <c r="FF18" t="s">
        <v>188</v>
      </c>
      <c r="FG18" t="s">
        <v>188</v>
      </c>
      <c r="FH18" t="s">
        <v>188</v>
      </c>
      <c r="FI18" t="s">
        <v>188</v>
      </c>
      <c r="FJ18" t="s">
        <v>188</v>
      </c>
      <c r="FK18" t="s">
        <v>188</v>
      </c>
      <c r="FL18" t="s">
        <v>188</v>
      </c>
      <c r="FM18" t="s">
        <v>188</v>
      </c>
      <c r="FN18" t="s">
        <v>188</v>
      </c>
      <c r="FO18" t="s">
        <v>188</v>
      </c>
      <c r="FP18" t="s">
        <v>188</v>
      </c>
      <c r="FQ18" s="134" t="s">
        <v>321</v>
      </c>
    </row>
    <row r="19" spans="1:173" ht="18">
      <c r="A19" s="132" t="s">
        <v>167</v>
      </c>
      <c r="B19" t="s">
        <v>168</v>
      </c>
      <c r="C19">
        <v>2005</v>
      </c>
      <c r="D19" s="133" t="s">
        <v>333</v>
      </c>
      <c r="E19" s="141">
        <f t="shared" si="3"/>
        <v>421.57400000000001</v>
      </c>
      <c r="F19" s="135" t="s">
        <v>188</v>
      </c>
      <c r="G19" s="135" t="s">
        <v>188</v>
      </c>
      <c r="H19" s="135">
        <f t="shared" si="0"/>
        <v>292.7</v>
      </c>
      <c r="I19" s="135">
        <f t="shared" si="11"/>
        <v>22.203744835240894</v>
      </c>
      <c r="J19" s="135">
        <f t="shared" si="12"/>
        <v>22.203744835240894</v>
      </c>
      <c r="K19" s="127" t="s">
        <v>145</v>
      </c>
      <c r="L19" s="128" t="s">
        <v>146</v>
      </c>
      <c r="M19" s="163" t="s">
        <v>147</v>
      </c>
      <c r="N19" s="133" t="s">
        <v>333</v>
      </c>
      <c r="O19" s="130" t="s">
        <v>148</v>
      </c>
      <c r="P19" s="130" t="s">
        <v>149</v>
      </c>
      <c r="Q19" s="129">
        <v>2</v>
      </c>
      <c r="R19" s="129">
        <v>3</v>
      </c>
      <c r="S19" s="131">
        <v>70</v>
      </c>
      <c r="T19" s="131">
        <v>72</v>
      </c>
      <c r="U19" s="131" t="s">
        <v>166</v>
      </c>
      <c r="V19" s="129" t="s">
        <v>188</v>
      </c>
      <c r="W19" s="129" t="s">
        <v>188</v>
      </c>
      <c r="X19" s="129" t="s">
        <v>169</v>
      </c>
      <c r="Y19" s="129">
        <v>4.7699999999999996</v>
      </c>
      <c r="Z19" s="129">
        <v>-20.93</v>
      </c>
      <c r="AA19" s="129" t="s">
        <v>188</v>
      </c>
      <c r="AB19" s="129" t="s">
        <v>188</v>
      </c>
      <c r="AC19" s="129">
        <v>-2693.5</v>
      </c>
      <c r="AD19" s="129" t="s">
        <v>188</v>
      </c>
      <c r="AE19" s="129" t="s">
        <v>188</v>
      </c>
      <c r="AF19" s="134" t="s">
        <v>170</v>
      </c>
      <c r="AG19" s="135">
        <v>421.57400000000001</v>
      </c>
      <c r="AH19" s="136" t="s">
        <v>171</v>
      </c>
      <c r="AI19" s="129" t="s">
        <v>188</v>
      </c>
      <c r="AJ19" s="129" t="s">
        <v>188</v>
      </c>
      <c r="AK19" s="129" t="s">
        <v>188</v>
      </c>
      <c r="AL19" s="134" t="s">
        <v>187</v>
      </c>
      <c r="AM19" s="129" t="s">
        <v>188</v>
      </c>
      <c r="AN19" s="129" t="s">
        <v>188</v>
      </c>
      <c r="AO19" s="129" t="s">
        <v>188</v>
      </c>
      <c r="AP19" s="129" t="s">
        <v>188</v>
      </c>
      <c r="AQ19" s="129" t="s">
        <v>188</v>
      </c>
      <c r="AR19" s="129" t="s">
        <v>188</v>
      </c>
      <c r="AS19" s="129" t="s">
        <v>188</v>
      </c>
      <c r="AT19" s="129" t="s">
        <v>188</v>
      </c>
      <c r="AU19" s="134" t="s">
        <v>189</v>
      </c>
      <c r="AV19" s="130" t="s">
        <v>190</v>
      </c>
      <c r="AW19">
        <v>50</v>
      </c>
      <c r="AX19">
        <v>2.5499999999999998</v>
      </c>
      <c r="AY19" s="134" t="s">
        <v>192</v>
      </c>
      <c r="AZ19" s="129" t="s">
        <v>151</v>
      </c>
      <c r="BA19" s="134" t="s">
        <v>193</v>
      </c>
      <c r="BB19" s="130" t="s">
        <v>208</v>
      </c>
      <c r="BC19">
        <v>4</v>
      </c>
      <c r="BD19" s="141">
        <v>0.31584542632960916</v>
      </c>
      <c r="BE19" s="139">
        <v>20.878437549400154</v>
      </c>
      <c r="BF19" s="134" t="s">
        <v>195</v>
      </c>
      <c r="BG19" s="138">
        <v>0.37</v>
      </c>
      <c r="BH19" s="129" t="s">
        <v>188</v>
      </c>
      <c r="BI19" s="129" t="s">
        <v>188</v>
      </c>
      <c r="BJ19" s="136" t="s">
        <v>188</v>
      </c>
      <c r="BK19" s="143" t="s">
        <v>211</v>
      </c>
      <c r="BL19" s="129" t="s">
        <v>188</v>
      </c>
      <c r="BM19" s="129" t="s">
        <v>188</v>
      </c>
      <c r="BN19" s="134" t="s">
        <v>192</v>
      </c>
      <c r="BO19" s="134" t="s">
        <v>212</v>
      </c>
      <c r="BP19" t="s">
        <v>188</v>
      </c>
      <c r="BQ19" t="s">
        <v>188</v>
      </c>
      <c r="BR19" t="s">
        <v>188</v>
      </c>
      <c r="BS19" t="s">
        <v>188</v>
      </c>
      <c r="BT19" t="s">
        <v>213</v>
      </c>
      <c r="BU19">
        <v>50</v>
      </c>
      <c r="BV19" t="s">
        <v>188</v>
      </c>
      <c r="BW19" t="s">
        <v>188</v>
      </c>
      <c r="BX19" s="165">
        <f t="shared" si="2"/>
        <v>26.060606414846884</v>
      </c>
      <c r="BY19" s="134" t="s">
        <v>214</v>
      </c>
      <c r="BZ19" s="145">
        <f t="shared" si="6"/>
        <v>0.32843113601715501</v>
      </c>
      <c r="CA19" s="145">
        <f t="shared" si="7"/>
        <v>0.33843563871898752</v>
      </c>
      <c r="CB19" s="148" t="s">
        <v>233</v>
      </c>
      <c r="CC19" s="138">
        <v>3.42</v>
      </c>
      <c r="CD19" s="144" t="s">
        <v>234</v>
      </c>
      <c r="CE19" s="146">
        <f t="shared" si="8"/>
        <v>0.1026</v>
      </c>
      <c r="CF19" s="134" t="s">
        <v>216</v>
      </c>
      <c r="CG19" s="134" t="s">
        <v>217</v>
      </c>
      <c r="CH19" s="129" t="s">
        <v>188</v>
      </c>
      <c r="CI19" s="134" t="s">
        <v>218</v>
      </c>
      <c r="CJ19" s="134"/>
      <c r="CK19" s="134" t="s">
        <v>188</v>
      </c>
      <c r="CL19" s="134" t="s">
        <v>217</v>
      </c>
      <c r="CM19" s="134" t="s">
        <v>188</v>
      </c>
      <c r="CN19" s="134" t="s">
        <v>188</v>
      </c>
      <c r="CO19" s="134" t="s">
        <v>188</v>
      </c>
      <c r="CP19" s="134" t="s">
        <v>188</v>
      </c>
      <c r="CQ19" s="134" t="s">
        <v>188</v>
      </c>
      <c r="CR19" s="134" t="s">
        <v>188</v>
      </c>
      <c r="CS19" s="134" t="s">
        <v>188</v>
      </c>
      <c r="CT19" s="134" t="s">
        <v>188</v>
      </c>
      <c r="CU19" s="150">
        <v>36.108625263157897</v>
      </c>
      <c r="CV19" s="151" t="s">
        <v>235</v>
      </c>
      <c r="CW19" s="130">
        <v>0.185</v>
      </c>
      <c r="CX19" s="134" t="s">
        <v>236</v>
      </c>
      <c r="CY19" s="129" t="s">
        <v>237</v>
      </c>
      <c r="CZ19" s="129" t="s">
        <v>188</v>
      </c>
      <c r="DA19" s="129" t="s">
        <v>188</v>
      </c>
      <c r="DB19" s="152" t="s">
        <v>238</v>
      </c>
      <c r="DC19" s="129" t="s">
        <v>237</v>
      </c>
      <c r="DD19" s="129" t="s">
        <v>188</v>
      </c>
      <c r="DE19" s="129" t="s">
        <v>188</v>
      </c>
      <c r="DF19" s="152" t="s">
        <v>238</v>
      </c>
      <c r="DG19" s="129" t="s">
        <v>237</v>
      </c>
      <c r="DH19" s="129" t="s">
        <v>188</v>
      </c>
      <c r="DI19" s="129" t="s">
        <v>188</v>
      </c>
      <c r="DJ19" s="152" t="s">
        <v>238</v>
      </c>
      <c r="DK19" s="153">
        <v>416</v>
      </c>
      <c r="DL19" s="129" t="s">
        <v>188</v>
      </c>
      <c r="DM19" s="129" t="s">
        <v>188</v>
      </c>
      <c r="DN19" s="134" t="s">
        <v>239</v>
      </c>
      <c r="DO19" s="129">
        <v>39.5</v>
      </c>
      <c r="DP19" s="129" t="s">
        <v>188</v>
      </c>
      <c r="DQ19" s="129" t="s">
        <v>188</v>
      </c>
      <c r="DR19" s="134" t="s">
        <v>240</v>
      </c>
      <c r="DS19" s="134" t="s">
        <v>241</v>
      </c>
      <c r="DT19" s="154" t="s">
        <v>242</v>
      </c>
      <c r="DU19" s="155">
        <f t="shared" si="9"/>
        <v>1.0193176878613575</v>
      </c>
      <c r="DV19" s="153" t="s">
        <v>188</v>
      </c>
      <c r="DW19" s="153" t="s">
        <v>188</v>
      </c>
      <c r="DX19" s="154" t="s">
        <v>310</v>
      </c>
      <c r="DY19" s="156" t="s">
        <v>243</v>
      </c>
      <c r="DZ19" s="154" t="s">
        <v>244</v>
      </c>
      <c r="EA19" s="134" t="s">
        <v>263</v>
      </c>
      <c r="EB19" s="134" t="s">
        <v>246</v>
      </c>
      <c r="EC19" s="157" t="s">
        <v>247</v>
      </c>
      <c r="ED19" s="157" t="s">
        <v>247</v>
      </c>
      <c r="EE19" s="134" t="s">
        <v>248</v>
      </c>
      <c r="EF19" s="134" t="s">
        <v>188</v>
      </c>
      <c r="EG19" s="134" t="s">
        <v>188</v>
      </c>
      <c r="EH19" s="134" t="s">
        <v>264</v>
      </c>
      <c r="EI19" s="134" t="s">
        <v>281</v>
      </c>
      <c r="EJ19" s="134" t="s">
        <v>266</v>
      </c>
      <c r="EK19" s="141">
        <v>2393.1</v>
      </c>
      <c r="EL19" s="134" t="s">
        <v>282</v>
      </c>
      <c r="EM19" s="129">
        <v>54</v>
      </c>
      <c r="EN19" s="129">
        <v>54</v>
      </c>
      <c r="EO19" t="s">
        <v>188</v>
      </c>
      <c r="EP19" t="s">
        <v>188</v>
      </c>
      <c r="EQ19" t="s">
        <v>188</v>
      </c>
      <c r="ER19" t="s">
        <v>188</v>
      </c>
      <c r="ES19" s="160">
        <v>8.16</v>
      </c>
      <c r="ET19" s="134" t="s">
        <v>283</v>
      </c>
      <c r="EU19" s="129">
        <v>0.03</v>
      </c>
      <c r="EV19" s="129">
        <v>0.03</v>
      </c>
      <c r="EW19" s="161">
        <v>292.7</v>
      </c>
      <c r="EX19" s="162">
        <v>0</v>
      </c>
      <c r="EY19" s="134" t="s">
        <v>299</v>
      </c>
      <c r="EZ19" s="159">
        <f t="shared" si="10"/>
        <v>292.7</v>
      </c>
      <c r="FA19" s="150">
        <v>22.203744835240894</v>
      </c>
      <c r="FB19" s="150">
        <v>22.203744835240894</v>
      </c>
      <c r="FC19" s="134" t="s">
        <v>300</v>
      </c>
      <c r="FD19" s="134" t="s">
        <v>301</v>
      </c>
      <c r="FE19" t="s">
        <v>188</v>
      </c>
      <c r="FF19" t="s">
        <v>188</v>
      </c>
      <c r="FG19" t="s">
        <v>188</v>
      </c>
      <c r="FH19" t="s">
        <v>188</v>
      </c>
      <c r="FI19" t="s">
        <v>188</v>
      </c>
      <c r="FJ19" t="s">
        <v>188</v>
      </c>
      <c r="FK19" t="s">
        <v>188</v>
      </c>
      <c r="FL19" t="s">
        <v>188</v>
      </c>
      <c r="FM19" t="s">
        <v>188</v>
      </c>
      <c r="FN19" t="s">
        <v>188</v>
      </c>
      <c r="FO19" t="s">
        <v>188</v>
      </c>
      <c r="FP19" t="s">
        <v>188</v>
      </c>
      <c r="FQ19" s="134" t="s">
        <v>321</v>
      </c>
    </row>
    <row r="20" spans="1:173">
      <c r="EK20" s="164"/>
    </row>
  </sheetData>
  <hyperlinks>
    <hyperlink ref="L4" r:id="rId1" xr:uid="{B1642719-FAE3-BE4F-BA2A-40066E80F673}"/>
    <hyperlink ref="L5" r:id="rId2" xr:uid="{CE18EE16-9E89-844F-BF79-A276E5692275}"/>
    <hyperlink ref="L6" r:id="rId3" xr:uid="{AEA32F18-C964-9445-9296-C4A52764F579}"/>
    <hyperlink ref="L8" r:id="rId4" xr:uid="{BAA0DEC7-9DB2-7549-808F-74384CF7F584}"/>
    <hyperlink ref="L10" r:id="rId5" xr:uid="{C1D6AFEA-E02C-E746-B014-359D0E07666C}"/>
    <hyperlink ref="L12" r:id="rId6" xr:uid="{FEE737B6-1094-0946-8971-BE021821B882}"/>
    <hyperlink ref="L14" r:id="rId7" xr:uid="{067DA621-959D-8B41-8252-34228CE8580A}"/>
    <hyperlink ref="L16" r:id="rId8" xr:uid="{03CBDCD7-7F78-FA46-A2E4-4DAE5DC96B52}"/>
    <hyperlink ref="L18" r:id="rId9" xr:uid="{2869294F-63F0-D14D-8B56-97271EA52AA6}"/>
    <hyperlink ref="L7" r:id="rId10" xr:uid="{6F8A2C60-C1CE-864C-A4D3-8E8E660C623A}"/>
    <hyperlink ref="L9" r:id="rId11" xr:uid="{DD6C1681-019A-A84B-AF2A-034F7922ACF2}"/>
    <hyperlink ref="L11" r:id="rId12" xr:uid="{2D4B73C1-8440-254C-9C3C-68C7955C181F}"/>
    <hyperlink ref="L13" r:id="rId13" xr:uid="{51835F24-6C2F-B846-A298-923078D630C7}"/>
    <hyperlink ref="L15" r:id="rId14" xr:uid="{05647F8C-39E6-C14B-BE52-75D7E81F1997}"/>
    <hyperlink ref="L17" r:id="rId15" xr:uid="{6E3E0F61-86DA-7D47-B511-DE39210AB5CF}"/>
    <hyperlink ref="L19" r:id="rId16" xr:uid="{9110B68A-F5D9-D742-8550-004BB7BE87BE}"/>
    <hyperlink ref="D4" r:id="rId17" display="https://doi.org/10.1016/j.epsl.2005.04.02710.1126/science.1171477" xr:uid="{5ACD7568-8C30-734D-BE1B-9434A166908E}"/>
    <hyperlink ref="D5" r:id="rId18" display="https://doi.org/10.1016/j.epsl.2005.04.02710.1126/science.1171477" xr:uid="{305F3E7E-8BD7-934A-B2A1-0BBC62E21670}"/>
    <hyperlink ref="D6" r:id="rId19" display="https://doi.org/10.1016/j.epsl.2005.04.02710.1126/science.1171477" xr:uid="{F3C0F95E-1E11-A448-A2DC-DF2C9B81CBEA}"/>
    <hyperlink ref="D7" r:id="rId20" display="https://doi.org/10.1016/j.epsl.2005.04.02710.1126/science.1171477" xr:uid="{A1AC9FCA-A2F0-514A-BA88-098919DEC2EF}"/>
    <hyperlink ref="D8" r:id="rId21" display="https://doi.org/10.1016/j.epsl.2005.04.02710.1126/science.1171477" xr:uid="{65C8A3A4-844B-A24D-9E2F-FADCF7AE1BFF}"/>
    <hyperlink ref="D9" r:id="rId22" display="https://doi.org/10.1016/j.epsl.2005.04.02710.1126/science.1171477" xr:uid="{1ADFE00E-CA7C-5641-999F-6480C7AFB425}"/>
    <hyperlink ref="D10" r:id="rId23" display="https://doi.org/10.1016/j.epsl.2005.04.02710.1126/science.1171477" xr:uid="{BF905BDE-7052-324A-95D6-E73CACB34E24}"/>
    <hyperlink ref="D11" r:id="rId24" display="https://doi.org/10.1016/j.epsl.2005.04.02710.1126/science.1171477" xr:uid="{F0EFDB05-B6F3-7E49-96AB-4AD2C7C87AF6}"/>
    <hyperlink ref="D12" r:id="rId25" display="https://doi.org/10.1016/j.epsl.2005.04.02710.1126/science.1171477" xr:uid="{D6F92363-12E7-CA41-A4F2-6A206DF0CDA3}"/>
    <hyperlink ref="D13" r:id="rId26" display="https://doi.org/10.1016/j.epsl.2005.04.02710.1126/science.1171477" xr:uid="{70807139-6360-5746-ADFF-036842F1A6EF}"/>
    <hyperlink ref="D14" r:id="rId27" display="https://doi.org/10.1016/j.epsl.2005.04.02710.1126/science.1171477" xr:uid="{C791E779-451F-454D-AF07-E0DECA24E380}"/>
    <hyperlink ref="D15" r:id="rId28" display="https://doi.org/10.1016/j.epsl.2005.04.02710.1126/science.1171477" xr:uid="{29022A3F-B009-A44C-94A7-8885313AD897}"/>
    <hyperlink ref="D16" r:id="rId29" display="https://doi.org/10.1016/j.epsl.2005.04.02710.1126/science.1171477" xr:uid="{0D2E846E-D487-A143-BC32-124E639ED16B}"/>
    <hyperlink ref="D17" r:id="rId30" display="https://doi.org/10.1016/j.epsl.2005.04.02710.1126/science.1171477" xr:uid="{2B3E3ADF-7675-E447-A3A1-3092C9894108}"/>
    <hyperlink ref="D19" r:id="rId31" display="https://doi.org/10.1016/j.epsl.2005.04.02710.1126/science.1171477" xr:uid="{7DB0F9D9-0C38-914A-9CEA-8F7B53286DB5}"/>
    <hyperlink ref="D18" r:id="rId32" display="https://doi.org/10.1016/j.epsl.2005.04.02710.1126/science.1171477" xr:uid="{1ECDBE99-2C43-4F48-91C8-6CFE159086D9}"/>
    <hyperlink ref="N4" r:id="rId33" display="https://doi.org/10.1016/j.epsl.2005.04.02710.1126/science.1171477" xr:uid="{04B77648-20CF-094B-9E23-E15D309E66DC}"/>
    <hyperlink ref="N5" r:id="rId34" display="https://doi.org/10.1016/j.epsl.2005.04.02710.1126/science.1171477" xr:uid="{5C71BFE3-E217-AC42-B945-5FA564D3C12B}"/>
    <hyperlink ref="N6" r:id="rId35" display="https://doi.org/10.1016/j.epsl.2005.04.02710.1126/science.1171477" xr:uid="{F7F5B738-0ED2-C947-8531-AD746FEC1A69}"/>
    <hyperlink ref="N7" r:id="rId36" display="https://doi.org/10.1016/j.epsl.2005.04.02710.1126/science.1171477" xr:uid="{3BF2FB5D-D048-1B4B-BEE9-C8FC26DB4191}"/>
    <hyperlink ref="N8" r:id="rId37" display="https://doi.org/10.1016/j.epsl.2005.04.02710.1126/science.1171477" xr:uid="{1B4AE47D-891F-5241-98F9-6452D6EFF62D}"/>
    <hyperlink ref="N9" r:id="rId38" display="https://doi.org/10.1016/j.epsl.2005.04.02710.1126/science.1171477" xr:uid="{92293A81-0E10-BF4B-8E81-D90214B4ED8D}"/>
    <hyperlink ref="N10" r:id="rId39" display="https://doi.org/10.1016/j.epsl.2005.04.02710.1126/science.1171477" xr:uid="{286CF33C-4A59-8D45-B8C3-90A4803DC063}"/>
    <hyperlink ref="N11" r:id="rId40" display="https://doi.org/10.1016/j.epsl.2005.04.02710.1126/science.1171477" xr:uid="{2CD77AA5-8296-0145-A630-4F837BAB2A5C}"/>
    <hyperlink ref="N12" r:id="rId41" display="https://doi.org/10.1016/j.epsl.2005.04.02710.1126/science.1171477" xr:uid="{0CD0B590-434E-1A49-93F5-4DEDEC98A30A}"/>
    <hyperlink ref="N13" r:id="rId42" display="https://doi.org/10.1016/j.epsl.2005.04.02710.1126/science.1171477" xr:uid="{C55F9C0E-CC4A-ED4B-9D26-1BEB4EBF37AE}"/>
    <hyperlink ref="N14" r:id="rId43" display="https://doi.org/10.1016/j.epsl.2005.04.02710.1126/science.1171477" xr:uid="{657FB5B6-5A53-5543-A01C-462682F9260C}"/>
    <hyperlink ref="N15" r:id="rId44" display="https://doi.org/10.1016/j.epsl.2005.04.02710.1126/science.1171477" xr:uid="{513D2C92-1628-754A-80E6-7DA5382D1CCD}"/>
    <hyperlink ref="N16" r:id="rId45" display="https://doi.org/10.1016/j.epsl.2005.04.02710.1126/science.1171477" xr:uid="{F84DD785-A804-234E-AC59-E921884BFC74}"/>
    <hyperlink ref="N17" r:id="rId46" display="https://doi.org/10.1016/j.epsl.2005.04.02710.1126/science.1171477" xr:uid="{2D0FF167-8AEA-3844-95FF-9A9010CD4592}"/>
    <hyperlink ref="N19" r:id="rId47" display="https://doi.org/10.1016/j.epsl.2005.04.02710.1126/science.1171477" xr:uid="{F7CAA67A-B9CE-994D-8082-81C95429F973}"/>
    <hyperlink ref="N18" r:id="rId48" display="https://doi.org/10.1016/j.epsl.2005.04.02710.1126/science.1171477" xr:uid="{9426A301-BF7F-804A-9D59-6EC66F10C5C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2EB04-E1FB-4543-8029-1502ACA7AA23}">
  <dimension ref="A1:A3"/>
  <sheetViews>
    <sheetView workbookViewId="0">
      <selection sqref="A1:A3"/>
    </sheetView>
  </sheetViews>
  <sheetFormatPr baseColWidth="10" defaultRowHeight="16"/>
  <sheetData>
    <row r="1" spans="1:1">
      <c r="A1" t="s">
        <v>0</v>
      </c>
    </row>
    <row r="2" spans="1:1">
      <c r="A2" t="s">
        <v>326</v>
      </c>
    </row>
    <row r="3" spans="1:1">
      <c r="A3" t="s">
        <v>327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boron isotopes</vt:lpstr>
      <vt:lpstr>Column specifications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2017-12-08T17:15:47Z</dcterms:created>
  <dcterms:modified xsi:type="dcterms:W3CDTF">2020-12-10T14:37:17Z</dcterms:modified>
</cp:coreProperties>
</file>