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Daphnia/Desktop/"/>
    </mc:Choice>
  </mc:AlternateContent>
  <xr:revisionPtr revIDLastSave="0" documentId="13_ncr:1_{4A7D3DF5-23AF-0C41-A299-911D322B999D}" xr6:coauthVersionLast="47" xr6:coauthVersionMax="47" xr10:uidLastSave="{00000000-0000-0000-0000-000000000000}"/>
  <bookViews>
    <workbookView xWindow="2040" yWindow="1200" windowWidth="23260" windowHeight="15540" tabRatio="500" xr2:uid="{00000000-000D-0000-FFFF-FFFF00000000}"/>
  </bookViews>
  <sheets>
    <sheet name="boron isotopes" sheetId="2" r:id="rId1"/>
    <sheet name="Column specifications" sheetId="3"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C5" i="2" l="1"/>
  <c r="CC6" i="2"/>
  <c r="CC7" i="2"/>
  <c r="CC8" i="2"/>
  <c r="CC9" i="2"/>
  <c r="CC10" i="2"/>
  <c r="CC11" i="2"/>
  <c r="CC12" i="2"/>
  <c r="CC13" i="2"/>
  <c r="CC14" i="2"/>
  <c r="CC15" i="2"/>
  <c r="CC16" i="2"/>
  <c r="CC17" i="2"/>
  <c r="CC18" i="2"/>
  <c r="CC19" i="2"/>
  <c r="CC20" i="2"/>
  <c r="CC4" i="2"/>
  <c r="BR7" i="2" l="1"/>
  <c r="BR5" i="2"/>
  <c r="BP5" i="2"/>
  <c r="BP7" i="2"/>
</calcChain>
</file>

<file path=xl/sharedStrings.xml><?xml version="1.0" encoding="utf-8"?>
<sst xmlns="http://schemas.openxmlformats.org/spreadsheetml/2006/main" count="2227" uniqueCount="305">
  <si>
    <r>
      <rPr>
        <vertAlign val="superscript"/>
        <sz val="10"/>
        <rFont val="Verdana"/>
        <family val="2"/>
      </rPr>
      <t>a</t>
    </r>
    <r>
      <rPr>
        <sz val="12"/>
        <color theme="1"/>
        <rFont val="Calibri"/>
        <family val="2"/>
        <scheme val="minor"/>
      </rPr>
      <t>for definitions of CSF-A, CSF-B and CCSF, please see: https://www.iodp.org/policies-and-guidelines/142-iodp-depth-scales-terminology-april-2011/file</t>
    </r>
  </si>
  <si>
    <t>REFERENCE AND CONTACT INFORMATION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</si>
  <si>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</si>
  <si>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</si>
  <si>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</si>
  <si>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</si>
  <si>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</si>
  <si>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</si>
  <si>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</si>
  <si>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</si>
  <si>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</si>
  <si>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</si>
  <si>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</si>
  <si>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</si>
  <si>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</si>
  <si>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</si>
  <si>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</si>
  <si>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</si>
  <si>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</si>
  <si>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</si>
  <si>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</si>
  <si>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</si>
  <si>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</si>
  <si>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</si>
  <si>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</si>
  <si>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</si>
  <si>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</si>
  <si>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</si>
  <si>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</si>
  <si>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</si>
  <si>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</si>
  <si>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</si>
  <si>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Name of individual entering the data</t>
  </si>
  <si>
    <t>Contact email</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</si>
  <si>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</si>
  <si>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</si>
  <si>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</si>
  <si>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</si>
  <si>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</si>
  <si>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</si>
  <si>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</si>
  <si>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</si>
  <si>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</si>
  <si>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</si>
  <si>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</si>
  <si>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</si>
  <si>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</si>
  <si>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</si>
  <si>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</si>
  <si>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</si>
  <si>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</si>
  <si>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</si>
  <si>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</si>
  <si>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</si>
  <si>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type of uncertainty (e.g., set value, normal distribution, +/- range)</t>
  </si>
  <si>
    <r>
      <t>2</t>
    </r>
    <r>
      <rPr>
        <sz val="12"/>
        <color rgb="FF000000"/>
        <rFont val="Symbol"/>
        <charset val="2"/>
      </rPr>
      <t>s</t>
    </r>
    <r>
      <rPr>
        <sz val="12"/>
        <color rgb="FF000000"/>
        <rFont val="Verdana"/>
        <family val="2"/>
      </rPr>
      <t xml:space="preserve"> uncertainty (if +/- range is used, it should be separated with a comma, e.g. i,ii, for +i, -ii)</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</si>
  <si>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</si>
  <si>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</si>
  <si>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</si>
  <si>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</si>
  <si>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</si>
  <si>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</si>
  <si>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</si>
  <si>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</si>
  <si>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</si>
  <si>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</si>
  <si>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</si>
  <si>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</si>
  <si>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</si>
  <si>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</si>
  <si>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</si>
  <si>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</si>
  <si>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</si>
  <si>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</si>
  <si>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</si>
  <si>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</si>
  <si>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</si>
  <si>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</si>
  <si>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t>temperature (°C)</t>
  </si>
  <si>
    <t>Mg/Ca  (mmol/mol, average of replicates)</t>
  </si>
  <si>
    <t>temperature calibration equation</t>
  </si>
  <si>
    <t>reference for temperature calibration equation</t>
  </si>
  <si>
    <t>salinity correction (list reference if applied)</t>
  </si>
  <si>
    <t>dissolution correction (list reference if applied)</t>
  </si>
  <si>
    <t>pH correction (list reference if applied)</t>
  </si>
  <si>
    <t>average proxy value (please specify units)</t>
  </si>
  <si>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</si>
  <si>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</si>
  <si>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</si>
  <si>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</si>
  <si>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 xml:space="preserve">reference for [Ca] of seawater value </t>
  </si>
  <si>
    <t>reference for [Mg] of seawater value</t>
  </si>
  <si>
    <t>reference for [SO4] of seawater value</t>
  </si>
  <si>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</si>
  <si>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</si>
  <si>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</si>
  <si>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</si>
  <si>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</si>
  <si>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</si>
  <si>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</si>
  <si>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</si>
  <si>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</si>
  <si>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</si>
  <si>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</si>
  <si>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</si>
  <si>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</si>
  <si>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</si>
  <si>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</si>
  <si>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</si>
  <si>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</si>
  <si>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</si>
  <si>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</si>
  <si>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</si>
  <si>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</si>
  <si>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</si>
  <si>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</si>
  <si>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</si>
  <si>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</si>
  <si>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</si>
  <si>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</si>
  <si>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t>DIC (µmol/kg, if not used as an input parameter</t>
  </si>
  <si>
    <r>
      <rPr>
        <sz val="12"/>
        <rFont val="Symbol"/>
        <charset val="2"/>
      </rPr>
      <t>W</t>
    </r>
    <r>
      <rPr>
        <vertAlign val="subscript"/>
        <sz val="12"/>
        <rFont val="Verdana"/>
        <family val="2"/>
      </rPr>
      <t>calcite</t>
    </r>
    <r>
      <rPr>
        <sz val="12"/>
        <rFont val="Verdana"/>
        <family val="2"/>
      </rPr>
      <t>, if not used as an input parameter</t>
    </r>
  </si>
  <si>
    <r>
      <rPr>
        <sz val="12"/>
        <rFont val="Symbol"/>
        <charset val="2"/>
      </rPr>
      <t>W</t>
    </r>
    <r>
      <rPr>
        <vertAlign val="subscript"/>
        <sz val="12"/>
        <rFont val="Verdana"/>
        <family val="2"/>
      </rPr>
      <t>aragonite</t>
    </r>
    <r>
      <rPr>
        <sz val="12"/>
        <rFont val="Verdana"/>
        <family val="2"/>
      </rPr>
      <t>, if not used as an input parameter</t>
    </r>
  </si>
  <si>
    <t>Additional Notes</t>
  </si>
  <si>
    <t>Basic Info</t>
  </si>
  <si>
    <t>proxy</t>
  </si>
  <si>
    <t>first_author_last_name</t>
  </si>
  <si>
    <t>publication_year</t>
  </si>
  <si>
    <t>doi</t>
  </si>
  <si>
    <t>age_ka</t>
  </si>
  <si>
    <t>Age_uncertainty_pos_ka</t>
  </si>
  <si>
    <t>Age_uncertainty_neg_ka</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</si>
  <si>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</si>
  <si>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Mg/Ca of individual replicate measurements; separate replicates by commas</t>
  </si>
  <si>
    <t>proxy value of individual replicate measurements; separate replicates by commas</t>
  </si>
  <si>
    <t>central value (µmol/kg)</t>
  </si>
  <si>
    <t>Age (ka)</t>
  </si>
  <si>
    <r>
      <t>2</t>
    </r>
    <r>
      <rPr>
        <sz val="12"/>
        <color theme="1"/>
        <rFont val="Symbol"/>
        <charset val="2"/>
      </rPr>
      <t>s</t>
    </r>
    <r>
      <rPr>
        <sz val="12"/>
        <color theme="1"/>
        <rFont val="Calibri"/>
        <family val="2"/>
        <scheme val="minor"/>
      </rPr>
      <t xml:space="preserve"> Age uncertainty pos (ka)</t>
    </r>
  </si>
  <si>
    <r>
      <t>2</t>
    </r>
    <r>
      <rPr>
        <sz val="12"/>
        <color theme="1"/>
        <rFont val="Symbol"/>
        <charset val="2"/>
      </rPr>
      <t>s</t>
    </r>
    <r>
      <rPr>
        <sz val="12"/>
        <color theme="1"/>
        <rFont val="Calibri"/>
        <family val="2"/>
        <scheme val="minor"/>
      </rPr>
      <t xml:space="preserve"> Age uncertainty neg (ka)</t>
    </r>
  </si>
  <si>
    <r>
      <t>2</t>
    </r>
    <r>
      <rPr>
        <sz val="12"/>
        <color theme="1"/>
        <rFont val="Symbol"/>
        <charset val="2"/>
      </rPr>
      <t>s</t>
    </r>
    <r>
      <rPr>
        <sz val="12"/>
        <color theme="1"/>
        <rFont val="Calibri"/>
        <family val="2"/>
        <scheme val="minor"/>
      </rPr>
      <t xml:space="preserve"> temperature pos (°C)</t>
    </r>
  </si>
  <si>
    <r>
      <t>2</t>
    </r>
    <r>
      <rPr>
        <sz val="12"/>
        <color theme="1"/>
        <rFont val="Symbol"/>
        <charset val="2"/>
      </rPr>
      <t>s</t>
    </r>
    <r>
      <rPr>
        <sz val="12"/>
        <color theme="1"/>
        <rFont val="Calibri"/>
        <family val="2"/>
        <scheme val="minor"/>
      </rPr>
      <t xml:space="preserve"> temperature neg (°C)</t>
    </r>
  </si>
  <si>
    <r>
      <t>2</t>
    </r>
    <r>
      <rPr>
        <sz val="12"/>
        <color theme="1"/>
        <rFont val="Symbol"/>
        <charset val="2"/>
      </rPr>
      <t>s</t>
    </r>
    <r>
      <rPr>
        <sz val="12"/>
        <color theme="1"/>
        <rFont val="Calibri"/>
        <family val="2"/>
        <scheme val="minor"/>
      </rPr>
      <t xml:space="preserve"> Mg uncertainty pos (mmol/mol)</t>
    </r>
  </si>
  <si>
    <r>
      <t>2</t>
    </r>
    <r>
      <rPr>
        <sz val="12"/>
        <color theme="1"/>
        <rFont val="Symbol"/>
        <charset val="2"/>
      </rPr>
      <t>s</t>
    </r>
    <r>
      <rPr>
        <sz val="12"/>
        <color theme="1"/>
        <rFont val="Calibri"/>
        <family val="2"/>
        <scheme val="minor"/>
      </rPr>
      <t xml:space="preserve"> Mg/Ca uncertainty neg (mmol/mol)</t>
    </r>
  </si>
  <si>
    <t>[Ca] (mmol/kg)</t>
  </si>
  <si>
    <t>[Mg] (mmol/kg)</t>
  </si>
  <si>
    <t>[SO4] (mmol/kg)</t>
  </si>
  <si>
    <r>
      <t>[B]</t>
    </r>
    <r>
      <rPr>
        <vertAlign val="subscript"/>
        <sz val="12"/>
        <color theme="1"/>
        <rFont val="Verdana"/>
        <family val="2"/>
      </rPr>
      <t xml:space="preserve">T </t>
    </r>
    <r>
      <rPr>
        <sz val="12"/>
        <color theme="1"/>
        <rFont val="Verdana"/>
        <family val="2"/>
      </rPr>
      <t>(µmol/kg)</t>
    </r>
  </si>
  <si>
    <r>
      <t>2</t>
    </r>
    <r>
      <rPr>
        <sz val="12"/>
        <color rgb="FF000000"/>
        <rFont val="Symbol"/>
        <charset val="2"/>
      </rPr>
      <t>s</t>
    </r>
    <r>
      <rPr>
        <sz val="12"/>
        <color rgb="FF000000"/>
        <rFont val="Verdana"/>
        <family val="2"/>
      </rPr>
      <t xml:space="preserve"> uncertainty</t>
    </r>
  </si>
  <si>
    <r>
      <t>2</t>
    </r>
    <r>
      <rPr>
        <sz val="12"/>
        <color theme="1"/>
        <rFont val="Symbol"/>
        <charset val="2"/>
      </rPr>
      <t>s</t>
    </r>
    <r>
      <rPr>
        <sz val="12"/>
        <color theme="1"/>
        <rFont val="Calibri"/>
        <family val="2"/>
        <scheme val="minor"/>
      </rPr>
      <t xml:space="preserve"> uncertainty pos</t>
    </r>
  </si>
  <si>
    <r>
      <t>2</t>
    </r>
    <r>
      <rPr>
        <sz val="12"/>
        <color theme="1"/>
        <rFont val="Symbol"/>
        <charset val="2"/>
      </rPr>
      <t>s</t>
    </r>
    <r>
      <rPr>
        <sz val="12"/>
        <color theme="1"/>
        <rFont val="Calibri"/>
        <family val="2"/>
        <scheme val="minor"/>
      </rPr>
      <t xml:space="preserve"> uncertainty neg</t>
    </r>
  </si>
  <si>
    <r>
      <t>2</t>
    </r>
    <r>
      <rPr>
        <sz val="12"/>
        <color theme="1"/>
        <rFont val="Symbol"/>
        <charset val="2"/>
      </rPr>
      <t>s</t>
    </r>
    <r>
      <rPr>
        <sz val="12"/>
        <color theme="1"/>
        <rFont val="Calibri"/>
        <family val="2"/>
        <scheme val="minor"/>
      </rPr>
      <t xml:space="preserve"> pCO2 uncertainty pos</t>
    </r>
  </si>
  <si>
    <r>
      <t>2</t>
    </r>
    <r>
      <rPr>
        <sz val="12"/>
        <color theme="1"/>
        <rFont val="Symbol"/>
        <charset val="2"/>
      </rPr>
      <t>s</t>
    </r>
    <r>
      <rPr>
        <sz val="12"/>
        <color theme="1"/>
        <rFont val="Calibri"/>
        <family val="2"/>
        <scheme val="minor"/>
      </rPr>
      <t xml:space="preserve"> pCO2 uncertainty neg</t>
    </r>
  </si>
  <si>
    <t>boron isotopes</t>
  </si>
  <si>
    <t>modern reference pH scale (e.g., total scale, seawater scale)</t>
  </si>
  <si>
    <t>N number of replicates</t>
  </si>
  <si>
    <t>2se of replicates</t>
  </si>
  <si>
    <t>Henehan</t>
  </si>
  <si>
    <t>Michael Henehan</t>
  </si>
  <si>
    <t>henehan@gfz-potsdam.de</t>
  </si>
  <si>
    <t>A</t>
  </si>
  <si>
    <t>none</t>
  </si>
  <si>
    <t>set value</t>
  </si>
  <si>
    <t>NA</t>
  </si>
  <si>
    <t>Column Chemistry</t>
  </si>
  <si>
    <t>MC-ICPMS</t>
  </si>
  <si>
    <t>normal distribution</t>
  </si>
  <si>
    <t>modern</t>
  </si>
  <si>
    <t>NA- none applied</t>
  </si>
  <si>
    <t>set salinity value- uncertainty on B/Salinity relationship not included</t>
  </si>
  <si>
    <t>none applied</t>
  </si>
  <si>
    <t>Total Alkalinity</t>
  </si>
  <si>
    <t xml:space="preserve">set value </t>
  </si>
  <si>
    <t>total scale</t>
  </si>
  <si>
    <t xml:space="preserve">NA </t>
  </si>
  <si>
    <r>
      <t xml:space="preserve">reference for </t>
    </r>
    <r>
      <rPr>
        <sz val="12"/>
        <color rgb="FF000000"/>
        <rFont val="Symbol"/>
        <charset val="2"/>
      </rPr>
      <t>a</t>
    </r>
    <r>
      <rPr>
        <vertAlign val="subscript"/>
        <sz val="12"/>
        <color rgb="FF000000"/>
        <rFont val="Verdana"/>
        <family val="2"/>
      </rPr>
      <t>B3-B4</t>
    </r>
  </si>
  <si>
    <t>Klochko et al. (2006)</t>
  </si>
  <si>
    <t>2s alkalinity uncertainty pos</t>
  </si>
  <si>
    <t>2s alkalinity uncertainty neg</t>
  </si>
  <si>
    <t>2s DIC uncertainty pos</t>
  </si>
  <si>
    <t>2s DIC uncertainty neg</t>
  </si>
  <si>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</si>
  <si>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</si>
  <si>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</si>
  <si>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r>
      <t>2</t>
    </r>
    <r>
      <rPr>
        <sz val="12"/>
        <color theme="1"/>
        <rFont val="Symbol"/>
        <charset val="2"/>
      </rPr>
      <t>s</t>
    </r>
    <r>
      <rPr>
        <sz val="12"/>
        <color theme="1"/>
        <rFont val="Calibri"/>
        <family val="2"/>
        <scheme val="minor"/>
      </rPr>
      <t xml:space="preserve"> uncertainty pos (µmol/kg)</t>
    </r>
  </si>
  <si>
    <r>
      <t>2</t>
    </r>
    <r>
      <rPr>
        <sz val="12"/>
        <color theme="1"/>
        <rFont val="Symbol"/>
        <charset val="2"/>
      </rPr>
      <t>s</t>
    </r>
    <r>
      <rPr>
        <sz val="12"/>
        <color theme="1"/>
        <rFont val="Calibri"/>
        <family val="2"/>
        <scheme val="minor"/>
      </rPr>
      <t xml:space="preserve"> uncertainty neg (µmol/kg)</t>
    </r>
  </si>
  <si>
    <r>
      <rPr>
        <vertAlign val="superscript"/>
        <sz val="10"/>
        <rFont val="Verdana"/>
        <family val="2"/>
      </rPr>
      <t>b</t>
    </r>
    <r>
      <rPr>
        <sz val="12"/>
        <color theme="1"/>
        <rFont val="Calibri"/>
        <family val="2"/>
        <scheme val="minor"/>
      </rPr>
      <t>this spreadsheet is specifically designed for boron isotope records aimed at paleo-pCO</t>
    </r>
    <r>
      <rPr>
        <vertAlign val="subscript"/>
        <sz val="10"/>
        <rFont val="Verdana"/>
        <family val="2"/>
      </rPr>
      <t>2</t>
    </r>
    <r>
      <rPr>
        <sz val="12"/>
        <color theme="1"/>
        <rFont val="Calibri"/>
        <family val="2"/>
        <scheme val="minor"/>
      </rPr>
      <t xml:space="preserve"> reconstructions, but it is equally useful for other boron isotope records collected, e.g., in upwelling areas. Such studies should leave the atmospheric pCO</t>
    </r>
    <r>
      <rPr>
        <vertAlign val="subscript"/>
        <sz val="10"/>
        <rFont val="Verdana"/>
        <family val="2"/>
      </rPr>
      <t>2</t>
    </r>
    <r>
      <rPr>
        <sz val="12"/>
        <color theme="1"/>
        <rFont val="Calibri"/>
        <family val="2"/>
        <scheme val="minor"/>
      </rPr>
      <t xml:space="preserve"> column (EW) blank, but may want to report the air-sea disequilibrium in column EX</t>
    </r>
  </si>
  <si>
    <r>
      <rPr>
        <vertAlign val="superscript"/>
        <sz val="10"/>
        <rFont val="Verdana"/>
        <family val="2"/>
      </rPr>
      <t>c</t>
    </r>
    <r>
      <rPr>
        <sz val="12"/>
        <color theme="1"/>
        <rFont val="Calibri"/>
        <family val="2"/>
        <scheme val="minor"/>
      </rPr>
      <t>because minor alkalinity contributors like NH</t>
    </r>
    <r>
      <rPr>
        <vertAlign val="subscript"/>
        <sz val="10"/>
        <rFont val="Verdana"/>
        <family val="2"/>
      </rPr>
      <t>3</t>
    </r>
    <r>
      <rPr>
        <sz val="12"/>
        <color theme="1"/>
        <rFont val="Calibri"/>
        <family val="2"/>
        <scheme val="minor"/>
      </rPr>
      <t>, H</t>
    </r>
    <r>
      <rPr>
        <vertAlign val="subscript"/>
        <sz val="10"/>
        <rFont val="Verdana"/>
        <family val="2"/>
      </rPr>
      <t>3</t>
    </r>
    <r>
      <rPr>
        <sz val="12"/>
        <color theme="1"/>
        <rFont val="Calibri"/>
        <family val="2"/>
        <scheme val="minor"/>
      </rPr>
      <t>PO</t>
    </r>
    <r>
      <rPr>
        <vertAlign val="subscript"/>
        <sz val="10"/>
        <rFont val="Verdana"/>
        <family val="2"/>
      </rPr>
      <t>4</t>
    </r>
    <r>
      <rPr>
        <sz val="12"/>
        <color theme="1"/>
        <rFont val="Calibri"/>
        <family val="2"/>
        <scheme val="minor"/>
      </rPr>
      <t>, HPO</t>
    </r>
    <r>
      <rPr>
        <vertAlign val="subscript"/>
        <sz val="10"/>
        <rFont val="Verdana"/>
        <family val="2"/>
      </rPr>
      <t>4</t>
    </r>
    <r>
      <rPr>
        <sz val="12"/>
        <color theme="1"/>
        <rFont val="Calibri"/>
        <family val="2"/>
        <scheme val="minor"/>
      </rPr>
      <t>, PO</t>
    </r>
    <r>
      <rPr>
        <vertAlign val="subscript"/>
        <sz val="10"/>
        <rFont val="Verdana"/>
        <family val="2"/>
      </rPr>
      <t>4</t>
    </r>
    <r>
      <rPr>
        <sz val="12"/>
        <color theme="1"/>
        <rFont val="Calibri"/>
        <family val="2"/>
        <scheme val="minor"/>
      </rPr>
      <t>, HSiO</t>
    </r>
    <r>
      <rPr>
        <vertAlign val="subscript"/>
        <sz val="10"/>
        <rFont val="Verdana"/>
        <family val="2"/>
      </rPr>
      <t>3</t>
    </r>
    <r>
      <rPr>
        <sz val="12"/>
        <color theme="1"/>
        <rFont val="Calibri"/>
        <family val="2"/>
        <scheme val="minor"/>
      </rPr>
      <t>, HS</t>
    </r>
    <r>
      <rPr>
        <vertAlign val="superscript"/>
        <sz val="10"/>
        <rFont val="Verdana"/>
        <family val="2"/>
      </rPr>
      <t xml:space="preserve">- </t>
    </r>
    <r>
      <rPr>
        <sz val="12"/>
        <color theme="1"/>
        <rFont val="Calibri"/>
        <family val="2"/>
        <scheme val="minor"/>
      </rPr>
      <t>and S</t>
    </r>
    <r>
      <rPr>
        <vertAlign val="superscript"/>
        <sz val="10"/>
        <rFont val="Verdana"/>
        <family val="2"/>
      </rPr>
      <t>2-</t>
    </r>
    <r>
      <rPr>
        <sz val="12"/>
        <color theme="1"/>
        <rFont val="Calibri"/>
        <family val="2"/>
        <scheme val="minor"/>
      </rPr>
      <t xml:space="preserve"> are not included in these calculations, the alkalinity estimate reported in column EK includes only carbon and boron alkalinity, and should therefore be considered an approximation to total alkalinity</t>
    </r>
  </si>
  <si>
    <r>
      <t>Mg/Ca</t>
    </r>
    <r>
      <rPr>
        <vertAlign val="subscript"/>
        <sz val="12"/>
        <rFont val="Verdana"/>
        <family val="2"/>
      </rPr>
      <t xml:space="preserve">sw </t>
    </r>
    <r>
      <rPr>
        <sz val="12"/>
        <rFont val="Verdana"/>
        <family val="2"/>
      </rPr>
      <t>correction</t>
    </r>
  </si>
  <si>
    <r>
      <t>Mg/Ca</t>
    </r>
    <r>
      <rPr>
        <vertAlign val="subscript"/>
        <sz val="12"/>
        <rFont val="Verdana"/>
        <family val="2"/>
      </rPr>
      <t xml:space="preserve">sw </t>
    </r>
    <r>
      <rPr>
        <sz val="12"/>
        <rFont val="Verdana"/>
        <family val="2"/>
      </rPr>
      <t xml:space="preserve">correction  reference </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</si>
  <si>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</si>
  <si>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notes about uncertainty estimate: e.g., included calibration slope and intercept</t>
  </si>
  <si>
    <t>Henehan, M. J.,  Ridgwell, A., Thomas, E., Zhang, S., Alegret, L., Schmidt, D. N., Rae, J. W. B., Witts, J. D., Landman, N. H., Greene, S. E. Huber, B. T. Super, J. R., Planavsky, N. J. and Hull, P. M. (2019).  Rapid ocean acidification and protracted Earth
system recovery followed the end-Cretaceous
Chicxulub impact. Proceedings of the National Academy of Sciences, in press. www.pnas.org/cgi/doi/10.1073/pnas.1905989116</t>
  </si>
  <si>
    <t>DSDP 465</t>
  </si>
  <si>
    <t>Geulhemmerberg, 'E' clay</t>
  </si>
  <si>
    <t>OwlCreek</t>
  </si>
  <si>
    <t>2M above creek bed</t>
  </si>
  <si>
    <t>ODP 1049</t>
  </si>
  <si>
    <t>C</t>
  </si>
  <si>
    <t>Brazos River</t>
  </si>
  <si>
    <t>DMC1</t>
  </si>
  <si>
    <t>10cm below K-Pg</t>
  </si>
  <si>
    <t>DMC2</t>
  </si>
  <si>
    <t>20cm below K-Pg</t>
  </si>
  <si>
    <t>30cm below K-Pg</t>
  </si>
  <si>
    <t>DMC3</t>
  </si>
  <si>
    <t>1m below K-Pg</t>
  </si>
  <si>
    <t>DMC4</t>
  </si>
  <si>
    <t>post-Event bed</t>
  </si>
  <si>
    <t>ODP 1209</t>
  </si>
  <si>
    <t>63.17 mbsf</t>
  </si>
  <si>
    <t>113.58 mbsf</t>
  </si>
  <si>
    <t>235.255mbsf</t>
  </si>
  <si>
    <t>235.1425 mbsf</t>
  </si>
  <si>
    <t>234.8 mbsf</t>
  </si>
  <si>
    <t>234.98 mbsf</t>
  </si>
  <si>
    <t>233.3825 mbsf</t>
  </si>
  <si>
    <t>118.8325 mbsf</t>
  </si>
  <si>
    <t>Pacific Ocean</t>
  </si>
  <si>
    <t>Netherlands Margin</t>
  </si>
  <si>
    <t>Gulf Coast</t>
  </si>
  <si>
    <t>North Atlantic</t>
  </si>
  <si>
    <t>http://www-odp.tamu.edu/publications/198_SR/VOLUME/CHAPTERS/122.PDF</t>
  </si>
  <si>
    <t xml:space="preserve">Alegret L, Thomas E (2005) Cretaceous/Paleogene boundary bathyal paleo-environments in the central North Pacific (DSDP Site 465), the Northwestern Atlantic (ODP Site 1049), the Gulf of Mexico and the Tethys: The benthic foraminiferal record. Palaeogeography, Palaeoclimatology, Palaeoecology 224(1-3):53–82. Alegret L, Thomas E (2009) Food supply to the seafloor in the Pacific Ocean after the Cretaceous/Paleogene boundary event. Marine Micropaleontology 73(1-2):105–116. Boersma A, Shackleton NJ (1981) Oxygen and carbon-isotope variations and planktonic-foraminifer depth habitats, Late Cretaceous to Paleocene, Central Pacific, Deep Sea Drilling Project Sites 463 and 465. Initial Reports of the Deep Sea Drilling Project 62:513–526. Vallier TL, Rea DK, Dean WE, Thiede J, Adelseck CG (1981) The Geology of Hess Rise, Central North Pacific Ocean. Initial Reports of the Deep Sea Drilling Project 62:1031–1061. </t>
  </si>
  <si>
    <t xml:space="preserve">Frank TD, et al. (2005) The Maastrichtian record from Shatsky Rise (northwest Pacific): A tropical perspective on global ecological and oceanographic changes. Paleoceanography 20:PA1008. Kaiho K (1999) Evolution in the test size of deep-sea benthic foraminifera during the past 120 million years. Marine Micropaleontology 37:53–65. Larson RL, Steiner MB, Erba E, Lancelot Y (1992) Paleolatitudes and tectonic reconstructions of the oldest portion of the Pacific Plate: a comparative study. Proceedings of the Ocean Drilling Program, Scientific Results 129:615–631. </t>
  </si>
  <si>
    <t xml:space="preserve">Alegret L, Thomas E (2004) Benthic foraminifera and environmental turnover across the Cretaceous/Paleogene boundary at Blake Nose (ODP Hole 1049C, Northwestern Atlantic). Palaeogeography, Palaeoclimatology, Palaeoecology 208(1-2):59–83. </t>
  </si>
  <si>
    <t>Leighton AD, Hart MB, Smart CW, Leng MJ, Hampton M (2017) Timing recovery after the Cretaceous/Paleogene Boundary: Evidence from the Brazos River, Texas, USA. Journal of Foraminiferal Research 47(3):229–238.</t>
  </si>
  <si>
    <r>
      <t xml:space="preserve">Leighton AD, Hart MB, Smart CW, Leng MJ, Hampton M (2017) Timing recovery after the Cretaceous/Paleogene Boundary: Evidence from the Brazos River, Texas, USA. </t>
    </r>
    <r>
      <rPr>
        <i/>
        <sz val="9"/>
        <color theme="1"/>
        <rFont val="NimbusRomNo9L"/>
      </rPr>
      <t xml:space="preserve">Journal of Foraminiferal Research </t>
    </r>
    <r>
      <rPr>
        <sz val="9"/>
        <color theme="1"/>
        <rFont val="NimbusRomNo9L"/>
      </rPr>
      <t xml:space="preserve">47(3):229–238. </t>
    </r>
  </si>
  <si>
    <t>Sessa JA, et al. (2015) Ammonite habitat revealed via isotopic composition and comparisons with co-occurring benthic and planktonic organisms. Proceedings of the National Academy of Sciences p. 201507554. Larina E, et al. (2016) Upper Maastrichtian ammonite biostratigraphy of the Gulf Coastal Plain (Mississippi Embayment, southern USA). Cretaceous Research 60:128–151.</t>
  </si>
  <si>
    <r>
      <t xml:space="preserve">Smit J, Brinkhuis H (1996) The Geulhemmerberg Cretaceous/Tertiary boundary section (Maastrichtian type area, SE Netherlands); summary of results and a scenario of events. </t>
    </r>
    <r>
      <rPr>
        <i/>
        <sz val="9"/>
        <color theme="1"/>
        <rFont val="NimbusRomNo9L"/>
      </rPr>
      <t xml:space="preserve">Geologie en Mijnbouw </t>
    </r>
    <r>
      <rPr>
        <sz val="9"/>
        <color theme="1"/>
        <rFont val="NimbusRomNo9L"/>
      </rPr>
      <t xml:space="preserve">75:283–293. </t>
    </r>
  </si>
  <si>
    <t>GTS2012</t>
  </si>
  <si>
    <t>Dinarès-Turell J et al (2014) Earth and Planetary Science Letters 405:119–131 for the Palaeocene; shifted to GTS2012. For the Maastrichtian Option3 of Westerhold et al. (2011) Paleoceanography 26(2):PA2216 was used, shifted to GTS2012. Note we also assume the FAD of P. eugubina as marking the end of P0</t>
  </si>
  <si>
    <t>Age assigned from Smit&amp;Brinkhuis (1996)</t>
  </si>
  <si>
    <t>Used FAD of M. prinsii from Henriksson (1993, Cretaceous Research), assumed age from GTS2012 and linear sed rate to K-Pg</t>
  </si>
  <si>
    <t>Regional sedimentation rate and biostrat</t>
  </si>
  <si>
    <t>extrapolated magnetostrat values from Huber et al. (JFR, 2008) on GTS2012</t>
  </si>
  <si>
    <t xml:space="preserve">Regional sedimentation rate and biostrat, FAD of Pl. hantkeninoides. </t>
  </si>
  <si>
    <t>Contusotruncana contusa</t>
  </si>
  <si>
    <r>
      <rPr>
        <i/>
        <sz val="12"/>
        <color theme="1"/>
        <rFont val="Calibri"/>
        <family val="2"/>
        <scheme val="minor"/>
      </rPr>
      <t>Cibicidoides succedens-alleni</t>
    </r>
    <r>
      <rPr>
        <sz val="12"/>
        <color theme="1"/>
        <rFont val="Calibri"/>
        <family val="2"/>
        <scheme val="minor"/>
      </rPr>
      <t xml:space="preserve"> plexus</t>
    </r>
  </si>
  <si>
    <t>Heterohelix globulosa</t>
  </si>
  <si>
    <r>
      <rPr>
        <i/>
        <sz val="12"/>
        <color theme="1"/>
        <rFont val="Calibri"/>
        <family val="2"/>
        <scheme val="minor"/>
      </rPr>
      <t>Heterohelix</t>
    </r>
    <r>
      <rPr>
        <sz val="12"/>
        <color theme="1"/>
        <rFont val="Calibri"/>
        <family val="2"/>
        <scheme val="minor"/>
      </rPr>
      <t xml:space="preserve"> sp.</t>
    </r>
  </si>
  <si>
    <r>
      <rPr>
        <i/>
        <sz val="12"/>
        <color theme="1"/>
        <rFont val="Calibri"/>
        <family val="2"/>
        <scheme val="minor"/>
      </rPr>
      <t>Woodringina</t>
    </r>
    <r>
      <rPr>
        <sz val="12"/>
        <color theme="1"/>
        <rFont val="Calibri"/>
        <family val="2"/>
        <scheme val="minor"/>
      </rPr>
      <t xml:space="preserve"> sp.</t>
    </r>
  </si>
  <si>
    <t>&gt; 425 µm</t>
  </si>
  <si>
    <t>&gt;212 µm</t>
  </si>
  <si>
    <t>150-212 µm</t>
  </si>
  <si>
    <t>355-425 µm</t>
  </si>
  <si>
    <t>150-212µm</t>
  </si>
  <si>
    <t>125-150 µm</t>
  </si>
  <si>
    <t>&gt;150 µm</t>
  </si>
  <si>
    <t>~100</t>
  </si>
  <si>
    <t>1-6</t>
  </si>
  <si>
    <t>3000-7500</t>
  </si>
  <si>
    <t>Henehan et al. (2016) EPSL 454:282–292.</t>
  </si>
  <si>
    <t>Relationship between sample size and long term reproducibility of JCP standards</t>
  </si>
  <si>
    <t>14.11,13.55</t>
  </si>
  <si>
    <t>15.25,14.49</t>
  </si>
  <si>
    <t>14.63,14.83</t>
  </si>
  <si>
    <t>13.35,13.60</t>
  </si>
  <si>
    <t>12.99,13.32</t>
  </si>
  <si>
    <t>14.13,14.43</t>
  </si>
  <si>
    <t>13.72,13.97,13.89,13.79,13.75,13.82,13.86,13.85</t>
  </si>
  <si>
    <t>13.91,13.76</t>
  </si>
  <si>
    <t>13.39,13.53</t>
  </si>
  <si>
    <t>12.64,13.17</t>
  </si>
  <si>
    <t>13.84,13.93</t>
  </si>
  <si>
    <t>14.07,14.10</t>
  </si>
  <si>
    <t>14.01,14.24</t>
  </si>
  <si>
    <t>13.53,13.70</t>
  </si>
  <si>
    <t>15.39,15.87</t>
  </si>
  <si>
    <t>14.18,14.67</t>
  </si>
  <si>
    <t>14.09,14.21</t>
  </si>
  <si>
    <r>
      <t xml:space="preserve">As Geulhemmerberg </t>
    </r>
    <r>
      <rPr>
        <i/>
        <sz val="12"/>
        <color theme="1"/>
        <rFont val="Calibri"/>
        <family val="2"/>
        <scheme val="minor"/>
      </rPr>
      <t>Heterohelix</t>
    </r>
  </si>
  <si>
    <t>None</t>
  </si>
  <si>
    <t>None applied</t>
  </si>
  <si>
    <t>pH offset applied to 'borate calibration' based on pH offset seen from co-habiting benthics- varies with each MC replicate</t>
  </si>
  <si>
    <t>Not calculated via a calibration</t>
  </si>
  <si>
    <t>uncertainty on is calculated by calculating as borate, and then or each of the Monte Carlo simulated datasets, correcting for the difference in reconstructed pH between cohabiting mixed layer Cibs (no vitals) and Heterohelix</t>
  </si>
  <si>
    <t>Monte Carlo</t>
  </si>
  <si>
    <t>95%interquantile of MC runs, using normally distributed error in measurement, and propagating pH correction uncertainty</t>
  </si>
  <si>
    <t>Set %</t>
  </si>
  <si>
    <r>
      <t>Mg</t>
    </r>
    <r>
      <rPr>
        <sz val="9"/>
        <color theme="1"/>
        <rFont val="MTMI"/>
      </rPr>
      <t>/</t>
    </r>
    <r>
      <rPr>
        <sz val="8"/>
        <color theme="1"/>
        <rFont val="Gulliver"/>
      </rPr>
      <t>Ca</t>
    </r>
    <r>
      <rPr>
        <sz val="6"/>
        <color theme="1"/>
        <rFont val="Gulliver"/>
      </rPr>
      <t xml:space="preserve">test </t>
    </r>
    <r>
      <rPr>
        <sz val="9"/>
        <color theme="1"/>
        <rFont val="MTSYN"/>
      </rPr>
      <t>=</t>
    </r>
    <r>
      <rPr>
        <sz val="8"/>
        <color theme="1"/>
        <rFont val="Gulliver"/>
      </rPr>
      <t>Bexp</t>
    </r>
    <r>
      <rPr>
        <sz val="6"/>
        <color theme="1"/>
        <rFont val="Gulliver"/>
      </rPr>
      <t xml:space="preserve">AT </t>
    </r>
  </si>
  <si>
    <t>A=(0.003201*(MgCasw^2))+(0.068129); B=(-0.01483*(MgCasw^2))+(0.165054*MgCasw)+0.023605</t>
  </si>
  <si>
    <t>Evans et al. (2016, EPSL) http://dx.doi.org/10.1016/j.epsl.2016.01.013; pick of 6 calibrations that best fits our TEX data with K-Pg sw</t>
  </si>
  <si>
    <t>Linear fit of Evans et al. (2016, Climate of the Past)</t>
  </si>
  <si>
    <t>Root Mean Square Error</t>
  </si>
  <si>
    <t>Kim et al (2010) TEX-H</t>
  </si>
  <si>
    <t>Yes, used to discern best Mg/Ca calibration</t>
  </si>
  <si>
    <t>SST = 68.4 x (GDGT index - 2) + 38.6</t>
  </si>
  <si>
    <t>Derived from GENIE late Maastrichtian simulation, given palaeolocation</t>
  </si>
  <si>
    <t>Linear interpolation Brennan et al. 2013 AJS &amp; Timofeef et al. GCA 2006)</t>
  </si>
  <si>
    <t>Gothmann et al. (2015) Mg/Ca ratio</t>
  </si>
  <si>
    <t>Lowered to account for lower Cretaceous [B] from Lemarchand et al 2002</t>
  </si>
  <si>
    <t>uniform distribution</t>
  </si>
  <si>
    <t>this study</t>
  </si>
  <si>
    <t>Millero FJ (1995) Thermodynamics of the carbon dioxide system in the oceans. Geochimica et Cosmochimica Acta 59(4):661–677. Orr JC, Epitalon JM, Gattuso JP (2015) Comparison of ten packages that compute ocean carbonate chemistry. Biogeosciences 12:1483–1510.</t>
  </si>
  <si>
    <t>Hain MP, Sigman DM, Higgins JA, Haug GH (2015) The effects of secular calcium and magnesium concentration changes on the thermodynamics of seawater acid/base chemistry: Implications for Eocene and Cretaceous ocean carbon chemistry and buffering. Global Biogeochemical Cycles p. 2014GB004986.</t>
  </si>
  <si>
    <t>none- R code</t>
  </si>
  <si>
    <t>from GENIE Maastrichtian run (given palaeolocations), with time dependent relative change in Alk from LOSCAR simulation that matches CCD evolution</t>
  </si>
  <si>
    <t>MonteCarlo Error Propagation</t>
  </si>
  <si>
    <t>salinity, alkalinity, d11B analysis, Mg/Ca analysis, d11Bsw,</t>
  </si>
  <si>
    <t>Further data in study not used to calculate pCO2</t>
  </si>
  <si>
    <t xml:space="preserve">10.1073/pnas.1905989116 </t>
  </si>
  <si>
    <t>10.1073/pnas.1905989116</t>
  </si>
  <si>
    <t>CO2_ppm</t>
  </si>
  <si>
    <t>CO2_uncertainty_pos_ppm</t>
  </si>
  <si>
    <t>CO2_uncertainty_neg_ppm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</si>
</sst>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9">
    <font>
      <sz val="12"/>
      <color theme="1"/>
      <name val="Calibri"/>
      <family val="2"/>
      <scheme val="minor"/>
    </font>
    <font>
      <sz val="12"/>
      <color theme="1"/>
      <name val="Calibri"/>
      <family val="2"/>
      <scheme val="minor"/>
    </font>
    <font>
      <vertAlign val="superscript"/>
      <sz val="10"/>
      <name val="Verdana"/>
      <family val="2"/>
    </font>
    <font>
      <vertAlign val="subscript"/>
      <sz val="10"/>
      <name val="Verdana"/>
      <family val="2"/>
    </font>
    <font>
      <b/>
      <sz val="12"/>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rgb="FF000000"/>
      <name val="Symbol"/>
      <charset val="2"/>
    </font>
    <font>
      <sz val="12"/>
      <color theme="1"/>
      <name val="Symbol"/>
      <charset val="2"/>
    </font>
    <font>
      <vertAlign val="superscript"/>
      <sz val="12"/>
      <color theme="1"/>
      <name val="Verdana"/>
      <family val="2"/>
    </font>
    <font>
      <vertAlign val="subscript"/>
      <sz val="12"/>
      <color theme="1"/>
      <name val="Verdana"/>
      <family val="2"/>
    </font>
    <font>
      <vertAlign val="subscript"/>
      <sz val="12"/>
      <name val="Verdana"/>
      <family val="2"/>
    </font>
    <font>
      <sz val="11"/>
      <color rgb="FF000000"/>
      <name val="Calibri"/>
      <family val="2"/>
      <charset val="1"/>
    </font>
    <font>
      <sz val="12"/>
      <name val="Verdana"/>
      <family val="2"/>
      <charset val="2"/>
    </font>
    <font>
      <sz val="12"/>
      <color theme="1"/>
      <name val="Verdana"/>
      <family val="2"/>
      <charset val="2"/>
    </font>
    <font>
      <u/>
      <sz val="12"/>
      <color theme="10"/>
      <name val="Calibri"/>
      <family val="2"/>
      <scheme val="minor"/>
    </font>
    <font>
      <sz val="12"/>
      <name val="Arial"/>
      <family val="2"/>
    </font>
    <font>
      <sz val="12"/>
      <color theme="1"/>
      <name val="Calibri"/>
      <family val="2"/>
    </font>
    <font>
      <sz val="12"/>
      <color indexed="8"/>
      <name val="Arial"/>
      <family val="2"/>
    </font>
    <font>
      <sz val="12"/>
      <color theme="1"/>
      <name val="Arial"/>
      <family val="2"/>
    </font>
    <font>
      <sz val="8"/>
      <color theme="1"/>
      <name val="AdvP4DF60E"/>
    </font>
    <font>
      <vertAlign val="subscript"/>
      <sz val="12"/>
      <color rgb="FF000000"/>
      <name val="Verdana"/>
      <family val="2"/>
    </font>
    <font>
      <sz val="12"/>
      <name val="Geneva"/>
      <family val="2"/>
    </font>
    <font>
      <sz val="12"/>
      <color rgb="FF000000"/>
      <name val="Calibri"/>
      <family val="2"/>
      <scheme val="minor"/>
    </font>
    <font>
      <sz val="12"/>
      <name val="Calibri"/>
      <family val="2"/>
    </font>
    <font>
      <sz val="9"/>
      <color theme="1"/>
      <name val="NimbusRomNo9L"/>
    </font>
    <font>
      <i/>
      <sz val="9"/>
      <color theme="1"/>
      <name val="NimbusRomNo9L"/>
    </font>
    <font>
      <i/>
      <sz val="12"/>
      <color theme="1"/>
      <name val="Calibri"/>
      <family val="2"/>
      <scheme val="minor"/>
    </font>
    <font>
      <sz val="8"/>
      <color theme="1"/>
      <name val="Gulliver"/>
    </font>
    <font>
      <sz val="9"/>
      <color theme="1"/>
      <name val="MTMI"/>
    </font>
    <font>
      <sz val="6"/>
      <color theme="1"/>
      <name val="Gulliver"/>
    </font>
    <font>
      <sz val="9"/>
      <color theme="1"/>
      <name val="MTSYN"/>
    </font>
    <font>
      <sz val="8"/>
      <name val="Calibri"/>
      <family val="2"/>
      <scheme val="minor"/>
    </font>
    <font>
      <sz val="9"/>
      <color theme="1"/>
      <name val="Calibri"/>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CDFDCC"/>
        <bgColor rgb="FF000000"/>
      </patternFill>
    </fill>
    <fill>
      <patternFill patternType="solid">
        <fgColor rgb="FFA9D08D"/>
        <bgColor indexed="64"/>
      </patternFill>
    </fill>
    <fill>
      <patternFill patternType="solid">
        <fgColor rgb="FFCEFDCC"/>
        <bgColor indexed="64"/>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4">
    <xf numFmtId="0" fontId="0" fillId="0" borderId="0"/>
    <xf numFmtId="0" fontId="27" fillId="0" borderId="0"/>
    <xf numFmtId="0" fontId="1" fillId="0" borderId="0"/>
    <xf numFmtId="0" fontId="30"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wrapText="1"/>
    </xf>
    <xf numFmtId="0" fontId="4" fillId="0" borderId="1" xfId="0" applyFont="1" applyBorder="1"/>
    <xf numFmtId="0" fontId="0" fillId="0" borderId="2" xfId="0" applyBorder="1"/>
    <xf numFmtId="0" fontId="0" fillId="0" borderId="2" xfId="0" applyBorder="1" applyAlignment="1">
      <alignment vertical="top"/>
    </xf>
    <xf numFmtId="0" fontId="0" fillId="0" borderId="3" xfId="0" applyBorder="1"/>
    <xf numFmtId="0" fontId="5" fillId="2" borderId="1" xfId="0" applyFont="1" applyFill="1" applyBorder="1"/>
    <xf numFmtId="0" fontId="5" fillId="2" borderId="2" xfId="0" applyFont="1" applyFill="1" applyBorder="1"/>
    <xf numFmtId="0" fontId="0" fillId="2" borderId="2" xfId="0" applyFill="1" applyBorder="1"/>
    <xf numFmtId="0" fontId="5" fillId="3" borderId="4" xfId="0" applyFont="1" applyFill="1" applyBorder="1" applyAlignment="1">
      <alignment horizontal="left" vertical="center"/>
    </xf>
    <xf numFmtId="0" fontId="5" fillId="3" borderId="5" xfId="0" applyFont="1" applyFill="1" applyBorder="1" applyAlignment="1">
      <alignment wrapText="1"/>
    </xf>
    <xf numFmtId="0" fontId="5" fillId="3" borderId="5" xfId="0" applyFont="1" applyFill="1" applyBorder="1"/>
    <xf numFmtId="0" fontId="0" fillId="3" borderId="5" xfId="0" applyFill="1" applyBorder="1"/>
    <xf numFmtId="0" fontId="6" fillId="3" borderId="4" xfId="0" applyFont="1" applyFill="1" applyBorder="1"/>
    <xf numFmtId="0" fontId="5" fillId="4" borderId="4" xfId="0" applyFont="1" applyFill="1" applyBorder="1"/>
    <xf numFmtId="0" fontId="0" fillId="4" borderId="5" xfId="0" applyFill="1" applyBorder="1"/>
    <xf numFmtId="0" fontId="0" fillId="4" borderId="1" xfId="0" applyFill="1" applyBorder="1"/>
    <xf numFmtId="0" fontId="0" fillId="4" borderId="2" xfId="0" applyFill="1" applyBorder="1"/>
    <xf numFmtId="0" fontId="5" fillId="4" borderId="2" xfId="0" applyFont="1" applyFill="1" applyBorder="1"/>
    <xf numFmtId="0" fontId="5" fillId="4" borderId="3" xfId="0" applyFont="1" applyFill="1" applyBorder="1"/>
    <xf numFmtId="0" fontId="5" fillId="5" borderId="1" xfId="0" applyFont="1" applyFill="1" applyBorder="1"/>
    <xf numFmtId="0" fontId="6" fillId="5"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7" fillId="5" borderId="5" xfId="0" applyFont="1" applyFill="1" applyBorder="1" applyAlignment="1">
      <alignment horizontal="left" vertical="center"/>
    </xf>
    <xf numFmtId="0" fontId="6" fillId="5" borderId="5" xfId="0" applyFont="1" applyFill="1" applyBorder="1" applyAlignment="1">
      <alignment horizontal="center" vertical="center" wrapText="1"/>
    </xf>
    <xf numFmtId="0" fontId="5" fillId="6" borderId="1" xfId="0" applyFont="1" applyFill="1" applyBorder="1"/>
    <xf numFmtId="0" fontId="5" fillId="7" borderId="2" xfId="0" applyFont="1" applyFill="1" applyBorder="1"/>
    <xf numFmtId="0" fontId="5" fillId="7" borderId="3" xfId="0" applyFont="1" applyFill="1" applyBorder="1"/>
    <xf numFmtId="0" fontId="5" fillId="6" borderId="2" xfId="0" applyFont="1" applyFill="1" applyBorder="1"/>
    <xf numFmtId="0" fontId="5" fillId="6" borderId="3" xfId="0" applyFont="1" applyFill="1" applyBorder="1"/>
    <xf numFmtId="0" fontId="0" fillId="6" borderId="2" xfId="0" applyFill="1" applyBorder="1"/>
    <xf numFmtId="0" fontId="0" fillId="6" borderId="4" xfId="0" applyFill="1" applyBorder="1"/>
    <xf numFmtId="0" fontId="5" fillId="7" borderId="1" xfId="0" applyFont="1" applyFill="1" applyBorder="1"/>
    <xf numFmtId="0" fontId="5" fillId="7" borderId="5" xfId="0" applyFont="1" applyFill="1" applyBorder="1"/>
    <xf numFmtId="0" fontId="5" fillId="8" borderId="2" xfId="0" applyFont="1" applyFill="1" applyBorder="1"/>
    <xf numFmtId="0" fontId="5" fillId="9" borderId="1" xfId="0" applyFont="1" applyFill="1" applyBorder="1"/>
    <xf numFmtId="0" fontId="5" fillId="9" borderId="2" xfId="0" applyFont="1" applyFill="1" applyBorder="1"/>
    <xf numFmtId="0" fontId="0" fillId="9" borderId="2" xfId="0" applyFill="1" applyBorder="1"/>
    <xf numFmtId="0" fontId="0" fillId="0" borderId="6" xfId="0" applyBorder="1"/>
    <xf numFmtId="0" fontId="4" fillId="0" borderId="7" xfId="0" applyFont="1" applyBorder="1"/>
    <xf numFmtId="0" fontId="0" fillId="0" borderId="8" xfId="0" applyBorder="1"/>
    <xf numFmtId="0" fontId="0" fillId="0" borderId="8" xfId="0" applyBorder="1" applyAlignment="1">
      <alignment vertical="top"/>
    </xf>
    <xf numFmtId="0" fontId="0" fillId="0" borderId="9" xfId="0" applyBorder="1"/>
    <xf numFmtId="0" fontId="5" fillId="2" borderId="8" xfId="0" applyFont="1" applyFill="1" applyBorder="1"/>
    <xf numFmtId="0" fontId="0" fillId="2" borderId="8" xfId="0" applyFill="1" applyBorder="1"/>
    <xf numFmtId="0" fontId="5" fillId="3" borderId="4" xfId="0" applyFont="1" applyFill="1" applyBorder="1" applyAlignment="1">
      <alignment horizontal="center" vertical="center"/>
    </xf>
    <xf numFmtId="0" fontId="6" fillId="4" borderId="1" xfId="0" applyFont="1" applyFill="1" applyBorder="1" applyAlignment="1">
      <alignment horizontal="left" vertical="center"/>
    </xf>
    <xf numFmtId="0" fontId="15" fillId="5" borderId="0" xfId="0" applyFont="1" applyFill="1"/>
    <xf numFmtId="0" fontId="6" fillId="5" borderId="0" xfId="0" applyFont="1" applyFill="1" applyAlignment="1">
      <alignment horizontal="center" vertical="center" wrapText="1"/>
    </xf>
    <xf numFmtId="0" fontId="7" fillId="5" borderId="7" xfId="0" applyFont="1" applyFill="1" applyBorder="1" applyAlignment="1">
      <alignment horizontal="left" vertical="center"/>
    </xf>
    <xf numFmtId="0" fontId="7" fillId="5" borderId="8" xfId="0" applyFont="1" applyFill="1" applyBorder="1" applyAlignment="1">
      <alignment horizontal="left" vertical="center"/>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7" fillId="5" borderId="2" xfId="0" applyFont="1" applyFill="1" applyBorder="1" applyAlignment="1">
      <alignment horizontal="left" vertical="center"/>
    </xf>
    <xf numFmtId="0" fontId="5" fillId="7" borderId="4" xfId="0" applyFont="1" applyFill="1" applyBorder="1"/>
    <xf numFmtId="0" fontId="5" fillId="7" borderId="0" xfId="0" applyFont="1" applyFill="1"/>
    <xf numFmtId="0" fontId="5" fillId="6" borderId="0" xfId="0" applyFont="1" applyFill="1"/>
    <xf numFmtId="0" fontId="0" fillId="6" borderId="0" xfId="0" applyFill="1"/>
    <xf numFmtId="0" fontId="7" fillId="7" borderId="4" xfId="0" applyFont="1" applyFill="1" applyBorder="1" applyAlignment="1">
      <alignment horizontal="left" vertical="center"/>
    </xf>
    <xf numFmtId="0" fontId="6" fillId="7" borderId="5" xfId="0" applyFont="1" applyFill="1" applyBorder="1" applyAlignment="1">
      <alignment horizontal="left" vertical="center"/>
    </xf>
    <xf numFmtId="0" fontId="6" fillId="7" borderId="12" xfId="0" applyFont="1" applyFill="1" applyBorder="1" applyAlignment="1">
      <alignment horizontal="left" vertical="center"/>
    </xf>
    <xf numFmtId="0" fontId="5" fillId="7" borderId="12" xfId="0" applyFont="1" applyFill="1" applyBorder="1"/>
    <xf numFmtId="0" fontId="15" fillId="7" borderId="4" xfId="0" applyFont="1" applyFill="1" applyBorder="1"/>
    <xf numFmtId="0" fontId="7" fillId="7" borderId="0" xfId="0" applyFont="1" applyFill="1" applyAlignment="1">
      <alignment horizontal="left" vertical="center"/>
    </xf>
    <xf numFmtId="0" fontId="6" fillId="7" borderId="0" xfId="0" applyFont="1" applyFill="1" applyAlignment="1">
      <alignment horizontal="left" vertical="center"/>
    </xf>
    <xf numFmtId="0" fontId="5" fillId="6" borderId="4" xfId="0" applyFont="1" applyFill="1" applyBorder="1"/>
    <xf numFmtId="0" fontId="5" fillId="6" borderId="10" xfId="0" applyFont="1" applyFill="1" applyBorder="1"/>
    <xf numFmtId="0" fontId="7" fillId="7" borderId="11" xfId="0" applyFont="1" applyFill="1" applyBorder="1" applyAlignment="1">
      <alignment horizontal="center" vertical="center" wrapText="1"/>
    </xf>
    <xf numFmtId="0" fontId="6" fillId="7" borderId="0" xfId="0" applyFont="1" applyFill="1" applyAlignment="1">
      <alignment horizontal="center" vertical="center" wrapText="1"/>
    </xf>
    <xf numFmtId="0" fontId="5" fillId="7" borderId="11" xfId="0" applyFont="1" applyFill="1" applyBorder="1"/>
    <xf numFmtId="0" fontId="5" fillId="8" borderId="0" xfId="0" applyFont="1" applyFill="1"/>
    <xf numFmtId="0" fontId="5" fillId="8" borderId="8" xfId="0" applyFont="1" applyFill="1" applyBorder="1"/>
    <xf numFmtId="0" fontId="5" fillId="2" borderId="7" xfId="0" applyFont="1" applyFill="1" applyBorder="1"/>
    <xf numFmtId="0" fontId="0" fillId="0" borderId="13" xfId="0" applyBorder="1"/>
    <xf numFmtId="0" fontId="20" fillId="10" borderId="14" xfId="0" applyFont="1" applyFill="1" applyBorder="1" applyAlignment="1">
      <alignment horizontal="center" vertical="center" wrapText="1"/>
    </xf>
    <xf numFmtId="0" fontId="20" fillId="10" borderId="15" xfId="0" applyFont="1" applyFill="1" applyBorder="1" applyAlignment="1">
      <alignment horizontal="center" vertical="center" wrapText="1"/>
    </xf>
    <xf numFmtId="0" fontId="20" fillId="10" borderId="16"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1"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21" fillId="5" borderId="2" xfId="0" applyFont="1" applyFill="1" applyBorder="1" applyAlignment="1">
      <alignment horizontal="center" vertical="center" wrapText="1"/>
    </xf>
    <xf numFmtId="0" fontId="20" fillId="5" borderId="2" xfId="0" applyFont="1" applyFill="1" applyBorder="1" applyAlignment="1">
      <alignment horizontal="center" vertical="center" wrapText="1"/>
    </xf>
    <xf numFmtId="0" fontId="20" fillId="5" borderId="7" xfId="0" applyFont="1" applyFill="1" applyBorder="1" applyAlignment="1">
      <alignment horizontal="center" vertical="center" wrapText="1"/>
    </xf>
    <xf numFmtId="0" fontId="21" fillId="5" borderId="8" xfId="0" applyFont="1" applyFill="1" applyBorder="1" applyAlignment="1">
      <alignment horizontal="center" vertical="center" wrapText="1"/>
    </xf>
    <xf numFmtId="0" fontId="20" fillId="5" borderId="8" xfId="0" applyFont="1" applyFill="1" applyBorder="1" applyAlignment="1">
      <alignment horizontal="center" vertical="center" wrapText="1"/>
    </xf>
    <xf numFmtId="0" fontId="20" fillId="6" borderId="1" xfId="0" applyFont="1" applyFill="1" applyBorder="1" applyAlignment="1">
      <alignment horizontal="center" vertical="center" wrapText="1"/>
    </xf>
    <xf numFmtId="0" fontId="21" fillId="6" borderId="2" xfId="0" applyFont="1" applyFill="1" applyBorder="1" applyAlignment="1">
      <alignment horizontal="center" vertical="center" wrapText="1"/>
    </xf>
    <xf numFmtId="0" fontId="20" fillId="6"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20" fillId="7" borderId="2"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20" fillId="8" borderId="2" xfId="0" applyFont="1" applyFill="1" applyBorder="1" applyAlignment="1">
      <alignment horizontal="center" vertical="center" wrapText="1"/>
    </xf>
    <xf numFmtId="0" fontId="21" fillId="8" borderId="2"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0" borderId="13" xfId="0" applyFont="1" applyBorder="1" applyAlignment="1">
      <alignment horizontal="center" vertical="center" wrapText="1"/>
    </xf>
    <xf numFmtId="0" fontId="6" fillId="0" borderId="0" xfId="0" applyFont="1" applyAlignment="1">
      <alignment horizontal="center" vertical="center" wrapText="1"/>
    </xf>
    <xf numFmtId="0" fontId="0" fillId="0" borderId="4" xfId="0" applyBorder="1"/>
    <xf numFmtId="0" fontId="0" fillId="0" borderId="5" xfId="0" applyBorder="1"/>
    <xf numFmtId="0" fontId="0" fillId="0" borderId="12" xfId="0" applyBorder="1"/>
    <xf numFmtId="0" fontId="0" fillId="0" borderId="7" xfId="0" applyBorder="1"/>
    <xf numFmtId="0" fontId="0" fillId="0" borderId="1" xfId="0" applyBorder="1"/>
    <xf numFmtId="0" fontId="0" fillId="0" borderId="2" xfId="0" applyBorder="1" applyAlignment="1">
      <alignment wrapText="1"/>
    </xf>
    <xf numFmtId="0" fontId="0" fillId="0" borderId="2" xfId="0" quotePrefix="1" applyBorder="1" applyAlignment="1">
      <alignment wrapText="1"/>
    </xf>
    <xf numFmtId="0" fontId="28" fillId="4" borderId="1"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3" borderId="2" xfId="0" quotePrefix="1" applyFill="1" applyBorder="1" applyAlignment="1">
      <alignment horizontal="center" vertical="center" wrapText="1"/>
    </xf>
    <xf numFmtId="0" fontId="7" fillId="6" borderId="0" xfId="0" applyFont="1" applyFill="1" applyAlignment="1">
      <alignment horizontal="left" vertical="center"/>
    </xf>
    <xf numFmtId="0" fontId="0" fillId="13" borderId="3" xfId="0" quotePrefix="1" applyFill="1" applyBorder="1" applyAlignment="1">
      <alignment horizontal="center" vertical="center" wrapText="1"/>
    </xf>
    <xf numFmtId="0" fontId="29" fillId="6"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0" fillId="15" borderId="2" xfId="0" quotePrefix="1" applyFill="1" applyBorder="1" applyAlignment="1">
      <alignment horizontal="center" vertical="center" wrapText="1"/>
    </xf>
    <xf numFmtId="0" fontId="6" fillId="4" borderId="2" xfId="0" applyFont="1" applyFill="1" applyBorder="1" applyAlignment="1">
      <alignment horizontal="left" vertical="center"/>
    </xf>
    <xf numFmtId="0" fontId="28" fillId="4" borderId="2" xfId="0" applyFont="1" applyFill="1" applyBorder="1" applyAlignment="1">
      <alignment horizontal="center" vertical="center" wrapText="1"/>
    </xf>
    <xf numFmtId="0" fontId="0" fillId="2" borderId="5" xfId="0" applyFill="1" applyBorder="1"/>
    <xf numFmtId="0" fontId="30" fillId="0" borderId="0" xfId="3"/>
    <xf numFmtId="0" fontId="33" fillId="0" borderId="0" xfId="0" applyFont="1" applyAlignment="1">
      <alignment horizontal="center"/>
    </xf>
    <xf numFmtId="0" fontId="31" fillId="0" borderId="0" xfId="0" applyFont="1" applyAlignment="1">
      <alignment horizontal="center"/>
    </xf>
    <xf numFmtId="165" fontId="0" fillId="0" borderId="0" xfId="0" applyNumberFormat="1"/>
    <xf numFmtId="49" fontId="0" fillId="0" borderId="0" xfId="0" applyNumberFormat="1"/>
    <xf numFmtId="2" fontId="34" fillId="0" borderId="0" xfId="0" applyNumberFormat="1" applyFont="1" applyAlignment="1">
      <alignment horizontal="center"/>
    </xf>
    <xf numFmtId="0" fontId="35" fillId="0" borderId="0" xfId="0" applyFont="1"/>
    <xf numFmtId="164" fontId="34" fillId="0" borderId="0" xfId="0" applyNumberFormat="1" applyFont="1" applyAlignment="1">
      <alignment horizontal="center"/>
    </xf>
    <xf numFmtId="1" fontId="0" fillId="0" borderId="0" xfId="0" applyNumberFormat="1"/>
    <xf numFmtId="0" fontId="6" fillId="16" borderId="8" xfId="0" quotePrefix="1" applyFont="1" applyFill="1" applyBorder="1" applyAlignment="1">
      <alignment horizontal="center" vertical="center" wrapText="1"/>
    </xf>
    <xf numFmtId="0" fontId="6" fillId="16" borderId="2" xfId="0" applyFont="1" applyFill="1" applyBorder="1" applyAlignment="1">
      <alignment horizontal="center" vertical="center" wrapText="1"/>
    </xf>
    <xf numFmtId="1" fontId="37" fillId="0" borderId="0" xfId="0" applyNumberFormat="1" applyFont="1"/>
    <xf numFmtId="2" fontId="31" fillId="0" borderId="0" xfId="0" applyNumberFormat="1" applyFont="1" applyAlignment="1">
      <alignment horizontal="left"/>
    </xf>
    <xf numFmtId="0" fontId="30" fillId="0" borderId="0" xfId="3" applyAlignment="1"/>
    <xf numFmtId="0" fontId="0" fillId="0" borderId="0" xfId="0" applyAlignment="1">
      <alignment horizontal="left"/>
    </xf>
    <xf numFmtId="0" fontId="0" fillId="0" borderId="0" xfId="0" quotePrefix="1" applyAlignment="1">
      <alignment horizontal="left"/>
    </xf>
    <xf numFmtId="0" fontId="0" fillId="0" borderId="0" xfId="0" quotePrefix="1"/>
    <xf numFmtId="0" fontId="38" fillId="0" borderId="0" xfId="0" applyFont="1"/>
    <xf numFmtId="0" fontId="32" fillId="0" borderId="0" xfId="0" applyFont="1" applyAlignment="1">
      <alignment horizontal="right"/>
    </xf>
    <xf numFmtId="2" fontId="39" fillId="0" borderId="0" xfId="0" applyNumberFormat="1" applyFont="1" applyAlignment="1">
      <alignment horizontal="right"/>
    </xf>
    <xf numFmtId="0" fontId="39" fillId="0" borderId="0" xfId="0" applyFont="1" applyAlignment="1">
      <alignment horizontal="right"/>
    </xf>
    <xf numFmtId="0" fontId="40" fillId="0" borderId="0" xfId="0" applyFont="1"/>
    <xf numFmtId="0" fontId="42" fillId="0" borderId="0" xfId="0" applyFont="1"/>
    <xf numFmtId="2" fontId="0" fillId="0" borderId="0" xfId="0" applyNumberFormat="1"/>
    <xf numFmtId="164" fontId="0" fillId="0" borderId="0" xfId="0" applyNumberFormat="1"/>
    <xf numFmtId="0" fontId="43" fillId="0" borderId="0" xfId="0" applyFont="1"/>
    <xf numFmtId="0" fontId="48" fillId="0" borderId="0" xfId="0" applyFont="1"/>
    <xf numFmtId="0" fontId="0" fillId="0" borderId="2" xfId="0" applyBorder="1" applyAlignment="1">
      <alignment horizontal="center" wrapText="1"/>
    </xf>
    <xf numFmtId="0" fontId="0" fillId="0" borderId="2" xfId="0" quotePrefix="1" applyBorder="1" applyAlignment="1">
      <alignment horizontal="center" wrapText="1"/>
    </xf>
    <xf numFmtId="0" fontId="0" fillId="0" borderId="3" xfId="0" quotePrefix="1" applyBorder="1" applyAlignment="1">
      <alignment horizontal="center" wrapText="1"/>
    </xf>
  </cellXfs>
  <cellStyles count="4">
    <cellStyle name="Hyperlink" xfId="3" builtinId="8"/>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colors>
    <mruColors>
      <color rgb="FFFFFF9A"/>
      <color rgb="FFC6E0B4"/>
      <color rgb="FFA9D08D"/>
      <color rgb="FFCEFD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pnas.org/cgi/doi/10.1073/pnas.1905989116" TargetMode="External"/><Relationship Id="rId13" Type="http://schemas.openxmlformats.org/officeDocument/2006/relationships/hyperlink" Target="http://www.pnas.org/cgi/doi/10.1073/pnas.1905989116" TargetMode="External"/><Relationship Id="rId18" Type="http://schemas.openxmlformats.org/officeDocument/2006/relationships/hyperlink" Target="http://www.pnas.org/cgi/doi/10.1073/pnas.1905989116" TargetMode="External"/><Relationship Id="rId3" Type="http://schemas.openxmlformats.org/officeDocument/2006/relationships/hyperlink" Target="mailto:henehan@gfz-potsdam.de" TargetMode="External"/><Relationship Id="rId7" Type="http://schemas.openxmlformats.org/officeDocument/2006/relationships/hyperlink" Target="http://www.pnas.org/cgi/doi/10.1073/pnas.1905989116" TargetMode="External"/><Relationship Id="rId12" Type="http://schemas.openxmlformats.org/officeDocument/2006/relationships/hyperlink" Target="http://www.pnas.org/cgi/doi/10.1073/pnas.1905989116" TargetMode="External"/><Relationship Id="rId17" Type="http://schemas.openxmlformats.org/officeDocument/2006/relationships/hyperlink" Target="http://www.pnas.org/cgi/doi/10.1073/pnas.1905989116" TargetMode="External"/><Relationship Id="rId2" Type="http://schemas.openxmlformats.org/officeDocument/2006/relationships/hyperlink" Target="http://www.pnas.org/cgi/doi/10.1073/pnas.1905989116" TargetMode="External"/><Relationship Id="rId16" Type="http://schemas.openxmlformats.org/officeDocument/2006/relationships/hyperlink" Target="http://www.pnas.org/cgi/doi/10.1073/pnas.1905989116" TargetMode="External"/><Relationship Id="rId20" Type="http://schemas.openxmlformats.org/officeDocument/2006/relationships/hyperlink" Target="http://www.pnas.org/cgi/doi/10.1073/pnas.1905989116" TargetMode="External"/><Relationship Id="rId1" Type="http://schemas.openxmlformats.org/officeDocument/2006/relationships/hyperlink" Target="mailto:henehan@gfz-potsdam.de" TargetMode="External"/><Relationship Id="rId6" Type="http://schemas.openxmlformats.org/officeDocument/2006/relationships/hyperlink" Target="http://www.pnas.org/cgi/doi/10.1073/pnas.1905989116" TargetMode="External"/><Relationship Id="rId11" Type="http://schemas.openxmlformats.org/officeDocument/2006/relationships/hyperlink" Target="http://www.pnas.org/cgi/doi/10.1073/pnas.1905989116" TargetMode="External"/><Relationship Id="rId5" Type="http://schemas.openxmlformats.org/officeDocument/2006/relationships/hyperlink" Target="http://www.pnas.org/cgi/doi/10.1073/pnas.1905989116" TargetMode="External"/><Relationship Id="rId15" Type="http://schemas.openxmlformats.org/officeDocument/2006/relationships/hyperlink" Target="http://www.pnas.org/cgi/doi/10.1073/pnas.1905989116" TargetMode="External"/><Relationship Id="rId10" Type="http://schemas.openxmlformats.org/officeDocument/2006/relationships/hyperlink" Target="http://www.pnas.org/cgi/doi/10.1073/pnas.1905989116" TargetMode="External"/><Relationship Id="rId19" Type="http://schemas.openxmlformats.org/officeDocument/2006/relationships/hyperlink" Target="http://www.pnas.org/cgi/doi/10.1073/pnas.1905989116" TargetMode="External"/><Relationship Id="rId4" Type="http://schemas.openxmlformats.org/officeDocument/2006/relationships/hyperlink" Target="http://www.pnas.org/cgi/doi/10.1073/pnas.1905989116" TargetMode="External"/><Relationship Id="rId9" Type="http://schemas.openxmlformats.org/officeDocument/2006/relationships/hyperlink" Target="http://www.pnas.org/cgi/doi/10.1073/pnas.1905989116" TargetMode="External"/><Relationship Id="rId14" Type="http://schemas.openxmlformats.org/officeDocument/2006/relationships/hyperlink" Target="http://www.pnas.org/cgi/doi/10.1073/pnas.19059891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I48"/>
  <sheetViews>
    <sheetView tabSelected="1" topLeftCell="BY18" zoomScale="99" workbookViewId="0">
      <selection activeCell="CC43" sqref="CC43"/>
    </sheetView>
  </sheetViews>
  <sheetFormatPr baseColWidth="10" defaultColWidth="11" defaultRowHeight="16"/>
  <cols>
    <col min="1" max="1" width="14.1640625" customWidth="1"/>
    <col min="6" max="6" width="14.6640625" customWidth="1"/>
    <col min="7" max="7" width="15.5" customWidth="1"/>
    <col min="11" max="11" width="14.1640625" customWidth="1"/>
    <col min="12" max="12" width="25.6640625" customWidth="1"/>
    <col min="13" max="13" width="16" style="1" customWidth="1"/>
    <col min="14" max="14" width="22.33203125" customWidth="1"/>
    <col min="24" max="24" width="23" customWidth="1"/>
    <col min="34" max="34" width="13.33203125" customWidth="1"/>
    <col min="35" max="36" width="14.33203125" customWidth="1"/>
    <col min="38" max="38" width="16.33203125" customWidth="1"/>
    <col min="39" max="39" width="13.5" customWidth="1"/>
    <col min="47" max="47" width="13.5" customWidth="1"/>
    <col min="48" max="48" width="13.83203125" customWidth="1"/>
    <col min="49" max="49" width="14.1640625" customWidth="1"/>
    <col min="50" max="50" width="16.6640625" customWidth="1"/>
    <col min="52" max="52" width="12.83203125" customWidth="1"/>
    <col min="54" max="54" width="16.33203125" customWidth="1"/>
    <col min="55" max="55" width="12.83203125" customWidth="1"/>
    <col min="56" max="56" width="13.33203125" customWidth="1"/>
    <col min="57" max="57" width="14.33203125" customWidth="1"/>
    <col min="58" max="58" width="14.5" customWidth="1"/>
    <col min="59" max="59" width="16.5" customWidth="1"/>
    <col min="61" max="61" width="14.5" customWidth="1"/>
    <col min="62" max="62" width="14.1640625" customWidth="1"/>
    <col min="64" max="64" width="14" customWidth="1"/>
    <col min="65" max="65" width="13.83203125" customWidth="1"/>
    <col min="66" max="66" width="13.1640625" customWidth="1"/>
    <col min="69" max="69" width="13.6640625" customWidth="1"/>
    <col min="70" max="70" width="12.83203125" customWidth="1"/>
    <col min="71" max="71" width="14.83203125" customWidth="1"/>
    <col min="72" max="72" width="13.1640625" customWidth="1"/>
    <col min="74" max="74" width="15.1640625" customWidth="1"/>
    <col min="75" max="75" width="15.83203125" customWidth="1"/>
    <col min="76" max="76" width="15.6640625" customWidth="1"/>
    <col min="77" max="77" width="16.6640625" customWidth="1"/>
    <col min="78" max="79" width="14.5" customWidth="1"/>
    <col min="80" max="80" width="14.83203125" customWidth="1"/>
    <col min="81" max="81" width="15.83203125" customWidth="1"/>
    <col min="82" max="82" width="15.6640625" customWidth="1"/>
    <col min="83" max="84" width="16" customWidth="1"/>
    <col min="85" max="85" width="19" customWidth="1"/>
    <col min="86" max="86" width="14" customWidth="1"/>
    <col min="90" max="90" width="15" customWidth="1"/>
    <col min="91" max="91" width="12.6640625" customWidth="1"/>
    <col min="95" max="95" width="12.83203125" customWidth="1"/>
    <col min="102" max="102" width="13.1640625" customWidth="1"/>
    <col min="103" max="103" width="13.83203125" customWidth="1"/>
    <col min="116" max="116" width="14.5" customWidth="1"/>
    <col min="117" max="117" width="13.83203125" customWidth="1"/>
    <col min="118" max="118" width="15" customWidth="1"/>
    <col min="120" max="121" width="15.33203125" customWidth="1"/>
    <col min="123" max="123" width="14.1640625" customWidth="1"/>
    <col min="126" max="126" width="14.33203125" customWidth="1"/>
    <col min="127" max="128" width="13.83203125" customWidth="1"/>
    <col min="129" max="129" width="15.1640625" customWidth="1"/>
    <col min="130" max="130" width="14.6640625" customWidth="1"/>
    <col min="131" max="131" width="15" customWidth="1"/>
    <col min="132" max="132" width="13.33203125" customWidth="1"/>
    <col min="136" max="136" width="14.83203125" customWidth="1"/>
    <col min="137" max="137" width="14.6640625" customWidth="1"/>
    <col min="138" max="138" width="13.83203125" customWidth="1"/>
    <col min="139" max="139" width="15" customWidth="1"/>
    <col min="140" max="140" width="14.33203125" customWidth="1"/>
    <col min="142" max="142" width="15.33203125" customWidth="1"/>
    <col min="143" max="144" width="15" customWidth="1"/>
    <col min="145" max="145" width="14.83203125" customWidth="1"/>
    <col min="146" max="147" width="14.6640625" customWidth="1"/>
    <col min="148" max="148" width="15.1640625" customWidth="1"/>
    <col min="151" max="151" width="14.33203125" customWidth="1"/>
    <col min="152" max="152" width="15" customWidth="1"/>
    <col min="154" max="154" width="15.5" customWidth="1"/>
    <col min="155" max="155" width="15.1640625" customWidth="1"/>
    <col min="156" max="156" width="15.33203125" customWidth="1"/>
    <col min="157" max="158" width="13.83203125" customWidth="1"/>
    <col min="159" max="159" width="14.6640625" customWidth="1"/>
    <col min="160" max="160" width="17" customWidth="1"/>
    <col min="161" max="161" width="13.1640625" customWidth="1"/>
    <col min="162" max="163" width="14" customWidth="1"/>
    <col min="164" max="164" width="13.6640625" customWidth="1"/>
    <col min="167" max="168" width="13.1640625" customWidth="1"/>
    <col min="169" max="169" width="13.83203125" customWidth="1"/>
    <col min="170" max="171" width="16" customWidth="1"/>
    <col min="172" max="172" width="15.5" customWidth="1"/>
    <col min="173" max="173" width="20.5" customWidth="1"/>
  </cols>
  <sheetData>
    <row r="1" spans="1:191" ht="18">
      <c r="A1" s="109" t="s">
        <v>124</v>
      </c>
      <c r="B1" s="110"/>
      <c r="C1" s="110"/>
      <c r="D1" s="110"/>
      <c r="E1" s="110"/>
      <c r="F1" s="110"/>
      <c r="G1" s="110"/>
      <c r="H1" s="110"/>
      <c r="I1" s="110"/>
      <c r="J1" s="111"/>
      <c r="K1" s="3" t="s">
        <v>1</v>
      </c>
      <c r="L1" s="4"/>
      <c r="M1" s="5"/>
      <c r="N1" s="6"/>
      <c r="O1" s="7" t="s">
        <v>2</v>
      </c>
      <c r="P1" s="8"/>
      <c r="Q1" s="8"/>
      <c r="R1" s="8"/>
      <c r="S1" s="8"/>
      <c r="T1" s="8"/>
      <c r="U1" s="9"/>
      <c r="V1" s="129"/>
      <c r="W1" s="9"/>
      <c r="X1" s="8"/>
      <c r="Y1" s="8"/>
      <c r="Z1" s="8"/>
      <c r="AA1" s="8"/>
      <c r="AB1" s="8"/>
      <c r="AC1" s="8"/>
      <c r="AD1" s="8"/>
      <c r="AE1" s="8"/>
      <c r="AF1" s="8"/>
      <c r="AG1" s="10" t="s">
        <v>3</v>
      </c>
      <c r="AH1" s="11"/>
      <c r="AI1" s="12"/>
      <c r="AJ1" s="12"/>
      <c r="AK1" s="13"/>
      <c r="AL1" s="13"/>
      <c r="AM1" s="13"/>
      <c r="AN1" s="14"/>
      <c r="AO1" s="13"/>
      <c r="AP1" s="13"/>
      <c r="AQ1" s="13"/>
      <c r="AR1" s="13"/>
      <c r="AS1" s="13"/>
      <c r="AT1" s="13"/>
      <c r="AU1" s="15" t="s">
        <v>4</v>
      </c>
      <c r="AV1" s="16"/>
      <c r="AW1" s="16"/>
      <c r="AX1" s="16"/>
      <c r="AY1" s="16"/>
      <c r="AZ1" s="16"/>
      <c r="BA1" s="16"/>
      <c r="BB1" s="17"/>
      <c r="BC1" s="18"/>
      <c r="BD1" s="18"/>
      <c r="BE1" s="18"/>
      <c r="BF1" s="19"/>
      <c r="BG1" s="20"/>
      <c r="BH1" s="21" t="s">
        <v>5</v>
      </c>
      <c r="BI1" s="22"/>
      <c r="BJ1" s="22"/>
      <c r="BK1" s="22"/>
      <c r="BL1" s="22"/>
      <c r="BM1" s="22"/>
      <c r="BN1" s="22"/>
      <c r="BO1" s="23"/>
      <c r="BP1" s="24" t="s">
        <v>6</v>
      </c>
      <c r="BQ1" s="24"/>
      <c r="BR1" s="25"/>
      <c r="BS1" s="25"/>
      <c r="BT1" s="25"/>
      <c r="BU1" s="26" t="s">
        <v>7</v>
      </c>
      <c r="BV1" s="27"/>
      <c r="BW1" s="27"/>
      <c r="BX1" s="26"/>
      <c r="BY1" s="29"/>
      <c r="BZ1" s="29"/>
      <c r="CA1" s="30"/>
      <c r="CB1" s="29" t="s">
        <v>8</v>
      </c>
      <c r="CC1" s="31"/>
      <c r="CD1" s="29"/>
      <c r="CE1" s="29"/>
      <c r="CF1" s="29"/>
      <c r="CG1" s="29"/>
      <c r="CH1" s="29"/>
      <c r="CI1" s="29"/>
      <c r="CJ1" s="29"/>
      <c r="CK1" s="29"/>
      <c r="CL1" s="29"/>
      <c r="CM1" s="29"/>
      <c r="CN1" s="26" t="s">
        <v>9</v>
      </c>
      <c r="CO1" s="29"/>
      <c r="CP1" s="29"/>
      <c r="CQ1" s="29"/>
      <c r="CR1" s="29"/>
      <c r="CS1" s="29"/>
      <c r="CT1" s="30"/>
      <c r="CU1" s="27" t="s">
        <v>10</v>
      </c>
      <c r="CV1" s="27"/>
      <c r="CW1" s="27"/>
      <c r="CX1" s="27"/>
      <c r="CY1" s="27"/>
      <c r="CZ1" s="27"/>
      <c r="DA1" s="27"/>
      <c r="DB1" s="27"/>
      <c r="DC1" s="27"/>
      <c r="DD1" s="27"/>
      <c r="DE1" s="27"/>
      <c r="DF1" s="27"/>
      <c r="DG1" s="27"/>
      <c r="DH1" s="27"/>
      <c r="DI1" s="27"/>
      <c r="DJ1" s="27"/>
      <c r="DK1" s="27"/>
      <c r="DL1" s="27"/>
      <c r="DM1" s="27"/>
      <c r="DN1" s="27"/>
      <c r="DO1" s="32"/>
      <c r="DP1" s="29"/>
      <c r="DQ1" s="29"/>
      <c r="DR1" s="30"/>
      <c r="DS1" s="27"/>
      <c r="DT1" s="27"/>
      <c r="DU1" s="33" t="s">
        <v>11</v>
      </c>
      <c r="DV1" s="27"/>
      <c r="DW1" s="27"/>
      <c r="DX1" s="27"/>
      <c r="DY1" s="27"/>
      <c r="DZ1" s="28"/>
      <c r="EA1" s="33" t="s">
        <v>12</v>
      </c>
      <c r="EB1" s="27"/>
      <c r="EC1" s="27"/>
      <c r="ED1" s="27"/>
      <c r="EE1" s="27"/>
      <c r="EF1" s="34"/>
      <c r="EG1" s="62"/>
      <c r="EH1" s="35" t="s">
        <v>13</v>
      </c>
      <c r="EI1" s="35"/>
      <c r="EJ1" s="35"/>
      <c r="EK1" s="35"/>
      <c r="EL1" s="35"/>
      <c r="EM1" s="35"/>
      <c r="EN1" s="35"/>
      <c r="EO1" s="35"/>
      <c r="EP1" s="35"/>
      <c r="EQ1" s="35"/>
      <c r="ER1" s="35"/>
      <c r="ES1" s="36" t="s">
        <v>14</v>
      </c>
      <c r="ET1" s="37"/>
      <c r="EU1" s="37"/>
      <c r="EV1" s="37"/>
      <c r="EW1" s="38"/>
      <c r="EX1" s="38"/>
      <c r="EY1" s="38"/>
      <c r="EZ1" s="38"/>
      <c r="FA1" s="37"/>
      <c r="FB1" s="37"/>
      <c r="FC1" s="37"/>
      <c r="FD1" s="37"/>
      <c r="FE1" s="36"/>
      <c r="FF1" s="37"/>
      <c r="FG1" s="37"/>
      <c r="FH1" s="37"/>
      <c r="FI1" s="37"/>
      <c r="FJ1" s="37"/>
      <c r="FK1" s="8"/>
      <c r="FL1" s="8"/>
      <c r="FM1" s="8"/>
      <c r="FN1" s="8"/>
      <c r="FO1" s="8"/>
      <c r="FP1" s="8"/>
      <c r="FQ1" s="39"/>
    </row>
    <row r="2" spans="1:191" ht="20">
      <c r="A2" s="112"/>
      <c r="B2" s="41"/>
      <c r="C2" s="41"/>
      <c r="D2" s="41"/>
      <c r="E2" s="41"/>
      <c r="F2" s="41"/>
      <c r="G2" s="41"/>
      <c r="H2" s="41"/>
      <c r="I2" s="41"/>
      <c r="J2" s="43"/>
      <c r="K2" s="40"/>
      <c r="L2" s="41"/>
      <c r="M2" s="42"/>
      <c r="N2" s="43"/>
      <c r="O2" s="44"/>
      <c r="P2" s="44"/>
      <c r="Q2" s="44"/>
      <c r="R2" s="44"/>
      <c r="S2" s="44"/>
      <c r="T2" s="44"/>
      <c r="U2" s="45"/>
      <c r="V2" s="129"/>
      <c r="W2" s="45"/>
      <c r="X2" s="44"/>
      <c r="Y2" s="44"/>
      <c r="Z2" s="44"/>
      <c r="AA2" s="44"/>
      <c r="AB2" s="44"/>
      <c r="AC2" s="44"/>
      <c r="AD2" s="44"/>
      <c r="AE2" s="44"/>
      <c r="AF2" s="44"/>
      <c r="AG2" s="46"/>
      <c r="AH2" s="11"/>
      <c r="AI2" s="12"/>
      <c r="AJ2" s="12"/>
      <c r="AK2" s="13"/>
      <c r="AL2" s="13"/>
      <c r="AM2" s="13"/>
      <c r="AN2" s="14" t="s">
        <v>15</v>
      </c>
      <c r="AO2" s="13"/>
      <c r="AP2" s="13"/>
      <c r="AQ2" s="13"/>
      <c r="AR2" s="13"/>
      <c r="AS2" s="13"/>
      <c r="AT2" s="13"/>
      <c r="AU2" s="17"/>
      <c r="AV2" s="18"/>
      <c r="AW2" s="16"/>
      <c r="AX2" s="16"/>
      <c r="AY2" s="16"/>
      <c r="AZ2" s="16"/>
      <c r="BA2" s="18"/>
      <c r="BB2" s="47" t="s">
        <v>16</v>
      </c>
      <c r="BC2" s="127"/>
      <c r="BD2" s="127"/>
      <c r="BE2" s="18"/>
      <c r="BF2" s="19"/>
      <c r="BG2" s="20"/>
      <c r="BH2" s="48" t="s">
        <v>17</v>
      </c>
      <c r="BI2" s="49"/>
      <c r="BJ2" s="49"/>
      <c r="BK2" s="50" t="s">
        <v>18</v>
      </c>
      <c r="BL2" s="51"/>
      <c r="BM2" s="52"/>
      <c r="BN2" s="52"/>
      <c r="BO2" s="53"/>
      <c r="BP2" s="54"/>
      <c r="BQ2" s="54"/>
      <c r="BR2" s="22"/>
      <c r="BS2" s="22"/>
      <c r="BT2" s="22"/>
      <c r="BU2" s="55" t="s">
        <v>19</v>
      </c>
      <c r="BV2" s="56"/>
      <c r="BW2" s="56"/>
      <c r="BX2" s="26" t="s">
        <v>20</v>
      </c>
      <c r="BY2" s="29"/>
      <c r="BZ2" s="29"/>
      <c r="CA2" s="30"/>
      <c r="CB2" s="119" t="s">
        <v>21</v>
      </c>
      <c r="CC2" s="58"/>
      <c r="CD2" s="57"/>
      <c r="CE2" s="57"/>
      <c r="CF2" s="57"/>
      <c r="CG2" s="57"/>
      <c r="CH2" s="57"/>
      <c r="CI2" s="57"/>
      <c r="CJ2" s="57"/>
      <c r="CK2" s="57"/>
      <c r="CL2" s="57"/>
      <c r="CM2" s="57"/>
      <c r="CN2" s="26" t="s">
        <v>22</v>
      </c>
      <c r="CO2" s="31"/>
      <c r="CP2" s="29"/>
      <c r="CQ2" s="29"/>
      <c r="CR2" s="29"/>
      <c r="CS2" s="29"/>
      <c r="CT2" s="30"/>
      <c r="CU2" s="56" t="s">
        <v>23</v>
      </c>
      <c r="CV2" s="56"/>
      <c r="CW2" s="56"/>
      <c r="CX2" s="56"/>
      <c r="CY2" s="59" t="s">
        <v>24</v>
      </c>
      <c r="CZ2" s="60"/>
      <c r="DA2" s="60"/>
      <c r="DB2" s="61"/>
      <c r="DC2" s="59" t="s">
        <v>25</v>
      </c>
      <c r="DD2" s="34"/>
      <c r="DE2" s="34"/>
      <c r="DF2" s="62"/>
      <c r="DG2" s="63" t="s">
        <v>26</v>
      </c>
      <c r="DH2" s="34"/>
      <c r="DI2" s="34"/>
      <c r="DJ2" s="62"/>
      <c r="DK2" s="64" t="s">
        <v>27</v>
      </c>
      <c r="DL2" s="65"/>
      <c r="DM2" s="56"/>
      <c r="DN2" s="56"/>
      <c r="DO2" s="66" t="s">
        <v>28</v>
      </c>
      <c r="DP2" s="57"/>
      <c r="DQ2" s="57"/>
      <c r="DR2" s="67"/>
      <c r="DS2" s="56" t="s">
        <v>29</v>
      </c>
      <c r="DT2" s="56"/>
      <c r="DU2" s="68" t="s">
        <v>30</v>
      </c>
      <c r="DV2" s="69"/>
      <c r="DW2" s="69"/>
      <c r="DX2" s="69"/>
      <c r="DY2" s="56"/>
      <c r="DZ2" s="56"/>
      <c r="EA2" s="70"/>
      <c r="EB2" s="56"/>
      <c r="EC2" s="56"/>
      <c r="ED2" s="56"/>
      <c r="EE2" s="34"/>
      <c r="EF2" s="55" t="s">
        <v>31</v>
      </c>
      <c r="EG2" s="28"/>
      <c r="EH2" s="35"/>
      <c r="EI2" s="35"/>
      <c r="EJ2" s="35"/>
      <c r="EK2" s="71"/>
      <c r="EL2" s="71"/>
      <c r="EM2" s="71"/>
      <c r="EN2" s="71"/>
      <c r="EO2" s="72"/>
      <c r="EP2" s="72"/>
      <c r="EQ2" s="72"/>
      <c r="ER2" s="72"/>
      <c r="ES2" s="73"/>
      <c r="ET2" s="44"/>
      <c r="EU2" s="44"/>
      <c r="EV2" s="44"/>
      <c r="EW2" s="44"/>
      <c r="EX2" s="44"/>
      <c r="EY2" s="44"/>
      <c r="EZ2" s="44"/>
      <c r="FA2" s="44"/>
      <c r="FB2" s="44"/>
      <c r="FC2" s="44"/>
      <c r="FD2" s="44"/>
      <c r="FE2" s="7"/>
      <c r="FF2" s="8"/>
      <c r="FG2" s="8"/>
      <c r="FH2" s="8"/>
      <c r="FI2" s="8"/>
      <c r="FJ2" s="8"/>
      <c r="FK2" s="8"/>
      <c r="FL2" s="8"/>
      <c r="FM2" s="8"/>
      <c r="FN2" s="8"/>
      <c r="FO2" s="8"/>
      <c r="FP2" s="8"/>
      <c r="FQ2" s="74"/>
    </row>
    <row r="3" spans="1:191" ht="238">
      <c r="A3" s="113" t="s">
        <v>125</v>
      </c>
      <c r="B3" s="114" t="s">
        <v>126</v>
      </c>
      <c r="C3" s="114" t="s">
        <v>127</v>
      </c>
      <c r="D3" s="4" t="s">
        <v>128</v>
      </c>
      <c r="E3" s="4" t="s">
        <v>129</v>
      </c>
      <c r="F3" s="115" t="s">
        <v>130</v>
      </c>
      <c r="G3" s="115" t="s">
        <v>131</v>
      </c>
      <c r="H3" s="157" t="s">
        <v>302</v>
      </c>
      <c r="I3" s="158" t="s">
        <v>303</v>
      </c>
      <c r="J3" s="159" t="s">
        <v>304</v>
      </c>
      <c r="K3" s="75" t="s">
        <v>32</v>
      </c>
      <c r="L3" s="76" t="s">
        <v>33</v>
      </c>
      <c r="M3" s="76" t="s">
        <v>34</v>
      </c>
      <c r="N3" s="77" t="s">
        <v>35</v>
      </c>
      <c r="O3" s="78" t="s">
        <v>36</v>
      </c>
      <c r="P3" s="78" t="s">
        <v>37</v>
      </c>
      <c r="Q3" s="78" t="s">
        <v>38</v>
      </c>
      <c r="R3" s="78" t="s">
        <v>39</v>
      </c>
      <c r="S3" s="78" t="s">
        <v>40</v>
      </c>
      <c r="T3" s="78" t="s">
        <v>41</v>
      </c>
      <c r="U3" s="78" t="s">
        <v>42</v>
      </c>
      <c r="V3" s="106" t="s">
        <v>43</v>
      </c>
      <c r="W3" s="78" t="s">
        <v>44</v>
      </c>
      <c r="X3" s="78" t="s">
        <v>45</v>
      </c>
      <c r="Y3" s="78" t="s">
        <v>46</v>
      </c>
      <c r="Z3" s="78" t="s">
        <v>47</v>
      </c>
      <c r="AA3" s="78" t="s">
        <v>48</v>
      </c>
      <c r="AB3" s="78" t="s">
        <v>49</v>
      </c>
      <c r="AC3" s="78" t="s">
        <v>50</v>
      </c>
      <c r="AD3" s="78" t="s">
        <v>51</v>
      </c>
      <c r="AE3" s="78" t="s">
        <v>52</v>
      </c>
      <c r="AF3" s="78" t="s">
        <v>53</v>
      </c>
      <c r="AG3" s="79" t="s">
        <v>136</v>
      </c>
      <c r="AH3" s="80" t="s">
        <v>54</v>
      </c>
      <c r="AI3" s="117" t="s">
        <v>137</v>
      </c>
      <c r="AJ3" s="117" t="s">
        <v>138</v>
      </c>
      <c r="AK3" s="81" t="s">
        <v>56</v>
      </c>
      <c r="AL3" s="81" t="s">
        <v>57</v>
      </c>
      <c r="AM3" s="82" t="s">
        <v>58</v>
      </c>
      <c r="AN3" s="79" t="s">
        <v>136</v>
      </c>
      <c r="AO3" s="80" t="s">
        <v>54</v>
      </c>
      <c r="AP3" s="117" t="s">
        <v>137</v>
      </c>
      <c r="AQ3" s="117" t="s">
        <v>138</v>
      </c>
      <c r="AR3" s="81" t="s">
        <v>56</v>
      </c>
      <c r="AS3" s="81" t="s">
        <v>57</v>
      </c>
      <c r="AT3" s="81" t="s">
        <v>58</v>
      </c>
      <c r="AU3" s="83" t="s">
        <v>59</v>
      </c>
      <c r="AV3" s="84" t="s">
        <v>60</v>
      </c>
      <c r="AW3" s="84" t="s">
        <v>61</v>
      </c>
      <c r="AX3" s="84" t="s">
        <v>62</v>
      </c>
      <c r="AY3" s="84" t="s">
        <v>63</v>
      </c>
      <c r="AZ3" s="84" t="s">
        <v>64</v>
      </c>
      <c r="BA3" s="84" t="s">
        <v>65</v>
      </c>
      <c r="BB3" s="116" t="s">
        <v>132</v>
      </c>
      <c r="BC3" s="128" t="s">
        <v>154</v>
      </c>
      <c r="BD3" s="128" t="s">
        <v>155</v>
      </c>
      <c r="BE3" s="85" t="s">
        <v>66</v>
      </c>
      <c r="BF3" s="86" t="s">
        <v>67</v>
      </c>
      <c r="BG3" s="86" t="s">
        <v>68</v>
      </c>
      <c r="BH3" s="87" t="s">
        <v>69</v>
      </c>
      <c r="BI3" s="88" t="s">
        <v>70</v>
      </c>
      <c r="BJ3" s="89" t="s">
        <v>71</v>
      </c>
      <c r="BK3" s="90" t="s">
        <v>72</v>
      </c>
      <c r="BL3" s="91" t="s">
        <v>70</v>
      </c>
      <c r="BM3" s="92" t="s">
        <v>71</v>
      </c>
      <c r="BN3" s="52" t="s">
        <v>73</v>
      </c>
      <c r="BO3" s="53" t="s">
        <v>74</v>
      </c>
      <c r="BP3" s="92" t="s">
        <v>75</v>
      </c>
      <c r="BQ3" s="88" t="s">
        <v>70</v>
      </c>
      <c r="BR3" s="89" t="s">
        <v>71</v>
      </c>
      <c r="BS3" s="52" t="s">
        <v>190</v>
      </c>
      <c r="BT3" s="52" t="s">
        <v>76</v>
      </c>
      <c r="BU3" s="93" t="s">
        <v>77</v>
      </c>
      <c r="BV3" s="94" t="s">
        <v>54</v>
      </c>
      <c r="BW3" s="94" t="s">
        <v>55</v>
      </c>
      <c r="BX3" s="93" t="s">
        <v>78</v>
      </c>
      <c r="BY3" s="94" t="s">
        <v>54</v>
      </c>
      <c r="BZ3" s="118" t="s">
        <v>139</v>
      </c>
      <c r="CA3" s="120" t="s">
        <v>140</v>
      </c>
      <c r="CB3" s="96" t="s">
        <v>133</v>
      </c>
      <c r="CC3" s="95" t="s">
        <v>79</v>
      </c>
      <c r="CD3" s="94" t="s">
        <v>54</v>
      </c>
      <c r="CE3" s="118" t="s">
        <v>141</v>
      </c>
      <c r="CF3" s="120" t="s">
        <v>142</v>
      </c>
      <c r="CG3" s="96" t="s">
        <v>80</v>
      </c>
      <c r="CH3" s="96" t="s">
        <v>81</v>
      </c>
      <c r="CI3" s="96" t="s">
        <v>187</v>
      </c>
      <c r="CJ3" s="96" t="s">
        <v>188</v>
      </c>
      <c r="CK3" s="96" t="s">
        <v>82</v>
      </c>
      <c r="CL3" s="96" t="s">
        <v>83</v>
      </c>
      <c r="CM3" s="96" t="s">
        <v>84</v>
      </c>
      <c r="CN3" s="97" t="s">
        <v>134</v>
      </c>
      <c r="CO3" s="95" t="s">
        <v>85</v>
      </c>
      <c r="CP3" s="94" t="s">
        <v>54</v>
      </c>
      <c r="CQ3" s="94" t="s">
        <v>55</v>
      </c>
      <c r="CR3" s="96" t="s">
        <v>86</v>
      </c>
      <c r="CS3" s="96" t="s">
        <v>81</v>
      </c>
      <c r="CT3" s="96" t="s">
        <v>87</v>
      </c>
      <c r="CU3" s="93" t="s">
        <v>88</v>
      </c>
      <c r="CV3" s="94" t="s">
        <v>54</v>
      </c>
      <c r="CW3" s="94" t="s">
        <v>147</v>
      </c>
      <c r="CX3" s="98" t="s">
        <v>89</v>
      </c>
      <c r="CY3" s="95" t="s">
        <v>143</v>
      </c>
      <c r="CZ3" s="94" t="s">
        <v>54</v>
      </c>
      <c r="DA3" s="94" t="s">
        <v>147</v>
      </c>
      <c r="DB3" s="98" t="s">
        <v>90</v>
      </c>
      <c r="DC3" s="95" t="s">
        <v>144</v>
      </c>
      <c r="DD3" s="94" t="s">
        <v>54</v>
      </c>
      <c r="DE3" s="94" t="s">
        <v>147</v>
      </c>
      <c r="DF3" s="98" t="s">
        <v>91</v>
      </c>
      <c r="DG3" s="95" t="s">
        <v>145</v>
      </c>
      <c r="DH3" s="94" t="s">
        <v>54</v>
      </c>
      <c r="DI3" s="94" t="s">
        <v>147</v>
      </c>
      <c r="DJ3" s="98" t="s">
        <v>92</v>
      </c>
      <c r="DK3" s="95" t="s">
        <v>146</v>
      </c>
      <c r="DL3" s="94" t="s">
        <v>54</v>
      </c>
      <c r="DM3" s="94" t="s">
        <v>147</v>
      </c>
      <c r="DN3" s="99" t="s">
        <v>93</v>
      </c>
      <c r="DO3" s="121" t="s">
        <v>94</v>
      </c>
      <c r="DP3" s="94" t="s">
        <v>54</v>
      </c>
      <c r="DQ3" s="94" t="s">
        <v>147</v>
      </c>
      <c r="DR3" s="100" t="s">
        <v>95</v>
      </c>
      <c r="DS3" s="99" t="s">
        <v>96</v>
      </c>
      <c r="DT3" s="99" t="s">
        <v>97</v>
      </c>
      <c r="DU3" s="93" t="s">
        <v>98</v>
      </c>
      <c r="DV3" s="94" t="s">
        <v>54</v>
      </c>
      <c r="DW3" s="94" t="s">
        <v>147</v>
      </c>
      <c r="DX3" s="94" t="s">
        <v>174</v>
      </c>
      <c r="DY3" s="99" t="s">
        <v>99</v>
      </c>
      <c r="DZ3" s="98" t="s">
        <v>100</v>
      </c>
      <c r="EA3" s="96" t="s">
        <v>101</v>
      </c>
      <c r="EB3" s="99" t="s">
        <v>102</v>
      </c>
      <c r="EC3" s="99" t="s">
        <v>103</v>
      </c>
      <c r="ED3" s="99" t="s">
        <v>104</v>
      </c>
      <c r="EE3" s="101" t="s">
        <v>105</v>
      </c>
      <c r="EF3" s="102" t="s">
        <v>106</v>
      </c>
      <c r="EG3" s="98" t="s">
        <v>107</v>
      </c>
      <c r="EH3" s="122" t="s">
        <v>108</v>
      </c>
      <c r="EI3" s="123" t="s">
        <v>109</v>
      </c>
      <c r="EJ3" s="123" t="s">
        <v>110</v>
      </c>
      <c r="EK3" s="103" t="s">
        <v>135</v>
      </c>
      <c r="EL3" s="104" t="s">
        <v>54</v>
      </c>
      <c r="EM3" s="124" t="s">
        <v>183</v>
      </c>
      <c r="EN3" s="125" t="s">
        <v>184</v>
      </c>
      <c r="EO3" s="103" t="s">
        <v>111</v>
      </c>
      <c r="EP3" s="104" t="s">
        <v>54</v>
      </c>
      <c r="EQ3" s="124" t="s">
        <v>148</v>
      </c>
      <c r="ER3" s="125" t="s">
        <v>149</v>
      </c>
      <c r="ES3" s="105" t="s">
        <v>112</v>
      </c>
      <c r="ET3" s="78" t="s">
        <v>153</v>
      </c>
      <c r="EU3" s="126" t="s">
        <v>148</v>
      </c>
      <c r="EV3" s="126" t="s">
        <v>149</v>
      </c>
      <c r="EW3" s="78" t="s">
        <v>113</v>
      </c>
      <c r="EX3" s="78" t="s">
        <v>114</v>
      </c>
      <c r="EY3" s="78" t="s">
        <v>115</v>
      </c>
      <c r="EZ3" s="78" t="s">
        <v>116</v>
      </c>
      <c r="FA3" s="126" t="s">
        <v>150</v>
      </c>
      <c r="FB3" s="126" t="s">
        <v>151</v>
      </c>
      <c r="FC3" s="78" t="s">
        <v>117</v>
      </c>
      <c r="FD3" s="78" t="s">
        <v>118</v>
      </c>
      <c r="FE3" s="105" t="s">
        <v>119</v>
      </c>
      <c r="FF3" s="139" t="s">
        <v>176</v>
      </c>
      <c r="FG3" s="139" t="s">
        <v>177</v>
      </c>
      <c r="FH3" s="78" t="s">
        <v>120</v>
      </c>
      <c r="FI3" s="139" t="s">
        <v>178</v>
      </c>
      <c r="FJ3" s="139" t="s">
        <v>179</v>
      </c>
      <c r="FK3" s="106" t="s">
        <v>121</v>
      </c>
      <c r="FL3" s="106" t="s">
        <v>180</v>
      </c>
      <c r="FM3" s="106" t="s">
        <v>181</v>
      </c>
      <c r="FN3" s="106" t="s">
        <v>122</v>
      </c>
      <c r="FO3" s="140" t="s">
        <v>182</v>
      </c>
      <c r="FP3" s="140" t="s">
        <v>189</v>
      </c>
      <c r="FQ3" s="107" t="s">
        <v>123</v>
      </c>
      <c r="FR3" s="108"/>
      <c r="FS3" s="108"/>
      <c r="FT3" s="108"/>
      <c r="FU3" s="108"/>
      <c r="FV3" s="108"/>
      <c r="FW3" s="108"/>
      <c r="FX3" s="108"/>
      <c r="FY3" s="108"/>
      <c r="FZ3" s="108"/>
      <c r="GA3" s="108"/>
      <c r="GB3" s="108"/>
      <c r="GC3" s="108"/>
      <c r="GD3" s="108"/>
      <c r="GE3" s="108"/>
      <c r="GF3" s="108"/>
      <c r="GG3" s="108"/>
      <c r="GH3" s="108"/>
      <c r="GI3" s="108"/>
    </row>
    <row r="4" spans="1:191" ht="17">
      <c r="A4" t="s">
        <v>152</v>
      </c>
      <c r="B4" t="s">
        <v>156</v>
      </c>
      <c r="C4">
        <v>2019</v>
      </c>
      <c r="D4" t="s">
        <v>300</v>
      </c>
      <c r="E4" s="141">
        <v>66132.326530000006</v>
      </c>
      <c r="F4" s="142" t="s">
        <v>162</v>
      </c>
      <c r="G4" t="s">
        <v>162</v>
      </c>
      <c r="H4" s="138">
        <v>787.52681970000003</v>
      </c>
      <c r="I4" s="138">
        <v>296.2308653</v>
      </c>
      <c r="J4" s="138">
        <v>216.11400600000002</v>
      </c>
      <c r="K4" t="s">
        <v>157</v>
      </c>
      <c r="L4" s="130" t="s">
        <v>158</v>
      </c>
      <c r="M4" s="143" t="s">
        <v>191</v>
      </c>
      <c r="N4" t="s">
        <v>300</v>
      </c>
      <c r="O4" t="s">
        <v>192</v>
      </c>
      <c r="P4" s="144" t="s">
        <v>159</v>
      </c>
      <c r="Q4" s="144">
        <v>3</v>
      </c>
      <c r="R4" s="144">
        <v>4</v>
      </c>
      <c r="S4">
        <v>66</v>
      </c>
      <c r="T4">
        <v>69</v>
      </c>
      <c r="U4" s="131" t="s">
        <v>209</v>
      </c>
      <c r="V4" s="149" t="s">
        <v>162</v>
      </c>
      <c r="W4" s="149" t="s">
        <v>162</v>
      </c>
      <c r="X4" t="s">
        <v>217</v>
      </c>
      <c r="Y4" s="132">
        <v>33.820999999999998</v>
      </c>
      <c r="Z4" s="132">
        <v>178.92</v>
      </c>
      <c r="AA4" s="132">
        <v>10</v>
      </c>
      <c r="AB4" s="132">
        <v>-175</v>
      </c>
      <c r="AC4" s="132">
        <v>-2161</v>
      </c>
      <c r="AD4" s="132">
        <v>-1500</v>
      </c>
      <c r="AE4" s="151" t="s">
        <v>222</v>
      </c>
      <c r="AF4" t="s">
        <v>160</v>
      </c>
      <c r="AG4" s="141">
        <v>66132.326530000006</v>
      </c>
      <c r="AH4" s="2" t="s">
        <v>161</v>
      </c>
      <c r="AI4" t="s">
        <v>162</v>
      </c>
      <c r="AJ4" t="s">
        <v>162</v>
      </c>
      <c r="AK4" t="s">
        <v>229</v>
      </c>
      <c r="AL4" t="s">
        <v>232</v>
      </c>
      <c r="AM4" t="s">
        <v>162</v>
      </c>
      <c r="AN4" t="s">
        <v>162</v>
      </c>
      <c r="AO4" t="s">
        <v>162</v>
      </c>
      <c r="AP4" t="s">
        <v>162</v>
      </c>
      <c r="AQ4" t="s">
        <v>162</v>
      </c>
      <c r="AR4" t="s">
        <v>162</v>
      </c>
      <c r="AS4" t="s">
        <v>162</v>
      </c>
      <c r="AT4" t="s">
        <v>162</v>
      </c>
      <c r="AU4" s="152" t="s">
        <v>236</v>
      </c>
      <c r="AV4" t="s">
        <v>241</v>
      </c>
      <c r="AW4" t="s">
        <v>248</v>
      </c>
      <c r="AX4" s="134" t="s">
        <v>249</v>
      </c>
      <c r="AY4" t="s">
        <v>251</v>
      </c>
      <c r="AZ4" t="s">
        <v>163</v>
      </c>
      <c r="BA4" t="s">
        <v>164</v>
      </c>
      <c r="BB4" t="s">
        <v>258</v>
      </c>
      <c r="BC4">
        <v>2</v>
      </c>
      <c r="BD4" s="154">
        <v>0.3</v>
      </c>
      <c r="BE4" s="153">
        <v>14.282</v>
      </c>
      <c r="BF4" t="s">
        <v>252</v>
      </c>
      <c r="BG4" s="153">
        <v>0.19133854341517179</v>
      </c>
      <c r="BH4">
        <v>1</v>
      </c>
      <c r="BI4" t="s">
        <v>272</v>
      </c>
      <c r="BJ4" s="2" t="s">
        <v>162</v>
      </c>
      <c r="BK4" t="s">
        <v>273</v>
      </c>
      <c r="BL4" t="s">
        <v>270</v>
      </c>
      <c r="BM4" t="s">
        <v>162</v>
      </c>
      <c r="BN4" t="s">
        <v>162</v>
      </c>
      <c r="BO4" t="s">
        <v>162</v>
      </c>
      <c r="BP4" t="s">
        <v>274</v>
      </c>
      <c r="BQ4" t="s">
        <v>162</v>
      </c>
      <c r="BR4" s="135" t="s">
        <v>162</v>
      </c>
      <c r="BS4" t="s">
        <v>275</v>
      </c>
      <c r="BT4" t="s">
        <v>276</v>
      </c>
      <c r="BU4">
        <v>75</v>
      </c>
      <c r="BV4" t="s">
        <v>169</v>
      </c>
      <c r="BW4" t="s">
        <v>169</v>
      </c>
      <c r="BX4" s="133">
        <v>30.0309239638527</v>
      </c>
      <c r="BY4" t="s">
        <v>277</v>
      </c>
      <c r="BZ4">
        <v>0.99068196394230057</v>
      </c>
      <c r="CA4">
        <v>0.97578037641979876</v>
      </c>
      <c r="CB4" s="153">
        <v>3.91</v>
      </c>
      <c r="CC4" s="153">
        <f>CB4</f>
        <v>3.91</v>
      </c>
      <c r="CD4" t="s">
        <v>278</v>
      </c>
      <c r="CE4">
        <v>0.11730000000000018</v>
      </c>
      <c r="CF4">
        <v>0.11730000000000018</v>
      </c>
      <c r="CG4" s="155" t="s">
        <v>279</v>
      </c>
      <c r="CH4" t="s">
        <v>281</v>
      </c>
      <c r="CI4" t="s">
        <v>280</v>
      </c>
      <c r="CJ4" t="s">
        <v>281</v>
      </c>
      <c r="CK4" t="s">
        <v>162</v>
      </c>
      <c r="CL4" t="s">
        <v>162</v>
      </c>
      <c r="CM4" t="s">
        <v>282</v>
      </c>
      <c r="CN4" t="s">
        <v>162</v>
      </c>
      <c r="CO4" t="s">
        <v>162</v>
      </c>
      <c r="CP4" t="s">
        <v>162</v>
      </c>
      <c r="CQ4" t="s">
        <v>162</v>
      </c>
      <c r="CR4" t="s">
        <v>162</v>
      </c>
      <c r="CS4" t="s">
        <v>162</v>
      </c>
      <c r="CT4" t="s">
        <v>162</v>
      </c>
      <c r="CU4">
        <v>34.5</v>
      </c>
      <c r="CV4" t="s">
        <v>161</v>
      </c>
      <c r="CW4">
        <v>1</v>
      </c>
      <c r="CX4" s="136" t="s">
        <v>287</v>
      </c>
      <c r="CY4">
        <v>2.1000000000000001E-2</v>
      </c>
      <c r="CZ4" t="s">
        <v>167</v>
      </c>
      <c r="DA4" t="s">
        <v>167</v>
      </c>
      <c r="DB4" t="s">
        <v>288</v>
      </c>
      <c r="DC4">
        <v>4.2000000000000003E-2</v>
      </c>
      <c r="DD4" t="s">
        <v>167</v>
      </c>
      <c r="DE4" t="s">
        <v>167</v>
      </c>
      <c r="DF4" t="s">
        <v>289</v>
      </c>
      <c r="DG4" t="s">
        <v>166</v>
      </c>
      <c r="DH4" t="s">
        <v>167</v>
      </c>
      <c r="DI4" t="s">
        <v>167</v>
      </c>
      <c r="DJ4" t="s">
        <v>167</v>
      </c>
      <c r="DK4" s="133">
        <v>380</v>
      </c>
      <c r="DL4" t="s">
        <v>168</v>
      </c>
      <c r="DM4" s="133">
        <v>10.9</v>
      </c>
      <c r="DN4" t="s">
        <v>290</v>
      </c>
      <c r="DO4" s="146">
        <v>39.450000000000003</v>
      </c>
      <c r="DP4" t="s">
        <v>291</v>
      </c>
      <c r="DQ4">
        <v>0.4</v>
      </c>
      <c r="DR4" t="s">
        <v>292</v>
      </c>
      <c r="DS4" t="s">
        <v>294</v>
      </c>
      <c r="DT4" t="s">
        <v>293</v>
      </c>
      <c r="DU4">
        <v>1.0271999999999999</v>
      </c>
      <c r="DV4" t="s">
        <v>169</v>
      </c>
      <c r="DW4" t="s">
        <v>169</v>
      </c>
      <c r="DX4" t="s">
        <v>175</v>
      </c>
      <c r="DY4" t="s">
        <v>169</v>
      </c>
      <c r="DZ4" t="s">
        <v>169</v>
      </c>
      <c r="EA4" t="s">
        <v>295</v>
      </c>
      <c r="EB4" t="s">
        <v>294</v>
      </c>
      <c r="EC4" t="s">
        <v>294</v>
      </c>
      <c r="ED4" t="s">
        <v>294</v>
      </c>
      <c r="EE4" t="s">
        <v>294</v>
      </c>
      <c r="EF4" t="s">
        <v>294</v>
      </c>
      <c r="EG4" t="s">
        <v>293</v>
      </c>
      <c r="EH4" t="s">
        <v>170</v>
      </c>
      <c r="EI4" t="s">
        <v>296</v>
      </c>
      <c r="EJ4" t="s">
        <v>162</v>
      </c>
      <c r="EK4">
        <v>2255</v>
      </c>
      <c r="EL4" t="s">
        <v>171</v>
      </c>
      <c r="EM4">
        <v>100</v>
      </c>
      <c r="EN4">
        <v>100</v>
      </c>
      <c r="EO4" t="s">
        <v>162</v>
      </c>
      <c r="EP4" t="s">
        <v>162</v>
      </c>
      <c r="EQ4" t="s">
        <v>162</v>
      </c>
      <c r="ER4" t="s">
        <v>162</v>
      </c>
      <c r="ES4" s="154">
        <v>7.837411983</v>
      </c>
      <c r="ET4" s="135" t="s">
        <v>172</v>
      </c>
      <c r="EU4" s="137">
        <v>0.13415840900000031</v>
      </c>
      <c r="EV4" s="137">
        <v>0.13636711899999998</v>
      </c>
      <c r="EW4" s="138">
        <v>787.52681970000003</v>
      </c>
      <c r="EX4" s="135" t="s">
        <v>162</v>
      </c>
      <c r="EY4" s="135" t="s">
        <v>162</v>
      </c>
      <c r="EZ4" s="138">
        <v>787.52681970000003</v>
      </c>
      <c r="FA4" s="138">
        <v>296.2308653</v>
      </c>
      <c r="FB4" s="138">
        <v>216.11400600000002</v>
      </c>
      <c r="FC4" t="s">
        <v>297</v>
      </c>
      <c r="FD4" t="s">
        <v>298</v>
      </c>
      <c r="FE4" t="s">
        <v>173</v>
      </c>
      <c r="FF4" t="s">
        <v>173</v>
      </c>
      <c r="FG4" t="s">
        <v>173</v>
      </c>
      <c r="FH4" s="138">
        <v>2218.6834269999999</v>
      </c>
      <c r="FI4" s="138">
        <v>100.37161199999991</v>
      </c>
      <c r="FJ4" s="138">
        <v>99.810547999999926</v>
      </c>
      <c r="FK4" s="153">
        <v>8.5202600660000005</v>
      </c>
      <c r="FL4" s="153">
        <v>3.0885767039999994</v>
      </c>
      <c r="FM4" s="153">
        <v>2.3693375440000004</v>
      </c>
      <c r="FN4" t="s">
        <v>173</v>
      </c>
      <c r="FO4" t="s">
        <v>173</v>
      </c>
      <c r="FP4" t="s">
        <v>173</v>
      </c>
      <c r="FQ4" t="s">
        <v>299</v>
      </c>
    </row>
    <row r="5" spans="1:191" ht="17">
      <c r="A5" t="s">
        <v>152</v>
      </c>
      <c r="B5" t="s">
        <v>156</v>
      </c>
      <c r="C5">
        <v>2019</v>
      </c>
      <c r="D5" t="s">
        <v>300</v>
      </c>
      <c r="E5" s="141">
        <v>66039</v>
      </c>
      <c r="F5" s="142" t="s">
        <v>162</v>
      </c>
      <c r="G5" t="s">
        <v>162</v>
      </c>
      <c r="H5" s="138">
        <v>1566.7245780000001</v>
      </c>
      <c r="I5" s="138">
        <v>685.73782700000015</v>
      </c>
      <c r="J5" s="138">
        <v>397.42651300000011</v>
      </c>
      <c r="K5" t="s">
        <v>157</v>
      </c>
      <c r="L5" s="130" t="s">
        <v>158</v>
      </c>
      <c r="M5" s="143" t="s">
        <v>191</v>
      </c>
      <c r="N5" t="s">
        <v>300</v>
      </c>
      <c r="O5" t="s">
        <v>193</v>
      </c>
      <c r="P5" s="148" t="s">
        <v>162</v>
      </c>
      <c r="Q5" s="148" t="s">
        <v>162</v>
      </c>
      <c r="R5" s="148" t="s">
        <v>162</v>
      </c>
      <c r="S5" s="148" t="s">
        <v>162</v>
      </c>
      <c r="T5" s="148" t="s">
        <v>162</v>
      </c>
      <c r="U5" s="148" t="s">
        <v>162</v>
      </c>
      <c r="V5" s="149" t="s">
        <v>162</v>
      </c>
      <c r="W5" s="149" t="s">
        <v>162</v>
      </c>
      <c r="X5" t="s">
        <v>218</v>
      </c>
      <c r="Y5" s="132">
        <v>50.865000000000002</v>
      </c>
      <c r="Z5" s="132">
        <v>5.7839999999999998</v>
      </c>
      <c r="AA5" s="132">
        <v>45</v>
      </c>
      <c r="AB5" s="132">
        <v>-10</v>
      </c>
      <c r="AC5" s="132">
        <v>300</v>
      </c>
      <c r="AD5" s="132">
        <v>-20</v>
      </c>
      <c r="AE5" s="151" t="s">
        <v>228</v>
      </c>
      <c r="AF5" t="s">
        <v>160</v>
      </c>
      <c r="AG5" s="141">
        <v>66039</v>
      </c>
      <c r="AH5" s="2" t="s">
        <v>161</v>
      </c>
      <c r="AI5" t="s">
        <v>162</v>
      </c>
      <c r="AJ5" t="s">
        <v>162</v>
      </c>
      <c r="AK5" t="s">
        <v>229</v>
      </c>
      <c r="AL5" t="s">
        <v>231</v>
      </c>
      <c r="AM5" t="s">
        <v>162</v>
      </c>
      <c r="AN5" t="s">
        <v>162</v>
      </c>
      <c r="AO5" t="s">
        <v>162</v>
      </c>
      <c r="AP5" t="s">
        <v>162</v>
      </c>
      <c r="AQ5" t="s">
        <v>162</v>
      </c>
      <c r="AR5" t="s">
        <v>162</v>
      </c>
      <c r="AS5" t="s">
        <v>162</v>
      </c>
      <c r="AT5" t="s">
        <v>162</v>
      </c>
      <c r="AU5" t="s">
        <v>237</v>
      </c>
      <c r="AV5" t="s">
        <v>242</v>
      </c>
      <c r="AW5" t="s">
        <v>248</v>
      </c>
      <c r="AX5" s="134" t="s">
        <v>249</v>
      </c>
      <c r="AY5" t="s">
        <v>251</v>
      </c>
      <c r="AZ5" t="s">
        <v>163</v>
      </c>
      <c r="BA5" t="s">
        <v>164</v>
      </c>
      <c r="BB5" t="s">
        <v>256</v>
      </c>
      <c r="BC5">
        <v>2</v>
      </c>
      <c r="BD5" s="154">
        <v>0.25</v>
      </c>
      <c r="BE5" s="153">
        <v>13.478</v>
      </c>
      <c r="BF5" t="s">
        <v>252</v>
      </c>
      <c r="BG5" s="153">
        <v>0.18</v>
      </c>
      <c r="BH5">
        <v>1</v>
      </c>
      <c r="BI5" t="s">
        <v>272</v>
      </c>
      <c r="BJ5" s="2" t="s">
        <v>162</v>
      </c>
      <c r="BK5">
        <v>0</v>
      </c>
      <c r="BL5" t="s">
        <v>271</v>
      </c>
      <c r="BM5" t="s">
        <v>162</v>
      </c>
      <c r="BN5" t="s">
        <v>162</v>
      </c>
      <c r="BO5" t="s">
        <v>162</v>
      </c>
      <c r="BP5" s="135">
        <f t="shared" ref="BP5:BP7" si="0">BE5</f>
        <v>13.478</v>
      </c>
      <c r="BQ5" t="s">
        <v>165</v>
      </c>
      <c r="BR5" s="135">
        <f>BG5</f>
        <v>0.18</v>
      </c>
      <c r="BT5" t="s">
        <v>276</v>
      </c>
      <c r="BU5">
        <v>70</v>
      </c>
      <c r="BV5" t="s">
        <v>169</v>
      </c>
      <c r="BW5" t="s">
        <v>169</v>
      </c>
      <c r="BX5" s="133">
        <v>29.1386687616065</v>
      </c>
      <c r="BY5" t="s">
        <v>277</v>
      </c>
      <c r="BZ5">
        <v>0.32128378295830018</v>
      </c>
      <c r="CA5">
        <v>0.30529765611790083</v>
      </c>
      <c r="CB5" s="153">
        <v>10.55</v>
      </c>
      <c r="CC5" s="153">
        <f t="shared" ref="CC5:CC20" si="1">CB5</f>
        <v>10.55</v>
      </c>
      <c r="CD5" t="s">
        <v>278</v>
      </c>
      <c r="CE5">
        <v>0.31649999999999956</v>
      </c>
      <c r="CF5">
        <v>0.31649999999999956</v>
      </c>
      <c r="CG5" s="155" t="s">
        <v>279</v>
      </c>
      <c r="CH5" t="s">
        <v>281</v>
      </c>
      <c r="CI5" t="s">
        <v>280</v>
      </c>
      <c r="CJ5" t="s">
        <v>281</v>
      </c>
      <c r="CK5" t="s">
        <v>162</v>
      </c>
      <c r="CL5" t="s">
        <v>162</v>
      </c>
      <c r="CM5" t="s">
        <v>282</v>
      </c>
      <c r="CN5">
        <v>23.4</v>
      </c>
      <c r="CO5">
        <v>23.4</v>
      </c>
      <c r="CP5" t="s">
        <v>283</v>
      </c>
      <c r="CQ5">
        <v>2.5</v>
      </c>
      <c r="CR5" s="156" t="s">
        <v>286</v>
      </c>
      <c r="CS5" t="s">
        <v>284</v>
      </c>
      <c r="CT5" t="s">
        <v>285</v>
      </c>
      <c r="CU5">
        <v>34.4</v>
      </c>
      <c r="CV5" t="s">
        <v>161</v>
      </c>
      <c r="CW5">
        <v>1</v>
      </c>
      <c r="CX5" s="136" t="s">
        <v>287</v>
      </c>
      <c r="CY5">
        <v>2.1000000000000001E-2</v>
      </c>
      <c r="CZ5" t="s">
        <v>167</v>
      </c>
      <c r="DA5" t="s">
        <v>167</v>
      </c>
      <c r="DB5" t="s">
        <v>288</v>
      </c>
      <c r="DC5">
        <v>4.2000000000000003E-2</v>
      </c>
      <c r="DD5" t="s">
        <v>167</v>
      </c>
      <c r="DE5" t="s">
        <v>167</v>
      </c>
      <c r="DF5" t="s">
        <v>289</v>
      </c>
      <c r="DG5" t="s">
        <v>166</v>
      </c>
      <c r="DH5" t="s">
        <v>167</v>
      </c>
      <c r="DI5" t="s">
        <v>167</v>
      </c>
      <c r="DJ5" t="s">
        <v>167</v>
      </c>
      <c r="DK5" s="133">
        <v>380</v>
      </c>
      <c r="DL5" t="s">
        <v>168</v>
      </c>
      <c r="DM5" s="133">
        <v>10.9</v>
      </c>
      <c r="DN5" t="s">
        <v>290</v>
      </c>
      <c r="DO5" s="146">
        <v>39.450000000000003</v>
      </c>
      <c r="DP5" t="s">
        <v>291</v>
      </c>
      <c r="DQ5">
        <v>0.4</v>
      </c>
      <c r="DR5" t="s">
        <v>292</v>
      </c>
      <c r="DS5" t="s">
        <v>294</v>
      </c>
      <c r="DT5" t="s">
        <v>293</v>
      </c>
      <c r="DU5">
        <v>1.0271999999999999</v>
      </c>
      <c r="DV5" t="s">
        <v>169</v>
      </c>
      <c r="DW5" t="s">
        <v>169</v>
      </c>
      <c r="DX5" t="s">
        <v>175</v>
      </c>
      <c r="DY5" t="s">
        <v>169</v>
      </c>
      <c r="DZ5" t="s">
        <v>169</v>
      </c>
      <c r="EA5" t="s">
        <v>295</v>
      </c>
      <c r="EB5" t="s">
        <v>294</v>
      </c>
      <c r="EC5" t="s">
        <v>294</v>
      </c>
      <c r="ED5" t="s">
        <v>294</v>
      </c>
      <c r="EE5" t="s">
        <v>294</v>
      </c>
      <c r="EF5" t="s">
        <v>294</v>
      </c>
      <c r="EG5" t="s">
        <v>293</v>
      </c>
      <c r="EH5" t="s">
        <v>170</v>
      </c>
      <c r="EI5" t="s">
        <v>296</v>
      </c>
      <c r="EJ5" t="s">
        <v>162</v>
      </c>
      <c r="EK5">
        <v>2102</v>
      </c>
      <c r="EL5" t="s">
        <v>171</v>
      </c>
      <c r="EM5">
        <v>100</v>
      </c>
      <c r="EN5">
        <v>-400</v>
      </c>
      <c r="EO5" t="s">
        <v>162</v>
      </c>
      <c r="EP5" t="s">
        <v>162</v>
      </c>
      <c r="EQ5" t="s">
        <v>162</v>
      </c>
      <c r="ER5" t="s">
        <v>162</v>
      </c>
      <c r="ES5" s="154">
        <v>7.4917912339999999</v>
      </c>
      <c r="ET5" s="135" t="s">
        <v>172</v>
      </c>
      <c r="EU5" s="137">
        <v>0.11605545200000034</v>
      </c>
      <c r="EV5" s="137">
        <v>0.1487516590000002</v>
      </c>
      <c r="EW5" s="138">
        <v>1566.7245780000001</v>
      </c>
      <c r="EX5" s="135" t="s">
        <v>162</v>
      </c>
      <c r="EY5" s="135" t="s">
        <v>162</v>
      </c>
      <c r="EZ5" s="138">
        <v>1566.7245780000001</v>
      </c>
      <c r="FA5" s="138">
        <v>685.73782700000015</v>
      </c>
      <c r="FB5" s="138">
        <v>397.42651300000011</v>
      </c>
      <c r="FC5" t="s">
        <v>297</v>
      </c>
      <c r="FD5" t="s">
        <v>298</v>
      </c>
      <c r="FE5" t="s">
        <v>173</v>
      </c>
      <c r="FF5" t="s">
        <v>173</v>
      </c>
      <c r="FG5" t="s">
        <v>173</v>
      </c>
      <c r="FH5" s="138">
        <v>2136.7536329999998</v>
      </c>
      <c r="FI5" s="138">
        <v>207.1952040000001</v>
      </c>
      <c r="FJ5" s="138">
        <v>204.71100799999977</v>
      </c>
      <c r="FK5" s="153">
        <v>2.6868340480000001</v>
      </c>
      <c r="FL5" s="153">
        <v>0.87067947899999965</v>
      </c>
      <c r="FM5" s="153">
        <v>0.78061147700000011</v>
      </c>
      <c r="FN5" t="s">
        <v>173</v>
      </c>
      <c r="FO5" t="s">
        <v>173</v>
      </c>
      <c r="FP5" t="s">
        <v>173</v>
      </c>
      <c r="FQ5" t="s">
        <v>299</v>
      </c>
    </row>
    <row r="6" spans="1:191" ht="17">
      <c r="A6" t="s">
        <v>152</v>
      </c>
      <c r="B6" t="s">
        <v>156</v>
      </c>
      <c r="C6">
        <v>2019</v>
      </c>
      <c r="D6" t="s">
        <v>301</v>
      </c>
      <c r="E6" s="141">
        <v>66039</v>
      </c>
      <c r="F6" s="142" t="s">
        <v>162</v>
      </c>
      <c r="G6" t="s">
        <v>162</v>
      </c>
      <c r="H6" s="138">
        <v>1453.0511059999999</v>
      </c>
      <c r="I6" s="138">
        <v>776.34914299999991</v>
      </c>
      <c r="J6" s="138">
        <v>416.61906899999985</v>
      </c>
      <c r="K6" t="s">
        <v>157</v>
      </c>
      <c r="L6" s="130" t="s">
        <v>158</v>
      </c>
      <c r="M6" s="143" t="s">
        <v>191</v>
      </c>
      <c r="N6" t="s">
        <v>301</v>
      </c>
      <c r="O6" t="s">
        <v>193</v>
      </c>
      <c r="P6" s="148" t="s">
        <v>162</v>
      </c>
      <c r="Q6" s="148" t="s">
        <v>162</v>
      </c>
      <c r="R6" s="148" t="s">
        <v>162</v>
      </c>
      <c r="S6" s="148" t="s">
        <v>162</v>
      </c>
      <c r="T6" s="148" t="s">
        <v>162</v>
      </c>
      <c r="U6" s="148" t="s">
        <v>162</v>
      </c>
      <c r="V6" s="149" t="s">
        <v>162</v>
      </c>
      <c r="W6" s="149" t="s">
        <v>162</v>
      </c>
      <c r="X6" t="s">
        <v>218</v>
      </c>
      <c r="Y6" s="132">
        <v>50.865000000000002</v>
      </c>
      <c r="Z6" s="132">
        <v>5.7839999999999998</v>
      </c>
      <c r="AA6" s="132">
        <v>45</v>
      </c>
      <c r="AB6" s="132">
        <v>-10</v>
      </c>
      <c r="AC6" s="132">
        <v>300</v>
      </c>
      <c r="AD6" s="132">
        <v>-20</v>
      </c>
      <c r="AE6" s="151" t="s">
        <v>228</v>
      </c>
      <c r="AF6" t="s">
        <v>160</v>
      </c>
      <c r="AG6" s="141">
        <v>66039</v>
      </c>
      <c r="AH6" s="2" t="s">
        <v>161</v>
      </c>
      <c r="AI6" t="s">
        <v>162</v>
      </c>
      <c r="AJ6" t="s">
        <v>162</v>
      </c>
      <c r="AK6" t="s">
        <v>229</v>
      </c>
      <c r="AL6" t="s">
        <v>231</v>
      </c>
      <c r="AM6" t="s">
        <v>162</v>
      </c>
      <c r="AN6" t="s">
        <v>162</v>
      </c>
      <c r="AO6" t="s">
        <v>162</v>
      </c>
      <c r="AP6" t="s">
        <v>162</v>
      </c>
      <c r="AQ6" t="s">
        <v>162</v>
      </c>
      <c r="AR6" t="s">
        <v>162</v>
      </c>
      <c r="AS6" t="s">
        <v>162</v>
      </c>
      <c r="AT6" t="s">
        <v>162</v>
      </c>
      <c r="AU6" s="152" t="s">
        <v>238</v>
      </c>
      <c r="AV6" t="s">
        <v>243</v>
      </c>
      <c r="AW6" t="s">
        <v>250</v>
      </c>
      <c r="AX6" s="134" t="s">
        <v>249</v>
      </c>
      <c r="AY6" t="s">
        <v>251</v>
      </c>
      <c r="AZ6" t="s">
        <v>163</v>
      </c>
      <c r="BA6" t="s">
        <v>164</v>
      </c>
      <c r="BB6" t="s">
        <v>257</v>
      </c>
      <c r="BC6">
        <v>2</v>
      </c>
      <c r="BD6" s="154">
        <v>0.33000000000000007</v>
      </c>
      <c r="BE6" s="153">
        <v>13.157999999999999</v>
      </c>
      <c r="BF6" t="s">
        <v>252</v>
      </c>
      <c r="BG6" s="153">
        <v>0.24</v>
      </c>
      <c r="BH6">
        <v>1</v>
      </c>
      <c r="BI6" t="s">
        <v>272</v>
      </c>
      <c r="BJ6" s="2" t="s">
        <v>162</v>
      </c>
      <c r="BK6" t="s">
        <v>273</v>
      </c>
      <c r="BL6" t="s">
        <v>270</v>
      </c>
      <c r="BM6" t="s">
        <v>162</v>
      </c>
      <c r="BN6" t="s">
        <v>162</v>
      </c>
      <c r="BO6" t="s">
        <v>162</v>
      </c>
      <c r="BP6" t="s">
        <v>274</v>
      </c>
      <c r="BQ6" t="s">
        <v>162</v>
      </c>
      <c r="BR6" s="135" t="s">
        <v>162</v>
      </c>
      <c r="BS6" t="s">
        <v>275</v>
      </c>
      <c r="BT6" t="s">
        <v>276</v>
      </c>
      <c r="BU6">
        <v>25</v>
      </c>
      <c r="BV6" t="s">
        <v>169</v>
      </c>
      <c r="BW6" t="s">
        <v>169</v>
      </c>
      <c r="BX6" s="133">
        <v>29.342318137071501</v>
      </c>
      <c r="BY6" t="s">
        <v>277</v>
      </c>
      <c r="BZ6">
        <v>0.95789666806269835</v>
      </c>
      <c r="CA6">
        <v>1.0464830278645998</v>
      </c>
      <c r="CB6" s="153">
        <v>4.32</v>
      </c>
      <c r="CC6" s="153">
        <f t="shared" si="1"/>
        <v>4.32</v>
      </c>
      <c r="CD6" t="s">
        <v>278</v>
      </c>
      <c r="CE6">
        <v>0.12959999999999994</v>
      </c>
      <c r="CF6">
        <v>0.12959999999999994</v>
      </c>
      <c r="CG6" s="155" t="s">
        <v>279</v>
      </c>
      <c r="CH6" t="s">
        <v>281</v>
      </c>
      <c r="CI6" t="s">
        <v>280</v>
      </c>
      <c r="CJ6" t="s">
        <v>281</v>
      </c>
      <c r="CK6" t="s">
        <v>162</v>
      </c>
      <c r="CL6" t="s">
        <v>162</v>
      </c>
      <c r="CM6" t="s">
        <v>282</v>
      </c>
      <c r="CN6">
        <v>23.4</v>
      </c>
      <c r="CO6">
        <v>23.4</v>
      </c>
      <c r="CP6" t="s">
        <v>283</v>
      </c>
      <c r="CQ6">
        <v>2.5</v>
      </c>
      <c r="CR6" s="156" t="s">
        <v>286</v>
      </c>
      <c r="CS6" t="s">
        <v>284</v>
      </c>
      <c r="CT6" t="s">
        <v>285</v>
      </c>
      <c r="CU6">
        <v>34.4</v>
      </c>
      <c r="CV6" t="s">
        <v>161</v>
      </c>
      <c r="CW6">
        <v>1</v>
      </c>
      <c r="CX6" s="136" t="s">
        <v>287</v>
      </c>
      <c r="CY6">
        <v>2.1000000000000001E-2</v>
      </c>
      <c r="CZ6" t="s">
        <v>167</v>
      </c>
      <c r="DA6" t="s">
        <v>167</v>
      </c>
      <c r="DB6" t="s">
        <v>288</v>
      </c>
      <c r="DC6">
        <v>4.2000000000000003E-2</v>
      </c>
      <c r="DD6" t="s">
        <v>167</v>
      </c>
      <c r="DE6" t="s">
        <v>167</v>
      </c>
      <c r="DF6" t="s">
        <v>289</v>
      </c>
      <c r="DG6" t="s">
        <v>166</v>
      </c>
      <c r="DH6" t="s">
        <v>167</v>
      </c>
      <c r="DI6" t="s">
        <v>167</v>
      </c>
      <c r="DJ6" t="s">
        <v>167</v>
      </c>
      <c r="DK6" s="133">
        <v>380</v>
      </c>
      <c r="DL6" t="s">
        <v>168</v>
      </c>
      <c r="DM6" s="133">
        <v>10.9</v>
      </c>
      <c r="DN6" t="s">
        <v>290</v>
      </c>
      <c r="DO6" s="146">
        <v>39.450000000000003</v>
      </c>
      <c r="DP6" t="s">
        <v>291</v>
      </c>
      <c r="DQ6">
        <v>0.4</v>
      </c>
      <c r="DR6" t="s">
        <v>292</v>
      </c>
      <c r="DS6" t="s">
        <v>294</v>
      </c>
      <c r="DT6" t="s">
        <v>293</v>
      </c>
      <c r="DU6">
        <v>1.0271999999999999</v>
      </c>
      <c r="DV6" t="s">
        <v>169</v>
      </c>
      <c r="DW6" t="s">
        <v>169</v>
      </c>
      <c r="DX6" t="s">
        <v>175</v>
      </c>
      <c r="DY6" t="s">
        <v>169</v>
      </c>
      <c r="DZ6" t="s">
        <v>169</v>
      </c>
      <c r="EA6" t="s">
        <v>295</v>
      </c>
      <c r="EB6" t="s">
        <v>294</v>
      </c>
      <c r="EC6" t="s">
        <v>294</v>
      </c>
      <c r="ED6" t="s">
        <v>294</v>
      </c>
      <c r="EE6" t="s">
        <v>294</v>
      </c>
      <c r="EF6" t="s">
        <v>294</v>
      </c>
      <c r="EG6" t="s">
        <v>293</v>
      </c>
      <c r="EH6" t="s">
        <v>170</v>
      </c>
      <c r="EI6" t="s">
        <v>296</v>
      </c>
      <c r="EJ6" t="s">
        <v>162</v>
      </c>
      <c r="EK6">
        <v>2102</v>
      </c>
      <c r="EL6" t="s">
        <v>171</v>
      </c>
      <c r="EM6">
        <v>100</v>
      </c>
      <c r="EN6">
        <v>-400</v>
      </c>
      <c r="EO6" t="s">
        <v>162</v>
      </c>
      <c r="EP6" t="s">
        <v>162</v>
      </c>
      <c r="EQ6" t="s">
        <v>162</v>
      </c>
      <c r="ER6" t="s">
        <v>162</v>
      </c>
      <c r="ES6" s="154">
        <v>7.5475304310000002</v>
      </c>
      <c r="ET6" s="135" t="s">
        <v>172</v>
      </c>
      <c r="EU6" s="137">
        <v>0.13780073900000023</v>
      </c>
      <c r="EV6" s="137">
        <v>0.18188708100000017</v>
      </c>
      <c r="EW6" s="138">
        <v>1453.0511059999999</v>
      </c>
      <c r="EX6" s="135" t="s">
        <v>162</v>
      </c>
      <c r="EY6" s="135" t="s">
        <v>162</v>
      </c>
      <c r="EZ6" s="138">
        <v>1453.0511059999999</v>
      </c>
      <c r="FA6" s="138">
        <v>776.34914299999991</v>
      </c>
      <c r="FB6" s="138">
        <v>416.61906899999985</v>
      </c>
      <c r="FC6" t="s">
        <v>297</v>
      </c>
      <c r="FD6" t="s">
        <v>298</v>
      </c>
      <c r="FE6" t="s">
        <v>173</v>
      </c>
      <c r="FF6" t="s">
        <v>173</v>
      </c>
      <c r="FG6" t="s">
        <v>173</v>
      </c>
      <c r="FH6" s="138">
        <v>2115.5407679999998</v>
      </c>
      <c r="FI6" s="138">
        <v>207.64572799999996</v>
      </c>
      <c r="FJ6" s="138">
        <v>204.60033099999987</v>
      </c>
      <c r="FK6" s="153">
        <v>4.2010011169999997</v>
      </c>
      <c r="FL6" s="153">
        <v>1.7482630560000008</v>
      </c>
      <c r="FM6" s="153">
        <v>1.5188333699999998</v>
      </c>
      <c r="FN6" t="s">
        <v>173</v>
      </c>
      <c r="FO6" t="s">
        <v>173</v>
      </c>
      <c r="FP6" t="s">
        <v>173</v>
      </c>
      <c r="FQ6" t="s">
        <v>299</v>
      </c>
    </row>
    <row r="7" spans="1:191" ht="17">
      <c r="A7" t="s">
        <v>152</v>
      </c>
      <c r="B7" t="s">
        <v>156</v>
      </c>
      <c r="C7">
        <v>2019</v>
      </c>
      <c r="D7" t="s">
        <v>301</v>
      </c>
      <c r="E7" s="141">
        <v>66320</v>
      </c>
      <c r="F7" s="142" t="s">
        <v>162</v>
      </c>
      <c r="G7" t="s">
        <v>162</v>
      </c>
      <c r="H7" s="138">
        <v>843.29333819999999</v>
      </c>
      <c r="I7" s="138">
        <v>219.70010379999997</v>
      </c>
      <c r="J7" s="138">
        <v>151.11090720000004</v>
      </c>
      <c r="K7" t="s">
        <v>157</v>
      </c>
      <c r="L7" s="130" t="s">
        <v>158</v>
      </c>
      <c r="M7" s="143" t="s">
        <v>191</v>
      </c>
      <c r="N7" t="s">
        <v>301</v>
      </c>
      <c r="O7" t="s">
        <v>194</v>
      </c>
      <c r="P7" s="145" t="s">
        <v>162</v>
      </c>
      <c r="Q7" s="145" t="s">
        <v>162</v>
      </c>
      <c r="R7" s="145" t="s">
        <v>162</v>
      </c>
      <c r="S7" t="s">
        <v>195</v>
      </c>
      <c r="T7" t="s">
        <v>195</v>
      </c>
      <c r="U7" s="148" t="s">
        <v>162</v>
      </c>
      <c r="V7" s="149" t="s">
        <v>162</v>
      </c>
      <c r="W7" s="149" t="s">
        <v>162</v>
      </c>
      <c r="X7" t="s">
        <v>219</v>
      </c>
      <c r="Y7" s="132">
        <v>34.055999999999997</v>
      </c>
      <c r="Z7" s="132">
        <v>-88.924000000000007</v>
      </c>
      <c r="AA7" s="132">
        <v>33</v>
      </c>
      <c r="AB7" s="132">
        <v>-81</v>
      </c>
      <c r="AC7" s="132">
        <v>152</v>
      </c>
      <c r="AD7" s="132">
        <v>-110</v>
      </c>
      <c r="AE7" s="151" t="s">
        <v>227</v>
      </c>
      <c r="AF7" t="s">
        <v>160</v>
      </c>
      <c r="AG7" s="141">
        <v>66320</v>
      </c>
      <c r="AH7" s="2" t="s">
        <v>161</v>
      </c>
      <c r="AI7" t="s">
        <v>162</v>
      </c>
      <c r="AJ7" t="s">
        <v>162</v>
      </c>
      <c r="AK7" t="s">
        <v>229</v>
      </c>
      <c r="AL7" t="s">
        <v>233</v>
      </c>
      <c r="AM7" t="s">
        <v>162</v>
      </c>
      <c r="AN7" t="s">
        <v>162</v>
      </c>
      <c r="AO7" t="s">
        <v>162</v>
      </c>
      <c r="AP7" t="s">
        <v>162</v>
      </c>
      <c r="AQ7" t="s">
        <v>162</v>
      </c>
      <c r="AR7" t="s">
        <v>162</v>
      </c>
      <c r="AS7" t="s">
        <v>162</v>
      </c>
      <c r="AT7" t="s">
        <v>162</v>
      </c>
      <c r="AU7" t="s">
        <v>237</v>
      </c>
      <c r="AV7" t="s">
        <v>242</v>
      </c>
      <c r="AW7" t="s">
        <v>248</v>
      </c>
      <c r="AX7" s="134" t="s">
        <v>249</v>
      </c>
      <c r="AY7" t="s">
        <v>251</v>
      </c>
      <c r="AZ7" t="s">
        <v>163</v>
      </c>
      <c r="BA7" t="s">
        <v>164</v>
      </c>
      <c r="BB7" t="s">
        <v>255</v>
      </c>
      <c r="BC7">
        <v>2</v>
      </c>
      <c r="BD7" s="154">
        <v>0.2</v>
      </c>
      <c r="BE7" s="153">
        <v>14.731</v>
      </c>
      <c r="BF7" t="s">
        <v>252</v>
      </c>
      <c r="BG7" s="153">
        <v>0.3</v>
      </c>
      <c r="BH7">
        <v>1</v>
      </c>
      <c r="BI7" t="s">
        <v>272</v>
      </c>
      <c r="BJ7" s="2" t="s">
        <v>162</v>
      </c>
      <c r="BK7">
        <v>0</v>
      </c>
      <c r="BL7" t="s">
        <v>271</v>
      </c>
      <c r="BM7" t="s">
        <v>162</v>
      </c>
      <c r="BN7" t="s">
        <v>162</v>
      </c>
      <c r="BO7" t="s">
        <v>162</v>
      </c>
      <c r="BP7" s="135">
        <f t="shared" si="0"/>
        <v>14.731</v>
      </c>
      <c r="BQ7" t="s">
        <v>165</v>
      </c>
      <c r="BR7" s="135">
        <f>BG7</f>
        <v>0.3</v>
      </c>
      <c r="BT7" t="s">
        <v>276</v>
      </c>
      <c r="BU7">
        <v>100</v>
      </c>
      <c r="BV7" t="s">
        <v>169</v>
      </c>
      <c r="BW7" t="s">
        <v>169</v>
      </c>
      <c r="BX7" s="133">
        <v>27.151928310988399</v>
      </c>
      <c r="BY7" t="s">
        <v>277</v>
      </c>
      <c r="BZ7">
        <v>0.29195664397650134</v>
      </c>
      <c r="CA7">
        <v>0.32567229826899791</v>
      </c>
      <c r="CB7" s="153">
        <v>8.6999999999999993</v>
      </c>
      <c r="CC7" s="153">
        <f t="shared" si="1"/>
        <v>8.6999999999999993</v>
      </c>
      <c r="CD7" t="s">
        <v>278</v>
      </c>
      <c r="CE7">
        <v>0.26099999999999923</v>
      </c>
      <c r="CF7">
        <v>0.26099999999999923</v>
      </c>
      <c r="CG7" s="155" t="s">
        <v>279</v>
      </c>
      <c r="CH7" t="s">
        <v>281</v>
      </c>
      <c r="CI7" t="s">
        <v>280</v>
      </c>
      <c r="CJ7" t="s">
        <v>281</v>
      </c>
      <c r="CK7" t="s">
        <v>162</v>
      </c>
      <c r="CL7" t="s">
        <v>162</v>
      </c>
      <c r="CM7" t="s">
        <v>282</v>
      </c>
      <c r="CN7" t="s">
        <v>162</v>
      </c>
      <c r="CO7" t="s">
        <v>162</v>
      </c>
      <c r="CP7" t="s">
        <v>162</v>
      </c>
      <c r="CQ7" t="s">
        <v>162</v>
      </c>
      <c r="CR7" t="s">
        <v>162</v>
      </c>
      <c r="CS7" t="s">
        <v>162</v>
      </c>
      <c r="CT7" t="s">
        <v>162</v>
      </c>
      <c r="CU7">
        <v>34.1</v>
      </c>
      <c r="CV7" t="s">
        <v>161</v>
      </c>
      <c r="CW7">
        <v>1</v>
      </c>
      <c r="CX7" s="136" t="s">
        <v>287</v>
      </c>
      <c r="CY7">
        <v>2.1000000000000001E-2</v>
      </c>
      <c r="CZ7" t="s">
        <v>167</v>
      </c>
      <c r="DA7" t="s">
        <v>167</v>
      </c>
      <c r="DB7" t="s">
        <v>288</v>
      </c>
      <c r="DC7">
        <v>4.2000000000000003E-2</v>
      </c>
      <c r="DD7" t="s">
        <v>167</v>
      </c>
      <c r="DE7" t="s">
        <v>167</v>
      </c>
      <c r="DF7" t="s">
        <v>289</v>
      </c>
      <c r="DG7" t="s">
        <v>166</v>
      </c>
      <c r="DH7" t="s">
        <v>167</v>
      </c>
      <c r="DI7" t="s">
        <v>167</v>
      </c>
      <c r="DJ7" t="s">
        <v>167</v>
      </c>
      <c r="DK7" s="133">
        <v>380</v>
      </c>
      <c r="DL7" t="s">
        <v>168</v>
      </c>
      <c r="DM7" s="133">
        <v>10.9</v>
      </c>
      <c r="DN7" t="s">
        <v>290</v>
      </c>
      <c r="DO7" s="146">
        <v>39.450000000000003</v>
      </c>
      <c r="DP7" t="s">
        <v>291</v>
      </c>
      <c r="DQ7">
        <v>0.4</v>
      </c>
      <c r="DR7" t="s">
        <v>292</v>
      </c>
      <c r="DS7" t="s">
        <v>294</v>
      </c>
      <c r="DT7" t="s">
        <v>293</v>
      </c>
      <c r="DU7">
        <v>1.0271999999999999</v>
      </c>
      <c r="DV7" t="s">
        <v>169</v>
      </c>
      <c r="DW7" t="s">
        <v>169</v>
      </c>
      <c r="DX7" t="s">
        <v>175</v>
      </c>
      <c r="DY7" t="s">
        <v>169</v>
      </c>
      <c r="DZ7" t="s">
        <v>169</v>
      </c>
      <c r="EA7" t="s">
        <v>295</v>
      </c>
      <c r="EB7" t="s">
        <v>294</v>
      </c>
      <c r="EC7" t="s">
        <v>294</v>
      </c>
      <c r="ED7" t="s">
        <v>294</v>
      </c>
      <c r="EE7" t="s">
        <v>294</v>
      </c>
      <c r="EF7" t="s">
        <v>294</v>
      </c>
      <c r="EG7" t="s">
        <v>293</v>
      </c>
      <c r="EH7" t="s">
        <v>170</v>
      </c>
      <c r="EI7" t="s">
        <v>296</v>
      </c>
      <c r="EK7">
        <v>2085</v>
      </c>
      <c r="EL7" t="s">
        <v>171</v>
      </c>
      <c r="EM7">
        <v>100</v>
      </c>
      <c r="EN7">
        <v>100</v>
      </c>
      <c r="EO7" t="s">
        <v>162</v>
      </c>
      <c r="EP7" t="s">
        <v>162</v>
      </c>
      <c r="EQ7" t="s">
        <v>162</v>
      </c>
      <c r="ER7" t="s">
        <v>162</v>
      </c>
      <c r="ES7" s="154">
        <v>7.7555338960000002</v>
      </c>
      <c r="ET7" s="135" t="s">
        <v>172</v>
      </c>
      <c r="EU7" s="154">
        <v>8.0347653999999658E-2</v>
      </c>
      <c r="EV7" s="154">
        <v>9.6443148000000534E-2</v>
      </c>
      <c r="EW7" s="138">
        <v>843.29333819999999</v>
      </c>
      <c r="EX7" s="135" t="s">
        <v>162</v>
      </c>
      <c r="EY7" s="135" t="s">
        <v>162</v>
      </c>
      <c r="EZ7" s="138">
        <v>843.29333819999999</v>
      </c>
      <c r="FA7" s="138">
        <v>219.70010379999997</v>
      </c>
      <c r="FB7" s="138">
        <v>151.11090720000004</v>
      </c>
      <c r="FC7" t="s">
        <v>297</v>
      </c>
      <c r="FD7" t="s">
        <v>298</v>
      </c>
      <c r="FE7" t="s">
        <v>173</v>
      </c>
      <c r="FF7" t="s">
        <v>173</v>
      </c>
      <c r="FG7" t="s">
        <v>173</v>
      </c>
      <c r="FH7" s="138">
        <v>2069.8619870000002</v>
      </c>
      <c r="FI7" s="138">
        <v>102.17857999999978</v>
      </c>
      <c r="FJ7" s="138">
        <v>100.88404200000014</v>
      </c>
      <c r="FK7" s="153">
        <v>4.9891728390000001</v>
      </c>
      <c r="FL7" s="153">
        <v>1.0023834320000002</v>
      </c>
      <c r="FM7" s="153">
        <v>0.94823518900000003</v>
      </c>
      <c r="FN7" t="s">
        <v>173</v>
      </c>
      <c r="FO7" t="s">
        <v>173</v>
      </c>
      <c r="FP7" t="s">
        <v>173</v>
      </c>
      <c r="FQ7" t="s">
        <v>299</v>
      </c>
    </row>
    <row r="8" spans="1:191" ht="17">
      <c r="A8" t="s">
        <v>152</v>
      </c>
      <c r="B8" t="s">
        <v>156</v>
      </c>
      <c r="C8">
        <v>2019</v>
      </c>
      <c r="D8" t="s">
        <v>301</v>
      </c>
      <c r="E8" s="141">
        <v>66820</v>
      </c>
      <c r="F8" s="142" t="s">
        <v>162</v>
      </c>
      <c r="G8" t="s">
        <v>162</v>
      </c>
      <c r="H8" s="138">
        <v>840.91885439999999</v>
      </c>
      <c r="I8" s="138">
        <v>345.05289759999994</v>
      </c>
      <c r="J8" s="138">
        <v>229.4995662</v>
      </c>
      <c r="K8" t="s">
        <v>157</v>
      </c>
      <c r="L8" s="130" t="s">
        <v>158</v>
      </c>
      <c r="M8" s="143" t="s">
        <v>191</v>
      </c>
      <c r="N8" t="s">
        <v>301</v>
      </c>
      <c r="O8" t="s">
        <v>196</v>
      </c>
      <c r="P8" s="144" t="s">
        <v>197</v>
      </c>
      <c r="Q8" s="144">
        <v>9</v>
      </c>
      <c r="R8" s="144">
        <v>3</v>
      </c>
      <c r="S8">
        <v>12</v>
      </c>
      <c r="T8">
        <v>14.5</v>
      </c>
      <c r="U8" t="s">
        <v>216</v>
      </c>
      <c r="V8" s="149" t="s">
        <v>162</v>
      </c>
      <c r="W8" s="149" t="s">
        <v>162</v>
      </c>
      <c r="X8" t="s">
        <v>220</v>
      </c>
      <c r="Y8" s="132">
        <v>30.141999999999999</v>
      </c>
      <c r="Z8" s="132">
        <v>-76.111999999999995</v>
      </c>
      <c r="AA8" s="132">
        <v>30</v>
      </c>
      <c r="AB8" s="132">
        <v>-70</v>
      </c>
      <c r="AC8" s="132">
        <v>-2671</v>
      </c>
      <c r="AD8" s="132">
        <v>-1550</v>
      </c>
      <c r="AE8" s="151" t="s">
        <v>224</v>
      </c>
      <c r="AF8" t="s">
        <v>160</v>
      </c>
      <c r="AG8" s="141">
        <v>66820</v>
      </c>
      <c r="AH8" s="2" t="s">
        <v>161</v>
      </c>
      <c r="AI8" t="s">
        <v>162</v>
      </c>
      <c r="AJ8" t="s">
        <v>162</v>
      </c>
      <c r="AK8" t="s">
        <v>229</v>
      </c>
      <c r="AL8" t="s">
        <v>234</v>
      </c>
      <c r="AM8" t="s">
        <v>162</v>
      </c>
      <c r="AN8" t="s">
        <v>162</v>
      </c>
      <c r="AO8" t="s">
        <v>162</v>
      </c>
      <c r="AP8" t="s">
        <v>162</v>
      </c>
      <c r="AQ8" t="s">
        <v>162</v>
      </c>
      <c r="AR8" t="s">
        <v>162</v>
      </c>
      <c r="AS8" t="s">
        <v>162</v>
      </c>
      <c r="AT8" t="s">
        <v>162</v>
      </c>
      <c r="AU8" s="152" t="s">
        <v>236</v>
      </c>
      <c r="AV8" t="s">
        <v>244</v>
      </c>
      <c r="AW8" t="s">
        <v>248</v>
      </c>
      <c r="AX8" s="134" t="s">
        <v>249</v>
      </c>
      <c r="AY8" t="s">
        <v>251</v>
      </c>
      <c r="AZ8" t="s">
        <v>163</v>
      </c>
      <c r="BA8" t="s">
        <v>164</v>
      </c>
      <c r="BB8" t="s">
        <v>259</v>
      </c>
      <c r="BC8">
        <v>8</v>
      </c>
      <c r="BD8">
        <v>5.5E-2</v>
      </c>
      <c r="BE8" s="153">
        <v>13.83175643</v>
      </c>
      <c r="BF8" t="s">
        <v>252</v>
      </c>
      <c r="BG8" s="153">
        <v>0.1545</v>
      </c>
      <c r="BH8">
        <v>1</v>
      </c>
      <c r="BI8" t="s">
        <v>272</v>
      </c>
      <c r="BJ8" s="2" t="s">
        <v>162</v>
      </c>
      <c r="BK8" t="s">
        <v>273</v>
      </c>
      <c r="BL8" t="s">
        <v>270</v>
      </c>
      <c r="BM8" t="s">
        <v>162</v>
      </c>
      <c r="BN8" t="s">
        <v>162</v>
      </c>
      <c r="BO8" t="s">
        <v>162</v>
      </c>
      <c r="BP8" t="s">
        <v>274</v>
      </c>
      <c r="BQ8" t="s">
        <v>162</v>
      </c>
      <c r="BR8" s="135" t="s">
        <v>162</v>
      </c>
      <c r="BS8" t="s">
        <v>275</v>
      </c>
      <c r="BT8" t="s">
        <v>276</v>
      </c>
      <c r="BU8">
        <v>75</v>
      </c>
      <c r="BV8" t="s">
        <v>169</v>
      </c>
      <c r="BW8" t="s">
        <v>169</v>
      </c>
      <c r="BX8" s="133">
        <v>30.6206688176879</v>
      </c>
      <c r="BY8" t="s">
        <v>277</v>
      </c>
      <c r="BZ8">
        <v>0.93792825037710159</v>
      </c>
      <c r="CA8">
        <v>0.94176044918780022</v>
      </c>
      <c r="CB8" s="153">
        <v>4.3867025166669107</v>
      </c>
      <c r="CC8" s="153">
        <f t="shared" si="1"/>
        <v>4.3867025166669107</v>
      </c>
      <c r="CD8" t="s">
        <v>278</v>
      </c>
      <c r="CE8">
        <v>0.13160107550000699</v>
      </c>
      <c r="CF8">
        <v>0.13160107550000699</v>
      </c>
      <c r="CG8" s="155" t="s">
        <v>279</v>
      </c>
      <c r="CH8" t="s">
        <v>281</v>
      </c>
      <c r="CI8" t="s">
        <v>280</v>
      </c>
      <c r="CJ8" t="s">
        <v>281</v>
      </c>
      <c r="CK8" t="s">
        <v>162</v>
      </c>
      <c r="CL8" t="s">
        <v>162</v>
      </c>
      <c r="CM8" t="s">
        <v>282</v>
      </c>
      <c r="CN8" t="s">
        <v>162</v>
      </c>
      <c r="CO8" t="s">
        <v>162</v>
      </c>
      <c r="CP8" t="s">
        <v>162</v>
      </c>
      <c r="CQ8" t="s">
        <v>162</v>
      </c>
      <c r="CR8" t="s">
        <v>162</v>
      </c>
      <c r="CS8" t="s">
        <v>162</v>
      </c>
      <c r="CT8" t="s">
        <v>162</v>
      </c>
      <c r="CU8">
        <v>34.4</v>
      </c>
      <c r="CV8" t="s">
        <v>161</v>
      </c>
      <c r="CW8">
        <v>1</v>
      </c>
      <c r="CX8" s="136" t="s">
        <v>287</v>
      </c>
      <c r="CY8">
        <v>2.1000000000000001E-2</v>
      </c>
      <c r="CZ8" t="s">
        <v>167</v>
      </c>
      <c r="DA8" t="s">
        <v>167</v>
      </c>
      <c r="DB8" t="s">
        <v>288</v>
      </c>
      <c r="DC8">
        <v>4.2000000000000003E-2</v>
      </c>
      <c r="DD8" t="s">
        <v>167</v>
      </c>
      <c r="DE8" t="s">
        <v>167</v>
      </c>
      <c r="DF8" t="s">
        <v>289</v>
      </c>
      <c r="DG8" t="s">
        <v>166</v>
      </c>
      <c r="DH8" t="s">
        <v>167</v>
      </c>
      <c r="DI8" t="s">
        <v>167</v>
      </c>
      <c r="DJ8" t="s">
        <v>167</v>
      </c>
      <c r="DK8" s="133">
        <v>380</v>
      </c>
      <c r="DL8" t="s">
        <v>168</v>
      </c>
      <c r="DM8" s="133">
        <v>10.9</v>
      </c>
      <c r="DN8" t="s">
        <v>290</v>
      </c>
      <c r="DO8" s="146">
        <v>39.450000000000003</v>
      </c>
      <c r="DP8" t="s">
        <v>291</v>
      </c>
      <c r="DQ8">
        <v>0.4</v>
      </c>
      <c r="DR8" t="s">
        <v>292</v>
      </c>
      <c r="DS8" t="s">
        <v>294</v>
      </c>
      <c r="DT8" t="s">
        <v>293</v>
      </c>
      <c r="DU8">
        <v>1.0271999999999999</v>
      </c>
      <c r="DV8" t="s">
        <v>169</v>
      </c>
      <c r="DW8" t="s">
        <v>169</v>
      </c>
      <c r="DX8" t="s">
        <v>175</v>
      </c>
      <c r="DY8" t="s">
        <v>169</v>
      </c>
      <c r="DZ8" t="s">
        <v>169</v>
      </c>
      <c r="EA8" t="s">
        <v>295</v>
      </c>
      <c r="EB8" t="s">
        <v>294</v>
      </c>
      <c r="EC8" t="s">
        <v>294</v>
      </c>
      <c r="ED8" t="s">
        <v>294</v>
      </c>
      <c r="EE8" t="s">
        <v>294</v>
      </c>
      <c r="EF8" t="s">
        <v>294</v>
      </c>
      <c r="EG8" t="s">
        <v>293</v>
      </c>
      <c r="EH8" t="s">
        <v>170</v>
      </c>
      <c r="EI8" t="s">
        <v>296</v>
      </c>
      <c r="EK8">
        <v>1883</v>
      </c>
      <c r="EL8" t="s">
        <v>171</v>
      </c>
      <c r="EM8">
        <v>100</v>
      </c>
      <c r="EN8">
        <v>100</v>
      </c>
      <c r="EO8" t="s">
        <v>162</v>
      </c>
      <c r="EP8" t="s">
        <v>162</v>
      </c>
      <c r="EQ8" t="s">
        <v>162</v>
      </c>
      <c r="ER8" t="s">
        <v>162</v>
      </c>
      <c r="ES8" s="154">
        <v>7.7320622520000004</v>
      </c>
      <c r="ET8" s="135" t="s">
        <v>172</v>
      </c>
      <c r="EU8" s="154">
        <v>0.13357595</v>
      </c>
      <c r="EV8" s="154">
        <v>0.14452876300000028</v>
      </c>
      <c r="EW8" s="138">
        <v>840.91885439999999</v>
      </c>
      <c r="EX8" s="135" t="s">
        <v>162</v>
      </c>
      <c r="EY8" s="135" t="s">
        <v>162</v>
      </c>
      <c r="EZ8" s="138">
        <v>840.91885439999999</v>
      </c>
      <c r="FA8" s="138">
        <v>345.05289759999994</v>
      </c>
      <c r="FB8" s="138">
        <v>229.4995662</v>
      </c>
      <c r="FC8" t="s">
        <v>297</v>
      </c>
      <c r="FD8" t="s">
        <v>298</v>
      </c>
      <c r="FE8" t="s">
        <v>173</v>
      </c>
      <c r="FF8" t="s">
        <v>173</v>
      </c>
      <c r="FG8" t="s">
        <v>173</v>
      </c>
      <c r="FH8" s="138">
        <v>1857.2427190000001</v>
      </c>
      <c r="FI8" s="138">
        <v>100.49775</v>
      </c>
      <c r="FJ8" s="138">
        <v>101.59884800000009</v>
      </c>
      <c r="FK8" s="153">
        <v>5.8102553480000001</v>
      </c>
      <c r="FL8" s="153">
        <v>2.1591552780000001</v>
      </c>
      <c r="FM8" s="153">
        <v>1.6960507070000004</v>
      </c>
      <c r="FN8" t="s">
        <v>173</v>
      </c>
      <c r="FO8" t="s">
        <v>173</v>
      </c>
      <c r="FP8" t="s">
        <v>173</v>
      </c>
      <c r="FQ8" t="s">
        <v>299</v>
      </c>
    </row>
    <row r="9" spans="1:191" ht="17">
      <c r="A9" t="s">
        <v>152</v>
      </c>
      <c r="B9" t="s">
        <v>156</v>
      </c>
      <c r="C9">
        <v>2019</v>
      </c>
      <c r="D9" t="s">
        <v>301</v>
      </c>
      <c r="E9" s="141">
        <v>66820</v>
      </c>
      <c r="F9" s="142" t="s">
        <v>162</v>
      </c>
      <c r="G9" t="s">
        <v>162</v>
      </c>
      <c r="H9" s="138">
        <v>902.29649659999995</v>
      </c>
      <c r="I9" s="138">
        <v>381.68538740000008</v>
      </c>
      <c r="J9" s="138">
        <v>248.05658439999991</v>
      </c>
      <c r="K9" t="s">
        <v>157</v>
      </c>
      <c r="L9" s="130" t="s">
        <v>158</v>
      </c>
      <c r="M9" s="143" t="s">
        <v>191</v>
      </c>
      <c r="N9" t="s">
        <v>301</v>
      </c>
      <c r="O9" t="s">
        <v>196</v>
      </c>
      <c r="P9" s="144" t="s">
        <v>197</v>
      </c>
      <c r="Q9" s="144">
        <v>9</v>
      </c>
      <c r="R9" s="144">
        <v>3</v>
      </c>
      <c r="S9">
        <v>12</v>
      </c>
      <c r="T9">
        <v>14.5</v>
      </c>
      <c r="U9" t="s">
        <v>216</v>
      </c>
      <c r="V9" s="149" t="s">
        <v>162</v>
      </c>
      <c r="W9" s="149" t="s">
        <v>162</v>
      </c>
      <c r="X9" t="s">
        <v>220</v>
      </c>
      <c r="Y9" s="132">
        <v>30.141999999999999</v>
      </c>
      <c r="Z9" s="132">
        <v>-76.111999999999995</v>
      </c>
      <c r="AA9" s="132">
        <v>30</v>
      </c>
      <c r="AB9" s="132">
        <v>-70</v>
      </c>
      <c r="AC9" s="132">
        <v>-2671</v>
      </c>
      <c r="AD9" s="132">
        <v>-1550</v>
      </c>
      <c r="AE9" s="151" t="s">
        <v>224</v>
      </c>
      <c r="AF9" t="s">
        <v>160</v>
      </c>
      <c r="AG9" s="141">
        <v>66820</v>
      </c>
      <c r="AH9" s="2" t="s">
        <v>161</v>
      </c>
      <c r="AI9" t="s">
        <v>162</v>
      </c>
      <c r="AJ9" t="s">
        <v>162</v>
      </c>
      <c r="AK9" t="s">
        <v>229</v>
      </c>
      <c r="AL9" t="s">
        <v>234</v>
      </c>
      <c r="AM9" t="s">
        <v>162</v>
      </c>
      <c r="AN9" t="s">
        <v>162</v>
      </c>
      <c r="AO9" t="s">
        <v>162</v>
      </c>
      <c r="AP9" t="s">
        <v>162</v>
      </c>
      <c r="AQ9" t="s">
        <v>162</v>
      </c>
      <c r="AR9" t="s">
        <v>162</v>
      </c>
      <c r="AS9" t="s">
        <v>162</v>
      </c>
      <c r="AT9" t="s">
        <v>162</v>
      </c>
      <c r="AU9" s="152" t="s">
        <v>238</v>
      </c>
      <c r="AV9" t="s">
        <v>245</v>
      </c>
      <c r="AW9" t="s">
        <v>250</v>
      </c>
      <c r="AX9" s="134" t="s">
        <v>249</v>
      </c>
      <c r="AY9" t="s">
        <v>251</v>
      </c>
      <c r="AZ9" t="s">
        <v>163</v>
      </c>
      <c r="BA9" t="s">
        <v>164</v>
      </c>
      <c r="BB9" t="s">
        <v>260</v>
      </c>
      <c r="BC9">
        <v>2</v>
      </c>
      <c r="BD9">
        <v>0.14199999999999999</v>
      </c>
      <c r="BE9" s="153">
        <v>13.83793889</v>
      </c>
      <c r="BF9" t="s">
        <v>252</v>
      </c>
      <c r="BG9" s="153">
        <v>0.22259883</v>
      </c>
      <c r="BH9">
        <v>1</v>
      </c>
      <c r="BI9" t="s">
        <v>272</v>
      </c>
      <c r="BJ9" s="2" t="s">
        <v>162</v>
      </c>
      <c r="BK9" t="s">
        <v>273</v>
      </c>
      <c r="BL9" t="s">
        <v>270</v>
      </c>
      <c r="BM9" t="s">
        <v>162</v>
      </c>
      <c r="BN9" t="s">
        <v>162</v>
      </c>
      <c r="BO9" t="s">
        <v>162</v>
      </c>
      <c r="BP9" t="s">
        <v>274</v>
      </c>
      <c r="BQ9" t="s">
        <v>162</v>
      </c>
      <c r="BR9" s="135" t="s">
        <v>162</v>
      </c>
      <c r="BS9" t="s">
        <v>275</v>
      </c>
      <c r="BT9" t="s">
        <v>276</v>
      </c>
      <c r="BU9">
        <v>25</v>
      </c>
      <c r="BV9" t="s">
        <v>169</v>
      </c>
      <c r="BW9" t="s">
        <v>169</v>
      </c>
      <c r="BX9" s="133">
        <v>33.0363169935355</v>
      </c>
      <c r="BY9" t="s">
        <v>277</v>
      </c>
      <c r="BZ9">
        <v>1.0527410170077971</v>
      </c>
      <c r="CA9">
        <v>0.96732332698569934</v>
      </c>
      <c r="CB9" s="153">
        <v>5.37</v>
      </c>
      <c r="CC9" s="153">
        <f t="shared" si="1"/>
        <v>5.37</v>
      </c>
      <c r="CD9" t="s">
        <v>278</v>
      </c>
      <c r="CE9">
        <v>0.16110000000000024</v>
      </c>
      <c r="CF9">
        <v>0.16110000000000024</v>
      </c>
      <c r="CG9" s="155" t="s">
        <v>279</v>
      </c>
      <c r="CH9" t="s">
        <v>281</v>
      </c>
      <c r="CI9" t="s">
        <v>280</v>
      </c>
      <c r="CJ9" t="s">
        <v>281</v>
      </c>
      <c r="CK9" t="s">
        <v>162</v>
      </c>
      <c r="CL9" t="s">
        <v>162</v>
      </c>
      <c r="CM9" t="s">
        <v>282</v>
      </c>
      <c r="CN9" t="s">
        <v>162</v>
      </c>
      <c r="CO9" t="s">
        <v>162</v>
      </c>
      <c r="CP9" t="s">
        <v>162</v>
      </c>
      <c r="CQ9" t="s">
        <v>162</v>
      </c>
      <c r="CR9" t="s">
        <v>162</v>
      </c>
      <c r="CS9" t="s">
        <v>162</v>
      </c>
      <c r="CT9" t="s">
        <v>162</v>
      </c>
      <c r="CU9">
        <v>34.4</v>
      </c>
      <c r="CV9" t="s">
        <v>161</v>
      </c>
      <c r="CW9">
        <v>1</v>
      </c>
      <c r="CX9" s="136" t="s">
        <v>287</v>
      </c>
      <c r="CY9">
        <v>2.1000000000000001E-2</v>
      </c>
      <c r="CZ9" t="s">
        <v>167</v>
      </c>
      <c r="DA9" t="s">
        <v>167</v>
      </c>
      <c r="DB9" t="s">
        <v>288</v>
      </c>
      <c r="DC9">
        <v>4.2000000000000003E-2</v>
      </c>
      <c r="DD9" t="s">
        <v>167</v>
      </c>
      <c r="DE9" t="s">
        <v>167</v>
      </c>
      <c r="DF9" t="s">
        <v>289</v>
      </c>
      <c r="DG9" t="s">
        <v>166</v>
      </c>
      <c r="DH9" t="s">
        <v>167</v>
      </c>
      <c r="DI9" t="s">
        <v>167</v>
      </c>
      <c r="DJ9" t="s">
        <v>167</v>
      </c>
      <c r="DK9" s="133">
        <v>380</v>
      </c>
      <c r="DL9" t="s">
        <v>168</v>
      </c>
      <c r="DM9" s="133">
        <v>10.9</v>
      </c>
      <c r="DN9" t="s">
        <v>290</v>
      </c>
      <c r="DO9" s="146">
        <v>39.450000000000003</v>
      </c>
      <c r="DP9" t="s">
        <v>291</v>
      </c>
      <c r="DQ9">
        <v>0.4</v>
      </c>
      <c r="DR9" t="s">
        <v>292</v>
      </c>
      <c r="DS9" t="s">
        <v>294</v>
      </c>
      <c r="DT9" t="s">
        <v>293</v>
      </c>
      <c r="DU9">
        <v>1.0271999999999999</v>
      </c>
      <c r="DV9" t="s">
        <v>169</v>
      </c>
      <c r="DW9" t="s">
        <v>169</v>
      </c>
      <c r="DX9" t="s">
        <v>175</v>
      </c>
      <c r="DY9" t="s">
        <v>169</v>
      </c>
      <c r="DZ9" t="s">
        <v>169</v>
      </c>
      <c r="EA9" t="s">
        <v>295</v>
      </c>
      <c r="EB9" t="s">
        <v>294</v>
      </c>
      <c r="EC9" t="s">
        <v>294</v>
      </c>
      <c r="ED9" t="s">
        <v>294</v>
      </c>
      <c r="EE9" t="s">
        <v>294</v>
      </c>
      <c r="EF9" t="s">
        <v>294</v>
      </c>
      <c r="EG9" t="s">
        <v>293</v>
      </c>
      <c r="EH9" t="s">
        <v>170</v>
      </c>
      <c r="EI9" t="s">
        <v>296</v>
      </c>
      <c r="EK9">
        <v>1883</v>
      </c>
      <c r="EL9" t="s">
        <v>171</v>
      </c>
      <c r="EM9">
        <v>100</v>
      </c>
      <c r="EN9">
        <v>100</v>
      </c>
      <c r="EO9" t="s">
        <v>162</v>
      </c>
      <c r="EP9" t="s">
        <v>162</v>
      </c>
      <c r="EQ9" t="s">
        <v>162</v>
      </c>
      <c r="ER9" t="s">
        <v>162</v>
      </c>
      <c r="ES9" s="154">
        <v>7.7077101309999998</v>
      </c>
      <c r="ET9" s="135" t="s">
        <v>172</v>
      </c>
      <c r="EU9" s="154">
        <v>0.13778446600000027</v>
      </c>
      <c r="EV9" s="154">
        <v>0.14963659699999976</v>
      </c>
      <c r="EW9" s="138">
        <v>902.29649659999995</v>
      </c>
      <c r="EX9" s="135" t="s">
        <v>162</v>
      </c>
      <c r="EY9" s="135" t="s">
        <v>162</v>
      </c>
      <c r="EZ9" s="138">
        <v>902.29649659999995</v>
      </c>
      <c r="FA9" s="138">
        <v>381.68538740000008</v>
      </c>
      <c r="FB9" s="138">
        <v>248.05658439999991</v>
      </c>
      <c r="FC9" t="s">
        <v>297</v>
      </c>
      <c r="FD9" t="s">
        <v>298</v>
      </c>
      <c r="FE9" t="s">
        <v>173</v>
      </c>
      <c r="FF9" t="s">
        <v>173</v>
      </c>
      <c r="FG9" t="s">
        <v>173</v>
      </c>
      <c r="FH9" s="138">
        <v>1857.549491</v>
      </c>
      <c r="FI9" s="138">
        <v>100.30415300000004</v>
      </c>
      <c r="FJ9" s="138">
        <v>101.55169099999989</v>
      </c>
      <c r="FK9" s="153">
        <v>6.0321596560000001</v>
      </c>
      <c r="FL9" s="153">
        <v>2.342177862999999</v>
      </c>
      <c r="FM9" s="153">
        <v>1.80067222</v>
      </c>
      <c r="FN9" t="s">
        <v>173</v>
      </c>
      <c r="FO9" t="s">
        <v>173</v>
      </c>
      <c r="FP9" t="s">
        <v>173</v>
      </c>
      <c r="FQ9" t="s">
        <v>299</v>
      </c>
    </row>
    <row r="10" spans="1:191" ht="17">
      <c r="A10" t="s">
        <v>152</v>
      </c>
      <c r="B10" t="s">
        <v>156</v>
      </c>
      <c r="C10">
        <v>2019</v>
      </c>
      <c r="D10" t="s">
        <v>301</v>
      </c>
      <c r="E10" s="141">
        <v>66172.677320000003</v>
      </c>
      <c r="F10" s="142" t="s">
        <v>162</v>
      </c>
      <c r="G10" t="s">
        <v>162</v>
      </c>
      <c r="H10" s="138">
        <v>1395.094685</v>
      </c>
      <c r="I10" s="138">
        <v>697.28663099999994</v>
      </c>
      <c r="J10" s="138">
        <v>418.56471729999998</v>
      </c>
      <c r="K10" t="s">
        <v>157</v>
      </c>
      <c r="L10" s="130" t="s">
        <v>158</v>
      </c>
      <c r="M10" s="143" t="s">
        <v>191</v>
      </c>
      <c r="N10" t="s">
        <v>301</v>
      </c>
      <c r="O10" t="s">
        <v>196</v>
      </c>
      <c r="P10" s="144" t="s">
        <v>197</v>
      </c>
      <c r="Q10" s="144">
        <v>8</v>
      </c>
      <c r="R10" s="144">
        <v>5</v>
      </c>
      <c r="S10">
        <v>148</v>
      </c>
      <c r="T10">
        <v>150</v>
      </c>
      <c r="U10" s="144" t="s">
        <v>210</v>
      </c>
      <c r="V10" s="149" t="s">
        <v>162</v>
      </c>
      <c r="W10" s="149" t="s">
        <v>162</v>
      </c>
      <c r="X10" t="s">
        <v>220</v>
      </c>
      <c r="Y10" s="132">
        <v>30.141999999999999</v>
      </c>
      <c r="Z10" s="132">
        <v>-76.111999999999995</v>
      </c>
      <c r="AA10" s="132">
        <v>30</v>
      </c>
      <c r="AB10" s="132">
        <v>-70</v>
      </c>
      <c r="AC10" s="132">
        <v>-2671</v>
      </c>
      <c r="AD10" s="132">
        <v>-1550</v>
      </c>
      <c r="AE10" s="151" t="s">
        <v>224</v>
      </c>
      <c r="AF10" t="s">
        <v>160</v>
      </c>
      <c r="AG10" s="141">
        <v>66172.677320000003</v>
      </c>
      <c r="AH10" s="2" t="s">
        <v>161</v>
      </c>
      <c r="AI10" t="s">
        <v>162</v>
      </c>
      <c r="AJ10" t="s">
        <v>162</v>
      </c>
      <c r="AK10" t="s">
        <v>229</v>
      </c>
      <c r="AL10" t="s">
        <v>234</v>
      </c>
      <c r="AM10" t="s">
        <v>162</v>
      </c>
      <c r="AN10" t="s">
        <v>162</v>
      </c>
      <c r="AO10" t="s">
        <v>162</v>
      </c>
      <c r="AP10" t="s">
        <v>162</v>
      </c>
      <c r="AQ10" t="s">
        <v>162</v>
      </c>
      <c r="AR10" t="s">
        <v>162</v>
      </c>
      <c r="AS10" t="s">
        <v>162</v>
      </c>
      <c r="AT10" t="s">
        <v>162</v>
      </c>
      <c r="AU10" s="152" t="s">
        <v>238</v>
      </c>
      <c r="AV10" t="s">
        <v>245</v>
      </c>
      <c r="AW10" t="s">
        <v>250</v>
      </c>
      <c r="AX10" s="134" t="s">
        <v>249</v>
      </c>
      <c r="AY10" t="s">
        <v>251</v>
      </c>
      <c r="AZ10" t="s">
        <v>163</v>
      </c>
      <c r="BA10" t="s">
        <v>164</v>
      </c>
      <c r="BB10" t="s">
        <v>261</v>
      </c>
      <c r="BC10">
        <v>2</v>
      </c>
      <c r="BD10">
        <v>0.14000000000000001</v>
      </c>
      <c r="BE10" s="153">
        <v>13.470167399999999</v>
      </c>
      <c r="BF10" t="s">
        <v>252</v>
      </c>
      <c r="BG10" s="153">
        <v>0.23487978600000001</v>
      </c>
      <c r="BH10">
        <v>1</v>
      </c>
      <c r="BI10" t="s">
        <v>272</v>
      </c>
      <c r="BJ10" s="2" t="s">
        <v>162</v>
      </c>
      <c r="BK10" t="s">
        <v>273</v>
      </c>
      <c r="BL10" t="s">
        <v>270</v>
      </c>
      <c r="BM10" t="s">
        <v>162</v>
      </c>
      <c r="BN10" t="s">
        <v>162</v>
      </c>
      <c r="BO10" t="s">
        <v>162</v>
      </c>
      <c r="BP10" t="s">
        <v>274</v>
      </c>
      <c r="BQ10" t="s">
        <v>162</v>
      </c>
      <c r="BR10" s="135" t="s">
        <v>162</v>
      </c>
      <c r="BS10" t="s">
        <v>275</v>
      </c>
      <c r="BT10" t="s">
        <v>276</v>
      </c>
      <c r="BU10">
        <v>25</v>
      </c>
      <c r="BV10" t="s">
        <v>169</v>
      </c>
      <c r="BW10" t="s">
        <v>169</v>
      </c>
      <c r="BX10" s="133">
        <v>32.592007164290003</v>
      </c>
      <c r="BY10" t="s">
        <v>277</v>
      </c>
      <c r="BZ10">
        <v>0.98079633262649679</v>
      </c>
      <c r="CA10">
        <v>1.0665015307450041</v>
      </c>
      <c r="CB10" s="153">
        <v>5.44</v>
      </c>
      <c r="CC10" s="153">
        <f t="shared" si="1"/>
        <v>5.44</v>
      </c>
      <c r="CD10" t="s">
        <v>278</v>
      </c>
      <c r="CE10">
        <v>0.16319999999999979</v>
      </c>
      <c r="CF10">
        <v>0.16319999999999979</v>
      </c>
      <c r="CG10" s="155" t="s">
        <v>279</v>
      </c>
      <c r="CH10" t="s">
        <v>281</v>
      </c>
      <c r="CI10" t="s">
        <v>280</v>
      </c>
      <c r="CJ10" t="s">
        <v>281</v>
      </c>
      <c r="CK10" t="s">
        <v>162</v>
      </c>
      <c r="CL10" t="s">
        <v>162</v>
      </c>
      <c r="CM10" t="s">
        <v>282</v>
      </c>
      <c r="CN10" t="s">
        <v>162</v>
      </c>
      <c r="CO10" t="s">
        <v>162</v>
      </c>
      <c r="CP10" t="s">
        <v>162</v>
      </c>
      <c r="CQ10" t="s">
        <v>162</v>
      </c>
      <c r="CR10" t="s">
        <v>162</v>
      </c>
      <c r="CS10" t="s">
        <v>162</v>
      </c>
      <c r="CT10" t="s">
        <v>162</v>
      </c>
      <c r="CU10">
        <v>34.4</v>
      </c>
      <c r="CV10" t="s">
        <v>161</v>
      </c>
      <c r="CW10">
        <v>1</v>
      </c>
      <c r="CX10" s="136" t="s">
        <v>287</v>
      </c>
      <c r="CY10">
        <v>2.1000000000000001E-2</v>
      </c>
      <c r="CZ10" t="s">
        <v>167</v>
      </c>
      <c r="DA10" t="s">
        <v>167</v>
      </c>
      <c r="DB10" t="s">
        <v>288</v>
      </c>
      <c r="DC10">
        <v>4.2000000000000003E-2</v>
      </c>
      <c r="DD10" t="s">
        <v>167</v>
      </c>
      <c r="DE10" t="s">
        <v>167</v>
      </c>
      <c r="DF10" t="s">
        <v>289</v>
      </c>
      <c r="DG10" t="s">
        <v>166</v>
      </c>
      <c r="DH10" t="s">
        <v>167</v>
      </c>
      <c r="DI10" t="s">
        <v>167</v>
      </c>
      <c r="DJ10" t="s">
        <v>167</v>
      </c>
      <c r="DK10" s="133">
        <v>380</v>
      </c>
      <c r="DL10" t="s">
        <v>168</v>
      </c>
      <c r="DM10" s="133">
        <v>10.9</v>
      </c>
      <c r="DN10" t="s">
        <v>290</v>
      </c>
      <c r="DO10" s="146">
        <v>39.450000000000003</v>
      </c>
      <c r="DP10" t="s">
        <v>291</v>
      </c>
      <c r="DQ10">
        <v>0.4</v>
      </c>
      <c r="DR10" t="s">
        <v>292</v>
      </c>
      <c r="DS10" t="s">
        <v>294</v>
      </c>
      <c r="DT10" t="s">
        <v>293</v>
      </c>
      <c r="DU10">
        <v>1.0271999999999999</v>
      </c>
      <c r="DV10" t="s">
        <v>169</v>
      </c>
      <c r="DW10" t="s">
        <v>169</v>
      </c>
      <c r="DX10" t="s">
        <v>175</v>
      </c>
      <c r="DY10" t="s">
        <v>169</v>
      </c>
      <c r="DZ10" t="s">
        <v>169</v>
      </c>
      <c r="EA10" t="s">
        <v>295</v>
      </c>
      <c r="EB10" t="s">
        <v>294</v>
      </c>
      <c r="EC10" t="s">
        <v>294</v>
      </c>
      <c r="ED10" t="s">
        <v>294</v>
      </c>
      <c r="EE10" t="s">
        <v>294</v>
      </c>
      <c r="EF10" t="s">
        <v>294</v>
      </c>
      <c r="EG10" t="s">
        <v>293</v>
      </c>
      <c r="EH10" t="s">
        <v>170</v>
      </c>
      <c r="EI10" t="s">
        <v>296</v>
      </c>
      <c r="EK10">
        <v>2332</v>
      </c>
      <c r="EL10" t="s">
        <v>171</v>
      </c>
      <c r="EM10">
        <v>100</v>
      </c>
      <c r="EN10">
        <v>100</v>
      </c>
      <c r="EO10" t="s">
        <v>162</v>
      </c>
      <c r="EP10" t="s">
        <v>162</v>
      </c>
      <c r="EQ10" t="s">
        <v>162</v>
      </c>
      <c r="ER10" t="s">
        <v>162</v>
      </c>
      <c r="ES10" s="154">
        <v>7.6144915190000004</v>
      </c>
      <c r="ET10" s="135" t="s">
        <v>172</v>
      </c>
      <c r="EU10" s="154">
        <v>0.15054037799999964</v>
      </c>
      <c r="EV10" s="154">
        <v>0.17576210000000003</v>
      </c>
      <c r="EW10" s="138">
        <v>1395.094685</v>
      </c>
      <c r="EX10" s="135" t="s">
        <v>162</v>
      </c>
      <c r="EY10" s="135" t="s">
        <v>162</v>
      </c>
      <c r="EZ10" s="138">
        <v>1395.094685</v>
      </c>
      <c r="FA10" s="138">
        <v>697.28663099999994</v>
      </c>
      <c r="FB10" s="138">
        <v>418.56471729999998</v>
      </c>
      <c r="FC10" t="s">
        <v>297</v>
      </c>
      <c r="FD10" t="s">
        <v>298</v>
      </c>
      <c r="FE10" t="s">
        <v>173</v>
      </c>
      <c r="FF10" t="s">
        <v>173</v>
      </c>
      <c r="FG10" t="s">
        <v>173</v>
      </c>
      <c r="FH10" s="138">
        <v>2326.206565</v>
      </c>
      <c r="FI10" s="138">
        <v>101.96292300000005</v>
      </c>
      <c r="FJ10" s="138">
        <v>104.33075800000006</v>
      </c>
      <c r="FK10" s="153">
        <v>6.0606423229999997</v>
      </c>
      <c r="FL10" s="153">
        <v>2.5668750580000008</v>
      </c>
      <c r="FM10" s="153">
        <v>2.0904198949999997</v>
      </c>
      <c r="FN10" t="s">
        <v>173</v>
      </c>
      <c r="FO10" t="s">
        <v>173</v>
      </c>
      <c r="FP10" t="s">
        <v>173</v>
      </c>
      <c r="FQ10" t="s">
        <v>299</v>
      </c>
    </row>
    <row r="11" spans="1:191" ht="17">
      <c r="A11" t="s">
        <v>152</v>
      </c>
      <c r="B11" t="s">
        <v>156</v>
      </c>
      <c r="C11">
        <v>2019</v>
      </c>
      <c r="D11" t="s">
        <v>301</v>
      </c>
      <c r="E11" s="141">
        <v>66039</v>
      </c>
      <c r="F11" s="142" t="s">
        <v>162</v>
      </c>
      <c r="G11" t="s">
        <v>162</v>
      </c>
      <c r="H11" s="138">
        <v>1839.2564170000001</v>
      </c>
      <c r="I11" s="138">
        <v>1361.1053969999998</v>
      </c>
      <c r="J11" s="138">
        <v>561.09113900000011</v>
      </c>
      <c r="K11" t="s">
        <v>157</v>
      </c>
      <c r="L11" s="130" t="s">
        <v>158</v>
      </c>
      <c r="M11" s="143" t="s">
        <v>191</v>
      </c>
      <c r="N11" t="s">
        <v>301</v>
      </c>
      <c r="O11" t="s">
        <v>193</v>
      </c>
      <c r="P11" s="148" t="s">
        <v>162</v>
      </c>
      <c r="Q11" s="148" t="s">
        <v>162</v>
      </c>
      <c r="R11" s="148" t="s">
        <v>162</v>
      </c>
      <c r="S11" s="148" t="s">
        <v>162</v>
      </c>
      <c r="T11" s="148" t="s">
        <v>162</v>
      </c>
      <c r="U11" s="148" t="s">
        <v>162</v>
      </c>
      <c r="V11" s="149" t="s">
        <v>162</v>
      </c>
      <c r="W11" s="149" t="s">
        <v>162</v>
      </c>
      <c r="X11" t="s">
        <v>218</v>
      </c>
      <c r="Y11" s="132">
        <v>50.865000000000002</v>
      </c>
      <c r="Z11" s="132">
        <v>5.7839999999999998</v>
      </c>
      <c r="AA11" s="132">
        <v>45</v>
      </c>
      <c r="AB11" s="132">
        <v>-10</v>
      </c>
      <c r="AC11" s="132">
        <v>300</v>
      </c>
      <c r="AD11" s="132">
        <v>-20</v>
      </c>
      <c r="AE11" s="151" t="s">
        <v>228</v>
      </c>
      <c r="AF11" t="s">
        <v>160</v>
      </c>
      <c r="AG11" s="141">
        <v>66039</v>
      </c>
      <c r="AH11" s="2" t="s">
        <v>161</v>
      </c>
      <c r="AI11" t="s">
        <v>162</v>
      </c>
      <c r="AJ11" t="s">
        <v>162</v>
      </c>
      <c r="AK11" t="s">
        <v>229</v>
      </c>
      <c r="AL11" t="s">
        <v>231</v>
      </c>
      <c r="AM11" t="s">
        <v>162</v>
      </c>
      <c r="AN11" t="s">
        <v>162</v>
      </c>
      <c r="AO11" t="s">
        <v>162</v>
      </c>
      <c r="AP11" t="s">
        <v>162</v>
      </c>
      <c r="AQ11" t="s">
        <v>162</v>
      </c>
      <c r="AR11" t="s">
        <v>162</v>
      </c>
      <c r="AS11" t="s">
        <v>162</v>
      </c>
      <c r="AT11" t="s">
        <v>162</v>
      </c>
      <c r="AU11" s="152" t="s">
        <v>238</v>
      </c>
      <c r="AV11" t="s">
        <v>245</v>
      </c>
      <c r="AW11" t="s">
        <v>250</v>
      </c>
      <c r="AX11" s="134" t="s">
        <v>249</v>
      </c>
      <c r="AY11" t="s">
        <v>251</v>
      </c>
      <c r="AZ11" t="s">
        <v>163</v>
      </c>
      <c r="BA11" t="s">
        <v>164</v>
      </c>
      <c r="BB11" t="s">
        <v>262</v>
      </c>
      <c r="BC11">
        <v>2</v>
      </c>
      <c r="BD11">
        <v>0.53800000000000003</v>
      </c>
      <c r="BE11" s="153">
        <v>12.926252099999999</v>
      </c>
      <c r="BF11" t="s">
        <v>252</v>
      </c>
      <c r="BG11" s="153">
        <v>0.41343472199999998</v>
      </c>
      <c r="BH11">
        <v>1</v>
      </c>
      <c r="BI11" t="s">
        <v>272</v>
      </c>
      <c r="BJ11" s="2" t="s">
        <v>162</v>
      </c>
      <c r="BK11" t="s">
        <v>273</v>
      </c>
      <c r="BL11" t="s">
        <v>270</v>
      </c>
      <c r="BM11" t="s">
        <v>162</v>
      </c>
      <c r="BN11" t="s">
        <v>162</v>
      </c>
      <c r="BO11" t="s">
        <v>162</v>
      </c>
      <c r="BP11" t="s">
        <v>274</v>
      </c>
      <c r="BQ11" t="s">
        <v>162</v>
      </c>
      <c r="BR11" s="135" t="s">
        <v>162</v>
      </c>
      <c r="BS11" t="s">
        <v>275</v>
      </c>
      <c r="BT11" t="s">
        <v>276</v>
      </c>
      <c r="BU11">
        <v>25</v>
      </c>
      <c r="BV11" t="s">
        <v>169</v>
      </c>
      <c r="BW11" t="s">
        <v>169</v>
      </c>
      <c r="BX11" s="133">
        <v>29.2608862176603</v>
      </c>
      <c r="BY11" t="s">
        <v>277</v>
      </c>
      <c r="BZ11">
        <v>0.91581758894499998</v>
      </c>
      <c r="CA11">
        <v>1.3465470510731983</v>
      </c>
      <c r="CB11" s="153">
        <v>4.49</v>
      </c>
      <c r="CC11" s="153">
        <f t="shared" si="1"/>
        <v>4.49</v>
      </c>
      <c r="CD11" t="s">
        <v>278</v>
      </c>
      <c r="CE11">
        <v>0.1346999999999996</v>
      </c>
      <c r="CF11">
        <v>0.1346999999999996</v>
      </c>
      <c r="CG11" s="155" t="s">
        <v>279</v>
      </c>
      <c r="CH11" t="s">
        <v>281</v>
      </c>
      <c r="CI11" t="s">
        <v>280</v>
      </c>
      <c r="CJ11" t="s">
        <v>281</v>
      </c>
      <c r="CK11" t="s">
        <v>162</v>
      </c>
      <c r="CL11" t="s">
        <v>162</v>
      </c>
      <c r="CM11" t="s">
        <v>282</v>
      </c>
      <c r="CN11">
        <v>23.4</v>
      </c>
      <c r="CO11">
        <v>23.4</v>
      </c>
      <c r="CP11" t="s">
        <v>283</v>
      </c>
      <c r="CQ11">
        <v>2.5</v>
      </c>
      <c r="CR11" s="156" t="s">
        <v>286</v>
      </c>
      <c r="CS11" t="s">
        <v>284</v>
      </c>
      <c r="CT11" t="s">
        <v>285</v>
      </c>
      <c r="CU11">
        <v>34.299999999999997</v>
      </c>
      <c r="CV11" t="s">
        <v>161</v>
      </c>
      <c r="CW11">
        <v>1</v>
      </c>
      <c r="CX11" s="136" t="s">
        <v>287</v>
      </c>
      <c r="CY11">
        <v>2.1000000000000001E-2</v>
      </c>
      <c r="CZ11" t="s">
        <v>167</v>
      </c>
      <c r="DA11" t="s">
        <v>167</v>
      </c>
      <c r="DB11" t="s">
        <v>288</v>
      </c>
      <c r="DC11">
        <v>4.2000000000000003E-2</v>
      </c>
      <c r="DD11" t="s">
        <v>167</v>
      </c>
      <c r="DE11" t="s">
        <v>167</v>
      </c>
      <c r="DF11" t="s">
        <v>289</v>
      </c>
      <c r="DG11" t="s">
        <v>166</v>
      </c>
      <c r="DH11" t="s">
        <v>167</v>
      </c>
      <c r="DI11" t="s">
        <v>167</v>
      </c>
      <c r="DJ11" t="s">
        <v>167</v>
      </c>
      <c r="DK11" s="133">
        <v>380</v>
      </c>
      <c r="DL11" t="s">
        <v>168</v>
      </c>
      <c r="DM11" s="133">
        <v>10.9</v>
      </c>
      <c r="DN11" t="s">
        <v>290</v>
      </c>
      <c r="DO11" s="146">
        <v>39.450000000000003</v>
      </c>
      <c r="DP11" t="s">
        <v>291</v>
      </c>
      <c r="DQ11">
        <v>0.4</v>
      </c>
      <c r="DR11" t="s">
        <v>292</v>
      </c>
      <c r="DS11" t="s">
        <v>294</v>
      </c>
      <c r="DT11" t="s">
        <v>293</v>
      </c>
      <c r="DU11">
        <v>1.0271999999999999</v>
      </c>
      <c r="DV11" t="s">
        <v>169</v>
      </c>
      <c r="DW11" t="s">
        <v>169</v>
      </c>
      <c r="DX11" t="s">
        <v>175</v>
      </c>
      <c r="DY11" t="s">
        <v>169</v>
      </c>
      <c r="DZ11" t="s">
        <v>169</v>
      </c>
      <c r="EA11" t="s">
        <v>295</v>
      </c>
      <c r="EB11" t="s">
        <v>294</v>
      </c>
      <c r="EC11" t="s">
        <v>294</v>
      </c>
      <c r="ED11" t="s">
        <v>294</v>
      </c>
      <c r="EE11" t="s">
        <v>294</v>
      </c>
      <c r="EF11" t="s">
        <v>294</v>
      </c>
      <c r="EG11" t="s">
        <v>293</v>
      </c>
      <c r="EH11" t="s">
        <v>170</v>
      </c>
      <c r="EI11" t="s">
        <v>296</v>
      </c>
      <c r="EK11">
        <v>2102</v>
      </c>
      <c r="EL11" t="s">
        <v>171</v>
      </c>
      <c r="EM11">
        <v>100</v>
      </c>
      <c r="EN11">
        <v>-400</v>
      </c>
      <c r="EO11" t="s">
        <v>162</v>
      </c>
      <c r="EP11" t="s">
        <v>162</v>
      </c>
      <c r="EQ11" t="s">
        <v>162</v>
      </c>
      <c r="ER11" t="s">
        <v>162</v>
      </c>
      <c r="ES11" s="154">
        <v>7.446055104</v>
      </c>
      <c r="ET11" s="135" t="s">
        <v>172</v>
      </c>
      <c r="EU11" s="154">
        <v>0.15014694799999972</v>
      </c>
      <c r="EV11" s="154">
        <v>0.2416116370000001</v>
      </c>
      <c r="EW11" s="138">
        <v>1839.2564170000001</v>
      </c>
      <c r="EX11" s="135" t="s">
        <v>162</v>
      </c>
      <c r="EY11" s="135" t="s">
        <v>162</v>
      </c>
      <c r="EZ11" s="138">
        <v>1839.2564170000001</v>
      </c>
      <c r="FA11" s="138">
        <v>1361.1053969999998</v>
      </c>
      <c r="FB11" s="138">
        <v>561.09113900000011</v>
      </c>
      <c r="FC11" t="s">
        <v>297</v>
      </c>
      <c r="FD11" t="s">
        <v>298</v>
      </c>
      <c r="FE11" t="s">
        <v>173</v>
      </c>
      <c r="FF11" t="s">
        <v>173</v>
      </c>
      <c r="FG11" t="s">
        <v>173</v>
      </c>
      <c r="FH11" s="138">
        <v>2132.6439810000002</v>
      </c>
      <c r="FI11" s="138">
        <v>211.34106799999972</v>
      </c>
      <c r="FJ11" s="138">
        <v>204.99882300000013</v>
      </c>
      <c r="FK11" s="153">
        <v>3.3413669829999999</v>
      </c>
      <c r="FL11" s="153">
        <v>1.5295665509999998</v>
      </c>
      <c r="FM11" s="153">
        <v>1.482890469</v>
      </c>
      <c r="FN11" t="s">
        <v>173</v>
      </c>
      <c r="FO11" t="s">
        <v>173</v>
      </c>
      <c r="FP11" t="s">
        <v>173</v>
      </c>
      <c r="FQ11" t="s">
        <v>299</v>
      </c>
    </row>
    <row r="12" spans="1:191" ht="17">
      <c r="A12" t="s">
        <v>152</v>
      </c>
      <c r="B12" t="s">
        <v>156</v>
      </c>
      <c r="C12">
        <v>2019</v>
      </c>
      <c r="D12" t="s">
        <v>301</v>
      </c>
      <c r="E12" s="141">
        <v>66045.599999999991</v>
      </c>
      <c r="F12" s="142" t="s">
        <v>162</v>
      </c>
      <c r="G12" t="s">
        <v>162</v>
      </c>
      <c r="H12" s="138">
        <v>925.02573110000003</v>
      </c>
      <c r="I12" s="138">
        <v>387.19024990000003</v>
      </c>
      <c r="J12" s="138">
        <v>262.44582009999999</v>
      </c>
      <c r="K12" t="s">
        <v>157</v>
      </c>
      <c r="L12" s="130" t="s">
        <v>158</v>
      </c>
      <c r="M12" s="143" t="s">
        <v>191</v>
      </c>
      <c r="N12" t="s">
        <v>301</v>
      </c>
      <c r="O12" t="s">
        <v>198</v>
      </c>
      <c r="P12" s="148" t="s">
        <v>162</v>
      </c>
      <c r="Q12" s="148" t="s">
        <v>162</v>
      </c>
      <c r="R12" s="144" t="s">
        <v>199</v>
      </c>
      <c r="S12" t="s">
        <v>200</v>
      </c>
      <c r="T12" t="s">
        <v>200</v>
      </c>
      <c r="U12" s="148" t="s">
        <v>162</v>
      </c>
      <c r="V12" s="149" t="s">
        <v>162</v>
      </c>
      <c r="W12" s="149" t="s">
        <v>162</v>
      </c>
      <c r="X12" t="s">
        <v>219</v>
      </c>
      <c r="Y12" s="132">
        <v>31.108000000000001</v>
      </c>
      <c r="Z12" s="132">
        <v>-96.837000000000003</v>
      </c>
      <c r="AA12" s="132">
        <v>32</v>
      </c>
      <c r="AB12" s="132">
        <v>-90</v>
      </c>
      <c r="AC12">
        <v>120</v>
      </c>
      <c r="AD12">
        <v>-65</v>
      </c>
      <c r="AE12" s="151" t="s">
        <v>225</v>
      </c>
      <c r="AF12" t="s">
        <v>160</v>
      </c>
      <c r="AG12" s="141">
        <v>66045.599999999991</v>
      </c>
      <c r="AH12" s="2" t="s">
        <v>161</v>
      </c>
      <c r="AI12" t="s">
        <v>162</v>
      </c>
      <c r="AJ12" t="s">
        <v>162</v>
      </c>
      <c r="AK12" t="s">
        <v>229</v>
      </c>
      <c r="AL12" t="s">
        <v>235</v>
      </c>
      <c r="AM12" t="s">
        <v>162</v>
      </c>
      <c r="AN12" t="s">
        <v>162</v>
      </c>
      <c r="AO12" t="s">
        <v>162</v>
      </c>
      <c r="AP12" t="s">
        <v>162</v>
      </c>
      <c r="AQ12" t="s">
        <v>162</v>
      </c>
      <c r="AR12" t="s">
        <v>162</v>
      </c>
      <c r="AS12" t="s">
        <v>162</v>
      </c>
      <c r="AT12" t="s">
        <v>162</v>
      </c>
      <c r="AU12" t="s">
        <v>239</v>
      </c>
      <c r="AV12" t="s">
        <v>245</v>
      </c>
      <c r="AW12" t="s">
        <v>250</v>
      </c>
      <c r="AX12" s="134" t="s">
        <v>249</v>
      </c>
      <c r="AY12" t="s">
        <v>251</v>
      </c>
      <c r="AZ12" t="s">
        <v>163</v>
      </c>
      <c r="BA12" t="s">
        <v>164</v>
      </c>
      <c r="BB12" t="s">
        <v>263</v>
      </c>
      <c r="BC12">
        <v>2</v>
      </c>
      <c r="BD12">
        <v>8.8999999999999996E-2</v>
      </c>
      <c r="BE12" s="153">
        <v>13.895938640000001</v>
      </c>
      <c r="BF12" t="s">
        <v>252</v>
      </c>
      <c r="BG12" s="153">
        <v>0.25069218599999998</v>
      </c>
      <c r="BH12">
        <v>1</v>
      </c>
      <c r="BI12" t="s">
        <v>272</v>
      </c>
      <c r="BJ12" s="2" t="s">
        <v>162</v>
      </c>
      <c r="BK12" t="s">
        <v>273</v>
      </c>
      <c r="BL12" t="s">
        <v>270</v>
      </c>
      <c r="BM12" t="s">
        <v>162</v>
      </c>
      <c r="BN12" t="s">
        <v>162</v>
      </c>
      <c r="BO12" t="s">
        <v>162</v>
      </c>
      <c r="BP12" t="s">
        <v>274</v>
      </c>
      <c r="BQ12" t="s">
        <v>162</v>
      </c>
      <c r="BR12" s="135" t="s">
        <v>162</v>
      </c>
      <c r="BS12" t="s">
        <v>275</v>
      </c>
      <c r="BT12" t="s">
        <v>276</v>
      </c>
      <c r="BU12">
        <v>25</v>
      </c>
      <c r="BV12" t="s">
        <v>169</v>
      </c>
      <c r="BW12" t="s">
        <v>169</v>
      </c>
      <c r="BX12" s="133">
        <v>31.839027392230498</v>
      </c>
      <c r="BY12" t="s">
        <v>277</v>
      </c>
      <c r="BZ12">
        <v>1.0143289574541043</v>
      </c>
      <c r="CA12">
        <v>1.0211098646073999</v>
      </c>
      <c r="CB12" s="153">
        <v>4.79</v>
      </c>
      <c r="CC12" s="153">
        <f t="shared" si="1"/>
        <v>4.79</v>
      </c>
      <c r="CD12" t="s">
        <v>278</v>
      </c>
      <c r="CE12">
        <v>0.14369999999999994</v>
      </c>
      <c r="CF12">
        <v>0.14369999999999994</v>
      </c>
      <c r="CG12" s="155" t="s">
        <v>279</v>
      </c>
      <c r="CH12" t="s">
        <v>281</v>
      </c>
      <c r="CI12" t="s">
        <v>280</v>
      </c>
      <c r="CJ12" t="s">
        <v>281</v>
      </c>
      <c r="CK12" t="s">
        <v>162</v>
      </c>
      <c r="CL12" t="s">
        <v>162</v>
      </c>
      <c r="CM12" t="s">
        <v>282</v>
      </c>
      <c r="CN12" t="s">
        <v>162</v>
      </c>
      <c r="CO12" t="s">
        <v>162</v>
      </c>
      <c r="CP12" t="s">
        <v>162</v>
      </c>
      <c r="CQ12" t="s">
        <v>162</v>
      </c>
      <c r="CR12" t="s">
        <v>162</v>
      </c>
      <c r="CS12" t="s">
        <v>162</v>
      </c>
      <c r="CT12" t="s">
        <v>162</v>
      </c>
      <c r="CU12">
        <v>34.1</v>
      </c>
      <c r="CV12" t="s">
        <v>161</v>
      </c>
      <c r="CW12">
        <v>1</v>
      </c>
      <c r="CX12" s="136" t="s">
        <v>287</v>
      </c>
      <c r="CY12">
        <v>2.1000000000000001E-2</v>
      </c>
      <c r="CZ12" t="s">
        <v>167</v>
      </c>
      <c r="DA12" t="s">
        <v>167</v>
      </c>
      <c r="DB12" t="s">
        <v>288</v>
      </c>
      <c r="DC12">
        <v>4.2000000000000003E-2</v>
      </c>
      <c r="DD12" t="s">
        <v>167</v>
      </c>
      <c r="DE12" t="s">
        <v>167</v>
      </c>
      <c r="DF12" t="s">
        <v>289</v>
      </c>
      <c r="DG12" t="s">
        <v>166</v>
      </c>
      <c r="DH12" t="s">
        <v>167</v>
      </c>
      <c r="DI12" t="s">
        <v>167</v>
      </c>
      <c r="DJ12" t="s">
        <v>167</v>
      </c>
      <c r="DK12" s="133">
        <v>380</v>
      </c>
      <c r="DL12" t="s">
        <v>168</v>
      </c>
      <c r="DM12" s="133">
        <v>10.9</v>
      </c>
      <c r="DN12" t="s">
        <v>290</v>
      </c>
      <c r="DO12" s="146">
        <v>39.450000000000003</v>
      </c>
      <c r="DP12" t="s">
        <v>291</v>
      </c>
      <c r="DQ12">
        <v>0.4</v>
      </c>
      <c r="DR12" t="s">
        <v>292</v>
      </c>
      <c r="DS12" t="s">
        <v>294</v>
      </c>
      <c r="DT12" t="s">
        <v>293</v>
      </c>
      <c r="DU12">
        <v>1.0271999999999999</v>
      </c>
      <c r="DV12" t="s">
        <v>169</v>
      </c>
      <c r="DW12" t="s">
        <v>169</v>
      </c>
      <c r="DX12" t="s">
        <v>175</v>
      </c>
      <c r="DY12" t="s">
        <v>169</v>
      </c>
      <c r="DZ12" t="s">
        <v>169</v>
      </c>
      <c r="EA12" t="s">
        <v>295</v>
      </c>
      <c r="EB12" t="s">
        <v>294</v>
      </c>
      <c r="EC12" t="s">
        <v>294</v>
      </c>
      <c r="ED12" t="s">
        <v>294</v>
      </c>
      <c r="EE12" t="s">
        <v>294</v>
      </c>
      <c r="EF12" t="s">
        <v>294</v>
      </c>
      <c r="EG12" t="s">
        <v>293</v>
      </c>
      <c r="EH12" t="s">
        <v>170</v>
      </c>
      <c r="EI12" t="s">
        <v>296</v>
      </c>
      <c r="EK12">
        <v>2071</v>
      </c>
      <c r="EL12" t="s">
        <v>171</v>
      </c>
      <c r="EM12">
        <v>100</v>
      </c>
      <c r="EN12">
        <v>100</v>
      </c>
      <c r="EO12" t="s">
        <v>162</v>
      </c>
      <c r="EP12" t="s">
        <v>162</v>
      </c>
      <c r="EQ12" t="s">
        <v>162</v>
      </c>
      <c r="ER12" t="s">
        <v>162</v>
      </c>
      <c r="ES12" s="154">
        <v>7.7370370060000004</v>
      </c>
      <c r="ET12" s="135" t="s">
        <v>172</v>
      </c>
      <c r="EU12" s="154">
        <v>0.1424805289999993</v>
      </c>
      <c r="EV12" s="154">
        <v>0.1508020770000007</v>
      </c>
      <c r="EW12" s="138">
        <v>925.02573110000003</v>
      </c>
      <c r="EX12" s="135" t="s">
        <v>162</v>
      </c>
      <c r="EY12" s="135" t="s">
        <v>162</v>
      </c>
      <c r="EZ12" s="138">
        <v>925.02573110000003</v>
      </c>
      <c r="FA12" s="138">
        <v>387.19024990000003</v>
      </c>
      <c r="FB12" s="138">
        <v>262.44582009999999</v>
      </c>
      <c r="FC12" t="s">
        <v>297</v>
      </c>
      <c r="FD12" t="s">
        <v>298</v>
      </c>
      <c r="FE12" t="s">
        <v>173</v>
      </c>
      <c r="FF12" t="s">
        <v>173</v>
      </c>
      <c r="FG12" t="s">
        <v>173</v>
      </c>
      <c r="FH12" s="138">
        <v>2043.552459</v>
      </c>
      <c r="FI12" s="138">
        <v>103.76537700000017</v>
      </c>
      <c r="FJ12" s="138">
        <v>101.10106700000006</v>
      </c>
      <c r="FK12" s="153">
        <v>6.820093076</v>
      </c>
      <c r="FL12" s="153">
        <v>2.7380009569999997</v>
      </c>
      <c r="FM12" s="153">
        <v>2.0562989270000003</v>
      </c>
      <c r="FN12" t="s">
        <v>173</v>
      </c>
      <c r="FO12" t="s">
        <v>173</v>
      </c>
      <c r="FP12" t="s">
        <v>173</v>
      </c>
      <c r="FQ12" t="s">
        <v>299</v>
      </c>
    </row>
    <row r="13" spans="1:191" ht="17">
      <c r="A13" t="s">
        <v>152</v>
      </c>
      <c r="B13" t="s">
        <v>156</v>
      </c>
      <c r="C13">
        <v>2019</v>
      </c>
      <c r="D13" t="s">
        <v>301</v>
      </c>
      <c r="E13" s="141">
        <v>66054</v>
      </c>
      <c r="F13" s="142" t="s">
        <v>162</v>
      </c>
      <c r="G13" t="s">
        <v>162</v>
      </c>
      <c r="H13" s="138">
        <v>863.62390419999997</v>
      </c>
      <c r="I13" s="138">
        <v>341.23088980000011</v>
      </c>
      <c r="J13" s="138">
        <v>241.57708270000001</v>
      </c>
      <c r="K13" t="s">
        <v>157</v>
      </c>
      <c r="L13" s="130" t="s">
        <v>158</v>
      </c>
      <c r="M13" s="143" t="s">
        <v>191</v>
      </c>
      <c r="N13" t="s">
        <v>301</v>
      </c>
      <c r="O13" t="s">
        <v>198</v>
      </c>
      <c r="P13" s="148" t="s">
        <v>162</v>
      </c>
      <c r="Q13" s="148" t="s">
        <v>162</v>
      </c>
      <c r="R13" s="144" t="s">
        <v>201</v>
      </c>
      <c r="S13" t="s">
        <v>202</v>
      </c>
      <c r="T13" t="s">
        <v>203</v>
      </c>
      <c r="U13" s="148" t="s">
        <v>162</v>
      </c>
      <c r="V13" s="149" t="s">
        <v>162</v>
      </c>
      <c r="W13" s="149" t="s">
        <v>162</v>
      </c>
      <c r="X13" t="s">
        <v>219</v>
      </c>
      <c r="Y13" s="132">
        <v>31.108000000000001</v>
      </c>
      <c r="Z13" s="132">
        <v>-96.837000000000003</v>
      </c>
      <c r="AA13" s="132">
        <v>32</v>
      </c>
      <c r="AB13" s="132">
        <v>-90</v>
      </c>
      <c r="AC13">
        <v>120</v>
      </c>
      <c r="AD13">
        <v>-65</v>
      </c>
      <c r="AE13" s="151" t="s">
        <v>226</v>
      </c>
      <c r="AF13" t="s">
        <v>160</v>
      </c>
      <c r="AG13" s="141">
        <v>66054</v>
      </c>
      <c r="AH13" s="2" t="s">
        <v>161</v>
      </c>
      <c r="AI13" t="s">
        <v>162</v>
      </c>
      <c r="AJ13" t="s">
        <v>162</v>
      </c>
      <c r="AK13" t="s">
        <v>229</v>
      </c>
      <c r="AL13" t="s">
        <v>235</v>
      </c>
      <c r="AM13" t="s">
        <v>162</v>
      </c>
      <c r="AN13" t="s">
        <v>162</v>
      </c>
      <c r="AO13" t="s">
        <v>162</v>
      </c>
      <c r="AP13" t="s">
        <v>162</v>
      </c>
      <c r="AQ13" t="s">
        <v>162</v>
      </c>
      <c r="AR13" t="s">
        <v>162</v>
      </c>
      <c r="AS13" t="s">
        <v>162</v>
      </c>
      <c r="AT13" t="s">
        <v>162</v>
      </c>
      <c r="AU13" t="s">
        <v>239</v>
      </c>
      <c r="AV13" t="s">
        <v>245</v>
      </c>
      <c r="AW13" t="s">
        <v>250</v>
      </c>
      <c r="AX13" s="134" t="s">
        <v>249</v>
      </c>
      <c r="AY13" t="s">
        <v>251</v>
      </c>
      <c r="AZ13" t="s">
        <v>163</v>
      </c>
      <c r="BA13" t="s">
        <v>164</v>
      </c>
      <c r="BB13" t="s">
        <v>264</v>
      </c>
      <c r="BC13">
        <v>2</v>
      </c>
      <c r="BD13">
        <v>2.1000000000000001E-2</v>
      </c>
      <c r="BE13" s="153">
        <v>14.091622859999999</v>
      </c>
      <c r="BF13" t="s">
        <v>252</v>
      </c>
      <c r="BG13" s="153">
        <v>0.241714018</v>
      </c>
      <c r="BH13">
        <v>1</v>
      </c>
      <c r="BI13" t="s">
        <v>272</v>
      </c>
      <c r="BJ13" s="2" t="s">
        <v>162</v>
      </c>
      <c r="BK13" t="s">
        <v>273</v>
      </c>
      <c r="BL13" t="s">
        <v>270</v>
      </c>
      <c r="BM13" t="s">
        <v>162</v>
      </c>
      <c r="BN13" t="s">
        <v>162</v>
      </c>
      <c r="BO13" t="s">
        <v>162</v>
      </c>
      <c r="BP13" t="s">
        <v>274</v>
      </c>
      <c r="BQ13" t="s">
        <v>162</v>
      </c>
      <c r="BR13" s="135" t="s">
        <v>162</v>
      </c>
      <c r="BS13" t="s">
        <v>275</v>
      </c>
      <c r="BT13" t="s">
        <v>276</v>
      </c>
      <c r="BU13">
        <v>25</v>
      </c>
      <c r="BV13" t="s">
        <v>169</v>
      </c>
      <c r="BW13" t="s">
        <v>169</v>
      </c>
      <c r="BX13" s="133">
        <v>32.736133351971702</v>
      </c>
      <c r="BY13" t="s">
        <v>277</v>
      </c>
      <c r="BZ13">
        <v>0.98403110367279822</v>
      </c>
      <c r="CA13">
        <v>1.0086699474386016</v>
      </c>
      <c r="CB13" s="153">
        <v>5.0599999999999996</v>
      </c>
      <c r="CC13" s="153">
        <f t="shared" si="1"/>
        <v>5.0599999999999996</v>
      </c>
      <c r="CD13" t="s">
        <v>278</v>
      </c>
      <c r="CE13">
        <v>0.15179999999999971</v>
      </c>
      <c r="CF13">
        <v>0.15179999999999971</v>
      </c>
      <c r="CG13" s="155" t="s">
        <v>279</v>
      </c>
      <c r="CH13" t="s">
        <v>281</v>
      </c>
      <c r="CI13" t="s">
        <v>280</v>
      </c>
      <c r="CJ13" t="s">
        <v>281</v>
      </c>
      <c r="CK13" t="s">
        <v>162</v>
      </c>
      <c r="CL13" t="s">
        <v>162</v>
      </c>
      <c r="CM13" t="s">
        <v>282</v>
      </c>
      <c r="CN13" t="s">
        <v>162</v>
      </c>
      <c r="CO13" t="s">
        <v>162</v>
      </c>
      <c r="CP13" t="s">
        <v>162</v>
      </c>
      <c r="CQ13" t="s">
        <v>162</v>
      </c>
      <c r="CR13" t="s">
        <v>162</v>
      </c>
      <c r="CS13" t="s">
        <v>162</v>
      </c>
      <c r="CT13" t="s">
        <v>162</v>
      </c>
      <c r="CU13">
        <v>34.1</v>
      </c>
      <c r="CV13" t="s">
        <v>161</v>
      </c>
      <c r="CW13">
        <v>1</v>
      </c>
      <c r="CX13" s="136" t="s">
        <v>287</v>
      </c>
      <c r="CY13">
        <v>2.1000000000000001E-2</v>
      </c>
      <c r="CZ13" t="s">
        <v>167</v>
      </c>
      <c r="DA13" t="s">
        <v>167</v>
      </c>
      <c r="DB13" t="s">
        <v>288</v>
      </c>
      <c r="DC13">
        <v>4.2000000000000003E-2</v>
      </c>
      <c r="DD13" t="s">
        <v>167</v>
      </c>
      <c r="DE13" t="s">
        <v>167</v>
      </c>
      <c r="DF13" t="s">
        <v>289</v>
      </c>
      <c r="DG13" t="s">
        <v>166</v>
      </c>
      <c r="DH13" t="s">
        <v>167</v>
      </c>
      <c r="DI13" t="s">
        <v>167</v>
      </c>
      <c r="DJ13" t="s">
        <v>167</v>
      </c>
      <c r="DK13" s="133">
        <v>380</v>
      </c>
      <c r="DL13" t="s">
        <v>168</v>
      </c>
      <c r="DM13" s="133">
        <v>10.9</v>
      </c>
      <c r="DN13" t="s">
        <v>290</v>
      </c>
      <c r="DO13" s="146">
        <v>39.450000000000003</v>
      </c>
      <c r="DP13" t="s">
        <v>291</v>
      </c>
      <c r="DQ13">
        <v>0.4</v>
      </c>
      <c r="DR13" t="s">
        <v>292</v>
      </c>
      <c r="DS13" t="s">
        <v>294</v>
      </c>
      <c r="DT13" t="s">
        <v>293</v>
      </c>
      <c r="DU13">
        <v>1.0271999999999999</v>
      </c>
      <c r="DV13" t="s">
        <v>169</v>
      </c>
      <c r="DW13" t="s">
        <v>169</v>
      </c>
      <c r="DX13" t="s">
        <v>175</v>
      </c>
      <c r="DY13" t="s">
        <v>169</v>
      </c>
      <c r="DZ13" t="s">
        <v>169</v>
      </c>
      <c r="EA13" t="s">
        <v>295</v>
      </c>
      <c r="EB13" t="s">
        <v>294</v>
      </c>
      <c r="EC13" t="s">
        <v>294</v>
      </c>
      <c r="ED13" t="s">
        <v>294</v>
      </c>
      <c r="EE13" t="s">
        <v>294</v>
      </c>
      <c r="EF13" t="s">
        <v>294</v>
      </c>
      <c r="EG13" t="s">
        <v>293</v>
      </c>
      <c r="EH13" t="s">
        <v>170</v>
      </c>
      <c r="EI13" t="s">
        <v>296</v>
      </c>
      <c r="EK13">
        <v>2078</v>
      </c>
      <c r="EL13" t="s">
        <v>171</v>
      </c>
      <c r="EM13">
        <v>100</v>
      </c>
      <c r="EN13">
        <v>100</v>
      </c>
      <c r="EO13" t="s">
        <v>162</v>
      </c>
      <c r="EP13" t="s">
        <v>162</v>
      </c>
      <c r="EQ13" t="s">
        <v>162</v>
      </c>
      <c r="ER13" t="s">
        <v>162</v>
      </c>
      <c r="ES13" s="154">
        <v>7.7716171640000002</v>
      </c>
      <c r="ET13" s="135" t="s">
        <v>172</v>
      </c>
      <c r="EU13" s="154">
        <v>0.13852032099999967</v>
      </c>
      <c r="EV13" s="154">
        <v>0.14337714000000013</v>
      </c>
      <c r="EW13" s="138">
        <v>863.62390419999997</v>
      </c>
      <c r="EX13" s="135" t="s">
        <v>162</v>
      </c>
      <c r="EY13" s="135" t="s">
        <v>162</v>
      </c>
      <c r="EZ13" s="138">
        <v>863.62390419999997</v>
      </c>
      <c r="FA13" s="138">
        <v>341.23088980000011</v>
      </c>
      <c r="FB13" s="138">
        <v>241.57708270000001</v>
      </c>
      <c r="FC13" t="s">
        <v>297</v>
      </c>
      <c r="FD13" t="s">
        <v>298</v>
      </c>
      <c r="FE13" t="s">
        <v>173</v>
      </c>
      <c r="FF13" t="s">
        <v>173</v>
      </c>
      <c r="FG13" t="s">
        <v>173</v>
      </c>
      <c r="FH13" s="138">
        <v>2050.5216620000001</v>
      </c>
      <c r="FI13" s="138">
        <v>100.94333000000006</v>
      </c>
      <c r="FJ13" s="138">
        <v>99.166336000000001</v>
      </c>
      <c r="FK13" s="153">
        <v>7.6046418649999996</v>
      </c>
      <c r="FL13" s="153">
        <v>2.9357858449999998</v>
      </c>
      <c r="FM13" s="153">
        <v>2.1763329839999992</v>
      </c>
      <c r="FN13" t="s">
        <v>173</v>
      </c>
      <c r="FO13" t="s">
        <v>173</v>
      </c>
      <c r="FP13" t="s">
        <v>173</v>
      </c>
      <c r="FQ13" t="s">
        <v>299</v>
      </c>
    </row>
    <row r="14" spans="1:191" ht="17">
      <c r="A14" t="s">
        <v>152</v>
      </c>
      <c r="B14" t="s">
        <v>156</v>
      </c>
      <c r="C14">
        <v>2019</v>
      </c>
      <c r="D14" t="s">
        <v>301</v>
      </c>
      <c r="E14" s="141">
        <v>66094</v>
      </c>
      <c r="F14" s="142" t="s">
        <v>162</v>
      </c>
      <c r="G14" t="s">
        <v>162</v>
      </c>
      <c r="H14" s="138">
        <v>890.48459209999999</v>
      </c>
      <c r="I14" s="138">
        <v>348.09459690000006</v>
      </c>
      <c r="J14" s="138">
        <v>244.93452869999999</v>
      </c>
      <c r="K14" t="s">
        <v>157</v>
      </c>
      <c r="L14" s="130" t="s">
        <v>158</v>
      </c>
      <c r="M14" s="143" t="s">
        <v>191</v>
      </c>
      <c r="N14" t="s">
        <v>301</v>
      </c>
      <c r="O14" t="s">
        <v>198</v>
      </c>
      <c r="P14" s="148" t="s">
        <v>162</v>
      </c>
      <c r="Q14" s="148" t="s">
        <v>162</v>
      </c>
      <c r="R14" s="144" t="s">
        <v>204</v>
      </c>
      <c r="S14" s="147" t="s">
        <v>205</v>
      </c>
      <c r="T14" s="147" t="s">
        <v>205</v>
      </c>
      <c r="U14" s="148" t="s">
        <v>162</v>
      </c>
      <c r="V14" s="149" t="s">
        <v>162</v>
      </c>
      <c r="W14" s="149" t="s">
        <v>162</v>
      </c>
      <c r="X14" t="s">
        <v>219</v>
      </c>
      <c r="Y14" s="132">
        <v>31.108000000000001</v>
      </c>
      <c r="Z14" s="132">
        <v>-96.837000000000003</v>
      </c>
      <c r="AA14" s="132">
        <v>32</v>
      </c>
      <c r="AB14" s="132">
        <v>-90</v>
      </c>
      <c r="AC14">
        <v>120</v>
      </c>
      <c r="AD14">
        <v>-65</v>
      </c>
      <c r="AE14" s="151" t="s">
        <v>226</v>
      </c>
      <c r="AF14" t="s">
        <v>160</v>
      </c>
      <c r="AG14" s="141">
        <v>66094</v>
      </c>
      <c r="AH14" s="2" t="s">
        <v>161</v>
      </c>
      <c r="AI14" t="s">
        <v>162</v>
      </c>
      <c r="AJ14" t="s">
        <v>162</v>
      </c>
      <c r="AK14" t="s">
        <v>229</v>
      </c>
      <c r="AL14" t="s">
        <v>235</v>
      </c>
      <c r="AM14" t="s">
        <v>162</v>
      </c>
      <c r="AN14" t="s">
        <v>162</v>
      </c>
      <c r="AO14" t="s">
        <v>162</v>
      </c>
      <c r="AP14" t="s">
        <v>162</v>
      </c>
      <c r="AQ14" t="s">
        <v>162</v>
      </c>
      <c r="AR14" t="s">
        <v>162</v>
      </c>
      <c r="AS14" t="s">
        <v>162</v>
      </c>
      <c r="AT14" t="s">
        <v>162</v>
      </c>
      <c r="AU14" t="s">
        <v>239</v>
      </c>
      <c r="AV14" t="s">
        <v>245</v>
      </c>
      <c r="AW14" t="s">
        <v>250</v>
      </c>
      <c r="AX14" s="134" t="s">
        <v>249</v>
      </c>
      <c r="AY14" t="s">
        <v>251</v>
      </c>
      <c r="AZ14" t="s">
        <v>163</v>
      </c>
      <c r="BA14" t="s">
        <v>164</v>
      </c>
      <c r="BB14" t="s">
        <v>265</v>
      </c>
      <c r="BC14">
        <v>2</v>
      </c>
      <c r="BD14">
        <v>0.22700000000000001</v>
      </c>
      <c r="BE14" s="153">
        <v>14.129997230000001</v>
      </c>
      <c r="BF14" t="s">
        <v>252</v>
      </c>
      <c r="BG14" s="153">
        <v>0.23477488799999999</v>
      </c>
      <c r="BH14">
        <v>1</v>
      </c>
      <c r="BI14" t="s">
        <v>272</v>
      </c>
      <c r="BJ14" s="2" t="s">
        <v>162</v>
      </c>
      <c r="BK14" t="s">
        <v>273</v>
      </c>
      <c r="BL14" t="s">
        <v>270</v>
      </c>
      <c r="BM14" t="s">
        <v>162</v>
      </c>
      <c r="BN14" t="s">
        <v>162</v>
      </c>
      <c r="BO14" t="s">
        <v>162</v>
      </c>
      <c r="BP14" t="s">
        <v>274</v>
      </c>
      <c r="BQ14" t="s">
        <v>162</v>
      </c>
      <c r="BR14" s="135" t="s">
        <v>162</v>
      </c>
      <c r="BS14" t="s">
        <v>275</v>
      </c>
      <c r="BT14" t="s">
        <v>276</v>
      </c>
      <c r="BU14">
        <v>25</v>
      </c>
      <c r="BV14" t="s">
        <v>169</v>
      </c>
      <c r="BW14" t="s">
        <v>169</v>
      </c>
      <c r="BX14" s="133">
        <v>33.433349075619603</v>
      </c>
      <c r="BY14" t="s">
        <v>277</v>
      </c>
      <c r="BZ14">
        <v>0.99629663543769453</v>
      </c>
      <c r="CA14">
        <v>0.97506609556540269</v>
      </c>
      <c r="CB14" s="153">
        <v>5.35</v>
      </c>
      <c r="CC14" s="153">
        <f t="shared" si="1"/>
        <v>5.35</v>
      </c>
      <c r="CD14" t="s">
        <v>278</v>
      </c>
      <c r="CE14">
        <v>0.16049999999999986</v>
      </c>
      <c r="CF14">
        <v>0.16049999999999986</v>
      </c>
      <c r="CG14" s="155" t="s">
        <v>279</v>
      </c>
      <c r="CH14" t="s">
        <v>281</v>
      </c>
      <c r="CI14" t="s">
        <v>280</v>
      </c>
      <c r="CJ14" t="s">
        <v>281</v>
      </c>
      <c r="CK14" t="s">
        <v>162</v>
      </c>
      <c r="CL14" t="s">
        <v>162</v>
      </c>
      <c r="CM14" t="s">
        <v>282</v>
      </c>
      <c r="CN14" t="s">
        <v>162</v>
      </c>
      <c r="CO14" t="s">
        <v>162</v>
      </c>
      <c r="CP14" t="s">
        <v>162</v>
      </c>
      <c r="CQ14" t="s">
        <v>162</v>
      </c>
      <c r="CR14" t="s">
        <v>162</v>
      </c>
      <c r="CS14" t="s">
        <v>162</v>
      </c>
      <c r="CT14" t="s">
        <v>162</v>
      </c>
      <c r="CU14">
        <v>34.1</v>
      </c>
      <c r="CV14" t="s">
        <v>161</v>
      </c>
      <c r="CW14">
        <v>1</v>
      </c>
      <c r="CX14" s="136" t="s">
        <v>287</v>
      </c>
      <c r="CY14">
        <v>2.1000000000000001E-2</v>
      </c>
      <c r="CZ14" t="s">
        <v>167</v>
      </c>
      <c r="DA14" t="s">
        <v>167</v>
      </c>
      <c r="DB14" t="s">
        <v>288</v>
      </c>
      <c r="DC14">
        <v>4.2000000000000003E-2</v>
      </c>
      <c r="DD14" t="s">
        <v>167</v>
      </c>
      <c r="DE14" t="s">
        <v>167</v>
      </c>
      <c r="DF14" t="s">
        <v>289</v>
      </c>
      <c r="DG14" t="s">
        <v>166</v>
      </c>
      <c r="DH14" t="s">
        <v>167</v>
      </c>
      <c r="DI14" t="s">
        <v>167</v>
      </c>
      <c r="DJ14" t="s">
        <v>167</v>
      </c>
      <c r="DK14" s="133">
        <v>380</v>
      </c>
      <c r="DL14" t="s">
        <v>168</v>
      </c>
      <c r="DM14" s="133">
        <v>10.9</v>
      </c>
      <c r="DN14" t="s">
        <v>290</v>
      </c>
      <c r="DO14" s="146">
        <v>39.450000000000003</v>
      </c>
      <c r="DP14" t="s">
        <v>291</v>
      </c>
      <c r="DQ14">
        <v>0.4</v>
      </c>
      <c r="DR14" t="s">
        <v>292</v>
      </c>
      <c r="DS14" t="s">
        <v>294</v>
      </c>
      <c r="DT14" t="s">
        <v>293</v>
      </c>
      <c r="DU14">
        <v>1.0271999999999999</v>
      </c>
      <c r="DV14" t="s">
        <v>169</v>
      </c>
      <c r="DW14" t="s">
        <v>169</v>
      </c>
      <c r="DX14" t="s">
        <v>175</v>
      </c>
      <c r="DY14" t="s">
        <v>169</v>
      </c>
      <c r="DZ14" t="s">
        <v>169</v>
      </c>
      <c r="EA14" t="s">
        <v>295</v>
      </c>
      <c r="EB14" t="s">
        <v>294</v>
      </c>
      <c r="EC14" t="s">
        <v>294</v>
      </c>
      <c r="ED14" t="s">
        <v>294</v>
      </c>
      <c r="EE14" t="s">
        <v>294</v>
      </c>
      <c r="EF14" t="s">
        <v>294</v>
      </c>
      <c r="EG14" t="s">
        <v>293</v>
      </c>
      <c r="EH14" t="s">
        <v>170</v>
      </c>
      <c r="EI14" t="s">
        <v>296</v>
      </c>
      <c r="EK14">
        <v>2145</v>
      </c>
      <c r="EL14" t="s">
        <v>171</v>
      </c>
      <c r="EM14">
        <v>100</v>
      </c>
      <c r="EN14">
        <v>100</v>
      </c>
      <c r="EO14" t="s">
        <v>162</v>
      </c>
      <c r="EP14" t="s">
        <v>162</v>
      </c>
      <c r="EQ14" t="s">
        <v>162</v>
      </c>
      <c r="ER14" t="s">
        <v>162</v>
      </c>
      <c r="ES14" s="154">
        <v>7.7721722990000002</v>
      </c>
      <c r="ET14" s="135" t="s">
        <v>172</v>
      </c>
      <c r="EU14" s="154">
        <v>0.13617788699999966</v>
      </c>
      <c r="EV14" s="154">
        <v>0.14205839800000053</v>
      </c>
      <c r="EW14" s="138">
        <v>890.48459209999999</v>
      </c>
      <c r="EX14" s="135" t="s">
        <v>162</v>
      </c>
      <c r="EY14" s="135" t="s">
        <v>162</v>
      </c>
      <c r="EZ14" s="138">
        <v>890.48459209999999</v>
      </c>
      <c r="FA14" s="138">
        <v>348.09459690000006</v>
      </c>
      <c r="FB14" s="138">
        <v>244.93452869999999</v>
      </c>
      <c r="FC14" t="s">
        <v>297</v>
      </c>
      <c r="FD14" t="s">
        <v>298</v>
      </c>
      <c r="FE14" t="s">
        <v>173</v>
      </c>
      <c r="FF14" t="s">
        <v>173</v>
      </c>
      <c r="FG14" t="s">
        <v>173</v>
      </c>
      <c r="FH14" s="138">
        <v>2115.7448490000002</v>
      </c>
      <c r="FI14" s="138">
        <v>99.562183999999888</v>
      </c>
      <c r="FJ14" s="138">
        <v>100.55724400000008</v>
      </c>
      <c r="FK14" s="153">
        <v>8.0685762879999992</v>
      </c>
      <c r="FL14" s="153">
        <v>2.9915394920000011</v>
      </c>
      <c r="FM14" s="153">
        <v>2.3070454639999989</v>
      </c>
      <c r="FN14" t="s">
        <v>173</v>
      </c>
      <c r="FO14" t="s">
        <v>173</v>
      </c>
      <c r="FP14" t="s">
        <v>173</v>
      </c>
      <c r="FQ14" t="s">
        <v>299</v>
      </c>
    </row>
    <row r="15" spans="1:191" ht="17">
      <c r="A15" t="s">
        <v>152</v>
      </c>
      <c r="B15" t="s">
        <v>156</v>
      </c>
      <c r="C15">
        <v>2019</v>
      </c>
      <c r="D15" t="s">
        <v>301</v>
      </c>
      <c r="E15" s="141">
        <v>66020</v>
      </c>
      <c r="F15" s="142" t="s">
        <v>162</v>
      </c>
      <c r="G15" t="s">
        <v>162</v>
      </c>
      <c r="H15" s="138">
        <v>1150.9335960000001</v>
      </c>
      <c r="I15" s="138">
        <v>534.87996399999997</v>
      </c>
      <c r="J15" s="138">
        <v>337.88452260000008</v>
      </c>
      <c r="K15" t="s">
        <v>157</v>
      </c>
      <c r="L15" s="130" t="s">
        <v>158</v>
      </c>
      <c r="M15" s="143" t="s">
        <v>191</v>
      </c>
      <c r="N15" t="s">
        <v>301</v>
      </c>
      <c r="O15" t="s">
        <v>198</v>
      </c>
      <c r="P15" s="148" t="s">
        <v>162</v>
      </c>
      <c r="Q15" s="148" t="s">
        <v>162</v>
      </c>
      <c r="R15" s="144" t="s">
        <v>206</v>
      </c>
      <c r="S15" t="s">
        <v>207</v>
      </c>
      <c r="T15" t="s">
        <v>207</v>
      </c>
      <c r="U15" s="148" t="s">
        <v>162</v>
      </c>
      <c r="V15" s="149" t="s">
        <v>162</v>
      </c>
      <c r="W15" s="149" t="s">
        <v>162</v>
      </c>
      <c r="X15" t="s">
        <v>219</v>
      </c>
      <c r="Y15" s="132">
        <v>31.108000000000001</v>
      </c>
      <c r="Z15" s="132">
        <v>-96.837000000000003</v>
      </c>
      <c r="AA15" s="132">
        <v>32</v>
      </c>
      <c r="AB15" s="132">
        <v>-90</v>
      </c>
      <c r="AC15">
        <v>120</v>
      </c>
      <c r="AD15">
        <v>-65</v>
      </c>
      <c r="AE15" s="151" t="s">
        <v>226</v>
      </c>
      <c r="AF15" t="s">
        <v>160</v>
      </c>
      <c r="AG15" s="141">
        <v>66020</v>
      </c>
      <c r="AH15" s="2" t="s">
        <v>161</v>
      </c>
      <c r="AI15" t="s">
        <v>162</v>
      </c>
      <c r="AJ15" t="s">
        <v>162</v>
      </c>
      <c r="AK15" t="s">
        <v>229</v>
      </c>
      <c r="AL15" t="s">
        <v>235</v>
      </c>
      <c r="AM15" t="s">
        <v>162</v>
      </c>
      <c r="AN15" t="s">
        <v>162</v>
      </c>
      <c r="AO15" t="s">
        <v>162</v>
      </c>
      <c r="AP15" t="s">
        <v>162</v>
      </c>
      <c r="AQ15" t="s">
        <v>162</v>
      </c>
      <c r="AR15" t="s">
        <v>162</v>
      </c>
      <c r="AS15" t="s">
        <v>162</v>
      </c>
      <c r="AT15" t="s">
        <v>162</v>
      </c>
      <c r="AU15" t="s">
        <v>239</v>
      </c>
      <c r="AV15" t="s">
        <v>245</v>
      </c>
      <c r="AW15" t="s">
        <v>250</v>
      </c>
      <c r="AX15" s="134" t="s">
        <v>249</v>
      </c>
      <c r="AY15" t="s">
        <v>251</v>
      </c>
      <c r="AZ15" t="s">
        <v>163</v>
      </c>
      <c r="BA15" t="s">
        <v>164</v>
      </c>
      <c r="BB15" t="s">
        <v>266</v>
      </c>
      <c r="BC15">
        <v>2</v>
      </c>
      <c r="BD15">
        <v>0.17299999999999999</v>
      </c>
      <c r="BE15" s="153">
        <v>13.623060819999999</v>
      </c>
      <c r="BF15" t="s">
        <v>252</v>
      </c>
      <c r="BG15" s="153">
        <v>0.268539686</v>
      </c>
      <c r="BH15">
        <v>1</v>
      </c>
      <c r="BI15" t="s">
        <v>272</v>
      </c>
      <c r="BJ15" s="2" t="s">
        <v>162</v>
      </c>
      <c r="BK15" t="s">
        <v>273</v>
      </c>
      <c r="BL15" t="s">
        <v>270</v>
      </c>
      <c r="BM15" t="s">
        <v>162</v>
      </c>
      <c r="BN15" t="s">
        <v>162</v>
      </c>
      <c r="BO15" t="s">
        <v>162</v>
      </c>
      <c r="BP15" t="s">
        <v>274</v>
      </c>
      <c r="BQ15" t="s">
        <v>162</v>
      </c>
      <c r="BR15" s="135" t="s">
        <v>162</v>
      </c>
      <c r="BS15" t="s">
        <v>275</v>
      </c>
      <c r="BT15" t="s">
        <v>276</v>
      </c>
      <c r="BU15">
        <v>25</v>
      </c>
      <c r="BV15" t="s">
        <v>169</v>
      </c>
      <c r="BW15" t="s">
        <v>169</v>
      </c>
      <c r="BX15" s="133">
        <v>31.701218652753202</v>
      </c>
      <c r="BY15" t="s">
        <v>277</v>
      </c>
      <c r="BZ15">
        <v>1.0674392181417964</v>
      </c>
      <c r="CA15">
        <v>1.053259562726403</v>
      </c>
      <c r="CB15" s="153">
        <v>4.93</v>
      </c>
      <c r="CC15" s="153">
        <f t="shared" si="1"/>
        <v>4.93</v>
      </c>
      <c r="CD15" t="s">
        <v>278</v>
      </c>
      <c r="CE15">
        <v>0.14789999999999992</v>
      </c>
      <c r="CF15">
        <v>0.14789999999999992</v>
      </c>
      <c r="CG15" s="155" t="s">
        <v>279</v>
      </c>
      <c r="CH15" t="s">
        <v>281</v>
      </c>
      <c r="CI15" t="s">
        <v>280</v>
      </c>
      <c r="CJ15" t="s">
        <v>281</v>
      </c>
      <c r="CK15" t="s">
        <v>162</v>
      </c>
      <c r="CL15" t="s">
        <v>162</v>
      </c>
      <c r="CM15" t="s">
        <v>282</v>
      </c>
      <c r="CN15" t="s">
        <v>162</v>
      </c>
      <c r="CO15" t="s">
        <v>162</v>
      </c>
      <c r="CP15" t="s">
        <v>162</v>
      </c>
      <c r="CQ15" t="s">
        <v>162</v>
      </c>
      <c r="CR15" t="s">
        <v>162</v>
      </c>
      <c r="CS15" t="s">
        <v>162</v>
      </c>
      <c r="CT15" t="s">
        <v>162</v>
      </c>
      <c r="CU15">
        <v>34.1</v>
      </c>
      <c r="CV15" t="s">
        <v>161</v>
      </c>
      <c r="CW15">
        <v>1</v>
      </c>
      <c r="CX15" s="136" t="s">
        <v>287</v>
      </c>
      <c r="CY15">
        <v>2.1000000000000001E-2</v>
      </c>
      <c r="CZ15" t="s">
        <v>167</v>
      </c>
      <c r="DA15" t="s">
        <v>167</v>
      </c>
      <c r="DB15" t="s">
        <v>288</v>
      </c>
      <c r="DC15">
        <v>4.2000000000000003E-2</v>
      </c>
      <c r="DD15" t="s">
        <v>167</v>
      </c>
      <c r="DE15" t="s">
        <v>167</v>
      </c>
      <c r="DF15" t="s">
        <v>289</v>
      </c>
      <c r="DG15" t="s">
        <v>166</v>
      </c>
      <c r="DH15" t="s">
        <v>167</v>
      </c>
      <c r="DI15" t="s">
        <v>167</v>
      </c>
      <c r="DJ15" t="s">
        <v>167</v>
      </c>
      <c r="DK15" s="133">
        <v>380</v>
      </c>
      <c r="DL15" t="s">
        <v>168</v>
      </c>
      <c r="DM15" s="133">
        <v>10.9</v>
      </c>
      <c r="DN15" t="s">
        <v>290</v>
      </c>
      <c r="DO15" s="146">
        <v>39.450000000000003</v>
      </c>
      <c r="DP15" t="s">
        <v>291</v>
      </c>
      <c r="DQ15">
        <v>0.4</v>
      </c>
      <c r="DR15" t="s">
        <v>292</v>
      </c>
      <c r="DS15" t="s">
        <v>294</v>
      </c>
      <c r="DT15" t="s">
        <v>293</v>
      </c>
      <c r="DU15">
        <v>1.0271999999999999</v>
      </c>
      <c r="DV15" t="s">
        <v>169</v>
      </c>
      <c r="DW15" t="s">
        <v>169</v>
      </c>
      <c r="DX15" t="s">
        <v>175</v>
      </c>
      <c r="DY15" t="s">
        <v>169</v>
      </c>
      <c r="DZ15" t="s">
        <v>169</v>
      </c>
      <c r="EA15" t="s">
        <v>295</v>
      </c>
      <c r="EB15" t="s">
        <v>294</v>
      </c>
      <c r="EC15" t="s">
        <v>294</v>
      </c>
      <c r="ED15" t="s">
        <v>294</v>
      </c>
      <c r="EE15" t="s">
        <v>294</v>
      </c>
      <c r="EF15" t="s">
        <v>294</v>
      </c>
      <c r="EG15" t="s">
        <v>293</v>
      </c>
      <c r="EH15" t="s">
        <v>170</v>
      </c>
      <c r="EI15" t="s">
        <v>296</v>
      </c>
      <c r="EK15">
        <v>2193</v>
      </c>
      <c r="EL15" t="s">
        <v>171</v>
      </c>
      <c r="EM15">
        <v>100</v>
      </c>
      <c r="EN15">
        <v>100</v>
      </c>
      <c r="EO15" t="s">
        <v>162</v>
      </c>
      <c r="EP15" t="s">
        <v>162</v>
      </c>
      <c r="EQ15" t="s">
        <v>162</v>
      </c>
      <c r="ER15" t="s">
        <v>162</v>
      </c>
      <c r="ES15" s="154">
        <v>7.6689092800000003</v>
      </c>
      <c r="ET15" s="135" t="s">
        <v>172</v>
      </c>
      <c r="EU15" s="154">
        <v>0.14934591399999952</v>
      </c>
      <c r="EV15" s="154">
        <v>0.16535182299999995</v>
      </c>
      <c r="EW15" s="138">
        <v>1150.9335960000001</v>
      </c>
      <c r="EX15" s="135" t="s">
        <v>162</v>
      </c>
      <c r="EY15" s="135" t="s">
        <v>162</v>
      </c>
      <c r="EZ15" s="138">
        <v>1150.9335960000001</v>
      </c>
      <c r="FA15" s="138">
        <v>534.87996399999997</v>
      </c>
      <c r="FB15" s="138">
        <v>337.88452260000008</v>
      </c>
      <c r="FC15" t="s">
        <v>297</v>
      </c>
      <c r="FD15" t="s">
        <v>298</v>
      </c>
      <c r="FE15" t="s">
        <v>173</v>
      </c>
      <c r="FF15" t="s">
        <v>173</v>
      </c>
      <c r="FG15" t="s">
        <v>173</v>
      </c>
      <c r="FH15" s="138">
        <v>2182.4175439999999</v>
      </c>
      <c r="FI15" s="138">
        <v>101.27183000000014</v>
      </c>
      <c r="FJ15" s="138">
        <v>103.46270400000003</v>
      </c>
      <c r="FK15" s="153">
        <v>6.240469364</v>
      </c>
      <c r="FL15" s="153">
        <v>2.7013097830000001</v>
      </c>
      <c r="FM15" s="153">
        <v>2.0337958269999996</v>
      </c>
      <c r="FN15" t="s">
        <v>173</v>
      </c>
      <c r="FO15" t="s">
        <v>173</v>
      </c>
      <c r="FP15" t="s">
        <v>173</v>
      </c>
      <c r="FQ15" t="s">
        <v>299</v>
      </c>
    </row>
    <row r="16" spans="1:191" ht="17">
      <c r="A16" t="s">
        <v>152</v>
      </c>
      <c r="B16" t="s">
        <v>156</v>
      </c>
      <c r="C16">
        <v>2019</v>
      </c>
      <c r="D16" t="s">
        <v>301</v>
      </c>
      <c r="E16" s="141">
        <v>65997.5</v>
      </c>
      <c r="F16" s="142" t="s">
        <v>162</v>
      </c>
      <c r="G16" t="s">
        <v>162</v>
      </c>
      <c r="H16" s="138">
        <v>570.17456130000005</v>
      </c>
      <c r="I16" s="138">
        <v>184.67695409999999</v>
      </c>
      <c r="J16" s="138">
        <v>160.33336890000004</v>
      </c>
      <c r="K16" t="s">
        <v>157</v>
      </c>
      <c r="L16" s="130" t="s">
        <v>158</v>
      </c>
      <c r="M16" s="143" t="s">
        <v>191</v>
      </c>
      <c r="N16" t="s">
        <v>301</v>
      </c>
      <c r="O16" t="s">
        <v>208</v>
      </c>
      <c r="P16" s="144" t="s">
        <v>159</v>
      </c>
      <c r="Q16" s="144">
        <v>25</v>
      </c>
      <c r="R16" s="144">
        <v>6</v>
      </c>
      <c r="S16">
        <v>108</v>
      </c>
      <c r="T16">
        <v>110</v>
      </c>
      <c r="U16" s="148" t="s">
        <v>211</v>
      </c>
      <c r="V16" s="150">
        <v>261.53500000000003</v>
      </c>
      <c r="W16" t="s">
        <v>221</v>
      </c>
      <c r="X16" t="s">
        <v>217</v>
      </c>
      <c r="Y16" s="132">
        <v>32.652000000000001</v>
      </c>
      <c r="Z16" s="132">
        <v>158.506</v>
      </c>
      <c r="AA16" s="132">
        <v>10</v>
      </c>
      <c r="AB16" s="132">
        <v>175</v>
      </c>
      <c r="AC16" s="132">
        <v>-2387</v>
      </c>
      <c r="AD16" s="132">
        <v>-2500</v>
      </c>
      <c r="AE16" s="151" t="s">
        <v>223</v>
      </c>
      <c r="AF16" t="s">
        <v>160</v>
      </c>
      <c r="AG16" s="141">
        <v>65997.5</v>
      </c>
      <c r="AH16" s="2" t="s">
        <v>161</v>
      </c>
      <c r="AI16" t="s">
        <v>162</v>
      </c>
      <c r="AJ16" t="s">
        <v>162</v>
      </c>
      <c r="AK16" t="s">
        <v>229</v>
      </c>
      <c r="AL16" t="s">
        <v>230</v>
      </c>
      <c r="AM16" t="s">
        <v>162</v>
      </c>
      <c r="AN16" t="s">
        <v>162</v>
      </c>
      <c r="AO16" t="s">
        <v>162</v>
      </c>
      <c r="AP16" t="s">
        <v>162</v>
      </c>
      <c r="AQ16" t="s">
        <v>162</v>
      </c>
      <c r="AR16" t="s">
        <v>162</v>
      </c>
      <c r="AS16" t="s">
        <v>162</v>
      </c>
      <c r="AT16" t="s">
        <v>162</v>
      </c>
      <c r="AU16" t="s">
        <v>240</v>
      </c>
      <c r="AV16" t="s">
        <v>246</v>
      </c>
      <c r="AW16" t="s">
        <v>250</v>
      </c>
      <c r="AX16" s="134" t="s">
        <v>249</v>
      </c>
      <c r="AY16" t="s">
        <v>251</v>
      </c>
      <c r="AZ16" t="s">
        <v>163</v>
      </c>
      <c r="BA16" t="s">
        <v>164</v>
      </c>
      <c r="BB16" t="s">
        <v>267</v>
      </c>
      <c r="BC16">
        <v>2</v>
      </c>
      <c r="BD16">
        <v>0.48</v>
      </c>
      <c r="BE16" s="153">
        <v>15.632</v>
      </c>
      <c r="BF16" t="s">
        <v>252</v>
      </c>
      <c r="BG16" s="153">
        <v>0.22958371</v>
      </c>
      <c r="BH16">
        <v>1</v>
      </c>
      <c r="BI16" t="s">
        <v>272</v>
      </c>
      <c r="BJ16" s="2" t="s">
        <v>162</v>
      </c>
      <c r="BK16" t="s">
        <v>273</v>
      </c>
      <c r="BL16" t="s">
        <v>270</v>
      </c>
      <c r="BM16" t="s">
        <v>162</v>
      </c>
      <c r="BN16" t="s">
        <v>162</v>
      </c>
      <c r="BO16" t="s">
        <v>162</v>
      </c>
      <c r="BP16" t="s">
        <v>274</v>
      </c>
      <c r="BQ16" t="s">
        <v>162</v>
      </c>
      <c r="BR16" s="135" t="s">
        <v>162</v>
      </c>
      <c r="BS16" t="s">
        <v>275</v>
      </c>
      <c r="BT16" t="s">
        <v>276</v>
      </c>
      <c r="BU16">
        <v>25</v>
      </c>
      <c r="BV16" t="s">
        <v>169</v>
      </c>
      <c r="BW16" t="s">
        <v>169</v>
      </c>
      <c r="BX16" s="133">
        <v>36.257416966626998</v>
      </c>
      <c r="BY16" t="s">
        <v>277</v>
      </c>
      <c r="BZ16">
        <v>1.1755193895990033</v>
      </c>
      <c r="CA16">
        <v>0.92050641995010096</v>
      </c>
      <c r="CB16" s="153">
        <v>5.9307999999999996</v>
      </c>
      <c r="CC16" s="153">
        <f t="shared" si="1"/>
        <v>5.9307999999999996</v>
      </c>
      <c r="CD16" t="s">
        <v>278</v>
      </c>
      <c r="CE16">
        <v>0.17792399999999997</v>
      </c>
      <c r="CF16">
        <v>0.17792399999999997</v>
      </c>
      <c r="CG16" s="155" t="s">
        <v>279</v>
      </c>
      <c r="CH16" t="s">
        <v>281</v>
      </c>
      <c r="CI16" t="s">
        <v>280</v>
      </c>
      <c r="CJ16" t="s">
        <v>281</v>
      </c>
      <c r="CK16" t="s">
        <v>162</v>
      </c>
      <c r="CL16" t="s">
        <v>162</v>
      </c>
      <c r="CM16" t="s">
        <v>282</v>
      </c>
      <c r="CN16" t="s">
        <v>162</v>
      </c>
      <c r="CO16" t="s">
        <v>162</v>
      </c>
      <c r="CP16" t="s">
        <v>162</v>
      </c>
      <c r="CQ16" t="s">
        <v>162</v>
      </c>
      <c r="CR16" t="s">
        <v>162</v>
      </c>
      <c r="CS16" t="s">
        <v>162</v>
      </c>
      <c r="CT16" t="s">
        <v>162</v>
      </c>
      <c r="CU16">
        <v>34.6</v>
      </c>
      <c r="CV16" t="s">
        <v>161</v>
      </c>
      <c r="CW16">
        <v>1</v>
      </c>
      <c r="CX16" s="136" t="s">
        <v>287</v>
      </c>
      <c r="CY16">
        <v>2.1000000000000001E-2</v>
      </c>
      <c r="CZ16" t="s">
        <v>167</v>
      </c>
      <c r="DA16" t="s">
        <v>167</v>
      </c>
      <c r="DB16" t="s">
        <v>288</v>
      </c>
      <c r="DC16">
        <v>4.2000000000000003E-2</v>
      </c>
      <c r="DD16" t="s">
        <v>167</v>
      </c>
      <c r="DE16" t="s">
        <v>167</v>
      </c>
      <c r="DF16" t="s">
        <v>289</v>
      </c>
      <c r="DG16" t="s">
        <v>166</v>
      </c>
      <c r="DH16" t="s">
        <v>167</v>
      </c>
      <c r="DI16" t="s">
        <v>167</v>
      </c>
      <c r="DJ16" t="s">
        <v>167</v>
      </c>
      <c r="DK16" s="133">
        <v>380</v>
      </c>
      <c r="DL16" t="s">
        <v>168</v>
      </c>
      <c r="DM16" s="133">
        <v>10.9</v>
      </c>
      <c r="DN16" t="s">
        <v>290</v>
      </c>
      <c r="DO16" s="146">
        <v>39.450000000000003</v>
      </c>
      <c r="DP16" t="s">
        <v>291</v>
      </c>
      <c r="DQ16">
        <v>0.4</v>
      </c>
      <c r="DR16" t="s">
        <v>292</v>
      </c>
      <c r="DS16" t="s">
        <v>294</v>
      </c>
      <c r="DT16" t="s">
        <v>293</v>
      </c>
      <c r="DU16">
        <v>1.0271999999999999</v>
      </c>
      <c r="DV16" t="s">
        <v>169</v>
      </c>
      <c r="DW16" t="s">
        <v>169</v>
      </c>
      <c r="DX16" t="s">
        <v>175</v>
      </c>
      <c r="DY16" t="s">
        <v>169</v>
      </c>
      <c r="DZ16" t="s">
        <v>169</v>
      </c>
      <c r="EA16" t="s">
        <v>295</v>
      </c>
      <c r="EB16" t="s">
        <v>294</v>
      </c>
      <c r="EC16" t="s">
        <v>294</v>
      </c>
      <c r="ED16" t="s">
        <v>294</v>
      </c>
      <c r="EE16" t="s">
        <v>294</v>
      </c>
      <c r="EF16" t="s">
        <v>294</v>
      </c>
      <c r="EG16" t="s">
        <v>293</v>
      </c>
      <c r="EH16" t="s">
        <v>170</v>
      </c>
      <c r="EI16" t="s">
        <v>296</v>
      </c>
      <c r="EK16">
        <v>2259</v>
      </c>
      <c r="EL16" t="s">
        <v>171</v>
      </c>
      <c r="EM16">
        <v>100</v>
      </c>
      <c r="EN16">
        <v>100</v>
      </c>
      <c r="EO16" t="s">
        <v>162</v>
      </c>
      <c r="EP16" t="s">
        <v>162</v>
      </c>
      <c r="EQ16" t="s">
        <v>162</v>
      </c>
      <c r="ER16" t="s">
        <v>162</v>
      </c>
      <c r="ES16" s="154">
        <v>7.9884041080000001</v>
      </c>
      <c r="ET16" s="135" t="s">
        <v>172</v>
      </c>
      <c r="EU16" s="154">
        <v>0.13906805299999991</v>
      </c>
      <c r="EV16" s="154">
        <v>0.11761293799999972</v>
      </c>
      <c r="EW16" s="138">
        <v>570.17456130000005</v>
      </c>
      <c r="EX16" s="135" t="s">
        <v>162</v>
      </c>
      <c r="EY16" s="135" t="s">
        <v>162</v>
      </c>
      <c r="EZ16" s="138">
        <v>570.17456130000005</v>
      </c>
      <c r="FA16" s="138">
        <v>184.67695409999999</v>
      </c>
      <c r="FB16" s="138">
        <v>160.33336890000004</v>
      </c>
      <c r="FC16" t="s">
        <v>297</v>
      </c>
      <c r="FD16" t="s">
        <v>298</v>
      </c>
      <c r="FE16" t="s">
        <v>173</v>
      </c>
      <c r="FF16" t="s">
        <v>173</v>
      </c>
      <c r="FG16" t="s">
        <v>173</v>
      </c>
      <c r="FH16" s="138">
        <v>2188.9331590000002</v>
      </c>
      <c r="FI16" s="138">
        <v>99.510557000000063</v>
      </c>
      <c r="FJ16" s="138">
        <v>103.07948000000033</v>
      </c>
      <c r="FK16" s="153">
        <v>14.3076246</v>
      </c>
      <c r="FL16" s="153">
        <v>5.062127799999999</v>
      </c>
      <c r="FM16" s="153">
        <v>3.3044274700000003</v>
      </c>
      <c r="FN16" t="s">
        <v>173</v>
      </c>
      <c r="FO16" t="s">
        <v>173</v>
      </c>
      <c r="FP16" t="s">
        <v>173</v>
      </c>
      <c r="FQ16" t="s">
        <v>299</v>
      </c>
    </row>
    <row r="17" spans="1:173" ht="17">
      <c r="A17" t="s">
        <v>152</v>
      </c>
      <c r="B17" t="s">
        <v>156</v>
      </c>
      <c r="C17">
        <v>2019</v>
      </c>
      <c r="D17" t="s">
        <v>301</v>
      </c>
      <c r="E17" s="141">
        <v>65986.3</v>
      </c>
      <c r="F17" s="142" t="s">
        <v>162</v>
      </c>
      <c r="G17" t="s">
        <v>162</v>
      </c>
      <c r="H17" s="138">
        <v>708.78123029999995</v>
      </c>
      <c r="I17" s="138">
        <v>300.19165870000006</v>
      </c>
      <c r="J17" s="138">
        <v>217.19443059999998</v>
      </c>
      <c r="K17" t="s">
        <v>157</v>
      </c>
      <c r="L17" s="130" t="s">
        <v>158</v>
      </c>
      <c r="M17" s="143" t="s">
        <v>191</v>
      </c>
      <c r="N17" t="s">
        <v>301</v>
      </c>
      <c r="O17" t="s">
        <v>208</v>
      </c>
      <c r="P17" s="144" t="s">
        <v>159</v>
      </c>
      <c r="Q17" s="144">
        <v>25</v>
      </c>
      <c r="R17" s="144">
        <v>6</v>
      </c>
      <c r="S17">
        <v>94</v>
      </c>
      <c r="T17">
        <v>95</v>
      </c>
      <c r="U17" s="148" t="s">
        <v>212</v>
      </c>
      <c r="V17" s="148">
        <v>261.42250000000001</v>
      </c>
      <c r="W17" t="s">
        <v>221</v>
      </c>
      <c r="X17" t="s">
        <v>217</v>
      </c>
      <c r="Y17" s="132">
        <v>32.652000000000001</v>
      </c>
      <c r="Z17" s="132">
        <v>158.506</v>
      </c>
      <c r="AA17" s="132">
        <v>10</v>
      </c>
      <c r="AB17" s="132">
        <v>175</v>
      </c>
      <c r="AC17" s="132">
        <v>-2387</v>
      </c>
      <c r="AD17" s="132">
        <v>-2500</v>
      </c>
      <c r="AE17" s="151" t="s">
        <v>223</v>
      </c>
      <c r="AF17" t="s">
        <v>160</v>
      </c>
      <c r="AG17" s="141">
        <v>65986.3</v>
      </c>
      <c r="AH17" s="2" t="s">
        <v>161</v>
      </c>
      <c r="AI17" t="s">
        <v>162</v>
      </c>
      <c r="AJ17" t="s">
        <v>162</v>
      </c>
      <c r="AK17" t="s">
        <v>229</v>
      </c>
      <c r="AL17" t="s">
        <v>230</v>
      </c>
      <c r="AM17" t="s">
        <v>162</v>
      </c>
      <c r="AN17" t="s">
        <v>162</v>
      </c>
      <c r="AO17" t="s">
        <v>162</v>
      </c>
      <c r="AP17" t="s">
        <v>162</v>
      </c>
      <c r="AQ17" t="s">
        <v>162</v>
      </c>
      <c r="AR17" t="s">
        <v>162</v>
      </c>
      <c r="AS17" t="s">
        <v>162</v>
      </c>
      <c r="AT17" t="s">
        <v>162</v>
      </c>
      <c r="AU17" t="s">
        <v>240</v>
      </c>
      <c r="AV17" t="s">
        <v>245</v>
      </c>
      <c r="AW17" t="s">
        <v>250</v>
      </c>
      <c r="AX17" s="134" t="s">
        <v>249</v>
      </c>
      <c r="AY17" t="s">
        <v>251</v>
      </c>
      <c r="AZ17" t="s">
        <v>163</v>
      </c>
      <c r="BA17" t="s">
        <v>164</v>
      </c>
      <c r="BB17" t="s">
        <v>254</v>
      </c>
      <c r="BC17">
        <v>2</v>
      </c>
      <c r="BD17" s="154">
        <v>0.75999999999999979</v>
      </c>
      <c r="BE17" s="153">
        <v>14.869</v>
      </c>
      <c r="BF17" t="s">
        <v>252</v>
      </c>
      <c r="BG17" s="153">
        <v>0.56000000000000005</v>
      </c>
      <c r="BH17">
        <v>1</v>
      </c>
      <c r="BI17" t="s">
        <v>272</v>
      </c>
      <c r="BJ17" s="2" t="s">
        <v>162</v>
      </c>
      <c r="BK17" t="s">
        <v>273</v>
      </c>
      <c r="BL17" t="s">
        <v>270</v>
      </c>
      <c r="BM17" t="s">
        <v>162</v>
      </c>
      <c r="BN17" t="s">
        <v>162</v>
      </c>
      <c r="BO17" t="s">
        <v>162</v>
      </c>
      <c r="BP17" t="s">
        <v>274</v>
      </c>
      <c r="BQ17" t="s">
        <v>162</v>
      </c>
      <c r="BR17" s="135" t="s">
        <v>162</v>
      </c>
      <c r="BS17" t="s">
        <v>275</v>
      </c>
      <c r="BT17" t="s">
        <v>276</v>
      </c>
      <c r="BU17">
        <v>25</v>
      </c>
      <c r="BV17" t="s">
        <v>169</v>
      </c>
      <c r="BW17" t="s">
        <v>169</v>
      </c>
      <c r="BX17" s="133">
        <v>34.431896056847997</v>
      </c>
      <c r="BY17" t="s">
        <v>277</v>
      </c>
      <c r="BZ17">
        <v>1.1728475181254012</v>
      </c>
      <c r="CA17">
        <v>1.0429088109365949</v>
      </c>
      <c r="CB17" s="153">
        <v>5.4119999999999999</v>
      </c>
      <c r="CC17" s="153">
        <f t="shared" si="1"/>
        <v>5.4119999999999999</v>
      </c>
      <c r="CD17" t="s">
        <v>278</v>
      </c>
      <c r="CE17">
        <v>0.16235999999999962</v>
      </c>
      <c r="CF17">
        <v>0.16235999999999962</v>
      </c>
      <c r="CG17" s="155" t="s">
        <v>279</v>
      </c>
      <c r="CH17" t="s">
        <v>281</v>
      </c>
      <c r="CI17" t="s">
        <v>280</v>
      </c>
      <c r="CJ17" t="s">
        <v>281</v>
      </c>
      <c r="CK17" t="s">
        <v>162</v>
      </c>
      <c r="CL17" t="s">
        <v>162</v>
      </c>
      <c r="CM17" t="s">
        <v>282</v>
      </c>
      <c r="CN17" t="s">
        <v>162</v>
      </c>
      <c r="CO17" t="s">
        <v>162</v>
      </c>
      <c r="CP17" t="s">
        <v>162</v>
      </c>
      <c r="CQ17" t="s">
        <v>162</v>
      </c>
      <c r="CR17" t="s">
        <v>162</v>
      </c>
      <c r="CS17" t="s">
        <v>162</v>
      </c>
      <c r="CT17" t="s">
        <v>162</v>
      </c>
      <c r="CU17">
        <v>34.6</v>
      </c>
      <c r="CV17" t="s">
        <v>161</v>
      </c>
      <c r="CW17">
        <v>1</v>
      </c>
      <c r="CX17" s="136" t="s">
        <v>287</v>
      </c>
      <c r="CY17">
        <v>2.1000000000000001E-2</v>
      </c>
      <c r="CZ17" t="s">
        <v>167</v>
      </c>
      <c r="DA17" t="s">
        <v>167</v>
      </c>
      <c r="DB17" t="s">
        <v>288</v>
      </c>
      <c r="DC17">
        <v>4.2000000000000003E-2</v>
      </c>
      <c r="DD17" t="s">
        <v>167</v>
      </c>
      <c r="DE17" t="s">
        <v>167</v>
      </c>
      <c r="DF17" t="s">
        <v>289</v>
      </c>
      <c r="DG17" t="s">
        <v>166</v>
      </c>
      <c r="DH17" t="s">
        <v>167</v>
      </c>
      <c r="DI17" t="s">
        <v>167</v>
      </c>
      <c r="DJ17" t="s">
        <v>167</v>
      </c>
      <c r="DK17" s="133">
        <v>380</v>
      </c>
      <c r="DL17" t="s">
        <v>168</v>
      </c>
      <c r="DM17" s="133">
        <v>10.9</v>
      </c>
      <c r="DN17" t="s">
        <v>290</v>
      </c>
      <c r="DO17" s="146">
        <v>39.450000000000003</v>
      </c>
      <c r="DP17" t="s">
        <v>291</v>
      </c>
      <c r="DQ17">
        <v>0.4</v>
      </c>
      <c r="DR17" t="s">
        <v>292</v>
      </c>
      <c r="DS17" t="s">
        <v>294</v>
      </c>
      <c r="DT17" t="s">
        <v>293</v>
      </c>
      <c r="DU17">
        <v>1.0271999999999999</v>
      </c>
      <c r="DV17" t="s">
        <v>169</v>
      </c>
      <c r="DW17" t="s">
        <v>169</v>
      </c>
      <c r="DX17" t="s">
        <v>175</v>
      </c>
      <c r="DY17" t="s">
        <v>169</v>
      </c>
      <c r="DZ17" t="s">
        <v>169</v>
      </c>
      <c r="EA17" t="s">
        <v>295</v>
      </c>
      <c r="EB17" t="s">
        <v>294</v>
      </c>
      <c r="EC17" t="s">
        <v>294</v>
      </c>
      <c r="ED17" t="s">
        <v>294</v>
      </c>
      <c r="EE17" t="s">
        <v>294</v>
      </c>
      <c r="EF17" t="s">
        <v>294</v>
      </c>
      <c r="EG17" t="s">
        <v>293</v>
      </c>
      <c r="EH17" t="s">
        <v>170</v>
      </c>
      <c r="EI17" t="s">
        <v>296</v>
      </c>
      <c r="EK17">
        <v>2269</v>
      </c>
      <c r="EL17" t="s">
        <v>171</v>
      </c>
      <c r="EM17">
        <v>100</v>
      </c>
      <c r="EN17">
        <v>100</v>
      </c>
      <c r="EO17" t="s">
        <v>162</v>
      </c>
      <c r="EP17" t="s">
        <v>162</v>
      </c>
      <c r="EQ17" t="s">
        <v>162</v>
      </c>
      <c r="ER17" t="s">
        <v>162</v>
      </c>
      <c r="ES17" s="154">
        <v>7.8946829770000004</v>
      </c>
      <c r="ET17" s="135" t="s">
        <v>172</v>
      </c>
      <c r="EU17" s="154">
        <v>0.15507335199999872</v>
      </c>
      <c r="EV17" s="154">
        <v>0.15208727100000008</v>
      </c>
      <c r="EW17" s="138">
        <v>708.78123029999995</v>
      </c>
      <c r="EX17" s="135" t="s">
        <v>162</v>
      </c>
      <c r="EY17" s="135" t="s">
        <v>162</v>
      </c>
      <c r="EZ17" s="138">
        <v>708.78123029999995</v>
      </c>
      <c r="FA17" s="138">
        <v>300.19165870000006</v>
      </c>
      <c r="FB17" s="138">
        <v>217.19443059999998</v>
      </c>
      <c r="FC17" t="s">
        <v>297</v>
      </c>
      <c r="FD17" t="s">
        <v>298</v>
      </c>
      <c r="FE17" t="s">
        <v>173</v>
      </c>
      <c r="FF17" t="s">
        <v>173</v>
      </c>
      <c r="FG17" t="s">
        <v>173</v>
      </c>
      <c r="FH17" s="138">
        <v>2216.8130099999998</v>
      </c>
      <c r="FI17" s="138">
        <v>99.322611999999936</v>
      </c>
      <c r="FJ17" s="138">
        <v>104.41489899999988</v>
      </c>
      <c r="FK17" s="153">
        <v>11.23949812</v>
      </c>
      <c r="FL17" s="153">
        <v>4.6820664999999995</v>
      </c>
      <c r="FM17" s="153">
        <v>3.3536385600000003</v>
      </c>
      <c r="FN17" t="s">
        <v>173</v>
      </c>
      <c r="FO17" t="s">
        <v>173</v>
      </c>
      <c r="FP17" t="s">
        <v>173</v>
      </c>
      <c r="FQ17" t="s">
        <v>299</v>
      </c>
    </row>
    <row r="18" spans="1:173" ht="17">
      <c r="A18" t="s">
        <v>152</v>
      </c>
      <c r="B18" t="s">
        <v>156</v>
      </c>
      <c r="C18">
        <v>2019</v>
      </c>
      <c r="D18" t="s">
        <v>301</v>
      </c>
      <c r="E18" s="141">
        <v>65921.2</v>
      </c>
      <c r="F18" s="142" t="s">
        <v>162</v>
      </c>
      <c r="G18" t="s">
        <v>162</v>
      </c>
      <c r="H18" s="138">
        <v>869.31450489999997</v>
      </c>
      <c r="I18" s="138">
        <v>321.80496010000002</v>
      </c>
      <c r="J18" s="138">
        <v>242.35871569999995</v>
      </c>
      <c r="K18" t="s">
        <v>157</v>
      </c>
      <c r="L18" s="130" t="s">
        <v>158</v>
      </c>
      <c r="M18" s="143" t="s">
        <v>191</v>
      </c>
      <c r="N18" t="s">
        <v>301</v>
      </c>
      <c r="O18" s="147" t="s">
        <v>208</v>
      </c>
      <c r="P18" s="144" t="s">
        <v>159</v>
      </c>
      <c r="Q18" s="144">
        <v>25</v>
      </c>
      <c r="R18" s="144">
        <v>6</v>
      </c>
      <c r="S18">
        <v>60</v>
      </c>
      <c r="T18">
        <v>62</v>
      </c>
      <c r="U18" s="148" t="s">
        <v>213</v>
      </c>
      <c r="V18" s="149">
        <v>261.08</v>
      </c>
      <c r="W18" t="s">
        <v>221</v>
      </c>
      <c r="X18" t="s">
        <v>217</v>
      </c>
      <c r="Y18" s="132">
        <v>32.652000000000001</v>
      </c>
      <c r="Z18" s="132">
        <v>158.506</v>
      </c>
      <c r="AA18" s="132">
        <v>10</v>
      </c>
      <c r="AB18" s="132">
        <v>175</v>
      </c>
      <c r="AC18" s="132">
        <v>-2387</v>
      </c>
      <c r="AD18" s="132">
        <v>-2500</v>
      </c>
      <c r="AE18" s="151" t="s">
        <v>223</v>
      </c>
      <c r="AF18" t="s">
        <v>160</v>
      </c>
      <c r="AG18" s="141">
        <v>65921.2</v>
      </c>
      <c r="AH18" s="2" t="s">
        <v>161</v>
      </c>
      <c r="AI18" t="s">
        <v>162</v>
      </c>
      <c r="AJ18" t="s">
        <v>162</v>
      </c>
      <c r="AK18" t="s">
        <v>229</v>
      </c>
      <c r="AL18" t="s">
        <v>230</v>
      </c>
      <c r="AM18" t="s">
        <v>162</v>
      </c>
      <c r="AN18" t="s">
        <v>162</v>
      </c>
      <c r="AO18" t="s">
        <v>162</v>
      </c>
      <c r="AP18" t="s">
        <v>162</v>
      </c>
      <c r="AQ18" t="s">
        <v>162</v>
      </c>
      <c r="AR18" t="s">
        <v>162</v>
      </c>
      <c r="AS18" t="s">
        <v>162</v>
      </c>
      <c r="AT18" t="s">
        <v>162</v>
      </c>
      <c r="AU18" t="s">
        <v>240</v>
      </c>
      <c r="AV18" t="s">
        <v>243</v>
      </c>
      <c r="AW18" t="s">
        <v>250</v>
      </c>
      <c r="AX18" s="134" t="s">
        <v>249</v>
      </c>
      <c r="AY18" t="s">
        <v>251</v>
      </c>
      <c r="AZ18" t="s">
        <v>163</v>
      </c>
      <c r="BA18" t="s">
        <v>164</v>
      </c>
      <c r="BB18" t="s">
        <v>268</v>
      </c>
      <c r="BC18">
        <v>2</v>
      </c>
      <c r="BD18">
        <v>0.49000000000000021</v>
      </c>
      <c r="BE18" s="153">
        <v>14.42</v>
      </c>
      <c r="BF18" t="s">
        <v>252</v>
      </c>
      <c r="BG18" s="153">
        <v>0.24</v>
      </c>
      <c r="BH18">
        <v>1</v>
      </c>
      <c r="BI18" t="s">
        <v>272</v>
      </c>
      <c r="BJ18" s="2" t="s">
        <v>162</v>
      </c>
      <c r="BK18" t="s">
        <v>273</v>
      </c>
      <c r="BL18" t="s">
        <v>270</v>
      </c>
      <c r="BM18" t="s">
        <v>162</v>
      </c>
      <c r="BN18" t="s">
        <v>162</v>
      </c>
      <c r="BO18" t="s">
        <v>162</v>
      </c>
      <c r="BP18" t="s">
        <v>274</v>
      </c>
      <c r="BQ18" t="s">
        <v>162</v>
      </c>
      <c r="BR18" s="135" t="s">
        <v>162</v>
      </c>
      <c r="BS18" t="s">
        <v>275</v>
      </c>
      <c r="BT18" t="s">
        <v>276</v>
      </c>
      <c r="BU18">
        <v>25</v>
      </c>
      <c r="BV18" t="s">
        <v>169</v>
      </c>
      <c r="BW18" t="s">
        <v>169</v>
      </c>
      <c r="BX18" s="133">
        <v>34.547831545718402</v>
      </c>
      <c r="BY18" t="s">
        <v>277</v>
      </c>
      <c r="BZ18">
        <v>1.0243559935174957</v>
      </c>
      <c r="CA18">
        <v>0.95452347597050391</v>
      </c>
      <c r="CB18" s="153">
        <v>5.7202000000000002</v>
      </c>
      <c r="CC18" s="153">
        <f t="shared" si="1"/>
        <v>5.7202000000000002</v>
      </c>
      <c r="CD18" t="s">
        <v>278</v>
      </c>
      <c r="CE18">
        <v>0.1716059999999997</v>
      </c>
      <c r="CF18">
        <v>0.1716059999999997</v>
      </c>
      <c r="CG18" s="155" t="s">
        <v>279</v>
      </c>
      <c r="CH18" t="s">
        <v>281</v>
      </c>
      <c r="CI18" t="s">
        <v>280</v>
      </c>
      <c r="CJ18" t="s">
        <v>281</v>
      </c>
      <c r="CK18" t="s">
        <v>162</v>
      </c>
      <c r="CL18" t="s">
        <v>162</v>
      </c>
      <c r="CM18" t="s">
        <v>282</v>
      </c>
      <c r="CN18" t="s">
        <v>162</v>
      </c>
      <c r="CO18" t="s">
        <v>162</v>
      </c>
      <c r="CP18" t="s">
        <v>162</v>
      </c>
      <c r="CQ18" t="s">
        <v>162</v>
      </c>
      <c r="CR18" t="s">
        <v>162</v>
      </c>
      <c r="CS18" t="s">
        <v>162</v>
      </c>
      <c r="CT18" t="s">
        <v>162</v>
      </c>
      <c r="CU18">
        <v>34.6</v>
      </c>
      <c r="CV18" t="s">
        <v>161</v>
      </c>
      <c r="CW18">
        <v>1</v>
      </c>
      <c r="CX18" s="136" t="s">
        <v>287</v>
      </c>
      <c r="CY18">
        <v>2.1000000000000001E-2</v>
      </c>
      <c r="CZ18" t="s">
        <v>167</v>
      </c>
      <c r="DA18" t="s">
        <v>167</v>
      </c>
      <c r="DB18" t="s">
        <v>288</v>
      </c>
      <c r="DC18">
        <v>4.2000000000000003E-2</v>
      </c>
      <c r="DD18" t="s">
        <v>167</v>
      </c>
      <c r="DE18" t="s">
        <v>167</v>
      </c>
      <c r="DF18" t="s">
        <v>289</v>
      </c>
      <c r="DG18" t="s">
        <v>166</v>
      </c>
      <c r="DH18" t="s">
        <v>167</v>
      </c>
      <c r="DI18" t="s">
        <v>167</v>
      </c>
      <c r="DJ18" t="s">
        <v>167</v>
      </c>
      <c r="DK18" s="133">
        <v>380</v>
      </c>
      <c r="DL18" t="s">
        <v>168</v>
      </c>
      <c r="DM18" s="133">
        <v>10.9</v>
      </c>
      <c r="DN18" t="s">
        <v>290</v>
      </c>
      <c r="DO18" s="146">
        <v>39.450000000000003</v>
      </c>
      <c r="DP18" t="s">
        <v>291</v>
      </c>
      <c r="DQ18">
        <v>0.4</v>
      </c>
      <c r="DR18" t="s">
        <v>292</v>
      </c>
      <c r="DS18" t="s">
        <v>294</v>
      </c>
      <c r="DT18" t="s">
        <v>293</v>
      </c>
      <c r="DU18">
        <v>1.0271999999999999</v>
      </c>
      <c r="DV18" t="s">
        <v>169</v>
      </c>
      <c r="DW18" t="s">
        <v>169</v>
      </c>
      <c r="DX18" t="s">
        <v>175</v>
      </c>
      <c r="DY18" t="s">
        <v>169</v>
      </c>
      <c r="DZ18" t="s">
        <v>169</v>
      </c>
      <c r="EA18" t="s">
        <v>295</v>
      </c>
      <c r="EB18" t="s">
        <v>294</v>
      </c>
      <c r="EC18" t="s">
        <v>294</v>
      </c>
      <c r="ED18" t="s">
        <v>294</v>
      </c>
      <c r="EE18" t="s">
        <v>294</v>
      </c>
      <c r="EF18" t="s">
        <v>294</v>
      </c>
      <c r="EG18" t="s">
        <v>293</v>
      </c>
      <c r="EH18" t="s">
        <v>170</v>
      </c>
      <c r="EI18" t="s">
        <v>296</v>
      </c>
      <c r="EK18">
        <v>2303</v>
      </c>
      <c r="EL18" t="s">
        <v>171</v>
      </c>
      <c r="EM18">
        <v>100</v>
      </c>
      <c r="EN18">
        <v>100</v>
      </c>
      <c r="EO18" t="s">
        <v>162</v>
      </c>
      <c r="EP18" t="s">
        <v>162</v>
      </c>
      <c r="EQ18" t="s">
        <v>162</v>
      </c>
      <c r="ER18" t="s">
        <v>162</v>
      </c>
      <c r="ES18" s="154">
        <v>7.8155644369999999</v>
      </c>
      <c r="ET18" s="135" t="s">
        <v>172</v>
      </c>
      <c r="EU18" s="154">
        <v>0.13981643600000027</v>
      </c>
      <c r="EV18" s="154">
        <v>0.134817784</v>
      </c>
      <c r="EW18" s="138">
        <v>869.31450489999997</v>
      </c>
      <c r="EX18" s="135" t="s">
        <v>162</v>
      </c>
      <c r="EY18" s="135" t="s">
        <v>162</v>
      </c>
      <c r="EZ18" s="138">
        <v>869.31450489999997</v>
      </c>
      <c r="FA18" s="138">
        <v>321.80496010000002</v>
      </c>
      <c r="FB18" s="138">
        <v>242.35871569999995</v>
      </c>
      <c r="FC18" t="s">
        <v>297</v>
      </c>
      <c r="FD18" t="s">
        <v>298</v>
      </c>
      <c r="FE18" t="s">
        <v>173</v>
      </c>
      <c r="FF18" t="s">
        <v>173</v>
      </c>
      <c r="FG18" t="s">
        <v>173</v>
      </c>
      <c r="FH18" s="138">
        <v>2263.909204</v>
      </c>
      <c r="FI18" s="138">
        <v>102.90375099999983</v>
      </c>
      <c r="FJ18" s="138">
        <v>103.65642699999989</v>
      </c>
      <c r="FK18" s="153">
        <v>9.7660706840000007</v>
      </c>
      <c r="FL18" s="153">
        <v>3.5542457259999996</v>
      </c>
      <c r="FM18" s="153">
        <v>2.6606924130000005</v>
      </c>
      <c r="FN18" t="s">
        <v>173</v>
      </c>
      <c r="FO18" t="s">
        <v>173</v>
      </c>
      <c r="FP18" t="s">
        <v>173</v>
      </c>
      <c r="FQ18" t="s">
        <v>299</v>
      </c>
    </row>
    <row r="19" spans="1:173" ht="17">
      <c r="A19" t="s">
        <v>152</v>
      </c>
      <c r="B19" t="s">
        <v>156</v>
      </c>
      <c r="C19">
        <v>2019</v>
      </c>
      <c r="D19" t="s">
        <v>301</v>
      </c>
      <c r="E19" s="141">
        <v>65957</v>
      </c>
      <c r="F19" s="142" t="s">
        <v>162</v>
      </c>
      <c r="G19" t="s">
        <v>162</v>
      </c>
      <c r="H19" s="138">
        <v>969.45536700000002</v>
      </c>
      <c r="I19" s="138">
        <v>403.68691699999999</v>
      </c>
      <c r="J19" s="138">
        <v>275.9346961</v>
      </c>
      <c r="K19" t="s">
        <v>157</v>
      </c>
      <c r="L19" s="130" t="s">
        <v>158</v>
      </c>
      <c r="M19" s="143" t="s">
        <v>191</v>
      </c>
      <c r="N19" t="s">
        <v>301</v>
      </c>
      <c r="O19" s="147" t="s">
        <v>208</v>
      </c>
      <c r="P19" s="144" t="s">
        <v>159</v>
      </c>
      <c r="Q19" s="144">
        <v>25</v>
      </c>
      <c r="R19" s="144">
        <v>6</v>
      </c>
      <c r="S19">
        <v>78</v>
      </c>
      <c r="T19">
        <v>80</v>
      </c>
      <c r="U19" s="148" t="s">
        <v>214</v>
      </c>
      <c r="V19" s="148">
        <v>261.26</v>
      </c>
      <c r="W19" t="s">
        <v>221</v>
      </c>
      <c r="X19" t="s">
        <v>217</v>
      </c>
      <c r="Y19" s="132">
        <v>32.652000000000001</v>
      </c>
      <c r="Z19" s="132">
        <v>158.506</v>
      </c>
      <c r="AA19" s="132">
        <v>10</v>
      </c>
      <c r="AB19" s="132">
        <v>175</v>
      </c>
      <c r="AC19" s="132">
        <v>-2387</v>
      </c>
      <c r="AD19" s="132">
        <v>-2500</v>
      </c>
      <c r="AE19" s="151" t="s">
        <v>223</v>
      </c>
      <c r="AF19" t="s">
        <v>160</v>
      </c>
      <c r="AG19" s="141">
        <v>65957</v>
      </c>
      <c r="AH19" s="2" t="s">
        <v>161</v>
      </c>
      <c r="AI19" t="s">
        <v>162</v>
      </c>
      <c r="AJ19" t="s">
        <v>162</v>
      </c>
      <c r="AK19" t="s">
        <v>229</v>
      </c>
      <c r="AL19" t="s">
        <v>230</v>
      </c>
      <c r="AM19" t="s">
        <v>162</v>
      </c>
      <c r="AN19" t="s">
        <v>162</v>
      </c>
      <c r="AO19" t="s">
        <v>162</v>
      </c>
      <c r="AP19" t="s">
        <v>162</v>
      </c>
      <c r="AQ19" t="s">
        <v>162</v>
      </c>
      <c r="AR19" t="s">
        <v>162</v>
      </c>
      <c r="AS19" t="s">
        <v>162</v>
      </c>
      <c r="AT19" t="s">
        <v>162</v>
      </c>
      <c r="AU19" t="s">
        <v>240</v>
      </c>
      <c r="AV19" t="s">
        <v>243</v>
      </c>
      <c r="AW19" t="s">
        <v>250</v>
      </c>
      <c r="AX19" s="134" t="s">
        <v>249</v>
      </c>
      <c r="AY19" t="s">
        <v>251</v>
      </c>
      <c r="AZ19" t="s">
        <v>163</v>
      </c>
      <c r="BA19" t="s">
        <v>164</v>
      </c>
      <c r="BB19" t="s">
        <v>269</v>
      </c>
      <c r="BC19">
        <v>2</v>
      </c>
      <c r="BD19">
        <v>0.12</v>
      </c>
      <c r="BE19" s="153">
        <v>14.14</v>
      </c>
      <c r="BF19" t="s">
        <v>252</v>
      </c>
      <c r="BG19" s="153">
        <v>0.32</v>
      </c>
      <c r="BH19">
        <v>1</v>
      </c>
      <c r="BI19" t="s">
        <v>272</v>
      </c>
      <c r="BJ19" s="2" t="s">
        <v>162</v>
      </c>
      <c r="BK19" t="s">
        <v>273</v>
      </c>
      <c r="BL19" t="s">
        <v>270</v>
      </c>
      <c r="BM19" t="s">
        <v>162</v>
      </c>
      <c r="BN19" t="s">
        <v>162</v>
      </c>
      <c r="BO19" t="s">
        <v>162</v>
      </c>
      <c r="BP19" t="s">
        <v>274</v>
      </c>
      <c r="BQ19" t="s">
        <v>162</v>
      </c>
      <c r="BR19" s="135" t="s">
        <v>162</v>
      </c>
      <c r="BS19" t="s">
        <v>275</v>
      </c>
      <c r="BT19" t="s">
        <v>276</v>
      </c>
      <c r="BU19">
        <v>25</v>
      </c>
      <c r="BV19" t="s">
        <v>169</v>
      </c>
      <c r="BW19" t="s">
        <v>169</v>
      </c>
      <c r="BX19" s="133">
        <v>34.0801981507704</v>
      </c>
      <c r="BY19" t="s">
        <v>277</v>
      </c>
      <c r="BZ19">
        <v>1.0084057535717008</v>
      </c>
      <c r="CA19">
        <v>1.0666698563065964</v>
      </c>
      <c r="CB19" s="153">
        <v>5.6608000000000001</v>
      </c>
      <c r="CC19" s="153">
        <f t="shared" si="1"/>
        <v>5.6608000000000001</v>
      </c>
      <c r="CD19" t="s">
        <v>278</v>
      </c>
      <c r="CE19">
        <v>0.1698240000000002</v>
      </c>
      <c r="CF19">
        <v>0.1698240000000002</v>
      </c>
      <c r="CG19" s="155" t="s">
        <v>279</v>
      </c>
      <c r="CH19" t="s">
        <v>281</v>
      </c>
      <c r="CI19" t="s">
        <v>280</v>
      </c>
      <c r="CJ19" t="s">
        <v>281</v>
      </c>
      <c r="CK19" t="s">
        <v>162</v>
      </c>
      <c r="CL19" t="s">
        <v>162</v>
      </c>
      <c r="CM19" t="s">
        <v>282</v>
      </c>
      <c r="CN19" t="s">
        <v>162</v>
      </c>
      <c r="CO19" t="s">
        <v>162</v>
      </c>
      <c r="CP19" t="s">
        <v>162</v>
      </c>
      <c r="CQ19" t="s">
        <v>162</v>
      </c>
      <c r="CR19" t="s">
        <v>162</v>
      </c>
      <c r="CS19" t="s">
        <v>162</v>
      </c>
      <c r="CT19" t="s">
        <v>162</v>
      </c>
      <c r="CU19">
        <v>34.6</v>
      </c>
      <c r="CV19" t="s">
        <v>161</v>
      </c>
      <c r="CW19">
        <v>1</v>
      </c>
      <c r="CX19" s="136" t="s">
        <v>287</v>
      </c>
      <c r="CY19">
        <v>2.1000000000000001E-2</v>
      </c>
      <c r="CZ19" t="s">
        <v>167</v>
      </c>
      <c r="DA19" t="s">
        <v>167</v>
      </c>
      <c r="DB19" t="s">
        <v>288</v>
      </c>
      <c r="DC19">
        <v>4.2000000000000003E-2</v>
      </c>
      <c r="DD19" t="s">
        <v>167</v>
      </c>
      <c r="DE19" t="s">
        <v>167</v>
      </c>
      <c r="DF19" t="s">
        <v>289</v>
      </c>
      <c r="DG19" t="s">
        <v>166</v>
      </c>
      <c r="DH19" t="s">
        <v>167</v>
      </c>
      <c r="DI19" t="s">
        <v>167</v>
      </c>
      <c r="DJ19" t="s">
        <v>167</v>
      </c>
      <c r="DK19" s="133">
        <v>380</v>
      </c>
      <c r="DL19" t="s">
        <v>168</v>
      </c>
      <c r="DM19" s="133">
        <v>10.9</v>
      </c>
      <c r="DN19" t="s">
        <v>290</v>
      </c>
      <c r="DO19" s="146">
        <v>39.450000000000003</v>
      </c>
      <c r="DP19" t="s">
        <v>291</v>
      </c>
      <c r="DQ19">
        <v>0.4</v>
      </c>
      <c r="DR19" t="s">
        <v>292</v>
      </c>
      <c r="DS19" t="s">
        <v>294</v>
      </c>
      <c r="DT19" t="s">
        <v>293</v>
      </c>
      <c r="DU19">
        <v>1.0271999999999999</v>
      </c>
      <c r="DV19" t="s">
        <v>169</v>
      </c>
      <c r="DW19" t="s">
        <v>169</v>
      </c>
      <c r="DX19" t="s">
        <v>175</v>
      </c>
      <c r="DY19" t="s">
        <v>169</v>
      </c>
      <c r="DZ19" t="s">
        <v>169</v>
      </c>
      <c r="EA19" t="s">
        <v>295</v>
      </c>
      <c r="EB19" t="s">
        <v>294</v>
      </c>
      <c r="EC19" t="s">
        <v>294</v>
      </c>
      <c r="ED19" t="s">
        <v>294</v>
      </c>
      <c r="EE19" t="s">
        <v>294</v>
      </c>
      <c r="EF19" t="s">
        <v>294</v>
      </c>
      <c r="EG19" t="s">
        <v>293</v>
      </c>
      <c r="EH19" t="s">
        <v>170</v>
      </c>
      <c r="EI19" t="s">
        <v>296</v>
      </c>
      <c r="EK19">
        <v>2285</v>
      </c>
      <c r="EL19" t="s">
        <v>171</v>
      </c>
      <c r="EM19">
        <v>100</v>
      </c>
      <c r="EN19">
        <v>100</v>
      </c>
      <c r="EO19" t="s">
        <v>162</v>
      </c>
      <c r="EP19" t="s">
        <v>162</v>
      </c>
      <c r="EQ19" t="s">
        <v>162</v>
      </c>
      <c r="ER19" t="s">
        <v>162</v>
      </c>
      <c r="ES19" s="154">
        <v>7.764215686</v>
      </c>
      <c r="ET19" s="135" t="s">
        <v>172</v>
      </c>
      <c r="EU19" s="154">
        <v>0.14256304099999983</v>
      </c>
      <c r="EV19" s="154">
        <v>0.14863599899999969</v>
      </c>
      <c r="EW19" s="138">
        <v>969.45536700000002</v>
      </c>
      <c r="EX19" s="135" t="s">
        <v>162</v>
      </c>
      <c r="EY19" s="135" t="s">
        <v>162</v>
      </c>
      <c r="EZ19" s="138">
        <v>969.45536700000002</v>
      </c>
      <c r="FA19" s="138">
        <v>403.68691699999999</v>
      </c>
      <c r="FB19" s="138">
        <v>275.9346961</v>
      </c>
      <c r="FC19" t="s">
        <v>297</v>
      </c>
      <c r="FD19" t="s">
        <v>298</v>
      </c>
      <c r="FE19" t="s">
        <v>173</v>
      </c>
      <c r="FF19" t="s">
        <v>173</v>
      </c>
      <c r="FG19" t="s">
        <v>173</v>
      </c>
      <c r="FH19" s="138">
        <v>2257.0510169999998</v>
      </c>
      <c r="FI19" s="138">
        <v>102.24954300000036</v>
      </c>
      <c r="FJ19" s="138">
        <v>103.23905799999966</v>
      </c>
      <c r="FK19" s="153">
        <v>8.5549393719999998</v>
      </c>
      <c r="FL19" s="153">
        <v>3.3757935680000006</v>
      </c>
      <c r="FM19" s="153">
        <v>2.5285334859999997</v>
      </c>
      <c r="FN19" t="s">
        <v>173</v>
      </c>
      <c r="FO19" t="s">
        <v>173</v>
      </c>
      <c r="FP19" t="s">
        <v>173</v>
      </c>
      <c r="FQ19" t="s">
        <v>299</v>
      </c>
    </row>
    <row r="20" spans="1:173" ht="17">
      <c r="A20" t="s">
        <v>152</v>
      </c>
      <c r="B20" t="s">
        <v>156</v>
      </c>
      <c r="C20">
        <v>2019</v>
      </c>
      <c r="D20" t="s">
        <v>301</v>
      </c>
      <c r="E20" s="141">
        <v>65614.099999999991</v>
      </c>
      <c r="F20" s="142" t="s">
        <v>162</v>
      </c>
      <c r="G20" t="s">
        <v>162</v>
      </c>
      <c r="H20" s="138">
        <v>1166.0755569999999</v>
      </c>
      <c r="I20" s="138">
        <v>654.47880200000009</v>
      </c>
      <c r="J20" s="138">
        <v>376.46261219999985</v>
      </c>
      <c r="K20" t="s">
        <v>157</v>
      </c>
      <c r="L20" s="130" t="s">
        <v>158</v>
      </c>
      <c r="M20" s="143" t="s">
        <v>191</v>
      </c>
      <c r="N20" t="s">
        <v>301</v>
      </c>
      <c r="O20" s="147" t="s">
        <v>208</v>
      </c>
      <c r="P20" s="144" t="s">
        <v>159</v>
      </c>
      <c r="Q20" s="144">
        <v>25</v>
      </c>
      <c r="R20" s="144">
        <v>5</v>
      </c>
      <c r="S20">
        <v>94</v>
      </c>
      <c r="T20">
        <v>95</v>
      </c>
      <c r="U20" s="148" t="s">
        <v>215</v>
      </c>
      <c r="V20" s="149">
        <v>259.92250000000001</v>
      </c>
      <c r="W20" t="s">
        <v>221</v>
      </c>
      <c r="X20" t="s">
        <v>217</v>
      </c>
      <c r="Y20" s="132">
        <v>32.652000000000001</v>
      </c>
      <c r="Z20" s="132">
        <v>158.506</v>
      </c>
      <c r="AA20" s="132">
        <v>10</v>
      </c>
      <c r="AB20" s="132">
        <v>175</v>
      </c>
      <c r="AC20" s="132">
        <v>-2387</v>
      </c>
      <c r="AD20" s="132">
        <v>-2500</v>
      </c>
      <c r="AE20" s="151" t="s">
        <v>223</v>
      </c>
      <c r="AF20" t="s">
        <v>160</v>
      </c>
      <c r="AG20" s="141">
        <v>65614.099999999991</v>
      </c>
      <c r="AH20" s="2" t="s">
        <v>161</v>
      </c>
      <c r="AI20" t="s">
        <v>162</v>
      </c>
      <c r="AJ20" t="s">
        <v>162</v>
      </c>
      <c r="AK20" t="s">
        <v>229</v>
      </c>
      <c r="AL20" t="s">
        <v>230</v>
      </c>
      <c r="AM20" t="s">
        <v>162</v>
      </c>
      <c r="AN20" t="s">
        <v>162</v>
      </c>
      <c r="AO20" t="s">
        <v>162</v>
      </c>
      <c r="AP20" t="s">
        <v>162</v>
      </c>
      <c r="AQ20" t="s">
        <v>162</v>
      </c>
      <c r="AR20" t="s">
        <v>162</v>
      </c>
      <c r="AS20" t="s">
        <v>162</v>
      </c>
      <c r="AT20" t="s">
        <v>162</v>
      </c>
      <c r="AU20" t="s">
        <v>240</v>
      </c>
      <c r="AV20" t="s">
        <v>247</v>
      </c>
      <c r="AW20" t="s">
        <v>250</v>
      </c>
      <c r="AX20" s="134" t="s">
        <v>249</v>
      </c>
      <c r="AY20" t="s">
        <v>251</v>
      </c>
      <c r="AZ20" t="s">
        <v>163</v>
      </c>
      <c r="BA20" t="s">
        <v>164</v>
      </c>
      <c r="BB20" t="s">
        <v>253</v>
      </c>
      <c r="BC20">
        <v>2</v>
      </c>
      <c r="BD20" s="154">
        <v>0.56000000000000005</v>
      </c>
      <c r="BE20" s="153">
        <v>13.83</v>
      </c>
      <c r="BF20" t="s">
        <v>252</v>
      </c>
      <c r="BG20" s="153">
        <v>0.5</v>
      </c>
      <c r="BH20">
        <v>1</v>
      </c>
      <c r="BI20" t="s">
        <v>272</v>
      </c>
      <c r="BJ20" s="2" t="s">
        <v>162</v>
      </c>
      <c r="BK20" t="s">
        <v>273</v>
      </c>
      <c r="BL20" t="s">
        <v>270</v>
      </c>
      <c r="BM20" t="s">
        <v>162</v>
      </c>
      <c r="BN20" t="s">
        <v>162</v>
      </c>
      <c r="BO20" t="s">
        <v>162</v>
      </c>
      <c r="BP20" t="s">
        <v>274</v>
      </c>
      <c r="BQ20" t="s">
        <v>162</v>
      </c>
      <c r="BR20" s="135" t="s">
        <v>162</v>
      </c>
      <c r="BS20" t="s">
        <v>275</v>
      </c>
      <c r="BT20" t="s">
        <v>276</v>
      </c>
      <c r="BU20">
        <v>25</v>
      </c>
      <c r="BV20" t="s">
        <v>169</v>
      </c>
      <c r="BW20" t="s">
        <v>169</v>
      </c>
      <c r="BX20" s="133">
        <v>33.601297993016999</v>
      </c>
      <c r="BY20" t="s">
        <v>277</v>
      </c>
      <c r="BZ20">
        <v>1.1888658406755042</v>
      </c>
      <c r="CA20">
        <v>1.2780353055376992</v>
      </c>
      <c r="CB20" s="153">
        <v>5.6315999999999997</v>
      </c>
      <c r="CC20" s="153">
        <f t="shared" si="1"/>
        <v>5.6315999999999997</v>
      </c>
      <c r="CD20" t="s">
        <v>278</v>
      </c>
      <c r="CE20">
        <v>0.16894800000000032</v>
      </c>
      <c r="CF20">
        <v>0.16894800000000032</v>
      </c>
      <c r="CG20" s="155" t="s">
        <v>279</v>
      </c>
      <c r="CH20" t="s">
        <v>281</v>
      </c>
      <c r="CI20" t="s">
        <v>280</v>
      </c>
      <c r="CJ20" t="s">
        <v>281</v>
      </c>
      <c r="CK20" t="s">
        <v>162</v>
      </c>
      <c r="CL20" t="s">
        <v>162</v>
      </c>
      <c r="CM20" t="s">
        <v>282</v>
      </c>
      <c r="CN20" t="s">
        <v>162</v>
      </c>
      <c r="CO20" t="s">
        <v>162</v>
      </c>
      <c r="CP20" t="s">
        <v>162</v>
      </c>
      <c r="CQ20" t="s">
        <v>162</v>
      </c>
      <c r="CR20" t="s">
        <v>162</v>
      </c>
      <c r="CS20" t="s">
        <v>162</v>
      </c>
      <c r="CT20" t="s">
        <v>162</v>
      </c>
      <c r="CU20">
        <v>34.6</v>
      </c>
      <c r="CV20" t="s">
        <v>161</v>
      </c>
      <c r="CW20">
        <v>1</v>
      </c>
      <c r="CX20" s="136" t="s">
        <v>287</v>
      </c>
      <c r="CY20">
        <v>2.1000000000000001E-2</v>
      </c>
      <c r="CZ20" t="s">
        <v>167</v>
      </c>
      <c r="DA20" t="s">
        <v>167</v>
      </c>
      <c r="DB20" t="s">
        <v>288</v>
      </c>
      <c r="DC20">
        <v>4.2000000000000003E-2</v>
      </c>
      <c r="DD20" t="s">
        <v>167</v>
      </c>
      <c r="DE20" t="s">
        <v>167</v>
      </c>
      <c r="DF20" t="s">
        <v>289</v>
      </c>
      <c r="DG20" t="s">
        <v>166</v>
      </c>
      <c r="DH20" t="s">
        <v>167</v>
      </c>
      <c r="DI20" t="s">
        <v>167</v>
      </c>
      <c r="DJ20" t="s">
        <v>167</v>
      </c>
      <c r="DK20" s="133">
        <v>380</v>
      </c>
      <c r="DL20" t="s">
        <v>168</v>
      </c>
      <c r="DM20" s="133">
        <v>10.9</v>
      </c>
      <c r="DN20" t="s">
        <v>290</v>
      </c>
      <c r="DO20" s="146">
        <v>39.450000000000003</v>
      </c>
      <c r="DP20" t="s">
        <v>291</v>
      </c>
      <c r="DQ20">
        <v>0.4</v>
      </c>
      <c r="DR20" t="s">
        <v>292</v>
      </c>
      <c r="DS20" t="s">
        <v>294</v>
      </c>
      <c r="DT20" t="s">
        <v>293</v>
      </c>
      <c r="DU20">
        <v>1.0271999999999999</v>
      </c>
      <c r="DV20" t="s">
        <v>169</v>
      </c>
      <c r="DW20" t="s">
        <v>169</v>
      </c>
      <c r="DX20" t="s">
        <v>175</v>
      </c>
      <c r="DY20" t="s">
        <v>169</v>
      </c>
      <c r="DZ20" t="s">
        <v>169</v>
      </c>
      <c r="EA20" t="s">
        <v>295</v>
      </c>
      <c r="EB20" t="s">
        <v>294</v>
      </c>
      <c r="EC20" t="s">
        <v>294</v>
      </c>
      <c r="ED20" t="s">
        <v>294</v>
      </c>
      <c r="EE20" t="s">
        <v>294</v>
      </c>
      <c r="EF20" t="s">
        <v>294</v>
      </c>
      <c r="EG20" t="s">
        <v>293</v>
      </c>
      <c r="EH20" t="s">
        <v>170</v>
      </c>
      <c r="EI20" t="s">
        <v>296</v>
      </c>
      <c r="EK20">
        <v>2362</v>
      </c>
      <c r="EL20" t="s">
        <v>171</v>
      </c>
      <c r="EM20">
        <v>100</v>
      </c>
      <c r="EN20">
        <v>100</v>
      </c>
      <c r="EO20" t="s">
        <v>162</v>
      </c>
      <c r="EP20" t="s">
        <v>162</v>
      </c>
      <c r="EQ20" t="s">
        <v>162</v>
      </c>
      <c r="ER20" t="s">
        <v>162</v>
      </c>
      <c r="ES20" s="154">
        <v>7.6983369079999999</v>
      </c>
      <c r="ET20" s="135" t="s">
        <v>172</v>
      </c>
      <c r="EU20" s="154">
        <v>0.16724187500000021</v>
      </c>
      <c r="EV20" s="154">
        <v>0.19166275200000005</v>
      </c>
      <c r="EW20" s="138">
        <v>1166.0755569999999</v>
      </c>
      <c r="EX20" s="135" t="s">
        <v>162</v>
      </c>
      <c r="EY20" s="135" t="s">
        <v>162</v>
      </c>
      <c r="EZ20" s="138">
        <v>1166.0755569999999</v>
      </c>
      <c r="FA20" s="138">
        <v>654.47880200000009</v>
      </c>
      <c r="FB20" s="138">
        <v>376.46261219999985</v>
      </c>
      <c r="FC20" t="s">
        <v>297</v>
      </c>
      <c r="FD20" t="s">
        <v>298</v>
      </c>
      <c r="FE20" t="s">
        <v>173</v>
      </c>
      <c r="FF20" t="s">
        <v>173</v>
      </c>
      <c r="FG20" t="s">
        <v>173</v>
      </c>
      <c r="FH20" s="138">
        <v>2341.5646660000002</v>
      </c>
      <c r="FI20" s="138">
        <v>105.97280000000001</v>
      </c>
      <c r="FJ20" s="138">
        <v>101.14341100000001</v>
      </c>
      <c r="FK20" s="153">
        <v>7.567171675</v>
      </c>
      <c r="FL20" s="153">
        <v>3.5630207050000005</v>
      </c>
      <c r="FM20" s="153">
        <v>2.7767824509999999</v>
      </c>
      <c r="FN20" t="s">
        <v>173</v>
      </c>
      <c r="FO20" t="s">
        <v>173</v>
      </c>
      <c r="FP20" t="s">
        <v>173</v>
      </c>
      <c r="FQ20" t="s">
        <v>299</v>
      </c>
    </row>
    <row r="21" spans="1:173">
      <c r="U21" s="148"/>
      <c r="V21" s="148"/>
      <c r="CB21" s="152"/>
      <c r="CC21" s="133"/>
      <c r="CE21" s="133"/>
      <c r="CF21" s="133"/>
      <c r="CG21" s="153"/>
      <c r="CH21" s="153"/>
      <c r="EY21" s="154"/>
      <c r="EZ21" s="154"/>
      <c r="FA21" s="154"/>
      <c r="FB21" s="154"/>
      <c r="FC21" s="154"/>
      <c r="FH21" s="138"/>
      <c r="FI21" s="138"/>
      <c r="FJ21" s="138"/>
      <c r="FL21" s="153"/>
      <c r="FM21" s="153"/>
    </row>
    <row r="22" spans="1:173">
      <c r="U22" s="148"/>
      <c r="V22" s="148"/>
      <c r="CB22" s="152"/>
      <c r="CC22" s="133"/>
      <c r="CE22" s="133"/>
      <c r="CF22" s="133"/>
      <c r="CG22" s="153"/>
      <c r="CH22" s="153"/>
      <c r="EY22" s="154"/>
      <c r="EZ22" s="154"/>
      <c r="FA22" s="154"/>
      <c r="FB22" s="154"/>
      <c r="FC22" s="154"/>
      <c r="FH22" s="138"/>
      <c r="FI22" s="138"/>
      <c r="FJ22" s="138"/>
      <c r="FL22" s="153"/>
      <c r="FM22" s="153"/>
    </row>
    <row r="23" spans="1:173">
      <c r="U23" s="148"/>
      <c r="V23" s="148"/>
      <c r="CB23" s="152"/>
      <c r="CC23" s="133"/>
      <c r="CD23" s="153"/>
      <c r="CE23" s="133"/>
      <c r="CF23" s="133"/>
      <c r="CG23" s="153"/>
      <c r="CH23" s="153"/>
      <c r="EY23" s="154"/>
      <c r="EZ23" s="154"/>
      <c r="FA23" s="154"/>
      <c r="FB23" s="154"/>
      <c r="FC23" s="154"/>
      <c r="FH23" s="138"/>
      <c r="FI23" s="138"/>
      <c r="FJ23" s="138"/>
      <c r="FL23" s="153"/>
      <c r="FM23" s="153"/>
    </row>
    <row r="24" spans="1:173">
      <c r="CB24" s="152"/>
      <c r="CC24" s="133"/>
      <c r="CD24" s="133"/>
      <c r="CE24" s="133"/>
      <c r="CF24" s="133"/>
      <c r="CG24" s="153"/>
      <c r="CH24" s="153"/>
      <c r="EY24" s="154"/>
      <c r="EZ24" s="154"/>
      <c r="FA24" s="154"/>
      <c r="FB24" s="154"/>
      <c r="FC24" s="154"/>
      <c r="FH24" s="138"/>
      <c r="FI24" s="138"/>
      <c r="FJ24" s="138"/>
      <c r="FL24" s="153"/>
      <c r="FM24" s="153"/>
    </row>
    <row r="25" spans="1:173">
      <c r="CB25" s="152"/>
      <c r="CC25" s="133"/>
      <c r="CD25" s="133"/>
      <c r="CE25" s="133"/>
      <c r="CF25" s="133"/>
      <c r="CG25" s="153"/>
      <c r="CH25" s="153"/>
      <c r="EY25" s="154"/>
      <c r="EZ25" s="154"/>
      <c r="FA25" s="154"/>
      <c r="FB25" s="154"/>
      <c r="FC25" s="154"/>
      <c r="FH25" s="138"/>
      <c r="FI25" s="138"/>
      <c r="FJ25" s="138"/>
      <c r="FL25" s="153"/>
      <c r="FM25" s="153"/>
    </row>
    <row r="26" spans="1:173">
      <c r="CB26" s="152"/>
      <c r="CC26" s="133"/>
      <c r="CD26" s="133"/>
      <c r="CE26" s="133"/>
      <c r="CF26" s="133"/>
      <c r="CG26" s="153"/>
      <c r="CH26" s="153"/>
      <c r="EY26" s="154"/>
      <c r="EZ26" s="154"/>
      <c r="FA26" s="154"/>
      <c r="FB26" s="154"/>
      <c r="FC26" s="154"/>
      <c r="FH26" s="138"/>
      <c r="FI26" s="138"/>
      <c r="FJ26" s="138"/>
      <c r="FL26" s="153"/>
      <c r="FM26" s="153"/>
    </row>
    <row r="27" spans="1:173">
      <c r="CE27" s="133"/>
      <c r="CF27" s="133"/>
      <c r="EY27" s="154"/>
      <c r="EZ27" s="154"/>
      <c r="FA27" s="154"/>
      <c r="FB27" s="154"/>
      <c r="FC27" s="154"/>
      <c r="FH27" s="138"/>
      <c r="FI27" s="138"/>
      <c r="FJ27" s="138"/>
      <c r="FL27" s="153"/>
      <c r="FM27" s="153"/>
    </row>
    <row r="28" spans="1:173">
      <c r="CE28" s="133"/>
      <c r="CF28" s="133"/>
      <c r="EY28" s="154"/>
      <c r="EZ28" s="154"/>
      <c r="FA28" s="154"/>
      <c r="FB28" s="154"/>
      <c r="FC28" s="154"/>
      <c r="FH28" s="138"/>
      <c r="FI28" s="138"/>
      <c r="FJ28" s="138"/>
      <c r="FL28" s="153"/>
      <c r="FM28" s="153"/>
    </row>
    <row r="29" spans="1:173">
      <c r="CE29" s="133"/>
      <c r="CF29" s="133"/>
      <c r="FH29" s="138"/>
      <c r="FI29" s="138"/>
      <c r="FJ29" s="138"/>
      <c r="FL29" s="153"/>
      <c r="FM29" s="153"/>
    </row>
    <row r="30" spans="1:173">
      <c r="CE30" s="133"/>
      <c r="CF30" s="133"/>
      <c r="FH30" s="138"/>
      <c r="FI30" s="138"/>
      <c r="FJ30" s="138"/>
      <c r="FL30" s="153"/>
      <c r="FM30" s="153"/>
    </row>
    <row r="31" spans="1:173">
      <c r="CE31" s="133"/>
      <c r="CF31" s="133"/>
      <c r="FH31" s="138"/>
      <c r="FI31" s="138"/>
      <c r="FJ31" s="138"/>
      <c r="FL31" s="153"/>
      <c r="FM31" s="153"/>
    </row>
    <row r="32" spans="1:173">
      <c r="CE32" s="133"/>
      <c r="CF32" s="133"/>
      <c r="FH32" s="138"/>
      <c r="FI32" s="138"/>
      <c r="FJ32" s="138"/>
      <c r="FL32" s="153"/>
      <c r="FM32" s="153"/>
    </row>
    <row r="33" spans="83:169">
      <c r="CE33" s="133"/>
      <c r="CF33" s="133"/>
      <c r="FH33" s="138"/>
      <c r="FI33" s="138"/>
      <c r="FJ33" s="138"/>
      <c r="FL33" s="153"/>
      <c r="FM33" s="153"/>
    </row>
    <row r="34" spans="83:169">
      <c r="CE34" s="133"/>
      <c r="CF34" s="133"/>
      <c r="FH34" s="138"/>
      <c r="FI34" s="138"/>
      <c r="FJ34" s="138"/>
      <c r="FL34" s="153"/>
      <c r="FM34" s="153"/>
    </row>
    <row r="35" spans="83:169">
      <c r="CE35" s="133"/>
      <c r="CF35" s="133"/>
      <c r="FH35" s="138"/>
      <c r="FI35" s="138"/>
      <c r="FJ35" s="138"/>
      <c r="FL35" s="153"/>
      <c r="FM35" s="153"/>
    </row>
    <row r="36" spans="83:169">
      <c r="CE36" s="133"/>
      <c r="CF36" s="133"/>
      <c r="FH36" s="138"/>
      <c r="FI36" s="138"/>
      <c r="FJ36" s="138"/>
      <c r="FL36" s="153"/>
      <c r="FM36" s="153"/>
    </row>
    <row r="37" spans="83:169">
      <c r="CE37" s="133"/>
      <c r="CF37" s="133"/>
      <c r="FH37" s="138"/>
      <c r="FI37" s="138"/>
      <c r="FJ37" s="138"/>
      <c r="FL37" s="153"/>
      <c r="FM37" s="153"/>
    </row>
    <row r="38" spans="83:169">
      <c r="CE38" s="133"/>
      <c r="CF38" s="133"/>
      <c r="FH38" s="138"/>
      <c r="FI38" s="138"/>
      <c r="FJ38" s="138"/>
      <c r="FL38" s="153"/>
      <c r="FM38" s="153"/>
    </row>
    <row r="39" spans="83:169">
      <c r="CE39" s="133"/>
      <c r="CF39" s="133"/>
      <c r="FH39" s="138"/>
      <c r="FI39" s="138"/>
      <c r="FJ39" s="138"/>
      <c r="FL39" s="153"/>
      <c r="FM39" s="153"/>
    </row>
    <row r="40" spans="83:169">
      <c r="CE40" s="133"/>
      <c r="CF40" s="133"/>
      <c r="FH40" s="138"/>
      <c r="FI40" s="138"/>
      <c r="FJ40" s="138"/>
      <c r="FL40" s="153"/>
      <c r="FM40" s="153"/>
    </row>
    <row r="41" spans="83:169">
      <c r="CE41" s="133"/>
      <c r="CF41" s="133"/>
      <c r="FH41" s="138"/>
      <c r="FI41" s="138"/>
      <c r="FJ41" s="138"/>
      <c r="FL41" s="153"/>
      <c r="FM41" s="153"/>
    </row>
    <row r="42" spans="83:169">
      <c r="FH42" s="138"/>
      <c r="FI42" s="138"/>
      <c r="FJ42" s="138"/>
      <c r="FL42" s="153"/>
      <c r="FM42" s="153"/>
    </row>
    <row r="43" spans="83:169">
      <c r="FH43" s="138"/>
      <c r="FI43" s="138"/>
      <c r="FJ43" s="138"/>
      <c r="FL43" s="153"/>
      <c r="FM43" s="153"/>
    </row>
    <row r="44" spans="83:169">
      <c r="FH44" s="138"/>
      <c r="FI44" s="138"/>
      <c r="FJ44" s="138"/>
      <c r="FL44" s="153"/>
      <c r="FM44" s="153"/>
    </row>
    <row r="45" spans="83:169">
      <c r="FH45" s="138"/>
      <c r="FI45" s="138"/>
      <c r="FJ45" s="138"/>
      <c r="FL45" s="153"/>
      <c r="FM45" s="153"/>
    </row>
    <row r="46" spans="83:169">
      <c r="FH46" s="138"/>
      <c r="FI46" s="138"/>
      <c r="FJ46" s="138"/>
      <c r="FL46" s="153"/>
      <c r="FM46" s="153"/>
    </row>
    <row r="47" spans="83:169">
      <c r="FH47" s="138"/>
      <c r="FI47" s="138"/>
      <c r="FJ47" s="138"/>
      <c r="FL47" s="153"/>
      <c r="FM47" s="153"/>
    </row>
    <row r="48" spans="83:169">
      <c r="FH48" s="138"/>
      <c r="FI48" s="138"/>
      <c r="FJ48" s="138"/>
      <c r="FL48" s="153"/>
      <c r="FM48" s="153"/>
    </row>
  </sheetData>
  <phoneticPr fontId="47" type="noConversion"/>
  <hyperlinks>
    <hyperlink ref="L4" r:id="rId1" xr:uid="{B85A912D-4760-5D4A-9AEF-750E3F440D09}"/>
    <hyperlink ref="M4" r:id="rId2" display="http://www.pnas.org/cgi/doi/10.1073/pnas.1905989116" xr:uid="{E157A06E-811E-AD44-9D76-A8CB694EFAB6}"/>
    <hyperlink ref="L5:L20" r:id="rId3" display="henehan@gfz-potsdam.de" xr:uid="{61DF4CAB-EAE5-0D4E-8609-40DAA029C326}"/>
    <hyperlink ref="M5:M20" r:id="rId4" display="http://www.pnas.org/cgi/doi/10.1073/pnas.1905989116" xr:uid="{0CD7DA70-F0B7-B84D-BB7B-7B69FE8F4014}"/>
    <hyperlink ref="M5" r:id="rId5" display="http://www.pnas.org/cgi/doi/10.1073/pnas.1905989116" xr:uid="{87ED29A7-D848-3C47-90CA-42297394A13F}"/>
    <hyperlink ref="M6" r:id="rId6" display="http://www.pnas.org/cgi/doi/10.1073/pnas.1905989116" xr:uid="{A163D8D4-23BA-E04F-9D05-66B711E133C8}"/>
    <hyperlink ref="M7" r:id="rId7" display="http://www.pnas.org/cgi/doi/10.1073/pnas.1905989116" xr:uid="{B76CB77C-CE91-8A48-B4A6-D12802A89A47}"/>
    <hyperlink ref="M8" r:id="rId8" display="http://www.pnas.org/cgi/doi/10.1073/pnas.1905989116" xr:uid="{41B32CE1-25D7-014D-A84E-E06C83E38780}"/>
    <hyperlink ref="M9" r:id="rId9" display="http://www.pnas.org/cgi/doi/10.1073/pnas.1905989116" xr:uid="{D55C4608-ED50-5C47-AA82-8A69ADBC7067}"/>
    <hyperlink ref="M10" r:id="rId10" display="http://www.pnas.org/cgi/doi/10.1073/pnas.1905989116" xr:uid="{88B8F430-8FFA-404C-8EEB-828863B3A524}"/>
    <hyperlink ref="M11" r:id="rId11" display="http://www.pnas.org/cgi/doi/10.1073/pnas.1905989116" xr:uid="{476B4169-35D4-B74D-988D-096D966023FA}"/>
    <hyperlink ref="M12" r:id="rId12" display="http://www.pnas.org/cgi/doi/10.1073/pnas.1905989116" xr:uid="{55034CC6-DA3A-F44E-BAC3-8BAA07BD42B7}"/>
    <hyperlink ref="M13" r:id="rId13" display="http://www.pnas.org/cgi/doi/10.1073/pnas.1905989116" xr:uid="{BE081FD6-7B36-154A-B8CD-6FB8321F2AC9}"/>
    <hyperlink ref="M14" r:id="rId14" display="http://www.pnas.org/cgi/doi/10.1073/pnas.1905989116" xr:uid="{E3E48251-4D12-494F-9459-D95478CCE9A9}"/>
    <hyperlink ref="M15" r:id="rId15" display="http://www.pnas.org/cgi/doi/10.1073/pnas.1905989116" xr:uid="{2D245E0B-D1E0-6849-888C-663A27187F22}"/>
    <hyperlink ref="M16" r:id="rId16" display="http://www.pnas.org/cgi/doi/10.1073/pnas.1905989116" xr:uid="{531740D1-8651-A347-A957-8C23F1418D3F}"/>
    <hyperlink ref="M17" r:id="rId17" display="http://www.pnas.org/cgi/doi/10.1073/pnas.1905989116" xr:uid="{4CDCD447-576E-854A-A6C0-AE09A5D47D72}"/>
    <hyperlink ref="M18" r:id="rId18" display="http://www.pnas.org/cgi/doi/10.1073/pnas.1905989116" xr:uid="{3C6704CD-090C-2B43-8531-E5759A7C2056}"/>
    <hyperlink ref="M19" r:id="rId19" display="http://www.pnas.org/cgi/doi/10.1073/pnas.1905989116" xr:uid="{DB94AF84-C028-6A47-9FEF-D66C759A8694}"/>
    <hyperlink ref="M20" r:id="rId20" display="http://www.pnas.org/cgi/doi/10.1073/pnas.1905989116" xr:uid="{1F208A32-50F8-924D-AD14-0EE76F7C367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51AB7-58BC-DB4B-B837-DE2B09433217}">
  <dimension ref="A1:A3"/>
  <sheetViews>
    <sheetView workbookViewId="0">
      <selection sqref="A1:A3"/>
    </sheetView>
  </sheetViews>
  <sheetFormatPr baseColWidth="10" defaultRowHeight="16"/>
  <sheetData>
    <row r="1" spans="1:1">
      <c r="A1" t="s">
        <v>0</v>
      </c>
    </row>
    <row r="2" spans="1:1">
      <c r="A2" t="s">
        <v>185</v>
      </c>
    </row>
    <row r="3" spans="1:1">
      <c r="A3"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boron isotopes</vt:lpstr>
      <vt:lpstr>Column specifications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2017-12-08T17:15:47Z</dcterms:created>
  <dcterms:modified xsi:type="dcterms:W3CDTF">2023-11-16T16:01:58Z</dcterms:modified>
</cp:coreProperties>
</file>