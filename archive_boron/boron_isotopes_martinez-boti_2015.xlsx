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Daphnia/Desktop/"/>
    </mc:Choice>
  </mc:AlternateContent>
  <xr:revisionPtr revIDLastSave="0" documentId="13_ncr:1_{8E69AA4C-9287-6C48-B080-AF8A7DB6001D}" xr6:coauthVersionLast="47" xr6:coauthVersionMax="47" xr10:uidLastSave="{00000000-0000-0000-0000-000000000000}"/>
  <bookViews>
    <workbookView xWindow="3380" yWindow="1000" windowWidth="25420" windowHeight="14680" tabRatio="500" xr2:uid="{00000000-000D-0000-FFFF-FFFF00000000}"/>
  </bookViews>
  <sheets>
    <sheet name="boron isotopes" sheetId="2" r:id="rId1"/>
    <sheet name="Column specifications" sheetId="3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W6" i="2" l="1"/>
  <c r="EW5" i="2"/>
  <c r="EW4" i="2"/>
  <c r="CE4" i="2"/>
  <c r="CF4" i="2"/>
  <c r="CE5" i="2"/>
  <c r="CF5" i="2"/>
  <c r="CE6" i="2"/>
  <c r="CF6" i="2"/>
  <c r="BP4" i="2"/>
  <c r="BP5" i="2"/>
  <c r="BP6" i="2"/>
  <c r="H4" i="2"/>
  <c r="I4" i="2"/>
  <c r="J4" i="2"/>
  <c r="H5" i="2"/>
  <c r="I5" i="2"/>
  <c r="J5" i="2"/>
  <c r="H6" i="2"/>
  <c r="I6" i="2"/>
  <c r="J6" i="2"/>
  <c r="E4" i="2"/>
  <c r="E5" i="2"/>
  <c r="E6" i="2"/>
  <c r="E77" i="2"/>
  <c r="EW79" i="2"/>
  <c r="EW80" i="2"/>
  <c r="EW81" i="2"/>
  <c r="EW82" i="2"/>
  <c r="EW83" i="2"/>
  <c r="EW84" i="2"/>
  <c r="EW85" i="2"/>
  <c r="EW78" i="2"/>
  <c r="BP85" i="2"/>
  <c r="BP78" i="2"/>
  <c r="BP79" i="2"/>
  <c r="BP80" i="2"/>
  <c r="BP81" i="2"/>
  <c r="BP82" i="2"/>
  <c r="BP83" i="2"/>
  <c r="BP84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CE7" i="2"/>
  <c r="CF7" i="2"/>
  <c r="CE8" i="2"/>
  <c r="CF8" i="2"/>
  <c r="CE9" i="2"/>
  <c r="CF9" i="2"/>
  <c r="CE10" i="2"/>
  <c r="CF10" i="2"/>
  <c r="CE11" i="2"/>
  <c r="CF11" i="2"/>
  <c r="CE12" i="2"/>
  <c r="CF12" i="2"/>
  <c r="CE13" i="2"/>
  <c r="CF13" i="2"/>
  <c r="CE14" i="2"/>
  <c r="CF14" i="2"/>
  <c r="CE15" i="2"/>
  <c r="CF15" i="2"/>
  <c r="CE16" i="2"/>
  <c r="CF16" i="2"/>
  <c r="CE17" i="2"/>
  <c r="CF17" i="2"/>
  <c r="CE18" i="2"/>
  <c r="CF18" i="2"/>
  <c r="CE19" i="2"/>
  <c r="CF19" i="2"/>
  <c r="CE20" i="2"/>
  <c r="CF20" i="2"/>
  <c r="CE21" i="2"/>
  <c r="CF21" i="2"/>
  <c r="CE22" i="2"/>
  <c r="CF22" i="2"/>
  <c r="CE23" i="2"/>
  <c r="CF23" i="2"/>
  <c r="CE24" i="2"/>
  <c r="CF24" i="2"/>
  <c r="CE25" i="2"/>
  <c r="CF25" i="2"/>
  <c r="CE26" i="2"/>
  <c r="CF26" i="2"/>
  <c r="CE27" i="2"/>
  <c r="CF27" i="2"/>
  <c r="CE28" i="2"/>
  <c r="CF28" i="2"/>
  <c r="CE29" i="2"/>
  <c r="CF29" i="2"/>
  <c r="CE30" i="2"/>
  <c r="CF30" i="2"/>
  <c r="CE31" i="2"/>
  <c r="CF31" i="2"/>
  <c r="CE32" i="2"/>
  <c r="CF32" i="2"/>
  <c r="CE33" i="2"/>
  <c r="CF33" i="2"/>
  <c r="CE34" i="2"/>
  <c r="CF34" i="2"/>
  <c r="CE35" i="2"/>
  <c r="CF35" i="2"/>
  <c r="CE36" i="2"/>
  <c r="CF36" i="2"/>
  <c r="CE37" i="2"/>
  <c r="CF37" i="2"/>
  <c r="CE38" i="2"/>
  <c r="CF38" i="2"/>
  <c r="CE39" i="2"/>
  <c r="CF39" i="2"/>
  <c r="CE40" i="2"/>
  <c r="CF40" i="2"/>
  <c r="CE41" i="2"/>
  <c r="CF41" i="2"/>
  <c r="CE42" i="2"/>
  <c r="CF42" i="2"/>
  <c r="CE43" i="2"/>
  <c r="CF43" i="2"/>
  <c r="CE44" i="2"/>
  <c r="CF44" i="2"/>
  <c r="CE45" i="2"/>
  <c r="CF45" i="2"/>
  <c r="CE46" i="2"/>
  <c r="CF46" i="2"/>
  <c r="CE47" i="2"/>
  <c r="CF47" i="2"/>
  <c r="CE48" i="2"/>
  <c r="CF48" i="2"/>
  <c r="CE49" i="2"/>
  <c r="CF49" i="2"/>
  <c r="CE50" i="2"/>
  <c r="CF50" i="2"/>
  <c r="CE51" i="2"/>
  <c r="CF51" i="2"/>
  <c r="CE52" i="2"/>
  <c r="CF52" i="2"/>
  <c r="CE53" i="2"/>
  <c r="CF53" i="2"/>
  <c r="CE54" i="2"/>
  <c r="CF54" i="2"/>
  <c r="CE55" i="2"/>
  <c r="CF55" i="2"/>
  <c r="CE56" i="2"/>
  <c r="CF56" i="2"/>
  <c r="CE57" i="2"/>
  <c r="CF57" i="2"/>
  <c r="CE58" i="2"/>
  <c r="CF58" i="2"/>
  <c r="CE59" i="2"/>
  <c r="CF59" i="2"/>
  <c r="CE60" i="2"/>
  <c r="CF60" i="2"/>
  <c r="CE61" i="2"/>
  <c r="CF61" i="2"/>
  <c r="CE62" i="2"/>
  <c r="CF62" i="2"/>
  <c r="CE63" i="2"/>
  <c r="CF63" i="2"/>
  <c r="CE64" i="2"/>
  <c r="CF64" i="2"/>
  <c r="CE65" i="2"/>
  <c r="CF65" i="2"/>
  <c r="CE66" i="2"/>
  <c r="CF66" i="2"/>
  <c r="CE67" i="2"/>
  <c r="CF67" i="2"/>
  <c r="CE68" i="2"/>
  <c r="CF68" i="2"/>
  <c r="CE69" i="2"/>
  <c r="CF69" i="2"/>
  <c r="CE70" i="2"/>
  <c r="CF70" i="2"/>
  <c r="CE71" i="2"/>
  <c r="CF71" i="2"/>
  <c r="CE72" i="2"/>
  <c r="CF72" i="2"/>
  <c r="CE73" i="2"/>
  <c r="CF73" i="2"/>
  <c r="CE74" i="2"/>
  <c r="CF74" i="2"/>
  <c r="CE75" i="2"/>
  <c r="CF75" i="2"/>
  <c r="CE76" i="2"/>
  <c r="CF76" i="2"/>
  <c r="CE77" i="2"/>
  <c r="CF77" i="2"/>
</calcChain>
</file>

<file path=xl/sharedStrings.xml><?xml version="1.0" encoding="utf-8"?>
<sst xmlns="http://schemas.openxmlformats.org/spreadsheetml/2006/main" count="10287" uniqueCount="253">
  <si>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</si>
  <si>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</si>
  <si>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</si>
  <si>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</si>
  <si>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</si>
  <si>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</si>
  <si>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</si>
  <si>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</si>
  <si>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</si>
  <si>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</si>
  <si>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</si>
  <si>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</si>
  <si>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</si>
  <si>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</si>
  <si>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</si>
  <si>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</si>
  <si>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</si>
  <si>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</si>
  <si>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</si>
  <si>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</si>
  <si>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</si>
  <si>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</si>
  <si>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</si>
  <si>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</si>
  <si>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</si>
  <si>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</si>
  <si>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</si>
  <si>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</si>
  <si>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</si>
  <si>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</si>
  <si>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</si>
  <si>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</si>
  <si>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</si>
  <si>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</si>
  <si>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</si>
  <si>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</si>
  <si>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</si>
  <si>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</si>
  <si>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</si>
  <si>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</si>
  <si>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</si>
  <si>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</si>
  <si>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</si>
  <si>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</si>
  <si>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</si>
  <si>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</si>
  <si>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</si>
  <si>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</si>
  <si>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</si>
  <si>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</si>
  <si>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</si>
  <si>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</si>
  <si>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</si>
  <si>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</si>
  <si>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</si>
  <si>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</si>
  <si>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</si>
  <si>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</si>
  <si>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</si>
  <si>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</si>
  <si>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</si>
  <si>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</si>
  <si>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</si>
  <si>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</si>
  <si>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</si>
  <si>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</si>
  <si>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</si>
  <si>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</si>
  <si>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</si>
  <si>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</si>
  <si>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</si>
  <si>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</si>
  <si>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</si>
  <si>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</si>
  <si>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</si>
  <si>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</si>
  <si>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</si>
  <si>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</si>
  <si>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</si>
  <si>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</si>
  <si>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</si>
  <si>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</si>
  <si>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</si>
  <si>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</si>
  <si>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</si>
  <si>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</si>
  <si>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</si>
  <si>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</si>
  <si>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</si>
  <si>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</si>
  <si>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</si>
  <si>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</si>
  <si>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</si>
  <si>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</si>
  <si>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</si>
  <si>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</si>
  <si>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</si>
  <si>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</si>
  <si>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</si>
  <si>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</si>
  <si>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</si>
  <si>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</si>
  <si>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</si>
  <si>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</si>
  <si>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</si>
  <si>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</si>
  <si>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</si>
  <si>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</si>
  <si>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</si>
  <si>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</si>
  <si>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</si>
  <si>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</si>
  <si>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</si>
  <si>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</si>
  <si>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</si>
  <si>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</si>
  <si>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</si>
  <si>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</si>
  <si>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</si>
  <si>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</si>
  <si>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</si>
  <si>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</si>
  <si>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</si>
  <si>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</si>
  <si>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</si>
  <si>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</si>
  <si>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</si>
  <si>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</si>
  <si>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</si>
  <si>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</si>
  <si>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</si>
  <si>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</si>
  <si>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</si>
  <si>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</si>
  <si>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</si>
  <si>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</si>
  <si>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</si>
  <si>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</si>
  <si>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</si>
  <si>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</si>
  <si>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</si>
  <si>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</si>
  <si>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</si>
  <si>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</si>
  <si>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</si>
  <si>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</si>
  <si>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</si>
  <si>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</si>
  <si>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</si>
  <si>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</si>
  <si>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</si>
  <si>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</si>
  <si>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</si>
  <si>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</si>
  <si>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</si>
  <si>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</si>
  <si>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ODP 999</t>
  </si>
  <si>
    <t>A</t>
  </si>
  <si>
    <t>Carribbean</t>
  </si>
  <si>
    <t>set value</t>
  </si>
  <si>
    <t>NA</t>
  </si>
  <si>
    <t>300-355</t>
  </si>
  <si>
    <t>MC-ICPMS</t>
  </si>
  <si>
    <t>normal distribution</t>
  </si>
  <si>
    <t>not applied</t>
  </si>
  <si>
    <t>set salinity value- uncertainty on B/Salinity relationship not included</t>
  </si>
  <si>
    <t>Lee et al 2010</t>
  </si>
  <si>
    <t>Dickson 1990</t>
  </si>
  <si>
    <t xml:space="preserve">None applied, surface pressure </t>
  </si>
  <si>
    <t>Henry's law, as of Weiss 1974, Zeebe Wolf-Gladrow 2001</t>
  </si>
  <si>
    <t>Lueker et al. 2000</t>
  </si>
  <si>
    <t>Total Alkalinity</t>
  </si>
  <si>
    <t>total scale</t>
  </si>
  <si>
    <t xml:space="preserve">NA </t>
  </si>
  <si>
    <t>Martínez-Botí</t>
  </si>
  <si>
    <r>
      <t>Martínez-Botí, M. A., G. L. Foster, T. B. Chalk, E. J. Rohling, P. F. Sexton, D. J. Lunt, R. D. Pancost, M. P. S. Badger and D. N. Schmidt (2015). "Plio-Pleistocene climate sensitivity evaluated using high-resolution 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records." </t>
    </r>
    <r>
      <rPr>
        <u/>
        <sz val="12"/>
        <color theme="1"/>
        <rFont val="Calibri"/>
        <family val="2"/>
        <scheme val="minor"/>
      </rPr>
      <t>Nature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518</t>
    </r>
    <r>
      <rPr>
        <sz val="12"/>
        <color theme="1"/>
        <rFont val="Calibri"/>
        <family val="2"/>
        <scheme val="minor"/>
      </rPr>
      <t>(7537): 49-54.</t>
    </r>
  </si>
  <si>
    <t>Bärbel Hönisch, Elwyn De La Vega</t>
  </si>
  <si>
    <t>tuned to LR04</t>
  </si>
  <si>
    <t xml:space="preserve">Globigerinoides ruber white </t>
  </si>
  <si>
    <t>90-200</t>
  </si>
  <si>
    <t>0.9-2</t>
  </si>
  <si>
    <t>Barker et al., 2003</t>
  </si>
  <si>
    <t>ion exchange chromatography</t>
  </si>
  <si>
    <t>normal distribution - standard deviation</t>
  </si>
  <si>
    <t xml:space="preserve">normal distribution </t>
  </si>
  <si>
    <t>Henehan et al. 2013</t>
  </si>
  <si>
    <t>shell size corrected</t>
  </si>
  <si>
    <t>assumed constant</t>
  </si>
  <si>
    <t>normal distri</t>
  </si>
  <si>
    <t>Dekens et al., 2002</t>
  </si>
  <si>
    <t>linear between modern (Foster et al., 2010) and Miocene (Foster et al., 2012)</t>
  </si>
  <si>
    <t>normal</t>
  </si>
  <si>
    <t>seacarb package in R</t>
  </si>
  <si>
    <t xml:space="preserve">modern </t>
  </si>
  <si>
    <t>Foster, 2008</t>
  </si>
  <si>
    <t>modern kept constant</t>
  </si>
  <si>
    <t>10.1038/nature14145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</si>
  <si>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</si>
  <si>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</si>
  <si>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</si>
  <si>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</si>
  <si>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</si>
  <si>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</si>
  <si>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</si>
  <si>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</si>
  <si>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</si>
  <si>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>hoenisch@ldeo.columbia.edu, elwyn.de-la-vega@soton.ac.uk</t>
  </si>
  <si>
    <t>Evans and Muller, 2012; Delaney et al., 1988</t>
  </si>
  <si>
    <t xml:space="preserve">Elwyn de la Vega </t>
  </si>
  <si>
    <t>elwyn.de-la-vega@soton.ac.uk</t>
  </si>
  <si>
    <t xml:space="preserve"> East equatorial Atlantic</t>
  </si>
  <si>
    <t>set value (flat/uniform)</t>
  </si>
  <si>
    <t xml:space="preserve">Monte Carlo </t>
  </si>
  <si>
    <t>T, S, ALK, [B]T,K0, K1, K2, Kb d11B analysis, d11Bsw, calibration uncertainty</t>
  </si>
  <si>
    <t>Monte Carlo</t>
  </si>
  <si>
    <t>T=(ln(Mg/Ca)test/(0.38/(Mg/Ca)sw^H))/0.09+0.61*depth (with H=0.41)</t>
  </si>
  <si>
    <t>ODP 662</t>
  </si>
  <si>
    <t xml:space="preserve">NA  </t>
  </si>
  <si>
    <t>mixed layer</t>
  </si>
  <si>
    <t>Herbert et al (2010) Tropical ocean temperatures over the past 3.5 million years. Science 328, 1530–1534</t>
  </si>
  <si>
    <t>no, data from Herbert et al. 2010</t>
  </si>
  <si>
    <t>no, data from Herbert et al. 2011</t>
  </si>
  <si>
    <t>no, data from Herbert et al. 2012</t>
  </si>
  <si>
    <t>no, data from Herbert et al. 2013</t>
  </si>
  <si>
    <t>no, data from Herbert et al. 2014</t>
  </si>
  <si>
    <t>no, data from Herbert et al. 2015</t>
  </si>
  <si>
    <t>no, data from Herbert et al. 2016</t>
  </si>
  <si>
    <t>no, data from Herbert et al. 2017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</si>
  <si>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</si>
  <si>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</si>
  <si>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t>Henehan et al. 2010</t>
  </si>
  <si>
    <t>Henehan et al. 2011</t>
  </si>
  <si>
    <t>Henehan et al. 2012</t>
  </si>
  <si>
    <t>Dickson 1987</t>
  </si>
  <si>
    <t>Henry's law, as of Weiss 1974, Zeebe Wolf-Gladrow 1998</t>
  </si>
  <si>
    <t>Foster, 2005</t>
  </si>
  <si>
    <t>Dickson 1988</t>
  </si>
  <si>
    <t>Henry's law, as of Weiss 1974, Zeebe Wolf-Gladrow 1999</t>
  </si>
  <si>
    <t>Foster, 2006</t>
  </si>
  <si>
    <t>Dickson 1989</t>
  </si>
  <si>
    <t>Henry's law, as of Weiss 1974, Zeebe Wolf-Gladrow 2000</t>
  </si>
  <si>
    <t>Foster, 2007</t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</si>
  <si>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</si>
  <si>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</si>
  <si>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t>Fantle and DePaolo, 2006</t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</si>
  <si>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</si>
  <si>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</si>
  <si>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</si>
  <si>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notes about uncertainty estimate: e.g., included calibration slope and intercept</t>
  </si>
  <si>
    <t>CO2_ppm</t>
  </si>
  <si>
    <t>CO2_uncertainty_pos_ppm</t>
  </si>
  <si>
    <t>CO2_uncertainty_neg_ppm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</si>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</sst>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bscript"/>
      <sz val="12"/>
      <color rgb="FF000000"/>
      <name val="Verdana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30" fillId="0" borderId="0" xfId="3"/>
    <xf numFmtId="0" fontId="31" fillId="0" borderId="0" xfId="0" applyFont="1" applyAlignment="1">
      <alignment horizontal="center"/>
    </xf>
    <xf numFmtId="165" fontId="0" fillId="0" borderId="0" xfId="0" applyNumberFormat="1"/>
    <xf numFmtId="2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" fontId="0" fillId="0" borderId="0" xfId="0" applyNumberFormat="1"/>
    <xf numFmtId="0" fontId="0" fillId="0" borderId="0" xfId="0" applyAlignment="1">
      <alignment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4" borderId="4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2" fontId="0" fillId="0" borderId="0" xfId="0" applyNumberFormat="1"/>
    <xf numFmtId="0" fontId="37" fillId="0" borderId="0" xfId="0" applyFont="1"/>
    <xf numFmtId="0" fontId="0" fillId="0" borderId="0" xfId="0" applyFont="1" applyFill="1" applyBorder="1"/>
    <xf numFmtId="0" fontId="21" fillId="11" borderId="2" xfId="0" applyFont="1" applyFill="1" applyBorder="1" applyAlignment="1">
      <alignment horizontal="center" vertical="center" wrapText="1"/>
    </xf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37" fillId="0" borderId="0" xfId="0" applyFont="1" applyFill="1"/>
    <xf numFmtId="0" fontId="37" fillId="0" borderId="0" xfId="0" applyFont="1" applyFill="1" applyAlignment="1">
      <alignment horizontal="center"/>
    </xf>
    <xf numFmtId="0" fontId="37" fillId="0" borderId="0" xfId="0" applyFont="1" applyFill="1" applyAlignment="1">
      <alignment horizontal="left"/>
    </xf>
    <xf numFmtId="0" fontId="6" fillId="0" borderId="0" xfId="0" applyFont="1" applyBorder="1" applyAlignment="1">
      <alignment horizontal="center" vertical="center" wrapText="1"/>
    </xf>
    <xf numFmtId="2" fontId="0" fillId="0" borderId="0" xfId="0" quotePrefix="1" applyNumberForma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20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36" fillId="0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co2 sw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'boron isotopes'!$EW$7:$EW$77</c:f>
              <c:numCache>
                <c:formatCode>0.00</c:formatCode>
                <c:ptCount val="71"/>
                <c:pt idx="0">
                  <c:v>470.90078215328799</c:v>
                </c:pt>
                <c:pt idx="1">
                  <c:v>435.50897655981402</c:v>
                </c:pt>
                <c:pt idx="2">
                  <c:v>392.26089027376901</c:v>
                </c:pt>
                <c:pt idx="3">
                  <c:v>398.045047877451</c:v>
                </c:pt>
                <c:pt idx="4">
                  <c:v>298.500364404793</c:v>
                </c:pt>
                <c:pt idx="5">
                  <c:v>353.102986195992</c:v>
                </c:pt>
                <c:pt idx="6">
                  <c:v>341.225227028125</c:v>
                </c:pt>
                <c:pt idx="7">
                  <c:v>361.326322315536</c:v>
                </c:pt>
                <c:pt idx="8">
                  <c:v>377.62769462737702</c:v>
                </c:pt>
                <c:pt idx="9">
                  <c:v>383.03461847224497</c:v>
                </c:pt>
                <c:pt idx="10">
                  <c:v>266.96959183153297</c:v>
                </c:pt>
                <c:pt idx="11">
                  <c:v>356.451094913063</c:v>
                </c:pt>
                <c:pt idx="12">
                  <c:v>320.50714700684898</c:v>
                </c:pt>
                <c:pt idx="13">
                  <c:v>350.81149666152999</c:v>
                </c:pt>
                <c:pt idx="14">
                  <c:v>382.667928065289</c:v>
                </c:pt>
                <c:pt idx="15">
                  <c:v>299.521083298034</c:v>
                </c:pt>
                <c:pt idx="16">
                  <c:v>325.92913325198901</c:v>
                </c:pt>
                <c:pt idx="17">
                  <c:v>265.921315066369</c:v>
                </c:pt>
                <c:pt idx="18">
                  <c:v>302.85195584967698</c:v>
                </c:pt>
                <c:pt idx="19">
                  <c:v>322.61459250283502</c:v>
                </c:pt>
                <c:pt idx="20">
                  <c:v>283.66564077273</c:v>
                </c:pt>
                <c:pt idx="21">
                  <c:v>343.77037349050102</c:v>
                </c:pt>
                <c:pt idx="22">
                  <c:v>304.779060146007</c:v>
                </c:pt>
                <c:pt idx="23">
                  <c:v>296.60348356145698</c:v>
                </c:pt>
                <c:pt idx="24">
                  <c:v>255.409752036762</c:v>
                </c:pt>
                <c:pt idx="25">
                  <c:v>340.02163467755202</c:v>
                </c:pt>
                <c:pt idx="26">
                  <c:v>283.14235703188501</c:v>
                </c:pt>
                <c:pt idx="27">
                  <c:v>359.75533454464397</c:v>
                </c:pt>
                <c:pt idx="28">
                  <c:v>341.96855335584797</c:v>
                </c:pt>
                <c:pt idx="29">
                  <c:v>379.16447907321401</c:v>
                </c:pt>
                <c:pt idx="30">
                  <c:v>300.07774311078299</c:v>
                </c:pt>
                <c:pt idx="31">
                  <c:v>302.28879872121001</c:v>
                </c:pt>
                <c:pt idx="32">
                  <c:v>338.11605581875699</c:v>
                </c:pt>
                <c:pt idx="33">
                  <c:v>382.39509727157798</c:v>
                </c:pt>
                <c:pt idx="34">
                  <c:v>408.683385175392</c:v>
                </c:pt>
                <c:pt idx="35">
                  <c:v>328.71190055559299</c:v>
                </c:pt>
                <c:pt idx="36">
                  <c:v>465.89181653378398</c:v>
                </c:pt>
                <c:pt idx="37">
                  <c:v>391.56552167107901</c:v>
                </c:pt>
                <c:pt idx="38">
                  <c:v>398.16756706350799</c:v>
                </c:pt>
                <c:pt idx="39">
                  <c:v>358.22498596652099</c:v>
                </c:pt>
                <c:pt idx="40">
                  <c:v>378.80486321970102</c:v>
                </c:pt>
                <c:pt idx="41">
                  <c:v>440.31100384131798</c:v>
                </c:pt>
                <c:pt idx="42">
                  <c:v>366.53105939065603</c:v>
                </c:pt>
                <c:pt idx="43">
                  <c:v>349.215501865688</c:v>
                </c:pt>
                <c:pt idx="44">
                  <c:v>389.95837951399801</c:v>
                </c:pt>
                <c:pt idx="45">
                  <c:v>377.95100904339199</c:v>
                </c:pt>
                <c:pt idx="46">
                  <c:v>401.918887838052</c:v>
                </c:pt>
                <c:pt idx="47">
                  <c:v>440.48208498677502</c:v>
                </c:pt>
                <c:pt idx="48">
                  <c:v>439.02181594779398</c:v>
                </c:pt>
                <c:pt idx="49">
                  <c:v>382.315391905887</c:v>
                </c:pt>
                <c:pt idx="50">
                  <c:v>434.098099028148</c:v>
                </c:pt>
                <c:pt idx="51">
                  <c:v>400.83358018496301</c:v>
                </c:pt>
                <c:pt idx="52">
                  <c:v>355.19677467550503</c:v>
                </c:pt>
                <c:pt idx="53">
                  <c:v>340.30767521218098</c:v>
                </c:pt>
                <c:pt idx="54">
                  <c:v>412.55377622173899</c:v>
                </c:pt>
                <c:pt idx="55">
                  <c:v>366.25334845839598</c:v>
                </c:pt>
                <c:pt idx="56">
                  <c:v>354.873909519606</c:v>
                </c:pt>
                <c:pt idx="57">
                  <c:v>424.17550432894097</c:v>
                </c:pt>
                <c:pt idx="58">
                  <c:v>360.64626515835801</c:v>
                </c:pt>
                <c:pt idx="59">
                  <c:v>472.65168540037001</c:v>
                </c:pt>
                <c:pt idx="60">
                  <c:v>402.07301979576903</c:v>
                </c:pt>
                <c:pt idx="61">
                  <c:v>304.44461302669202</c:v>
                </c:pt>
                <c:pt idx="62">
                  <c:v>351.902805570449</c:v>
                </c:pt>
                <c:pt idx="63">
                  <c:v>347.37900708607202</c:v>
                </c:pt>
                <c:pt idx="64">
                  <c:v>396.84765705955698</c:v>
                </c:pt>
                <c:pt idx="65">
                  <c:v>444.24042050583398</c:v>
                </c:pt>
                <c:pt idx="66">
                  <c:v>375.45720409640398</c:v>
                </c:pt>
                <c:pt idx="67">
                  <c:v>337.30111257034002</c:v>
                </c:pt>
                <c:pt idx="68">
                  <c:v>368.82904691952899</c:v>
                </c:pt>
                <c:pt idx="69">
                  <c:v>385.75081241135001</c:v>
                </c:pt>
                <c:pt idx="70">
                  <c:v>334.369178345254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E-6C46-ACDA-7737BA369C15}"/>
            </c:ext>
          </c:extLst>
        </c:ser>
        <c:ser>
          <c:idx val="1"/>
          <c:order val="1"/>
          <c:tx>
            <c:v>co2 atm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'boron isotopes'!$EZ$7:$EZ$77</c:f>
              <c:numCache>
                <c:formatCode>0.00</c:formatCode>
                <c:ptCount val="71"/>
                <c:pt idx="0">
                  <c:v>449.90078215328799</c:v>
                </c:pt>
                <c:pt idx="1">
                  <c:v>414.50897655981402</c:v>
                </c:pt>
                <c:pt idx="2">
                  <c:v>371.26089027376901</c:v>
                </c:pt>
                <c:pt idx="3">
                  <c:v>377.045047877451</c:v>
                </c:pt>
                <c:pt idx="4">
                  <c:v>277.500364404793</c:v>
                </c:pt>
                <c:pt idx="5">
                  <c:v>332.102986195992</c:v>
                </c:pt>
                <c:pt idx="6">
                  <c:v>320.225227028125</c:v>
                </c:pt>
                <c:pt idx="7">
                  <c:v>340.326322315536</c:v>
                </c:pt>
                <c:pt idx="8">
                  <c:v>356.62769462737702</c:v>
                </c:pt>
                <c:pt idx="9">
                  <c:v>362.03461847224497</c:v>
                </c:pt>
                <c:pt idx="10">
                  <c:v>245.96959183153299</c:v>
                </c:pt>
                <c:pt idx="11">
                  <c:v>335.451094913063</c:v>
                </c:pt>
                <c:pt idx="12">
                  <c:v>299.50714700684898</c:v>
                </c:pt>
                <c:pt idx="13">
                  <c:v>329.81149666152999</c:v>
                </c:pt>
                <c:pt idx="14">
                  <c:v>361.667928065289</c:v>
                </c:pt>
                <c:pt idx="15">
                  <c:v>278.521083298034</c:v>
                </c:pt>
                <c:pt idx="16">
                  <c:v>304.92913325198901</c:v>
                </c:pt>
                <c:pt idx="17">
                  <c:v>244.921315066369</c:v>
                </c:pt>
                <c:pt idx="18">
                  <c:v>281.85195584967698</c:v>
                </c:pt>
                <c:pt idx="19">
                  <c:v>301.61459250283502</c:v>
                </c:pt>
                <c:pt idx="20">
                  <c:v>262.66564077273</c:v>
                </c:pt>
                <c:pt idx="21">
                  <c:v>322.77037349050102</c:v>
                </c:pt>
                <c:pt idx="22">
                  <c:v>283.779060146007</c:v>
                </c:pt>
                <c:pt idx="23">
                  <c:v>275.60348356145698</c:v>
                </c:pt>
                <c:pt idx="24">
                  <c:v>234.409752036762</c:v>
                </c:pt>
                <c:pt idx="25">
                  <c:v>319.02163467755202</c:v>
                </c:pt>
                <c:pt idx="26">
                  <c:v>262.14235703188501</c:v>
                </c:pt>
                <c:pt idx="27">
                  <c:v>338.75533454464397</c:v>
                </c:pt>
                <c:pt idx="28">
                  <c:v>320.96855335584797</c:v>
                </c:pt>
                <c:pt idx="29">
                  <c:v>358.16447907321401</c:v>
                </c:pt>
                <c:pt idx="30">
                  <c:v>279.07774311078299</c:v>
                </c:pt>
                <c:pt idx="31">
                  <c:v>281.28879872121001</c:v>
                </c:pt>
                <c:pt idx="32">
                  <c:v>317.11605581875699</c:v>
                </c:pt>
                <c:pt idx="33">
                  <c:v>361.39509727157798</c:v>
                </c:pt>
                <c:pt idx="34">
                  <c:v>387.683385175392</c:v>
                </c:pt>
                <c:pt idx="35">
                  <c:v>307.71190055559299</c:v>
                </c:pt>
                <c:pt idx="36">
                  <c:v>444.89181653378398</c:v>
                </c:pt>
                <c:pt idx="37">
                  <c:v>370.56552167107901</c:v>
                </c:pt>
                <c:pt idx="38">
                  <c:v>377.16756706350799</c:v>
                </c:pt>
                <c:pt idx="39">
                  <c:v>337.22498596652099</c:v>
                </c:pt>
                <c:pt idx="40">
                  <c:v>357.80486321970102</c:v>
                </c:pt>
                <c:pt idx="41">
                  <c:v>419.31100384131798</c:v>
                </c:pt>
                <c:pt idx="42">
                  <c:v>345.53105939065603</c:v>
                </c:pt>
                <c:pt idx="43">
                  <c:v>328.215501865688</c:v>
                </c:pt>
                <c:pt idx="44">
                  <c:v>368.95837951399801</c:v>
                </c:pt>
                <c:pt idx="45">
                  <c:v>356.95100904339199</c:v>
                </c:pt>
                <c:pt idx="46">
                  <c:v>380.918887838052</c:v>
                </c:pt>
                <c:pt idx="47">
                  <c:v>419.48208498677502</c:v>
                </c:pt>
                <c:pt idx="48">
                  <c:v>418.02181594779398</c:v>
                </c:pt>
                <c:pt idx="49">
                  <c:v>361.315391905887</c:v>
                </c:pt>
                <c:pt idx="50">
                  <c:v>413.098099028148</c:v>
                </c:pt>
                <c:pt idx="51">
                  <c:v>379.83358018496301</c:v>
                </c:pt>
                <c:pt idx="52">
                  <c:v>334.19677467550503</c:v>
                </c:pt>
                <c:pt idx="53">
                  <c:v>319.30767521218098</c:v>
                </c:pt>
                <c:pt idx="54">
                  <c:v>391.55377622173899</c:v>
                </c:pt>
                <c:pt idx="55">
                  <c:v>345.25334845839598</c:v>
                </c:pt>
                <c:pt idx="56">
                  <c:v>333.873909519606</c:v>
                </c:pt>
                <c:pt idx="57">
                  <c:v>403.17550432894097</c:v>
                </c:pt>
                <c:pt idx="58">
                  <c:v>339.64626515835801</c:v>
                </c:pt>
                <c:pt idx="59">
                  <c:v>451.65168540037001</c:v>
                </c:pt>
                <c:pt idx="60">
                  <c:v>381.07301979576903</c:v>
                </c:pt>
                <c:pt idx="61">
                  <c:v>283.44461302669202</c:v>
                </c:pt>
                <c:pt idx="62">
                  <c:v>330.902805570449</c:v>
                </c:pt>
                <c:pt idx="63">
                  <c:v>326.37900708607202</c:v>
                </c:pt>
                <c:pt idx="64">
                  <c:v>375.84765705955698</c:v>
                </c:pt>
                <c:pt idx="65">
                  <c:v>423.24042050583398</c:v>
                </c:pt>
                <c:pt idx="66">
                  <c:v>354.45720409640398</c:v>
                </c:pt>
                <c:pt idx="67">
                  <c:v>316.30111257034002</c:v>
                </c:pt>
                <c:pt idx="68">
                  <c:v>347.82904691952899</c:v>
                </c:pt>
                <c:pt idx="69">
                  <c:v>364.75081241135001</c:v>
                </c:pt>
                <c:pt idx="70">
                  <c:v>313.369178345254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4E-6C46-ACDA-7737BA369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562815"/>
        <c:axId val="926564447"/>
      </c:scatterChart>
      <c:valAx>
        <c:axId val="92656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64447"/>
        <c:crosses val="autoZero"/>
        <c:crossBetween val="midCat"/>
      </c:valAx>
      <c:valAx>
        <c:axId val="9265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6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1178277</xdr:colOff>
      <xdr:row>24</xdr:row>
      <xdr:rowOff>110067</xdr:rowOff>
    </xdr:from>
    <xdr:to>
      <xdr:col>156</xdr:col>
      <xdr:colOff>310444</xdr:colOff>
      <xdr:row>36</xdr:row>
      <xdr:rowOff>143934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F26D2-C484-CF43-921A-FEA1BA1A5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wyn.de-la-vega@soton.ac.uk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elwyn.de-la-vega@soton.ac.uk" TargetMode="External"/><Relationship Id="rId1" Type="http://schemas.openxmlformats.org/officeDocument/2006/relationships/hyperlink" Target="mailto:hoenisch@ldeo.columbia.edu" TargetMode="External"/><Relationship Id="rId6" Type="http://schemas.openxmlformats.org/officeDocument/2006/relationships/hyperlink" Target="mailto:hoenisch@ldeo.columbia.edu" TargetMode="External"/><Relationship Id="rId5" Type="http://schemas.openxmlformats.org/officeDocument/2006/relationships/hyperlink" Target="mailto:hoenisch@ldeo.columbia.edu" TargetMode="External"/><Relationship Id="rId4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92"/>
  <sheetViews>
    <sheetView tabSelected="1" topLeftCell="L53" zoomScale="91" zoomScaleNormal="90" workbookViewId="0">
      <selection activeCell="Q67" sqref="Q67"/>
    </sheetView>
  </sheetViews>
  <sheetFormatPr baseColWidth="10" defaultColWidth="11" defaultRowHeight="16" x14ac:dyDescent="0.2"/>
  <cols>
    <col min="1" max="1" width="14.1640625" customWidth="1"/>
    <col min="2" max="2" width="24.6640625" customWidth="1"/>
    <col min="4" max="4" width="29.33203125" customWidth="1"/>
    <col min="6" max="6" width="14.6640625" customWidth="1"/>
    <col min="7" max="7" width="15.5" customWidth="1"/>
    <col min="11" max="11" width="37.1640625" customWidth="1"/>
    <col min="12" max="12" width="53.83203125" customWidth="1"/>
    <col min="13" max="13" width="46" style="1" customWidth="1"/>
    <col min="14" max="14" width="22.33203125" customWidth="1"/>
    <col min="23" max="23" width="24.6640625" customWidth="1"/>
    <col min="24" max="24" width="23" customWidth="1"/>
    <col min="31" max="31" width="18.6640625" customWidth="1"/>
    <col min="34" max="34" width="13.33203125" customWidth="1"/>
    <col min="35" max="36" width="14.33203125" customWidth="1"/>
    <col min="37" max="37" width="41.5" customWidth="1"/>
    <col min="38" max="38" width="58.5" customWidth="1"/>
    <col min="39" max="39" width="44.83203125" customWidth="1"/>
    <col min="47" max="47" width="28.1640625" style="142" customWidth="1"/>
    <col min="48" max="48" width="13.83203125" customWidth="1"/>
    <col min="49" max="49" width="14.1640625" customWidth="1"/>
    <col min="50" max="50" width="16.6640625" customWidth="1"/>
    <col min="51" max="51" width="24.33203125" customWidth="1"/>
    <col min="52" max="52" width="30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27.1640625" customWidth="1"/>
    <col min="67" max="67" width="29" customWidth="1"/>
    <col min="69" max="69" width="17.33203125" customWidth="1"/>
    <col min="70" max="70" width="12.83203125" customWidth="1"/>
    <col min="71" max="71" width="17.33203125" customWidth="1"/>
    <col min="72" max="72" width="16.6640625" customWidth="1"/>
    <col min="73" max="73" width="17.5" customWidth="1"/>
    <col min="74" max="74" width="15.1640625" customWidth="1"/>
    <col min="75" max="75" width="15.83203125" customWidth="1"/>
    <col min="76" max="76" width="15.6640625" customWidth="1"/>
    <col min="77" max="77" width="23.5" customWidth="1"/>
    <col min="78" max="79" width="14.5" customWidth="1"/>
    <col min="80" max="80" width="35.83203125" customWidth="1"/>
    <col min="81" max="81" width="15.83203125" customWidth="1"/>
    <col min="82" max="82" width="15.6640625" customWidth="1"/>
    <col min="83" max="84" width="16" customWidth="1"/>
    <col min="85" max="85" width="61.6640625" customWidth="1"/>
    <col min="86" max="86" width="40" customWidth="1"/>
    <col min="87" max="88" width="24.1640625" customWidth="1"/>
    <col min="90" max="90" width="20.1640625" customWidth="1"/>
    <col min="91" max="91" width="12.6640625" customWidth="1"/>
    <col min="95" max="95" width="12.83203125" customWidth="1"/>
    <col min="102" max="102" width="17.6640625" customWidth="1"/>
    <col min="103" max="103" width="13.83203125" customWidth="1"/>
    <col min="104" max="105" width="17" customWidth="1"/>
    <col min="106" max="106" width="16.83203125" customWidth="1"/>
    <col min="108" max="108" width="20.5" customWidth="1"/>
    <col min="110" max="110" width="19" customWidth="1"/>
    <col min="111" max="111" width="10.83203125" customWidth="1"/>
    <col min="116" max="116" width="56.83203125" customWidth="1"/>
    <col min="117" max="117" width="17.83203125" customWidth="1"/>
    <col min="118" max="118" width="15" customWidth="1"/>
    <col min="120" max="120" width="37.33203125" customWidth="1"/>
    <col min="121" max="121" width="15.33203125" customWidth="1"/>
    <col min="122" max="122" width="66.1640625" customWidth="1"/>
    <col min="123" max="123" width="14.1640625" customWidth="1"/>
    <col min="124" max="124" width="28.6640625" customWidth="1"/>
    <col min="126" max="126" width="14.33203125" customWidth="1"/>
    <col min="127" max="127" width="13.83203125" customWidth="1"/>
    <col min="128" max="128" width="22" customWidth="1"/>
    <col min="129" max="129" width="15.1640625" customWidth="1"/>
    <col min="130" max="130" width="14.6640625" customWidth="1"/>
    <col min="131" max="131" width="28.6640625" customWidth="1"/>
    <col min="132" max="132" width="51.1640625" customWidth="1"/>
    <col min="133" max="133" width="20.33203125" customWidth="1"/>
    <col min="134" max="134" width="18" customWidth="1"/>
    <col min="135" max="135" width="16.66406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2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61.6640625" customWidth="1"/>
    <col min="156" max="156" width="15.33203125" customWidth="1"/>
    <col min="157" max="158" width="13.83203125" customWidth="1"/>
    <col min="159" max="159" width="27" customWidth="1"/>
    <col min="160" max="160" width="66.1640625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 x14ac:dyDescent="0.25">
      <c r="A1" s="108" t="s">
        <v>124</v>
      </c>
      <c r="B1" s="109"/>
      <c r="C1" s="109"/>
      <c r="D1" s="109"/>
      <c r="E1" s="109"/>
      <c r="F1" s="109"/>
      <c r="G1" s="109"/>
      <c r="H1" s="109"/>
      <c r="I1" s="109"/>
      <c r="J1" s="110"/>
      <c r="K1" s="3" t="s">
        <v>1</v>
      </c>
      <c r="L1" s="4"/>
      <c r="M1" s="5"/>
      <c r="N1" s="6"/>
      <c r="O1" s="7" t="s">
        <v>2</v>
      </c>
      <c r="P1" s="8"/>
      <c r="Q1" s="8"/>
      <c r="R1" s="8"/>
      <c r="S1" s="8"/>
      <c r="T1" s="8"/>
      <c r="U1" s="9"/>
      <c r="V1" s="129"/>
      <c r="W1" s="9"/>
      <c r="X1" s="8"/>
      <c r="Y1" s="8"/>
      <c r="Z1" s="8"/>
      <c r="AA1" s="8"/>
      <c r="AB1" s="8"/>
      <c r="AC1" s="8"/>
      <c r="AD1" s="8"/>
      <c r="AE1" s="8"/>
      <c r="AF1" s="8"/>
      <c r="AG1" s="10" t="s">
        <v>3</v>
      </c>
      <c r="AH1" s="11"/>
      <c r="AI1" s="12"/>
      <c r="AJ1" s="12"/>
      <c r="AK1" s="13"/>
      <c r="AL1" s="13"/>
      <c r="AM1" s="13"/>
      <c r="AN1" s="14"/>
      <c r="AO1" s="13"/>
      <c r="AP1" s="13"/>
      <c r="AQ1" s="13"/>
      <c r="AR1" s="13"/>
      <c r="AS1" s="13"/>
      <c r="AT1" s="13"/>
      <c r="AU1" s="143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8"/>
      <c r="FL1" s="8"/>
      <c r="FM1" s="8"/>
      <c r="FN1" s="8"/>
      <c r="FO1" s="8"/>
      <c r="FP1" s="8"/>
      <c r="FQ1" s="38"/>
    </row>
    <row r="2" spans="1:191" ht="20" x14ac:dyDescent="0.25">
      <c r="A2" s="111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129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1"/>
      <c r="AI2" s="12"/>
      <c r="AJ2" s="12"/>
      <c r="AK2" s="13"/>
      <c r="AL2" s="13"/>
      <c r="AM2" s="13"/>
      <c r="AN2" s="14" t="s">
        <v>15</v>
      </c>
      <c r="AO2" s="13"/>
      <c r="AP2" s="13"/>
      <c r="AQ2" s="13"/>
      <c r="AR2" s="13"/>
      <c r="AS2" s="13"/>
      <c r="AT2" s="13"/>
      <c r="AU2" s="144"/>
      <c r="AV2" s="17"/>
      <c r="AW2" s="15"/>
      <c r="AX2" s="15"/>
      <c r="AY2" s="15"/>
      <c r="AZ2" s="15"/>
      <c r="BA2" s="17"/>
      <c r="BB2" s="46" t="s">
        <v>16</v>
      </c>
      <c r="BC2" s="127"/>
      <c r="BD2" s="127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8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7"/>
      <c r="FF2" s="8"/>
      <c r="FG2" s="8"/>
      <c r="FH2" s="8"/>
      <c r="FI2" s="8"/>
      <c r="FJ2" s="8"/>
      <c r="FK2" s="8"/>
      <c r="FL2" s="8"/>
      <c r="FM2" s="8"/>
      <c r="FN2" s="8"/>
      <c r="FO2" s="8"/>
      <c r="FP2" s="43"/>
      <c r="FQ2" s="73"/>
    </row>
    <row r="3" spans="1:191" ht="238" x14ac:dyDescent="0.2">
      <c r="A3" s="112" t="s">
        <v>125</v>
      </c>
      <c r="B3" s="113" t="s">
        <v>126</v>
      </c>
      <c r="C3" s="113" t="s">
        <v>127</v>
      </c>
      <c r="D3" s="4" t="s">
        <v>128</v>
      </c>
      <c r="E3" s="4" t="s">
        <v>129</v>
      </c>
      <c r="F3" s="114" t="s">
        <v>130</v>
      </c>
      <c r="G3" s="114" t="s">
        <v>131</v>
      </c>
      <c r="H3" s="167" t="s">
        <v>249</v>
      </c>
      <c r="I3" s="168" t="s">
        <v>250</v>
      </c>
      <c r="J3" s="169" t="s">
        <v>251</v>
      </c>
      <c r="K3" s="74" t="s">
        <v>32</v>
      </c>
      <c r="L3" s="75" t="s">
        <v>33</v>
      </c>
      <c r="M3" s="75" t="s">
        <v>34</v>
      </c>
      <c r="N3" s="76" t="s">
        <v>35</v>
      </c>
      <c r="O3" s="77" t="s">
        <v>36</v>
      </c>
      <c r="P3" s="77" t="s">
        <v>37</v>
      </c>
      <c r="Q3" s="77" t="s">
        <v>38</v>
      </c>
      <c r="R3" s="77" t="s">
        <v>39</v>
      </c>
      <c r="S3" s="77" t="s">
        <v>40</v>
      </c>
      <c r="T3" s="77" t="s">
        <v>41</v>
      </c>
      <c r="U3" s="77" t="s">
        <v>42</v>
      </c>
      <c r="V3" s="105" t="s">
        <v>43</v>
      </c>
      <c r="W3" s="77" t="s">
        <v>44</v>
      </c>
      <c r="X3" s="77" t="s">
        <v>45</v>
      </c>
      <c r="Y3" s="77" t="s">
        <v>46</v>
      </c>
      <c r="Z3" s="77" t="s">
        <v>47</v>
      </c>
      <c r="AA3" s="77" t="s">
        <v>48</v>
      </c>
      <c r="AB3" s="77" t="s">
        <v>49</v>
      </c>
      <c r="AC3" s="77" t="s">
        <v>50</v>
      </c>
      <c r="AD3" s="77" t="s">
        <v>51</v>
      </c>
      <c r="AE3" s="77" t="s">
        <v>52</v>
      </c>
      <c r="AF3" s="77" t="s">
        <v>53</v>
      </c>
      <c r="AG3" s="78" t="s">
        <v>136</v>
      </c>
      <c r="AH3" s="79" t="s">
        <v>54</v>
      </c>
      <c r="AI3" s="116" t="s">
        <v>137</v>
      </c>
      <c r="AJ3" s="116" t="s">
        <v>138</v>
      </c>
      <c r="AK3" s="80" t="s">
        <v>56</v>
      </c>
      <c r="AL3" s="80" t="s">
        <v>57</v>
      </c>
      <c r="AM3" s="81" t="s">
        <v>58</v>
      </c>
      <c r="AN3" s="78" t="s">
        <v>136</v>
      </c>
      <c r="AO3" s="79" t="s">
        <v>54</v>
      </c>
      <c r="AP3" s="116" t="s">
        <v>137</v>
      </c>
      <c r="AQ3" s="116" t="s">
        <v>138</v>
      </c>
      <c r="AR3" s="80" t="s">
        <v>56</v>
      </c>
      <c r="AS3" s="80" t="s">
        <v>57</v>
      </c>
      <c r="AT3" s="80" t="s">
        <v>58</v>
      </c>
      <c r="AU3" s="82" t="s">
        <v>59</v>
      </c>
      <c r="AV3" s="83" t="s">
        <v>60</v>
      </c>
      <c r="AW3" s="83" t="s">
        <v>61</v>
      </c>
      <c r="AX3" s="83" t="s">
        <v>62</v>
      </c>
      <c r="AY3" s="83" t="s">
        <v>63</v>
      </c>
      <c r="AZ3" s="83" t="s">
        <v>64</v>
      </c>
      <c r="BA3" s="83" t="s">
        <v>65</v>
      </c>
      <c r="BB3" s="115" t="s">
        <v>132</v>
      </c>
      <c r="BC3" s="128" t="s">
        <v>154</v>
      </c>
      <c r="BD3" s="128" t="s">
        <v>155</v>
      </c>
      <c r="BE3" s="84" t="s">
        <v>66</v>
      </c>
      <c r="BF3" s="85" t="s">
        <v>67</v>
      </c>
      <c r="BG3" s="85" t="s">
        <v>68</v>
      </c>
      <c r="BH3" s="86" t="s">
        <v>69</v>
      </c>
      <c r="BI3" s="87" t="s">
        <v>70</v>
      </c>
      <c r="BJ3" s="88" t="s">
        <v>71</v>
      </c>
      <c r="BK3" s="89" t="s">
        <v>72</v>
      </c>
      <c r="BL3" s="90" t="s">
        <v>70</v>
      </c>
      <c r="BM3" s="91" t="s">
        <v>71</v>
      </c>
      <c r="BN3" s="51" t="s">
        <v>73</v>
      </c>
      <c r="BO3" s="52" t="s">
        <v>74</v>
      </c>
      <c r="BP3" s="91" t="s">
        <v>75</v>
      </c>
      <c r="BQ3" s="87" t="s">
        <v>70</v>
      </c>
      <c r="BR3" s="88" t="s">
        <v>71</v>
      </c>
      <c r="BS3" s="51" t="s">
        <v>248</v>
      </c>
      <c r="BT3" s="51" t="s">
        <v>76</v>
      </c>
      <c r="BU3" s="92" t="s">
        <v>77</v>
      </c>
      <c r="BV3" s="93" t="s">
        <v>54</v>
      </c>
      <c r="BW3" s="93" t="s">
        <v>55</v>
      </c>
      <c r="BX3" s="92" t="s">
        <v>78</v>
      </c>
      <c r="BY3" s="93" t="s">
        <v>54</v>
      </c>
      <c r="BZ3" s="117" t="s">
        <v>139</v>
      </c>
      <c r="CA3" s="119" t="s">
        <v>140</v>
      </c>
      <c r="CB3" s="95" t="s">
        <v>133</v>
      </c>
      <c r="CC3" s="94" t="s">
        <v>79</v>
      </c>
      <c r="CD3" s="93" t="s">
        <v>54</v>
      </c>
      <c r="CE3" s="117" t="s">
        <v>141</v>
      </c>
      <c r="CF3" s="119" t="s">
        <v>142</v>
      </c>
      <c r="CG3" s="95" t="s">
        <v>80</v>
      </c>
      <c r="CH3" s="95" t="s">
        <v>81</v>
      </c>
      <c r="CI3" s="95" t="s">
        <v>243</v>
      </c>
      <c r="CJ3" s="95" t="s">
        <v>242</v>
      </c>
      <c r="CK3" s="95" t="s">
        <v>82</v>
      </c>
      <c r="CL3" s="95" t="s">
        <v>83</v>
      </c>
      <c r="CM3" s="95" t="s">
        <v>84</v>
      </c>
      <c r="CN3" s="96" t="s">
        <v>134</v>
      </c>
      <c r="CO3" s="94" t="s">
        <v>85</v>
      </c>
      <c r="CP3" s="93" t="s">
        <v>54</v>
      </c>
      <c r="CQ3" s="93" t="s">
        <v>55</v>
      </c>
      <c r="CR3" s="95" t="s">
        <v>86</v>
      </c>
      <c r="CS3" s="95" t="s">
        <v>81</v>
      </c>
      <c r="CT3" s="95" t="s">
        <v>87</v>
      </c>
      <c r="CU3" s="92" t="s">
        <v>88</v>
      </c>
      <c r="CV3" s="93" t="s">
        <v>54</v>
      </c>
      <c r="CW3" s="93" t="s">
        <v>147</v>
      </c>
      <c r="CX3" s="97" t="s">
        <v>89</v>
      </c>
      <c r="CY3" s="94" t="s">
        <v>143</v>
      </c>
      <c r="CZ3" s="93" t="s">
        <v>54</v>
      </c>
      <c r="DA3" s="93" t="s">
        <v>147</v>
      </c>
      <c r="DB3" s="97" t="s">
        <v>90</v>
      </c>
      <c r="DC3" s="94" t="s">
        <v>144</v>
      </c>
      <c r="DD3" s="93" t="s">
        <v>54</v>
      </c>
      <c r="DE3" s="93" t="s">
        <v>147</v>
      </c>
      <c r="DF3" s="97" t="s">
        <v>91</v>
      </c>
      <c r="DG3" s="94" t="s">
        <v>145</v>
      </c>
      <c r="DH3" s="93" t="s">
        <v>54</v>
      </c>
      <c r="DI3" s="93" t="s">
        <v>147</v>
      </c>
      <c r="DJ3" s="97" t="s">
        <v>92</v>
      </c>
      <c r="DK3" s="94" t="s">
        <v>146</v>
      </c>
      <c r="DL3" s="93" t="s">
        <v>54</v>
      </c>
      <c r="DM3" s="93" t="s">
        <v>147</v>
      </c>
      <c r="DN3" s="98" t="s">
        <v>93</v>
      </c>
      <c r="DO3" s="120" t="s">
        <v>94</v>
      </c>
      <c r="DP3" s="93" t="s">
        <v>54</v>
      </c>
      <c r="DQ3" s="93" t="s">
        <v>147</v>
      </c>
      <c r="DR3" s="99" t="s">
        <v>95</v>
      </c>
      <c r="DS3" s="98" t="s">
        <v>96</v>
      </c>
      <c r="DT3" s="98" t="s">
        <v>97</v>
      </c>
      <c r="DU3" s="92" t="s">
        <v>98</v>
      </c>
      <c r="DV3" s="93" t="s">
        <v>54</v>
      </c>
      <c r="DW3" s="93" t="s">
        <v>147</v>
      </c>
      <c r="DX3" s="150" t="s">
        <v>197</v>
      </c>
      <c r="DY3" s="98" t="s">
        <v>99</v>
      </c>
      <c r="DZ3" s="97" t="s">
        <v>100</v>
      </c>
      <c r="EA3" s="95" t="s">
        <v>101</v>
      </c>
      <c r="EB3" s="98" t="s">
        <v>102</v>
      </c>
      <c r="EC3" s="98" t="s">
        <v>103</v>
      </c>
      <c r="ED3" s="98" t="s">
        <v>104</v>
      </c>
      <c r="EE3" s="100" t="s">
        <v>105</v>
      </c>
      <c r="EF3" s="101" t="s">
        <v>106</v>
      </c>
      <c r="EG3" s="97" t="s">
        <v>107</v>
      </c>
      <c r="EH3" s="121" t="s">
        <v>108</v>
      </c>
      <c r="EI3" s="122" t="s">
        <v>109</v>
      </c>
      <c r="EJ3" s="122" t="s">
        <v>110</v>
      </c>
      <c r="EK3" s="102" t="s">
        <v>135</v>
      </c>
      <c r="EL3" s="103" t="s">
        <v>54</v>
      </c>
      <c r="EM3" s="123" t="s">
        <v>228</v>
      </c>
      <c r="EN3" s="124" t="s">
        <v>229</v>
      </c>
      <c r="EO3" s="102" t="s">
        <v>111</v>
      </c>
      <c r="EP3" s="103" t="s">
        <v>54</v>
      </c>
      <c r="EQ3" s="123" t="s">
        <v>148</v>
      </c>
      <c r="ER3" s="124" t="s">
        <v>149</v>
      </c>
      <c r="ES3" s="104" t="s">
        <v>112</v>
      </c>
      <c r="ET3" s="77" t="s">
        <v>153</v>
      </c>
      <c r="EU3" s="125" t="s">
        <v>148</v>
      </c>
      <c r="EV3" s="125" t="s">
        <v>149</v>
      </c>
      <c r="EW3" s="77" t="s">
        <v>113</v>
      </c>
      <c r="EX3" s="77" t="s">
        <v>114</v>
      </c>
      <c r="EY3" s="77" t="s">
        <v>115</v>
      </c>
      <c r="EZ3" s="77" t="s">
        <v>116</v>
      </c>
      <c r="FA3" s="125" t="s">
        <v>150</v>
      </c>
      <c r="FB3" s="125" t="s">
        <v>151</v>
      </c>
      <c r="FC3" s="77" t="s">
        <v>117</v>
      </c>
      <c r="FD3" s="77" t="s">
        <v>118</v>
      </c>
      <c r="FE3" s="104" t="s">
        <v>119</v>
      </c>
      <c r="FF3" s="151" t="s">
        <v>199</v>
      </c>
      <c r="FG3" s="151" t="s">
        <v>200</v>
      </c>
      <c r="FH3" s="77" t="s">
        <v>120</v>
      </c>
      <c r="FI3" s="151" t="s">
        <v>201</v>
      </c>
      <c r="FJ3" s="151" t="s">
        <v>202</v>
      </c>
      <c r="FK3" s="105" t="s">
        <v>121</v>
      </c>
      <c r="FL3" s="105" t="s">
        <v>203</v>
      </c>
      <c r="FM3" s="105" t="s">
        <v>204</v>
      </c>
      <c r="FN3" s="105" t="s">
        <v>122</v>
      </c>
      <c r="FO3" s="152" t="s">
        <v>205</v>
      </c>
      <c r="FP3" s="166" t="s">
        <v>247</v>
      </c>
      <c r="FQ3" s="106" t="s">
        <v>123</v>
      </c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</row>
    <row r="4" spans="1:191" ht="18" x14ac:dyDescent="0.2">
      <c r="A4" s="126" t="s">
        <v>152</v>
      </c>
      <c r="B4" t="s">
        <v>174</v>
      </c>
      <c r="C4">
        <v>2015</v>
      </c>
      <c r="D4" t="s">
        <v>196</v>
      </c>
      <c r="E4" s="147">
        <f t="shared" ref="E4:E6" si="0">AG4</f>
        <v>2337.82251</v>
      </c>
      <c r="F4" s="135" t="s">
        <v>160</v>
      </c>
      <c r="G4" s="135" t="s">
        <v>160</v>
      </c>
      <c r="H4" s="147">
        <f t="shared" ref="H4:H6" si="1">EZ4</f>
        <v>317.42002807805301</v>
      </c>
      <c r="I4" s="147">
        <f t="shared" ref="I4:I6" si="2">FA4</f>
        <v>69.572031291485018</v>
      </c>
      <c r="J4" s="147">
        <f t="shared" ref="J4:J6" si="3">FB4</f>
        <v>62.553009971295012</v>
      </c>
      <c r="K4" t="s">
        <v>176</v>
      </c>
      <c r="L4" s="130" t="s">
        <v>206</v>
      </c>
      <c r="M4" s="136" t="s">
        <v>175</v>
      </c>
      <c r="N4" t="s">
        <v>196</v>
      </c>
      <c r="O4" t="s">
        <v>156</v>
      </c>
      <c r="P4" s="153" t="s">
        <v>157</v>
      </c>
      <c r="Q4" s="170">
        <v>9</v>
      </c>
      <c r="R4" s="170">
        <v>2</v>
      </c>
      <c r="S4" s="170">
        <v>89</v>
      </c>
      <c r="T4" s="170">
        <v>91</v>
      </c>
      <c r="U4" s="157" t="s">
        <v>160</v>
      </c>
      <c r="V4" s="157" t="s">
        <v>160</v>
      </c>
      <c r="W4" s="157" t="s">
        <v>160</v>
      </c>
      <c r="X4" t="s">
        <v>158</v>
      </c>
      <c r="Y4" s="131">
        <v>12.75</v>
      </c>
      <c r="Z4" s="131">
        <v>-78.73</v>
      </c>
      <c r="AA4" s="131">
        <v>12.75</v>
      </c>
      <c r="AB4" s="131">
        <v>-78.73</v>
      </c>
      <c r="AC4" s="131">
        <v>-2828</v>
      </c>
      <c r="AD4" s="131">
        <v>-2828</v>
      </c>
      <c r="AE4" s="153" t="s">
        <v>160</v>
      </c>
      <c r="AF4" s="153" t="s">
        <v>160</v>
      </c>
      <c r="AG4" s="138">
        <v>2337.82251</v>
      </c>
      <c r="AH4" s="2" t="s">
        <v>159</v>
      </c>
      <c r="AI4" s="153" t="s">
        <v>160</v>
      </c>
      <c r="AJ4" s="153" t="s">
        <v>160</v>
      </c>
      <c r="AK4" s="154" t="s">
        <v>160</v>
      </c>
      <c r="AL4" s="154" t="s">
        <v>177</v>
      </c>
      <c r="AM4" s="157" t="s">
        <v>160</v>
      </c>
      <c r="AN4" t="s">
        <v>160</v>
      </c>
      <c r="AO4" t="s">
        <v>160</v>
      </c>
      <c r="AP4" t="s">
        <v>160</v>
      </c>
      <c r="AQ4" t="s">
        <v>160</v>
      </c>
      <c r="AR4" t="s">
        <v>160</v>
      </c>
      <c r="AS4" t="s">
        <v>160</v>
      </c>
      <c r="AT4" t="s">
        <v>160</v>
      </c>
      <c r="AU4" s="145" t="s">
        <v>178</v>
      </c>
      <c r="AV4" t="s">
        <v>161</v>
      </c>
      <c r="AW4" s="141" t="s">
        <v>179</v>
      </c>
      <c r="AX4" s="139" t="s">
        <v>180</v>
      </c>
      <c r="AY4" s="139" t="s">
        <v>181</v>
      </c>
      <c r="AZ4" s="139" t="s">
        <v>182</v>
      </c>
      <c r="BA4" s="140" t="s">
        <v>162</v>
      </c>
      <c r="BB4" s="153" t="s">
        <v>217</v>
      </c>
      <c r="BC4" s="153" t="s">
        <v>217</v>
      </c>
      <c r="BD4" s="153" t="s">
        <v>217</v>
      </c>
      <c r="BE4" s="138">
        <v>20.233519999999999</v>
      </c>
      <c r="BF4" t="s">
        <v>183</v>
      </c>
      <c r="BG4" s="138">
        <v>9.9817040999999995E-2</v>
      </c>
      <c r="BH4">
        <v>0.6</v>
      </c>
      <c r="BI4" t="s">
        <v>184</v>
      </c>
      <c r="BJ4" s="2">
        <v>0.08</v>
      </c>
      <c r="BK4">
        <v>8.8699999999999992</v>
      </c>
      <c r="BL4" t="s">
        <v>163</v>
      </c>
      <c r="BM4">
        <v>1.52</v>
      </c>
      <c r="BN4" t="s">
        <v>230</v>
      </c>
      <c r="BO4" t="s">
        <v>186</v>
      </c>
      <c r="BP4" s="158">
        <f t="shared" ref="BP4:BP6" si="4">(BE4-8.87)/0.6</f>
        <v>18.9392</v>
      </c>
      <c r="BQ4" t="s">
        <v>184</v>
      </c>
      <c r="BR4" s="154" t="s">
        <v>160</v>
      </c>
      <c r="BS4" s="154" t="s">
        <v>160</v>
      </c>
      <c r="BT4" t="s">
        <v>214</v>
      </c>
      <c r="BU4" t="s">
        <v>218</v>
      </c>
      <c r="BV4" t="s">
        <v>164</v>
      </c>
      <c r="BW4" t="s">
        <v>164</v>
      </c>
      <c r="BX4" s="138">
        <v>28.668089999999999</v>
      </c>
      <c r="BY4" t="s">
        <v>184</v>
      </c>
      <c r="BZ4" s="159">
        <v>3</v>
      </c>
      <c r="CA4" s="159">
        <v>3</v>
      </c>
      <c r="CB4" s="138">
        <v>3.8548973369120243</v>
      </c>
      <c r="CC4" s="138">
        <v>3.8548973369120243</v>
      </c>
      <c r="CD4" t="s">
        <v>188</v>
      </c>
      <c r="CE4" s="147">
        <f t="shared" ref="CE4:CE6" si="5">CC4*0.027</f>
        <v>0.10408222809662465</v>
      </c>
      <c r="CF4" s="147">
        <f t="shared" ref="CF4:CF6" si="6">CC4*0.027</f>
        <v>0.10408222809662465</v>
      </c>
      <c r="CG4" s="153" t="s">
        <v>215</v>
      </c>
      <c r="CH4" s="148" t="s">
        <v>207</v>
      </c>
      <c r="CI4" s="138">
        <v>3.9460031554816304</v>
      </c>
      <c r="CJ4" s="138" t="s">
        <v>244</v>
      </c>
      <c r="CK4" t="s">
        <v>160</v>
      </c>
      <c r="CL4" t="s">
        <v>189</v>
      </c>
      <c r="CM4" t="s">
        <v>160</v>
      </c>
      <c r="CN4" t="s">
        <v>160</v>
      </c>
      <c r="CO4" t="s">
        <v>160</v>
      </c>
      <c r="CP4" t="s">
        <v>160</v>
      </c>
      <c r="CQ4" t="s">
        <v>160</v>
      </c>
      <c r="CR4" t="s">
        <v>160</v>
      </c>
      <c r="CS4" t="s">
        <v>160</v>
      </c>
      <c r="CT4" t="s">
        <v>160</v>
      </c>
      <c r="CU4" s="134">
        <v>35</v>
      </c>
      <c r="CV4" t="s">
        <v>159</v>
      </c>
      <c r="CW4">
        <v>3</v>
      </c>
      <c r="CX4" s="149" t="s">
        <v>187</v>
      </c>
      <c r="CY4" s="157" t="s">
        <v>160</v>
      </c>
      <c r="CZ4" s="157" t="s">
        <v>160</v>
      </c>
      <c r="DA4" s="157" t="s">
        <v>160</v>
      </c>
      <c r="DB4" s="157" t="s">
        <v>160</v>
      </c>
      <c r="DC4" s="157" t="s">
        <v>160</v>
      </c>
      <c r="DD4" s="157" t="s">
        <v>160</v>
      </c>
      <c r="DE4" s="157" t="s">
        <v>160</v>
      </c>
      <c r="DF4" s="157" t="s">
        <v>160</v>
      </c>
      <c r="DG4" s="157" t="s">
        <v>160</v>
      </c>
      <c r="DH4" s="157" t="s">
        <v>160</v>
      </c>
      <c r="DI4" s="157" t="s">
        <v>160</v>
      </c>
      <c r="DJ4" s="157" t="s">
        <v>160</v>
      </c>
      <c r="DK4" s="132">
        <v>432.56244218316402</v>
      </c>
      <c r="DL4" t="s">
        <v>165</v>
      </c>
      <c r="DM4" s="153">
        <v>37.1</v>
      </c>
      <c r="DN4" t="s">
        <v>166</v>
      </c>
      <c r="DO4" s="138">
        <v>39.273388230000002</v>
      </c>
      <c r="DP4" s="154" t="s">
        <v>163</v>
      </c>
      <c r="DQ4" s="146">
        <v>0.2</v>
      </c>
      <c r="DR4" t="s">
        <v>190</v>
      </c>
      <c r="DS4" t="s">
        <v>233</v>
      </c>
      <c r="DT4" t="s">
        <v>168</v>
      </c>
      <c r="DU4">
        <v>1.0271999999999999</v>
      </c>
      <c r="DV4" t="s">
        <v>191</v>
      </c>
      <c r="DW4">
        <v>5.9999999999999995E-4</v>
      </c>
      <c r="DX4" t="s">
        <v>198</v>
      </c>
      <c r="DY4" t="s">
        <v>160</v>
      </c>
      <c r="DZ4" t="s">
        <v>160</v>
      </c>
      <c r="EA4" t="s">
        <v>192</v>
      </c>
      <c r="EB4" t="s">
        <v>234</v>
      </c>
      <c r="EC4" t="s">
        <v>170</v>
      </c>
      <c r="ED4" t="s">
        <v>170</v>
      </c>
      <c r="EE4" s="157" t="s">
        <v>160</v>
      </c>
      <c r="EF4" t="s">
        <v>160</v>
      </c>
      <c r="EG4" t="s">
        <v>160</v>
      </c>
      <c r="EH4" t="s">
        <v>171</v>
      </c>
      <c r="EI4" t="s">
        <v>193</v>
      </c>
      <c r="EJ4" t="s">
        <v>235</v>
      </c>
      <c r="EK4" s="137">
        <v>2330</v>
      </c>
      <c r="EL4" t="s">
        <v>211</v>
      </c>
      <c r="EM4">
        <v>175</v>
      </c>
      <c r="EN4">
        <v>175</v>
      </c>
      <c r="EO4" t="s">
        <v>160</v>
      </c>
      <c r="EP4" t="s">
        <v>160</v>
      </c>
      <c r="EQ4" t="s">
        <v>160</v>
      </c>
      <c r="ER4" t="s">
        <v>160</v>
      </c>
      <c r="ES4" s="138">
        <v>8.1029309113426091</v>
      </c>
      <c r="ET4" s="133" t="s">
        <v>172</v>
      </c>
      <c r="EU4" s="138">
        <v>6.328949714208143E-2</v>
      </c>
      <c r="EV4" s="164">
        <v>6.2646160355619429E-2</v>
      </c>
      <c r="EW4" s="165">
        <f>EZ4+EX4</f>
        <v>338.42002807805301</v>
      </c>
      <c r="EX4" s="154">
        <v>21</v>
      </c>
      <c r="EY4" s="154" t="s">
        <v>195</v>
      </c>
      <c r="EZ4" s="138">
        <v>317.42002807805301</v>
      </c>
      <c r="FA4" s="164">
        <v>69.572031291485018</v>
      </c>
      <c r="FB4" s="164">
        <v>62.553009971295012</v>
      </c>
      <c r="FC4" s="156" t="s">
        <v>212</v>
      </c>
      <c r="FD4" s="156" t="s">
        <v>213</v>
      </c>
      <c r="FE4" t="s">
        <v>173</v>
      </c>
      <c r="FF4" t="s">
        <v>173</v>
      </c>
      <c r="FG4" t="s">
        <v>173</v>
      </c>
      <c r="FH4" t="s">
        <v>173</v>
      </c>
      <c r="FI4" t="s">
        <v>173</v>
      </c>
      <c r="FJ4" t="s">
        <v>173</v>
      </c>
      <c r="FK4" t="s">
        <v>173</v>
      </c>
      <c r="FL4" t="s">
        <v>173</v>
      </c>
      <c r="FM4" t="s">
        <v>173</v>
      </c>
      <c r="FN4" t="s">
        <v>173</v>
      </c>
      <c r="FO4" t="s">
        <v>173</v>
      </c>
      <c r="FP4" t="s">
        <v>173</v>
      </c>
      <c r="FQ4" s="163"/>
      <c r="FR4" s="107"/>
      <c r="FS4" s="107"/>
      <c r="FT4" s="107"/>
      <c r="FU4" s="107"/>
      <c r="FV4" s="107"/>
      <c r="FW4" s="107"/>
      <c r="FX4" s="107"/>
      <c r="FY4" s="107"/>
      <c r="FZ4" s="107"/>
      <c r="GA4" s="107"/>
      <c r="GB4" s="107"/>
      <c r="GC4" s="107"/>
      <c r="GD4" s="107"/>
      <c r="GE4" s="107"/>
      <c r="GF4" s="107"/>
      <c r="GG4" s="107"/>
      <c r="GH4" s="107"/>
      <c r="GI4" s="107"/>
    </row>
    <row r="5" spans="1:191" ht="18" x14ac:dyDescent="0.2">
      <c r="A5" s="126" t="s">
        <v>152</v>
      </c>
      <c r="B5" t="s">
        <v>174</v>
      </c>
      <c r="C5">
        <v>2015</v>
      </c>
      <c r="D5" t="s">
        <v>196</v>
      </c>
      <c r="E5" s="147">
        <f t="shared" si="0"/>
        <v>2346.710693</v>
      </c>
      <c r="F5" s="135" t="s">
        <v>160</v>
      </c>
      <c r="G5" s="135" t="s">
        <v>160</v>
      </c>
      <c r="H5" s="147">
        <f t="shared" si="1"/>
        <v>317.55961576854799</v>
      </c>
      <c r="I5" s="147">
        <f t="shared" si="2"/>
        <v>77.285741530737027</v>
      </c>
      <c r="J5" s="147">
        <f t="shared" si="3"/>
        <v>65.954993203860994</v>
      </c>
      <c r="K5" t="s">
        <v>176</v>
      </c>
      <c r="L5" s="130" t="s">
        <v>206</v>
      </c>
      <c r="M5" s="136" t="s">
        <v>175</v>
      </c>
      <c r="N5" t="s">
        <v>196</v>
      </c>
      <c r="O5" t="s">
        <v>156</v>
      </c>
      <c r="P5" s="153" t="s">
        <v>157</v>
      </c>
      <c r="Q5" s="157">
        <v>9</v>
      </c>
      <c r="R5" s="157">
        <v>2</v>
      </c>
      <c r="S5" s="157">
        <v>120</v>
      </c>
      <c r="T5" s="157">
        <v>122</v>
      </c>
      <c r="U5" s="157" t="s">
        <v>160</v>
      </c>
      <c r="V5" s="157" t="s">
        <v>160</v>
      </c>
      <c r="W5" s="157" t="s">
        <v>160</v>
      </c>
      <c r="X5" t="s">
        <v>158</v>
      </c>
      <c r="Y5" s="131">
        <v>12.75</v>
      </c>
      <c r="Z5" s="131">
        <v>-78.73</v>
      </c>
      <c r="AA5" s="131">
        <v>12.75</v>
      </c>
      <c r="AB5" s="131">
        <v>-78.73</v>
      </c>
      <c r="AC5" s="131">
        <v>-2828</v>
      </c>
      <c r="AD5" s="131">
        <v>-2828</v>
      </c>
      <c r="AE5" s="153" t="s">
        <v>160</v>
      </c>
      <c r="AF5" s="153" t="s">
        <v>160</v>
      </c>
      <c r="AG5" s="138">
        <v>2346.710693</v>
      </c>
      <c r="AH5" s="2" t="s">
        <v>159</v>
      </c>
      <c r="AI5" s="153" t="s">
        <v>160</v>
      </c>
      <c r="AJ5" s="153" t="s">
        <v>160</v>
      </c>
      <c r="AK5" s="154" t="s">
        <v>160</v>
      </c>
      <c r="AL5" s="154" t="s">
        <v>177</v>
      </c>
      <c r="AM5" s="157" t="s">
        <v>160</v>
      </c>
      <c r="AN5" t="s">
        <v>160</v>
      </c>
      <c r="AO5" t="s">
        <v>160</v>
      </c>
      <c r="AP5" t="s">
        <v>160</v>
      </c>
      <c r="AQ5" t="s">
        <v>160</v>
      </c>
      <c r="AR5" t="s">
        <v>160</v>
      </c>
      <c r="AS5" t="s">
        <v>160</v>
      </c>
      <c r="AT5" t="s">
        <v>160</v>
      </c>
      <c r="AU5" s="145" t="s">
        <v>178</v>
      </c>
      <c r="AV5" t="s">
        <v>161</v>
      </c>
      <c r="AW5" s="141" t="s">
        <v>179</v>
      </c>
      <c r="AX5" s="141" t="s">
        <v>180</v>
      </c>
      <c r="AY5" s="139" t="s">
        <v>181</v>
      </c>
      <c r="AZ5" s="139" t="s">
        <v>182</v>
      </c>
      <c r="BA5" t="s">
        <v>162</v>
      </c>
      <c r="BB5" s="153" t="s">
        <v>217</v>
      </c>
      <c r="BC5" s="153" t="s">
        <v>217</v>
      </c>
      <c r="BD5" s="153" t="s">
        <v>217</v>
      </c>
      <c r="BE5" s="138">
        <v>20.20777</v>
      </c>
      <c r="BF5" t="s">
        <v>183</v>
      </c>
      <c r="BG5" s="138">
        <v>0.183769233</v>
      </c>
      <c r="BH5">
        <v>0.6</v>
      </c>
      <c r="BI5" t="s">
        <v>184</v>
      </c>
      <c r="BJ5" s="2">
        <v>0.08</v>
      </c>
      <c r="BK5">
        <v>8.8699999999999992</v>
      </c>
      <c r="BL5" t="s">
        <v>163</v>
      </c>
      <c r="BM5">
        <v>1.52</v>
      </c>
      <c r="BN5" t="s">
        <v>231</v>
      </c>
      <c r="BO5" t="s">
        <v>186</v>
      </c>
      <c r="BP5" s="158">
        <f t="shared" si="4"/>
        <v>18.896283333333336</v>
      </c>
      <c r="BQ5" t="s">
        <v>184</v>
      </c>
      <c r="BR5" s="154" t="s">
        <v>160</v>
      </c>
      <c r="BS5" s="154" t="s">
        <v>160</v>
      </c>
      <c r="BT5" t="s">
        <v>214</v>
      </c>
      <c r="BU5" t="s">
        <v>218</v>
      </c>
      <c r="BV5" t="s">
        <v>164</v>
      </c>
      <c r="BW5" t="s">
        <v>164</v>
      </c>
      <c r="BX5" s="138">
        <v>28.238969999999998</v>
      </c>
      <c r="BY5" t="s">
        <v>184</v>
      </c>
      <c r="BZ5" s="159">
        <v>3</v>
      </c>
      <c r="CA5" s="159">
        <v>3</v>
      </c>
      <c r="CB5" s="138">
        <v>3.7137960560289218</v>
      </c>
      <c r="CC5" s="138">
        <v>3.7137960560289218</v>
      </c>
      <c r="CD5" t="s">
        <v>188</v>
      </c>
      <c r="CE5" s="147">
        <f t="shared" si="5"/>
        <v>0.10027249351278089</v>
      </c>
      <c r="CF5" s="147">
        <f t="shared" si="6"/>
        <v>0.10027249351278089</v>
      </c>
      <c r="CG5" s="153" t="s">
        <v>215</v>
      </c>
      <c r="CH5" s="148" t="s">
        <v>207</v>
      </c>
      <c r="CI5" s="138">
        <v>3.9588337906225659</v>
      </c>
      <c r="CJ5" s="138" t="s">
        <v>244</v>
      </c>
      <c r="CK5" t="s">
        <v>160</v>
      </c>
      <c r="CL5" t="s">
        <v>189</v>
      </c>
      <c r="CM5" t="s">
        <v>160</v>
      </c>
      <c r="CN5" t="s">
        <v>160</v>
      </c>
      <c r="CO5" t="s">
        <v>160</v>
      </c>
      <c r="CP5" t="s">
        <v>160</v>
      </c>
      <c r="CQ5" t="s">
        <v>160</v>
      </c>
      <c r="CR5" t="s">
        <v>160</v>
      </c>
      <c r="CS5" t="s">
        <v>160</v>
      </c>
      <c r="CT5" t="s">
        <v>160</v>
      </c>
      <c r="CU5" s="134">
        <v>35</v>
      </c>
      <c r="CV5" t="s">
        <v>159</v>
      </c>
      <c r="CW5">
        <v>3</v>
      </c>
      <c r="CX5" s="149" t="s">
        <v>187</v>
      </c>
      <c r="CY5" s="157" t="s">
        <v>160</v>
      </c>
      <c r="CZ5" s="157" t="s">
        <v>160</v>
      </c>
      <c r="DA5" s="157" t="s">
        <v>160</v>
      </c>
      <c r="DB5" s="157" t="s">
        <v>160</v>
      </c>
      <c r="DC5" s="157" t="s">
        <v>160</v>
      </c>
      <c r="DD5" s="157" t="s">
        <v>160</v>
      </c>
      <c r="DE5" s="157" t="s">
        <v>160</v>
      </c>
      <c r="DF5" s="157" t="s">
        <v>160</v>
      </c>
      <c r="DG5" s="157" t="s">
        <v>160</v>
      </c>
      <c r="DH5" s="157" t="s">
        <v>160</v>
      </c>
      <c r="DI5" s="157" t="s">
        <v>160</v>
      </c>
      <c r="DJ5" s="157" t="s">
        <v>160</v>
      </c>
      <c r="DK5" s="132">
        <v>432.56244218316402</v>
      </c>
      <c r="DL5" t="s">
        <v>165</v>
      </c>
      <c r="DM5" s="153">
        <v>37.1</v>
      </c>
      <c r="DN5" t="s">
        <v>166</v>
      </c>
      <c r="DO5" s="138">
        <v>39.271948420000001</v>
      </c>
      <c r="DP5" s="154" t="s">
        <v>163</v>
      </c>
      <c r="DQ5" s="146">
        <v>0.2</v>
      </c>
      <c r="DR5" t="s">
        <v>190</v>
      </c>
      <c r="DS5" t="s">
        <v>236</v>
      </c>
      <c r="DT5" t="s">
        <v>168</v>
      </c>
      <c r="DU5">
        <v>1.0271999999999999</v>
      </c>
      <c r="DV5" t="s">
        <v>191</v>
      </c>
      <c r="DW5">
        <v>5.9999999999999995E-4</v>
      </c>
      <c r="DX5" t="s">
        <v>198</v>
      </c>
      <c r="DY5" t="s">
        <v>160</v>
      </c>
      <c r="DZ5" t="s">
        <v>160</v>
      </c>
      <c r="EA5" t="s">
        <v>192</v>
      </c>
      <c r="EB5" t="s">
        <v>237</v>
      </c>
      <c r="EC5" t="s">
        <v>170</v>
      </c>
      <c r="ED5" t="s">
        <v>170</v>
      </c>
      <c r="EE5" s="157" t="s">
        <v>160</v>
      </c>
      <c r="EF5" t="s">
        <v>160</v>
      </c>
      <c r="EG5" t="s">
        <v>160</v>
      </c>
      <c r="EH5" t="s">
        <v>171</v>
      </c>
      <c r="EI5" t="s">
        <v>193</v>
      </c>
      <c r="EJ5" t="s">
        <v>238</v>
      </c>
      <c r="EK5" s="137">
        <v>2330</v>
      </c>
      <c r="EL5" t="s">
        <v>211</v>
      </c>
      <c r="EM5">
        <v>175</v>
      </c>
      <c r="EN5">
        <v>175</v>
      </c>
      <c r="EO5" t="s">
        <v>160</v>
      </c>
      <c r="EP5" t="s">
        <v>160</v>
      </c>
      <c r="EQ5" t="s">
        <v>160</v>
      </c>
      <c r="ER5" t="s">
        <v>160</v>
      </c>
      <c r="ES5" s="138">
        <v>8.1037542593182099</v>
      </c>
      <c r="ET5" s="133" t="s">
        <v>172</v>
      </c>
      <c r="EU5" s="138">
        <v>6.7879892728580415E-2</v>
      </c>
      <c r="EV5" s="164">
        <v>7.0095609220500066E-2</v>
      </c>
      <c r="EW5" s="165">
        <f t="shared" ref="EW5:EW6" si="7">EZ5+EX5</f>
        <v>338.55961576854799</v>
      </c>
      <c r="EX5" s="154">
        <v>21</v>
      </c>
      <c r="EY5" s="154" t="s">
        <v>195</v>
      </c>
      <c r="EZ5" s="138">
        <v>317.55961576854799</v>
      </c>
      <c r="FA5" s="164">
        <v>77.285741530737027</v>
      </c>
      <c r="FB5" s="164">
        <v>65.954993203860994</v>
      </c>
      <c r="FC5" s="156" t="s">
        <v>212</v>
      </c>
      <c r="FD5" s="156" t="s">
        <v>213</v>
      </c>
      <c r="FE5" t="s">
        <v>173</v>
      </c>
      <c r="FF5" t="s">
        <v>173</v>
      </c>
      <c r="FG5" t="s">
        <v>173</v>
      </c>
      <c r="FH5" t="s">
        <v>173</v>
      </c>
      <c r="FI5" t="s">
        <v>173</v>
      </c>
      <c r="FJ5" t="s">
        <v>173</v>
      </c>
      <c r="FK5" t="s">
        <v>173</v>
      </c>
      <c r="FL5" t="s">
        <v>173</v>
      </c>
      <c r="FM5" t="s">
        <v>173</v>
      </c>
      <c r="FN5" t="s">
        <v>173</v>
      </c>
      <c r="FO5" t="s">
        <v>173</v>
      </c>
      <c r="FP5" t="s">
        <v>173</v>
      </c>
      <c r="FQ5" s="163"/>
      <c r="FR5" s="107"/>
      <c r="FS5" s="107"/>
      <c r="FT5" s="107"/>
      <c r="FU5" s="107"/>
      <c r="FV5" s="107"/>
      <c r="FW5" s="107"/>
      <c r="FX5" s="107"/>
      <c r="FY5" s="107"/>
      <c r="FZ5" s="107"/>
      <c r="GA5" s="107"/>
      <c r="GB5" s="107"/>
      <c r="GC5" s="107"/>
      <c r="GD5" s="107"/>
      <c r="GE5" s="107"/>
      <c r="GF5" s="107"/>
      <c r="GG5" s="107"/>
      <c r="GH5" s="107"/>
      <c r="GI5" s="107"/>
    </row>
    <row r="6" spans="1:191" ht="18" x14ac:dyDescent="0.2">
      <c r="A6" s="126" t="s">
        <v>152</v>
      </c>
      <c r="B6" t="s">
        <v>174</v>
      </c>
      <c r="C6">
        <v>2015</v>
      </c>
      <c r="D6" t="s">
        <v>196</v>
      </c>
      <c r="E6" s="147">
        <f t="shared" si="0"/>
        <v>2352.7177729999999</v>
      </c>
      <c r="F6" s="135" t="s">
        <v>160</v>
      </c>
      <c r="G6" s="135" t="s">
        <v>160</v>
      </c>
      <c r="H6" s="147">
        <f t="shared" si="1"/>
        <v>305.94192148306399</v>
      </c>
      <c r="I6" s="147">
        <f t="shared" si="2"/>
        <v>69.280315247235023</v>
      </c>
      <c r="J6" s="147">
        <f t="shared" si="3"/>
        <v>60.297406745090996</v>
      </c>
      <c r="K6" t="s">
        <v>176</v>
      </c>
      <c r="L6" s="130" t="s">
        <v>206</v>
      </c>
      <c r="M6" s="136" t="s">
        <v>175</v>
      </c>
      <c r="N6" t="s">
        <v>196</v>
      </c>
      <c r="O6" t="s">
        <v>156</v>
      </c>
      <c r="P6" s="153" t="s">
        <v>157</v>
      </c>
      <c r="Q6" s="157">
        <v>9</v>
      </c>
      <c r="R6" s="157">
        <v>2</v>
      </c>
      <c r="S6" s="157">
        <v>141</v>
      </c>
      <c r="T6" s="157">
        <v>143</v>
      </c>
      <c r="U6" s="157" t="s">
        <v>160</v>
      </c>
      <c r="V6" s="157" t="s">
        <v>160</v>
      </c>
      <c r="W6" s="157" t="s">
        <v>160</v>
      </c>
      <c r="X6" t="s">
        <v>158</v>
      </c>
      <c r="Y6" s="131">
        <v>12.75</v>
      </c>
      <c r="Z6" s="131">
        <v>-78.73</v>
      </c>
      <c r="AA6" s="131">
        <v>12.75</v>
      </c>
      <c r="AB6" s="131">
        <v>-78.73</v>
      </c>
      <c r="AC6" s="131">
        <v>-2828</v>
      </c>
      <c r="AD6" s="131">
        <v>-2828</v>
      </c>
      <c r="AE6" s="153" t="s">
        <v>160</v>
      </c>
      <c r="AF6" s="153" t="s">
        <v>160</v>
      </c>
      <c r="AG6" s="138">
        <v>2352.7177729999999</v>
      </c>
      <c r="AH6" s="2" t="s">
        <v>159</v>
      </c>
      <c r="AI6" s="153" t="s">
        <v>160</v>
      </c>
      <c r="AJ6" s="153" t="s">
        <v>160</v>
      </c>
      <c r="AK6" s="154" t="s">
        <v>160</v>
      </c>
      <c r="AL6" s="154" t="s">
        <v>177</v>
      </c>
      <c r="AM6" s="157" t="s">
        <v>160</v>
      </c>
      <c r="AN6" t="s">
        <v>160</v>
      </c>
      <c r="AO6" t="s">
        <v>160</v>
      </c>
      <c r="AP6" t="s">
        <v>160</v>
      </c>
      <c r="AQ6" t="s">
        <v>160</v>
      </c>
      <c r="AR6" t="s">
        <v>160</v>
      </c>
      <c r="AS6" t="s">
        <v>160</v>
      </c>
      <c r="AT6" t="s">
        <v>160</v>
      </c>
      <c r="AU6" s="145" t="s">
        <v>178</v>
      </c>
      <c r="AV6" t="s">
        <v>161</v>
      </c>
      <c r="AW6" s="141" t="s">
        <v>179</v>
      </c>
      <c r="AX6" s="139" t="s">
        <v>180</v>
      </c>
      <c r="AY6" s="139" t="s">
        <v>181</v>
      </c>
      <c r="AZ6" s="139" t="s">
        <v>182</v>
      </c>
      <c r="BA6" s="140" t="s">
        <v>162</v>
      </c>
      <c r="BB6" s="153" t="s">
        <v>217</v>
      </c>
      <c r="BC6" s="153" t="s">
        <v>217</v>
      </c>
      <c r="BD6" s="153" t="s">
        <v>217</v>
      </c>
      <c r="BE6" s="138">
        <v>20.403469999999999</v>
      </c>
      <c r="BF6" t="s">
        <v>183</v>
      </c>
      <c r="BG6" s="138">
        <v>0.10803948300000001</v>
      </c>
      <c r="BH6">
        <v>0.6</v>
      </c>
      <c r="BI6" t="s">
        <v>184</v>
      </c>
      <c r="BJ6" s="2">
        <v>0.08</v>
      </c>
      <c r="BK6">
        <v>8.8699999999999992</v>
      </c>
      <c r="BL6" t="s">
        <v>163</v>
      </c>
      <c r="BM6">
        <v>1.52</v>
      </c>
      <c r="BN6" t="s">
        <v>232</v>
      </c>
      <c r="BO6" t="s">
        <v>186</v>
      </c>
      <c r="BP6" s="158">
        <f t="shared" si="4"/>
        <v>19.222449999999998</v>
      </c>
      <c r="BQ6" t="s">
        <v>184</v>
      </c>
      <c r="BR6" s="154" t="s">
        <v>160</v>
      </c>
      <c r="BS6" s="154" t="s">
        <v>160</v>
      </c>
      <c r="BT6" t="s">
        <v>214</v>
      </c>
      <c r="BU6" t="s">
        <v>218</v>
      </c>
      <c r="BV6" t="s">
        <v>164</v>
      </c>
      <c r="BW6" t="s">
        <v>164</v>
      </c>
      <c r="BX6" s="138">
        <v>29.890429999999999</v>
      </c>
      <c r="BY6" t="s">
        <v>184</v>
      </c>
      <c r="BZ6" s="159">
        <v>3</v>
      </c>
      <c r="CA6" s="159">
        <v>3</v>
      </c>
      <c r="CB6" s="138">
        <v>4.3128162565531101</v>
      </c>
      <c r="CC6" s="138">
        <v>4.3128162565531101</v>
      </c>
      <c r="CD6" t="s">
        <v>188</v>
      </c>
      <c r="CE6" s="147">
        <f t="shared" si="5"/>
        <v>0.11644603892693398</v>
      </c>
      <c r="CF6" s="147">
        <f t="shared" si="6"/>
        <v>0.11644603892693398</v>
      </c>
      <c r="CG6" s="153" t="s">
        <v>215</v>
      </c>
      <c r="CH6" s="148" t="s">
        <v>207</v>
      </c>
      <c r="CI6" s="138">
        <v>3.9675834431075159</v>
      </c>
      <c r="CJ6" s="138" t="s">
        <v>244</v>
      </c>
      <c r="CK6" t="s">
        <v>160</v>
      </c>
      <c r="CL6" t="s">
        <v>189</v>
      </c>
      <c r="CM6" t="s">
        <v>160</v>
      </c>
      <c r="CN6" t="s">
        <v>160</v>
      </c>
      <c r="CO6" t="s">
        <v>160</v>
      </c>
      <c r="CP6" t="s">
        <v>160</v>
      </c>
      <c r="CQ6" t="s">
        <v>160</v>
      </c>
      <c r="CR6" t="s">
        <v>160</v>
      </c>
      <c r="CS6" t="s">
        <v>160</v>
      </c>
      <c r="CT6" t="s">
        <v>160</v>
      </c>
      <c r="CU6" s="134">
        <v>35</v>
      </c>
      <c r="CV6" t="s">
        <v>159</v>
      </c>
      <c r="CW6">
        <v>3</v>
      </c>
      <c r="CX6" s="149" t="s">
        <v>187</v>
      </c>
      <c r="CY6" s="157" t="s">
        <v>160</v>
      </c>
      <c r="CZ6" s="157" t="s">
        <v>160</v>
      </c>
      <c r="DA6" s="157" t="s">
        <v>160</v>
      </c>
      <c r="DB6" s="157" t="s">
        <v>160</v>
      </c>
      <c r="DC6" s="157" t="s">
        <v>160</v>
      </c>
      <c r="DD6" s="157" t="s">
        <v>160</v>
      </c>
      <c r="DE6" s="157" t="s">
        <v>160</v>
      </c>
      <c r="DF6" s="157" t="s">
        <v>160</v>
      </c>
      <c r="DG6" s="157" t="s">
        <v>160</v>
      </c>
      <c r="DH6" s="157" t="s">
        <v>160</v>
      </c>
      <c r="DI6" s="157" t="s">
        <v>160</v>
      </c>
      <c r="DJ6" s="157" t="s">
        <v>160</v>
      </c>
      <c r="DK6" s="132">
        <v>432.56244218316402</v>
      </c>
      <c r="DL6" t="s">
        <v>165</v>
      </c>
      <c r="DM6" s="153">
        <v>37.1</v>
      </c>
      <c r="DN6" t="s">
        <v>166</v>
      </c>
      <c r="DO6" s="138">
        <v>39.271026460000002</v>
      </c>
      <c r="DP6" s="154" t="s">
        <v>163</v>
      </c>
      <c r="DQ6" s="146">
        <v>0.2</v>
      </c>
      <c r="DR6" t="s">
        <v>190</v>
      </c>
      <c r="DS6" t="s">
        <v>239</v>
      </c>
      <c r="DT6" t="s">
        <v>168</v>
      </c>
      <c r="DU6">
        <v>1.0271999999999999</v>
      </c>
      <c r="DV6" t="s">
        <v>191</v>
      </c>
      <c r="DW6">
        <v>5.9999999999999995E-4</v>
      </c>
      <c r="DX6" t="s">
        <v>198</v>
      </c>
      <c r="DY6" t="s">
        <v>160</v>
      </c>
      <c r="DZ6" t="s">
        <v>160</v>
      </c>
      <c r="EA6" t="s">
        <v>192</v>
      </c>
      <c r="EB6" t="s">
        <v>240</v>
      </c>
      <c r="EC6" t="s">
        <v>170</v>
      </c>
      <c r="ED6" t="s">
        <v>170</v>
      </c>
      <c r="EE6" s="157" t="s">
        <v>160</v>
      </c>
      <c r="EF6" t="s">
        <v>160</v>
      </c>
      <c r="EG6" t="s">
        <v>160</v>
      </c>
      <c r="EH6" t="s">
        <v>171</v>
      </c>
      <c r="EI6" t="s">
        <v>193</v>
      </c>
      <c r="EJ6" t="s">
        <v>241</v>
      </c>
      <c r="EK6" s="137">
        <v>2330</v>
      </c>
      <c r="EL6" t="s">
        <v>211</v>
      </c>
      <c r="EM6">
        <v>175</v>
      </c>
      <c r="EN6">
        <v>175</v>
      </c>
      <c r="EO6" t="s">
        <v>160</v>
      </c>
      <c r="EP6" t="s">
        <v>160</v>
      </c>
      <c r="EQ6" t="s">
        <v>160</v>
      </c>
      <c r="ER6" t="s">
        <v>160</v>
      </c>
      <c r="ES6" s="138">
        <v>8.1128131103469308</v>
      </c>
      <c r="ET6" s="133" t="s">
        <v>172</v>
      </c>
      <c r="EU6" s="138">
        <v>6.427655106262975E-2</v>
      </c>
      <c r="EV6" s="164">
        <v>6.45352891960016E-2</v>
      </c>
      <c r="EW6" s="165">
        <f t="shared" si="7"/>
        <v>326.94192148306399</v>
      </c>
      <c r="EX6" s="154">
        <v>21</v>
      </c>
      <c r="EY6" s="154" t="s">
        <v>195</v>
      </c>
      <c r="EZ6" s="138">
        <v>305.94192148306399</v>
      </c>
      <c r="FA6" s="164">
        <v>69.280315247235023</v>
      </c>
      <c r="FB6" s="164">
        <v>60.297406745090996</v>
      </c>
      <c r="FC6" s="156" t="s">
        <v>212</v>
      </c>
      <c r="FD6" s="156" t="s">
        <v>213</v>
      </c>
      <c r="FE6" t="s">
        <v>173</v>
      </c>
      <c r="FF6" t="s">
        <v>173</v>
      </c>
      <c r="FG6" t="s">
        <v>173</v>
      </c>
      <c r="FH6" t="s">
        <v>173</v>
      </c>
      <c r="FI6" t="s">
        <v>173</v>
      </c>
      <c r="FJ6" t="s">
        <v>173</v>
      </c>
      <c r="FK6" t="s">
        <v>173</v>
      </c>
      <c r="FL6" t="s">
        <v>173</v>
      </c>
      <c r="FM6" t="s">
        <v>173</v>
      </c>
      <c r="FN6" t="s">
        <v>173</v>
      </c>
      <c r="FO6" t="s">
        <v>173</v>
      </c>
      <c r="FP6" t="s">
        <v>173</v>
      </c>
      <c r="FQ6" s="163"/>
      <c r="FR6" s="107"/>
      <c r="FS6" s="107"/>
      <c r="FT6" s="107"/>
      <c r="FU6" s="107"/>
      <c r="FV6" s="107"/>
      <c r="FW6" s="107"/>
      <c r="FX6" s="107"/>
      <c r="FY6" s="107"/>
      <c r="FZ6" s="107"/>
      <c r="GA6" s="107"/>
      <c r="GB6" s="107"/>
      <c r="GC6" s="107"/>
      <c r="GD6" s="107"/>
      <c r="GE6" s="107"/>
      <c r="GF6" s="107"/>
      <c r="GG6" s="107"/>
      <c r="GH6" s="107"/>
      <c r="GI6" s="107"/>
    </row>
    <row r="7" spans="1:191" ht="18" x14ac:dyDescent="0.2">
      <c r="A7" s="126" t="s">
        <v>152</v>
      </c>
      <c r="B7" t="s">
        <v>174</v>
      </c>
      <c r="C7">
        <v>2015</v>
      </c>
      <c r="D7" t="s">
        <v>196</v>
      </c>
      <c r="E7" s="147">
        <f t="shared" ref="E7:E35" si="8">AG7</f>
        <v>2362.2189939999998</v>
      </c>
      <c r="F7" s="135" t="s">
        <v>160</v>
      </c>
      <c r="G7" s="135" t="s">
        <v>160</v>
      </c>
      <c r="H7" s="147">
        <f t="shared" ref="H7:H35" si="9">EZ7</f>
        <v>449.90078215328799</v>
      </c>
      <c r="I7" s="147">
        <f t="shared" ref="I7:I35" si="10">FA7</f>
        <v>109.25111500866501</v>
      </c>
      <c r="J7" s="147">
        <f t="shared" ref="J7:J35" si="11">FB7</f>
        <v>93.141829053533002</v>
      </c>
      <c r="K7" t="s">
        <v>176</v>
      </c>
      <c r="L7" s="130" t="s">
        <v>206</v>
      </c>
      <c r="M7" s="136" t="s">
        <v>175</v>
      </c>
      <c r="N7" t="s">
        <v>196</v>
      </c>
      <c r="O7" t="s">
        <v>156</v>
      </c>
      <c r="P7" s="153" t="s">
        <v>157</v>
      </c>
      <c r="Q7" s="170">
        <v>9</v>
      </c>
      <c r="R7" s="157">
        <v>3</v>
      </c>
      <c r="S7" s="157">
        <v>22</v>
      </c>
      <c r="T7" s="157">
        <v>24</v>
      </c>
      <c r="U7" s="157" t="s">
        <v>160</v>
      </c>
      <c r="V7" s="157" t="s">
        <v>160</v>
      </c>
      <c r="W7" s="157" t="s">
        <v>160</v>
      </c>
      <c r="X7" t="s">
        <v>158</v>
      </c>
      <c r="Y7" s="131">
        <v>12.75</v>
      </c>
      <c r="Z7" s="131">
        <v>-78.73</v>
      </c>
      <c r="AA7" s="131">
        <v>12.75</v>
      </c>
      <c r="AB7" s="131">
        <v>-78.73</v>
      </c>
      <c r="AC7" s="131">
        <v>-2828</v>
      </c>
      <c r="AD7" s="131">
        <v>-2828</v>
      </c>
      <c r="AE7" s="153" t="s">
        <v>160</v>
      </c>
      <c r="AF7" s="153" t="s">
        <v>160</v>
      </c>
      <c r="AG7" s="138">
        <v>2362.2189939999998</v>
      </c>
      <c r="AH7" s="2" t="s">
        <v>159</v>
      </c>
      <c r="AI7" s="153" t="s">
        <v>160</v>
      </c>
      <c r="AJ7" s="153" t="s">
        <v>160</v>
      </c>
      <c r="AK7" s="154" t="s">
        <v>160</v>
      </c>
      <c r="AL7" s="154" t="s">
        <v>177</v>
      </c>
      <c r="AM7" s="157" t="s">
        <v>160</v>
      </c>
      <c r="AN7" t="s">
        <v>160</v>
      </c>
      <c r="AO7" t="s">
        <v>160</v>
      </c>
      <c r="AP7" t="s">
        <v>160</v>
      </c>
      <c r="AQ7" t="s">
        <v>160</v>
      </c>
      <c r="AR7" t="s">
        <v>160</v>
      </c>
      <c r="AS7" t="s">
        <v>160</v>
      </c>
      <c r="AT7" t="s">
        <v>160</v>
      </c>
      <c r="AU7" s="145" t="s">
        <v>178</v>
      </c>
      <c r="AV7" t="s">
        <v>161</v>
      </c>
      <c r="AW7" s="141" t="s">
        <v>179</v>
      </c>
      <c r="AX7" s="141" t="s">
        <v>180</v>
      </c>
      <c r="AY7" s="139" t="s">
        <v>181</v>
      </c>
      <c r="AZ7" s="139" t="s">
        <v>182</v>
      </c>
      <c r="BA7" t="s">
        <v>162</v>
      </c>
      <c r="BB7" s="153" t="s">
        <v>217</v>
      </c>
      <c r="BC7" s="153" t="s">
        <v>217</v>
      </c>
      <c r="BD7" s="153" t="s">
        <v>217</v>
      </c>
      <c r="BE7" s="138">
        <v>19.422000000000001</v>
      </c>
      <c r="BF7" t="s">
        <v>183</v>
      </c>
      <c r="BG7" s="138">
        <v>0.16367343200000001</v>
      </c>
      <c r="BH7">
        <v>0.6</v>
      </c>
      <c r="BI7" t="s">
        <v>184</v>
      </c>
      <c r="BJ7" s="2">
        <v>0.08</v>
      </c>
      <c r="BK7">
        <v>8.8699999999999992</v>
      </c>
      <c r="BL7" t="s">
        <v>163</v>
      </c>
      <c r="BM7">
        <v>1.52</v>
      </c>
      <c r="BN7" t="s">
        <v>185</v>
      </c>
      <c r="BO7" t="s">
        <v>186</v>
      </c>
      <c r="BP7" s="158">
        <f t="shared" ref="BP7:BP68" si="12">(BE7-8.87)/0.6</f>
        <v>17.58666666666667</v>
      </c>
      <c r="BQ7" t="s">
        <v>184</v>
      </c>
      <c r="BR7" s="154" t="s">
        <v>160</v>
      </c>
      <c r="BS7" s="154" t="s">
        <v>160</v>
      </c>
      <c r="BT7" t="s">
        <v>214</v>
      </c>
      <c r="BU7" t="s">
        <v>218</v>
      </c>
      <c r="BV7" t="s">
        <v>164</v>
      </c>
      <c r="BW7" t="s">
        <v>164</v>
      </c>
      <c r="BX7" s="138">
        <v>27.795290000000001</v>
      </c>
      <c r="BY7" t="s">
        <v>184</v>
      </c>
      <c r="BZ7" s="159">
        <v>3</v>
      </c>
      <c r="CA7" s="159">
        <v>3</v>
      </c>
      <c r="CB7" s="138">
        <v>3.5767629727231216</v>
      </c>
      <c r="CC7" s="138">
        <v>3.5767629727231216</v>
      </c>
      <c r="CD7" t="s">
        <v>188</v>
      </c>
      <c r="CE7" s="147">
        <f t="shared" ref="CE7:CE68" si="13">CC7*0.027</f>
        <v>9.657260026352428E-2</v>
      </c>
      <c r="CF7" s="147">
        <f t="shared" ref="CF7:CF68" si="14">CC7*0.027</f>
        <v>9.657260026352428E-2</v>
      </c>
      <c r="CG7" s="153" t="s">
        <v>215</v>
      </c>
      <c r="CH7" s="148" t="s">
        <v>207</v>
      </c>
      <c r="CI7" s="138">
        <v>3.9814426461514936</v>
      </c>
      <c r="CJ7" s="138" t="s">
        <v>244</v>
      </c>
      <c r="CK7" t="s">
        <v>160</v>
      </c>
      <c r="CL7" t="s">
        <v>189</v>
      </c>
      <c r="CM7" t="s">
        <v>160</v>
      </c>
      <c r="CN7" t="s">
        <v>160</v>
      </c>
      <c r="CO7" t="s">
        <v>160</v>
      </c>
      <c r="CP7" t="s">
        <v>160</v>
      </c>
      <c r="CQ7" t="s">
        <v>160</v>
      </c>
      <c r="CR7" t="s">
        <v>160</v>
      </c>
      <c r="CS7" t="s">
        <v>160</v>
      </c>
      <c r="CT7" t="s">
        <v>160</v>
      </c>
      <c r="CU7" s="134">
        <v>35</v>
      </c>
      <c r="CV7" t="s">
        <v>159</v>
      </c>
      <c r="CW7">
        <v>3</v>
      </c>
      <c r="CX7" s="149" t="s">
        <v>187</v>
      </c>
      <c r="CY7" s="157" t="s">
        <v>160</v>
      </c>
      <c r="CZ7" s="157" t="s">
        <v>160</v>
      </c>
      <c r="DA7" s="157" t="s">
        <v>160</v>
      </c>
      <c r="DB7" s="157" t="s">
        <v>160</v>
      </c>
      <c r="DC7" s="157" t="s">
        <v>160</v>
      </c>
      <c r="DD7" s="157" t="s">
        <v>160</v>
      </c>
      <c r="DE7" s="157" t="s">
        <v>160</v>
      </c>
      <c r="DF7" s="157" t="s">
        <v>160</v>
      </c>
      <c r="DG7" s="157" t="s">
        <v>160</v>
      </c>
      <c r="DH7" s="157" t="s">
        <v>160</v>
      </c>
      <c r="DI7" s="157" t="s">
        <v>160</v>
      </c>
      <c r="DJ7" s="157" t="s">
        <v>160</v>
      </c>
      <c r="DK7" s="132">
        <v>432.56244218316402</v>
      </c>
      <c r="DL7" t="s">
        <v>165</v>
      </c>
      <c r="DM7" s="153">
        <v>37.1</v>
      </c>
      <c r="DN7" t="s">
        <v>166</v>
      </c>
      <c r="DO7" s="138">
        <v>39.269740419999998</v>
      </c>
      <c r="DP7" s="154" t="s">
        <v>163</v>
      </c>
      <c r="DQ7" s="146">
        <v>0.2</v>
      </c>
      <c r="DR7" t="s">
        <v>190</v>
      </c>
      <c r="DS7" t="s">
        <v>167</v>
      </c>
      <c r="DT7" t="s">
        <v>168</v>
      </c>
      <c r="DU7">
        <v>1.0271999999999999</v>
      </c>
      <c r="DV7" t="s">
        <v>191</v>
      </c>
      <c r="DW7">
        <v>5.9999999999999995E-4</v>
      </c>
      <c r="DX7" t="s">
        <v>198</v>
      </c>
      <c r="DY7" t="s">
        <v>160</v>
      </c>
      <c r="DZ7" t="s">
        <v>160</v>
      </c>
      <c r="EA7" t="s">
        <v>192</v>
      </c>
      <c r="EB7" t="s">
        <v>169</v>
      </c>
      <c r="EC7" t="s">
        <v>170</v>
      </c>
      <c r="ED7" t="s">
        <v>170</v>
      </c>
      <c r="EE7" s="157" t="s">
        <v>160</v>
      </c>
      <c r="EF7" t="s">
        <v>160</v>
      </c>
      <c r="EG7" t="s">
        <v>160</v>
      </c>
      <c r="EH7" t="s">
        <v>171</v>
      </c>
      <c r="EI7" t="s">
        <v>193</v>
      </c>
      <c r="EJ7" t="s">
        <v>194</v>
      </c>
      <c r="EK7" s="137">
        <v>2330</v>
      </c>
      <c r="EL7" t="s">
        <v>211</v>
      </c>
      <c r="EM7">
        <v>175</v>
      </c>
      <c r="EN7">
        <v>175</v>
      </c>
      <c r="EO7" t="s">
        <v>160</v>
      </c>
      <c r="EP7" t="s">
        <v>160</v>
      </c>
      <c r="EQ7" t="s">
        <v>160</v>
      </c>
      <c r="ER7" t="s">
        <v>160</v>
      </c>
      <c r="ES7" s="138">
        <v>7.9889486752713301</v>
      </c>
      <c r="ET7" s="133" t="s">
        <v>172</v>
      </c>
      <c r="EU7" s="138">
        <v>7.0271047777569429E-2</v>
      </c>
      <c r="EV7" s="138">
        <v>7.3850358912100234E-2</v>
      </c>
      <c r="EW7" s="147">
        <v>470.90078215328799</v>
      </c>
      <c r="EX7" s="154">
        <v>21</v>
      </c>
      <c r="EY7" s="154" t="s">
        <v>195</v>
      </c>
      <c r="EZ7" s="138">
        <v>449.90078215328799</v>
      </c>
      <c r="FA7" s="138">
        <v>109.25111500866501</v>
      </c>
      <c r="FB7" s="138">
        <v>93.141829053533002</v>
      </c>
      <c r="FC7" s="156" t="s">
        <v>212</v>
      </c>
      <c r="FD7" s="156" t="s">
        <v>213</v>
      </c>
      <c r="FE7" t="s">
        <v>173</v>
      </c>
      <c r="FF7" t="s">
        <v>173</v>
      </c>
      <c r="FG7" t="s">
        <v>173</v>
      </c>
      <c r="FH7" t="s">
        <v>173</v>
      </c>
      <c r="FI7" t="s">
        <v>173</v>
      </c>
      <c r="FJ7" t="s">
        <v>173</v>
      </c>
      <c r="FK7" t="s">
        <v>173</v>
      </c>
      <c r="FL7" t="s">
        <v>173</v>
      </c>
      <c r="FM7" t="s">
        <v>173</v>
      </c>
      <c r="FN7" t="s">
        <v>173</v>
      </c>
      <c r="FO7" t="s">
        <v>173</v>
      </c>
      <c r="FP7" t="s">
        <v>173</v>
      </c>
    </row>
    <row r="8" spans="1:191" ht="18" x14ac:dyDescent="0.2">
      <c r="A8" s="126" t="s">
        <v>152</v>
      </c>
      <c r="B8" t="s">
        <v>174</v>
      </c>
      <c r="C8">
        <v>2015</v>
      </c>
      <c r="D8" t="s">
        <v>196</v>
      </c>
      <c r="E8" s="147">
        <f t="shared" si="8"/>
        <v>2372.1982419999999</v>
      </c>
      <c r="F8" s="135" t="s">
        <v>160</v>
      </c>
      <c r="G8" s="135" t="s">
        <v>160</v>
      </c>
      <c r="H8" s="147">
        <f t="shared" si="9"/>
        <v>414.50897655981402</v>
      </c>
      <c r="I8" s="147">
        <f t="shared" si="10"/>
        <v>96.20760585473198</v>
      </c>
      <c r="J8" s="147">
        <f t="shared" si="11"/>
        <v>80.34220357359402</v>
      </c>
      <c r="K8" t="s">
        <v>176</v>
      </c>
      <c r="L8" s="130" t="s">
        <v>206</v>
      </c>
      <c r="M8" s="136" t="s">
        <v>175</v>
      </c>
      <c r="N8" t="s">
        <v>196</v>
      </c>
      <c r="O8" t="s">
        <v>156</v>
      </c>
      <c r="P8" s="153" t="s">
        <v>157</v>
      </c>
      <c r="Q8" s="157">
        <v>9</v>
      </c>
      <c r="R8" s="157">
        <v>3</v>
      </c>
      <c r="S8" s="157">
        <v>51</v>
      </c>
      <c r="T8" s="157">
        <v>53</v>
      </c>
      <c r="U8" s="157" t="s">
        <v>160</v>
      </c>
      <c r="V8" s="157" t="s">
        <v>160</v>
      </c>
      <c r="W8" s="157" t="s">
        <v>160</v>
      </c>
      <c r="X8" t="s">
        <v>158</v>
      </c>
      <c r="Y8" s="131">
        <v>12.75</v>
      </c>
      <c r="Z8" s="131">
        <v>-78.73</v>
      </c>
      <c r="AA8" s="131">
        <v>12.75</v>
      </c>
      <c r="AB8" s="131">
        <v>-78.73</v>
      </c>
      <c r="AC8" s="131">
        <v>-2828</v>
      </c>
      <c r="AD8" s="131">
        <v>-2828</v>
      </c>
      <c r="AE8" s="153" t="s">
        <v>160</v>
      </c>
      <c r="AF8" s="153" t="s">
        <v>160</v>
      </c>
      <c r="AG8" s="138">
        <v>2372.1982419999999</v>
      </c>
      <c r="AH8" s="2" t="s">
        <v>159</v>
      </c>
      <c r="AI8" s="153" t="s">
        <v>160</v>
      </c>
      <c r="AJ8" s="153" t="s">
        <v>160</v>
      </c>
      <c r="AK8" s="154" t="s">
        <v>160</v>
      </c>
      <c r="AL8" s="154" t="s">
        <v>177</v>
      </c>
      <c r="AM8" s="157" t="s">
        <v>160</v>
      </c>
      <c r="AN8" t="s">
        <v>160</v>
      </c>
      <c r="AO8" t="s">
        <v>160</v>
      </c>
      <c r="AP8" t="s">
        <v>160</v>
      </c>
      <c r="AQ8" t="s">
        <v>160</v>
      </c>
      <c r="AR8" t="s">
        <v>160</v>
      </c>
      <c r="AS8" t="s">
        <v>160</v>
      </c>
      <c r="AT8" t="s">
        <v>160</v>
      </c>
      <c r="AU8" s="145" t="s">
        <v>178</v>
      </c>
      <c r="AV8" t="s">
        <v>161</v>
      </c>
      <c r="AW8" s="141" t="s">
        <v>179</v>
      </c>
      <c r="AX8" s="139" t="s">
        <v>180</v>
      </c>
      <c r="AY8" s="139" t="s">
        <v>181</v>
      </c>
      <c r="AZ8" s="139" t="s">
        <v>182</v>
      </c>
      <c r="BA8" s="140" t="s">
        <v>162</v>
      </c>
      <c r="BB8" s="153" t="s">
        <v>217</v>
      </c>
      <c r="BC8" s="153" t="s">
        <v>217</v>
      </c>
      <c r="BD8" s="153" t="s">
        <v>217</v>
      </c>
      <c r="BE8" s="138">
        <v>19.651509999999998</v>
      </c>
      <c r="BF8" t="s">
        <v>183</v>
      </c>
      <c r="BG8" s="138">
        <v>0.123089033</v>
      </c>
      <c r="BH8">
        <v>0.6</v>
      </c>
      <c r="BI8" t="s">
        <v>184</v>
      </c>
      <c r="BJ8" s="2">
        <v>0.08</v>
      </c>
      <c r="BK8">
        <v>8.8699999999999992</v>
      </c>
      <c r="BL8" t="s">
        <v>163</v>
      </c>
      <c r="BM8">
        <v>1.52</v>
      </c>
      <c r="BN8" t="s">
        <v>185</v>
      </c>
      <c r="BO8" t="s">
        <v>186</v>
      </c>
      <c r="BP8" s="158">
        <f t="shared" si="12"/>
        <v>17.969183333333334</v>
      </c>
      <c r="BQ8" t="s">
        <v>184</v>
      </c>
      <c r="BR8" s="154" t="s">
        <v>160</v>
      </c>
      <c r="BS8" s="154" t="s">
        <v>160</v>
      </c>
      <c r="BT8" t="s">
        <v>214</v>
      </c>
      <c r="BU8" t="s">
        <v>218</v>
      </c>
      <c r="BV8" t="s">
        <v>164</v>
      </c>
      <c r="BW8" t="s">
        <v>164</v>
      </c>
      <c r="BX8" s="138">
        <v>28.651109999999999</v>
      </c>
      <c r="BY8" t="s">
        <v>184</v>
      </c>
      <c r="BZ8" s="159">
        <v>3</v>
      </c>
      <c r="CA8" s="159">
        <v>3</v>
      </c>
      <c r="CB8" s="138">
        <v>3.8689611092297476</v>
      </c>
      <c r="CC8" s="138">
        <v>3.8689611092297476</v>
      </c>
      <c r="CD8" t="s">
        <v>188</v>
      </c>
      <c r="CE8" s="147">
        <f t="shared" si="13"/>
        <v>0.10446194994920319</v>
      </c>
      <c r="CF8" s="147">
        <f t="shared" si="14"/>
        <v>0.10446194994920319</v>
      </c>
      <c r="CG8" s="153" t="s">
        <v>215</v>
      </c>
      <c r="CH8" s="148" t="s">
        <v>207</v>
      </c>
      <c r="CI8" s="138">
        <v>3.9960748557521235</v>
      </c>
      <c r="CJ8" s="138" t="s">
        <v>244</v>
      </c>
      <c r="CK8" t="s">
        <v>160</v>
      </c>
      <c r="CL8" t="s">
        <v>189</v>
      </c>
      <c r="CM8" t="s">
        <v>160</v>
      </c>
      <c r="CN8" t="s">
        <v>160</v>
      </c>
      <c r="CO8" t="s">
        <v>160</v>
      </c>
      <c r="CP8" t="s">
        <v>160</v>
      </c>
      <c r="CQ8" t="s">
        <v>160</v>
      </c>
      <c r="CR8" t="s">
        <v>160</v>
      </c>
      <c r="CS8" t="s">
        <v>160</v>
      </c>
      <c r="CT8" t="s">
        <v>160</v>
      </c>
      <c r="CU8" s="134">
        <v>35</v>
      </c>
      <c r="CV8" t="s">
        <v>159</v>
      </c>
      <c r="CW8">
        <v>3</v>
      </c>
      <c r="CX8" s="149" t="s">
        <v>187</v>
      </c>
      <c r="CY8" s="157" t="s">
        <v>160</v>
      </c>
      <c r="CZ8" s="157" t="s">
        <v>160</v>
      </c>
      <c r="DA8" s="157" t="s">
        <v>160</v>
      </c>
      <c r="DB8" s="157" t="s">
        <v>160</v>
      </c>
      <c r="DC8" s="157" t="s">
        <v>160</v>
      </c>
      <c r="DD8" s="157" t="s">
        <v>160</v>
      </c>
      <c r="DE8" s="157" t="s">
        <v>160</v>
      </c>
      <c r="DF8" s="157" t="s">
        <v>160</v>
      </c>
      <c r="DG8" s="157" t="s">
        <v>160</v>
      </c>
      <c r="DH8" s="157" t="s">
        <v>160</v>
      </c>
      <c r="DI8" s="157" t="s">
        <v>160</v>
      </c>
      <c r="DJ8" s="157" t="s">
        <v>160</v>
      </c>
      <c r="DK8" s="132">
        <v>432.56244218316402</v>
      </c>
      <c r="DL8" t="s">
        <v>165</v>
      </c>
      <c r="DM8" s="153">
        <v>37.1</v>
      </c>
      <c r="DN8" t="s">
        <v>166</v>
      </c>
      <c r="DO8" s="138">
        <v>39.268652439999997</v>
      </c>
      <c r="DP8" s="154" t="s">
        <v>163</v>
      </c>
      <c r="DQ8" s="146">
        <v>0.2</v>
      </c>
      <c r="DR8" t="s">
        <v>190</v>
      </c>
      <c r="DS8" t="s">
        <v>167</v>
      </c>
      <c r="DT8" t="s">
        <v>168</v>
      </c>
      <c r="DU8">
        <v>1.0271999999999999</v>
      </c>
      <c r="DV8" t="s">
        <v>191</v>
      </c>
      <c r="DW8">
        <v>5.9999999999999995E-4</v>
      </c>
      <c r="DX8" t="s">
        <v>198</v>
      </c>
      <c r="DY8" t="s">
        <v>160</v>
      </c>
      <c r="DZ8" t="s">
        <v>160</v>
      </c>
      <c r="EA8" t="s">
        <v>192</v>
      </c>
      <c r="EB8" t="s">
        <v>169</v>
      </c>
      <c r="EC8" t="s">
        <v>170</v>
      </c>
      <c r="ED8" t="s">
        <v>170</v>
      </c>
      <c r="EE8" s="157" t="s">
        <v>160</v>
      </c>
      <c r="EF8" t="s">
        <v>160</v>
      </c>
      <c r="EG8" t="s">
        <v>160</v>
      </c>
      <c r="EH8" t="s">
        <v>171</v>
      </c>
      <c r="EI8" t="s">
        <v>193</v>
      </c>
      <c r="EJ8" t="s">
        <v>194</v>
      </c>
      <c r="EK8" s="137">
        <v>2330</v>
      </c>
      <c r="EL8" t="s">
        <v>211</v>
      </c>
      <c r="EM8">
        <v>175</v>
      </c>
      <c r="EN8">
        <v>175</v>
      </c>
      <c r="EO8" t="s">
        <v>160</v>
      </c>
      <c r="EP8" t="s">
        <v>160</v>
      </c>
      <c r="EQ8" t="s">
        <v>160</v>
      </c>
      <c r="ER8" t="s">
        <v>160</v>
      </c>
      <c r="ES8" s="138">
        <v>8.0160347349735606</v>
      </c>
      <c r="ET8" s="133" t="s">
        <v>172</v>
      </c>
      <c r="EU8" s="138">
        <v>6.7404628899129904E-2</v>
      </c>
      <c r="EV8" s="138">
        <v>6.8206239612880637E-2</v>
      </c>
      <c r="EW8" s="147">
        <v>435.50897655981402</v>
      </c>
      <c r="EX8" s="154">
        <v>21</v>
      </c>
      <c r="EY8" s="154" t="s">
        <v>195</v>
      </c>
      <c r="EZ8" s="138">
        <v>414.50897655981402</v>
      </c>
      <c r="FA8" s="138">
        <v>96.20760585473198</v>
      </c>
      <c r="FB8" s="138">
        <v>80.34220357359402</v>
      </c>
      <c r="FC8" s="156" t="s">
        <v>212</v>
      </c>
      <c r="FD8" s="156" t="s">
        <v>213</v>
      </c>
      <c r="FE8" t="s">
        <v>173</v>
      </c>
      <c r="FF8" t="s">
        <v>173</v>
      </c>
      <c r="FG8" t="s">
        <v>173</v>
      </c>
      <c r="FH8" t="s">
        <v>173</v>
      </c>
      <c r="FI8" t="s">
        <v>173</v>
      </c>
      <c r="FJ8" t="s">
        <v>173</v>
      </c>
      <c r="FK8" t="s">
        <v>173</v>
      </c>
      <c r="FL8" t="s">
        <v>173</v>
      </c>
      <c r="FM8" t="s">
        <v>173</v>
      </c>
      <c r="FN8" t="s">
        <v>173</v>
      </c>
      <c r="FO8" t="s">
        <v>173</v>
      </c>
      <c r="FP8" t="s">
        <v>173</v>
      </c>
    </row>
    <row r="9" spans="1:191" ht="18" x14ac:dyDescent="0.2">
      <c r="A9" s="126" t="s">
        <v>152</v>
      </c>
      <c r="B9" t="s">
        <v>174</v>
      </c>
      <c r="C9">
        <v>2015</v>
      </c>
      <c r="D9" t="s">
        <v>196</v>
      </c>
      <c r="E9" s="147">
        <f t="shared" si="8"/>
        <v>2381.2902829999998</v>
      </c>
      <c r="F9" s="135" t="s">
        <v>160</v>
      </c>
      <c r="G9" s="135" t="s">
        <v>160</v>
      </c>
      <c r="H9" s="147">
        <f t="shared" si="9"/>
        <v>371.26089027376901</v>
      </c>
      <c r="I9" s="147">
        <f t="shared" si="10"/>
        <v>84.436772000593976</v>
      </c>
      <c r="J9" s="147">
        <f t="shared" si="11"/>
        <v>73.306328554425988</v>
      </c>
      <c r="K9" t="s">
        <v>176</v>
      </c>
      <c r="L9" s="130" t="s">
        <v>206</v>
      </c>
      <c r="M9" s="136" t="s">
        <v>175</v>
      </c>
      <c r="N9" t="s">
        <v>196</v>
      </c>
      <c r="O9" t="s">
        <v>156</v>
      </c>
      <c r="P9" s="153" t="s">
        <v>157</v>
      </c>
      <c r="Q9" s="157">
        <v>9</v>
      </c>
      <c r="R9" s="157">
        <v>3</v>
      </c>
      <c r="S9" s="157">
        <v>78</v>
      </c>
      <c r="T9" s="157">
        <v>80</v>
      </c>
      <c r="U9" s="157" t="s">
        <v>160</v>
      </c>
      <c r="V9" s="157" t="s">
        <v>160</v>
      </c>
      <c r="W9" s="157" t="s">
        <v>160</v>
      </c>
      <c r="X9" t="s">
        <v>158</v>
      </c>
      <c r="Y9" s="131">
        <v>12.75</v>
      </c>
      <c r="Z9" s="131">
        <v>-78.73</v>
      </c>
      <c r="AA9" s="131">
        <v>12.75</v>
      </c>
      <c r="AB9" s="131">
        <v>-78.73</v>
      </c>
      <c r="AC9" s="131">
        <v>-2828</v>
      </c>
      <c r="AD9" s="131">
        <v>-2828</v>
      </c>
      <c r="AE9" s="153" t="s">
        <v>160</v>
      </c>
      <c r="AF9" s="153" t="s">
        <v>160</v>
      </c>
      <c r="AG9" s="138">
        <v>2381.2902829999998</v>
      </c>
      <c r="AH9" s="2" t="s">
        <v>159</v>
      </c>
      <c r="AI9" s="153" t="s">
        <v>160</v>
      </c>
      <c r="AJ9" s="153" t="s">
        <v>160</v>
      </c>
      <c r="AK9" s="154" t="s">
        <v>160</v>
      </c>
      <c r="AL9" s="154" t="s">
        <v>177</v>
      </c>
      <c r="AM9" s="157" t="s">
        <v>160</v>
      </c>
      <c r="AN9" t="s">
        <v>160</v>
      </c>
      <c r="AO9" t="s">
        <v>160</v>
      </c>
      <c r="AP9" t="s">
        <v>160</v>
      </c>
      <c r="AQ9" t="s">
        <v>160</v>
      </c>
      <c r="AR9" t="s">
        <v>160</v>
      </c>
      <c r="AS9" t="s">
        <v>160</v>
      </c>
      <c r="AT9" t="s">
        <v>160</v>
      </c>
      <c r="AU9" s="145" t="s">
        <v>178</v>
      </c>
      <c r="AV9" t="s">
        <v>161</v>
      </c>
      <c r="AW9" s="141" t="s">
        <v>179</v>
      </c>
      <c r="AX9" s="141" t="s">
        <v>180</v>
      </c>
      <c r="AY9" s="139" t="s">
        <v>181</v>
      </c>
      <c r="AZ9" s="139" t="s">
        <v>182</v>
      </c>
      <c r="BA9" t="s">
        <v>162</v>
      </c>
      <c r="BB9" s="153" t="s">
        <v>217</v>
      </c>
      <c r="BC9" s="153" t="s">
        <v>217</v>
      </c>
      <c r="BD9" s="153" t="s">
        <v>217</v>
      </c>
      <c r="BE9" s="138">
        <v>19.890139999999999</v>
      </c>
      <c r="BF9" t="s">
        <v>183</v>
      </c>
      <c r="BG9" s="138">
        <v>0.12155007700000001</v>
      </c>
      <c r="BH9">
        <v>0.6</v>
      </c>
      <c r="BI9" t="s">
        <v>184</v>
      </c>
      <c r="BJ9" s="2">
        <v>0.08</v>
      </c>
      <c r="BK9">
        <v>8.8699999999999992</v>
      </c>
      <c r="BL9" t="s">
        <v>163</v>
      </c>
      <c r="BM9">
        <v>1.52</v>
      </c>
      <c r="BN9" t="s">
        <v>185</v>
      </c>
      <c r="BO9" t="s">
        <v>186</v>
      </c>
      <c r="BP9" s="158">
        <f t="shared" si="12"/>
        <v>18.366900000000001</v>
      </c>
      <c r="BQ9" t="s">
        <v>184</v>
      </c>
      <c r="BR9" s="154" t="s">
        <v>160</v>
      </c>
      <c r="BS9" s="154" t="s">
        <v>160</v>
      </c>
      <c r="BT9" t="s">
        <v>214</v>
      </c>
      <c r="BU9" t="s">
        <v>218</v>
      </c>
      <c r="BV9" t="s">
        <v>164</v>
      </c>
      <c r="BW9" t="s">
        <v>164</v>
      </c>
      <c r="BX9" s="138">
        <v>28.747229999999998</v>
      </c>
      <c r="BY9" t="s">
        <v>184</v>
      </c>
      <c r="BZ9" s="159">
        <v>3</v>
      </c>
      <c r="CA9" s="159">
        <v>3</v>
      </c>
      <c r="CB9" s="138">
        <v>3.9079672925277102</v>
      </c>
      <c r="CC9" s="138">
        <v>3.9079672925277102</v>
      </c>
      <c r="CD9" t="s">
        <v>188</v>
      </c>
      <c r="CE9" s="147">
        <f t="shared" si="13"/>
        <v>0.10551511689824818</v>
      </c>
      <c r="CF9" s="147">
        <f t="shared" si="14"/>
        <v>0.10551511689824818</v>
      </c>
      <c r="CG9" s="153" t="s">
        <v>215</v>
      </c>
      <c r="CH9" s="148" t="s">
        <v>207</v>
      </c>
      <c r="CI9" s="138">
        <v>4.0095530107622217</v>
      </c>
      <c r="CJ9" s="138" t="s">
        <v>244</v>
      </c>
      <c r="CK9" t="s">
        <v>160</v>
      </c>
      <c r="CL9" t="s">
        <v>189</v>
      </c>
      <c r="CM9" t="s">
        <v>160</v>
      </c>
      <c r="CN9" t="s">
        <v>160</v>
      </c>
      <c r="CO9" t="s">
        <v>160</v>
      </c>
      <c r="CP9" t="s">
        <v>160</v>
      </c>
      <c r="CQ9" t="s">
        <v>160</v>
      </c>
      <c r="CR9" t="s">
        <v>160</v>
      </c>
      <c r="CS9" t="s">
        <v>160</v>
      </c>
      <c r="CT9" t="s">
        <v>160</v>
      </c>
      <c r="CU9" s="134">
        <v>35</v>
      </c>
      <c r="CV9" t="s">
        <v>159</v>
      </c>
      <c r="CW9">
        <v>3</v>
      </c>
      <c r="CX9" s="149" t="s">
        <v>187</v>
      </c>
      <c r="CY9" s="157" t="s">
        <v>160</v>
      </c>
      <c r="CZ9" s="157" t="s">
        <v>160</v>
      </c>
      <c r="DA9" s="157" t="s">
        <v>160</v>
      </c>
      <c r="DB9" s="157" t="s">
        <v>160</v>
      </c>
      <c r="DC9" s="157" t="s">
        <v>160</v>
      </c>
      <c r="DD9" s="157" t="s">
        <v>160</v>
      </c>
      <c r="DE9" s="157" t="s">
        <v>160</v>
      </c>
      <c r="DF9" s="157" t="s">
        <v>160</v>
      </c>
      <c r="DG9" s="157" t="s">
        <v>160</v>
      </c>
      <c r="DH9" s="157" t="s">
        <v>160</v>
      </c>
      <c r="DI9" s="157" t="s">
        <v>160</v>
      </c>
      <c r="DJ9" s="157" t="s">
        <v>160</v>
      </c>
      <c r="DK9" s="132">
        <v>432.56244218316402</v>
      </c>
      <c r="DL9" t="s">
        <v>165</v>
      </c>
      <c r="DM9" s="153">
        <v>37.1</v>
      </c>
      <c r="DN9" t="s">
        <v>166</v>
      </c>
      <c r="DO9" s="138">
        <v>39.267403100000003</v>
      </c>
      <c r="DP9" s="154" t="s">
        <v>163</v>
      </c>
      <c r="DQ9" s="146">
        <v>0.2</v>
      </c>
      <c r="DR9" t="s">
        <v>190</v>
      </c>
      <c r="DS9" t="s">
        <v>167</v>
      </c>
      <c r="DT9" t="s">
        <v>168</v>
      </c>
      <c r="DU9">
        <v>1.0271999999999999</v>
      </c>
      <c r="DV9" t="s">
        <v>191</v>
      </c>
      <c r="DW9">
        <v>5.9999999999999995E-4</v>
      </c>
      <c r="DX9" t="s">
        <v>198</v>
      </c>
      <c r="DY9" t="s">
        <v>160</v>
      </c>
      <c r="DZ9" t="s">
        <v>160</v>
      </c>
      <c r="EA9" t="s">
        <v>192</v>
      </c>
      <c r="EB9" t="s">
        <v>169</v>
      </c>
      <c r="EC9" t="s">
        <v>170</v>
      </c>
      <c r="ED9" t="s">
        <v>170</v>
      </c>
      <c r="EE9" s="157" t="s">
        <v>160</v>
      </c>
      <c r="EF9" t="s">
        <v>160</v>
      </c>
      <c r="EG9" t="s">
        <v>160</v>
      </c>
      <c r="EH9" t="s">
        <v>171</v>
      </c>
      <c r="EI9" t="s">
        <v>193</v>
      </c>
      <c r="EJ9" t="s">
        <v>194</v>
      </c>
      <c r="EK9" s="137">
        <v>2330</v>
      </c>
      <c r="EL9" t="s">
        <v>211</v>
      </c>
      <c r="EM9">
        <v>175</v>
      </c>
      <c r="EN9">
        <v>175</v>
      </c>
      <c r="EO9" t="s">
        <v>160</v>
      </c>
      <c r="EP9" t="s">
        <v>160</v>
      </c>
      <c r="EQ9" t="s">
        <v>160</v>
      </c>
      <c r="ER9" t="s">
        <v>160</v>
      </c>
      <c r="ES9" s="138">
        <v>8.0524011575864307</v>
      </c>
      <c r="ET9" s="133" t="s">
        <v>172</v>
      </c>
      <c r="EU9" s="138">
        <v>6.655852410797003E-2</v>
      </c>
      <c r="EV9" s="138">
        <v>6.601414483165069E-2</v>
      </c>
      <c r="EW9" s="147">
        <v>392.26089027376901</v>
      </c>
      <c r="EX9" s="154">
        <v>21</v>
      </c>
      <c r="EY9" s="154" t="s">
        <v>195</v>
      </c>
      <c r="EZ9" s="138">
        <v>371.26089027376901</v>
      </c>
      <c r="FA9" s="138">
        <v>84.436772000593976</v>
      </c>
      <c r="FB9" s="138">
        <v>73.306328554425988</v>
      </c>
      <c r="FC9" s="156" t="s">
        <v>212</v>
      </c>
      <c r="FD9" s="156" t="s">
        <v>213</v>
      </c>
      <c r="FE9" t="s">
        <v>173</v>
      </c>
      <c r="FF9" t="s">
        <v>173</v>
      </c>
      <c r="FG9" t="s">
        <v>173</v>
      </c>
      <c r="FH9" t="s">
        <v>173</v>
      </c>
      <c r="FI9" t="s">
        <v>173</v>
      </c>
      <c r="FJ9" t="s">
        <v>173</v>
      </c>
      <c r="FK9" t="s">
        <v>173</v>
      </c>
      <c r="FL9" t="s">
        <v>173</v>
      </c>
      <c r="FM9" t="s">
        <v>173</v>
      </c>
      <c r="FN9" t="s">
        <v>173</v>
      </c>
      <c r="FO9" t="s">
        <v>173</v>
      </c>
      <c r="FP9" t="s">
        <v>173</v>
      </c>
    </row>
    <row r="10" spans="1:191" ht="18" x14ac:dyDescent="0.2">
      <c r="A10" s="126" t="s">
        <v>152</v>
      </c>
      <c r="B10" t="s">
        <v>174</v>
      </c>
      <c r="C10">
        <v>2015</v>
      </c>
      <c r="D10" t="s">
        <v>196</v>
      </c>
      <c r="E10" s="147">
        <f t="shared" si="8"/>
        <v>2389.3159179999998</v>
      </c>
      <c r="F10" s="135" t="s">
        <v>160</v>
      </c>
      <c r="G10" s="135" t="s">
        <v>160</v>
      </c>
      <c r="H10" s="147">
        <f t="shared" si="9"/>
        <v>377.045047877451</v>
      </c>
      <c r="I10" s="147">
        <f t="shared" si="10"/>
        <v>83.778996967981016</v>
      </c>
      <c r="J10" s="147">
        <f t="shared" si="11"/>
        <v>72.314892985352003</v>
      </c>
      <c r="K10" t="s">
        <v>176</v>
      </c>
      <c r="L10" s="130" t="s">
        <v>206</v>
      </c>
      <c r="M10" s="136" t="s">
        <v>175</v>
      </c>
      <c r="N10" t="s">
        <v>196</v>
      </c>
      <c r="O10" t="s">
        <v>156</v>
      </c>
      <c r="P10" s="153" t="s">
        <v>157</v>
      </c>
      <c r="Q10" s="170">
        <v>9</v>
      </c>
      <c r="R10" s="157">
        <v>3</v>
      </c>
      <c r="S10" s="157">
        <v>102</v>
      </c>
      <c r="T10" s="157">
        <v>104</v>
      </c>
      <c r="U10" s="157" t="s">
        <v>160</v>
      </c>
      <c r="V10" s="157" t="s">
        <v>160</v>
      </c>
      <c r="W10" s="157" t="s">
        <v>160</v>
      </c>
      <c r="X10" t="s">
        <v>158</v>
      </c>
      <c r="Y10" s="131">
        <v>12.75</v>
      </c>
      <c r="Z10" s="131">
        <v>-78.73</v>
      </c>
      <c r="AA10" s="131">
        <v>12.75</v>
      </c>
      <c r="AB10" s="131">
        <v>-78.73</v>
      </c>
      <c r="AC10" s="131">
        <v>-2828</v>
      </c>
      <c r="AD10" s="131">
        <v>-2828</v>
      </c>
      <c r="AE10" s="153" t="s">
        <v>160</v>
      </c>
      <c r="AF10" s="153" t="s">
        <v>160</v>
      </c>
      <c r="AG10" s="138">
        <v>2389.3159179999998</v>
      </c>
      <c r="AH10" s="2" t="s">
        <v>159</v>
      </c>
      <c r="AI10" s="153" t="s">
        <v>160</v>
      </c>
      <c r="AJ10" s="153" t="s">
        <v>160</v>
      </c>
      <c r="AK10" s="154" t="s">
        <v>160</v>
      </c>
      <c r="AL10" s="154" t="s">
        <v>177</v>
      </c>
      <c r="AM10" s="157" t="s">
        <v>160</v>
      </c>
      <c r="AN10" t="s">
        <v>160</v>
      </c>
      <c r="AO10" t="s">
        <v>160</v>
      </c>
      <c r="AP10" t="s">
        <v>160</v>
      </c>
      <c r="AQ10" t="s">
        <v>160</v>
      </c>
      <c r="AR10" t="s">
        <v>160</v>
      </c>
      <c r="AS10" t="s">
        <v>160</v>
      </c>
      <c r="AT10" t="s">
        <v>160</v>
      </c>
      <c r="AU10" s="145" t="s">
        <v>178</v>
      </c>
      <c r="AV10" t="s">
        <v>161</v>
      </c>
      <c r="AW10" s="141" t="s">
        <v>179</v>
      </c>
      <c r="AX10" s="139" t="s">
        <v>180</v>
      </c>
      <c r="AY10" s="139" t="s">
        <v>181</v>
      </c>
      <c r="AZ10" s="139" t="s">
        <v>182</v>
      </c>
      <c r="BA10" s="140" t="s">
        <v>162</v>
      </c>
      <c r="BB10" s="153" t="s">
        <v>217</v>
      </c>
      <c r="BC10" s="153" t="s">
        <v>217</v>
      </c>
      <c r="BD10" s="153" t="s">
        <v>217</v>
      </c>
      <c r="BE10" s="138">
        <v>19.83353</v>
      </c>
      <c r="BF10" t="s">
        <v>183</v>
      </c>
      <c r="BG10" s="138">
        <v>9.6840154999999997E-2</v>
      </c>
      <c r="BH10">
        <v>0.6</v>
      </c>
      <c r="BI10" t="s">
        <v>184</v>
      </c>
      <c r="BJ10" s="2">
        <v>0.08</v>
      </c>
      <c r="BK10">
        <v>8.8699999999999992</v>
      </c>
      <c r="BL10" t="s">
        <v>163</v>
      </c>
      <c r="BM10">
        <v>1.52</v>
      </c>
      <c r="BN10" t="s">
        <v>185</v>
      </c>
      <c r="BO10" t="s">
        <v>186</v>
      </c>
      <c r="BP10" s="158">
        <f t="shared" si="12"/>
        <v>18.272550000000003</v>
      </c>
      <c r="BQ10" t="s">
        <v>184</v>
      </c>
      <c r="BR10" s="154" t="s">
        <v>160</v>
      </c>
      <c r="BS10" s="154" t="s">
        <v>160</v>
      </c>
      <c r="BT10" t="s">
        <v>214</v>
      </c>
      <c r="BU10" t="s">
        <v>218</v>
      </c>
      <c r="BV10" t="s">
        <v>164</v>
      </c>
      <c r="BW10" t="s">
        <v>164</v>
      </c>
      <c r="BX10" s="138">
        <v>28.408709999999999</v>
      </c>
      <c r="BY10" t="s">
        <v>184</v>
      </c>
      <c r="BZ10" s="159">
        <v>3</v>
      </c>
      <c r="CA10" s="159">
        <v>3</v>
      </c>
      <c r="CB10" s="138">
        <v>3.7953751685012476</v>
      </c>
      <c r="CC10" s="138">
        <v>3.7953751685012476</v>
      </c>
      <c r="CD10" t="s">
        <v>188</v>
      </c>
      <c r="CE10" s="147">
        <f t="shared" si="13"/>
        <v>0.10247512954953368</v>
      </c>
      <c r="CF10" s="147">
        <f t="shared" si="14"/>
        <v>0.10247512954953368</v>
      </c>
      <c r="CG10" s="153" t="s">
        <v>215</v>
      </c>
      <c r="CH10" s="148" t="s">
        <v>207</v>
      </c>
      <c r="CI10" s="138">
        <v>4.0216262127630031</v>
      </c>
      <c r="CJ10" s="138" t="s">
        <v>244</v>
      </c>
      <c r="CK10" t="s">
        <v>160</v>
      </c>
      <c r="CL10" t="s">
        <v>189</v>
      </c>
      <c r="CM10" t="s">
        <v>160</v>
      </c>
      <c r="CN10" t="s">
        <v>160</v>
      </c>
      <c r="CO10" t="s">
        <v>160</v>
      </c>
      <c r="CP10" t="s">
        <v>160</v>
      </c>
      <c r="CQ10" t="s">
        <v>160</v>
      </c>
      <c r="CR10" t="s">
        <v>160</v>
      </c>
      <c r="CS10" t="s">
        <v>160</v>
      </c>
      <c r="CT10" t="s">
        <v>160</v>
      </c>
      <c r="CU10" s="134">
        <v>35</v>
      </c>
      <c r="CV10" t="s">
        <v>159</v>
      </c>
      <c r="CW10">
        <v>3</v>
      </c>
      <c r="CX10" s="149" t="s">
        <v>187</v>
      </c>
      <c r="CY10" s="157" t="s">
        <v>160</v>
      </c>
      <c r="CZ10" s="157" t="s">
        <v>160</v>
      </c>
      <c r="DA10" s="157" t="s">
        <v>160</v>
      </c>
      <c r="DB10" s="157" t="s">
        <v>160</v>
      </c>
      <c r="DC10" s="157" t="s">
        <v>160</v>
      </c>
      <c r="DD10" s="157" t="s">
        <v>160</v>
      </c>
      <c r="DE10" s="157" t="s">
        <v>160</v>
      </c>
      <c r="DF10" s="157" t="s">
        <v>160</v>
      </c>
      <c r="DG10" s="157" t="s">
        <v>160</v>
      </c>
      <c r="DH10" s="157" t="s">
        <v>160</v>
      </c>
      <c r="DI10" s="157" t="s">
        <v>160</v>
      </c>
      <c r="DJ10" s="157" t="s">
        <v>160</v>
      </c>
      <c r="DK10" s="132">
        <v>432.56244218316402</v>
      </c>
      <c r="DL10" t="s">
        <v>165</v>
      </c>
      <c r="DM10" s="153">
        <v>37.1</v>
      </c>
      <c r="DN10" t="s">
        <v>166</v>
      </c>
      <c r="DO10" s="138">
        <v>39.266287179999999</v>
      </c>
      <c r="DP10" s="154" t="s">
        <v>163</v>
      </c>
      <c r="DQ10" s="146">
        <v>0.2</v>
      </c>
      <c r="DR10" t="s">
        <v>190</v>
      </c>
      <c r="DS10" t="s">
        <v>167</v>
      </c>
      <c r="DT10" t="s">
        <v>168</v>
      </c>
      <c r="DU10">
        <v>1.0271999999999999</v>
      </c>
      <c r="DV10" t="s">
        <v>191</v>
      </c>
      <c r="DW10">
        <v>5.9999999999999995E-4</v>
      </c>
      <c r="DX10" t="s">
        <v>198</v>
      </c>
      <c r="DY10" t="s">
        <v>160</v>
      </c>
      <c r="DZ10" t="s">
        <v>160</v>
      </c>
      <c r="EA10" t="s">
        <v>192</v>
      </c>
      <c r="EB10" t="s">
        <v>169</v>
      </c>
      <c r="EC10" t="s">
        <v>170</v>
      </c>
      <c r="ED10" t="s">
        <v>170</v>
      </c>
      <c r="EE10" s="157" t="s">
        <v>160</v>
      </c>
      <c r="EF10" t="s">
        <v>160</v>
      </c>
      <c r="EG10" t="s">
        <v>160</v>
      </c>
      <c r="EH10" t="s">
        <v>171</v>
      </c>
      <c r="EI10" t="s">
        <v>193</v>
      </c>
      <c r="EJ10" t="s">
        <v>194</v>
      </c>
      <c r="EK10" s="137">
        <v>2330</v>
      </c>
      <c r="EL10" t="s">
        <v>211</v>
      </c>
      <c r="EM10">
        <v>175</v>
      </c>
      <c r="EN10">
        <v>175</v>
      </c>
      <c r="EO10" t="s">
        <v>160</v>
      </c>
      <c r="EP10" t="s">
        <v>160</v>
      </c>
      <c r="EQ10" t="s">
        <v>160</v>
      </c>
      <c r="ER10" t="s">
        <v>160</v>
      </c>
      <c r="ES10" s="138">
        <v>8.0476728692872204</v>
      </c>
      <c r="ET10" s="133" t="s">
        <v>172</v>
      </c>
      <c r="EU10" s="138">
        <v>6.3757021149440263E-2</v>
      </c>
      <c r="EV10" s="138">
        <v>6.397497613128067E-2</v>
      </c>
      <c r="EW10" s="147">
        <v>398.045047877451</v>
      </c>
      <c r="EX10" s="154">
        <v>21</v>
      </c>
      <c r="EY10" s="154" t="s">
        <v>195</v>
      </c>
      <c r="EZ10" s="138">
        <v>377.045047877451</v>
      </c>
      <c r="FA10" s="138">
        <v>83.778996967981016</v>
      </c>
      <c r="FB10" s="138">
        <v>72.314892985352003</v>
      </c>
      <c r="FC10" s="156" t="s">
        <v>212</v>
      </c>
      <c r="FD10" s="156" t="s">
        <v>213</v>
      </c>
      <c r="FE10" t="s">
        <v>173</v>
      </c>
      <c r="FF10" t="s">
        <v>173</v>
      </c>
      <c r="FG10" t="s">
        <v>173</v>
      </c>
      <c r="FH10" t="s">
        <v>173</v>
      </c>
      <c r="FI10" t="s">
        <v>173</v>
      </c>
      <c r="FJ10" t="s">
        <v>173</v>
      </c>
      <c r="FK10" t="s">
        <v>173</v>
      </c>
      <c r="FL10" t="s">
        <v>173</v>
      </c>
      <c r="FM10" t="s">
        <v>173</v>
      </c>
      <c r="FN10" t="s">
        <v>173</v>
      </c>
      <c r="FO10" t="s">
        <v>173</v>
      </c>
      <c r="FP10" t="s">
        <v>173</v>
      </c>
    </row>
    <row r="11" spans="1:191" ht="18" x14ac:dyDescent="0.2">
      <c r="A11" s="126" t="s">
        <v>152</v>
      </c>
      <c r="B11" t="s">
        <v>174</v>
      </c>
      <c r="C11">
        <v>2015</v>
      </c>
      <c r="D11" t="s">
        <v>196</v>
      </c>
      <c r="E11" s="147">
        <f t="shared" si="8"/>
        <v>2410.9201659999999</v>
      </c>
      <c r="F11" s="135" t="s">
        <v>160</v>
      </c>
      <c r="G11" s="135" t="s">
        <v>160</v>
      </c>
      <c r="H11" s="147">
        <f t="shared" si="9"/>
        <v>277.500364404793</v>
      </c>
      <c r="I11" s="147">
        <f t="shared" si="10"/>
        <v>61.686122734970013</v>
      </c>
      <c r="J11" s="147">
        <f t="shared" si="11"/>
        <v>54.135622830865998</v>
      </c>
      <c r="K11" t="s">
        <v>176</v>
      </c>
      <c r="L11" s="130" t="s">
        <v>206</v>
      </c>
      <c r="M11" s="136" t="s">
        <v>175</v>
      </c>
      <c r="N11" t="s">
        <v>196</v>
      </c>
      <c r="O11" t="s">
        <v>156</v>
      </c>
      <c r="P11" s="153" t="s">
        <v>157</v>
      </c>
      <c r="Q11" s="157">
        <v>9</v>
      </c>
      <c r="R11" s="157">
        <v>4</v>
      </c>
      <c r="S11" s="157">
        <v>29</v>
      </c>
      <c r="T11" s="157">
        <v>31</v>
      </c>
      <c r="U11" s="157" t="s">
        <v>160</v>
      </c>
      <c r="V11" s="157" t="s">
        <v>160</v>
      </c>
      <c r="W11" s="157" t="s">
        <v>160</v>
      </c>
      <c r="X11" t="s">
        <v>158</v>
      </c>
      <c r="Y11" s="131">
        <v>12.75</v>
      </c>
      <c r="Z11" s="131">
        <v>-78.73</v>
      </c>
      <c r="AA11" s="131">
        <v>12.75</v>
      </c>
      <c r="AB11" s="131">
        <v>-78.73</v>
      </c>
      <c r="AC11" s="131">
        <v>-2828</v>
      </c>
      <c r="AD11" s="131">
        <v>-2828</v>
      </c>
      <c r="AE11" s="153" t="s">
        <v>160</v>
      </c>
      <c r="AF11" s="153" t="s">
        <v>160</v>
      </c>
      <c r="AG11" s="138">
        <v>2410.9201659999999</v>
      </c>
      <c r="AH11" s="2" t="s">
        <v>159</v>
      </c>
      <c r="AI11" s="153" t="s">
        <v>160</v>
      </c>
      <c r="AJ11" s="153" t="s">
        <v>160</v>
      </c>
      <c r="AK11" s="154" t="s">
        <v>160</v>
      </c>
      <c r="AL11" s="154" t="s">
        <v>177</v>
      </c>
      <c r="AM11" s="157" t="s">
        <v>160</v>
      </c>
      <c r="AN11" t="s">
        <v>160</v>
      </c>
      <c r="AO11" t="s">
        <v>160</v>
      </c>
      <c r="AP11" t="s">
        <v>160</v>
      </c>
      <c r="AQ11" t="s">
        <v>160</v>
      </c>
      <c r="AR11" t="s">
        <v>160</v>
      </c>
      <c r="AS11" t="s">
        <v>160</v>
      </c>
      <c r="AT11" t="s">
        <v>160</v>
      </c>
      <c r="AU11" s="145" t="s">
        <v>178</v>
      </c>
      <c r="AV11" t="s">
        <v>161</v>
      </c>
      <c r="AW11" s="141" t="s">
        <v>179</v>
      </c>
      <c r="AX11" s="141" t="s">
        <v>180</v>
      </c>
      <c r="AY11" s="139" t="s">
        <v>181</v>
      </c>
      <c r="AZ11" s="139" t="s">
        <v>182</v>
      </c>
      <c r="BA11" t="s">
        <v>162</v>
      </c>
      <c r="BB11" s="153" t="s">
        <v>217</v>
      </c>
      <c r="BC11" s="153" t="s">
        <v>217</v>
      </c>
      <c r="BD11" s="153" t="s">
        <v>217</v>
      </c>
      <c r="BE11" s="138">
        <v>20.567969999999999</v>
      </c>
      <c r="BF11" t="s">
        <v>183</v>
      </c>
      <c r="BG11" s="138">
        <v>9.1897218000000003E-2</v>
      </c>
      <c r="BH11">
        <v>0.6</v>
      </c>
      <c r="BI11" t="s">
        <v>184</v>
      </c>
      <c r="BJ11" s="2">
        <v>0.08</v>
      </c>
      <c r="BK11">
        <v>8.8699999999999992</v>
      </c>
      <c r="BL11" t="s">
        <v>163</v>
      </c>
      <c r="BM11">
        <v>1.52</v>
      </c>
      <c r="BN11" t="s">
        <v>185</v>
      </c>
      <c r="BO11" t="s">
        <v>186</v>
      </c>
      <c r="BP11" s="158">
        <f t="shared" si="12"/>
        <v>19.496616666666668</v>
      </c>
      <c r="BQ11" t="s">
        <v>184</v>
      </c>
      <c r="BR11" s="154" t="s">
        <v>160</v>
      </c>
      <c r="BS11" s="154" t="s">
        <v>160</v>
      </c>
      <c r="BT11" t="s">
        <v>214</v>
      </c>
      <c r="BU11" t="s">
        <v>218</v>
      </c>
      <c r="BV11" t="s">
        <v>164</v>
      </c>
      <c r="BW11" t="s">
        <v>164</v>
      </c>
      <c r="BX11" s="138">
        <v>29.131129999999999</v>
      </c>
      <c r="BY11" t="s">
        <v>184</v>
      </c>
      <c r="BZ11" s="159">
        <v>3</v>
      </c>
      <c r="CA11" s="159">
        <v>3</v>
      </c>
      <c r="CB11" s="138">
        <v>4.0642368266665896</v>
      </c>
      <c r="CC11" s="138">
        <v>4.0642368266665896</v>
      </c>
      <c r="CD11" t="s">
        <v>188</v>
      </c>
      <c r="CE11" s="147">
        <f t="shared" si="13"/>
        <v>0.10973439431999792</v>
      </c>
      <c r="CF11" s="147">
        <f t="shared" si="14"/>
        <v>0.10973439431999792</v>
      </c>
      <c r="CG11" s="153" t="s">
        <v>215</v>
      </c>
      <c r="CH11" s="148" t="s">
        <v>207</v>
      </c>
      <c r="CI11" s="138">
        <v>4.0553614098052524</v>
      </c>
      <c r="CJ11" s="138" t="s">
        <v>244</v>
      </c>
      <c r="CK11" t="s">
        <v>160</v>
      </c>
      <c r="CL11" t="s">
        <v>189</v>
      </c>
      <c r="CM11" t="s">
        <v>160</v>
      </c>
      <c r="CN11" t="s">
        <v>160</v>
      </c>
      <c r="CO11" t="s">
        <v>160</v>
      </c>
      <c r="CP11" t="s">
        <v>160</v>
      </c>
      <c r="CQ11" t="s">
        <v>160</v>
      </c>
      <c r="CR11" t="s">
        <v>160</v>
      </c>
      <c r="CS11" t="s">
        <v>160</v>
      </c>
      <c r="CT11" t="s">
        <v>160</v>
      </c>
      <c r="CU11" s="134">
        <v>35</v>
      </c>
      <c r="CV11" t="s">
        <v>159</v>
      </c>
      <c r="CW11">
        <v>3</v>
      </c>
      <c r="CX11" s="149" t="s">
        <v>187</v>
      </c>
      <c r="CY11" s="157" t="s">
        <v>160</v>
      </c>
      <c r="CZ11" s="157" t="s">
        <v>160</v>
      </c>
      <c r="DA11" s="157" t="s">
        <v>160</v>
      </c>
      <c r="DB11" s="157" t="s">
        <v>160</v>
      </c>
      <c r="DC11" s="157" t="s">
        <v>160</v>
      </c>
      <c r="DD11" s="157" t="s">
        <v>160</v>
      </c>
      <c r="DE11" s="157" t="s">
        <v>160</v>
      </c>
      <c r="DF11" s="157" t="s">
        <v>160</v>
      </c>
      <c r="DG11" s="157" t="s">
        <v>160</v>
      </c>
      <c r="DH11" s="157" t="s">
        <v>160</v>
      </c>
      <c r="DI11" s="157" t="s">
        <v>160</v>
      </c>
      <c r="DJ11" s="157" t="s">
        <v>160</v>
      </c>
      <c r="DK11" s="132">
        <v>432.56244218316402</v>
      </c>
      <c r="DL11" t="s">
        <v>165</v>
      </c>
      <c r="DM11" s="153">
        <v>37.1</v>
      </c>
      <c r="DN11" t="s">
        <v>166</v>
      </c>
      <c r="DO11" s="138">
        <v>39.262983169999998</v>
      </c>
      <c r="DP11" s="154" t="s">
        <v>163</v>
      </c>
      <c r="DQ11" s="146">
        <v>0.2</v>
      </c>
      <c r="DR11" t="s">
        <v>190</v>
      </c>
      <c r="DS11" t="s">
        <v>167</v>
      </c>
      <c r="DT11" t="s">
        <v>168</v>
      </c>
      <c r="DU11">
        <v>1.0271999999999999</v>
      </c>
      <c r="DV11" t="s">
        <v>191</v>
      </c>
      <c r="DW11">
        <v>5.9999999999999995E-4</v>
      </c>
      <c r="DX11" t="s">
        <v>198</v>
      </c>
      <c r="DY11" t="s">
        <v>160</v>
      </c>
      <c r="DZ11" t="s">
        <v>160</v>
      </c>
      <c r="EA11" t="s">
        <v>192</v>
      </c>
      <c r="EB11" t="s">
        <v>169</v>
      </c>
      <c r="EC11" t="s">
        <v>170</v>
      </c>
      <c r="ED11" t="s">
        <v>170</v>
      </c>
      <c r="EE11" s="157" t="s">
        <v>160</v>
      </c>
      <c r="EF11" t="s">
        <v>160</v>
      </c>
      <c r="EG11" t="s">
        <v>160</v>
      </c>
      <c r="EH11" t="s">
        <v>171</v>
      </c>
      <c r="EI11" t="s">
        <v>193</v>
      </c>
      <c r="EJ11" t="s">
        <v>194</v>
      </c>
      <c r="EK11" s="137">
        <v>2330</v>
      </c>
      <c r="EL11" t="s">
        <v>211</v>
      </c>
      <c r="EM11">
        <v>175</v>
      </c>
      <c r="EN11">
        <v>175</v>
      </c>
      <c r="EO11" t="s">
        <v>160</v>
      </c>
      <c r="EP11" t="s">
        <v>160</v>
      </c>
      <c r="EQ11" t="s">
        <v>160</v>
      </c>
      <c r="ER11" t="s">
        <v>160</v>
      </c>
      <c r="ES11" s="138">
        <v>8.1442245677130192</v>
      </c>
      <c r="ET11" s="133" t="s">
        <v>172</v>
      </c>
      <c r="EU11" s="138">
        <v>6.2443431845130348E-2</v>
      </c>
      <c r="EV11" s="138">
        <v>6.1648389052679775E-2</v>
      </c>
      <c r="EW11" s="147">
        <v>298.500364404793</v>
      </c>
      <c r="EX11" s="154">
        <v>21</v>
      </c>
      <c r="EY11" s="154" t="s">
        <v>195</v>
      </c>
      <c r="EZ11" s="138">
        <v>277.500364404793</v>
      </c>
      <c r="FA11" s="138">
        <v>61.686122734970013</v>
      </c>
      <c r="FB11" s="138">
        <v>54.135622830865998</v>
      </c>
      <c r="FC11" s="156" t="s">
        <v>212</v>
      </c>
      <c r="FD11" s="156" t="s">
        <v>213</v>
      </c>
      <c r="FE11" t="s">
        <v>173</v>
      </c>
      <c r="FF11" t="s">
        <v>173</v>
      </c>
      <c r="FG11" t="s">
        <v>173</v>
      </c>
      <c r="FH11" t="s">
        <v>173</v>
      </c>
      <c r="FI11" t="s">
        <v>173</v>
      </c>
      <c r="FJ11" t="s">
        <v>173</v>
      </c>
      <c r="FK11" t="s">
        <v>173</v>
      </c>
      <c r="FL11" t="s">
        <v>173</v>
      </c>
      <c r="FM11" t="s">
        <v>173</v>
      </c>
      <c r="FN11" t="s">
        <v>173</v>
      </c>
      <c r="FO11" t="s">
        <v>173</v>
      </c>
      <c r="FP11" t="s">
        <v>173</v>
      </c>
    </row>
    <row r="12" spans="1:191" ht="18" x14ac:dyDescent="0.2">
      <c r="A12" s="126" t="s">
        <v>152</v>
      </c>
      <c r="B12" t="s">
        <v>174</v>
      </c>
      <c r="C12">
        <v>2015</v>
      </c>
      <c r="D12" t="s">
        <v>196</v>
      </c>
      <c r="E12" s="147">
        <f t="shared" si="8"/>
        <v>2424.8889159999999</v>
      </c>
      <c r="F12" s="135" t="s">
        <v>160</v>
      </c>
      <c r="G12" s="135" t="s">
        <v>160</v>
      </c>
      <c r="H12" s="147">
        <f t="shared" si="9"/>
        <v>332.102986195992</v>
      </c>
      <c r="I12" s="147">
        <f t="shared" si="10"/>
        <v>72.859380178411982</v>
      </c>
      <c r="J12" s="147">
        <f t="shared" si="11"/>
        <v>65.501739178894013</v>
      </c>
      <c r="K12" t="s">
        <v>176</v>
      </c>
      <c r="L12" s="130" t="s">
        <v>206</v>
      </c>
      <c r="M12" s="136" t="s">
        <v>175</v>
      </c>
      <c r="N12" t="s">
        <v>196</v>
      </c>
      <c r="O12" t="s">
        <v>156</v>
      </c>
      <c r="P12" s="153" t="s">
        <v>157</v>
      </c>
      <c r="Q12" s="157">
        <v>9</v>
      </c>
      <c r="R12" s="157">
        <v>4</v>
      </c>
      <c r="S12" s="157">
        <v>96</v>
      </c>
      <c r="T12" s="157">
        <v>98</v>
      </c>
      <c r="U12" s="157" t="s">
        <v>160</v>
      </c>
      <c r="V12" s="157" t="s">
        <v>160</v>
      </c>
      <c r="W12" s="157" t="s">
        <v>160</v>
      </c>
      <c r="X12" t="s">
        <v>158</v>
      </c>
      <c r="Y12" s="131">
        <v>12.75</v>
      </c>
      <c r="Z12" s="131">
        <v>-78.73</v>
      </c>
      <c r="AA12" s="131">
        <v>12.75</v>
      </c>
      <c r="AB12" s="131">
        <v>-78.73</v>
      </c>
      <c r="AC12" s="131">
        <v>-2828</v>
      </c>
      <c r="AD12" s="131">
        <v>-2828</v>
      </c>
      <c r="AE12" s="153" t="s">
        <v>160</v>
      </c>
      <c r="AF12" s="153" t="s">
        <v>160</v>
      </c>
      <c r="AG12" s="138">
        <v>2424.8889159999999</v>
      </c>
      <c r="AH12" s="2" t="s">
        <v>159</v>
      </c>
      <c r="AI12" s="153" t="s">
        <v>160</v>
      </c>
      <c r="AJ12" s="153" t="s">
        <v>160</v>
      </c>
      <c r="AK12" s="154" t="s">
        <v>160</v>
      </c>
      <c r="AL12" s="154" t="s">
        <v>177</v>
      </c>
      <c r="AM12" s="157" t="s">
        <v>160</v>
      </c>
      <c r="AN12" t="s">
        <v>160</v>
      </c>
      <c r="AO12" t="s">
        <v>160</v>
      </c>
      <c r="AP12" t="s">
        <v>160</v>
      </c>
      <c r="AQ12" t="s">
        <v>160</v>
      </c>
      <c r="AR12" t="s">
        <v>160</v>
      </c>
      <c r="AS12" t="s">
        <v>160</v>
      </c>
      <c r="AT12" t="s">
        <v>160</v>
      </c>
      <c r="AU12" s="145" t="s">
        <v>178</v>
      </c>
      <c r="AV12" t="s">
        <v>161</v>
      </c>
      <c r="AW12" s="141" t="s">
        <v>179</v>
      </c>
      <c r="AX12" s="139" t="s">
        <v>180</v>
      </c>
      <c r="AY12" s="139" t="s">
        <v>181</v>
      </c>
      <c r="AZ12" s="139" t="s">
        <v>182</v>
      </c>
      <c r="BA12" s="140" t="s">
        <v>162</v>
      </c>
      <c r="BB12" s="153" t="s">
        <v>217</v>
      </c>
      <c r="BC12" s="153" t="s">
        <v>217</v>
      </c>
      <c r="BD12" s="153" t="s">
        <v>217</v>
      </c>
      <c r="BE12" s="138">
        <v>20.10464</v>
      </c>
      <c r="BF12" t="s">
        <v>183</v>
      </c>
      <c r="BG12" s="138">
        <v>9.5025298999999994E-2</v>
      </c>
      <c r="BH12">
        <v>0.6</v>
      </c>
      <c r="BI12" t="s">
        <v>184</v>
      </c>
      <c r="BJ12" s="2">
        <v>0.08</v>
      </c>
      <c r="BK12">
        <v>8.8699999999999992</v>
      </c>
      <c r="BL12" t="s">
        <v>163</v>
      </c>
      <c r="BM12">
        <v>1.52</v>
      </c>
      <c r="BN12" t="s">
        <v>185</v>
      </c>
      <c r="BO12" t="s">
        <v>186</v>
      </c>
      <c r="BP12" s="158">
        <f t="shared" si="12"/>
        <v>18.724400000000003</v>
      </c>
      <c r="BQ12" t="s">
        <v>184</v>
      </c>
      <c r="BR12" s="154" t="s">
        <v>160</v>
      </c>
      <c r="BS12" s="154" t="s">
        <v>160</v>
      </c>
      <c r="BT12" t="s">
        <v>214</v>
      </c>
      <c r="BU12" t="s">
        <v>218</v>
      </c>
      <c r="BV12" t="s">
        <v>164</v>
      </c>
      <c r="BW12" t="s">
        <v>164</v>
      </c>
      <c r="BX12" s="138">
        <v>28.388940000000002</v>
      </c>
      <c r="BY12" t="s">
        <v>184</v>
      </c>
      <c r="BZ12" s="159">
        <v>3</v>
      </c>
      <c r="CA12" s="159">
        <v>3</v>
      </c>
      <c r="CB12" s="138">
        <v>3.8103673764157837</v>
      </c>
      <c r="CC12" s="138">
        <v>3.8103673764157837</v>
      </c>
      <c r="CD12" t="s">
        <v>188</v>
      </c>
      <c r="CE12" s="147">
        <f t="shared" si="13"/>
        <v>0.10287991916322616</v>
      </c>
      <c r="CF12" s="147">
        <f t="shared" si="14"/>
        <v>0.10287991916322616</v>
      </c>
      <c r="CG12" s="153" t="s">
        <v>215</v>
      </c>
      <c r="CH12" s="148" t="s">
        <v>207</v>
      </c>
      <c r="CI12" s="138">
        <v>4.0781423608236675</v>
      </c>
      <c r="CJ12" s="138" t="s">
        <v>244</v>
      </c>
      <c r="CK12" t="s">
        <v>160</v>
      </c>
      <c r="CL12" t="s">
        <v>189</v>
      </c>
      <c r="CM12" t="s">
        <v>160</v>
      </c>
      <c r="CN12" t="s">
        <v>160</v>
      </c>
      <c r="CO12" t="s">
        <v>160</v>
      </c>
      <c r="CP12" t="s">
        <v>160</v>
      </c>
      <c r="CQ12" t="s">
        <v>160</v>
      </c>
      <c r="CR12" t="s">
        <v>160</v>
      </c>
      <c r="CS12" t="s">
        <v>160</v>
      </c>
      <c r="CT12" t="s">
        <v>160</v>
      </c>
      <c r="CU12" s="134">
        <v>35</v>
      </c>
      <c r="CV12" t="s">
        <v>159</v>
      </c>
      <c r="CW12">
        <v>3</v>
      </c>
      <c r="CX12" s="149" t="s">
        <v>187</v>
      </c>
      <c r="CY12" s="157" t="s">
        <v>160</v>
      </c>
      <c r="CZ12" s="157" t="s">
        <v>160</v>
      </c>
      <c r="DA12" s="157" t="s">
        <v>160</v>
      </c>
      <c r="DB12" s="157" t="s">
        <v>160</v>
      </c>
      <c r="DC12" s="157" t="s">
        <v>160</v>
      </c>
      <c r="DD12" s="157" t="s">
        <v>160</v>
      </c>
      <c r="DE12" s="157" t="s">
        <v>160</v>
      </c>
      <c r="DF12" s="157" t="s">
        <v>160</v>
      </c>
      <c r="DG12" s="157" t="s">
        <v>160</v>
      </c>
      <c r="DH12" s="157" t="s">
        <v>160</v>
      </c>
      <c r="DI12" s="157" t="s">
        <v>160</v>
      </c>
      <c r="DJ12" s="157" t="s">
        <v>160</v>
      </c>
      <c r="DK12" s="132">
        <v>432.56244218316402</v>
      </c>
      <c r="DL12" t="s">
        <v>165</v>
      </c>
      <c r="DM12" s="153">
        <v>37.1</v>
      </c>
      <c r="DN12" t="s">
        <v>166</v>
      </c>
      <c r="DO12" s="138">
        <v>39.260497749999999</v>
      </c>
      <c r="DP12" s="154" t="s">
        <v>163</v>
      </c>
      <c r="DQ12" s="146">
        <v>0.2</v>
      </c>
      <c r="DR12" t="s">
        <v>190</v>
      </c>
      <c r="DS12" t="s">
        <v>167</v>
      </c>
      <c r="DT12" t="s">
        <v>168</v>
      </c>
      <c r="DU12">
        <v>1.0271999999999999</v>
      </c>
      <c r="DV12" t="s">
        <v>191</v>
      </c>
      <c r="DW12">
        <v>5.9999999999999995E-4</v>
      </c>
      <c r="DX12" t="s">
        <v>198</v>
      </c>
      <c r="DY12" t="s">
        <v>160</v>
      </c>
      <c r="DZ12" t="s">
        <v>160</v>
      </c>
      <c r="EA12" t="s">
        <v>192</v>
      </c>
      <c r="EB12" t="s">
        <v>169</v>
      </c>
      <c r="EC12" t="s">
        <v>170</v>
      </c>
      <c r="ED12" t="s">
        <v>170</v>
      </c>
      <c r="EE12" s="157" t="s">
        <v>160</v>
      </c>
      <c r="EF12" t="s">
        <v>160</v>
      </c>
      <c r="EG12" t="s">
        <v>160</v>
      </c>
      <c r="EH12" t="s">
        <v>171</v>
      </c>
      <c r="EI12" t="s">
        <v>193</v>
      </c>
      <c r="EJ12" t="s">
        <v>194</v>
      </c>
      <c r="EK12" s="137">
        <v>2330</v>
      </c>
      <c r="EL12" t="s">
        <v>211</v>
      </c>
      <c r="EM12">
        <v>175</v>
      </c>
      <c r="EN12">
        <v>175</v>
      </c>
      <c r="EO12" t="s">
        <v>160</v>
      </c>
      <c r="EP12" t="s">
        <v>160</v>
      </c>
      <c r="EQ12" t="s">
        <v>160</v>
      </c>
      <c r="ER12" t="s">
        <v>160</v>
      </c>
      <c r="ES12" s="138">
        <v>8.0884931831771691</v>
      </c>
      <c r="ET12" s="133" t="s">
        <v>172</v>
      </c>
      <c r="EU12" s="138">
        <v>6.3815203987010349E-2</v>
      </c>
      <c r="EV12" s="138">
        <v>6.2408537887149507E-2</v>
      </c>
      <c r="EW12" s="147">
        <v>353.102986195992</v>
      </c>
      <c r="EX12" s="154">
        <v>21</v>
      </c>
      <c r="EY12" s="154" t="s">
        <v>195</v>
      </c>
      <c r="EZ12" s="138">
        <v>332.102986195992</v>
      </c>
      <c r="FA12" s="138">
        <v>72.859380178411982</v>
      </c>
      <c r="FB12" s="138">
        <v>65.501739178894013</v>
      </c>
      <c r="FC12" s="156" t="s">
        <v>212</v>
      </c>
      <c r="FD12" s="156" t="s">
        <v>213</v>
      </c>
      <c r="FE12" t="s">
        <v>173</v>
      </c>
      <c r="FF12" t="s">
        <v>173</v>
      </c>
      <c r="FG12" t="s">
        <v>173</v>
      </c>
      <c r="FH12" t="s">
        <v>173</v>
      </c>
      <c r="FI12" t="s">
        <v>173</v>
      </c>
      <c r="FJ12" t="s">
        <v>173</v>
      </c>
      <c r="FK12" t="s">
        <v>173</v>
      </c>
      <c r="FL12" t="s">
        <v>173</v>
      </c>
      <c r="FM12" t="s">
        <v>173</v>
      </c>
      <c r="FN12" t="s">
        <v>173</v>
      </c>
      <c r="FO12" t="s">
        <v>173</v>
      </c>
      <c r="FP12" t="s">
        <v>173</v>
      </c>
    </row>
    <row r="13" spans="1:191" ht="18" x14ac:dyDescent="0.2">
      <c r="A13" s="126" t="s">
        <v>152</v>
      </c>
      <c r="B13" t="s">
        <v>174</v>
      </c>
      <c r="C13">
        <v>2015</v>
      </c>
      <c r="D13" t="s">
        <v>196</v>
      </c>
      <c r="E13" s="147">
        <f t="shared" si="8"/>
        <v>2451.2316890000002</v>
      </c>
      <c r="F13" s="135" t="s">
        <v>160</v>
      </c>
      <c r="G13" s="135" t="s">
        <v>160</v>
      </c>
      <c r="H13" s="147">
        <f t="shared" si="9"/>
        <v>320.225227028125</v>
      </c>
      <c r="I13" s="147">
        <f t="shared" si="10"/>
        <v>71.833495324378021</v>
      </c>
      <c r="J13" s="147">
        <f t="shared" si="11"/>
        <v>61.895138328738994</v>
      </c>
      <c r="K13" t="s">
        <v>176</v>
      </c>
      <c r="L13" s="130" t="s">
        <v>206</v>
      </c>
      <c r="M13" s="136" t="s">
        <v>175</v>
      </c>
      <c r="N13" t="s">
        <v>196</v>
      </c>
      <c r="O13" t="s">
        <v>156</v>
      </c>
      <c r="P13" s="153" t="s">
        <v>157</v>
      </c>
      <c r="Q13" s="170">
        <v>9</v>
      </c>
      <c r="R13" s="157">
        <v>5</v>
      </c>
      <c r="S13" s="157">
        <v>45</v>
      </c>
      <c r="T13" s="157">
        <v>47</v>
      </c>
      <c r="U13" s="157" t="s">
        <v>160</v>
      </c>
      <c r="V13" s="157" t="s">
        <v>160</v>
      </c>
      <c r="W13" s="157" t="s">
        <v>160</v>
      </c>
      <c r="X13" t="s">
        <v>158</v>
      </c>
      <c r="Y13" s="131">
        <v>12.75</v>
      </c>
      <c r="Z13" s="131">
        <v>-78.73</v>
      </c>
      <c r="AA13" s="131">
        <v>12.75</v>
      </c>
      <c r="AB13" s="131">
        <v>-78.73</v>
      </c>
      <c r="AC13" s="131">
        <v>-2828</v>
      </c>
      <c r="AD13" s="131">
        <v>-2828</v>
      </c>
      <c r="AE13" s="153" t="s">
        <v>160</v>
      </c>
      <c r="AF13" s="153" t="s">
        <v>160</v>
      </c>
      <c r="AG13" s="138">
        <v>2451.2316890000002</v>
      </c>
      <c r="AH13" s="2" t="s">
        <v>159</v>
      </c>
      <c r="AI13" s="153" t="s">
        <v>160</v>
      </c>
      <c r="AJ13" s="153" t="s">
        <v>160</v>
      </c>
      <c r="AK13" s="154" t="s">
        <v>160</v>
      </c>
      <c r="AL13" s="154" t="s">
        <v>177</v>
      </c>
      <c r="AM13" s="157" t="s">
        <v>160</v>
      </c>
      <c r="AN13" t="s">
        <v>160</v>
      </c>
      <c r="AO13" t="s">
        <v>160</v>
      </c>
      <c r="AP13" t="s">
        <v>160</v>
      </c>
      <c r="AQ13" t="s">
        <v>160</v>
      </c>
      <c r="AR13" t="s">
        <v>160</v>
      </c>
      <c r="AS13" t="s">
        <v>160</v>
      </c>
      <c r="AT13" t="s">
        <v>160</v>
      </c>
      <c r="AU13" s="145" t="s">
        <v>178</v>
      </c>
      <c r="AV13" t="s">
        <v>161</v>
      </c>
      <c r="AW13" s="141" t="s">
        <v>179</v>
      </c>
      <c r="AX13" s="141" t="s">
        <v>180</v>
      </c>
      <c r="AY13" s="139" t="s">
        <v>181</v>
      </c>
      <c r="AZ13" s="139" t="s">
        <v>182</v>
      </c>
      <c r="BA13" t="s">
        <v>162</v>
      </c>
      <c r="BB13" s="153" t="s">
        <v>217</v>
      </c>
      <c r="BC13" s="153" t="s">
        <v>217</v>
      </c>
      <c r="BD13" s="153" t="s">
        <v>217</v>
      </c>
      <c r="BE13" s="138">
        <v>20.195499999999999</v>
      </c>
      <c r="BF13" t="s">
        <v>183</v>
      </c>
      <c r="BG13" s="138">
        <v>9.0091598999999994E-2</v>
      </c>
      <c r="BH13">
        <v>0.6</v>
      </c>
      <c r="BI13" t="s">
        <v>184</v>
      </c>
      <c r="BJ13" s="2">
        <v>0.08</v>
      </c>
      <c r="BK13">
        <v>8.8699999999999992</v>
      </c>
      <c r="BL13" t="s">
        <v>163</v>
      </c>
      <c r="BM13">
        <v>1.52</v>
      </c>
      <c r="BN13" t="s">
        <v>185</v>
      </c>
      <c r="BO13" t="s">
        <v>186</v>
      </c>
      <c r="BP13" s="158">
        <f t="shared" si="12"/>
        <v>18.875833333333333</v>
      </c>
      <c r="BQ13" t="s">
        <v>184</v>
      </c>
      <c r="BR13" s="154" t="s">
        <v>160</v>
      </c>
      <c r="BS13" s="154" t="s">
        <v>160</v>
      </c>
      <c r="BT13" t="s">
        <v>214</v>
      </c>
      <c r="BU13" t="s">
        <v>218</v>
      </c>
      <c r="BV13" t="s">
        <v>164</v>
      </c>
      <c r="BW13" t="s">
        <v>164</v>
      </c>
      <c r="BX13" s="138">
        <v>28.463259999999998</v>
      </c>
      <c r="BY13" t="s">
        <v>184</v>
      </c>
      <c r="BZ13" s="159">
        <v>3</v>
      </c>
      <c r="CA13" s="159">
        <v>3</v>
      </c>
      <c r="CB13" s="138">
        <v>3.8525992611583857</v>
      </c>
      <c r="CC13" s="138">
        <v>3.8525992611583857</v>
      </c>
      <c r="CD13" t="s">
        <v>188</v>
      </c>
      <c r="CE13" s="147">
        <f t="shared" si="13"/>
        <v>0.10402018005127642</v>
      </c>
      <c r="CF13" s="147">
        <f t="shared" si="14"/>
        <v>0.10402018005127642</v>
      </c>
      <c r="CG13" s="153" t="s">
        <v>215</v>
      </c>
      <c r="CH13" s="148" t="s">
        <v>207</v>
      </c>
      <c r="CI13" s="138">
        <v>4.1214763877120735</v>
      </c>
      <c r="CJ13" s="138" t="s">
        <v>244</v>
      </c>
      <c r="CK13" t="s">
        <v>160</v>
      </c>
      <c r="CL13" t="s">
        <v>189</v>
      </c>
      <c r="CM13" t="s">
        <v>160</v>
      </c>
      <c r="CN13" t="s">
        <v>160</v>
      </c>
      <c r="CO13" t="s">
        <v>160</v>
      </c>
      <c r="CP13" t="s">
        <v>160</v>
      </c>
      <c r="CQ13" t="s">
        <v>160</v>
      </c>
      <c r="CR13" t="s">
        <v>160</v>
      </c>
      <c r="CS13" t="s">
        <v>160</v>
      </c>
      <c r="CT13" t="s">
        <v>160</v>
      </c>
      <c r="CU13" s="134">
        <v>35</v>
      </c>
      <c r="CV13" t="s">
        <v>159</v>
      </c>
      <c r="CW13">
        <v>3</v>
      </c>
      <c r="CX13" s="149" t="s">
        <v>187</v>
      </c>
      <c r="CY13" s="157" t="s">
        <v>160</v>
      </c>
      <c r="CZ13" s="157" t="s">
        <v>160</v>
      </c>
      <c r="DA13" s="157" t="s">
        <v>160</v>
      </c>
      <c r="DB13" s="157" t="s">
        <v>160</v>
      </c>
      <c r="DC13" s="157" t="s">
        <v>160</v>
      </c>
      <c r="DD13" s="157" t="s">
        <v>160</v>
      </c>
      <c r="DE13" s="157" t="s">
        <v>160</v>
      </c>
      <c r="DF13" s="157" t="s">
        <v>160</v>
      </c>
      <c r="DG13" s="157" t="s">
        <v>160</v>
      </c>
      <c r="DH13" s="157" t="s">
        <v>160</v>
      </c>
      <c r="DI13" s="157" t="s">
        <v>160</v>
      </c>
      <c r="DJ13" s="157" t="s">
        <v>160</v>
      </c>
      <c r="DK13" s="132">
        <v>432.56244218316402</v>
      </c>
      <c r="DL13" t="s">
        <v>165</v>
      </c>
      <c r="DM13" s="153">
        <v>37.1</v>
      </c>
      <c r="DN13" t="s">
        <v>166</v>
      </c>
      <c r="DO13" s="138">
        <v>39.256847739999998</v>
      </c>
      <c r="DP13" s="154" t="s">
        <v>163</v>
      </c>
      <c r="DQ13" s="146">
        <v>0.2</v>
      </c>
      <c r="DR13" t="s">
        <v>190</v>
      </c>
      <c r="DS13" t="s">
        <v>167</v>
      </c>
      <c r="DT13" t="s">
        <v>168</v>
      </c>
      <c r="DU13">
        <v>1.0271999999999999</v>
      </c>
      <c r="DV13" t="s">
        <v>191</v>
      </c>
      <c r="DW13">
        <v>5.9999999999999995E-4</v>
      </c>
      <c r="DX13" t="s">
        <v>198</v>
      </c>
      <c r="DY13" t="s">
        <v>160</v>
      </c>
      <c r="DZ13" t="s">
        <v>160</v>
      </c>
      <c r="EA13" t="s">
        <v>192</v>
      </c>
      <c r="EB13" t="s">
        <v>169</v>
      </c>
      <c r="EC13" t="s">
        <v>170</v>
      </c>
      <c r="ED13" t="s">
        <v>170</v>
      </c>
      <c r="EE13" s="157" t="s">
        <v>160</v>
      </c>
      <c r="EF13" t="s">
        <v>160</v>
      </c>
      <c r="EG13" t="s">
        <v>160</v>
      </c>
      <c r="EH13" t="s">
        <v>171</v>
      </c>
      <c r="EI13" t="s">
        <v>193</v>
      </c>
      <c r="EJ13" t="s">
        <v>194</v>
      </c>
      <c r="EK13" s="137">
        <v>2330</v>
      </c>
      <c r="EL13" t="s">
        <v>211</v>
      </c>
      <c r="EM13">
        <v>175</v>
      </c>
      <c r="EN13">
        <v>175</v>
      </c>
      <c r="EO13" t="s">
        <v>160</v>
      </c>
      <c r="EP13" t="s">
        <v>160</v>
      </c>
      <c r="EQ13" t="s">
        <v>160</v>
      </c>
      <c r="ER13" t="s">
        <v>160</v>
      </c>
      <c r="ES13" s="138">
        <v>8.1003076352284697</v>
      </c>
      <c r="ET13" s="133" t="s">
        <v>172</v>
      </c>
      <c r="EU13" s="138">
        <v>6.2319442548020021E-2</v>
      </c>
      <c r="EV13" s="138">
        <v>6.3478201137359136E-2</v>
      </c>
      <c r="EW13" s="147">
        <v>341.225227028125</v>
      </c>
      <c r="EX13" s="154">
        <v>21</v>
      </c>
      <c r="EY13" s="154" t="s">
        <v>195</v>
      </c>
      <c r="EZ13" s="138">
        <v>320.225227028125</v>
      </c>
      <c r="FA13" s="138">
        <v>71.833495324378021</v>
      </c>
      <c r="FB13" s="138">
        <v>61.895138328738994</v>
      </c>
      <c r="FC13" s="156" t="s">
        <v>212</v>
      </c>
      <c r="FD13" s="156" t="s">
        <v>213</v>
      </c>
      <c r="FE13" t="s">
        <v>173</v>
      </c>
      <c r="FF13" t="s">
        <v>173</v>
      </c>
      <c r="FG13" t="s">
        <v>173</v>
      </c>
      <c r="FH13" t="s">
        <v>173</v>
      </c>
      <c r="FI13" t="s">
        <v>173</v>
      </c>
      <c r="FJ13" t="s">
        <v>173</v>
      </c>
      <c r="FK13" t="s">
        <v>173</v>
      </c>
      <c r="FL13" t="s">
        <v>173</v>
      </c>
      <c r="FM13" t="s">
        <v>173</v>
      </c>
      <c r="FN13" t="s">
        <v>173</v>
      </c>
      <c r="FO13" t="s">
        <v>173</v>
      </c>
      <c r="FP13" t="s">
        <v>173</v>
      </c>
    </row>
    <row r="14" spans="1:191" ht="18" x14ac:dyDescent="0.2">
      <c r="A14" s="126" t="s">
        <v>152</v>
      </c>
      <c r="B14" t="s">
        <v>174</v>
      </c>
      <c r="C14">
        <v>2015</v>
      </c>
      <c r="D14" t="s">
        <v>196</v>
      </c>
      <c r="E14" s="147">
        <f t="shared" si="8"/>
        <v>2474.4941410000001</v>
      </c>
      <c r="F14" s="135" t="s">
        <v>160</v>
      </c>
      <c r="G14" s="135" t="s">
        <v>160</v>
      </c>
      <c r="H14" s="147">
        <f t="shared" si="9"/>
        <v>340.326322315536</v>
      </c>
      <c r="I14" s="147">
        <f t="shared" si="10"/>
        <v>75.205319599380971</v>
      </c>
      <c r="J14" s="147">
        <f t="shared" si="11"/>
        <v>66.632766726952013</v>
      </c>
      <c r="K14" t="s">
        <v>176</v>
      </c>
      <c r="L14" s="130" t="s">
        <v>206</v>
      </c>
      <c r="M14" s="136" t="s">
        <v>175</v>
      </c>
      <c r="N14" t="s">
        <v>196</v>
      </c>
      <c r="O14" t="s">
        <v>156</v>
      </c>
      <c r="P14" s="153" t="s">
        <v>157</v>
      </c>
      <c r="Q14" s="157">
        <v>9</v>
      </c>
      <c r="R14" s="157">
        <v>5</v>
      </c>
      <c r="S14" s="157">
        <v>123</v>
      </c>
      <c r="T14" s="157">
        <v>125</v>
      </c>
      <c r="U14" s="157" t="s">
        <v>160</v>
      </c>
      <c r="V14" s="157" t="s">
        <v>160</v>
      </c>
      <c r="W14" s="157" t="s">
        <v>160</v>
      </c>
      <c r="X14" t="s">
        <v>158</v>
      </c>
      <c r="Y14" s="131">
        <v>12.75</v>
      </c>
      <c r="Z14" s="131">
        <v>-78.73</v>
      </c>
      <c r="AA14" s="131">
        <v>12.75</v>
      </c>
      <c r="AB14" s="131">
        <v>-78.73</v>
      </c>
      <c r="AC14" s="131">
        <v>-2828</v>
      </c>
      <c r="AD14" s="131">
        <v>-2828</v>
      </c>
      <c r="AE14" s="153" t="s">
        <v>160</v>
      </c>
      <c r="AF14" s="153" t="s">
        <v>160</v>
      </c>
      <c r="AG14" s="138">
        <v>2474.4941410000001</v>
      </c>
      <c r="AH14" s="2" t="s">
        <v>159</v>
      </c>
      <c r="AI14" s="153" t="s">
        <v>160</v>
      </c>
      <c r="AJ14" s="153" t="s">
        <v>160</v>
      </c>
      <c r="AK14" s="154" t="s">
        <v>160</v>
      </c>
      <c r="AL14" s="154" t="s">
        <v>177</v>
      </c>
      <c r="AM14" s="157" t="s">
        <v>160</v>
      </c>
      <c r="AN14" t="s">
        <v>160</v>
      </c>
      <c r="AO14" t="s">
        <v>160</v>
      </c>
      <c r="AP14" t="s">
        <v>160</v>
      </c>
      <c r="AQ14" t="s">
        <v>160</v>
      </c>
      <c r="AR14" t="s">
        <v>160</v>
      </c>
      <c r="AS14" t="s">
        <v>160</v>
      </c>
      <c r="AT14" t="s">
        <v>160</v>
      </c>
      <c r="AU14" s="145" t="s">
        <v>178</v>
      </c>
      <c r="AV14" t="s">
        <v>161</v>
      </c>
      <c r="AW14" s="141" t="s">
        <v>179</v>
      </c>
      <c r="AX14" s="139" t="s">
        <v>180</v>
      </c>
      <c r="AY14" s="139" t="s">
        <v>181</v>
      </c>
      <c r="AZ14" s="139" t="s">
        <v>182</v>
      </c>
      <c r="BA14" s="140" t="s">
        <v>162</v>
      </c>
      <c r="BB14" s="153" t="s">
        <v>217</v>
      </c>
      <c r="BC14" s="153" t="s">
        <v>217</v>
      </c>
      <c r="BD14" s="153" t="s">
        <v>217</v>
      </c>
      <c r="BE14" s="138">
        <v>20.038689999999999</v>
      </c>
      <c r="BF14" t="s">
        <v>183</v>
      </c>
      <c r="BG14" s="138">
        <v>9.4145796000000004E-2</v>
      </c>
      <c r="BH14">
        <v>0.6</v>
      </c>
      <c r="BI14" t="s">
        <v>184</v>
      </c>
      <c r="BJ14" s="2">
        <v>0.08</v>
      </c>
      <c r="BK14">
        <v>8.8699999999999992</v>
      </c>
      <c r="BL14" t="s">
        <v>163</v>
      </c>
      <c r="BM14">
        <v>1.52</v>
      </c>
      <c r="BN14" t="s">
        <v>185</v>
      </c>
      <c r="BO14" t="s">
        <v>186</v>
      </c>
      <c r="BP14" s="158">
        <f t="shared" si="12"/>
        <v>18.614483333333332</v>
      </c>
      <c r="BQ14" t="s">
        <v>184</v>
      </c>
      <c r="BR14" s="154" t="s">
        <v>160</v>
      </c>
      <c r="BS14" s="154" t="s">
        <v>160</v>
      </c>
      <c r="BT14" t="s">
        <v>214</v>
      </c>
      <c r="BU14" t="s">
        <v>218</v>
      </c>
      <c r="BV14" t="s">
        <v>164</v>
      </c>
      <c r="BW14" t="s">
        <v>164</v>
      </c>
      <c r="BX14" s="138">
        <v>28.282969999999999</v>
      </c>
      <c r="BY14" t="s">
        <v>184</v>
      </c>
      <c r="BZ14" s="159">
        <v>3</v>
      </c>
      <c r="CA14" s="159">
        <v>3</v>
      </c>
      <c r="CB14" s="138">
        <v>3.8071297729361122</v>
      </c>
      <c r="CC14" s="138">
        <v>3.8071297729361122</v>
      </c>
      <c r="CD14" t="s">
        <v>188</v>
      </c>
      <c r="CE14" s="147">
        <f t="shared" si="13"/>
        <v>0.10279250386927503</v>
      </c>
      <c r="CF14" s="147">
        <f t="shared" si="14"/>
        <v>0.10279250386927503</v>
      </c>
      <c r="CG14" s="153" t="s">
        <v>215</v>
      </c>
      <c r="CH14" s="148" t="s">
        <v>207</v>
      </c>
      <c r="CI14" s="138">
        <v>4.1654737323437487</v>
      </c>
      <c r="CJ14" s="138" t="s">
        <v>244</v>
      </c>
      <c r="CK14" t="s">
        <v>160</v>
      </c>
      <c r="CL14" t="s">
        <v>189</v>
      </c>
      <c r="CM14" t="s">
        <v>160</v>
      </c>
      <c r="CN14" t="s">
        <v>160</v>
      </c>
      <c r="CO14" t="s">
        <v>160</v>
      </c>
      <c r="CP14" t="s">
        <v>160</v>
      </c>
      <c r="CQ14" t="s">
        <v>160</v>
      </c>
      <c r="CR14" t="s">
        <v>160</v>
      </c>
      <c r="CS14" t="s">
        <v>160</v>
      </c>
      <c r="CT14" t="s">
        <v>160</v>
      </c>
      <c r="CU14" s="134">
        <v>35</v>
      </c>
      <c r="CV14" t="s">
        <v>159</v>
      </c>
      <c r="CW14">
        <v>3</v>
      </c>
      <c r="CX14" s="149" t="s">
        <v>187</v>
      </c>
      <c r="CY14" s="157" t="s">
        <v>160</v>
      </c>
      <c r="CZ14" s="157" t="s">
        <v>160</v>
      </c>
      <c r="DA14" s="157" t="s">
        <v>160</v>
      </c>
      <c r="DB14" s="157" t="s">
        <v>160</v>
      </c>
      <c r="DC14" s="157" t="s">
        <v>160</v>
      </c>
      <c r="DD14" s="157" t="s">
        <v>160</v>
      </c>
      <c r="DE14" s="157" t="s">
        <v>160</v>
      </c>
      <c r="DF14" s="157" t="s">
        <v>160</v>
      </c>
      <c r="DG14" s="157" t="s">
        <v>160</v>
      </c>
      <c r="DH14" s="157" t="s">
        <v>160</v>
      </c>
      <c r="DI14" s="157" t="s">
        <v>160</v>
      </c>
      <c r="DJ14" s="157" t="s">
        <v>160</v>
      </c>
      <c r="DK14" s="132">
        <v>432.56244218316402</v>
      </c>
      <c r="DL14" t="s">
        <v>165</v>
      </c>
      <c r="DM14" s="153">
        <v>37.1</v>
      </c>
      <c r="DN14" t="s">
        <v>166</v>
      </c>
      <c r="DO14" s="138">
        <v>39.253712210000003</v>
      </c>
      <c r="DP14" s="154" t="s">
        <v>163</v>
      </c>
      <c r="DQ14" s="146">
        <v>0.2</v>
      </c>
      <c r="DR14" t="s">
        <v>190</v>
      </c>
      <c r="DS14" t="s">
        <v>167</v>
      </c>
      <c r="DT14" t="s">
        <v>168</v>
      </c>
      <c r="DU14">
        <v>1.0271999999999999</v>
      </c>
      <c r="DV14" t="s">
        <v>191</v>
      </c>
      <c r="DW14">
        <v>5.9999999999999995E-4</v>
      </c>
      <c r="DX14" t="s">
        <v>198</v>
      </c>
      <c r="DY14" t="s">
        <v>160</v>
      </c>
      <c r="DZ14" t="s">
        <v>160</v>
      </c>
      <c r="EA14" t="s">
        <v>192</v>
      </c>
      <c r="EB14" t="s">
        <v>169</v>
      </c>
      <c r="EC14" t="s">
        <v>170</v>
      </c>
      <c r="ED14" t="s">
        <v>170</v>
      </c>
      <c r="EE14" s="157" t="s">
        <v>160</v>
      </c>
      <c r="EF14" t="s">
        <v>160</v>
      </c>
      <c r="EG14" t="s">
        <v>160</v>
      </c>
      <c r="EH14" t="s">
        <v>171</v>
      </c>
      <c r="EI14" t="s">
        <v>193</v>
      </c>
      <c r="EJ14" t="s">
        <v>194</v>
      </c>
      <c r="EK14" s="137">
        <v>2330</v>
      </c>
      <c r="EL14" t="s">
        <v>211</v>
      </c>
      <c r="EM14">
        <v>175</v>
      </c>
      <c r="EN14">
        <v>175</v>
      </c>
      <c r="EO14" t="s">
        <v>160</v>
      </c>
      <c r="EP14" t="s">
        <v>160</v>
      </c>
      <c r="EQ14" t="s">
        <v>160</v>
      </c>
      <c r="ER14" t="s">
        <v>160</v>
      </c>
      <c r="ES14" s="138">
        <v>8.0806406374746302</v>
      </c>
      <c r="ET14" s="133" t="s">
        <v>172</v>
      </c>
      <c r="EU14" s="138">
        <v>6.4095537228139321E-2</v>
      </c>
      <c r="EV14" s="138">
        <v>6.2052954448379438E-2</v>
      </c>
      <c r="EW14" s="147">
        <v>361.326322315536</v>
      </c>
      <c r="EX14" s="154">
        <v>21</v>
      </c>
      <c r="EY14" s="154" t="s">
        <v>195</v>
      </c>
      <c r="EZ14" s="138">
        <v>340.326322315536</v>
      </c>
      <c r="FA14" s="138">
        <v>75.205319599380971</v>
      </c>
      <c r="FB14" s="138">
        <v>66.632766726952013</v>
      </c>
      <c r="FC14" s="156" t="s">
        <v>212</v>
      </c>
      <c r="FD14" s="156" t="s">
        <v>213</v>
      </c>
      <c r="FE14" t="s">
        <v>173</v>
      </c>
      <c r="FF14" t="s">
        <v>173</v>
      </c>
      <c r="FG14" t="s">
        <v>173</v>
      </c>
      <c r="FH14" t="s">
        <v>173</v>
      </c>
      <c r="FI14" t="s">
        <v>173</v>
      </c>
      <c r="FJ14" t="s">
        <v>173</v>
      </c>
      <c r="FK14" t="s">
        <v>173</v>
      </c>
      <c r="FL14" t="s">
        <v>173</v>
      </c>
      <c r="FM14" t="s">
        <v>173</v>
      </c>
      <c r="FN14" t="s">
        <v>173</v>
      </c>
      <c r="FO14" t="s">
        <v>173</v>
      </c>
      <c r="FP14" t="s">
        <v>173</v>
      </c>
    </row>
    <row r="15" spans="1:191" ht="18" x14ac:dyDescent="0.2">
      <c r="A15" s="126" t="s">
        <v>152</v>
      </c>
      <c r="B15" t="s">
        <v>174</v>
      </c>
      <c r="C15">
        <v>2015</v>
      </c>
      <c r="D15" t="s">
        <v>196</v>
      </c>
      <c r="E15" s="147">
        <f t="shared" si="8"/>
        <v>2500.4033199999999</v>
      </c>
      <c r="F15" s="135" t="s">
        <v>160</v>
      </c>
      <c r="G15" s="135" t="s">
        <v>160</v>
      </c>
      <c r="H15" s="147">
        <f t="shared" si="9"/>
        <v>356.62769462737702</v>
      </c>
      <c r="I15" s="147">
        <f t="shared" si="10"/>
        <v>80.166261055600955</v>
      </c>
      <c r="J15" s="147">
        <f t="shared" si="11"/>
        <v>68.927267669585035</v>
      </c>
      <c r="K15" t="s">
        <v>176</v>
      </c>
      <c r="L15" s="130" t="s">
        <v>206</v>
      </c>
      <c r="M15" s="136" t="s">
        <v>175</v>
      </c>
      <c r="N15" t="s">
        <v>196</v>
      </c>
      <c r="O15" t="s">
        <v>156</v>
      </c>
      <c r="P15" s="153" t="s">
        <v>157</v>
      </c>
      <c r="Q15" s="157">
        <v>9</v>
      </c>
      <c r="R15" s="157">
        <v>6</v>
      </c>
      <c r="S15" s="157">
        <v>50</v>
      </c>
      <c r="T15" s="157">
        <v>52</v>
      </c>
      <c r="U15" s="157" t="s">
        <v>160</v>
      </c>
      <c r="V15" s="157" t="s">
        <v>160</v>
      </c>
      <c r="W15" s="157" t="s">
        <v>160</v>
      </c>
      <c r="X15" t="s">
        <v>158</v>
      </c>
      <c r="Y15" s="131">
        <v>12.75</v>
      </c>
      <c r="Z15" s="131">
        <v>-78.73</v>
      </c>
      <c r="AA15" s="131">
        <v>12.75</v>
      </c>
      <c r="AB15" s="131">
        <v>-78.73</v>
      </c>
      <c r="AC15" s="131">
        <v>-2828</v>
      </c>
      <c r="AD15" s="131">
        <v>-2828</v>
      </c>
      <c r="AE15" s="153" t="s">
        <v>160</v>
      </c>
      <c r="AF15" s="153" t="s">
        <v>160</v>
      </c>
      <c r="AG15" s="138">
        <v>2500.4033199999999</v>
      </c>
      <c r="AH15" s="2" t="s">
        <v>159</v>
      </c>
      <c r="AI15" s="153" t="s">
        <v>160</v>
      </c>
      <c r="AJ15" s="153" t="s">
        <v>160</v>
      </c>
      <c r="AK15" s="154" t="s">
        <v>160</v>
      </c>
      <c r="AL15" s="154" t="s">
        <v>177</v>
      </c>
      <c r="AM15" s="157" t="s">
        <v>160</v>
      </c>
      <c r="AN15" t="s">
        <v>160</v>
      </c>
      <c r="AO15" t="s">
        <v>160</v>
      </c>
      <c r="AP15" t="s">
        <v>160</v>
      </c>
      <c r="AQ15" t="s">
        <v>160</v>
      </c>
      <c r="AR15" t="s">
        <v>160</v>
      </c>
      <c r="AS15" t="s">
        <v>160</v>
      </c>
      <c r="AT15" t="s">
        <v>160</v>
      </c>
      <c r="AU15" s="145" t="s">
        <v>178</v>
      </c>
      <c r="AV15" t="s">
        <v>161</v>
      </c>
      <c r="AW15" s="141" t="s">
        <v>179</v>
      </c>
      <c r="AX15" s="141" t="s">
        <v>180</v>
      </c>
      <c r="AY15" s="139" t="s">
        <v>181</v>
      </c>
      <c r="AZ15" s="139" t="s">
        <v>182</v>
      </c>
      <c r="BA15" t="s">
        <v>162</v>
      </c>
      <c r="BB15" s="153" t="s">
        <v>217</v>
      </c>
      <c r="BC15" s="153" t="s">
        <v>217</v>
      </c>
      <c r="BD15" s="153" t="s">
        <v>217</v>
      </c>
      <c r="BE15" s="138">
        <v>19.90691</v>
      </c>
      <c r="BF15" t="s">
        <v>183</v>
      </c>
      <c r="BG15" s="138">
        <v>0.107936428</v>
      </c>
      <c r="BH15">
        <v>0.6</v>
      </c>
      <c r="BI15" t="s">
        <v>184</v>
      </c>
      <c r="BJ15" s="2">
        <v>0.08</v>
      </c>
      <c r="BK15">
        <v>8.8699999999999992</v>
      </c>
      <c r="BL15" t="s">
        <v>163</v>
      </c>
      <c r="BM15">
        <v>1.52</v>
      </c>
      <c r="BN15" t="s">
        <v>185</v>
      </c>
      <c r="BO15" t="s">
        <v>186</v>
      </c>
      <c r="BP15" s="158">
        <f t="shared" si="12"/>
        <v>18.394850000000002</v>
      </c>
      <c r="BQ15" t="s">
        <v>184</v>
      </c>
      <c r="BR15" s="154" t="s">
        <v>160</v>
      </c>
      <c r="BS15" s="154" t="s">
        <v>160</v>
      </c>
      <c r="BT15" t="s">
        <v>214</v>
      </c>
      <c r="BU15" t="s">
        <v>218</v>
      </c>
      <c r="BV15" t="s">
        <v>164</v>
      </c>
      <c r="BW15" t="s">
        <v>164</v>
      </c>
      <c r="BX15" s="138">
        <v>27.914619999999999</v>
      </c>
      <c r="BY15" t="s">
        <v>184</v>
      </c>
      <c r="BZ15" s="159">
        <v>3</v>
      </c>
      <c r="CA15" s="159">
        <v>3</v>
      </c>
      <c r="CB15" s="138">
        <v>3.6957618401084651</v>
      </c>
      <c r="CC15" s="138">
        <v>3.6957618401084651</v>
      </c>
      <c r="CD15" t="s">
        <v>188</v>
      </c>
      <c r="CE15" s="147">
        <f t="shared" si="13"/>
        <v>9.9785569682928552E-2</v>
      </c>
      <c r="CF15" s="147">
        <f t="shared" si="14"/>
        <v>9.9785569682928552E-2</v>
      </c>
      <c r="CG15" s="153" t="s">
        <v>215</v>
      </c>
      <c r="CH15" s="148" t="s">
        <v>207</v>
      </c>
      <c r="CI15" s="138">
        <v>4.2008021598548906</v>
      </c>
      <c r="CJ15" s="138" t="s">
        <v>244</v>
      </c>
      <c r="CK15" t="s">
        <v>160</v>
      </c>
      <c r="CL15" t="s">
        <v>189</v>
      </c>
      <c r="CM15" t="s">
        <v>160</v>
      </c>
      <c r="CN15" t="s">
        <v>160</v>
      </c>
      <c r="CO15" t="s">
        <v>160</v>
      </c>
      <c r="CP15" t="s">
        <v>160</v>
      </c>
      <c r="CQ15" t="s">
        <v>160</v>
      </c>
      <c r="CR15" t="s">
        <v>160</v>
      </c>
      <c r="CS15" t="s">
        <v>160</v>
      </c>
      <c r="CT15" t="s">
        <v>160</v>
      </c>
      <c r="CU15" s="134">
        <v>35</v>
      </c>
      <c r="CV15" t="s">
        <v>159</v>
      </c>
      <c r="CW15">
        <v>3</v>
      </c>
      <c r="CX15" s="149" t="s">
        <v>187</v>
      </c>
      <c r="CY15" s="157" t="s">
        <v>160</v>
      </c>
      <c r="CZ15" s="157" t="s">
        <v>160</v>
      </c>
      <c r="DA15" s="157" t="s">
        <v>160</v>
      </c>
      <c r="DB15" s="157" t="s">
        <v>160</v>
      </c>
      <c r="DC15" s="157" t="s">
        <v>160</v>
      </c>
      <c r="DD15" s="157" t="s">
        <v>160</v>
      </c>
      <c r="DE15" s="157" t="s">
        <v>160</v>
      </c>
      <c r="DF15" s="157" t="s">
        <v>160</v>
      </c>
      <c r="DG15" s="157" t="s">
        <v>160</v>
      </c>
      <c r="DH15" s="157" t="s">
        <v>160</v>
      </c>
      <c r="DI15" s="157" t="s">
        <v>160</v>
      </c>
      <c r="DJ15" s="157" t="s">
        <v>160</v>
      </c>
      <c r="DK15" s="132">
        <v>432.56244218316402</v>
      </c>
      <c r="DL15" t="s">
        <v>165</v>
      </c>
      <c r="DM15" s="153">
        <v>37.1</v>
      </c>
      <c r="DN15" t="s">
        <v>166</v>
      </c>
      <c r="DO15" s="138">
        <v>39.250100789999998</v>
      </c>
      <c r="DP15" s="154" t="s">
        <v>163</v>
      </c>
      <c r="DQ15" s="146">
        <v>0.2</v>
      </c>
      <c r="DR15" t="s">
        <v>190</v>
      </c>
      <c r="DS15" t="s">
        <v>167</v>
      </c>
      <c r="DT15" t="s">
        <v>168</v>
      </c>
      <c r="DU15">
        <v>1.0271999999999999</v>
      </c>
      <c r="DV15" t="s">
        <v>191</v>
      </c>
      <c r="DW15">
        <v>5.9999999999999995E-4</v>
      </c>
      <c r="DX15" t="s">
        <v>198</v>
      </c>
      <c r="DY15" t="s">
        <v>160</v>
      </c>
      <c r="DZ15" t="s">
        <v>160</v>
      </c>
      <c r="EA15" t="s">
        <v>192</v>
      </c>
      <c r="EB15" t="s">
        <v>169</v>
      </c>
      <c r="EC15" t="s">
        <v>170</v>
      </c>
      <c r="ED15" t="s">
        <v>170</v>
      </c>
      <c r="EE15" s="157" t="s">
        <v>160</v>
      </c>
      <c r="EF15" t="s">
        <v>160</v>
      </c>
      <c r="EG15" t="s">
        <v>160</v>
      </c>
      <c r="EH15" t="s">
        <v>171</v>
      </c>
      <c r="EI15" t="s">
        <v>193</v>
      </c>
      <c r="EJ15" t="s">
        <v>194</v>
      </c>
      <c r="EK15" s="137">
        <v>2330</v>
      </c>
      <c r="EL15" t="s">
        <v>211</v>
      </c>
      <c r="EM15">
        <v>175</v>
      </c>
      <c r="EN15">
        <v>175</v>
      </c>
      <c r="EO15" t="s">
        <v>160</v>
      </c>
      <c r="EP15" t="s">
        <v>160</v>
      </c>
      <c r="EQ15" t="s">
        <v>160</v>
      </c>
      <c r="ER15" t="s">
        <v>160</v>
      </c>
      <c r="ES15" s="138">
        <v>8.0660176743790508</v>
      </c>
      <c r="ET15" s="133" t="s">
        <v>172</v>
      </c>
      <c r="EU15" s="138">
        <v>6.4257907097658773E-2</v>
      </c>
      <c r="EV15" s="138">
        <v>6.4418018992251191E-2</v>
      </c>
      <c r="EW15" s="147">
        <v>377.62769462737702</v>
      </c>
      <c r="EX15" s="154">
        <v>21</v>
      </c>
      <c r="EY15" s="154" t="s">
        <v>195</v>
      </c>
      <c r="EZ15" s="138">
        <v>356.62769462737702</v>
      </c>
      <c r="FA15" s="138">
        <v>80.166261055600955</v>
      </c>
      <c r="FB15" s="138">
        <v>68.927267669585035</v>
      </c>
      <c r="FC15" s="156" t="s">
        <v>212</v>
      </c>
      <c r="FD15" s="156" t="s">
        <v>213</v>
      </c>
      <c r="FE15" t="s">
        <v>173</v>
      </c>
      <c r="FF15" t="s">
        <v>173</v>
      </c>
      <c r="FG15" t="s">
        <v>173</v>
      </c>
      <c r="FH15" t="s">
        <v>173</v>
      </c>
      <c r="FI15" t="s">
        <v>173</v>
      </c>
      <c r="FJ15" t="s">
        <v>173</v>
      </c>
      <c r="FK15" t="s">
        <v>173</v>
      </c>
      <c r="FL15" t="s">
        <v>173</v>
      </c>
      <c r="FM15" t="s">
        <v>173</v>
      </c>
      <c r="FN15" t="s">
        <v>173</v>
      </c>
      <c r="FO15" t="s">
        <v>173</v>
      </c>
      <c r="FP15" t="s">
        <v>173</v>
      </c>
    </row>
    <row r="16" spans="1:191" ht="18" x14ac:dyDescent="0.2">
      <c r="A16" s="126" t="s">
        <v>152</v>
      </c>
      <c r="B16" t="s">
        <v>174</v>
      </c>
      <c r="C16">
        <v>2015</v>
      </c>
      <c r="D16" t="s">
        <v>196</v>
      </c>
      <c r="E16" s="147">
        <f t="shared" si="8"/>
        <v>2501.4025879999999</v>
      </c>
      <c r="F16" s="135" t="s">
        <v>160</v>
      </c>
      <c r="G16" s="135" t="s">
        <v>160</v>
      </c>
      <c r="H16" s="147">
        <f t="shared" si="9"/>
        <v>362.03461847224497</v>
      </c>
      <c r="I16" s="147">
        <f t="shared" si="10"/>
        <v>81.022411350223024</v>
      </c>
      <c r="J16" s="147">
        <f t="shared" si="11"/>
        <v>69.28969529185099</v>
      </c>
      <c r="K16" t="s">
        <v>176</v>
      </c>
      <c r="L16" s="130" t="s">
        <v>206</v>
      </c>
      <c r="M16" s="136" t="s">
        <v>175</v>
      </c>
      <c r="N16" t="s">
        <v>196</v>
      </c>
      <c r="O16" t="s">
        <v>156</v>
      </c>
      <c r="P16" s="153" t="s">
        <v>157</v>
      </c>
      <c r="Q16" s="170">
        <v>9</v>
      </c>
      <c r="R16" s="157">
        <v>6</v>
      </c>
      <c r="S16" s="157">
        <v>53</v>
      </c>
      <c r="T16" s="157">
        <v>55</v>
      </c>
      <c r="U16" s="157" t="s">
        <v>160</v>
      </c>
      <c r="V16" s="157" t="s">
        <v>160</v>
      </c>
      <c r="W16" s="157" t="s">
        <v>160</v>
      </c>
      <c r="X16" t="s">
        <v>158</v>
      </c>
      <c r="Y16" s="131">
        <v>12.75</v>
      </c>
      <c r="Z16" s="131">
        <v>-78.73</v>
      </c>
      <c r="AA16" s="131">
        <v>12.75</v>
      </c>
      <c r="AB16" s="131">
        <v>-78.73</v>
      </c>
      <c r="AC16" s="131">
        <v>-2828</v>
      </c>
      <c r="AD16" s="131">
        <v>-2828</v>
      </c>
      <c r="AE16" s="153" t="s">
        <v>160</v>
      </c>
      <c r="AF16" s="153" t="s">
        <v>160</v>
      </c>
      <c r="AG16" s="138">
        <v>2501.4025879999999</v>
      </c>
      <c r="AH16" s="2" t="s">
        <v>159</v>
      </c>
      <c r="AI16" s="153" t="s">
        <v>160</v>
      </c>
      <c r="AJ16" s="153" t="s">
        <v>160</v>
      </c>
      <c r="AK16" s="154" t="s">
        <v>160</v>
      </c>
      <c r="AL16" s="154" t="s">
        <v>177</v>
      </c>
      <c r="AM16" s="157" t="s">
        <v>160</v>
      </c>
      <c r="AN16" t="s">
        <v>160</v>
      </c>
      <c r="AO16" t="s">
        <v>160</v>
      </c>
      <c r="AP16" t="s">
        <v>160</v>
      </c>
      <c r="AQ16" t="s">
        <v>160</v>
      </c>
      <c r="AR16" t="s">
        <v>160</v>
      </c>
      <c r="AS16" t="s">
        <v>160</v>
      </c>
      <c r="AT16" t="s">
        <v>160</v>
      </c>
      <c r="AU16" s="145" t="s">
        <v>178</v>
      </c>
      <c r="AV16" t="s">
        <v>161</v>
      </c>
      <c r="AW16" s="141" t="s">
        <v>179</v>
      </c>
      <c r="AX16" s="139" t="s">
        <v>180</v>
      </c>
      <c r="AY16" s="139" t="s">
        <v>181</v>
      </c>
      <c r="AZ16" s="139" t="s">
        <v>182</v>
      </c>
      <c r="BA16" s="140" t="s">
        <v>162</v>
      </c>
      <c r="BB16" s="153" t="s">
        <v>217</v>
      </c>
      <c r="BC16" s="153" t="s">
        <v>217</v>
      </c>
      <c r="BD16" s="153" t="s">
        <v>217</v>
      </c>
      <c r="BE16" s="138">
        <v>19.875129999999999</v>
      </c>
      <c r="BF16" t="s">
        <v>183</v>
      </c>
      <c r="BG16" s="138">
        <v>9.3739923000000003E-2</v>
      </c>
      <c r="BH16">
        <v>0.6</v>
      </c>
      <c r="BI16" t="s">
        <v>184</v>
      </c>
      <c r="BJ16" s="2">
        <v>0.08</v>
      </c>
      <c r="BK16">
        <v>8.8699999999999992</v>
      </c>
      <c r="BL16" t="s">
        <v>163</v>
      </c>
      <c r="BM16">
        <v>1.52</v>
      </c>
      <c r="BN16" t="s">
        <v>185</v>
      </c>
      <c r="BO16" t="s">
        <v>186</v>
      </c>
      <c r="BP16" s="158">
        <f t="shared" si="12"/>
        <v>18.341883333333332</v>
      </c>
      <c r="BQ16" t="s">
        <v>184</v>
      </c>
      <c r="BR16" s="154" t="s">
        <v>160</v>
      </c>
      <c r="BS16" s="154" t="s">
        <v>160</v>
      </c>
      <c r="BT16" t="s">
        <v>214</v>
      </c>
      <c r="BU16" t="s">
        <v>218</v>
      </c>
      <c r="BV16" t="s">
        <v>164</v>
      </c>
      <c r="BW16" t="s">
        <v>164</v>
      </c>
      <c r="BX16" s="138">
        <v>27.895060000000001</v>
      </c>
      <c r="BY16" t="s">
        <v>184</v>
      </c>
      <c r="BZ16" s="159">
        <v>3</v>
      </c>
      <c r="CA16" s="159">
        <v>3</v>
      </c>
      <c r="CB16" s="138">
        <v>3.6894503432609507</v>
      </c>
      <c r="CC16" s="138">
        <v>3.6894503432609507</v>
      </c>
      <c r="CD16" t="s">
        <v>188</v>
      </c>
      <c r="CE16" s="147">
        <f t="shared" si="13"/>
        <v>9.9615159268045664E-2</v>
      </c>
      <c r="CF16" s="147">
        <f t="shared" si="14"/>
        <v>9.9615159268045664E-2</v>
      </c>
      <c r="CG16" s="153" t="s">
        <v>215</v>
      </c>
      <c r="CH16" s="148" t="s">
        <v>207</v>
      </c>
      <c r="CI16" s="138">
        <v>4.2013265140392164</v>
      </c>
      <c r="CJ16" s="138" t="s">
        <v>244</v>
      </c>
      <c r="CK16" t="s">
        <v>160</v>
      </c>
      <c r="CL16" t="s">
        <v>189</v>
      </c>
      <c r="CM16" t="s">
        <v>160</v>
      </c>
      <c r="CN16" t="s">
        <v>160</v>
      </c>
      <c r="CO16" t="s">
        <v>160</v>
      </c>
      <c r="CP16" t="s">
        <v>160</v>
      </c>
      <c r="CQ16" t="s">
        <v>160</v>
      </c>
      <c r="CR16" t="s">
        <v>160</v>
      </c>
      <c r="CS16" t="s">
        <v>160</v>
      </c>
      <c r="CT16" t="s">
        <v>160</v>
      </c>
      <c r="CU16" s="134">
        <v>35</v>
      </c>
      <c r="CV16" t="s">
        <v>159</v>
      </c>
      <c r="CW16">
        <v>3</v>
      </c>
      <c r="CX16" s="149" t="s">
        <v>187</v>
      </c>
      <c r="CY16" s="157" t="s">
        <v>160</v>
      </c>
      <c r="CZ16" s="157" t="s">
        <v>160</v>
      </c>
      <c r="DA16" s="157" t="s">
        <v>160</v>
      </c>
      <c r="DB16" s="157" t="s">
        <v>160</v>
      </c>
      <c r="DC16" s="157" t="s">
        <v>160</v>
      </c>
      <c r="DD16" s="157" t="s">
        <v>160</v>
      </c>
      <c r="DE16" s="157" t="s">
        <v>160</v>
      </c>
      <c r="DF16" s="157" t="s">
        <v>160</v>
      </c>
      <c r="DG16" s="157" t="s">
        <v>160</v>
      </c>
      <c r="DH16" s="157" t="s">
        <v>160</v>
      </c>
      <c r="DI16" s="157" t="s">
        <v>160</v>
      </c>
      <c r="DJ16" s="157" t="s">
        <v>160</v>
      </c>
      <c r="DK16" s="132">
        <v>432.56244218316402</v>
      </c>
      <c r="DL16" t="s">
        <v>165</v>
      </c>
      <c r="DM16" s="153">
        <v>37.1</v>
      </c>
      <c r="DN16" t="s">
        <v>166</v>
      </c>
      <c r="DO16" s="138">
        <v>39.250023390000003</v>
      </c>
      <c r="DP16" s="154" t="s">
        <v>163</v>
      </c>
      <c r="DQ16" s="146">
        <v>0.2</v>
      </c>
      <c r="DR16" t="s">
        <v>190</v>
      </c>
      <c r="DS16" t="s">
        <v>167</v>
      </c>
      <c r="DT16" t="s">
        <v>168</v>
      </c>
      <c r="DU16">
        <v>1.0271999999999999</v>
      </c>
      <c r="DV16" t="s">
        <v>191</v>
      </c>
      <c r="DW16">
        <v>5.9999999999999995E-4</v>
      </c>
      <c r="DX16" t="s">
        <v>198</v>
      </c>
      <c r="DY16" t="s">
        <v>160</v>
      </c>
      <c r="DZ16" t="s">
        <v>160</v>
      </c>
      <c r="EA16" t="s">
        <v>192</v>
      </c>
      <c r="EB16" t="s">
        <v>169</v>
      </c>
      <c r="EC16" t="s">
        <v>170</v>
      </c>
      <c r="ED16" t="s">
        <v>170</v>
      </c>
      <c r="EE16" s="157" t="s">
        <v>160</v>
      </c>
      <c r="EF16" t="s">
        <v>160</v>
      </c>
      <c r="EG16" t="s">
        <v>160</v>
      </c>
      <c r="EH16" t="s">
        <v>171</v>
      </c>
      <c r="EI16" t="s">
        <v>193</v>
      </c>
      <c r="EJ16" t="s">
        <v>194</v>
      </c>
      <c r="EK16" s="137">
        <v>2330</v>
      </c>
      <c r="EL16" t="s">
        <v>211</v>
      </c>
      <c r="EM16">
        <v>175</v>
      </c>
      <c r="EN16">
        <v>175</v>
      </c>
      <c r="EO16" t="s">
        <v>160</v>
      </c>
      <c r="EP16" t="s">
        <v>160</v>
      </c>
      <c r="EQ16" t="s">
        <v>160</v>
      </c>
      <c r="ER16" t="s">
        <v>160</v>
      </c>
      <c r="ES16" s="138">
        <v>8.0614087709290292</v>
      </c>
      <c r="ET16" s="133" t="s">
        <v>172</v>
      </c>
      <c r="EU16" s="138">
        <v>6.4097286545560905E-2</v>
      </c>
      <c r="EV16" s="138">
        <v>6.4342817027819521E-2</v>
      </c>
      <c r="EW16" s="147">
        <v>383.03461847224497</v>
      </c>
      <c r="EX16" s="154">
        <v>21</v>
      </c>
      <c r="EY16" s="154" t="s">
        <v>195</v>
      </c>
      <c r="EZ16" s="138">
        <v>362.03461847224497</v>
      </c>
      <c r="FA16" s="138">
        <v>81.022411350223024</v>
      </c>
      <c r="FB16" s="138">
        <v>69.28969529185099</v>
      </c>
      <c r="FC16" s="156" t="s">
        <v>212</v>
      </c>
      <c r="FD16" s="156" t="s">
        <v>213</v>
      </c>
      <c r="FE16" t="s">
        <v>173</v>
      </c>
      <c r="FF16" t="s">
        <v>173</v>
      </c>
      <c r="FG16" t="s">
        <v>173</v>
      </c>
      <c r="FH16" t="s">
        <v>173</v>
      </c>
      <c r="FI16" t="s">
        <v>173</v>
      </c>
      <c r="FJ16" t="s">
        <v>173</v>
      </c>
      <c r="FK16" t="s">
        <v>173</v>
      </c>
      <c r="FL16" t="s">
        <v>173</v>
      </c>
      <c r="FM16" t="s">
        <v>173</v>
      </c>
      <c r="FN16" t="s">
        <v>173</v>
      </c>
      <c r="FO16" t="s">
        <v>173</v>
      </c>
      <c r="FP16" t="s">
        <v>173</v>
      </c>
    </row>
    <row r="17" spans="1:172" ht="18" x14ac:dyDescent="0.2">
      <c r="A17" s="126" t="s">
        <v>152</v>
      </c>
      <c r="B17" t="s">
        <v>174</v>
      </c>
      <c r="C17">
        <v>2015</v>
      </c>
      <c r="D17" t="s">
        <v>196</v>
      </c>
      <c r="E17" s="147">
        <f t="shared" si="8"/>
        <v>2521.9323730000001</v>
      </c>
      <c r="F17" s="135" t="s">
        <v>160</v>
      </c>
      <c r="G17" s="135" t="s">
        <v>160</v>
      </c>
      <c r="H17" s="147">
        <f t="shared" si="9"/>
        <v>245.96959183153299</v>
      </c>
      <c r="I17" s="147">
        <f t="shared" si="10"/>
        <v>56.269757952499987</v>
      </c>
      <c r="J17" s="147">
        <f t="shared" si="11"/>
        <v>47.865121258732984</v>
      </c>
      <c r="K17" t="s">
        <v>176</v>
      </c>
      <c r="L17" s="130" t="s">
        <v>206</v>
      </c>
      <c r="M17" s="136" t="s">
        <v>175</v>
      </c>
      <c r="N17" t="s">
        <v>196</v>
      </c>
      <c r="O17" t="s">
        <v>156</v>
      </c>
      <c r="P17" s="153" t="s">
        <v>157</v>
      </c>
      <c r="Q17" s="157">
        <v>9</v>
      </c>
      <c r="R17" s="157">
        <v>6</v>
      </c>
      <c r="S17" s="157">
        <v>112</v>
      </c>
      <c r="T17" s="157">
        <v>114</v>
      </c>
      <c r="U17" s="157" t="s">
        <v>160</v>
      </c>
      <c r="V17" s="157" t="s">
        <v>160</v>
      </c>
      <c r="W17" s="157" t="s">
        <v>160</v>
      </c>
      <c r="X17" t="s">
        <v>158</v>
      </c>
      <c r="Y17" s="131">
        <v>12.75</v>
      </c>
      <c r="Z17" s="131">
        <v>-78.73</v>
      </c>
      <c r="AA17" s="131">
        <v>12.75</v>
      </c>
      <c r="AB17" s="131">
        <v>-78.73</v>
      </c>
      <c r="AC17" s="131">
        <v>-2828</v>
      </c>
      <c r="AD17" s="131">
        <v>-2828</v>
      </c>
      <c r="AE17" s="153" t="s">
        <v>160</v>
      </c>
      <c r="AF17" s="153" t="s">
        <v>160</v>
      </c>
      <c r="AG17" s="138">
        <v>2521.9323730000001</v>
      </c>
      <c r="AH17" s="2" t="s">
        <v>159</v>
      </c>
      <c r="AI17" s="153" t="s">
        <v>160</v>
      </c>
      <c r="AJ17" s="153" t="s">
        <v>160</v>
      </c>
      <c r="AK17" s="154" t="s">
        <v>160</v>
      </c>
      <c r="AL17" s="154" t="s">
        <v>177</v>
      </c>
      <c r="AM17" s="157" t="s">
        <v>160</v>
      </c>
      <c r="AN17" t="s">
        <v>160</v>
      </c>
      <c r="AO17" t="s">
        <v>160</v>
      </c>
      <c r="AP17" t="s">
        <v>160</v>
      </c>
      <c r="AQ17" t="s">
        <v>160</v>
      </c>
      <c r="AR17" t="s">
        <v>160</v>
      </c>
      <c r="AS17" t="s">
        <v>160</v>
      </c>
      <c r="AT17" t="s">
        <v>160</v>
      </c>
      <c r="AU17" s="145" t="s">
        <v>178</v>
      </c>
      <c r="AV17" t="s">
        <v>161</v>
      </c>
      <c r="AW17" s="141" t="s">
        <v>179</v>
      </c>
      <c r="AX17" s="141" t="s">
        <v>180</v>
      </c>
      <c r="AY17" s="139" t="s">
        <v>181</v>
      </c>
      <c r="AZ17" s="139" t="s">
        <v>182</v>
      </c>
      <c r="BA17" t="s">
        <v>162</v>
      </c>
      <c r="BB17" s="153" t="s">
        <v>217</v>
      </c>
      <c r="BC17" s="153" t="s">
        <v>217</v>
      </c>
      <c r="BD17" s="153" t="s">
        <v>217</v>
      </c>
      <c r="BE17" s="138">
        <v>20.705839999999998</v>
      </c>
      <c r="BF17" t="s">
        <v>183</v>
      </c>
      <c r="BG17" s="138">
        <v>8.5358745E-2</v>
      </c>
      <c r="BH17">
        <v>0.6</v>
      </c>
      <c r="BI17" t="s">
        <v>184</v>
      </c>
      <c r="BJ17" s="2">
        <v>0.08</v>
      </c>
      <c r="BK17">
        <v>8.8699999999999992</v>
      </c>
      <c r="BL17" t="s">
        <v>163</v>
      </c>
      <c r="BM17">
        <v>1.52</v>
      </c>
      <c r="BN17" t="s">
        <v>185</v>
      </c>
      <c r="BO17" t="s">
        <v>186</v>
      </c>
      <c r="BP17" s="158">
        <f t="shared" si="12"/>
        <v>19.726399999999998</v>
      </c>
      <c r="BQ17" t="s">
        <v>184</v>
      </c>
      <c r="BR17" s="154" t="s">
        <v>160</v>
      </c>
      <c r="BS17" s="154" t="s">
        <v>160</v>
      </c>
      <c r="BT17" t="s">
        <v>214</v>
      </c>
      <c r="BU17" t="s">
        <v>218</v>
      </c>
      <c r="BV17" t="s">
        <v>164</v>
      </c>
      <c r="BW17" t="s">
        <v>164</v>
      </c>
      <c r="BX17" s="138">
        <v>27.290320000000001</v>
      </c>
      <c r="BY17" t="s">
        <v>184</v>
      </c>
      <c r="BZ17" s="159">
        <v>3</v>
      </c>
      <c r="CA17" s="159">
        <v>3</v>
      </c>
      <c r="CB17" s="138">
        <v>3.4929593825806515</v>
      </c>
      <c r="CC17" s="138">
        <v>3.4929593825806515</v>
      </c>
      <c r="CD17" t="s">
        <v>188</v>
      </c>
      <c r="CE17" s="147">
        <f t="shared" si="13"/>
        <v>9.4309903329677591E-2</v>
      </c>
      <c r="CF17" s="147">
        <f t="shared" si="14"/>
        <v>9.4309903329677591E-2</v>
      </c>
      <c r="CG17" s="153" t="s">
        <v>215</v>
      </c>
      <c r="CH17" s="148" t="s">
        <v>207</v>
      </c>
      <c r="CI17" s="138">
        <v>4.1982376157761987</v>
      </c>
      <c r="CJ17" s="138" t="s">
        <v>244</v>
      </c>
      <c r="CK17" t="s">
        <v>160</v>
      </c>
      <c r="CL17" t="s">
        <v>189</v>
      </c>
      <c r="CM17" t="s">
        <v>160</v>
      </c>
      <c r="CN17" t="s">
        <v>160</v>
      </c>
      <c r="CO17" t="s">
        <v>160</v>
      </c>
      <c r="CP17" t="s">
        <v>160</v>
      </c>
      <c r="CQ17" t="s">
        <v>160</v>
      </c>
      <c r="CR17" t="s">
        <v>160</v>
      </c>
      <c r="CS17" t="s">
        <v>160</v>
      </c>
      <c r="CT17" t="s">
        <v>160</v>
      </c>
      <c r="CU17" s="134">
        <v>35</v>
      </c>
      <c r="CV17" t="s">
        <v>159</v>
      </c>
      <c r="CW17">
        <v>3</v>
      </c>
      <c r="CX17" s="149" t="s">
        <v>187</v>
      </c>
      <c r="CY17" s="157" t="s">
        <v>160</v>
      </c>
      <c r="CZ17" s="157" t="s">
        <v>160</v>
      </c>
      <c r="DA17" s="157" t="s">
        <v>160</v>
      </c>
      <c r="DB17" s="157" t="s">
        <v>160</v>
      </c>
      <c r="DC17" s="157" t="s">
        <v>160</v>
      </c>
      <c r="DD17" s="157" t="s">
        <v>160</v>
      </c>
      <c r="DE17" s="157" t="s">
        <v>160</v>
      </c>
      <c r="DF17" s="157" t="s">
        <v>160</v>
      </c>
      <c r="DG17" s="157" t="s">
        <v>160</v>
      </c>
      <c r="DH17" s="157" t="s">
        <v>160</v>
      </c>
      <c r="DI17" s="157" t="s">
        <v>160</v>
      </c>
      <c r="DJ17" s="157" t="s">
        <v>160</v>
      </c>
      <c r="DK17" s="132">
        <v>432.56244218316402</v>
      </c>
      <c r="DL17" t="s">
        <v>165</v>
      </c>
      <c r="DM17" s="153">
        <v>37.1</v>
      </c>
      <c r="DN17" t="s">
        <v>166</v>
      </c>
      <c r="DO17" s="138">
        <v>39.24736918</v>
      </c>
      <c r="DP17" s="154" t="s">
        <v>163</v>
      </c>
      <c r="DQ17" s="146">
        <v>0.2</v>
      </c>
      <c r="DR17" t="s">
        <v>190</v>
      </c>
      <c r="DS17" t="s">
        <v>167</v>
      </c>
      <c r="DT17" t="s">
        <v>168</v>
      </c>
      <c r="DU17">
        <v>1.0271999999999999</v>
      </c>
      <c r="DV17" t="s">
        <v>191</v>
      </c>
      <c r="DW17">
        <v>5.9999999999999995E-4</v>
      </c>
      <c r="DX17" t="s">
        <v>198</v>
      </c>
      <c r="DY17" t="s">
        <v>160</v>
      </c>
      <c r="DZ17" t="s">
        <v>160</v>
      </c>
      <c r="EA17" t="s">
        <v>192</v>
      </c>
      <c r="EB17" t="s">
        <v>169</v>
      </c>
      <c r="EC17" t="s">
        <v>170</v>
      </c>
      <c r="ED17" t="s">
        <v>170</v>
      </c>
      <c r="EE17" s="157" t="s">
        <v>160</v>
      </c>
      <c r="EF17" t="s">
        <v>160</v>
      </c>
      <c r="EG17" t="s">
        <v>160</v>
      </c>
      <c r="EH17" t="s">
        <v>171</v>
      </c>
      <c r="EI17" t="s">
        <v>193</v>
      </c>
      <c r="EJ17" t="s">
        <v>194</v>
      </c>
      <c r="EK17" s="137">
        <v>2330</v>
      </c>
      <c r="EL17" t="s">
        <v>211</v>
      </c>
      <c r="EM17">
        <v>175</v>
      </c>
      <c r="EN17">
        <v>175</v>
      </c>
      <c r="EO17" t="s">
        <v>160</v>
      </c>
      <c r="EP17" t="s">
        <v>160</v>
      </c>
      <c r="EQ17" t="s">
        <v>160</v>
      </c>
      <c r="ER17" t="s">
        <v>160</v>
      </c>
      <c r="ES17" s="138">
        <v>8.1852891389021902</v>
      </c>
      <c r="ET17" s="133" t="s">
        <v>172</v>
      </c>
      <c r="EU17" s="138">
        <v>6.2129160895469937E-2</v>
      </c>
      <c r="EV17" s="138">
        <v>6.2195734285960924E-2</v>
      </c>
      <c r="EW17" s="147">
        <v>266.96959183153297</v>
      </c>
      <c r="EX17" s="154">
        <v>21</v>
      </c>
      <c r="EY17" s="154" t="s">
        <v>195</v>
      </c>
      <c r="EZ17" s="138">
        <v>245.96959183153299</v>
      </c>
      <c r="FA17" s="138">
        <v>56.269757952499987</v>
      </c>
      <c r="FB17" s="138">
        <v>47.865121258732984</v>
      </c>
      <c r="FC17" s="156" t="s">
        <v>212</v>
      </c>
      <c r="FD17" s="156" t="s">
        <v>213</v>
      </c>
      <c r="FE17" t="s">
        <v>173</v>
      </c>
      <c r="FF17" t="s">
        <v>173</v>
      </c>
      <c r="FG17" t="s">
        <v>173</v>
      </c>
      <c r="FH17" t="s">
        <v>173</v>
      </c>
      <c r="FI17" t="s">
        <v>173</v>
      </c>
      <c r="FJ17" t="s">
        <v>173</v>
      </c>
      <c r="FK17" t="s">
        <v>173</v>
      </c>
      <c r="FL17" t="s">
        <v>173</v>
      </c>
      <c r="FM17" t="s">
        <v>173</v>
      </c>
      <c r="FN17" t="s">
        <v>173</v>
      </c>
      <c r="FO17" t="s">
        <v>173</v>
      </c>
      <c r="FP17" t="s">
        <v>173</v>
      </c>
    </row>
    <row r="18" spans="1:172" ht="18" x14ac:dyDescent="0.2">
      <c r="A18" s="126" t="s">
        <v>152</v>
      </c>
      <c r="B18" t="s">
        <v>174</v>
      </c>
      <c r="C18">
        <v>2015</v>
      </c>
      <c r="D18" t="s">
        <v>196</v>
      </c>
      <c r="E18" s="147">
        <f t="shared" si="8"/>
        <v>2545.1545409999999</v>
      </c>
      <c r="F18" s="135" t="s">
        <v>160</v>
      </c>
      <c r="G18" s="135" t="s">
        <v>160</v>
      </c>
      <c r="H18" s="147">
        <f t="shared" si="9"/>
        <v>335.451094913063</v>
      </c>
      <c r="I18" s="147">
        <f t="shared" si="10"/>
        <v>73.607254962213972</v>
      </c>
      <c r="J18" s="147">
        <f t="shared" si="11"/>
        <v>64.799168100468023</v>
      </c>
      <c r="K18" t="s">
        <v>176</v>
      </c>
      <c r="L18" s="130" t="s">
        <v>206</v>
      </c>
      <c r="M18" s="136" t="s">
        <v>175</v>
      </c>
      <c r="N18" t="s">
        <v>196</v>
      </c>
      <c r="O18" t="s">
        <v>156</v>
      </c>
      <c r="P18" s="153" t="s">
        <v>157</v>
      </c>
      <c r="Q18" s="157">
        <v>9</v>
      </c>
      <c r="R18" s="157">
        <v>7</v>
      </c>
      <c r="S18" s="157">
        <v>37</v>
      </c>
      <c r="T18" s="157">
        <v>39</v>
      </c>
      <c r="U18" s="157" t="s">
        <v>160</v>
      </c>
      <c r="V18" s="157" t="s">
        <v>160</v>
      </c>
      <c r="W18" s="157" t="s">
        <v>160</v>
      </c>
      <c r="X18" t="s">
        <v>158</v>
      </c>
      <c r="Y18" s="131">
        <v>12.75</v>
      </c>
      <c r="Z18" s="131">
        <v>-78.73</v>
      </c>
      <c r="AA18" s="131">
        <v>12.75</v>
      </c>
      <c r="AB18" s="131">
        <v>-78.73</v>
      </c>
      <c r="AC18" s="131">
        <v>-2828</v>
      </c>
      <c r="AD18" s="131">
        <v>-2828</v>
      </c>
      <c r="AE18" s="153" t="s">
        <v>160</v>
      </c>
      <c r="AF18" s="153" t="s">
        <v>160</v>
      </c>
      <c r="AG18" s="138">
        <v>2545.1545409999999</v>
      </c>
      <c r="AH18" s="2" t="s">
        <v>159</v>
      </c>
      <c r="AI18" s="153" t="s">
        <v>160</v>
      </c>
      <c r="AJ18" s="153" t="s">
        <v>160</v>
      </c>
      <c r="AK18" s="154" t="s">
        <v>160</v>
      </c>
      <c r="AL18" s="154" t="s">
        <v>177</v>
      </c>
      <c r="AM18" s="157" t="s">
        <v>160</v>
      </c>
      <c r="AN18" t="s">
        <v>160</v>
      </c>
      <c r="AO18" t="s">
        <v>160</v>
      </c>
      <c r="AP18" t="s">
        <v>160</v>
      </c>
      <c r="AQ18" t="s">
        <v>160</v>
      </c>
      <c r="AR18" t="s">
        <v>160</v>
      </c>
      <c r="AS18" t="s">
        <v>160</v>
      </c>
      <c r="AT18" t="s">
        <v>160</v>
      </c>
      <c r="AU18" s="145" t="s">
        <v>178</v>
      </c>
      <c r="AV18" t="s">
        <v>161</v>
      </c>
      <c r="AW18" s="141" t="s">
        <v>179</v>
      </c>
      <c r="AX18" s="139" t="s">
        <v>180</v>
      </c>
      <c r="AY18" s="139" t="s">
        <v>181</v>
      </c>
      <c r="AZ18" s="139" t="s">
        <v>182</v>
      </c>
      <c r="BA18" s="140" t="s">
        <v>162</v>
      </c>
      <c r="BB18" s="153" t="s">
        <v>217</v>
      </c>
      <c r="BC18" s="153" t="s">
        <v>217</v>
      </c>
      <c r="BD18" s="153" t="s">
        <v>217</v>
      </c>
      <c r="BE18" s="138">
        <v>19.996870000000001</v>
      </c>
      <c r="BF18" t="s">
        <v>183</v>
      </c>
      <c r="BG18" s="138">
        <v>9.0761997999999997E-2</v>
      </c>
      <c r="BH18">
        <v>0.6</v>
      </c>
      <c r="BI18" t="s">
        <v>184</v>
      </c>
      <c r="BJ18" s="2">
        <v>0.08</v>
      </c>
      <c r="BK18">
        <v>8.8699999999999992</v>
      </c>
      <c r="BL18" t="s">
        <v>163</v>
      </c>
      <c r="BM18">
        <v>1.52</v>
      </c>
      <c r="BN18" t="s">
        <v>185</v>
      </c>
      <c r="BO18" t="s">
        <v>186</v>
      </c>
      <c r="BP18" s="158">
        <f t="shared" si="12"/>
        <v>18.544783333333339</v>
      </c>
      <c r="BQ18" t="s">
        <v>184</v>
      </c>
      <c r="BR18" s="154" t="s">
        <v>160</v>
      </c>
      <c r="BS18" s="154" t="s">
        <v>160</v>
      </c>
      <c r="BT18" t="s">
        <v>214</v>
      </c>
      <c r="BU18" t="s">
        <v>218</v>
      </c>
      <c r="BV18" t="s">
        <v>164</v>
      </c>
      <c r="BW18" t="s">
        <v>164</v>
      </c>
      <c r="BX18" s="138">
        <v>27.26052</v>
      </c>
      <c r="BY18" t="s">
        <v>184</v>
      </c>
      <c r="BZ18" s="159">
        <v>3</v>
      </c>
      <c r="CA18" s="159">
        <v>3</v>
      </c>
      <c r="CB18" s="138">
        <v>3.4779724263059086</v>
      </c>
      <c r="CC18" s="138">
        <v>3.4779724263059086</v>
      </c>
      <c r="CD18" t="s">
        <v>188</v>
      </c>
      <c r="CE18" s="147">
        <f t="shared" si="13"/>
        <v>9.3905255510259536E-2</v>
      </c>
      <c r="CF18" s="147">
        <f t="shared" si="14"/>
        <v>9.3905255510259536E-2</v>
      </c>
      <c r="CG18" s="153" t="s">
        <v>215</v>
      </c>
      <c r="CH18" s="148" t="s">
        <v>207</v>
      </c>
      <c r="CI18" s="138">
        <v>4.1817041179124992</v>
      </c>
      <c r="CJ18" s="138" t="s">
        <v>244</v>
      </c>
      <c r="CK18" t="s">
        <v>160</v>
      </c>
      <c r="CL18" t="s">
        <v>189</v>
      </c>
      <c r="CM18" t="s">
        <v>160</v>
      </c>
      <c r="CN18" t="s">
        <v>160</v>
      </c>
      <c r="CO18" t="s">
        <v>160</v>
      </c>
      <c r="CP18" t="s">
        <v>160</v>
      </c>
      <c r="CQ18" t="s">
        <v>160</v>
      </c>
      <c r="CR18" t="s">
        <v>160</v>
      </c>
      <c r="CS18" t="s">
        <v>160</v>
      </c>
      <c r="CT18" t="s">
        <v>160</v>
      </c>
      <c r="CU18" s="134">
        <v>35</v>
      </c>
      <c r="CV18" t="s">
        <v>159</v>
      </c>
      <c r="CW18">
        <v>3</v>
      </c>
      <c r="CX18" s="149" t="s">
        <v>187</v>
      </c>
      <c r="CY18" s="157" t="s">
        <v>160</v>
      </c>
      <c r="CZ18" s="157" t="s">
        <v>160</v>
      </c>
      <c r="DA18" s="157" t="s">
        <v>160</v>
      </c>
      <c r="DB18" s="157" t="s">
        <v>160</v>
      </c>
      <c r="DC18" s="157" t="s">
        <v>160</v>
      </c>
      <c r="DD18" s="157" t="s">
        <v>160</v>
      </c>
      <c r="DE18" s="157" t="s">
        <v>160</v>
      </c>
      <c r="DF18" s="157" t="s">
        <v>160</v>
      </c>
      <c r="DG18" s="157" t="s">
        <v>160</v>
      </c>
      <c r="DH18" s="157" t="s">
        <v>160</v>
      </c>
      <c r="DI18" s="157" t="s">
        <v>160</v>
      </c>
      <c r="DJ18" s="157" t="s">
        <v>160</v>
      </c>
      <c r="DK18" s="132">
        <v>432.56244218316402</v>
      </c>
      <c r="DL18" t="s">
        <v>165</v>
      </c>
      <c r="DM18" s="153">
        <v>37.1</v>
      </c>
      <c r="DN18" t="s">
        <v>166</v>
      </c>
      <c r="DO18" s="138">
        <v>39.244346610000001</v>
      </c>
      <c r="DP18" s="154" t="s">
        <v>163</v>
      </c>
      <c r="DQ18" s="146">
        <v>0.2</v>
      </c>
      <c r="DR18" t="s">
        <v>190</v>
      </c>
      <c r="DS18" t="s">
        <v>167</v>
      </c>
      <c r="DT18" t="s">
        <v>168</v>
      </c>
      <c r="DU18">
        <v>1.0271999999999999</v>
      </c>
      <c r="DV18" t="s">
        <v>191</v>
      </c>
      <c r="DW18">
        <v>5.9999999999999995E-4</v>
      </c>
      <c r="DX18" t="s">
        <v>198</v>
      </c>
      <c r="DY18" t="s">
        <v>160</v>
      </c>
      <c r="DZ18" t="s">
        <v>160</v>
      </c>
      <c r="EA18" t="s">
        <v>192</v>
      </c>
      <c r="EB18" t="s">
        <v>169</v>
      </c>
      <c r="EC18" t="s">
        <v>170</v>
      </c>
      <c r="ED18" t="s">
        <v>170</v>
      </c>
      <c r="EE18" s="157" t="s">
        <v>160</v>
      </c>
      <c r="EF18" t="s">
        <v>160</v>
      </c>
      <c r="EG18" t="s">
        <v>160</v>
      </c>
      <c r="EH18" t="s">
        <v>171</v>
      </c>
      <c r="EI18" t="s">
        <v>193</v>
      </c>
      <c r="EJ18" t="s">
        <v>194</v>
      </c>
      <c r="EK18" s="137">
        <v>2330</v>
      </c>
      <c r="EL18" t="s">
        <v>211</v>
      </c>
      <c r="EM18">
        <v>175</v>
      </c>
      <c r="EN18">
        <v>175</v>
      </c>
      <c r="EO18" t="s">
        <v>160</v>
      </c>
      <c r="EP18" t="s">
        <v>160</v>
      </c>
      <c r="EQ18" t="s">
        <v>160</v>
      </c>
      <c r="ER18" t="s">
        <v>160</v>
      </c>
      <c r="ES18" s="138">
        <v>8.0869876581568008</v>
      </c>
      <c r="ET18" s="133" t="s">
        <v>172</v>
      </c>
      <c r="EU18" s="138">
        <v>6.326031530158005E-2</v>
      </c>
      <c r="EV18" s="138">
        <v>6.4302664358001138E-2</v>
      </c>
      <c r="EW18" s="147">
        <v>356.451094913063</v>
      </c>
      <c r="EX18" s="154">
        <v>21</v>
      </c>
      <c r="EY18" s="154" t="s">
        <v>195</v>
      </c>
      <c r="EZ18" s="138">
        <v>335.451094913063</v>
      </c>
      <c r="FA18" s="138">
        <v>73.607254962213972</v>
      </c>
      <c r="FB18" s="138">
        <v>64.799168100468023</v>
      </c>
      <c r="FC18" s="156" t="s">
        <v>212</v>
      </c>
      <c r="FD18" s="156" t="s">
        <v>213</v>
      </c>
      <c r="FE18" t="s">
        <v>173</v>
      </c>
      <c r="FF18" t="s">
        <v>173</v>
      </c>
      <c r="FG18" t="s">
        <v>173</v>
      </c>
      <c r="FH18" t="s">
        <v>173</v>
      </c>
      <c r="FI18" t="s">
        <v>173</v>
      </c>
      <c r="FJ18" t="s">
        <v>173</v>
      </c>
      <c r="FK18" t="s">
        <v>173</v>
      </c>
      <c r="FL18" t="s">
        <v>173</v>
      </c>
      <c r="FM18" t="s">
        <v>173</v>
      </c>
      <c r="FN18" t="s">
        <v>173</v>
      </c>
      <c r="FO18" t="s">
        <v>173</v>
      </c>
      <c r="FP18" t="s">
        <v>173</v>
      </c>
    </row>
    <row r="19" spans="1:172" ht="18" x14ac:dyDescent="0.2">
      <c r="A19" s="126" t="s">
        <v>152</v>
      </c>
      <c r="B19" t="s">
        <v>174</v>
      </c>
      <c r="C19">
        <v>2015</v>
      </c>
      <c r="D19" t="s">
        <v>196</v>
      </c>
      <c r="E19" s="147">
        <f t="shared" si="8"/>
        <v>2561.8984380000002</v>
      </c>
      <c r="F19" s="135" t="s">
        <v>160</v>
      </c>
      <c r="G19" s="135" t="s">
        <v>160</v>
      </c>
      <c r="H19" s="147">
        <f t="shared" si="9"/>
        <v>299.50714700684898</v>
      </c>
      <c r="I19" s="147">
        <f t="shared" si="10"/>
        <v>66.832888296893032</v>
      </c>
      <c r="J19" s="147">
        <f t="shared" si="11"/>
        <v>58.810277296625969</v>
      </c>
      <c r="K19" t="s">
        <v>176</v>
      </c>
      <c r="L19" s="130" t="s">
        <v>206</v>
      </c>
      <c r="M19" s="136" t="s">
        <v>175</v>
      </c>
      <c r="N19" t="s">
        <v>196</v>
      </c>
      <c r="O19" t="s">
        <v>156</v>
      </c>
      <c r="P19" s="153" t="s">
        <v>157</v>
      </c>
      <c r="Q19" s="170">
        <v>9</v>
      </c>
      <c r="R19" s="157" t="s">
        <v>252</v>
      </c>
      <c r="S19" s="157">
        <v>23</v>
      </c>
      <c r="T19" s="157">
        <v>25</v>
      </c>
      <c r="U19" s="157" t="s">
        <v>160</v>
      </c>
      <c r="V19" s="157" t="s">
        <v>160</v>
      </c>
      <c r="W19" s="157" t="s">
        <v>160</v>
      </c>
      <c r="X19" t="s">
        <v>158</v>
      </c>
      <c r="Y19" s="131">
        <v>12.75</v>
      </c>
      <c r="Z19" s="131">
        <v>-78.73</v>
      </c>
      <c r="AA19" s="131">
        <v>12.75</v>
      </c>
      <c r="AB19" s="131">
        <v>-78.73</v>
      </c>
      <c r="AC19" s="131">
        <v>-2828</v>
      </c>
      <c r="AD19" s="131">
        <v>-2828</v>
      </c>
      <c r="AE19" s="153" t="s">
        <v>160</v>
      </c>
      <c r="AF19" s="153" t="s">
        <v>160</v>
      </c>
      <c r="AG19" s="138">
        <v>2561.8984380000002</v>
      </c>
      <c r="AH19" s="2" t="s">
        <v>159</v>
      </c>
      <c r="AI19" s="153" t="s">
        <v>160</v>
      </c>
      <c r="AJ19" s="153" t="s">
        <v>160</v>
      </c>
      <c r="AK19" s="154" t="s">
        <v>160</v>
      </c>
      <c r="AL19" s="154" t="s">
        <v>177</v>
      </c>
      <c r="AM19" s="157" t="s">
        <v>160</v>
      </c>
      <c r="AN19" t="s">
        <v>160</v>
      </c>
      <c r="AO19" t="s">
        <v>160</v>
      </c>
      <c r="AP19" t="s">
        <v>160</v>
      </c>
      <c r="AQ19" t="s">
        <v>160</v>
      </c>
      <c r="AR19" t="s">
        <v>160</v>
      </c>
      <c r="AS19" t="s">
        <v>160</v>
      </c>
      <c r="AT19" t="s">
        <v>160</v>
      </c>
      <c r="AU19" s="145" t="s">
        <v>178</v>
      </c>
      <c r="AV19" t="s">
        <v>161</v>
      </c>
      <c r="AW19" s="141" t="s">
        <v>179</v>
      </c>
      <c r="AX19" s="141" t="s">
        <v>180</v>
      </c>
      <c r="AY19" s="139" t="s">
        <v>181</v>
      </c>
      <c r="AZ19" s="139" t="s">
        <v>182</v>
      </c>
      <c r="BA19" t="s">
        <v>162</v>
      </c>
      <c r="BB19" s="153" t="s">
        <v>217</v>
      </c>
      <c r="BC19" s="153" t="s">
        <v>217</v>
      </c>
      <c r="BD19" s="153" t="s">
        <v>217</v>
      </c>
      <c r="BE19" s="138">
        <v>20.316089999999999</v>
      </c>
      <c r="BF19" t="s">
        <v>183</v>
      </c>
      <c r="BG19" s="138">
        <v>0.100098414</v>
      </c>
      <c r="BH19">
        <v>0.6</v>
      </c>
      <c r="BI19" t="s">
        <v>184</v>
      </c>
      <c r="BJ19" s="2">
        <v>0.08</v>
      </c>
      <c r="BK19">
        <v>8.8699999999999992</v>
      </c>
      <c r="BL19" t="s">
        <v>163</v>
      </c>
      <c r="BM19">
        <v>1.52</v>
      </c>
      <c r="BN19" t="s">
        <v>185</v>
      </c>
      <c r="BO19" t="s">
        <v>186</v>
      </c>
      <c r="BP19" s="158">
        <f t="shared" si="12"/>
        <v>19.076816666666666</v>
      </c>
      <c r="BQ19" t="s">
        <v>184</v>
      </c>
      <c r="BR19" s="154" t="s">
        <v>160</v>
      </c>
      <c r="BS19" s="154" t="s">
        <v>160</v>
      </c>
      <c r="BT19" t="s">
        <v>214</v>
      </c>
      <c r="BU19" t="s">
        <v>218</v>
      </c>
      <c r="BV19" t="s">
        <v>164</v>
      </c>
      <c r="BW19" t="s">
        <v>164</v>
      </c>
      <c r="BX19" s="138">
        <v>28.244980000000002</v>
      </c>
      <c r="BY19" t="s">
        <v>184</v>
      </c>
      <c r="BZ19" s="159">
        <v>3</v>
      </c>
      <c r="CA19" s="159">
        <v>3</v>
      </c>
      <c r="CB19" s="138">
        <v>3.7974470407174046</v>
      </c>
      <c r="CC19" s="138">
        <v>3.7974470407174046</v>
      </c>
      <c r="CD19" t="s">
        <v>188</v>
      </c>
      <c r="CE19" s="147">
        <f t="shared" si="13"/>
        <v>0.10253107009936992</v>
      </c>
      <c r="CF19" s="147">
        <f t="shared" si="14"/>
        <v>0.10253107009936992</v>
      </c>
      <c r="CG19" s="153" t="s">
        <v>215</v>
      </c>
      <c r="CH19" s="148" t="s">
        <v>207</v>
      </c>
      <c r="CI19" s="138">
        <v>4.1743479579555931</v>
      </c>
      <c r="CJ19" s="138" t="s">
        <v>244</v>
      </c>
      <c r="CK19" t="s">
        <v>160</v>
      </c>
      <c r="CL19" t="s">
        <v>189</v>
      </c>
      <c r="CM19" t="s">
        <v>160</v>
      </c>
      <c r="CN19" t="s">
        <v>160</v>
      </c>
      <c r="CO19" t="s">
        <v>160</v>
      </c>
      <c r="CP19" t="s">
        <v>160</v>
      </c>
      <c r="CQ19" t="s">
        <v>160</v>
      </c>
      <c r="CR19" t="s">
        <v>160</v>
      </c>
      <c r="CS19" t="s">
        <v>160</v>
      </c>
      <c r="CT19" t="s">
        <v>160</v>
      </c>
      <c r="CU19" s="134">
        <v>35</v>
      </c>
      <c r="CV19" t="s">
        <v>159</v>
      </c>
      <c r="CW19">
        <v>3</v>
      </c>
      <c r="CX19" s="149" t="s">
        <v>187</v>
      </c>
      <c r="CY19" s="157" t="s">
        <v>160</v>
      </c>
      <c r="CZ19" s="157" t="s">
        <v>160</v>
      </c>
      <c r="DA19" s="157" t="s">
        <v>160</v>
      </c>
      <c r="DB19" s="157" t="s">
        <v>160</v>
      </c>
      <c r="DC19" s="157" t="s">
        <v>160</v>
      </c>
      <c r="DD19" s="157" t="s">
        <v>160</v>
      </c>
      <c r="DE19" s="157" t="s">
        <v>160</v>
      </c>
      <c r="DF19" s="157" t="s">
        <v>160</v>
      </c>
      <c r="DG19" s="157" t="s">
        <v>160</v>
      </c>
      <c r="DH19" s="157" t="s">
        <v>160</v>
      </c>
      <c r="DI19" s="157" t="s">
        <v>160</v>
      </c>
      <c r="DJ19" s="157" t="s">
        <v>160</v>
      </c>
      <c r="DK19" s="132">
        <v>432.56244218316402</v>
      </c>
      <c r="DL19" t="s">
        <v>165</v>
      </c>
      <c r="DM19" s="153">
        <v>37.1</v>
      </c>
      <c r="DN19" t="s">
        <v>166</v>
      </c>
      <c r="DO19" s="138">
        <v>39.241236020000002</v>
      </c>
      <c r="DP19" s="154" t="s">
        <v>163</v>
      </c>
      <c r="DQ19" s="146">
        <v>0.2</v>
      </c>
      <c r="DR19" t="s">
        <v>190</v>
      </c>
      <c r="DS19" t="s">
        <v>167</v>
      </c>
      <c r="DT19" t="s">
        <v>168</v>
      </c>
      <c r="DU19">
        <v>1.0271999999999999</v>
      </c>
      <c r="DV19" t="s">
        <v>191</v>
      </c>
      <c r="DW19">
        <v>5.9999999999999995E-4</v>
      </c>
      <c r="DX19" t="s">
        <v>198</v>
      </c>
      <c r="DY19" t="s">
        <v>160</v>
      </c>
      <c r="DZ19" t="s">
        <v>160</v>
      </c>
      <c r="EA19" t="s">
        <v>192</v>
      </c>
      <c r="EB19" t="s">
        <v>169</v>
      </c>
      <c r="EC19" t="s">
        <v>170</v>
      </c>
      <c r="ED19" t="s">
        <v>170</v>
      </c>
      <c r="EE19" s="157" t="s">
        <v>160</v>
      </c>
      <c r="EF19" t="s">
        <v>160</v>
      </c>
      <c r="EG19" t="s">
        <v>160</v>
      </c>
      <c r="EH19" t="s">
        <v>171</v>
      </c>
      <c r="EI19" t="s">
        <v>193</v>
      </c>
      <c r="EJ19" t="s">
        <v>194</v>
      </c>
      <c r="EK19" s="137">
        <v>2330</v>
      </c>
      <c r="EL19" t="s">
        <v>211</v>
      </c>
      <c r="EM19">
        <v>175</v>
      </c>
      <c r="EN19">
        <v>175</v>
      </c>
      <c r="EO19" t="s">
        <v>160</v>
      </c>
      <c r="EP19" t="s">
        <v>160</v>
      </c>
      <c r="EQ19" t="s">
        <v>160</v>
      </c>
      <c r="ER19" t="s">
        <v>160</v>
      </c>
      <c r="ES19" s="138">
        <v>8.1218845588287198</v>
      </c>
      <c r="ET19" s="133" t="s">
        <v>172</v>
      </c>
      <c r="EU19" s="138">
        <v>6.3158752236809335E-2</v>
      </c>
      <c r="EV19" s="138">
        <v>6.2221346372449915E-2</v>
      </c>
      <c r="EW19" s="147">
        <v>320.50714700684898</v>
      </c>
      <c r="EX19" s="154">
        <v>21</v>
      </c>
      <c r="EY19" s="154" t="s">
        <v>195</v>
      </c>
      <c r="EZ19" s="138">
        <v>299.50714700684898</v>
      </c>
      <c r="FA19" s="138">
        <v>66.832888296893032</v>
      </c>
      <c r="FB19" s="138">
        <v>58.810277296625969</v>
      </c>
      <c r="FC19" s="156" t="s">
        <v>212</v>
      </c>
      <c r="FD19" s="156" t="s">
        <v>213</v>
      </c>
      <c r="FE19" t="s">
        <v>173</v>
      </c>
      <c r="FF19" t="s">
        <v>173</v>
      </c>
      <c r="FG19" t="s">
        <v>173</v>
      </c>
      <c r="FH19" t="s">
        <v>173</v>
      </c>
      <c r="FI19" t="s">
        <v>173</v>
      </c>
      <c r="FJ19" t="s">
        <v>173</v>
      </c>
      <c r="FK19" t="s">
        <v>173</v>
      </c>
      <c r="FL19" t="s">
        <v>173</v>
      </c>
      <c r="FM19" t="s">
        <v>173</v>
      </c>
      <c r="FN19" t="s">
        <v>173</v>
      </c>
      <c r="FO19" t="s">
        <v>173</v>
      </c>
      <c r="FP19" t="s">
        <v>173</v>
      </c>
    </row>
    <row r="20" spans="1:172" ht="18" x14ac:dyDescent="0.2">
      <c r="A20" s="126" t="s">
        <v>152</v>
      </c>
      <c r="B20" t="s">
        <v>174</v>
      </c>
      <c r="C20">
        <v>2015</v>
      </c>
      <c r="D20" t="s">
        <v>196</v>
      </c>
      <c r="E20" s="147">
        <f t="shared" si="8"/>
        <v>2579.4250489999999</v>
      </c>
      <c r="F20" s="135" t="s">
        <v>160</v>
      </c>
      <c r="G20" s="135" t="s">
        <v>160</v>
      </c>
      <c r="H20" s="147">
        <f t="shared" si="9"/>
        <v>329.81149666152999</v>
      </c>
      <c r="I20" s="147">
        <f t="shared" si="10"/>
        <v>73.350513213861007</v>
      </c>
      <c r="J20" s="147">
        <f t="shared" si="11"/>
        <v>64.402467963913978</v>
      </c>
      <c r="K20" t="s">
        <v>176</v>
      </c>
      <c r="L20" s="130" t="s">
        <v>206</v>
      </c>
      <c r="M20" s="136" t="s">
        <v>175</v>
      </c>
      <c r="N20" t="s">
        <v>196</v>
      </c>
      <c r="O20" t="s">
        <v>156</v>
      </c>
      <c r="P20" s="153" t="s">
        <v>157</v>
      </c>
      <c r="Q20" s="157">
        <v>10</v>
      </c>
      <c r="R20" s="157">
        <v>1</v>
      </c>
      <c r="S20" s="157">
        <v>52</v>
      </c>
      <c r="T20" s="157">
        <v>54</v>
      </c>
      <c r="U20" s="157" t="s">
        <v>160</v>
      </c>
      <c r="V20" s="157" t="s">
        <v>160</v>
      </c>
      <c r="W20" s="157" t="s">
        <v>160</v>
      </c>
      <c r="X20" t="s">
        <v>158</v>
      </c>
      <c r="Y20" s="131">
        <v>12.75</v>
      </c>
      <c r="Z20" s="131">
        <v>-78.73</v>
      </c>
      <c r="AA20" s="131">
        <v>12.75</v>
      </c>
      <c r="AB20" s="131">
        <v>-78.73</v>
      </c>
      <c r="AC20" s="131">
        <v>-2828</v>
      </c>
      <c r="AD20" s="131">
        <v>-2828</v>
      </c>
      <c r="AE20" s="153" t="s">
        <v>160</v>
      </c>
      <c r="AF20" s="153" t="s">
        <v>160</v>
      </c>
      <c r="AG20" s="138">
        <v>2579.4250489999999</v>
      </c>
      <c r="AH20" s="2" t="s">
        <v>159</v>
      </c>
      <c r="AI20" s="153" t="s">
        <v>160</v>
      </c>
      <c r="AJ20" s="153" t="s">
        <v>160</v>
      </c>
      <c r="AK20" s="154" t="s">
        <v>160</v>
      </c>
      <c r="AL20" s="154" t="s">
        <v>177</v>
      </c>
      <c r="AM20" s="157" t="s">
        <v>160</v>
      </c>
      <c r="AN20" t="s">
        <v>160</v>
      </c>
      <c r="AO20" t="s">
        <v>160</v>
      </c>
      <c r="AP20" t="s">
        <v>160</v>
      </c>
      <c r="AQ20" t="s">
        <v>160</v>
      </c>
      <c r="AR20" t="s">
        <v>160</v>
      </c>
      <c r="AS20" t="s">
        <v>160</v>
      </c>
      <c r="AT20" t="s">
        <v>160</v>
      </c>
      <c r="AU20" s="145" t="s">
        <v>178</v>
      </c>
      <c r="AV20" t="s">
        <v>161</v>
      </c>
      <c r="AW20" s="141" t="s">
        <v>179</v>
      </c>
      <c r="AX20" s="139" t="s">
        <v>180</v>
      </c>
      <c r="AY20" s="139" t="s">
        <v>181</v>
      </c>
      <c r="AZ20" s="139" t="s">
        <v>182</v>
      </c>
      <c r="BA20" s="140" t="s">
        <v>162</v>
      </c>
      <c r="BB20" s="153" t="s">
        <v>217</v>
      </c>
      <c r="BC20" s="153" t="s">
        <v>217</v>
      </c>
      <c r="BD20" s="153" t="s">
        <v>217</v>
      </c>
      <c r="BE20" s="138">
        <v>20.03998</v>
      </c>
      <c r="BF20" t="s">
        <v>183</v>
      </c>
      <c r="BG20" s="138">
        <v>9.5873624000000005E-2</v>
      </c>
      <c r="BH20">
        <v>0.6</v>
      </c>
      <c r="BI20" t="s">
        <v>184</v>
      </c>
      <c r="BJ20" s="2">
        <v>0.08</v>
      </c>
      <c r="BK20">
        <v>8.8699999999999992</v>
      </c>
      <c r="BL20" t="s">
        <v>163</v>
      </c>
      <c r="BM20">
        <v>1.52</v>
      </c>
      <c r="BN20" t="s">
        <v>185</v>
      </c>
      <c r="BO20" t="s">
        <v>186</v>
      </c>
      <c r="BP20" s="158">
        <f t="shared" si="12"/>
        <v>18.616633333333336</v>
      </c>
      <c r="BQ20" t="s">
        <v>184</v>
      </c>
      <c r="BR20" s="154" t="s">
        <v>160</v>
      </c>
      <c r="BS20" s="154" t="s">
        <v>160</v>
      </c>
      <c r="BT20" t="s">
        <v>214</v>
      </c>
      <c r="BU20" t="s">
        <v>218</v>
      </c>
      <c r="BV20" t="s">
        <v>164</v>
      </c>
      <c r="BW20" t="s">
        <v>164</v>
      </c>
      <c r="BX20" s="138">
        <v>27.41564</v>
      </c>
      <c r="BY20" t="s">
        <v>184</v>
      </c>
      <c r="BZ20" s="159">
        <v>3</v>
      </c>
      <c r="CA20" s="159">
        <v>3</v>
      </c>
      <c r="CB20" s="138">
        <v>3.5218685824195624</v>
      </c>
      <c r="CC20" s="138">
        <v>3.5218685824195624</v>
      </c>
      <c r="CD20" t="s">
        <v>188</v>
      </c>
      <c r="CE20" s="147">
        <f t="shared" si="13"/>
        <v>9.5090451725328179E-2</v>
      </c>
      <c r="CF20" s="147">
        <f t="shared" si="14"/>
        <v>9.5090451725328179E-2</v>
      </c>
      <c r="CG20" s="153" t="s">
        <v>215</v>
      </c>
      <c r="CH20" s="148" t="s">
        <v>207</v>
      </c>
      <c r="CI20" s="138">
        <v>4.1672605067023945</v>
      </c>
      <c r="CJ20" s="138" t="s">
        <v>244</v>
      </c>
      <c r="CK20" t="s">
        <v>160</v>
      </c>
      <c r="CL20" t="s">
        <v>189</v>
      </c>
      <c r="CM20" t="s">
        <v>160</v>
      </c>
      <c r="CN20" t="s">
        <v>160</v>
      </c>
      <c r="CO20" t="s">
        <v>160</v>
      </c>
      <c r="CP20" t="s">
        <v>160</v>
      </c>
      <c r="CQ20" t="s">
        <v>160</v>
      </c>
      <c r="CR20" t="s">
        <v>160</v>
      </c>
      <c r="CS20" t="s">
        <v>160</v>
      </c>
      <c r="CT20" t="s">
        <v>160</v>
      </c>
      <c r="CU20" s="134">
        <v>35</v>
      </c>
      <c r="CV20" t="s">
        <v>159</v>
      </c>
      <c r="CW20">
        <v>3</v>
      </c>
      <c r="CX20" s="149" t="s">
        <v>187</v>
      </c>
      <c r="CY20" s="157" t="s">
        <v>160</v>
      </c>
      <c r="CZ20" s="157" t="s">
        <v>160</v>
      </c>
      <c r="DA20" s="157" t="s">
        <v>160</v>
      </c>
      <c r="DB20" s="157" t="s">
        <v>160</v>
      </c>
      <c r="DC20" s="157" t="s">
        <v>160</v>
      </c>
      <c r="DD20" s="157" t="s">
        <v>160</v>
      </c>
      <c r="DE20" s="157" t="s">
        <v>160</v>
      </c>
      <c r="DF20" s="157" t="s">
        <v>160</v>
      </c>
      <c r="DG20" s="157" t="s">
        <v>160</v>
      </c>
      <c r="DH20" s="157" t="s">
        <v>160</v>
      </c>
      <c r="DI20" s="157" t="s">
        <v>160</v>
      </c>
      <c r="DJ20" s="157" t="s">
        <v>160</v>
      </c>
      <c r="DK20" s="132">
        <v>432.56244218316402</v>
      </c>
      <c r="DL20" t="s">
        <v>165</v>
      </c>
      <c r="DM20" s="153">
        <v>37.1</v>
      </c>
      <c r="DN20" t="s">
        <v>166</v>
      </c>
      <c r="DO20" s="138">
        <v>39.2383661</v>
      </c>
      <c r="DP20" s="154" t="s">
        <v>163</v>
      </c>
      <c r="DQ20" s="146">
        <v>0.2</v>
      </c>
      <c r="DR20" t="s">
        <v>190</v>
      </c>
      <c r="DS20" t="s">
        <v>167</v>
      </c>
      <c r="DT20" t="s">
        <v>168</v>
      </c>
      <c r="DU20">
        <v>1.0271999999999999</v>
      </c>
      <c r="DV20" t="s">
        <v>191</v>
      </c>
      <c r="DW20">
        <v>5.9999999999999995E-4</v>
      </c>
      <c r="DX20" t="s">
        <v>198</v>
      </c>
      <c r="DY20" t="s">
        <v>160</v>
      </c>
      <c r="DZ20" t="s">
        <v>160</v>
      </c>
      <c r="EA20" t="s">
        <v>192</v>
      </c>
      <c r="EB20" t="s">
        <v>169</v>
      </c>
      <c r="EC20" t="s">
        <v>170</v>
      </c>
      <c r="ED20" t="s">
        <v>170</v>
      </c>
      <c r="EE20" s="157" t="s">
        <v>160</v>
      </c>
      <c r="EF20" t="s">
        <v>160</v>
      </c>
      <c r="EG20" t="s">
        <v>160</v>
      </c>
      <c r="EH20" t="s">
        <v>171</v>
      </c>
      <c r="EI20" t="s">
        <v>193</v>
      </c>
      <c r="EJ20" t="s">
        <v>194</v>
      </c>
      <c r="EK20" s="137">
        <v>2330</v>
      </c>
      <c r="EL20" t="s">
        <v>211</v>
      </c>
      <c r="EM20">
        <v>175</v>
      </c>
      <c r="EN20">
        <v>175</v>
      </c>
      <c r="EO20" t="s">
        <v>160</v>
      </c>
      <c r="EP20" t="s">
        <v>160</v>
      </c>
      <c r="EQ20" t="s">
        <v>160</v>
      </c>
      <c r="ER20" t="s">
        <v>160</v>
      </c>
      <c r="ES20" s="138">
        <v>8.0921821422273794</v>
      </c>
      <c r="ET20" s="133" t="s">
        <v>172</v>
      </c>
      <c r="EU20" s="138">
        <v>6.5054535849681017E-2</v>
      </c>
      <c r="EV20" s="138">
        <v>6.5570487206629835E-2</v>
      </c>
      <c r="EW20" s="147">
        <v>350.81149666152999</v>
      </c>
      <c r="EX20" s="154">
        <v>21</v>
      </c>
      <c r="EY20" s="154" t="s">
        <v>195</v>
      </c>
      <c r="EZ20" s="138">
        <v>329.81149666152999</v>
      </c>
      <c r="FA20" s="138">
        <v>73.350513213861007</v>
      </c>
      <c r="FB20" s="138">
        <v>64.402467963913978</v>
      </c>
      <c r="FC20" s="156" t="s">
        <v>212</v>
      </c>
      <c r="FD20" s="156" t="s">
        <v>213</v>
      </c>
      <c r="FE20" t="s">
        <v>173</v>
      </c>
      <c r="FF20" t="s">
        <v>173</v>
      </c>
      <c r="FG20" t="s">
        <v>173</v>
      </c>
      <c r="FH20" t="s">
        <v>173</v>
      </c>
      <c r="FI20" t="s">
        <v>173</v>
      </c>
      <c r="FJ20" t="s">
        <v>173</v>
      </c>
      <c r="FK20" t="s">
        <v>173</v>
      </c>
      <c r="FL20" t="s">
        <v>173</v>
      </c>
      <c r="FM20" t="s">
        <v>173</v>
      </c>
      <c r="FN20" t="s">
        <v>173</v>
      </c>
      <c r="FO20" t="s">
        <v>173</v>
      </c>
      <c r="FP20" t="s">
        <v>173</v>
      </c>
    </row>
    <row r="21" spans="1:172" ht="18" x14ac:dyDescent="0.2">
      <c r="A21" s="126" t="s">
        <v>152</v>
      </c>
      <c r="B21" t="s">
        <v>174</v>
      </c>
      <c r="C21">
        <v>2015</v>
      </c>
      <c r="D21" t="s">
        <v>196</v>
      </c>
      <c r="E21" s="147">
        <f t="shared" si="8"/>
        <v>2594.8364259999998</v>
      </c>
      <c r="F21" s="135" t="s">
        <v>160</v>
      </c>
      <c r="G21" s="135" t="s">
        <v>160</v>
      </c>
      <c r="H21" s="147">
        <f t="shared" si="9"/>
        <v>361.667928065289</v>
      </c>
      <c r="I21" s="147">
        <f t="shared" si="10"/>
        <v>81.90687218871102</v>
      </c>
      <c r="J21" s="147">
        <f t="shared" si="11"/>
        <v>70.448689297077976</v>
      </c>
      <c r="K21" t="s">
        <v>176</v>
      </c>
      <c r="L21" s="130" t="s">
        <v>206</v>
      </c>
      <c r="M21" s="136" t="s">
        <v>175</v>
      </c>
      <c r="N21" t="s">
        <v>196</v>
      </c>
      <c r="O21" t="s">
        <v>156</v>
      </c>
      <c r="P21" s="153" t="s">
        <v>157</v>
      </c>
      <c r="Q21" s="157">
        <v>10</v>
      </c>
      <c r="R21" s="157">
        <v>1</v>
      </c>
      <c r="S21" s="157">
        <v>107</v>
      </c>
      <c r="T21" s="157">
        <v>109</v>
      </c>
      <c r="U21" s="157" t="s">
        <v>160</v>
      </c>
      <c r="V21" s="157" t="s">
        <v>160</v>
      </c>
      <c r="W21" s="157" t="s">
        <v>160</v>
      </c>
      <c r="X21" t="s">
        <v>158</v>
      </c>
      <c r="Y21" s="131">
        <v>12.75</v>
      </c>
      <c r="Z21" s="131">
        <v>-78.73</v>
      </c>
      <c r="AA21" s="131">
        <v>12.75</v>
      </c>
      <c r="AB21" s="131">
        <v>-78.73</v>
      </c>
      <c r="AC21" s="131">
        <v>-2828</v>
      </c>
      <c r="AD21" s="131">
        <v>-2828</v>
      </c>
      <c r="AE21" s="153" t="s">
        <v>160</v>
      </c>
      <c r="AF21" s="153" t="s">
        <v>160</v>
      </c>
      <c r="AG21" s="138">
        <v>2594.8364259999998</v>
      </c>
      <c r="AH21" s="2" t="s">
        <v>159</v>
      </c>
      <c r="AI21" s="153" t="s">
        <v>160</v>
      </c>
      <c r="AJ21" s="153" t="s">
        <v>160</v>
      </c>
      <c r="AK21" s="154" t="s">
        <v>160</v>
      </c>
      <c r="AL21" s="154" t="s">
        <v>177</v>
      </c>
      <c r="AM21" s="157" t="s">
        <v>160</v>
      </c>
      <c r="AN21" t="s">
        <v>160</v>
      </c>
      <c r="AO21" t="s">
        <v>160</v>
      </c>
      <c r="AP21" t="s">
        <v>160</v>
      </c>
      <c r="AQ21" t="s">
        <v>160</v>
      </c>
      <c r="AR21" t="s">
        <v>160</v>
      </c>
      <c r="AS21" t="s">
        <v>160</v>
      </c>
      <c r="AT21" t="s">
        <v>160</v>
      </c>
      <c r="AU21" s="145" t="s">
        <v>178</v>
      </c>
      <c r="AV21" t="s">
        <v>161</v>
      </c>
      <c r="AW21" s="141" t="s">
        <v>179</v>
      </c>
      <c r="AX21" s="141" t="s">
        <v>180</v>
      </c>
      <c r="AY21" s="139" t="s">
        <v>181</v>
      </c>
      <c r="AZ21" s="139" t="s">
        <v>182</v>
      </c>
      <c r="BA21" t="s">
        <v>162</v>
      </c>
      <c r="BB21" s="153" t="s">
        <v>217</v>
      </c>
      <c r="BC21" s="153" t="s">
        <v>217</v>
      </c>
      <c r="BD21" s="153" t="s">
        <v>217</v>
      </c>
      <c r="BE21" s="138">
        <v>19.93046</v>
      </c>
      <c r="BF21" t="s">
        <v>183</v>
      </c>
      <c r="BG21" s="138">
        <v>0.13456475300000001</v>
      </c>
      <c r="BH21">
        <v>0.6</v>
      </c>
      <c r="BI21" t="s">
        <v>184</v>
      </c>
      <c r="BJ21" s="2">
        <v>0.08</v>
      </c>
      <c r="BK21">
        <v>8.8699999999999992</v>
      </c>
      <c r="BL21" t="s">
        <v>163</v>
      </c>
      <c r="BM21">
        <v>1.52</v>
      </c>
      <c r="BN21" t="s">
        <v>185</v>
      </c>
      <c r="BO21" t="s">
        <v>186</v>
      </c>
      <c r="BP21" s="158">
        <f t="shared" si="12"/>
        <v>18.434100000000001</v>
      </c>
      <c r="BQ21" t="s">
        <v>184</v>
      </c>
      <c r="BR21" s="154" t="s">
        <v>160</v>
      </c>
      <c r="BS21" s="154" t="s">
        <v>160</v>
      </c>
      <c r="BT21" t="s">
        <v>214</v>
      </c>
      <c r="BU21" t="s">
        <v>218</v>
      </c>
      <c r="BV21" t="s">
        <v>164</v>
      </c>
      <c r="BW21" t="s">
        <v>164</v>
      </c>
      <c r="BX21" s="138">
        <v>28.763670000000001</v>
      </c>
      <c r="BY21" t="s">
        <v>184</v>
      </c>
      <c r="BZ21" s="159">
        <v>3</v>
      </c>
      <c r="CA21" s="159">
        <v>3</v>
      </c>
      <c r="CB21" s="138">
        <v>3.9737274169382664</v>
      </c>
      <c r="CC21" s="138">
        <v>3.9737274169382664</v>
      </c>
      <c r="CD21" t="s">
        <v>188</v>
      </c>
      <c r="CE21" s="147">
        <f t="shared" si="13"/>
        <v>0.10729064025733319</v>
      </c>
      <c r="CF21" s="147">
        <f t="shared" si="14"/>
        <v>0.10729064025733319</v>
      </c>
      <c r="CG21" s="153" t="s">
        <v>215</v>
      </c>
      <c r="CH21" s="148" t="s">
        <v>207</v>
      </c>
      <c r="CI21" s="138">
        <v>4.1610666103842835</v>
      </c>
      <c r="CJ21" s="138" t="s">
        <v>244</v>
      </c>
      <c r="CK21" t="s">
        <v>160</v>
      </c>
      <c r="CL21" t="s">
        <v>189</v>
      </c>
      <c r="CM21" t="s">
        <v>160</v>
      </c>
      <c r="CN21" t="s">
        <v>160</v>
      </c>
      <c r="CO21" t="s">
        <v>160</v>
      </c>
      <c r="CP21" t="s">
        <v>160</v>
      </c>
      <c r="CQ21" t="s">
        <v>160</v>
      </c>
      <c r="CR21" t="s">
        <v>160</v>
      </c>
      <c r="CS21" t="s">
        <v>160</v>
      </c>
      <c r="CT21" t="s">
        <v>160</v>
      </c>
      <c r="CU21" s="134">
        <v>35</v>
      </c>
      <c r="CV21" t="s">
        <v>159</v>
      </c>
      <c r="CW21">
        <v>3</v>
      </c>
      <c r="CX21" s="149" t="s">
        <v>187</v>
      </c>
      <c r="CY21" s="157" t="s">
        <v>160</v>
      </c>
      <c r="CZ21" s="157" t="s">
        <v>160</v>
      </c>
      <c r="DA21" s="157" t="s">
        <v>160</v>
      </c>
      <c r="DB21" s="157" t="s">
        <v>160</v>
      </c>
      <c r="DC21" s="157" t="s">
        <v>160</v>
      </c>
      <c r="DD21" s="157" t="s">
        <v>160</v>
      </c>
      <c r="DE21" s="157" t="s">
        <v>160</v>
      </c>
      <c r="DF21" s="157" t="s">
        <v>160</v>
      </c>
      <c r="DG21" s="157" t="s">
        <v>160</v>
      </c>
      <c r="DH21" s="157" t="s">
        <v>160</v>
      </c>
      <c r="DI21" s="157" t="s">
        <v>160</v>
      </c>
      <c r="DJ21" s="157" t="s">
        <v>160</v>
      </c>
      <c r="DK21" s="132">
        <v>432.56244218316402</v>
      </c>
      <c r="DL21" t="s">
        <v>165</v>
      </c>
      <c r="DM21" s="153">
        <v>37.1</v>
      </c>
      <c r="DN21" t="s">
        <v>166</v>
      </c>
      <c r="DO21" s="138">
        <v>39.236233650000003</v>
      </c>
      <c r="DP21" s="154" t="s">
        <v>163</v>
      </c>
      <c r="DQ21" s="146">
        <v>0.2</v>
      </c>
      <c r="DR21" t="s">
        <v>190</v>
      </c>
      <c r="DS21" t="s">
        <v>167</v>
      </c>
      <c r="DT21" t="s">
        <v>168</v>
      </c>
      <c r="DU21">
        <v>1.0271999999999999</v>
      </c>
      <c r="DV21" t="s">
        <v>191</v>
      </c>
      <c r="DW21">
        <v>5.9999999999999995E-4</v>
      </c>
      <c r="DX21" t="s">
        <v>198</v>
      </c>
      <c r="DY21" t="s">
        <v>160</v>
      </c>
      <c r="DZ21" t="s">
        <v>160</v>
      </c>
      <c r="EA21" t="s">
        <v>192</v>
      </c>
      <c r="EB21" t="s">
        <v>169</v>
      </c>
      <c r="EC21" t="s">
        <v>170</v>
      </c>
      <c r="ED21" t="s">
        <v>170</v>
      </c>
      <c r="EE21" s="157" t="s">
        <v>160</v>
      </c>
      <c r="EF21" t="s">
        <v>160</v>
      </c>
      <c r="EG21" t="s">
        <v>160</v>
      </c>
      <c r="EH21" t="s">
        <v>171</v>
      </c>
      <c r="EI21" t="s">
        <v>193</v>
      </c>
      <c r="EJ21" t="s">
        <v>194</v>
      </c>
      <c r="EK21" s="137">
        <v>2330</v>
      </c>
      <c r="EL21" t="s">
        <v>211</v>
      </c>
      <c r="EM21">
        <v>175</v>
      </c>
      <c r="EN21">
        <v>175</v>
      </c>
      <c r="EO21" t="s">
        <v>160</v>
      </c>
      <c r="EP21" t="s">
        <v>160</v>
      </c>
      <c r="EQ21" t="s">
        <v>160</v>
      </c>
      <c r="ER21" t="s">
        <v>160</v>
      </c>
      <c r="ES21" s="138">
        <v>8.0606521727980809</v>
      </c>
      <c r="ET21" s="133" t="s">
        <v>172</v>
      </c>
      <c r="EU21" s="138">
        <v>6.4483950679269597E-2</v>
      </c>
      <c r="EV21" s="138">
        <v>6.6470079733560894E-2</v>
      </c>
      <c r="EW21" s="147">
        <v>382.667928065289</v>
      </c>
      <c r="EX21" s="154">
        <v>21</v>
      </c>
      <c r="EY21" s="154" t="s">
        <v>195</v>
      </c>
      <c r="EZ21" s="138">
        <v>361.667928065289</v>
      </c>
      <c r="FA21" s="138">
        <v>81.90687218871102</v>
      </c>
      <c r="FB21" s="138">
        <v>70.448689297077976</v>
      </c>
      <c r="FC21" s="156" t="s">
        <v>212</v>
      </c>
      <c r="FD21" s="156" t="s">
        <v>213</v>
      </c>
      <c r="FE21" t="s">
        <v>173</v>
      </c>
      <c r="FF21" t="s">
        <v>173</v>
      </c>
      <c r="FG21" t="s">
        <v>173</v>
      </c>
      <c r="FH21" t="s">
        <v>173</v>
      </c>
      <c r="FI21" t="s">
        <v>173</v>
      </c>
      <c r="FJ21" t="s">
        <v>173</v>
      </c>
      <c r="FK21" t="s">
        <v>173</v>
      </c>
      <c r="FL21" t="s">
        <v>173</v>
      </c>
      <c r="FM21" t="s">
        <v>173</v>
      </c>
      <c r="FN21" t="s">
        <v>173</v>
      </c>
      <c r="FO21" t="s">
        <v>173</v>
      </c>
      <c r="FP21" t="s">
        <v>173</v>
      </c>
    </row>
    <row r="22" spans="1:172" ht="18" x14ac:dyDescent="0.2">
      <c r="A22" s="126" t="s">
        <v>152</v>
      </c>
      <c r="B22" t="s">
        <v>174</v>
      </c>
      <c r="C22">
        <v>2015</v>
      </c>
      <c r="D22" t="s">
        <v>196</v>
      </c>
      <c r="E22" s="147">
        <f t="shared" si="8"/>
        <v>2615.069336</v>
      </c>
      <c r="F22" s="135" t="s">
        <v>160</v>
      </c>
      <c r="G22" s="135" t="s">
        <v>160</v>
      </c>
      <c r="H22" s="147">
        <f t="shared" si="9"/>
        <v>278.521083298034</v>
      </c>
      <c r="I22" s="147">
        <f t="shared" si="10"/>
        <v>62.352023097971028</v>
      </c>
      <c r="J22" s="147">
        <f t="shared" si="11"/>
        <v>54.565996065012996</v>
      </c>
      <c r="K22" t="s">
        <v>176</v>
      </c>
      <c r="L22" s="130" t="s">
        <v>206</v>
      </c>
      <c r="M22" s="136" t="s">
        <v>175</v>
      </c>
      <c r="N22" t="s">
        <v>196</v>
      </c>
      <c r="O22" t="s">
        <v>156</v>
      </c>
      <c r="P22" s="153" t="s">
        <v>157</v>
      </c>
      <c r="Q22" s="157">
        <v>10</v>
      </c>
      <c r="R22" s="157">
        <v>2</v>
      </c>
      <c r="S22" s="157">
        <v>21</v>
      </c>
      <c r="T22" s="157">
        <v>23</v>
      </c>
      <c r="U22" s="157" t="s">
        <v>160</v>
      </c>
      <c r="V22" s="157" t="s">
        <v>160</v>
      </c>
      <c r="W22" s="157" t="s">
        <v>160</v>
      </c>
      <c r="X22" t="s">
        <v>158</v>
      </c>
      <c r="Y22" s="131">
        <v>12.75</v>
      </c>
      <c r="Z22" s="131">
        <v>-78.73</v>
      </c>
      <c r="AA22" s="131">
        <v>12.75</v>
      </c>
      <c r="AB22" s="131">
        <v>-78.73</v>
      </c>
      <c r="AC22" s="131">
        <v>-2828</v>
      </c>
      <c r="AD22" s="131">
        <v>-2828</v>
      </c>
      <c r="AE22" s="153" t="s">
        <v>160</v>
      </c>
      <c r="AF22" s="153" t="s">
        <v>160</v>
      </c>
      <c r="AG22" s="138">
        <v>2615.069336</v>
      </c>
      <c r="AH22" s="2" t="s">
        <v>159</v>
      </c>
      <c r="AI22" s="153" t="s">
        <v>160</v>
      </c>
      <c r="AJ22" s="153" t="s">
        <v>160</v>
      </c>
      <c r="AK22" s="154" t="s">
        <v>160</v>
      </c>
      <c r="AL22" s="154" t="s">
        <v>177</v>
      </c>
      <c r="AM22" s="157" t="s">
        <v>160</v>
      </c>
      <c r="AN22" t="s">
        <v>160</v>
      </c>
      <c r="AO22" t="s">
        <v>160</v>
      </c>
      <c r="AP22" t="s">
        <v>160</v>
      </c>
      <c r="AQ22" t="s">
        <v>160</v>
      </c>
      <c r="AR22" t="s">
        <v>160</v>
      </c>
      <c r="AS22" t="s">
        <v>160</v>
      </c>
      <c r="AT22" t="s">
        <v>160</v>
      </c>
      <c r="AU22" s="145" t="s">
        <v>178</v>
      </c>
      <c r="AV22" t="s">
        <v>161</v>
      </c>
      <c r="AW22" s="141" t="s">
        <v>179</v>
      </c>
      <c r="AX22" s="139" t="s">
        <v>180</v>
      </c>
      <c r="AY22" s="139" t="s">
        <v>181</v>
      </c>
      <c r="AZ22" s="139" t="s">
        <v>182</v>
      </c>
      <c r="BA22" s="140" t="s">
        <v>162</v>
      </c>
      <c r="BB22" s="153" t="s">
        <v>217</v>
      </c>
      <c r="BC22" s="153" t="s">
        <v>217</v>
      </c>
      <c r="BD22" s="153" t="s">
        <v>217</v>
      </c>
      <c r="BE22" s="138">
        <v>20.4209</v>
      </c>
      <c r="BF22" t="s">
        <v>183</v>
      </c>
      <c r="BG22" s="138">
        <v>9.1060144999999995E-2</v>
      </c>
      <c r="BH22">
        <v>0.6</v>
      </c>
      <c r="BI22" t="s">
        <v>184</v>
      </c>
      <c r="BJ22" s="2">
        <v>0.08</v>
      </c>
      <c r="BK22">
        <v>8.8699999999999992</v>
      </c>
      <c r="BL22" t="s">
        <v>163</v>
      </c>
      <c r="BM22">
        <v>1.52</v>
      </c>
      <c r="BN22" t="s">
        <v>185</v>
      </c>
      <c r="BO22" t="s">
        <v>186</v>
      </c>
      <c r="BP22" s="158">
        <f t="shared" si="12"/>
        <v>19.2515</v>
      </c>
      <c r="BQ22" t="s">
        <v>184</v>
      </c>
      <c r="BR22" s="154" t="s">
        <v>160</v>
      </c>
      <c r="BS22" s="154" t="s">
        <v>160</v>
      </c>
      <c r="BT22" t="s">
        <v>214</v>
      </c>
      <c r="BU22" t="s">
        <v>218</v>
      </c>
      <c r="BV22" t="s">
        <v>164</v>
      </c>
      <c r="BW22" t="s">
        <v>164</v>
      </c>
      <c r="BX22" s="138">
        <v>27.460439999999998</v>
      </c>
      <c r="BY22" t="s">
        <v>184</v>
      </c>
      <c r="BZ22" s="159">
        <v>3</v>
      </c>
      <c r="CA22" s="159">
        <v>3</v>
      </c>
      <c r="CB22" s="138">
        <v>3.5311065999738918</v>
      </c>
      <c r="CC22" s="138">
        <v>3.5311065999738918</v>
      </c>
      <c r="CD22" t="s">
        <v>188</v>
      </c>
      <c r="CE22" s="147">
        <f t="shared" si="13"/>
        <v>9.5339878199295069E-2</v>
      </c>
      <c r="CF22" s="147">
        <f t="shared" si="14"/>
        <v>9.5339878199295069E-2</v>
      </c>
      <c r="CG22" s="153" t="s">
        <v>215</v>
      </c>
      <c r="CH22" s="148" t="s">
        <v>207</v>
      </c>
      <c r="CI22" s="138">
        <v>4.1529296041549486</v>
      </c>
      <c r="CJ22" s="138" t="s">
        <v>244</v>
      </c>
      <c r="CK22" t="s">
        <v>160</v>
      </c>
      <c r="CL22" t="s">
        <v>189</v>
      </c>
      <c r="CM22" t="s">
        <v>160</v>
      </c>
      <c r="CN22" t="s">
        <v>160</v>
      </c>
      <c r="CO22" t="s">
        <v>160</v>
      </c>
      <c r="CP22" t="s">
        <v>160</v>
      </c>
      <c r="CQ22" t="s">
        <v>160</v>
      </c>
      <c r="CR22" t="s">
        <v>160</v>
      </c>
      <c r="CS22" t="s">
        <v>160</v>
      </c>
      <c r="CT22" t="s">
        <v>160</v>
      </c>
      <c r="CU22" s="134">
        <v>35</v>
      </c>
      <c r="CV22" t="s">
        <v>159</v>
      </c>
      <c r="CW22">
        <v>3</v>
      </c>
      <c r="CX22" s="149" t="s">
        <v>187</v>
      </c>
      <c r="CY22" s="157" t="s">
        <v>160</v>
      </c>
      <c r="CZ22" s="157" t="s">
        <v>160</v>
      </c>
      <c r="DA22" s="157" t="s">
        <v>160</v>
      </c>
      <c r="DB22" s="157" t="s">
        <v>160</v>
      </c>
      <c r="DC22" s="157" t="s">
        <v>160</v>
      </c>
      <c r="DD22" s="157" t="s">
        <v>160</v>
      </c>
      <c r="DE22" s="157" t="s">
        <v>160</v>
      </c>
      <c r="DF22" s="157" t="s">
        <v>160</v>
      </c>
      <c r="DG22" s="157" t="s">
        <v>160</v>
      </c>
      <c r="DH22" s="157" t="s">
        <v>160</v>
      </c>
      <c r="DI22" s="157" t="s">
        <v>160</v>
      </c>
      <c r="DJ22" s="157" t="s">
        <v>160</v>
      </c>
      <c r="DK22" s="132">
        <v>432.56244218316402</v>
      </c>
      <c r="DL22" t="s">
        <v>165</v>
      </c>
      <c r="DM22" s="153">
        <v>37.1</v>
      </c>
      <c r="DN22" t="s">
        <v>166</v>
      </c>
      <c r="DO22" s="138">
        <v>39.233740509999997</v>
      </c>
      <c r="DP22" s="154" t="s">
        <v>163</v>
      </c>
      <c r="DQ22" s="146">
        <v>0.2</v>
      </c>
      <c r="DR22" t="s">
        <v>190</v>
      </c>
      <c r="DS22" t="s">
        <v>167</v>
      </c>
      <c r="DT22" t="s">
        <v>168</v>
      </c>
      <c r="DU22">
        <v>1.0271999999999999</v>
      </c>
      <c r="DV22" t="s">
        <v>191</v>
      </c>
      <c r="DW22">
        <v>5.9999999999999995E-4</v>
      </c>
      <c r="DX22" t="s">
        <v>198</v>
      </c>
      <c r="DY22" t="s">
        <v>160</v>
      </c>
      <c r="DZ22" t="s">
        <v>160</v>
      </c>
      <c r="EA22" t="s">
        <v>192</v>
      </c>
      <c r="EB22" t="s">
        <v>169</v>
      </c>
      <c r="EC22" t="s">
        <v>170</v>
      </c>
      <c r="ED22" t="s">
        <v>170</v>
      </c>
      <c r="EE22" s="157" t="s">
        <v>160</v>
      </c>
      <c r="EF22" t="s">
        <v>160</v>
      </c>
      <c r="EG22" t="s">
        <v>160</v>
      </c>
      <c r="EH22" t="s">
        <v>171</v>
      </c>
      <c r="EI22" t="s">
        <v>193</v>
      </c>
      <c r="EJ22" t="s">
        <v>194</v>
      </c>
      <c r="EK22" s="137">
        <v>2330</v>
      </c>
      <c r="EL22" t="s">
        <v>211</v>
      </c>
      <c r="EM22">
        <v>175</v>
      </c>
      <c r="EN22">
        <v>175</v>
      </c>
      <c r="EO22" t="s">
        <v>160</v>
      </c>
      <c r="EP22" t="s">
        <v>160</v>
      </c>
      <c r="EQ22" t="s">
        <v>160</v>
      </c>
      <c r="ER22" t="s">
        <v>160</v>
      </c>
      <c r="ES22" s="138">
        <v>8.1455558968338604</v>
      </c>
      <c r="ET22" s="133" t="s">
        <v>172</v>
      </c>
      <c r="EU22" s="138">
        <v>6.2826227927939016E-2</v>
      </c>
      <c r="EV22" s="138">
        <v>6.1355948561161E-2</v>
      </c>
      <c r="EW22" s="147">
        <v>299.521083298034</v>
      </c>
      <c r="EX22" s="154">
        <v>21</v>
      </c>
      <c r="EY22" s="154" t="s">
        <v>195</v>
      </c>
      <c r="EZ22" s="138">
        <v>278.521083298034</v>
      </c>
      <c r="FA22" s="138">
        <v>62.352023097971028</v>
      </c>
      <c r="FB22" s="138">
        <v>54.565996065012996</v>
      </c>
      <c r="FC22" s="156" t="s">
        <v>212</v>
      </c>
      <c r="FD22" s="156" t="s">
        <v>213</v>
      </c>
      <c r="FE22" t="s">
        <v>173</v>
      </c>
      <c r="FF22" t="s">
        <v>173</v>
      </c>
      <c r="FG22" t="s">
        <v>173</v>
      </c>
      <c r="FH22" t="s">
        <v>173</v>
      </c>
      <c r="FI22" t="s">
        <v>173</v>
      </c>
      <c r="FJ22" t="s">
        <v>173</v>
      </c>
      <c r="FK22" t="s">
        <v>173</v>
      </c>
      <c r="FL22" t="s">
        <v>173</v>
      </c>
      <c r="FM22" t="s">
        <v>173</v>
      </c>
      <c r="FN22" t="s">
        <v>173</v>
      </c>
      <c r="FO22" t="s">
        <v>173</v>
      </c>
      <c r="FP22" t="s">
        <v>173</v>
      </c>
    </row>
    <row r="23" spans="1:172" ht="18" x14ac:dyDescent="0.2">
      <c r="A23" s="126" t="s">
        <v>152</v>
      </c>
      <c r="B23" t="s">
        <v>174</v>
      </c>
      <c r="C23">
        <v>2015</v>
      </c>
      <c r="D23" t="s">
        <v>196</v>
      </c>
      <c r="E23" s="147">
        <f t="shared" si="8"/>
        <v>2624.4960940000001</v>
      </c>
      <c r="F23" s="135" t="s">
        <v>160</v>
      </c>
      <c r="G23" s="135" t="s">
        <v>160</v>
      </c>
      <c r="H23" s="147">
        <f t="shared" si="9"/>
        <v>304.92913325198901</v>
      </c>
      <c r="I23" s="147">
        <f t="shared" si="10"/>
        <v>70.032769788869984</v>
      </c>
      <c r="J23" s="147">
        <f t="shared" si="11"/>
        <v>58.911550294767011</v>
      </c>
      <c r="K23" t="s">
        <v>176</v>
      </c>
      <c r="L23" s="130" t="s">
        <v>206</v>
      </c>
      <c r="M23" s="136" t="s">
        <v>175</v>
      </c>
      <c r="N23" t="s">
        <v>196</v>
      </c>
      <c r="O23" t="s">
        <v>156</v>
      </c>
      <c r="P23" s="153" t="s">
        <v>157</v>
      </c>
      <c r="Q23" s="157">
        <v>10</v>
      </c>
      <c r="R23" s="157">
        <v>2</v>
      </c>
      <c r="S23" s="157">
        <v>50</v>
      </c>
      <c r="T23" s="157">
        <v>52</v>
      </c>
      <c r="U23" s="157" t="s">
        <v>160</v>
      </c>
      <c r="V23" s="157" t="s">
        <v>160</v>
      </c>
      <c r="W23" s="157" t="s">
        <v>160</v>
      </c>
      <c r="X23" t="s">
        <v>158</v>
      </c>
      <c r="Y23" s="131">
        <v>12.75</v>
      </c>
      <c r="Z23" s="131">
        <v>-78.73</v>
      </c>
      <c r="AA23" s="131">
        <v>12.75</v>
      </c>
      <c r="AB23" s="131">
        <v>-78.73</v>
      </c>
      <c r="AC23" s="131">
        <v>-2828</v>
      </c>
      <c r="AD23" s="131">
        <v>-2828</v>
      </c>
      <c r="AE23" s="153" t="s">
        <v>160</v>
      </c>
      <c r="AF23" s="153" t="s">
        <v>160</v>
      </c>
      <c r="AG23" s="138">
        <v>2624.4960940000001</v>
      </c>
      <c r="AH23" s="2" t="s">
        <v>159</v>
      </c>
      <c r="AI23" s="153" t="s">
        <v>160</v>
      </c>
      <c r="AJ23" s="153" t="s">
        <v>160</v>
      </c>
      <c r="AK23" s="154" t="s">
        <v>160</v>
      </c>
      <c r="AL23" s="154" t="s">
        <v>177</v>
      </c>
      <c r="AM23" s="157" t="s">
        <v>160</v>
      </c>
      <c r="AN23" t="s">
        <v>160</v>
      </c>
      <c r="AO23" t="s">
        <v>160</v>
      </c>
      <c r="AP23" t="s">
        <v>160</v>
      </c>
      <c r="AQ23" t="s">
        <v>160</v>
      </c>
      <c r="AR23" t="s">
        <v>160</v>
      </c>
      <c r="AS23" t="s">
        <v>160</v>
      </c>
      <c r="AT23" t="s">
        <v>160</v>
      </c>
      <c r="AU23" s="145" t="s">
        <v>178</v>
      </c>
      <c r="AV23" t="s">
        <v>161</v>
      </c>
      <c r="AW23" s="141" t="s">
        <v>179</v>
      </c>
      <c r="AX23" s="141" t="s">
        <v>180</v>
      </c>
      <c r="AY23" s="139" t="s">
        <v>181</v>
      </c>
      <c r="AZ23" s="139" t="s">
        <v>182</v>
      </c>
      <c r="BA23" t="s">
        <v>162</v>
      </c>
      <c r="BB23" s="153" t="s">
        <v>217</v>
      </c>
      <c r="BC23" s="153" t="s">
        <v>217</v>
      </c>
      <c r="BD23" s="153" t="s">
        <v>217</v>
      </c>
      <c r="BE23" s="138">
        <v>20.23123</v>
      </c>
      <c r="BF23" t="s">
        <v>183</v>
      </c>
      <c r="BG23" s="138">
        <v>0.10461555</v>
      </c>
      <c r="BH23">
        <v>0.6</v>
      </c>
      <c r="BI23" t="s">
        <v>184</v>
      </c>
      <c r="BJ23" s="2">
        <v>0.08</v>
      </c>
      <c r="BK23">
        <v>8.8699999999999992</v>
      </c>
      <c r="BL23" t="s">
        <v>163</v>
      </c>
      <c r="BM23">
        <v>1.52</v>
      </c>
      <c r="BN23" t="s">
        <v>185</v>
      </c>
      <c r="BO23" t="s">
        <v>186</v>
      </c>
      <c r="BP23" s="158">
        <f t="shared" si="12"/>
        <v>18.935383333333334</v>
      </c>
      <c r="BQ23" t="s">
        <v>184</v>
      </c>
      <c r="BR23" s="154" t="s">
        <v>160</v>
      </c>
      <c r="BS23" s="154" t="s">
        <v>160</v>
      </c>
      <c r="BT23" t="s">
        <v>214</v>
      </c>
      <c r="BU23" t="s">
        <v>218</v>
      </c>
      <c r="BV23" t="s">
        <v>164</v>
      </c>
      <c r="BW23" t="s">
        <v>164</v>
      </c>
      <c r="BX23" s="138">
        <v>27.679960000000001</v>
      </c>
      <c r="BY23" t="s">
        <v>184</v>
      </c>
      <c r="BZ23" s="159">
        <v>3</v>
      </c>
      <c r="CA23" s="159">
        <v>3</v>
      </c>
      <c r="CB23" s="138">
        <v>3.6002217340636267</v>
      </c>
      <c r="CC23" s="138">
        <v>3.6002217340636267</v>
      </c>
      <c r="CD23" t="s">
        <v>188</v>
      </c>
      <c r="CE23" s="147">
        <f t="shared" si="13"/>
        <v>9.7205986819717913E-2</v>
      </c>
      <c r="CF23" s="147">
        <f t="shared" si="14"/>
        <v>9.7205986819717913E-2</v>
      </c>
      <c r="CG23" s="153" t="s">
        <v>215</v>
      </c>
      <c r="CH23" s="148" t="s">
        <v>207</v>
      </c>
      <c r="CI23" s="138">
        <v>4.1491565100784182</v>
      </c>
      <c r="CJ23" s="138" t="s">
        <v>244</v>
      </c>
      <c r="CK23" t="s">
        <v>160</v>
      </c>
      <c r="CL23" t="s">
        <v>189</v>
      </c>
      <c r="CM23" t="s">
        <v>160</v>
      </c>
      <c r="CN23" t="s">
        <v>160</v>
      </c>
      <c r="CO23" t="s">
        <v>160</v>
      </c>
      <c r="CP23" t="s">
        <v>160</v>
      </c>
      <c r="CQ23" t="s">
        <v>160</v>
      </c>
      <c r="CR23" t="s">
        <v>160</v>
      </c>
      <c r="CS23" t="s">
        <v>160</v>
      </c>
      <c r="CT23" t="s">
        <v>160</v>
      </c>
      <c r="CU23" s="134">
        <v>35</v>
      </c>
      <c r="CV23" t="s">
        <v>159</v>
      </c>
      <c r="CW23">
        <v>3</v>
      </c>
      <c r="CX23" s="149" t="s">
        <v>187</v>
      </c>
      <c r="CY23" s="157" t="s">
        <v>160</v>
      </c>
      <c r="CZ23" s="157" t="s">
        <v>160</v>
      </c>
      <c r="DA23" s="157" t="s">
        <v>160</v>
      </c>
      <c r="DB23" s="157" t="s">
        <v>160</v>
      </c>
      <c r="DC23" s="157" t="s">
        <v>160</v>
      </c>
      <c r="DD23" s="157" t="s">
        <v>160</v>
      </c>
      <c r="DE23" s="157" t="s">
        <v>160</v>
      </c>
      <c r="DF23" s="157" t="s">
        <v>160</v>
      </c>
      <c r="DG23" s="157" t="s">
        <v>160</v>
      </c>
      <c r="DH23" s="157" t="s">
        <v>160</v>
      </c>
      <c r="DI23" s="157" t="s">
        <v>160</v>
      </c>
      <c r="DJ23" s="157" t="s">
        <v>160</v>
      </c>
      <c r="DK23" s="132">
        <v>432.56244218316402</v>
      </c>
      <c r="DL23" t="s">
        <v>165</v>
      </c>
      <c r="DM23" s="153">
        <v>37.1</v>
      </c>
      <c r="DN23" t="s">
        <v>166</v>
      </c>
      <c r="DO23" s="138">
        <v>39.232382149999999</v>
      </c>
      <c r="DP23" s="154" t="s">
        <v>163</v>
      </c>
      <c r="DQ23" s="146">
        <v>0.2</v>
      </c>
      <c r="DR23" t="s">
        <v>190</v>
      </c>
      <c r="DS23" t="s">
        <v>167</v>
      </c>
      <c r="DT23" t="s">
        <v>168</v>
      </c>
      <c r="DU23">
        <v>1.0271999999999999</v>
      </c>
      <c r="DV23" t="s">
        <v>191</v>
      </c>
      <c r="DW23">
        <v>5.9999999999999995E-4</v>
      </c>
      <c r="DX23" t="s">
        <v>198</v>
      </c>
      <c r="DY23" t="s">
        <v>160</v>
      </c>
      <c r="DZ23" t="s">
        <v>160</v>
      </c>
      <c r="EA23" t="s">
        <v>192</v>
      </c>
      <c r="EB23" t="s">
        <v>169</v>
      </c>
      <c r="EC23" t="s">
        <v>170</v>
      </c>
      <c r="ED23" t="s">
        <v>170</v>
      </c>
      <c r="EE23" s="157" t="s">
        <v>160</v>
      </c>
      <c r="EF23" t="s">
        <v>160</v>
      </c>
      <c r="EG23" t="s">
        <v>160</v>
      </c>
      <c r="EH23" t="s">
        <v>171</v>
      </c>
      <c r="EI23" t="s">
        <v>193</v>
      </c>
      <c r="EJ23" t="s">
        <v>194</v>
      </c>
      <c r="EK23" s="137">
        <v>2330</v>
      </c>
      <c r="EL23" t="s">
        <v>211</v>
      </c>
      <c r="EM23">
        <v>175</v>
      </c>
      <c r="EN23">
        <v>175</v>
      </c>
      <c r="EO23" t="s">
        <v>160</v>
      </c>
      <c r="EP23" t="s">
        <v>160</v>
      </c>
      <c r="EQ23" t="s">
        <v>160</v>
      </c>
      <c r="ER23" t="s">
        <v>160</v>
      </c>
      <c r="ES23" s="138">
        <v>8.1171344795098808</v>
      </c>
      <c r="ET23" s="133" t="s">
        <v>172</v>
      </c>
      <c r="EU23" s="138">
        <v>6.2658926240040103E-2</v>
      </c>
      <c r="EV23" s="138">
        <v>6.3773267882771378E-2</v>
      </c>
      <c r="EW23" s="147">
        <v>325.92913325198901</v>
      </c>
      <c r="EX23" s="154">
        <v>21</v>
      </c>
      <c r="EY23" s="154" t="s">
        <v>195</v>
      </c>
      <c r="EZ23" s="138">
        <v>304.92913325198901</v>
      </c>
      <c r="FA23" s="138">
        <v>70.032769788869984</v>
      </c>
      <c r="FB23" s="138">
        <v>58.911550294767011</v>
      </c>
      <c r="FC23" s="156" t="s">
        <v>212</v>
      </c>
      <c r="FD23" s="156" t="s">
        <v>213</v>
      </c>
      <c r="FE23" t="s">
        <v>173</v>
      </c>
      <c r="FF23" t="s">
        <v>173</v>
      </c>
      <c r="FG23" t="s">
        <v>173</v>
      </c>
      <c r="FH23" t="s">
        <v>173</v>
      </c>
      <c r="FI23" t="s">
        <v>173</v>
      </c>
      <c r="FJ23" t="s">
        <v>173</v>
      </c>
      <c r="FK23" t="s">
        <v>173</v>
      </c>
      <c r="FL23" t="s">
        <v>173</v>
      </c>
      <c r="FM23" t="s">
        <v>173</v>
      </c>
      <c r="FN23" t="s">
        <v>173</v>
      </c>
      <c r="FO23" t="s">
        <v>173</v>
      </c>
      <c r="FP23" t="s">
        <v>173</v>
      </c>
    </row>
    <row r="24" spans="1:172" ht="18" x14ac:dyDescent="0.2">
      <c r="A24" s="126" t="s">
        <v>152</v>
      </c>
      <c r="B24" t="s">
        <v>174</v>
      </c>
      <c r="C24">
        <v>2015</v>
      </c>
      <c r="D24" t="s">
        <v>196</v>
      </c>
      <c r="E24" s="147">
        <f t="shared" si="8"/>
        <v>2630.9147950000001</v>
      </c>
      <c r="F24" s="135" t="s">
        <v>160</v>
      </c>
      <c r="G24" s="135" t="s">
        <v>160</v>
      </c>
      <c r="H24" s="147">
        <f t="shared" si="9"/>
        <v>244.921315066369</v>
      </c>
      <c r="I24" s="147">
        <f t="shared" si="10"/>
        <v>56.439116786244995</v>
      </c>
      <c r="J24" s="147">
        <f t="shared" si="11"/>
        <v>49.096387663025013</v>
      </c>
      <c r="K24" t="s">
        <v>176</v>
      </c>
      <c r="L24" s="130" t="s">
        <v>206</v>
      </c>
      <c r="M24" s="136" t="s">
        <v>175</v>
      </c>
      <c r="N24" t="s">
        <v>196</v>
      </c>
      <c r="O24" t="s">
        <v>156</v>
      </c>
      <c r="P24" s="153" t="s">
        <v>157</v>
      </c>
      <c r="Q24" s="157">
        <v>10</v>
      </c>
      <c r="R24" s="157">
        <v>2</v>
      </c>
      <c r="S24" s="157">
        <v>70</v>
      </c>
      <c r="T24" s="157">
        <v>72</v>
      </c>
      <c r="U24" s="157" t="s">
        <v>160</v>
      </c>
      <c r="V24" s="157" t="s">
        <v>160</v>
      </c>
      <c r="W24" s="157" t="s">
        <v>160</v>
      </c>
      <c r="X24" t="s">
        <v>158</v>
      </c>
      <c r="Y24" s="131">
        <v>12.75</v>
      </c>
      <c r="Z24" s="131">
        <v>-78.73</v>
      </c>
      <c r="AA24" s="131">
        <v>12.75</v>
      </c>
      <c r="AB24" s="131">
        <v>-78.73</v>
      </c>
      <c r="AC24" s="131">
        <v>-2828</v>
      </c>
      <c r="AD24" s="131">
        <v>-2828</v>
      </c>
      <c r="AE24" s="153" t="s">
        <v>160</v>
      </c>
      <c r="AF24" s="153" t="s">
        <v>160</v>
      </c>
      <c r="AG24" s="138">
        <v>2630.9147950000001</v>
      </c>
      <c r="AH24" s="2" t="s">
        <v>159</v>
      </c>
      <c r="AI24" s="153" t="s">
        <v>160</v>
      </c>
      <c r="AJ24" s="153" t="s">
        <v>160</v>
      </c>
      <c r="AK24" s="154" t="s">
        <v>160</v>
      </c>
      <c r="AL24" s="154" t="s">
        <v>177</v>
      </c>
      <c r="AM24" s="157" t="s">
        <v>160</v>
      </c>
      <c r="AN24" t="s">
        <v>160</v>
      </c>
      <c r="AO24" t="s">
        <v>160</v>
      </c>
      <c r="AP24" t="s">
        <v>160</v>
      </c>
      <c r="AQ24" t="s">
        <v>160</v>
      </c>
      <c r="AR24" t="s">
        <v>160</v>
      </c>
      <c r="AS24" t="s">
        <v>160</v>
      </c>
      <c r="AT24" t="s">
        <v>160</v>
      </c>
      <c r="AU24" s="145" t="s">
        <v>178</v>
      </c>
      <c r="AV24" t="s">
        <v>161</v>
      </c>
      <c r="AW24" s="141" t="s">
        <v>179</v>
      </c>
      <c r="AX24" s="139" t="s">
        <v>180</v>
      </c>
      <c r="AY24" s="139" t="s">
        <v>181</v>
      </c>
      <c r="AZ24" s="139" t="s">
        <v>182</v>
      </c>
      <c r="BA24" s="140" t="s">
        <v>162</v>
      </c>
      <c r="BB24" s="153" t="s">
        <v>217</v>
      </c>
      <c r="BC24" s="153" t="s">
        <v>217</v>
      </c>
      <c r="BD24" s="153" t="s">
        <v>217</v>
      </c>
      <c r="BE24" s="138">
        <v>20.798290000000001</v>
      </c>
      <c r="BF24" t="s">
        <v>183</v>
      </c>
      <c r="BG24" s="138">
        <v>0.101870302</v>
      </c>
      <c r="BH24">
        <v>0.6</v>
      </c>
      <c r="BI24" t="s">
        <v>184</v>
      </c>
      <c r="BJ24" s="2">
        <v>0.08</v>
      </c>
      <c r="BK24">
        <v>8.8699999999999992</v>
      </c>
      <c r="BL24" t="s">
        <v>163</v>
      </c>
      <c r="BM24">
        <v>1.52</v>
      </c>
      <c r="BN24" t="s">
        <v>185</v>
      </c>
      <c r="BO24" t="s">
        <v>186</v>
      </c>
      <c r="BP24" s="158">
        <f t="shared" si="12"/>
        <v>19.880483333333338</v>
      </c>
      <c r="BQ24" t="s">
        <v>184</v>
      </c>
      <c r="BR24" s="154" t="s">
        <v>160</v>
      </c>
      <c r="BS24" s="154" t="s">
        <v>160</v>
      </c>
      <c r="BT24" t="s">
        <v>214</v>
      </c>
      <c r="BU24" t="s">
        <v>218</v>
      </c>
      <c r="BV24" t="s">
        <v>164</v>
      </c>
      <c r="BW24" t="s">
        <v>164</v>
      </c>
      <c r="BX24" s="138">
        <v>28.54806</v>
      </c>
      <c r="BY24" t="s">
        <v>184</v>
      </c>
      <c r="BZ24" s="159">
        <v>3</v>
      </c>
      <c r="CA24" s="159">
        <v>3</v>
      </c>
      <c r="CB24" s="138">
        <v>3.891792889639659</v>
      </c>
      <c r="CC24" s="138">
        <v>3.891792889639659</v>
      </c>
      <c r="CD24" t="s">
        <v>188</v>
      </c>
      <c r="CE24" s="147">
        <f t="shared" si="13"/>
        <v>0.1050784080202708</v>
      </c>
      <c r="CF24" s="147">
        <f t="shared" si="14"/>
        <v>0.1050784080202708</v>
      </c>
      <c r="CG24" s="153" t="s">
        <v>215</v>
      </c>
      <c r="CH24" s="148" t="s">
        <v>207</v>
      </c>
      <c r="CI24" s="138">
        <v>4.1465819193301208</v>
      </c>
      <c r="CJ24" s="138" t="s">
        <v>244</v>
      </c>
      <c r="CK24" t="s">
        <v>160</v>
      </c>
      <c r="CL24" t="s">
        <v>189</v>
      </c>
      <c r="CM24" t="s">
        <v>160</v>
      </c>
      <c r="CN24" t="s">
        <v>160</v>
      </c>
      <c r="CO24" t="s">
        <v>160</v>
      </c>
      <c r="CP24" t="s">
        <v>160</v>
      </c>
      <c r="CQ24" t="s">
        <v>160</v>
      </c>
      <c r="CR24" t="s">
        <v>160</v>
      </c>
      <c r="CS24" t="s">
        <v>160</v>
      </c>
      <c r="CT24" t="s">
        <v>160</v>
      </c>
      <c r="CU24" s="134">
        <v>35</v>
      </c>
      <c r="CV24" t="s">
        <v>159</v>
      </c>
      <c r="CW24">
        <v>3</v>
      </c>
      <c r="CX24" s="149" t="s">
        <v>187</v>
      </c>
      <c r="CY24" s="157" t="s">
        <v>160</v>
      </c>
      <c r="CZ24" s="157" t="s">
        <v>160</v>
      </c>
      <c r="DA24" s="157" t="s">
        <v>160</v>
      </c>
      <c r="DB24" s="157" t="s">
        <v>160</v>
      </c>
      <c r="DC24" s="157" t="s">
        <v>160</v>
      </c>
      <c r="DD24" s="157" t="s">
        <v>160</v>
      </c>
      <c r="DE24" s="157" t="s">
        <v>160</v>
      </c>
      <c r="DF24" s="157" t="s">
        <v>160</v>
      </c>
      <c r="DG24" s="157" t="s">
        <v>160</v>
      </c>
      <c r="DH24" s="157" t="s">
        <v>160</v>
      </c>
      <c r="DI24" s="157" t="s">
        <v>160</v>
      </c>
      <c r="DJ24" s="157" t="s">
        <v>160</v>
      </c>
      <c r="DK24" s="132">
        <v>432.56244218316402</v>
      </c>
      <c r="DL24" t="s">
        <v>165</v>
      </c>
      <c r="DM24" s="153">
        <v>37.1</v>
      </c>
      <c r="DN24" t="s">
        <v>166</v>
      </c>
      <c r="DO24" s="138">
        <v>39.231459540000003</v>
      </c>
      <c r="DP24" s="154" t="s">
        <v>163</v>
      </c>
      <c r="DQ24" s="146">
        <v>0.2</v>
      </c>
      <c r="DR24" t="s">
        <v>190</v>
      </c>
      <c r="DS24" t="s">
        <v>167</v>
      </c>
      <c r="DT24" t="s">
        <v>168</v>
      </c>
      <c r="DU24">
        <v>1.0271999999999999</v>
      </c>
      <c r="DV24" t="s">
        <v>191</v>
      </c>
      <c r="DW24">
        <v>5.9999999999999995E-4</v>
      </c>
      <c r="DX24" t="s">
        <v>198</v>
      </c>
      <c r="DY24" t="s">
        <v>160</v>
      </c>
      <c r="DZ24" t="s">
        <v>160</v>
      </c>
      <c r="EA24" t="s">
        <v>192</v>
      </c>
      <c r="EB24" t="s">
        <v>169</v>
      </c>
      <c r="EC24" t="s">
        <v>170</v>
      </c>
      <c r="ED24" t="s">
        <v>170</v>
      </c>
      <c r="EE24" s="157" t="s">
        <v>160</v>
      </c>
      <c r="EF24" t="s">
        <v>160</v>
      </c>
      <c r="EG24" t="s">
        <v>160</v>
      </c>
      <c r="EH24" t="s">
        <v>171</v>
      </c>
      <c r="EI24" t="s">
        <v>193</v>
      </c>
      <c r="EJ24" t="s">
        <v>194</v>
      </c>
      <c r="EK24" s="137">
        <v>2330</v>
      </c>
      <c r="EL24" t="s">
        <v>211</v>
      </c>
      <c r="EM24">
        <v>175</v>
      </c>
      <c r="EN24">
        <v>175</v>
      </c>
      <c r="EO24" t="s">
        <v>160</v>
      </c>
      <c r="EP24" t="s">
        <v>160</v>
      </c>
      <c r="EQ24" t="s">
        <v>160</v>
      </c>
      <c r="ER24" t="s">
        <v>160</v>
      </c>
      <c r="ES24" s="138">
        <v>8.1840924527333403</v>
      </c>
      <c r="ET24" s="133" t="s">
        <v>172</v>
      </c>
      <c r="EU24" s="138">
        <v>6.1847586667798993E-2</v>
      </c>
      <c r="EV24" s="138">
        <v>6.3402325443309593E-2</v>
      </c>
      <c r="EW24" s="147">
        <v>265.921315066369</v>
      </c>
      <c r="EX24" s="154">
        <v>21</v>
      </c>
      <c r="EY24" s="154" t="s">
        <v>195</v>
      </c>
      <c r="EZ24" s="138">
        <v>244.921315066369</v>
      </c>
      <c r="FA24" s="138">
        <v>56.439116786244995</v>
      </c>
      <c r="FB24" s="138">
        <v>49.096387663025013</v>
      </c>
      <c r="FC24" s="156" t="s">
        <v>212</v>
      </c>
      <c r="FD24" s="156" t="s">
        <v>213</v>
      </c>
      <c r="FE24" t="s">
        <v>173</v>
      </c>
      <c r="FF24" t="s">
        <v>173</v>
      </c>
      <c r="FG24" t="s">
        <v>173</v>
      </c>
      <c r="FH24" t="s">
        <v>173</v>
      </c>
      <c r="FI24" t="s">
        <v>173</v>
      </c>
      <c r="FJ24" t="s">
        <v>173</v>
      </c>
      <c r="FK24" t="s">
        <v>173</v>
      </c>
      <c r="FL24" t="s">
        <v>173</v>
      </c>
      <c r="FM24" t="s">
        <v>173</v>
      </c>
      <c r="FN24" t="s">
        <v>173</v>
      </c>
      <c r="FO24" t="s">
        <v>173</v>
      </c>
      <c r="FP24" t="s">
        <v>173</v>
      </c>
    </row>
    <row r="25" spans="1:172" ht="18" x14ac:dyDescent="0.2">
      <c r="A25" s="126" t="s">
        <v>152</v>
      </c>
      <c r="B25" t="s">
        <v>174</v>
      </c>
      <c r="C25">
        <v>2015</v>
      </c>
      <c r="D25" t="s">
        <v>196</v>
      </c>
      <c r="E25" s="147">
        <f t="shared" si="8"/>
        <v>2648.2578130000002</v>
      </c>
      <c r="F25" s="135" t="s">
        <v>160</v>
      </c>
      <c r="G25" s="135" t="s">
        <v>160</v>
      </c>
      <c r="H25" s="147">
        <f t="shared" si="9"/>
        <v>281.85195584967698</v>
      </c>
      <c r="I25" s="147">
        <f t="shared" si="10"/>
        <v>64.041124043442039</v>
      </c>
      <c r="J25" s="147">
        <f t="shared" si="11"/>
        <v>55.42898816883897</v>
      </c>
      <c r="K25" t="s">
        <v>176</v>
      </c>
      <c r="L25" s="130" t="s">
        <v>206</v>
      </c>
      <c r="M25" s="136" t="s">
        <v>175</v>
      </c>
      <c r="N25" t="s">
        <v>196</v>
      </c>
      <c r="O25" t="s">
        <v>156</v>
      </c>
      <c r="P25" s="153" t="s">
        <v>157</v>
      </c>
      <c r="Q25" s="157">
        <v>10</v>
      </c>
      <c r="R25" s="157">
        <v>2</v>
      </c>
      <c r="S25" s="157">
        <v>121</v>
      </c>
      <c r="T25" s="157">
        <v>123</v>
      </c>
      <c r="U25" s="157" t="s">
        <v>160</v>
      </c>
      <c r="V25" s="157" t="s">
        <v>160</v>
      </c>
      <c r="W25" s="157" t="s">
        <v>160</v>
      </c>
      <c r="X25" t="s">
        <v>158</v>
      </c>
      <c r="Y25" s="131">
        <v>12.75</v>
      </c>
      <c r="Z25" s="131">
        <v>-78.73</v>
      </c>
      <c r="AA25" s="131">
        <v>12.75</v>
      </c>
      <c r="AB25" s="131">
        <v>-78.73</v>
      </c>
      <c r="AC25" s="131">
        <v>-2828</v>
      </c>
      <c r="AD25" s="131">
        <v>-2828</v>
      </c>
      <c r="AE25" s="153" t="s">
        <v>160</v>
      </c>
      <c r="AF25" s="153" t="s">
        <v>160</v>
      </c>
      <c r="AG25" s="138">
        <v>2648.2578130000002</v>
      </c>
      <c r="AH25" s="2" t="s">
        <v>159</v>
      </c>
      <c r="AI25" s="153" t="s">
        <v>160</v>
      </c>
      <c r="AJ25" s="153" t="s">
        <v>160</v>
      </c>
      <c r="AK25" s="154" t="s">
        <v>160</v>
      </c>
      <c r="AL25" s="154" t="s">
        <v>177</v>
      </c>
      <c r="AM25" s="157" t="s">
        <v>160</v>
      </c>
      <c r="AN25" t="s">
        <v>160</v>
      </c>
      <c r="AO25" t="s">
        <v>160</v>
      </c>
      <c r="AP25" t="s">
        <v>160</v>
      </c>
      <c r="AQ25" t="s">
        <v>160</v>
      </c>
      <c r="AR25" t="s">
        <v>160</v>
      </c>
      <c r="AS25" t="s">
        <v>160</v>
      </c>
      <c r="AT25" t="s">
        <v>160</v>
      </c>
      <c r="AU25" s="145" t="s">
        <v>178</v>
      </c>
      <c r="AV25" t="s">
        <v>161</v>
      </c>
      <c r="AW25" s="141" t="s">
        <v>179</v>
      </c>
      <c r="AX25" s="141" t="s">
        <v>180</v>
      </c>
      <c r="AY25" s="139" t="s">
        <v>181</v>
      </c>
      <c r="AZ25" s="139" t="s">
        <v>182</v>
      </c>
      <c r="BA25" t="s">
        <v>162</v>
      </c>
      <c r="BB25" s="153" t="s">
        <v>217</v>
      </c>
      <c r="BC25" s="153" t="s">
        <v>217</v>
      </c>
      <c r="BD25" s="153" t="s">
        <v>217</v>
      </c>
      <c r="BE25" s="138">
        <v>20.425730000000001</v>
      </c>
      <c r="BF25" t="s">
        <v>183</v>
      </c>
      <c r="BG25" s="138">
        <v>9.3641294E-2</v>
      </c>
      <c r="BH25">
        <v>0.6</v>
      </c>
      <c r="BI25" t="s">
        <v>184</v>
      </c>
      <c r="BJ25" s="2">
        <v>0.08</v>
      </c>
      <c r="BK25">
        <v>8.8699999999999992</v>
      </c>
      <c r="BL25" t="s">
        <v>163</v>
      </c>
      <c r="BM25">
        <v>1.52</v>
      </c>
      <c r="BN25" t="s">
        <v>185</v>
      </c>
      <c r="BO25" t="s">
        <v>186</v>
      </c>
      <c r="BP25" s="158">
        <f t="shared" si="12"/>
        <v>19.259550000000004</v>
      </c>
      <c r="BQ25" t="s">
        <v>184</v>
      </c>
      <c r="BR25" s="154" t="s">
        <v>160</v>
      </c>
      <c r="BS25" s="154" t="s">
        <v>160</v>
      </c>
      <c r="BT25" t="s">
        <v>214</v>
      </c>
      <c r="BU25" t="s">
        <v>218</v>
      </c>
      <c r="BV25" t="s">
        <v>164</v>
      </c>
      <c r="BW25" t="s">
        <v>164</v>
      </c>
      <c r="BX25" s="138">
        <v>27.90812</v>
      </c>
      <c r="BY25" t="s">
        <v>184</v>
      </c>
      <c r="BZ25" s="159">
        <v>3</v>
      </c>
      <c r="CA25" s="159">
        <v>3</v>
      </c>
      <c r="CB25" s="138">
        <v>3.6714242642324173</v>
      </c>
      <c r="CC25" s="138">
        <v>3.6714242642324173</v>
      </c>
      <c r="CD25" t="s">
        <v>188</v>
      </c>
      <c r="CE25" s="147">
        <f t="shared" si="13"/>
        <v>9.9128455134275262E-2</v>
      </c>
      <c r="CF25" s="147">
        <f t="shared" si="14"/>
        <v>9.9128455134275262E-2</v>
      </c>
      <c r="CG25" s="153" t="s">
        <v>215</v>
      </c>
      <c r="CH25" s="148" t="s">
        <v>207</v>
      </c>
      <c r="CI25" s="138">
        <v>4.1395520574057487</v>
      </c>
      <c r="CJ25" s="138" t="s">
        <v>244</v>
      </c>
      <c r="CK25" t="s">
        <v>160</v>
      </c>
      <c r="CL25" t="s">
        <v>189</v>
      </c>
      <c r="CM25" t="s">
        <v>160</v>
      </c>
      <c r="CN25" t="s">
        <v>160</v>
      </c>
      <c r="CO25" t="s">
        <v>160</v>
      </c>
      <c r="CP25" t="s">
        <v>160</v>
      </c>
      <c r="CQ25" t="s">
        <v>160</v>
      </c>
      <c r="CR25" t="s">
        <v>160</v>
      </c>
      <c r="CS25" t="s">
        <v>160</v>
      </c>
      <c r="CT25" t="s">
        <v>160</v>
      </c>
      <c r="CU25" s="134">
        <v>35</v>
      </c>
      <c r="CV25" t="s">
        <v>159</v>
      </c>
      <c r="CW25">
        <v>3</v>
      </c>
      <c r="CX25" s="149" t="s">
        <v>187</v>
      </c>
      <c r="CY25" s="157" t="s">
        <v>160</v>
      </c>
      <c r="CZ25" s="157" t="s">
        <v>160</v>
      </c>
      <c r="DA25" s="157" t="s">
        <v>160</v>
      </c>
      <c r="DB25" s="157" t="s">
        <v>160</v>
      </c>
      <c r="DC25" s="157" t="s">
        <v>160</v>
      </c>
      <c r="DD25" s="157" t="s">
        <v>160</v>
      </c>
      <c r="DE25" s="157" t="s">
        <v>160</v>
      </c>
      <c r="DF25" s="157" t="s">
        <v>160</v>
      </c>
      <c r="DG25" s="157" t="s">
        <v>160</v>
      </c>
      <c r="DH25" s="157" t="s">
        <v>160</v>
      </c>
      <c r="DI25" s="157" t="s">
        <v>160</v>
      </c>
      <c r="DJ25" s="157" t="s">
        <v>160</v>
      </c>
      <c r="DK25" s="132">
        <v>432.56244218316402</v>
      </c>
      <c r="DL25" t="s">
        <v>165</v>
      </c>
      <c r="DM25" s="153">
        <v>37.1</v>
      </c>
      <c r="DN25" t="s">
        <v>166</v>
      </c>
      <c r="DO25" s="138">
        <v>39.2290809</v>
      </c>
      <c r="DP25" s="154" t="s">
        <v>163</v>
      </c>
      <c r="DQ25" s="146">
        <v>0.2</v>
      </c>
      <c r="DR25" t="s">
        <v>190</v>
      </c>
      <c r="DS25" t="s">
        <v>167</v>
      </c>
      <c r="DT25" t="s">
        <v>168</v>
      </c>
      <c r="DU25">
        <v>1.0271999999999999</v>
      </c>
      <c r="DV25" t="s">
        <v>191</v>
      </c>
      <c r="DW25">
        <v>5.9999999999999995E-4</v>
      </c>
      <c r="DX25" t="s">
        <v>198</v>
      </c>
      <c r="DY25" t="s">
        <v>160</v>
      </c>
      <c r="DZ25" t="s">
        <v>160</v>
      </c>
      <c r="EA25" t="s">
        <v>192</v>
      </c>
      <c r="EB25" t="s">
        <v>169</v>
      </c>
      <c r="EC25" t="s">
        <v>170</v>
      </c>
      <c r="ED25" t="s">
        <v>170</v>
      </c>
      <c r="EE25" s="157" t="s">
        <v>160</v>
      </c>
      <c r="EF25" t="s">
        <v>160</v>
      </c>
      <c r="EG25" t="s">
        <v>160</v>
      </c>
      <c r="EH25" t="s">
        <v>171</v>
      </c>
      <c r="EI25" t="s">
        <v>193</v>
      </c>
      <c r="EJ25" t="s">
        <v>194</v>
      </c>
      <c r="EK25" s="137">
        <v>2330</v>
      </c>
      <c r="EL25" t="s">
        <v>211</v>
      </c>
      <c r="EM25">
        <v>175</v>
      </c>
      <c r="EN25">
        <v>175</v>
      </c>
      <c r="EO25" t="s">
        <v>160</v>
      </c>
      <c r="EP25" t="s">
        <v>160</v>
      </c>
      <c r="EQ25" t="s">
        <v>160</v>
      </c>
      <c r="ER25" t="s">
        <v>160</v>
      </c>
      <c r="ES25" s="138">
        <v>8.1415115898158898</v>
      </c>
      <c r="ET25" s="133" t="s">
        <v>172</v>
      </c>
      <c r="EU25" s="138">
        <v>6.2996400322930413E-2</v>
      </c>
      <c r="EV25" s="138">
        <v>6.410526851876952E-2</v>
      </c>
      <c r="EW25" s="147">
        <v>302.85195584967698</v>
      </c>
      <c r="EX25" s="154">
        <v>21</v>
      </c>
      <c r="EY25" s="154" t="s">
        <v>195</v>
      </c>
      <c r="EZ25" s="138">
        <v>281.85195584967698</v>
      </c>
      <c r="FA25" s="138">
        <v>64.041124043442039</v>
      </c>
      <c r="FB25" s="138">
        <v>55.42898816883897</v>
      </c>
      <c r="FC25" s="156" t="s">
        <v>212</v>
      </c>
      <c r="FD25" s="156" t="s">
        <v>213</v>
      </c>
      <c r="FE25" t="s">
        <v>173</v>
      </c>
      <c r="FF25" t="s">
        <v>173</v>
      </c>
      <c r="FG25" t="s">
        <v>173</v>
      </c>
      <c r="FH25" t="s">
        <v>173</v>
      </c>
      <c r="FI25" t="s">
        <v>173</v>
      </c>
      <c r="FJ25" t="s">
        <v>173</v>
      </c>
      <c r="FK25" t="s">
        <v>173</v>
      </c>
      <c r="FL25" t="s">
        <v>173</v>
      </c>
      <c r="FM25" t="s">
        <v>173</v>
      </c>
      <c r="FN25" t="s">
        <v>173</v>
      </c>
      <c r="FO25" t="s">
        <v>173</v>
      </c>
      <c r="FP25" t="s">
        <v>173</v>
      </c>
    </row>
    <row r="26" spans="1:172" ht="18" x14ac:dyDescent="0.2">
      <c r="A26" s="126" t="s">
        <v>152</v>
      </c>
      <c r="B26" t="s">
        <v>174</v>
      </c>
      <c r="C26">
        <v>2015</v>
      </c>
      <c r="D26" t="s">
        <v>196</v>
      </c>
      <c r="E26" s="147">
        <f t="shared" si="8"/>
        <v>2664.6970209999999</v>
      </c>
      <c r="F26" s="135" t="s">
        <v>160</v>
      </c>
      <c r="G26" s="135" t="s">
        <v>160</v>
      </c>
      <c r="H26" s="147">
        <f t="shared" si="9"/>
        <v>301.61459250283502</v>
      </c>
      <c r="I26" s="147">
        <f t="shared" si="10"/>
        <v>68.879240575295967</v>
      </c>
      <c r="J26" s="147">
        <f t="shared" si="11"/>
        <v>58.835832285223034</v>
      </c>
      <c r="K26" t="s">
        <v>176</v>
      </c>
      <c r="L26" s="130" t="s">
        <v>206</v>
      </c>
      <c r="M26" s="136" t="s">
        <v>175</v>
      </c>
      <c r="N26" t="s">
        <v>196</v>
      </c>
      <c r="O26" t="s">
        <v>156</v>
      </c>
      <c r="P26" s="153" t="s">
        <v>157</v>
      </c>
      <c r="Q26" s="157">
        <v>10</v>
      </c>
      <c r="R26" s="157">
        <v>3</v>
      </c>
      <c r="S26" s="157">
        <v>19</v>
      </c>
      <c r="T26" s="157">
        <v>20</v>
      </c>
      <c r="U26" s="157" t="s">
        <v>160</v>
      </c>
      <c r="V26" s="157" t="s">
        <v>160</v>
      </c>
      <c r="W26" s="157" t="s">
        <v>160</v>
      </c>
      <c r="X26" t="s">
        <v>158</v>
      </c>
      <c r="Y26" s="131">
        <v>12.75</v>
      </c>
      <c r="Z26" s="131">
        <v>-78.73</v>
      </c>
      <c r="AA26" s="131">
        <v>12.75</v>
      </c>
      <c r="AB26" s="131">
        <v>-78.73</v>
      </c>
      <c r="AC26" s="131">
        <v>-2828</v>
      </c>
      <c r="AD26" s="131">
        <v>-2828</v>
      </c>
      <c r="AE26" s="153" t="s">
        <v>160</v>
      </c>
      <c r="AF26" s="153" t="s">
        <v>160</v>
      </c>
      <c r="AG26" s="138">
        <v>2664.6970209999999</v>
      </c>
      <c r="AH26" s="2" t="s">
        <v>159</v>
      </c>
      <c r="AI26" s="153" t="s">
        <v>160</v>
      </c>
      <c r="AJ26" s="153" t="s">
        <v>160</v>
      </c>
      <c r="AK26" s="154" t="s">
        <v>160</v>
      </c>
      <c r="AL26" s="154" t="s">
        <v>177</v>
      </c>
      <c r="AM26" s="157" t="s">
        <v>160</v>
      </c>
      <c r="AN26" t="s">
        <v>160</v>
      </c>
      <c r="AO26" t="s">
        <v>160</v>
      </c>
      <c r="AP26" t="s">
        <v>160</v>
      </c>
      <c r="AQ26" t="s">
        <v>160</v>
      </c>
      <c r="AR26" t="s">
        <v>160</v>
      </c>
      <c r="AS26" t="s">
        <v>160</v>
      </c>
      <c r="AT26" t="s">
        <v>160</v>
      </c>
      <c r="AU26" s="145" t="s">
        <v>178</v>
      </c>
      <c r="AV26" t="s">
        <v>161</v>
      </c>
      <c r="AW26" s="141" t="s">
        <v>179</v>
      </c>
      <c r="AX26" s="139" t="s">
        <v>180</v>
      </c>
      <c r="AY26" s="139" t="s">
        <v>181</v>
      </c>
      <c r="AZ26" s="139" t="s">
        <v>182</v>
      </c>
      <c r="BA26" s="140" t="s">
        <v>162</v>
      </c>
      <c r="BB26" s="153" t="s">
        <v>217</v>
      </c>
      <c r="BC26" s="153" t="s">
        <v>217</v>
      </c>
      <c r="BD26" s="153" t="s">
        <v>217</v>
      </c>
      <c r="BE26" s="138">
        <v>20.358799999999999</v>
      </c>
      <c r="BF26" t="s">
        <v>183</v>
      </c>
      <c r="BG26" s="138">
        <v>0.11260533</v>
      </c>
      <c r="BH26">
        <v>0.6</v>
      </c>
      <c r="BI26" t="s">
        <v>184</v>
      </c>
      <c r="BJ26" s="2">
        <v>0.08</v>
      </c>
      <c r="BK26">
        <v>8.8699999999999992</v>
      </c>
      <c r="BL26" t="s">
        <v>163</v>
      </c>
      <c r="BM26">
        <v>1.52</v>
      </c>
      <c r="BN26" t="s">
        <v>185</v>
      </c>
      <c r="BO26" t="s">
        <v>186</v>
      </c>
      <c r="BP26" s="158">
        <f t="shared" si="12"/>
        <v>19.148</v>
      </c>
      <c r="BQ26" t="s">
        <v>184</v>
      </c>
      <c r="BR26" s="154" t="s">
        <v>160</v>
      </c>
      <c r="BS26" s="154" t="s">
        <v>160</v>
      </c>
      <c r="BT26" t="s">
        <v>214</v>
      </c>
      <c r="BU26" t="s">
        <v>218</v>
      </c>
      <c r="BV26" t="s">
        <v>164</v>
      </c>
      <c r="BW26" t="s">
        <v>164</v>
      </c>
      <c r="BX26" s="138">
        <v>29.1904</v>
      </c>
      <c r="BY26" t="s">
        <v>184</v>
      </c>
      <c r="BZ26" s="159">
        <v>3</v>
      </c>
      <c r="CA26" s="159">
        <v>3</v>
      </c>
      <c r="CB26" s="138">
        <v>4.1177685848099683</v>
      </c>
      <c r="CC26" s="138">
        <v>4.1177685848099683</v>
      </c>
      <c r="CD26" t="s">
        <v>188</v>
      </c>
      <c r="CE26" s="147">
        <f t="shared" si="13"/>
        <v>0.11117975178986915</v>
      </c>
      <c r="CF26" s="147">
        <f t="shared" si="14"/>
        <v>0.11117975178986915</v>
      </c>
      <c r="CG26" s="153" t="s">
        <v>215</v>
      </c>
      <c r="CH26" s="148" t="s">
        <v>207</v>
      </c>
      <c r="CI26" s="138">
        <v>4.132758084586035</v>
      </c>
      <c r="CJ26" s="138" t="s">
        <v>244</v>
      </c>
      <c r="CK26" t="s">
        <v>160</v>
      </c>
      <c r="CL26" t="s">
        <v>189</v>
      </c>
      <c r="CM26" t="s">
        <v>160</v>
      </c>
      <c r="CN26" t="s">
        <v>160</v>
      </c>
      <c r="CO26" t="s">
        <v>160</v>
      </c>
      <c r="CP26" t="s">
        <v>160</v>
      </c>
      <c r="CQ26" t="s">
        <v>160</v>
      </c>
      <c r="CR26" t="s">
        <v>160</v>
      </c>
      <c r="CS26" t="s">
        <v>160</v>
      </c>
      <c r="CT26" t="s">
        <v>160</v>
      </c>
      <c r="CU26" s="134">
        <v>35</v>
      </c>
      <c r="CV26" t="s">
        <v>159</v>
      </c>
      <c r="CW26">
        <v>3</v>
      </c>
      <c r="CX26" s="149" t="s">
        <v>187</v>
      </c>
      <c r="CY26" s="157" t="s">
        <v>160</v>
      </c>
      <c r="CZ26" s="157" t="s">
        <v>160</v>
      </c>
      <c r="DA26" s="157" t="s">
        <v>160</v>
      </c>
      <c r="DB26" s="157" t="s">
        <v>160</v>
      </c>
      <c r="DC26" s="157" t="s">
        <v>160</v>
      </c>
      <c r="DD26" s="157" t="s">
        <v>160</v>
      </c>
      <c r="DE26" s="157" t="s">
        <v>160</v>
      </c>
      <c r="DF26" s="157" t="s">
        <v>160</v>
      </c>
      <c r="DG26" s="157" t="s">
        <v>160</v>
      </c>
      <c r="DH26" s="157" t="s">
        <v>160</v>
      </c>
      <c r="DI26" s="157" t="s">
        <v>160</v>
      </c>
      <c r="DJ26" s="157" t="s">
        <v>160</v>
      </c>
      <c r="DK26" s="132">
        <v>432.56244218316402</v>
      </c>
      <c r="DL26" t="s">
        <v>165</v>
      </c>
      <c r="DM26" s="153">
        <v>37.1</v>
      </c>
      <c r="DN26" t="s">
        <v>166</v>
      </c>
      <c r="DO26" s="138">
        <v>39.226896949999997</v>
      </c>
      <c r="DP26" s="154" t="s">
        <v>163</v>
      </c>
      <c r="DQ26" s="146">
        <v>0.2</v>
      </c>
      <c r="DR26" t="s">
        <v>190</v>
      </c>
      <c r="DS26" t="s">
        <v>167</v>
      </c>
      <c r="DT26" t="s">
        <v>168</v>
      </c>
      <c r="DU26">
        <v>1.0271999999999999</v>
      </c>
      <c r="DV26" t="s">
        <v>191</v>
      </c>
      <c r="DW26">
        <v>5.9999999999999995E-4</v>
      </c>
      <c r="DX26" t="s">
        <v>198</v>
      </c>
      <c r="DY26" t="s">
        <v>160</v>
      </c>
      <c r="DZ26" t="s">
        <v>160</v>
      </c>
      <c r="EA26" t="s">
        <v>192</v>
      </c>
      <c r="EB26" t="s">
        <v>169</v>
      </c>
      <c r="EC26" t="s">
        <v>170</v>
      </c>
      <c r="ED26" t="s">
        <v>170</v>
      </c>
      <c r="EE26" s="157" t="s">
        <v>160</v>
      </c>
      <c r="EF26" t="s">
        <v>160</v>
      </c>
      <c r="EG26" t="s">
        <v>160</v>
      </c>
      <c r="EH26" t="s">
        <v>171</v>
      </c>
      <c r="EI26" t="s">
        <v>193</v>
      </c>
      <c r="EJ26" t="s">
        <v>194</v>
      </c>
      <c r="EK26" s="137">
        <v>2330</v>
      </c>
      <c r="EL26" t="s">
        <v>211</v>
      </c>
      <c r="EM26">
        <v>175</v>
      </c>
      <c r="EN26">
        <v>175</v>
      </c>
      <c r="EO26" t="s">
        <v>160</v>
      </c>
      <c r="EP26" t="s">
        <v>160</v>
      </c>
      <c r="EQ26" t="s">
        <v>160</v>
      </c>
      <c r="ER26" t="s">
        <v>160</v>
      </c>
      <c r="ES26" s="138">
        <v>8.1179716727085705</v>
      </c>
      <c r="ET26" s="133" t="s">
        <v>172</v>
      </c>
      <c r="EU26" s="138">
        <v>6.4078148365918963E-2</v>
      </c>
      <c r="EV26" s="138">
        <v>6.4068672278599692E-2</v>
      </c>
      <c r="EW26" s="147">
        <v>322.61459250283502</v>
      </c>
      <c r="EX26" s="154">
        <v>21</v>
      </c>
      <c r="EY26" s="154" t="s">
        <v>195</v>
      </c>
      <c r="EZ26" s="138">
        <v>301.61459250283502</v>
      </c>
      <c r="FA26" s="138">
        <v>68.879240575295967</v>
      </c>
      <c r="FB26" s="138">
        <v>58.835832285223034</v>
      </c>
      <c r="FC26" s="156" t="s">
        <v>212</v>
      </c>
      <c r="FD26" s="156" t="s">
        <v>213</v>
      </c>
      <c r="FE26" t="s">
        <v>173</v>
      </c>
      <c r="FF26" t="s">
        <v>173</v>
      </c>
      <c r="FG26" t="s">
        <v>173</v>
      </c>
      <c r="FH26" t="s">
        <v>173</v>
      </c>
      <c r="FI26" t="s">
        <v>173</v>
      </c>
      <c r="FJ26" t="s">
        <v>173</v>
      </c>
      <c r="FK26" t="s">
        <v>173</v>
      </c>
      <c r="FL26" t="s">
        <v>173</v>
      </c>
      <c r="FM26" t="s">
        <v>173</v>
      </c>
      <c r="FN26" t="s">
        <v>173</v>
      </c>
      <c r="FO26" t="s">
        <v>173</v>
      </c>
      <c r="FP26" t="s">
        <v>173</v>
      </c>
    </row>
    <row r="27" spans="1:172" ht="18" x14ac:dyDescent="0.2">
      <c r="A27" s="126" t="s">
        <v>152</v>
      </c>
      <c r="B27" t="s">
        <v>174</v>
      </c>
      <c r="C27">
        <v>2015</v>
      </c>
      <c r="D27" t="s">
        <v>196</v>
      </c>
      <c r="E27" s="147">
        <f t="shared" si="8"/>
        <v>2673.0161130000001</v>
      </c>
      <c r="F27" s="135" t="s">
        <v>160</v>
      </c>
      <c r="G27" s="135" t="s">
        <v>160</v>
      </c>
      <c r="H27" s="147">
        <f t="shared" si="9"/>
        <v>262.66564077273</v>
      </c>
      <c r="I27" s="147">
        <f t="shared" si="10"/>
        <v>60.380959890798977</v>
      </c>
      <c r="J27" s="147">
        <f t="shared" si="11"/>
        <v>53.364140550596005</v>
      </c>
      <c r="K27" t="s">
        <v>176</v>
      </c>
      <c r="L27" s="130" t="s">
        <v>206</v>
      </c>
      <c r="M27" s="136" t="s">
        <v>175</v>
      </c>
      <c r="N27" t="s">
        <v>196</v>
      </c>
      <c r="O27" t="s">
        <v>156</v>
      </c>
      <c r="P27" s="153" t="s">
        <v>157</v>
      </c>
      <c r="Q27" s="157">
        <v>10</v>
      </c>
      <c r="R27" s="157">
        <v>3</v>
      </c>
      <c r="S27" s="157">
        <v>50</v>
      </c>
      <c r="T27" s="157">
        <v>52</v>
      </c>
      <c r="U27" s="157" t="s">
        <v>160</v>
      </c>
      <c r="V27" s="157" t="s">
        <v>160</v>
      </c>
      <c r="W27" s="157" t="s">
        <v>160</v>
      </c>
      <c r="X27" t="s">
        <v>158</v>
      </c>
      <c r="Y27" s="131">
        <v>12.75</v>
      </c>
      <c r="Z27" s="131">
        <v>-78.73</v>
      </c>
      <c r="AA27" s="131">
        <v>12.75</v>
      </c>
      <c r="AB27" s="131">
        <v>-78.73</v>
      </c>
      <c r="AC27" s="131">
        <v>-2828</v>
      </c>
      <c r="AD27" s="131">
        <v>-2828</v>
      </c>
      <c r="AE27" s="153" t="s">
        <v>160</v>
      </c>
      <c r="AF27" s="153" t="s">
        <v>160</v>
      </c>
      <c r="AG27" s="138">
        <v>2673.0161130000001</v>
      </c>
      <c r="AH27" s="2" t="s">
        <v>159</v>
      </c>
      <c r="AI27" s="153" t="s">
        <v>160</v>
      </c>
      <c r="AJ27" s="153" t="s">
        <v>160</v>
      </c>
      <c r="AK27" s="154" t="s">
        <v>160</v>
      </c>
      <c r="AL27" s="154" t="s">
        <v>177</v>
      </c>
      <c r="AM27" s="157" t="s">
        <v>160</v>
      </c>
      <c r="AN27" t="s">
        <v>160</v>
      </c>
      <c r="AO27" t="s">
        <v>160</v>
      </c>
      <c r="AP27" t="s">
        <v>160</v>
      </c>
      <c r="AQ27" t="s">
        <v>160</v>
      </c>
      <c r="AR27" t="s">
        <v>160</v>
      </c>
      <c r="AS27" t="s">
        <v>160</v>
      </c>
      <c r="AT27" t="s">
        <v>160</v>
      </c>
      <c r="AU27" s="145" t="s">
        <v>178</v>
      </c>
      <c r="AV27" t="s">
        <v>161</v>
      </c>
      <c r="AW27" s="141" t="s">
        <v>179</v>
      </c>
      <c r="AX27" s="141" t="s">
        <v>180</v>
      </c>
      <c r="AY27" s="139" t="s">
        <v>181</v>
      </c>
      <c r="AZ27" s="139" t="s">
        <v>182</v>
      </c>
      <c r="BA27" t="s">
        <v>162</v>
      </c>
      <c r="BB27" s="153" t="s">
        <v>217</v>
      </c>
      <c r="BC27" s="153" t="s">
        <v>217</v>
      </c>
      <c r="BD27" s="153" t="s">
        <v>217</v>
      </c>
      <c r="BE27" s="138">
        <v>20.575669999999999</v>
      </c>
      <c r="BF27" t="s">
        <v>183</v>
      </c>
      <c r="BG27" s="138">
        <v>0.10936436200000001</v>
      </c>
      <c r="BH27">
        <v>0.6</v>
      </c>
      <c r="BI27" t="s">
        <v>184</v>
      </c>
      <c r="BJ27" s="2">
        <v>0.08</v>
      </c>
      <c r="BK27">
        <v>8.8699999999999992</v>
      </c>
      <c r="BL27" t="s">
        <v>163</v>
      </c>
      <c r="BM27">
        <v>1.52</v>
      </c>
      <c r="BN27" t="s">
        <v>185</v>
      </c>
      <c r="BO27" t="s">
        <v>186</v>
      </c>
      <c r="BP27" s="158">
        <f t="shared" si="12"/>
        <v>19.509450000000001</v>
      </c>
      <c r="BQ27" t="s">
        <v>184</v>
      </c>
      <c r="BR27" s="154" t="s">
        <v>160</v>
      </c>
      <c r="BS27" s="154" t="s">
        <v>160</v>
      </c>
      <c r="BT27" t="s">
        <v>214</v>
      </c>
      <c r="BU27" t="s">
        <v>218</v>
      </c>
      <c r="BV27" t="s">
        <v>164</v>
      </c>
      <c r="BW27" t="s">
        <v>164</v>
      </c>
      <c r="BX27" s="138">
        <v>27.747160000000001</v>
      </c>
      <c r="BY27" t="s">
        <v>184</v>
      </c>
      <c r="BZ27" s="159">
        <v>3</v>
      </c>
      <c r="CA27" s="159">
        <v>3</v>
      </c>
      <c r="CB27" s="138">
        <v>3.6149397366903968</v>
      </c>
      <c r="CC27" s="138">
        <v>3.6149397366903968</v>
      </c>
      <c r="CD27" t="s">
        <v>188</v>
      </c>
      <c r="CE27" s="147">
        <f t="shared" si="13"/>
        <v>9.7603372890640708E-2</v>
      </c>
      <c r="CF27" s="147">
        <f t="shared" si="14"/>
        <v>9.7603372890640708E-2</v>
      </c>
      <c r="CG27" s="153" t="s">
        <v>215</v>
      </c>
      <c r="CH27" s="148" t="s">
        <v>207</v>
      </c>
      <c r="CI27" s="138">
        <v>4.1292857504069431</v>
      </c>
      <c r="CJ27" s="138" t="s">
        <v>244</v>
      </c>
      <c r="CK27" t="s">
        <v>160</v>
      </c>
      <c r="CL27" t="s">
        <v>189</v>
      </c>
      <c r="CM27" t="s">
        <v>160</v>
      </c>
      <c r="CN27" t="s">
        <v>160</v>
      </c>
      <c r="CO27" t="s">
        <v>160</v>
      </c>
      <c r="CP27" t="s">
        <v>160</v>
      </c>
      <c r="CQ27" t="s">
        <v>160</v>
      </c>
      <c r="CR27" t="s">
        <v>160</v>
      </c>
      <c r="CS27" t="s">
        <v>160</v>
      </c>
      <c r="CT27" t="s">
        <v>160</v>
      </c>
      <c r="CU27" s="134">
        <v>35</v>
      </c>
      <c r="CV27" t="s">
        <v>159</v>
      </c>
      <c r="CW27">
        <v>3</v>
      </c>
      <c r="CX27" s="149" t="s">
        <v>187</v>
      </c>
      <c r="CY27" s="157" t="s">
        <v>160</v>
      </c>
      <c r="CZ27" s="157" t="s">
        <v>160</v>
      </c>
      <c r="DA27" s="157" t="s">
        <v>160</v>
      </c>
      <c r="DB27" s="157" t="s">
        <v>160</v>
      </c>
      <c r="DC27" s="157" t="s">
        <v>160</v>
      </c>
      <c r="DD27" s="157" t="s">
        <v>160</v>
      </c>
      <c r="DE27" s="157" t="s">
        <v>160</v>
      </c>
      <c r="DF27" s="157" t="s">
        <v>160</v>
      </c>
      <c r="DG27" s="157" t="s">
        <v>160</v>
      </c>
      <c r="DH27" s="157" t="s">
        <v>160</v>
      </c>
      <c r="DI27" s="157" t="s">
        <v>160</v>
      </c>
      <c r="DJ27" s="157" t="s">
        <v>160</v>
      </c>
      <c r="DK27" s="132">
        <v>432.56244218316402</v>
      </c>
      <c r="DL27" t="s">
        <v>165</v>
      </c>
      <c r="DM27" s="153">
        <v>37.1</v>
      </c>
      <c r="DN27" t="s">
        <v>166</v>
      </c>
      <c r="DO27" s="138">
        <v>39.22564371</v>
      </c>
      <c r="DP27" s="154" t="s">
        <v>163</v>
      </c>
      <c r="DQ27" s="146">
        <v>0.2</v>
      </c>
      <c r="DR27" t="s">
        <v>190</v>
      </c>
      <c r="DS27" t="s">
        <v>167</v>
      </c>
      <c r="DT27" t="s">
        <v>168</v>
      </c>
      <c r="DU27">
        <v>1.0271999999999999</v>
      </c>
      <c r="DV27" t="s">
        <v>191</v>
      </c>
      <c r="DW27">
        <v>5.9999999999999995E-4</v>
      </c>
      <c r="DX27" t="s">
        <v>198</v>
      </c>
      <c r="DY27" t="s">
        <v>160</v>
      </c>
      <c r="DZ27" t="s">
        <v>160</v>
      </c>
      <c r="EA27" t="s">
        <v>192</v>
      </c>
      <c r="EB27" t="s">
        <v>169</v>
      </c>
      <c r="EC27" t="s">
        <v>170</v>
      </c>
      <c r="ED27" t="s">
        <v>170</v>
      </c>
      <c r="EE27" s="157" t="s">
        <v>160</v>
      </c>
      <c r="EF27" t="s">
        <v>160</v>
      </c>
      <c r="EG27" t="s">
        <v>160</v>
      </c>
      <c r="EH27" t="s">
        <v>171</v>
      </c>
      <c r="EI27" t="s">
        <v>193</v>
      </c>
      <c r="EJ27" t="s">
        <v>194</v>
      </c>
      <c r="EK27" s="137">
        <v>2330</v>
      </c>
      <c r="EL27" t="s">
        <v>211</v>
      </c>
      <c r="EM27">
        <v>175</v>
      </c>
      <c r="EN27">
        <v>175</v>
      </c>
      <c r="EO27" t="s">
        <v>160</v>
      </c>
      <c r="EP27" t="s">
        <v>160</v>
      </c>
      <c r="EQ27" t="s">
        <v>160</v>
      </c>
      <c r="ER27" t="s">
        <v>160</v>
      </c>
      <c r="ES27" s="138">
        <v>8.1637998634546705</v>
      </c>
      <c r="ET27" s="133" t="s">
        <v>172</v>
      </c>
      <c r="EU27" s="138">
        <v>6.4553414548939259E-2</v>
      </c>
      <c r="EV27" s="138">
        <v>6.3014713195899574E-2</v>
      </c>
      <c r="EW27" s="147">
        <v>283.66564077273</v>
      </c>
      <c r="EX27" s="154">
        <v>21</v>
      </c>
      <c r="EY27" s="154" t="s">
        <v>195</v>
      </c>
      <c r="EZ27" s="138">
        <v>262.66564077273</v>
      </c>
      <c r="FA27" s="138">
        <v>60.380959890798977</v>
      </c>
      <c r="FB27" s="138">
        <v>53.364140550596005</v>
      </c>
      <c r="FC27" s="156" t="s">
        <v>212</v>
      </c>
      <c r="FD27" s="156" t="s">
        <v>213</v>
      </c>
      <c r="FE27" t="s">
        <v>173</v>
      </c>
      <c r="FF27" t="s">
        <v>173</v>
      </c>
      <c r="FG27" t="s">
        <v>173</v>
      </c>
      <c r="FH27" t="s">
        <v>173</v>
      </c>
      <c r="FI27" t="s">
        <v>173</v>
      </c>
      <c r="FJ27" t="s">
        <v>173</v>
      </c>
      <c r="FK27" t="s">
        <v>173</v>
      </c>
      <c r="FL27" t="s">
        <v>173</v>
      </c>
      <c r="FM27" t="s">
        <v>173</v>
      </c>
      <c r="FN27" t="s">
        <v>173</v>
      </c>
      <c r="FO27" t="s">
        <v>173</v>
      </c>
      <c r="FP27" t="s">
        <v>173</v>
      </c>
    </row>
    <row r="28" spans="1:172" ht="18" x14ac:dyDescent="0.2">
      <c r="A28" s="126" t="s">
        <v>152</v>
      </c>
      <c r="B28" t="s">
        <v>174</v>
      </c>
      <c r="C28">
        <v>2015</v>
      </c>
      <c r="D28" t="s">
        <v>196</v>
      </c>
      <c r="E28" s="147">
        <f t="shared" si="8"/>
        <v>2680.359375</v>
      </c>
      <c r="F28" s="135" t="s">
        <v>160</v>
      </c>
      <c r="G28" s="135" t="s">
        <v>160</v>
      </c>
      <c r="H28" s="147">
        <f t="shared" si="9"/>
        <v>322.77037349050102</v>
      </c>
      <c r="I28" s="147">
        <f t="shared" si="10"/>
        <v>72.178362588737969</v>
      </c>
      <c r="J28" s="147">
        <f t="shared" si="11"/>
        <v>61.332500244420032</v>
      </c>
      <c r="K28" t="s">
        <v>176</v>
      </c>
      <c r="L28" s="130" t="s">
        <v>206</v>
      </c>
      <c r="M28" s="136" t="s">
        <v>175</v>
      </c>
      <c r="N28" t="s">
        <v>196</v>
      </c>
      <c r="O28" t="s">
        <v>156</v>
      </c>
      <c r="P28" s="153" t="s">
        <v>157</v>
      </c>
      <c r="Q28" s="171">
        <v>10</v>
      </c>
      <c r="R28" s="171">
        <v>3</v>
      </c>
      <c r="S28" s="171">
        <v>77</v>
      </c>
      <c r="T28" s="171">
        <v>79</v>
      </c>
      <c r="U28" s="157" t="s">
        <v>160</v>
      </c>
      <c r="V28" s="157" t="s">
        <v>160</v>
      </c>
      <c r="W28" s="157" t="s">
        <v>160</v>
      </c>
      <c r="X28" t="s">
        <v>158</v>
      </c>
      <c r="Y28" s="131">
        <v>12.75</v>
      </c>
      <c r="Z28" s="131">
        <v>-78.73</v>
      </c>
      <c r="AA28" s="131">
        <v>12.75</v>
      </c>
      <c r="AB28" s="131">
        <v>-78.73</v>
      </c>
      <c r="AC28" s="131">
        <v>-2828</v>
      </c>
      <c r="AD28" s="131">
        <v>-2828</v>
      </c>
      <c r="AE28" s="153" t="s">
        <v>160</v>
      </c>
      <c r="AF28" s="153" t="s">
        <v>160</v>
      </c>
      <c r="AG28" s="138">
        <v>2680.359375</v>
      </c>
      <c r="AH28" s="2" t="s">
        <v>159</v>
      </c>
      <c r="AI28" s="153" t="s">
        <v>160</v>
      </c>
      <c r="AJ28" s="153" t="s">
        <v>160</v>
      </c>
      <c r="AK28" s="154" t="s">
        <v>160</v>
      </c>
      <c r="AL28" s="154" t="s">
        <v>177</v>
      </c>
      <c r="AM28" s="157" t="s">
        <v>160</v>
      </c>
      <c r="AN28" t="s">
        <v>160</v>
      </c>
      <c r="AO28" t="s">
        <v>160</v>
      </c>
      <c r="AP28" t="s">
        <v>160</v>
      </c>
      <c r="AQ28" t="s">
        <v>160</v>
      </c>
      <c r="AR28" t="s">
        <v>160</v>
      </c>
      <c r="AS28" t="s">
        <v>160</v>
      </c>
      <c r="AT28" t="s">
        <v>160</v>
      </c>
      <c r="AU28" s="145" t="s">
        <v>178</v>
      </c>
      <c r="AV28" t="s">
        <v>161</v>
      </c>
      <c r="AW28" s="141" t="s">
        <v>179</v>
      </c>
      <c r="AX28" s="139" t="s">
        <v>180</v>
      </c>
      <c r="AY28" s="139" t="s">
        <v>181</v>
      </c>
      <c r="AZ28" s="139" t="s">
        <v>182</v>
      </c>
      <c r="BA28" s="140" t="s">
        <v>162</v>
      </c>
      <c r="BB28" s="153" t="s">
        <v>217</v>
      </c>
      <c r="BC28" s="153" t="s">
        <v>217</v>
      </c>
      <c r="BD28" s="153" t="s">
        <v>217</v>
      </c>
      <c r="BE28" s="138">
        <v>20.041049999999998</v>
      </c>
      <c r="BF28" t="s">
        <v>183</v>
      </c>
      <c r="BG28" s="138">
        <v>9.4179804000000006E-2</v>
      </c>
      <c r="BH28">
        <v>0.6</v>
      </c>
      <c r="BI28" t="s">
        <v>184</v>
      </c>
      <c r="BJ28" s="2">
        <v>0.08</v>
      </c>
      <c r="BK28">
        <v>8.8699999999999992</v>
      </c>
      <c r="BL28" t="s">
        <v>163</v>
      </c>
      <c r="BM28">
        <v>1.52</v>
      </c>
      <c r="BN28" t="s">
        <v>185</v>
      </c>
      <c r="BO28" t="s">
        <v>186</v>
      </c>
      <c r="BP28" s="158">
        <f t="shared" si="12"/>
        <v>18.618416666666665</v>
      </c>
      <c r="BQ28" t="s">
        <v>184</v>
      </c>
      <c r="BR28" s="154" t="s">
        <v>160</v>
      </c>
      <c r="BS28" s="154" t="s">
        <v>160</v>
      </c>
      <c r="BT28" t="s">
        <v>214</v>
      </c>
      <c r="BU28" t="s">
        <v>218</v>
      </c>
      <c r="BV28" t="s">
        <v>164</v>
      </c>
      <c r="BW28" t="s">
        <v>164</v>
      </c>
      <c r="BX28" s="138">
        <v>26.87623</v>
      </c>
      <c r="BY28" t="s">
        <v>184</v>
      </c>
      <c r="BZ28" s="159">
        <v>3</v>
      </c>
      <c r="CA28" s="159">
        <v>3</v>
      </c>
      <c r="CB28" s="138">
        <v>3.3413842560206395</v>
      </c>
      <c r="CC28" s="138">
        <v>3.3413842560206395</v>
      </c>
      <c r="CD28" t="s">
        <v>188</v>
      </c>
      <c r="CE28" s="147">
        <f t="shared" si="13"/>
        <v>9.0217374912557269E-2</v>
      </c>
      <c r="CF28" s="147">
        <f t="shared" si="14"/>
        <v>9.0217374912557269E-2</v>
      </c>
      <c r="CG28" s="153" t="s">
        <v>215</v>
      </c>
      <c r="CH28" s="148" t="s">
        <v>207</v>
      </c>
      <c r="CI28" s="138">
        <v>4.1262018619670426</v>
      </c>
      <c r="CJ28" s="138" t="s">
        <v>244</v>
      </c>
      <c r="CK28" t="s">
        <v>160</v>
      </c>
      <c r="CL28" t="s">
        <v>189</v>
      </c>
      <c r="CM28" t="s">
        <v>160</v>
      </c>
      <c r="CN28" t="s">
        <v>160</v>
      </c>
      <c r="CO28" t="s">
        <v>160</v>
      </c>
      <c r="CP28" t="s">
        <v>160</v>
      </c>
      <c r="CQ28" t="s">
        <v>160</v>
      </c>
      <c r="CR28" t="s">
        <v>160</v>
      </c>
      <c r="CS28" t="s">
        <v>160</v>
      </c>
      <c r="CT28" t="s">
        <v>160</v>
      </c>
      <c r="CU28" s="134">
        <v>35</v>
      </c>
      <c r="CV28" t="s">
        <v>159</v>
      </c>
      <c r="CW28">
        <v>3</v>
      </c>
      <c r="CX28" s="149" t="s">
        <v>187</v>
      </c>
      <c r="CY28" s="157" t="s">
        <v>160</v>
      </c>
      <c r="CZ28" s="157" t="s">
        <v>160</v>
      </c>
      <c r="DA28" s="157" t="s">
        <v>160</v>
      </c>
      <c r="DB28" s="157" t="s">
        <v>160</v>
      </c>
      <c r="DC28" s="157" t="s">
        <v>160</v>
      </c>
      <c r="DD28" s="157" t="s">
        <v>160</v>
      </c>
      <c r="DE28" s="157" t="s">
        <v>160</v>
      </c>
      <c r="DF28" s="157" t="s">
        <v>160</v>
      </c>
      <c r="DG28" s="157" t="s">
        <v>160</v>
      </c>
      <c r="DH28" s="157" t="s">
        <v>160</v>
      </c>
      <c r="DI28" s="157" t="s">
        <v>160</v>
      </c>
      <c r="DJ28" s="157" t="s">
        <v>160</v>
      </c>
      <c r="DK28" s="132">
        <v>432.56244218316402</v>
      </c>
      <c r="DL28" t="s">
        <v>165</v>
      </c>
      <c r="DM28" s="153">
        <v>37.1</v>
      </c>
      <c r="DN28" t="s">
        <v>166</v>
      </c>
      <c r="DO28" s="138">
        <v>39.224672239999997</v>
      </c>
      <c r="DP28" s="154" t="s">
        <v>163</v>
      </c>
      <c r="DQ28" s="146">
        <v>0.2</v>
      </c>
      <c r="DR28" t="s">
        <v>190</v>
      </c>
      <c r="DS28" t="s">
        <v>167</v>
      </c>
      <c r="DT28" t="s">
        <v>168</v>
      </c>
      <c r="DU28">
        <v>1.0271999999999999</v>
      </c>
      <c r="DV28" t="s">
        <v>191</v>
      </c>
      <c r="DW28">
        <v>5.9999999999999995E-4</v>
      </c>
      <c r="DX28" t="s">
        <v>198</v>
      </c>
      <c r="DY28" t="s">
        <v>160</v>
      </c>
      <c r="DZ28" t="s">
        <v>160</v>
      </c>
      <c r="EA28" t="s">
        <v>192</v>
      </c>
      <c r="EB28" t="s">
        <v>169</v>
      </c>
      <c r="EC28" t="s">
        <v>170</v>
      </c>
      <c r="ED28" t="s">
        <v>170</v>
      </c>
      <c r="EE28" s="157" t="s">
        <v>160</v>
      </c>
      <c r="EF28" t="s">
        <v>160</v>
      </c>
      <c r="EG28" t="s">
        <v>160</v>
      </c>
      <c r="EH28" t="s">
        <v>171</v>
      </c>
      <c r="EI28" t="s">
        <v>193</v>
      </c>
      <c r="EJ28" t="s">
        <v>194</v>
      </c>
      <c r="EK28" s="137">
        <v>2330</v>
      </c>
      <c r="EL28" t="s">
        <v>211</v>
      </c>
      <c r="EM28">
        <v>175</v>
      </c>
      <c r="EN28">
        <v>175</v>
      </c>
      <c r="EO28" t="s">
        <v>160</v>
      </c>
      <c r="EP28" t="s">
        <v>160</v>
      </c>
      <c r="EQ28" t="s">
        <v>160</v>
      </c>
      <c r="ER28" t="s">
        <v>160</v>
      </c>
      <c r="ES28" s="138">
        <v>8.0998873677932597</v>
      </c>
      <c r="ET28" s="133" t="s">
        <v>172</v>
      </c>
      <c r="EU28" s="138">
        <v>6.2196023289740054E-2</v>
      </c>
      <c r="EV28" s="138">
        <v>6.2770947400149879E-2</v>
      </c>
      <c r="EW28" s="147">
        <v>343.77037349050102</v>
      </c>
      <c r="EX28" s="154">
        <v>21</v>
      </c>
      <c r="EY28" s="154" t="s">
        <v>195</v>
      </c>
      <c r="EZ28" s="138">
        <v>322.77037349050102</v>
      </c>
      <c r="FA28" s="138">
        <v>72.178362588737969</v>
      </c>
      <c r="FB28" s="138">
        <v>61.332500244420032</v>
      </c>
      <c r="FC28" s="156" t="s">
        <v>212</v>
      </c>
      <c r="FD28" s="156" t="s">
        <v>213</v>
      </c>
      <c r="FE28" t="s">
        <v>173</v>
      </c>
      <c r="FF28" t="s">
        <v>173</v>
      </c>
      <c r="FG28" t="s">
        <v>173</v>
      </c>
      <c r="FH28" t="s">
        <v>173</v>
      </c>
      <c r="FI28" t="s">
        <v>173</v>
      </c>
      <c r="FJ28" t="s">
        <v>173</v>
      </c>
      <c r="FK28" t="s">
        <v>173</v>
      </c>
      <c r="FL28" t="s">
        <v>173</v>
      </c>
      <c r="FM28" t="s">
        <v>173</v>
      </c>
      <c r="FN28" t="s">
        <v>173</v>
      </c>
      <c r="FO28" t="s">
        <v>173</v>
      </c>
      <c r="FP28" t="s">
        <v>173</v>
      </c>
    </row>
    <row r="29" spans="1:172" ht="18" x14ac:dyDescent="0.2">
      <c r="A29" s="126" t="s">
        <v>152</v>
      </c>
      <c r="B29" t="s">
        <v>174</v>
      </c>
      <c r="C29">
        <v>2015</v>
      </c>
      <c r="D29" t="s">
        <v>196</v>
      </c>
      <c r="E29" s="147">
        <f t="shared" si="8"/>
        <v>2686.5603030000002</v>
      </c>
      <c r="F29" s="135" t="s">
        <v>160</v>
      </c>
      <c r="G29" s="135" t="s">
        <v>160</v>
      </c>
      <c r="H29" s="147">
        <f t="shared" si="9"/>
        <v>283.779060146007</v>
      </c>
      <c r="I29" s="147">
        <f t="shared" si="10"/>
        <v>64.462088856909986</v>
      </c>
      <c r="J29" s="147">
        <f t="shared" si="11"/>
        <v>55.824884866371008</v>
      </c>
      <c r="K29" t="s">
        <v>176</v>
      </c>
      <c r="L29" s="130" t="s">
        <v>206</v>
      </c>
      <c r="M29" s="136" t="s">
        <v>175</v>
      </c>
      <c r="N29" t="s">
        <v>196</v>
      </c>
      <c r="O29" t="s">
        <v>156</v>
      </c>
      <c r="P29" s="153" t="s">
        <v>157</v>
      </c>
      <c r="Q29" s="157">
        <v>10</v>
      </c>
      <c r="R29" s="157">
        <v>3</v>
      </c>
      <c r="S29" s="157">
        <v>100</v>
      </c>
      <c r="T29" s="157">
        <v>102</v>
      </c>
      <c r="U29" s="157" t="s">
        <v>160</v>
      </c>
      <c r="V29" s="157" t="s">
        <v>160</v>
      </c>
      <c r="W29" s="157" t="s">
        <v>160</v>
      </c>
      <c r="X29" t="s">
        <v>158</v>
      </c>
      <c r="Y29" s="131">
        <v>12.75</v>
      </c>
      <c r="Z29" s="131">
        <v>-78.73</v>
      </c>
      <c r="AA29" s="131">
        <v>12.75</v>
      </c>
      <c r="AB29" s="131">
        <v>-78.73</v>
      </c>
      <c r="AC29" s="131">
        <v>-2828</v>
      </c>
      <c r="AD29" s="131">
        <v>-2828</v>
      </c>
      <c r="AE29" s="153" t="s">
        <v>160</v>
      </c>
      <c r="AF29" s="153" t="s">
        <v>160</v>
      </c>
      <c r="AG29" s="138">
        <v>2686.5603030000002</v>
      </c>
      <c r="AH29" s="2" t="s">
        <v>159</v>
      </c>
      <c r="AI29" s="153" t="s">
        <v>160</v>
      </c>
      <c r="AJ29" s="153" t="s">
        <v>160</v>
      </c>
      <c r="AK29" s="154" t="s">
        <v>160</v>
      </c>
      <c r="AL29" s="154" t="s">
        <v>177</v>
      </c>
      <c r="AM29" s="157" t="s">
        <v>160</v>
      </c>
      <c r="AN29" t="s">
        <v>160</v>
      </c>
      <c r="AO29" t="s">
        <v>160</v>
      </c>
      <c r="AP29" t="s">
        <v>160</v>
      </c>
      <c r="AQ29" t="s">
        <v>160</v>
      </c>
      <c r="AR29" t="s">
        <v>160</v>
      </c>
      <c r="AS29" t="s">
        <v>160</v>
      </c>
      <c r="AT29" t="s">
        <v>160</v>
      </c>
      <c r="AU29" s="145" t="s">
        <v>178</v>
      </c>
      <c r="AV29" t="s">
        <v>161</v>
      </c>
      <c r="AW29" s="141" t="s">
        <v>179</v>
      </c>
      <c r="AX29" s="141" t="s">
        <v>180</v>
      </c>
      <c r="AY29" s="139" t="s">
        <v>181</v>
      </c>
      <c r="AZ29" s="139" t="s">
        <v>182</v>
      </c>
      <c r="BA29" t="s">
        <v>162</v>
      </c>
      <c r="BB29" s="153" t="s">
        <v>217</v>
      </c>
      <c r="BC29" s="153" t="s">
        <v>217</v>
      </c>
      <c r="BD29" s="153" t="s">
        <v>217</v>
      </c>
      <c r="BE29" s="138">
        <v>20.31268</v>
      </c>
      <c r="BF29" t="s">
        <v>183</v>
      </c>
      <c r="BG29" s="138">
        <v>0.100049095</v>
      </c>
      <c r="BH29">
        <v>0.6</v>
      </c>
      <c r="BI29" t="s">
        <v>184</v>
      </c>
      <c r="BJ29" s="2">
        <v>0.08</v>
      </c>
      <c r="BK29">
        <v>8.8699999999999992</v>
      </c>
      <c r="BL29" t="s">
        <v>163</v>
      </c>
      <c r="BM29">
        <v>1.52</v>
      </c>
      <c r="BN29" t="s">
        <v>185</v>
      </c>
      <c r="BO29" t="s">
        <v>186</v>
      </c>
      <c r="BP29" s="158">
        <f t="shared" si="12"/>
        <v>19.071133333333336</v>
      </c>
      <c r="BQ29" t="s">
        <v>184</v>
      </c>
      <c r="BR29" s="154" t="s">
        <v>160</v>
      </c>
      <c r="BS29" s="154" t="s">
        <v>160</v>
      </c>
      <c r="BT29" t="s">
        <v>214</v>
      </c>
      <c r="BU29" t="s">
        <v>218</v>
      </c>
      <c r="BV29" t="s">
        <v>164</v>
      </c>
      <c r="BW29" t="s">
        <v>164</v>
      </c>
      <c r="BX29" s="138">
        <v>26.66178</v>
      </c>
      <c r="BY29" t="s">
        <v>184</v>
      </c>
      <c r="BZ29" s="159">
        <v>3</v>
      </c>
      <c r="CA29" s="159">
        <v>3</v>
      </c>
      <c r="CB29" s="138">
        <v>3.2766595106834946</v>
      </c>
      <c r="CC29" s="138">
        <v>3.2766595106834946</v>
      </c>
      <c r="CD29" t="s">
        <v>188</v>
      </c>
      <c r="CE29" s="147">
        <f t="shared" si="13"/>
        <v>8.8469806788454355E-2</v>
      </c>
      <c r="CF29" s="147">
        <f t="shared" si="14"/>
        <v>8.8469806788454355E-2</v>
      </c>
      <c r="CG29" s="153" t="s">
        <v>215</v>
      </c>
      <c r="CH29" s="148" t="s">
        <v>207</v>
      </c>
      <c r="CI29" s="138">
        <v>4.1235839889786785</v>
      </c>
      <c r="CJ29" s="138" t="s">
        <v>244</v>
      </c>
      <c r="CK29" t="s">
        <v>160</v>
      </c>
      <c r="CL29" t="s">
        <v>189</v>
      </c>
      <c r="CM29" t="s">
        <v>160</v>
      </c>
      <c r="CN29" t="s">
        <v>160</v>
      </c>
      <c r="CO29" t="s">
        <v>160</v>
      </c>
      <c r="CP29" t="s">
        <v>160</v>
      </c>
      <c r="CQ29" t="s">
        <v>160</v>
      </c>
      <c r="CR29" t="s">
        <v>160</v>
      </c>
      <c r="CS29" t="s">
        <v>160</v>
      </c>
      <c r="CT29" t="s">
        <v>160</v>
      </c>
      <c r="CU29" s="134">
        <v>35</v>
      </c>
      <c r="CV29" t="s">
        <v>159</v>
      </c>
      <c r="CW29">
        <v>3</v>
      </c>
      <c r="CX29" s="149" t="s">
        <v>187</v>
      </c>
      <c r="CY29" s="157" t="s">
        <v>160</v>
      </c>
      <c r="CZ29" s="157" t="s">
        <v>160</v>
      </c>
      <c r="DA29" s="157" t="s">
        <v>160</v>
      </c>
      <c r="DB29" s="157" t="s">
        <v>160</v>
      </c>
      <c r="DC29" s="157" t="s">
        <v>160</v>
      </c>
      <c r="DD29" s="157" t="s">
        <v>160</v>
      </c>
      <c r="DE29" s="157" t="s">
        <v>160</v>
      </c>
      <c r="DF29" s="157" t="s">
        <v>160</v>
      </c>
      <c r="DG29" s="157" t="s">
        <v>160</v>
      </c>
      <c r="DH29" s="157" t="s">
        <v>160</v>
      </c>
      <c r="DI29" s="157" t="s">
        <v>160</v>
      </c>
      <c r="DJ29" s="157" t="s">
        <v>160</v>
      </c>
      <c r="DK29" s="132">
        <v>432.56244218316402</v>
      </c>
      <c r="DL29" t="s">
        <v>165</v>
      </c>
      <c r="DM29" s="153">
        <v>37.1</v>
      </c>
      <c r="DN29" t="s">
        <v>166</v>
      </c>
      <c r="DO29" s="138">
        <v>39.223818229999999</v>
      </c>
      <c r="DP29" s="154" t="s">
        <v>163</v>
      </c>
      <c r="DQ29" s="146">
        <v>0.2</v>
      </c>
      <c r="DR29" t="s">
        <v>190</v>
      </c>
      <c r="DS29" t="s">
        <v>167</v>
      </c>
      <c r="DT29" t="s">
        <v>168</v>
      </c>
      <c r="DU29">
        <v>1.0271999999999999</v>
      </c>
      <c r="DV29" t="s">
        <v>191</v>
      </c>
      <c r="DW29">
        <v>5.9999999999999995E-4</v>
      </c>
      <c r="DX29" t="s">
        <v>198</v>
      </c>
      <c r="DY29" t="s">
        <v>160</v>
      </c>
      <c r="DZ29" t="s">
        <v>160</v>
      </c>
      <c r="EA29" t="s">
        <v>192</v>
      </c>
      <c r="EB29" t="s">
        <v>169</v>
      </c>
      <c r="EC29" t="s">
        <v>170</v>
      </c>
      <c r="ED29" t="s">
        <v>170</v>
      </c>
      <c r="EE29" s="157" t="s">
        <v>160</v>
      </c>
      <c r="EF29" t="s">
        <v>160</v>
      </c>
      <c r="EG29" t="s">
        <v>160</v>
      </c>
      <c r="EH29" t="s">
        <v>171</v>
      </c>
      <c r="EI29" t="s">
        <v>193</v>
      </c>
      <c r="EJ29" t="s">
        <v>194</v>
      </c>
      <c r="EK29" s="137">
        <v>2330</v>
      </c>
      <c r="EL29" t="s">
        <v>211</v>
      </c>
      <c r="EM29">
        <v>175</v>
      </c>
      <c r="EN29">
        <v>175</v>
      </c>
      <c r="EO29" t="s">
        <v>160</v>
      </c>
      <c r="EP29" t="s">
        <v>160</v>
      </c>
      <c r="EQ29" t="s">
        <v>160</v>
      </c>
      <c r="ER29" t="s">
        <v>160</v>
      </c>
      <c r="ES29" s="138">
        <v>8.1412170194906306</v>
      </c>
      <c r="ET29" s="133" t="s">
        <v>172</v>
      </c>
      <c r="EU29" s="138">
        <v>6.3073661934678782E-2</v>
      </c>
      <c r="EV29" s="138">
        <v>6.4142958834070285E-2</v>
      </c>
      <c r="EW29" s="147">
        <v>304.779060146007</v>
      </c>
      <c r="EX29" s="154">
        <v>21</v>
      </c>
      <c r="EY29" s="154" t="s">
        <v>195</v>
      </c>
      <c r="EZ29" s="138">
        <v>283.779060146007</v>
      </c>
      <c r="FA29" s="138">
        <v>64.462088856909986</v>
      </c>
      <c r="FB29" s="138">
        <v>55.824884866371008</v>
      </c>
      <c r="FC29" s="156" t="s">
        <v>212</v>
      </c>
      <c r="FD29" s="156" t="s">
        <v>213</v>
      </c>
      <c r="FE29" t="s">
        <v>173</v>
      </c>
      <c r="FF29" t="s">
        <v>173</v>
      </c>
      <c r="FG29" t="s">
        <v>173</v>
      </c>
      <c r="FH29" t="s">
        <v>173</v>
      </c>
      <c r="FI29" t="s">
        <v>173</v>
      </c>
      <c r="FJ29" t="s">
        <v>173</v>
      </c>
      <c r="FK29" t="s">
        <v>173</v>
      </c>
      <c r="FL29" t="s">
        <v>173</v>
      </c>
      <c r="FM29" t="s">
        <v>173</v>
      </c>
      <c r="FN29" t="s">
        <v>173</v>
      </c>
      <c r="FO29" t="s">
        <v>173</v>
      </c>
      <c r="FP29" t="s">
        <v>173</v>
      </c>
    </row>
    <row r="30" spans="1:172" ht="18" x14ac:dyDescent="0.2">
      <c r="A30" s="126" t="s">
        <v>152</v>
      </c>
      <c r="B30" t="s">
        <v>174</v>
      </c>
      <c r="C30">
        <v>2015</v>
      </c>
      <c r="D30" t="s">
        <v>196</v>
      </c>
      <c r="E30" s="147">
        <f t="shared" si="8"/>
        <v>2695.158203</v>
      </c>
      <c r="F30" s="135" t="s">
        <v>160</v>
      </c>
      <c r="G30" s="135" t="s">
        <v>160</v>
      </c>
      <c r="H30" s="147">
        <f t="shared" si="9"/>
        <v>275.60348356145698</v>
      </c>
      <c r="I30" s="147">
        <f t="shared" si="10"/>
        <v>61.164729919116041</v>
      </c>
      <c r="J30" s="147">
        <f t="shared" si="11"/>
        <v>54.642652867815997</v>
      </c>
      <c r="K30" t="s">
        <v>176</v>
      </c>
      <c r="L30" s="130" t="s">
        <v>206</v>
      </c>
      <c r="M30" s="136" t="s">
        <v>175</v>
      </c>
      <c r="N30" t="s">
        <v>196</v>
      </c>
      <c r="O30" t="s">
        <v>156</v>
      </c>
      <c r="P30" s="153" t="s">
        <v>157</v>
      </c>
      <c r="Q30" s="157">
        <v>10</v>
      </c>
      <c r="R30" s="157">
        <v>3</v>
      </c>
      <c r="S30" s="157">
        <v>140</v>
      </c>
      <c r="T30" s="157">
        <v>142</v>
      </c>
      <c r="U30" s="157" t="s">
        <v>160</v>
      </c>
      <c r="V30" s="157" t="s">
        <v>160</v>
      </c>
      <c r="W30" s="157" t="s">
        <v>160</v>
      </c>
      <c r="X30" t="s">
        <v>158</v>
      </c>
      <c r="Y30" s="131">
        <v>12.75</v>
      </c>
      <c r="Z30" s="131">
        <v>-78.73</v>
      </c>
      <c r="AA30" s="131">
        <v>12.75</v>
      </c>
      <c r="AB30" s="131">
        <v>-78.73</v>
      </c>
      <c r="AC30" s="131">
        <v>-2828</v>
      </c>
      <c r="AD30" s="131">
        <v>-2828</v>
      </c>
      <c r="AE30" s="153" t="s">
        <v>160</v>
      </c>
      <c r="AF30" s="153" t="s">
        <v>160</v>
      </c>
      <c r="AG30" s="138">
        <v>2695.158203</v>
      </c>
      <c r="AH30" s="2" t="s">
        <v>159</v>
      </c>
      <c r="AI30" s="153" t="s">
        <v>160</v>
      </c>
      <c r="AJ30" s="153" t="s">
        <v>160</v>
      </c>
      <c r="AK30" s="154" t="s">
        <v>160</v>
      </c>
      <c r="AL30" s="154" t="s">
        <v>177</v>
      </c>
      <c r="AM30" s="157" t="s">
        <v>160</v>
      </c>
      <c r="AN30" t="s">
        <v>160</v>
      </c>
      <c r="AO30" t="s">
        <v>160</v>
      </c>
      <c r="AP30" t="s">
        <v>160</v>
      </c>
      <c r="AQ30" t="s">
        <v>160</v>
      </c>
      <c r="AR30" t="s">
        <v>160</v>
      </c>
      <c r="AS30" t="s">
        <v>160</v>
      </c>
      <c r="AT30" t="s">
        <v>160</v>
      </c>
      <c r="AU30" s="145" t="s">
        <v>178</v>
      </c>
      <c r="AV30" t="s">
        <v>161</v>
      </c>
      <c r="AW30" s="141" t="s">
        <v>179</v>
      </c>
      <c r="AX30" s="139" t="s">
        <v>180</v>
      </c>
      <c r="AY30" s="139" t="s">
        <v>181</v>
      </c>
      <c r="AZ30" s="139" t="s">
        <v>182</v>
      </c>
      <c r="BA30" s="140" t="s">
        <v>162</v>
      </c>
      <c r="BB30" s="153" t="s">
        <v>217</v>
      </c>
      <c r="BC30" s="153" t="s">
        <v>217</v>
      </c>
      <c r="BD30" s="153" t="s">
        <v>217</v>
      </c>
      <c r="BE30" s="138">
        <v>20.347470000000001</v>
      </c>
      <c r="BF30" t="s">
        <v>183</v>
      </c>
      <c r="BG30" s="138">
        <v>9.0696233000000001E-2</v>
      </c>
      <c r="BH30">
        <v>0.6</v>
      </c>
      <c r="BI30" t="s">
        <v>184</v>
      </c>
      <c r="BJ30" s="2">
        <v>0.08</v>
      </c>
      <c r="BK30">
        <v>8.8699999999999992</v>
      </c>
      <c r="BL30" t="s">
        <v>163</v>
      </c>
      <c r="BM30">
        <v>1.52</v>
      </c>
      <c r="BN30" t="s">
        <v>185</v>
      </c>
      <c r="BO30" t="s">
        <v>186</v>
      </c>
      <c r="BP30" s="158">
        <f t="shared" si="12"/>
        <v>19.129116666666672</v>
      </c>
      <c r="BQ30" t="s">
        <v>184</v>
      </c>
      <c r="BR30" s="154" t="s">
        <v>160</v>
      </c>
      <c r="BS30" s="154" t="s">
        <v>160</v>
      </c>
      <c r="BT30" t="s">
        <v>214</v>
      </c>
      <c r="BU30" t="s">
        <v>218</v>
      </c>
      <c r="BV30" t="s">
        <v>164</v>
      </c>
      <c r="BW30" t="s">
        <v>164</v>
      </c>
      <c r="BX30" s="138">
        <v>26.156130000000001</v>
      </c>
      <c r="BY30" t="s">
        <v>184</v>
      </c>
      <c r="BZ30" s="159">
        <v>3</v>
      </c>
      <c r="CA30" s="159">
        <v>3</v>
      </c>
      <c r="CB30" s="138">
        <v>3.1297490837155149</v>
      </c>
      <c r="CC30" s="138">
        <v>3.1297490837155149</v>
      </c>
      <c r="CD30" t="s">
        <v>188</v>
      </c>
      <c r="CE30" s="147">
        <f t="shared" si="13"/>
        <v>8.4503225260318907E-2</v>
      </c>
      <c r="CF30" s="147">
        <f t="shared" si="14"/>
        <v>8.4503225260318907E-2</v>
      </c>
      <c r="CG30" s="153" t="s">
        <v>215</v>
      </c>
      <c r="CH30" s="148" t="s">
        <v>207</v>
      </c>
      <c r="CI30" s="138">
        <v>4.1199334663857226</v>
      </c>
      <c r="CJ30" s="138" t="s">
        <v>244</v>
      </c>
      <c r="CK30" t="s">
        <v>160</v>
      </c>
      <c r="CL30" t="s">
        <v>189</v>
      </c>
      <c r="CM30" t="s">
        <v>160</v>
      </c>
      <c r="CN30" t="s">
        <v>160</v>
      </c>
      <c r="CO30" t="s">
        <v>160</v>
      </c>
      <c r="CP30" t="s">
        <v>160</v>
      </c>
      <c r="CQ30" t="s">
        <v>160</v>
      </c>
      <c r="CR30" t="s">
        <v>160</v>
      </c>
      <c r="CS30" t="s">
        <v>160</v>
      </c>
      <c r="CT30" t="s">
        <v>160</v>
      </c>
      <c r="CU30" s="134">
        <v>35</v>
      </c>
      <c r="CV30" t="s">
        <v>159</v>
      </c>
      <c r="CW30">
        <v>3</v>
      </c>
      <c r="CX30" s="149" t="s">
        <v>187</v>
      </c>
      <c r="CY30" s="157" t="s">
        <v>160</v>
      </c>
      <c r="CZ30" s="157" t="s">
        <v>160</v>
      </c>
      <c r="DA30" s="157" t="s">
        <v>160</v>
      </c>
      <c r="DB30" s="157" t="s">
        <v>160</v>
      </c>
      <c r="DC30" s="157" t="s">
        <v>160</v>
      </c>
      <c r="DD30" s="157" t="s">
        <v>160</v>
      </c>
      <c r="DE30" s="157" t="s">
        <v>160</v>
      </c>
      <c r="DF30" s="157" t="s">
        <v>160</v>
      </c>
      <c r="DG30" s="157" t="s">
        <v>160</v>
      </c>
      <c r="DH30" s="157" t="s">
        <v>160</v>
      </c>
      <c r="DI30" s="157" t="s">
        <v>160</v>
      </c>
      <c r="DJ30" s="157" t="s">
        <v>160</v>
      </c>
      <c r="DK30" s="132">
        <v>432.56244218316402</v>
      </c>
      <c r="DL30" t="s">
        <v>165</v>
      </c>
      <c r="DM30" s="153">
        <v>37.1</v>
      </c>
      <c r="DN30" t="s">
        <v>166</v>
      </c>
      <c r="DO30" s="138">
        <v>39.222343250000002</v>
      </c>
      <c r="DP30" s="154" t="s">
        <v>163</v>
      </c>
      <c r="DQ30" s="146">
        <v>0.2</v>
      </c>
      <c r="DR30" t="s">
        <v>190</v>
      </c>
      <c r="DS30" t="s">
        <v>167</v>
      </c>
      <c r="DT30" t="s">
        <v>168</v>
      </c>
      <c r="DU30">
        <v>1.0271999999999999</v>
      </c>
      <c r="DV30" t="s">
        <v>191</v>
      </c>
      <c r="DW30">
        <v>5.9999999999999995E-4</v>
      </c>
      <c r="DX30" t="s">
        <v>198</v>
      </c>
      <c r="DY30" t="s">
        <v>160</v>
      </c>
      <c r="DZ30" t="s">
        <v>160</v>
      </c>
      <c r="EA30" t="s">
        <v>192</v>
      </c>
      <c r="EB30" t="s">
        <v>169</v>
      </c>
      <c r="EC30" t="s">
        <v>170</v>
      </c>
      <c r="ED30" t="s">
        <v>170</v>
      </c>
      <c r="EE30" s="157" t="s">
        <v>160</v>
      </c>
      <c r="EF30" t="s">
        <v>160</v>
      </c>
      <c r="EG30" t="s">
        <v>160</v>
      </c>
      <c r="EH30" t="s">
        <v>171</v>
      </c>
      <c r="EI30" t="s">
        <v>193</v>
      </c>
      <c r="EJ30" t="s">
        <v>194</v>
      </c>
      <c r="EK30" s="137">
        <v>2330</v>
      </c>
      <c r="EL30" t="s">
        <v>211</v>
      </c>
      <c r="EM30">
        <v>175</v>
      </c>
      <c r="EN30">
        <v>175</v>
      </c>
      <c r="EO30" t="s">
        <v>160</v>
      </c>
      <c r="EP30" t="s">
        <v>160</v>
      </c>
      <c r="EQ30" t="s">
        <v>160</v>
      </c>
      <c r="ER30" t="s">
        <v>160</v>
      </c>
      <c r="ES30" s="138">
        <v>8.1512210182900695</v>
      </c>
      <c r="ET30" s="133" t="s">
        <v>172</v>
      </c>
      <c r="EU30" s="138">
        <v>6.3361899109320774E-2</v>
      </c>
      <c r="EV30" s="138">
        <v>6.3274801188528684E-2</v>
      </c>
      <c r="EW30" s="147">
        <v>296.60348356145698</v>
      </c>
      <c r="EX30" s="154">
        <v>21</v>
      </c>
      <c r="EY30" s="154" t="s">
        <v>195</v>
      </c>
      <c r="EZ30" s="138">
        <v>275.60348356145698</v>
      </c>
      <c r="FA30" s="138">
        <v>61.164729919116041</v>
      </c>
      <c r="FB30" s="138">
        <v>54.642652867815997</v>
      </c>
      <c r="FC30" s="156" t="s">
        <v>212</v>
      </c>
      <c r="FD30" s="156" t="s">
        <v>213</v>
      </c>
      <c r="FE30" t="s">
        <v>173</v>
      </c>
      <c r="FF30" t="s">
        <v>173</v>
      </c>
      <c r="FG30" t="s">
        <v>173</v>
      </c>
      <c r="FH30" t="s">
        <v>173</v>
      </c>
      <c r="FI30" t="s">
        <v>173</v>
      </c>
      <c r="FJ30" t="s">
        <v>173</v>
      </c>
      <c r="FK30" t="s">
        <v>173</v>
      </c>
      <c r="FL30" t="s">
        <v>173</v>
      </c>
      <c r="FM30" t="s">
        <v>173</v>
      </c>
      <c r="FN30" t="s">
        <v>173</v>
      </c>
      <c r="FO30" t="s">
        <v>173</v>
      </c>
      <c r="FP30" t="s">
        <v>173</v>
      </c>
    </row>
    <row r="31" spans="1:172" ht="18" x14ac:dyDescent="0.2">
      <c r="A31" s="126" t="s">
        <v>152</v>
      </c>
      <c r="B31" t="s">
        <v>174</v>
      </c>
      <c r="C31">
        <v>2015</v>
      </c>
      <c r="D31" t="s">
        <v>196</v>
      </c>
      <c r="E31" s="147">
        <f t="shared" si="8"/>
        <v>2700.0434570000002</v>
      </c>
      <c r="F31" s="135" t="s">
        <v>160</v>
      </c>
      <c r="G31" s="135" t="s">
        <v>160</v>
      </c>
      <c r="H31" s="147">
        <f t="shared" si="9"/>
        <v>234.409752036762</v>
      </c>
      <c r="I31" s="147">
        <f t="shared" si="10"/>
        <v>58.623452798504985</v>
      </c>
      <c r="J31" s="147">
        <f t="shared" si="11"/>
        <v>51.076655281308007</v>
      </c>
      <c r="K31" t="s">
        <v>176</v>
      </c>
      <c r="L31" s="130" t="s">
        <v>206</v>
      </c>
      <c r="M31" s="136" t="s">
        <v>175</v>
      </c>
      <c r="N31" t="s">
        <v>196</v>
      </c>
      <c r="O31" t="s">
        <v>156</v>
      </c>
      <c r="P31" s="153" t="s">
        <v>157</v>
      </c>
      <c r="Q31" s="157">
        <v>10</v>
      </c>
      <c r="R31" s="157">
        <v>4</v>
      </c>
      <c r="S31" s="157">
        <v>14</v>
      </c>
      <c r="T31" s="157">
        <v>16</v>
      </c>
      <c r="U31" s="157" t="s">
        <v>160</v>
      </c>
      <c r="V31" s="157" t="s">
        <v>160</v>
      </c>
      <c r="W31" s="157" t="s">
        <v>160</v>
      </c>
      <c r="X31" t="s">
        <v>158</v>
      </c>
      <c r="Y31" s="131">
        <v>12.75</v>
      </c>
      <c r="Z31" s="131">
        <v>-78.73</v>
      </c>
      <c r="AA31" s="131">
        <v>12.75</v>
      </c>
      <c r="AB31" s="131">
        <v>-78.73</v>
      </c>
      <c r="AC31" s="131">
        <v>-2828</v>
      </c>
      <c r="AD31" s="131">
        <v>-2828</v>
      </c>
      <c r="AE31" s="153" t="s">
        <v>160</v>
      </c>
      <c r="AF31" s="153" t="s">
        <v>160</v>
      </c>
      <c r="AG31" s="138">
        <v>2700.0434570000002</v>
      </c>
      <c r="AH31" s="2" t="s">
        <v>159</v>
      </c>
      <c r="AI31" s="153" t="s">
        <v>160</v>
      </c>
      <c r="AJ31" s="153" t="s">
        <v>160</v>
      </c>
      <c r="AK31" s="154" t="s">
        <v>160</v>
      </c>
      <c r="AL31" s="154" t="s">
        <v>177</v>
      </c>
      <c r="AM31" s="157" t="s">
        <v>160</v>
      </c>
      <c r="AN31" t="s">
        <v>160</v>
      </c>
      <c r="AO31" t="s">
        <v>160</v>
      </c>
      <c r="AP31" t="s">
        <v>160</v>
      </c>
      <c r="AQ31" t="s">
        <v>160</v>
      </c>
      <c r="AR31" t="s">
        <v>160</v>
      </c>
      <c r="AS31" t="s">
        <v>160</v>
      </c>
      <c r="AT31" t="s">
        <v>160</v>
      </c>
      <c r="AU31" s="145" t="s">
        <v>178</v>
      </c>
      <c r="AV31" t="s">
        <v>161</v>
      </c>
      <c r="AW31" s="141" t="s">
        <v>179</v>
      </c>
      <c r="AX31" s="141" t="s">
        <v>180</v>
      </c>
      <c r="AY31" s="139" t="s">
        <v>181</v>
      </c>
      <c r="AZ31" s="139" t="s">
        <v>182</v>
      </c>
      <c r="BA31" t="s">
        <v>162</v>
      </c>
      <c r="BB31" s="153" t="s">
        <v>217</v>
      </c>
      <c r="BC31" s="153" t="s">
        <v>217</v>
      </c>
      <c r="BD31" s="153" t="s">
        <v>217</v>
      </c>
      <c r="BE31" s="138">
        <v>20.745819999999998</v>
      </c>
      <c r="BF31" t="s">
        <v>183</v>
      </c>
      <c r="BG31" s="138">
        <v>0.21723298899999999</v>
      </c>
      <c r="BH31">
        <v>0.6</v>
      </c>
      <c r="BI31" t="s">
        <v>184</v>
      </c>
      <c r="BJ31" s="2">
        <v>0.08</v>
      </c>
      <c r="BK31">
        <v>8.8699999999999992</v>
      </c>
      <c r="BL31" t="s">
        <v>163</v>
      </c>
      <c r="BM31">
        <v>1.52</v>
      </c>
      <c r="BN31" t="s">
        <v>185</v>
      </c>
      <c r="BO31" t="s">
        <v>186</v>
      </c>
      <c r="BP31" s="158">
        <f t="shared" si="12"/>
        <v>19.793033333333334</v>
      </c>
      <c r="BQ31" t="s">
        <v>184</v>
      </c>
      <c r="BR31" s="154" t="s">
        <v>160</v>
      </c>
      <c r="BS31" s="154" t="s">
        <v>160</v>
      </c>
      <c r="BT31" t="s">
        <v>214</v>
      </c>
      <c r="BU31" t="s">
        <v>218</v>
      </c>
      <c r="BV31" t="s">
        <v>164</v>
      </c>
      <c r="BW31" t="s">
        <v>164</v>
      </c>
      <c r="BX31" s="138">
        <v>26.450230000000001</v>
      </c>
      <c r="BY31" t="s">
        <v>184</v>
      </c>
      <c r="BZ31" s="159">
        <v>3</v>
      </c>
      <c r="CA31" s="159">
        <v>3</v>
      </c>
      <c r="CB31" s="138">
        <v>3.2130296454663103</v>
      </c>
      <c r="CC31" s="138">
        <v>3.2130296454663103</v>
      </c>
      <c r="CD31" t="s">
        <v>188</v>
      </c>
      <c r="CE31" s="147">
        <f t="shared" si="13"/>
        <v>8.6751800427590384E-2</v>
      </c>
      <c r="CF31" s="147">
        <f t="shared" si="14"/>
        <v>8.6751800427590384E-2</v>
      </c>
      <c r="CG31" s="153" t="s">
        <v>215</v>
      </c>
      <c r="CH31" s="148" t="s">
        <v>207</v>
      </c>
      <c r="CI31" s="138">
        <v>4.1178486086019879</v>
      </c>
      <c r="CJ31" s="138" t="s">
        <v>244</v>
      </c>
      <c r="CK31" t="s">
        <v>160</v>
      </c>
      <c r="CL31" t="s">
        <v>189</v>
      </c>
      <c r="CM31" t="s">
        <v>160</v>
      </c>
      <c r="CN31" t="s">
        <v>160</v>
      </c>
      <c r="CO31" t="s">
        <v>160</v>
      </c>
      <c r="CP31" t="s">
        <v>160</v>
      </c>
      <c r="CQ31" t="s">
        <v>160</v>
      </c>
      <c r="CR31" t="s">
        <v>160</v>
      </c>
      <c r="CS31" t="s">
        <v>160</v>
      </c>
      <c r="CT31" t="s">
        <v>160</v>
      </c>
      <c r="CU31" s="134">
        <v>35</v>
      </c>
      <c r="CV31" t="s">
        <v>159</v>
      </c>
      <c r="CW31">
        <v>3</v>
      </c>
      <c r="CX31" s="149" t="s">
        <v>187</v>
      </c>
      <c r="CY31" s="157" t="s">
        <v>160</v>
      </c>
      <c r="CZ31" s="157" t="s">
        <v>160</v>
      </c>
      <c r="DA31" s="157" t="s">
        <v>160</v>
      </c>
      <c r="DB31" s="157" t="s">
        <v>160</v>
      </c>
      <c r="DC31" s="157" t="s">
        <v>160</v>
      </c>
      <c r="DD31" s="157" t="s">
        <v>160</v>
      </c>
      <c r="DE31" s="157" t="s">
        <v>160</v>
      </c>
      <c r="DF31" s="157" t="s">
        <v>160</v>
      </c>
      <c r="DG31" s="157" t="s">
        <v>160</v>
      </c>
      <c r="DH31" s="157" t="s">
        <v>160</v>
      </c>
      <c r="DI31" s="157" t="s">
        <v>160</v>
      </c>
      <c r="DJ31" s="157" t="s">
        <v>160</v>
      </c>
      <c r="DK31" s="132">
        <v>432.56244218316402</v>
      </c>
      <c r="DL31" t="s">
        <v>165</v>
      </c>
      <c r="DM31" s="153">
        <v>37.1</v>
      </c>
      <c r="DN31" t="s">
        <v>166</v>
      </c>
      <c r="DO31" s="138">
        <v>39.221488989999997</v>
      </c>
      <c r="DP31" s="154" t="s">
        <v>163</v>
      </c>
      <c r="DQ31" s="146">
        <v>0.2</v>
      </c>
      <c r="DR31" t="s">
        <v>190</v>
      </c>
      <c r="DS31" t="s">
        <v>167</v>
      </c>
      <c r="DT31" t="s">
        <v>168</v>
      </c>
      <c r="DU31">
        <v>1.0271999999999999</v>
      </c>
      <c r="DV31" t="s">
        <v>191</v>
      </c>
      <c r="DW31">
        <v>5.9999999999999995E-4</v>
      </c>
      <c r="DX31" t="s">
        <v>198</v>
      </c>
      <c r="DY31" t="s">
        <v>160</v>
      </c>
      <c r="DZ31" t="s">
        <v>160</v>
      </c>
      <c r="EA31" t="s">
        <v>192</v>
      </c>
      <c r="EB31" t="s">
        <v>169</v>
      </c>
      <c r="EC31" t="s">
        <v>170</v>
      </c>
      <c r="ED31" t="s">
        <v>170</v>
      </c>
      <c r="EE31" s="157" t="s">
        <v>160</v>
      </c>
      <c r="EF31" t="s">
        <v>160</v>
      </c>
      <c r="EG31" t="s">
        <v>160</v>
      </c>
      <c r="EH31" t="s">
        <v>171</v>
      </c>
      <c r="EI31" t="s">
        <v>193</v>
      </c>
      <c r="EJ31" t="s">
        <v>194</v>
      </c>
      <c r="EK31" s="137">
        <v>2330</v>
      </c>
      <c r="EL31" t="s">
        <v>211</v>
      </c>
      <c r="EM31">
        <v>175</v>
      </c>
      <c r="EN31">
        <v>175</v>
      </c>
      <c r="EO31" t="s">
        <v>160</v>
      </c>
      <c r="EP31" t="s">
        <v>160</v>
      </c>
      <c r="EQ31" t="s">
        <v>160</v>
      </c>
      <c r="ER31" t="s">
        <v>160</v>
      </c>
      <c r="ES31" s="138">
        <v>8.20108304521756</v>
      </c>
      <c r="ET31" s="133" t="s">
        <v>172</v>
      </c>
      <c r="EU31" s="138">
        <v>7.0009394929119395E-2</v>
      </c>
      <c r="EV31" s="138">
        <v>6.916302341631031E-2</v>
      </c>
      <c r="EW31" s="147">
        <v>255.409752036762</v>
      </c>
      <c r="EX31" s="154">
        <v>21</v>
      </c>
      <c r="EY31" s="154" t="s">
        <v>195</v>
      </c>
      <c r="EZ31" s="138">
        <v>234.409752036762</v>
      </c>
      <c r="FA31" s="138">
        <v>58.623452798504985</v>
      </c>
      <c r="FB31" s="138">
        <v>51.076655281308007</v>
      </c>
      <c r="FC31" s="156" t="s">
        <v>212</v>
      </c>
      <c r="FD31" s="156" t="s">
        <v>213</v>
      </c>
      <c r="FE31" t="s">
        <v>173</v>
      </c>
      <c r="FF31" t="s">
        <v>173</v>
      </c>
      <c r="FG31" t="s">
        <v>173</v>
      </c>
      <c r="FH31" t="s">
        <v>173</v>
      </c>
      <c r="FI31" t="s">
        <v>173</v>
      </c>
      <c r="FJ31" t="s">
        <v>173</v>
      </c>
      <c r="FK31" t="s">
        <v>173</v>
      </c>
      <c r="FL31" t="s">
        <v>173</v>
      </c>
      <c r="FM31" t="s">
        <v>173</v>
      </c>
      <c r="FN31" t="s">
        <v>173</v>
      </c>
      <c r="FO31" t="s">
        <v>173</v>
      </c>
      <c r="FP31" t="s">
        <v>173</v>
      </c>
    </row>
    <row r="32" spans="1:172" ht="18" x14ac:dyDescent="0.2">
      <c r="A32" s="126" t="s">
        <v>152</v>
      </c>
      <c r="B32" t="s">
        <v>174</v>
      </c>
      <c r="C32">
        <v>2015</v>
      </c>
      <c r="D32" t="s">
        <v>196</v>
      </c>
      <c r="E32" s="147">
        <f t="shared" si="8"/>
        <v>2703.2026369999999</v>
      </c>
      <c r="F32" s="135" t="s">
        <v>160</v>
      </c>
      <c r="G32" s="135" t="s">
        <v>160</v>
      </c>
      <c r="H32" s="147">
        <f t="shared" si="9"/>
        <v>319.02163467755202</v>
      </c>
      <c r="I32" s="147">
        <f t="shared" si="10"/>
        <v>73.602532606059981</v>
      </c>
      <c r="J32" s="147">
        <f t="shared" si="11"/>
        <v>62.045194604947028</v>
      </c>
      <c r="K32" t="s">
        <v>176</v>
      </c>
      <c r="L32" s="130" t="s">
        <v>206</v>
      </c>
      <c r="M32" s="136" t="s">
        <v>175</v>
      </c>
      <c r="N32" t="s">
        <v>196</v>
      </c>
      <c r="O32" t="s">
        <v>156</v>
      </c>
      <c r="P32" s="153" t="s">
        <v>157</v>
      </c>
      <c r="Q32" s="157">
        <v>10</v>
      </c>
      <c r="R32" s="157">
        <v>4</v>
      </c>
      <c r="S32" s="157">
        <v>29</v>
      </c>
      <c r="T32" s="157">
        <v>31</v>
      </c>
      <c r="U32" s="157" t="s">
        <v>160</v>
      </c>
      <c r="V32" s="157" t="s">
        <v>160</v>
      </c>
      <c r="W32" s="157" t="s">
        <v>160</v>
      </c>
      <c r="X32" t="s">
        <v>158</v>
      </c>
      <c r="Y32" s="131">
        <v>12.75</v>
      </c>
      <c r="Z32" s="131">
        <v>-78.73</v>
      </c>
      <c r="AA32" s="131">
        <v>12.75</v>
      </c>
      <c r="AB32" s="131">
        <v>-78.73</v>
      </c>
      <c r="AC32" s="131">
        <v>-2828</v>
      </c>
      <c r="AD32" s="131">
        <v>-2828</v>
      </c>
      <c r="AE32" s="153" t="s">
        <v>160</v>
      </c>
      <c r="AF32" s="153" t="s">
        <v>160</v>
      </c>
      <c r="AG32" s="138">
        <v>2703.2026369999999</v>
      </c>
      <c r="AH32" s="2" t="s">
        <v>159</v>
      </c>
      <c r="AI32" s="153" t="s">
        <v>160</v>
      </c>
      <c r="AJ32" s="153" t="s">
        <v>160</v>
      </c>
      <c r="AK32" s="154" t="s">
        <v>160</v>
      </c>
      <c r="AL32" s="154" t="s">
        <v>177</v>
      </c>
      <c r="AM32" s="157" t="s">
        <v>160</v>
      </c>
      <c r="AN32" t="s">
        <v>160</v>
      </c>
      <c r="AO32" t="s">
        <v>160</v>
      </c>
      <c r="AP32" t="s">
        <v>160</v>
      </c>
      <c r="AQ32" t="s">
        <v>160</v>
      </c>
      <c r="AR32" t="s">
        <v>160</v>
      </c>
      <c r="AS32" t="s">
        <v>160</v>
      </c>
      <c r="AT32" t="s">
        <v>160</v>
      </c>
      <c r="AU32" s="145" t="s">
        <v>178</v>
      </c>
      <c r="AV32" t="s">
        <v>161</v>
      </c>
      <c r="AW32" s="141" t="s">
        <v>179</v>
      </c>
      <c r="AX32" s="139" t="s">
        <v>180</v>
      </c>
      <c r="AY32" s="139" t="s">
        <v>181</v>
      </c>
      <c r="AZ32" s="139" t="s">
        <v>182</v>
      </c>
      <c r="BA32" s="140" t="s">
        <v>162</v>
      </c>
      <c r="BB32" s="153" t="s">
        <v>217</v>
      </c>
      <c r="BC32" s="153" t="s">
        <v>217</v>
      </c>
      <c r="BD32" s="153" t="s">
        <v>217</v>
      </c>
      <c r="BE32" s="138">
        <v>20.052980000000002</v>
      </c>
      <c r="BF32" t="s">
        <v>183</v>
      </c>
      <c r="BG32" s="138">
        <v>0.12726322400000001</v>
      </c>
      <c r="BH32">
        <v>0.6</v>
      </c>
      <c r="BI32" t="s">
        <v>184</v>
      </c>
      <c r="BJ32" s="2">
        <v>0.08</v>
      </c>
      <c r="BK32">
        <v>8.8699999999999992</v>
      </c>
      <c r="BL32" t="s">
        <v>163</v>
      </c>
      <c r="BM32">
        <v>1.52</v>
      </c>
      <c r="BN32" t="s">
        <v>185</v>
      </c>
      <c r="BO32" t="s">
        <v>186</v>
      </c>
      <c r="BP32" s="158">
        <f t="shared" si="12"/>
        <v>18.638300000000005</v>
      </c>
      <c r="BQ32" t="s">
        <v>184</v>
      </c>
      <c r="BR32" s="154" t="s">
        <v>160</v>
      </c>
      <c r="BS32" s="154" t="s">
        <v>160</v>
      </c>
      <c r="BT32" t="s">
        <v>214</v>
      </c>
      <c r="BU32" t="s">
        <v>218</v>
      </c>
      <c r="BV32" t="s">
        <v>164</v>
      </c>
      <c r="BW32" t="s">
        <v>164</v>
      </c>
      <c r="BX32" s="138">
        <v>26.62105</v>
      </c>
      <c r="BY32" t="s">
        <v>184</v>
      </c>
      <c r="BZ32" s="159">
        <v>3</v>
      </c>
      <c r="CA32" s="159">
        <v>3</v>
      </c>
      <c r="CB32" s="138">
        <v>3.2624068047467349</v>
      </c>
      <c r="CC32" s="138">
        <v>3.2624068047467349</v>
      </c>
      <c r="CD32" t="s">
        <v>188</v>
      </c>
      <c r="CE32" s="147">
        <f t="shared" si="13"/>
        <v>8.8084983728161842E-2</v>
      </c>
      <c r="CF32" s="147">
        <f t="shared" si="14"/>
        <v>8.8084983728161842E-2</v>
      </c>
      <c r="CG32" s="153" t="s">
        <v>215</v>
      </c>
      <c r="CH32" s="148" t="s">
        <v>207</v>
      </c>
      <c r="CI32" s="138">
        <v>4.1166144416506487</v>
      </c>
      <c r="CJ32" s="138" t="s">
        <v>244</v>
      </c>
      <c r="CK32" t="s">
        <v>160</v>
      </c>
      <c r="CL32" t="s">
        <v>189</v>
      </c>
      <c r="CM32" t="s">
        <v>160</v>
      </c>
      <c r="CN32" t="s">
        <v>160</v>
      </c>
      <c r="CO32" t="s">
        <v>160</v>
      </c>
      <c r="CP32" t="s">
        <v>160</v>
      </c>
      <c r="CQ32" t="s">
        <v>160</v>
      </c>
      <c r="CR32" t="s">
        <v>160</v>
      </c>
      <c r="CS32" t="s">
        <v>160</v>
      </c>
      <c r="CT32" t="s">
        <v>160</v>
      </c>
      <c r="CU32" s="134">
        <v>35</v>
      </c>
      <c r="CV32" t="s">
        <v>159</v>
      </c>
      <c r="CW32">
        <v>3</v>
      </c>
      <c r="CX32" s="149" t="s">
        <v>187</v>
      </c>
      <c r="CY32" s="157" t="s">
        <v>160</v>
      </c>
      <c r="CZ32" s="157" t="s">
        <v>160</v>
      </c>
      <c r="DA32" s="157" t="s">
        <v>160</v>
      </c>
      <c r="DB32" s="157" t="s">
        <v>160</v>
      </c>
      <c r="DC32" s="157" t="s">
        <v>160</v>
      </c>
      <c r="DD32" s="157" t="s">
        <v>160</v>
      </c>
      <c r="DE32" s="157" t="s">
        <v>160</v>
      </c>
      <c r="DF32" s="157" t="s">
        <v>160</v>
      </c>
      <c r="DG32" s="157" t="s">
        <v>160</v>
      </c>
      <c r="DH32" s="157" t="s">
        <v>160</v>
      </c>
      <c r="DI32" s="157" t="s">
        <v>160</v>
      </c>
      <c r="DJ32" s="157" t="s">
        <v>160</v>
      </c>
      <c r="DK32" s="132">
        <v>432.56244218316402</v>
      </c>
      <c r="DL32" t="s">
        <v>165</v>
      </c>
      <c r="DM32" s="153">
        <v>37.1</v>
      </c>
      <c r="DN32" t="s">
        <v>166</v>
      </c>
      <c r="DO32" s="138">
        <v>39.220906059999997</v>
      </c>
      <c r="DP32" s="154" t="s">
        <v>163</v>
      </c>
      <c r="DQ32" s="146">
        <v>0.2</v>
      </c>
      <c r="DR32" t="s">
        <v>190</v>
      </c>
      <c r="DS32" t="s">
        <v>167</v>
      </c>
      <c r="DT32" t="s">
        <v>168</v>
      </c>
      <c r="DU32">
        <v>1.0271999999999999</v>
      </c>
      <c r="DV32" t="s">
        <v>191</v>
      </c>
      <c r="DW32">
        <v>5.9999999999999995E-4</v>
      </c>
      <c r="DX32" t="s">
        <v>198</v>
      </c>
      <c r="DY32" t="s">
        <v>160</v>
      </c>
      <c r="DZ32" t="s">
        <v>160</v>
      </c>
      <c r="EA32" t="s">
        <v>192</v>
      </c>
      <c r="EB32" t="s">
        <v>169</v>
      </c>
      <c r="EC32" t="s">
        <v>170</v>
      </c>
      <c r="ED32" t="s">
        <v>170</v>
      </c>
      <c r="EE32" s="157" t="s">
        <v>160</v>
      </c>
      <c r="EF32" t="s">
        <v>160</v>
      </c>
      <c r="EG32" t="s">
        <v>160</v>
      </c>
      <c r="EH32" t="s">
        <v>171</v>
      </c>
      <c r="EI32" t="s">
        <v>193</v>
      </c>
      <c r="EJ32" t="s">
        <v>194</v>
      </c>
      <c r="EK32" s="137">
        <v>2330</v>
      </c>
      <c r="EL32" t="s">
        <v>211</v>
      </c>
      <c r="EM32">
        <v>175</v>
      </c>
      <c r="EN32">
        <v>175</v>
      </c>
      <c r="EO32" t="s">
        <v>160</v>
      </c>
      <c r="EP32" t="s">
        <v>160</v>
      </c>
      <c r="EQ32" t="s">
        <v>160</v>
      </c>
      <c r="ER32" t="s">
        <v>160</v>
      </c>
      <c r="ES32" s="138">
        <v>8.1040378318870392</v>
      </c>
      <c r="ET32" s="133" t="s">
        <v>172</v>
      </c>
      <c r="EU32" s="138">
        <v>6.326652357154039E-2</v>
      </c>
      <c r="EV32" s="138">
        <v>6.541423313468897E-2</v>
      </c>
      <c r="EW32" s="147">
        <v>340.02163467755202</v>
      </c>
      <c r="EX32" s="154">
        <v>21</v>
      </c>
      <c r="EY32" s="154" t="s">
        <v>195</v>
      </c>
      <c r="EZ32" s="138">
        <v>319.02163467755202</v>
      </c>
      <c r="FA32" s="138">
        <v>73.602532606059981</v>
      </c>
      <c r="FB32" s="138">
        <v>62.045194604947028</v>
      </c>
      <c r="FC32" s="156" t="s">
        <v>212</v>
      </c>
      <c r="FD32" s="156" t="s">
        <v>213</v>
      </c>
      <c r="FE32" t="s">
        <v>173</v>
      </c>
      <c r="FF32" t="s">
        <v>173</v>
      </c>
      <c r="FG32" t="s">
        <v>173</v>
      </c>
      <c r="FH32" t="s">
        <v>173</v>
      </c>
      <c r="FI32" t="s">
        <v>173</v>
      </c>
      <c r="FJ32" t="s">
        <v>173</v>
      </c>
      <c r="FK32" t="s">
        <v>173</v>
      </c>
      <c r="FL32" t="s">
        <v>173</v>
      </c>
      <c r="FM32" t="s">
        <v>173</v>
      </c>
      <c r="FN32" t="s">
        <v>173</v>
      </c>
      <c r="FO32" t="s">
        <v>173</v>
      </c>
      <c r="FP32" t="s">
        <v>173</v>
      </c>
    </row>
    <row r="33" spans="1:172" ht="18" x14ac:dyDescent="0.2">
      <c r="A33" s="126" t="s">
        <v>152</v>
      </c>
      <c r="B33" t="s">
        <v>174</v>
      </c>
      <c r="C33">
        <v>2015</v>
      </c>
      <c r="D33" t="s">
        <v>196</v>
      </c>
      <c r="E33" s="147">
        <f t="shared" si="8"/>
        <v>2707.2141109999998</v>
      </c>
      <c r="F33" s="135" t="s">
        <v>160</v>
      </c>
      <c r="G33" s="135" t="s">
        <v>160</v>
      </c>
      <c r="H33" s="147">
        <f t="shared" si="9"/>
        <v>262.14235703188501</v>
      </c>
      <c r="I33" s="147">
        <f t="shared" si="10"/>
        <v>60.528395916627005</v>
      </c>
      <c r="J33" s="147">
        <f t="shared" si="11"/>
        <v>52.455124474614024</v>
      </c>
      <c r="K33" t="s">
        <v>176</v>
      </c>
      <c r="L33" s="130" t="s">
        <v>206</v>
      </c>
      <c r="M33" s="136" t="s">
        <v>175</v>
      </c>
      <c r="N33" t="s">
        <v>196</v>
      </c>
      <c r="O33" t="s">
        <v>156</v>
      </c>
      <c r="P33" s="153" t="s">
        <v>157</v>
      </c>
      <c r="Q33" s="157">
        <v>10</v>
      </c>
      <c r="R33" s="157">
        <v>4</v>
      </c>
      <c r="S33" s="157">
        <v>49</v>
      </c>
      <c r="T33" s="157">
        <v>51</v>
      </c>
      <c r="U33" s="157" t="s">
        <v>160</v>
      </c>
      <c r="V33" s="157" t="s">
        <v>160</v>
      </c>
      <c r="W33" s="157" t="s">
        <v>160</v>
      </c>
      <c r="X33" t="s">
        <v>158</v>
      </c>
      <c r="Y33" s="131">
        <v>12.75</v>
      </c>
      <c r="Z33" s="131">
        <v>-78.73</v>
      </c>
      <c r="AA33" s="131">
        <v>12.75</v>
      </c>
      <c r="AB33" s="131">
        <v>-78.73</v>
      </c>
      <c r="AC33" s="131">
        <v>-2828</v>
      </c>
      <c r="AD33" s="131">
        <v>-2828</v>
      </c>
      <c r="AE33" s="153" t="s">
        <v>160</v>
      </c>
      <c r="AF33" s="153" t="s">
        <v>160</v>
      </c>
      <c r="AG33" s="138">
        <v>2707.2141109999998</v>
      </c>
      <c r="AH33" s="2" t="s">
        <v>159</v>
      </c>
      <c r="AI33" s="153" t="s">
        <v>160</v>
      </c>
      <c r="AJ33" s="153" t="s">
        <v>160</v>
      </c>
      <c r="AK33" s="154" t="s">
        <v>160</v>
      </c>
      <c r="AL33" s="154" t="s">
        <v>177</v>
      </c>
      <c r="AM33" s="157" t="s">
        <v>160</v>
      </c>
      <c r="AN33" t="s">
        <v>160</v>
      </c>
      <c r="AO33" t="s">
        <v>160</v>
      </c>
      <c r="AP33" t="s">
        <v>160</v>
      </c>
      <c r="AQ33" t="s">
        <v>160</v>
      </c>
      <c r="AR33" t="s">
        <v>160</v>
      </c>
      <c r="AS33" t="s">
        <v>160</v>
      </c>
      <c r="AT33" t="s">
        <v>160</v>
      </c>
      <c r="AU33" s="145" t="s">
        <v>178</v>
      </c>
      <c r="AV33" t="s">
        <v>161</v>
      </c>
      <c r="AW33" s="141" t="s">
        <v>179</v>
      </c>
      <c r="AX33" s="141" t="s">
        <v>180</v>
      </c>
      <c r="AY33" s="139" t="s">
        <v>181</v>
      </c>
      <c r="AZ33" s="139" t="s">
        <v>182</v>
      </c>
      <c r="BA33" t="s">
        <v>162</v>
      </c>
      <c r="BB33" s="153" t="s">
        <v>217</v>
      </c>
      <c r="BC33" s="153" t="s">
        <v>217</v>
      </c>
      <c r="BD33" s="153" t="s">
        <v>217</v>
      </c>
      <c r="BE33" s="138">
        <v>20.510300000000001</v>
      </c>
      <c r="BF33" t="s">
        <v>183</v>
      </c>
      <c r="BG33" s="138">
        <v>8.8837017000000004E-2</v>
      </c>
      <c r="BH33">
        <v>0.6</v>
      </c>
      <c r="BI33" t="s">
        <v>184</v>
      </c>
      <c r="BJ33" s="2">
        <v>0.08</v>
      </c>
      <c r="BK33">
        <v>8.8699999999999992</v>
      </c>
      <c r="BL33" t="s">
        <v>163</v>
      </c>
      <c r="BM33">
        <v>1.52</v>
      </c>
      <c r="BN33" t="s">
        <v>185</v>
      </c>
      <c r="BO33" t="s">
        <v>186</v>
      </c>
      <c r="BP33" s="158">
        <f t="shared" si="12"/>
        <v>19.400500000000005</v>
      </c>
      <c r="BQ33" t="s">
        <v>184</v>
      </c>
      <c r="BR33" s="154" t="s">
        <v>160</v>
      </c>
      <c r="BS33" s="154" t="s">
        <v>160</v>
      </c>
      <c r="BT33" t="s">
        <v>214</v>
      </c>
      <c r="BU33" t="s">
        <v>218</v>
      </c>
      <c r="BV33" t="s">
        <v>164</v>
      </c>
      <c r="BW33" t="s">
        <v>164</v>
      </c>
      <c r="BX33" s="138">
        <v>26.841180000000001</v>
      </c>
      <c r="BY33" t="s">
        <v>184</v>
      </c>
      <c r="BZ33" s="159">
        <v>3</v>
      </c>
      <c r="CA33" s="159">
        <v>3</v>
      </c>
      <c r="CB33" s="138">
        <v>3.3272569976464914</v>
      </c>
      <c r="CC33" s="138">
        <v>3.3272569976464914</v>
      </c>
      <c r="CD33" t="s">
        <v>188</v>
      </c>
      <c r="CE33" s="147">
        <f t="shared" si="13"/>
        <v>8.9835938936455265E-2</v>
      </c>
      <c r="CF33" s="147">
        <f t="shared" si="14"/>
        <v>8.9835938936455265E-2</v>
      </c>
      <c r="CG33" s="153" t="s">
        <v>215</v>
      </c>
      <c r="CH33" s="148" t="s">
        <v>207</v>
      </c>
      <c r="CI33" s="138">
        <v>4.1153227650666704</v>
      </c>
      <c r="CJ33" s="138" t="s">
        <v>244</v>
      </c>
      <c r="CK33" t="s">
        <v>160</v>
      </c>
      <c r="CL33" t="s">
        <v>189</v>
      </c>
      <c r="CM33" t="s">
        <v>160</v>
      </c>
      <c r="CN33" t="s">
        <v>160</v>
      </c>
      <c r="CO33" t="s">
        <v>160</v>
      </c>
      <c r="CP33" t="s">
        <v>160</v>
      </c>
      <c r="CQ33" t="s">
        <v>160</v>
      </c>
      <c r="CR33" t="s">
        <v>160</v>
      </c>
      <c r="CS33" t="s">
        <v>160</v>
      </c>
      <c r="CT33" t="s">
        <v>160</v>
      </c>
      <c r="CU33" s="134">
        <v>35</v>
      </c>
      <c r="CV33" t="s">
        <v>159</v>
      </c>
      <c r="CW33">
        <v>3</v>
      </c>
      <c r="CX33" s="149" t="s">
        <v>187</v>
      </c>
      <c r="CY33" s="157" t="s">
        <v>160</v>
      </c>
      <c r="CZ33" s="157" t="s">
        <v>160</v>
      </c>
      <c r="DA33" s="157" t="s">
        <v>160</v>
      </c>
      <c r="DB33" s="157" t="s">
        <v>160</v>
      </c>
      <c r="DC33" s="157" t="s">
        <v>160</v>
      </c>
      <c r="DD33" s="157" t="s">
        <v>160</v>
      </c>
      <c r="DE33" s="157" t="s">
        <v>160</v>
      </c>
      <c r="DF33" s="157" t="s">
        <v>160</v>
      </c>
      <c r="DG33" s="157" t="s">
        <v>160</v>
      </c>
      <c r="DH33" s="157" t="s">
        <v>160</v>
      </c>
      <c r="DI33" s="157" t="s">
        <v>160</v>
      </c>
      <c r="DJ33" s="157" t="s">
        <v>160</v>
      </c>
      <c r="DK33" s="132">
        <v>432.56244218316402</v>
      </c>
      <c r="DL33" t="s">
        <v>165</v>
      </c>
      <c r="DM33" s="153">
        <v>37.1</v>
      </c>
      <c r="DN33" t="s">
        <v>166</v>
      </c>
      <c r="DO33" s="138">
        <v>39.220168149999999</v>
      </c>
      <c r="DP33" s="154" t="s">
        <v>163</v>
      </c>
      <c r="DQ33" s="146">
        <v>0.2</v>
      </c>
      <c r="DR33" t="s">
        <v>190</v>
      </c>
      <c r="DS33" t="s">
        <v>167</v>
      </c>
      <c r="DT33" t="s">
        <v>168</v>
      </c>
      <c r="DU33">
        <v>1.0271999999999999</v>
      </c>
      <c r="DV33" t="s">
        <v>191</v>
      </c>
      <c r="DW33">
        <v>5.9999999999999995E-4</v>
      </c>
      <c r="DX33" t="s">
        <v>198</v>
      </c>
      <c r="DY33" t="s">
        <v>160</v>
      </c>
      <c r="DZ33" t="s">
        <v>160</v>
      </c>
      <c r="EA33" t="s">
        <v>192</v>
      </c>
      <c r="EB33" t="s">
        <v>169</v>
      </c>
      <c r="EC33" t="s">
        <v>170</v>
      </c>
      <c r="ED33" t="s">
        <v>170</v>
      </c>
      <c r="EE33" s="157" t="s">
        <v>160</v>
      </c>
      <c r="EF33" t="s">
        <v>160</v>
      </c>
      <c r="EG33" t="s">
        <v>160</v>
      </c>
      <c r="EH33" t="s">
        <v>171</v>
      </c>
      <c r="EI33" t="s">
        <v>193</v>
      </c>
      <c r="EJ33" t="s">
        <v>194</v>
      </c>
      <c r="EK33" s="137">
        <v>2330</v>
      </c>
      <c r="EL33" t="s">
        <v>211</v>
      </c>
      <c r="EM33">
        <v>175</v>
      </c>
      <c r="EN33">
        <v>175</v>
      </c>
      <c r="EO33" t="s">
        <v>160</v>
      </c>
      <c r="EP33" t="s">
        <v>160</v>
      </c>
      <c r="EQ33" t="s">
        <v>160</v>
      </c>
      <c r="ER33" t="s">
        <v>160</v>
      </c>
      <c r="ES33" s="138">
        <v>8.1658640348774103</v>
      </c>
      <c r="ET33" s="133" t="s">
        <v>172</v>
      </c>
      <c r="EU33" s="138">
        <v>6.4616583357508972E-2</v>
      </c>
      <c r="EV33" s="138">
        <v>6.4327005550779859E-2</v>
      </c>
      <c r="EW33" s="147">
        <v>283.14235703188501</v>
      </c>
      <c r="EX33" s="154">
        <v>21</v>
      </c>
      <c r="EY33" s="154" t="s">
        <v>195</v>
      </c>
      <c r="EZ33" s="138">
        <v>262.14235703188501</v>
      </c>
      <c r="FA33" s="138">
        <v>60.528395916627005</v>
      </c>
      <c r="FB33" s="138">
        <v>52.455124474614024</v>
      </c>
      <c r="FC33" s="156" t="s">
        <v>212</v>
      </c>
      <c r="FD33" s="156" t="s">
        <v>213</v>
      </c>
      <c r="FE33" t="s">
        <v>173</v>
      </c>
      <c r="FF33" t="s">
        <v>173</v>
      </c>
      <c r="FG33" t="s">
        <v>173</v>
      </c>
      <c r="FH33" t="s">
        <v>173</v>
      </c>
      <c r="FI33" t="s">
        <v>173</v>
      </c>
      <c r="FJ33" t="s">
        <v>173</v>
      </c>
      <c r="FK33" t="s">
        <v>173</v>
      </c>
      <c r="FL33" t="s">
        <v>173</v>
      </c>
      <c r="FM33" t="s">
        <v>173</v>
      </c>
      <c r="FN33" t="s">
        <v>173</v>
      </c>
      <c r="FO33" t="s">
        <v>173</v>
      </c>
      <c r="FP33" t="s">
        <v>173</v>
      </c>
    </row>
    <row r="34" spans="1:172" ht="18" x14ac:dyDescent="0.2">
      <c r="A34" s="126" t="s">
        <v>152</v>
      </c>
      <c r="B34" t="s">
        <v>174</v>
      </c>
      <c r="C34">
        <v>2015</v>
      </c>
      <c r="D34" t="s">
        <v>196</v>
      </c>
      <c r="E34" s="147">
        <f t="shared" si="8"/>
        <v>2745.515625</v>
      </c>
      <c r="F34" s="135" t="s">
        <v>160</v>
      </c>
      <c r="G34" s="135" t="s">
        <v>160</v>
      </c>
      <c r="H34" s="147">
        <f t="shared" si="9"/>
        <v>338.75533454464397</v>
      </c>
      <c r="I34" s="147">
        <f t="shared" si="10"/>
        <v>75.910857782921028</v>
      </c>
      <c r="J34" s="147">
        <f t="shared" si="11"/>
        <v>66.665096928078981</v>
      </c>
      <c r="K34" t="s">
        <v>176</v>
      </c>
      <c r="L34" s="130" t="s">
        <v>206</v>
      </c>
      <c r="M34" s="136" t="s">
        <v>175</v>
      </c>
      <c r="N34" t="s">
        <v>196</v>
      </c>
      <c r="O34" t="s">
        <v>156</v>
      </c>
      <c r="P34" s="153" t="s">
        <v>157</v>
      </c>
      <c r="Q34" s="157">
        <v>10</v>
      </c>
      <c r="R34" s="157">
        <v>4</v>
      </c>
      <c r="S34" s="157">
        <v>148</v>
      </c>
      <c r="T34" s="157">
        <v>150</v>
      </c>
      <c r="U34" s="157" t="s">
        <v>160</v>
      </c>
      <c r="V34" s="157" t="s">
        <v>160</v>
      </c>
      <c r="W34" s="157" t="s">
        <v>160</v>
      </c>
      <c r="X34" t="s">
        <v>158</v>
      </c>
      <c r="Y34" s="131">
        <v>12.75</v>
      </c>
      <c r="Z34" s="131">
        <v>-78.73</v>
      </c>
      <c r="AA34" s="131">
        <v>12.75</v>
      </c>
      <c r="AB34" s="131">
        <v>-78.73</v>
      </c>
      <c r="AC34" s="131">
        <v>-2828</v>
      </c>
      <c r="AD34" s="131">
        <v>-2828</v>
      </c>
      <c r="AE34" s="153" t="s">
        <v>160</v>
      </c>
      <c r="AF34" s="153" t="s">
        <v>160</v>
      </c>
      <c r="AG34" s="138">
        <v>2745.515625</v>
      </c>
      <c r="AH34" s="2" t="s">
        <v>159</v>
      </c>
      <c r="AI34" s="153" t="s">
        <v>160</v>
      </c>
      <c r="AJ34" s="153" t="s">
        <v>160</v>
      </c>
      <c r="AK34" s="154" t="s">
        <v>160</v>
      </c>
      <c r="AL34" s="154" t="s">
        <v>177</v>
      </c>
      <c r="AM34" s="157" t="s">
        <v>160</v>
      </c>
      <c r="AN34" t="s">
        <v>160</v>
      </c>
      <c r="AO34" t="s">
        <v>160</v>
      </c>
      <c r="AP34" t="s">
        <v>160</v>
      </c>
      <c r="AQ34" t="s">
        <v>160</v>
      </c>
      <c r="AR34" t="s">
        <v>160</v>
      </c>
      <c r="AS34" t="s">
        <v>160</v>
      </c>
      <c r="AT34" t="s">
        <v>160</v>
      </c>
      <c r="AU34" s="145" t="s">
        <v>178</v>
      </c>
      <c r="AV34" t="s">
        <v>161</v>
      </c>
      <c r="AW34" s="141" t="s">
        <v>179</v>
      </c>
      <c r="AX34" s="139" t="s">
        <v>180</v>
      </c>
      <c r="AY34" s="139" t="s">
        <v>181</v>
      </c>
      <c r="AZ34" s="139" t="s">
        <v>182</v>
      </c>
      <c r="BA34" s="140" t="s">
        <v>162</v>
      </c>
      <c r="BB34" s="153" t="s">
        <v>217</v>
      </c>
      <c r="BC34" s="153" t="s">
        <v>217</v>
      </c>
      <c r="BD34" s="153" t="s">
        <v>217</v>
      </c>
      <c r="BE34" s="138">
        <v>19.99044</v>
      </c>
      <c r="BF34" t="s">
        <v>183</v>
      </c>
      <c r="BG34" s="138">
        <v>9.4352038999999999E-2</v>
      </c>
      <c r="BH34">
        <v>0.6</v>
      </c>
      <c r="BI34" t="s">
        <v>184</v>
      </c>
      <c r="BJ34" s="2">
        <v>0.08</v>
      </c>
      <c r="BK34">
        <v>8.8699999999999992</v>
      </c>
      <c r="BL34" t="s">
        <v>163</v>
      </c>
      <c r="BM34">
        <v>1.52</v>
      </c>
      <c r="BN34" t="s">
        <v>185</v>
      </c>
      <c r="BO34" t="s">
        <v>186</v>
      </c>
      <c r="BP34" s="158">
        <f t="shared" si="12"/>
        <v>18.534066666666668</v>
      </c>
      <c r="BQ34" t="s">
        <v>184</v>
      </c>
      <c r="BR34" s="154" t="s">
        <v>160</v>
      </c>
      <c r="BS34" s="154" t="s">
        <v>160</v>
      </c>
      <c r="BT34" t="s">
        <v>214</v>
      </c>
      <c r="BU34" t="s">
        <v>218</v>
      </c>
      <c r="BV34" t="s">
        <v>164</v>
      </c>
      <c r="BW34" t="s">
        <v>164</v>
      </c>
      <c r="BX34" s="138">
        <v>27.741219999999998</v>
      </c>
      <c r="BY34" t="s">
        <v>184</v>
      </c>
      <c r="BZ34" s="159">
        <v>3</v>
      </c>
      <c r="CA34" s="159">
        <v>3</v>
      </c>
      <c r="CB34" s="138">
        <v>3.6026084915859102</v>
      </c>
      <c r="CC34" s="138">
        <v>3.6026084915859102</v>
      </c>
      <c r="CD34" t="s">
        <v>188</v>
      </c>
      <c r="CE34" s="147">
        <f t="shared" si="13"/>
        <v>9.7270429272819578E-2</v>
      </c>
      <c r="CF34" s="147">
        <f t="shared" si="14"/>
        <v>9.7270429272819578E-2</v>
      </c>
      <c r="CG34" s="153" t="s">
        <v>215</v>
      </c>
      <c r="CH34" s="148" t="s">
        <v>207</v>
      </c>
      <c r="CI34" s="138">
        <v>4.1003574588264211</v>
      </c>
      <c r="CJ34" s="138" t="s">
        <v>244</v>
      </c>
      <c r="CK34" t="s">
        <v>160</v>
      </c>
      <c r="CL34" t="s">
        <v>189</v>
      </c>
      <c r="CM34" t="s">
        <v>160</v>
      </c>
      <c r="CN34" t="s">
        <v>160</v>
      </c>
      <c r="CO34" t="s">
        <v>160</v>
      </c>
      <c r="CP34" t="s">
        <v>160</v>
      </c>
      <c r="CQ34" t="s">
        <v>160</v>
      </c>
      <c r="CR34" t="s">
        <v>160</v>
      </c>
      <c r="CS34" t="s">
        <v>160</v>
      </c>
      <c r="CT34" t="s">
        <v>160</v>
      </c>
      <c r="CU34" s="134">
        <v>35</v>
      </c>
      <c r="CV34" t="s">
        <v>159</v>
      </c>
      <c r="CW34">
        <v>3</v>
      </c>
      <c r="CX34" s="149" t="s">
        <v>187</v>
      </c>
      <c r="CY34" s="157" t="s">
        <v>160</v>
      </c>
      <c r="CZ34" s="157" t="s">
        <v>160</v>
      </c>
      <c r="DA34" s="157" t="s">
        <v>160</v>
      </c>
      <c r="DB34" s="157" t="s">
        <v>160</v>
      </c>
      <c r="DC34" s="157" t="s">
        <v>160</v>
      </c>
      <c r="DD34" s="157" t="s">
        <v>160</v>
      </c>
      <c r="DE34" s="157" t="s">
        <v>160</v>
      </c>
      <c r="DF34" s="157" t="s">
        <v>160</v>
      </c>
      <c r="DG34" s="157" t="s">
        <v>160</v>
      </c>
      <c r="DH34" s="157" t="s">
        <v>160</v>
      </c>
      <c r="DI34" s="157" t="s">
        <v>160</v>
      </c>
      <c r="DJ34" s="157" t="s">
        <v>160</v>
      </c>
      <c r="DK34" s="132">
        <v>432.56244218316402</v>
      </c>
      <c r="DL34" t="s">
        <v>165</v>
      </c>
      <c r="DM34" s="153">
        <v>37.1</v>
      </c>
      <c r="DN34" t="s">
        <v>166</v>
      </c>
      <c r="DO34" s="138">
        <v>39.216312739999999</v>
      </c>
      <c r="DP34" s="154" t="s">
        <v>163</v>
      </c>
      <c r="DQ34" s="146">
        <v>0.2</v>
      </c>
      <c r="DR34" t="s">
        <v>190</v>
      </c>
      <c r="DS34" t="s">
        <v>167</v>
      </c>
      <c r="DT34" t="s">
        <v>168</v>
      </c>
      <c r="DU34">
        <v>1.0271999999999999</v>
      </c>
      <c r="DV34" t="s">
        <v>191</v>
      </c>
      <c r="DW34">
        <v>5.9999999999999995E-4</v>
      </c>
      <c r="DX34" t="s">
        <v>198</v>
      </c>
      <c r="DY34" t="s">
        <v>160</v>
      </c>
      <c r="DZ34" t="s">
        <v>160</v>
      </c>
      <c r="EA34" t="s">
        <v>192</v>
      </c>
      <c r="EB34" t="s">
        <v>169</v>
      </c>
      <c r="EC34" t="s">
        <v>170</v>
      </c>
      <c r="ED34" t="s">
        <v>170</v>
      </c>
      <c r="EE34" s="157" t="s">
        <v>160</v>
      </c>
      <c r="EF34" t="s">
        <v>160</v>
      </c>
      <c r="EG34" t="s">
        <v>160</v>
      </c>
      <c r="EH34" t="s">
        <v>171</v>
      </c>
      <c r="EI34" t="s">
        <v>193</v>
      </c>
      <c r="EJ34" t="s">
        <v>194</v>
      </c>
      <c r="EK34" s="137">
        <v>2330</v>
      </c>
      <c r="EL34" t="s">
        <v>211</v>
      </c>
      <c r="EM34">
        <v>175</v>
      </c>
      <c r="EN34">
        <v>175</v>
      </c>
      <c r="EO34" t="s">
        <v>160</v>
      </c>
      <c r="EP34" t="s">
        <v>160</v>
      </c>
      <c r="EQ34" t="s">
        <v>160</v>
      </c>
      <c r="ER34" t="s">
        <v>160</v>
      </c>
      <c r="ES34" s="138">
        <v>8.0829048147411697</v>
      </c>
      <c r="ET34" s="133" t="s">
        <v>172</v>
      </c>
      <c r="EU34" s="138">
        <v>6.3016727846180842E-2</v>
      </c>
      <c r="EV34" s="138">
        <v>6.4940486632549366E-2</v>
      </c>
      <c r="EW34" s="147">
        <v>359.75533454464397</v>
      </c>
      <c r="EX34" s="154">
        <v>21</v>
      </c>
      <c r="EY34" s="154" t="s">
        <v>195</v>
      </c>
      <c r="EZ34" s="138">
        <v>338.75533454464397</v>
      </c>
      <c r="FA34" s="138">
        <v>75.910857782921028</v>
      </c>
      <c r="FB34" s="138">
        <v>66.665096928078981</v>
      </c>
      <c r="FC34" s="156" t="s">
        <v>212</v>
      </c>
      <c r="FD34" s="156" t="s">
        <v>213</v>
      </c>
      <c r="FE34" t="s">
        <v>173</v>
      </c>
      <c r="FF34" t="s">
        <v>173</v>
      </c>
      <c r="FG34" t="s">
        <v>173</v>
      </c>
      <c r="FH34" t="s">
        <v>173</v>
      </c>
      <c r="FI34" t="s">
        <v>173</v>
      </c>
      <c r="FJ34" t="s">
        <v>173</v>
      </c>
      <c r="FK34" t="s">
        <v>173</v>
      </c>
      <c r="FL34" t="s">
        <v>173</v>
      </c>
      <c r="FM34" t="s">
        <v>173</v>
      </c>
      <c r="FN34" t="s">
        <v>173</v>
      </c>
      <c r="FO34" t="s">
        <v>173</v>
      </c>
      <c r="FP34" t="s">
        <v>173</v>
      </c>
    </row>
    <row r="35" spans="1:172" ht="18" x14ac:dyDescent="0.2">
      <c r="A35" s="126" t="s">
        <v>152</v>
      </c>
      <c r="B35" t="s">
        <v>174</v>
      </c>
      <c r="C35">
        <v>2015</v>
      </c>
      <c r="D35" t="s">
        <v>196</v>
      </c>
      <c r="E35" s="147">
        <f t="shared" si="8"/>
        <v>2751.4826659999999</v>
      </c>
      <c r="F35" s="135" t="s">
        <v>160</v>
      </c>
      <c r="G35" s="135" t="s">
        <v>160</v>
      </c>
      <c r="H35" s="147">
        <f t="shared" si="9"/>
        <v>320.96855335584797</v>
      </c>
      <c r="I35" s="147">
        <f t="shared" si="10"/>
        <v>75.182843776253037</v>
      </c>
      <c r="J35" s="147">
        <f t="shared" si="11"/>
        <v>62.811353431036991</v>
      </c>
      <c r="K35" t="s">
        <v>176</v>
      </c>
      <c r="L35" s="130" t="s">
        <v>206</v>
      </c>
      <c r="M35" s="136" t="s">
        <v>175</v>
      </c>
      <c r="N35" t="s">
        <v>196</v>
      </c>
      <c r="O35" t="s">
        <v>156</v>
      </c>
      <c r="P35" s="153" t="s">
        <v>157</v>
      </c>
      <c r="Q35" s="157">
        <v>10</v>
      </c>
      <c r="R35" s="157">
        <v>5</v>
      </c>
      <c r="S35" s="157">
        <v>22</v>
      </c>
      <c r="T35" s="157">
        <v>24</v>
      </c>
      <c r="U35" s="157" t="s">
        <v>160</v>
      </c>
      <c r="V35" s="157" t="s">
        <v>160</v>
      </c>
      <c r="W35" s="157" t="s">
        <v>160</v>
      </c>
      <c r="X35" t="s">
        <v>158</v>
      </c>
      <c r="Y35" s="131">
        <v>12.75</v>
      </c>
      <c r="Z35" s="131">
        <v>-78.73</v>
      </c>
      <c r="AA35" s="131">
        <v>12.75</v>
      </c>
      <c r="AB35" s="131">
        <v>-78.73</v>
      </c>
      <c r="AC35" s="131">
        <v>-2828</v>
      </c>
      <c r="AD35" s="131">
        <v>-2828</v>
      </c>
      <c r="AE35" s="153" t="s">
        <v>160</v>
      </c>
      <c r="AF35" s="153" t="s">
        <v>160</v>
      </c>
      <c r="AG35" s="138">
        <v>2751.4826659999999</v>
      </c>
      <c r="AH35" s="2" t="s">
        <v>159</v>
      </c>
      <c r="AI35" s="153" t="s">
        <v>160</v>
      </c>
      <c r="AJ35" s="153" t="s">
        <v>160</v>
      </c>
      <c r="AK35" s="154" t="s">
        <v>160</v>
      </c>
      <c r="AL35" s="154" t="s">
        <v>177</v>
      </c>
      <c r="AM35" s="157" t="s">
        <v>160</v>
      </c>
      <c r="AN35" t="s">
        <v>160</v>
      </c>
      <c r="AO35" t="s">
        <v>160</v>
      </c>
      <c r="AP35" t="s">
        <v>160</v>
      </c>
      <c r="AQ35" t="s">
        <v>160</v>
      </c>
      <c r="AR35" t="s">
        <v>160</v>
      </c>
      <c r="AS35" t="s">
        <v>160</v>
      </c>
      <c r="AT35" t="s">
        <v>160</v>
      </c>
      <c r="AU35" s="145" t="s">
        <v>178</v>
      </c>
      <c r="AV35" t="s">
        <v>161</v>
      </c>
      <c r="AW35" s="141" t="s">
        <v>179</v>
      </c>
      <c r="AX35" s="141" t="s">
        <v>180</v>
      </c>
      <c r="AY35" s="139" t="s">
        <v>181</v>
      </c>
      <c r="AZ35" s="139" t="s">
        <v>182</v>
      </c>
      <c r="BA35" t="s">
        <v>162</v>
      </c>
      <c r="BB35" s="153" t="s">
        <v>217</v>
      </c>
      <c r="BC35" s="153" t="s">
        <v>217</v>
      </c>
      <c r="BD35" s="153" t="s">
        <v>217</v>
      </c>
      <c r="BE35" s="138">
        <v>20.11</v>
      </c>
      <c r="BF35" t="s">
        <v>183</v>
      </c>
      <c r="BG35" s="138">
        <v>0.14606470599999999</v>
      </c>
      <c r="BH35">
        <v>0.6</v>
      </c>
      <c r="BI35" t="s">
        <v>184</v>
      </c>
      <c r="BJ35" s="2">
        <v>0.08</v>
      </c>
      <c r="BK35">
        <v>8.8699999999999992</v>
      </c>
      <c r="BL35" t="s">
        <v>163</v>
      </c>
      <c r="BM35">
        <v>1.52</v>
      </c>
      <c r="BN35" t="s">
        <v>185</v>
      </c>
      <c r="BO35" t="s">
        <v>186</v>
      </c>
      <c r="BP35" s="158">
        <f t="shared" si="12"/>
        <v>18.733333333333334</v>
      </c>
      <c r="BQ35" t="s">
        <v>184</v>
      </c>
      <c r="BR35" s="154" t="s">
        <v>160</v>
      </c>
      <c r="BS35" s="154" t="s">
        <v>160</v>
      </c>
      <c r="BT35" t="s">
        <v>214</v>
      </c>
      <c r="BU35" t="s">
        <v>218</v>
      </c>
      <c r="BV35" t="s">
        <v>164</v>
      </c>
      <c r="BW35" t="s">
        <v>164</v>
      </c>
      <c r="BX35" s="138">
        <v>27.69333</v>
      </c>
      <c r="BY35" t="s">
        <v>184</v>
      </c>
      <c r="BZ35" s="159">
        <v>3</v>
      </c>
      <c r="CA35" s="159">
        <v>3</v>
      </c>
      <c r="CB35" s="138">
        <v>3.5849970938460105</v>
      </c>
      <c r="CC35" s="138">
        <v>3.5849970938460105</v>
      </c>
      <c r="CD35" t="s">
        <v>188</v>
      </c>
      <c r="CE35" s="147">
        <f t="shared" si="13"/>
        <v>9.6794921533842282E-2</v>
      </c>
      <c r="CF35" s="147">
        <f t="shared" si="14"/>
        <v>9.6794921533842282E-2</v>
      </c>
      <c r="CG35" s="153" t="s">
        <v>215</v>
      </c>
      <c r="CH35" s="148" t="s">
        <v>207</v>
      </c>
      <c r="CI35" s="138">
        <v>4.0944571866305104</v>
      </c>
      <c r="CJ35" s="138" t="s">
        <v>244</v>
      </c>
      <c r="CK35" t="s">
        <v>160</v>
      </c>
      <c r="CL35" t="s">
        <v>189</v>
      </c>
      <c r="CM35" t="s">
        <v>160</v>
      </c>
      <c r="CN35" t="s">
        <v>160</v>
      </c>
      <c r="CO35" t="s">
        <v>160</v>
      </c>
      <c r="CP35" t="s">
        <v>160</v>
      </c>
      <c r="CQ35" t="s">
        <v>160</v>
      </c>
      <c r="CR35" t="s">
        <v>160</v>
      </c>
      <c r="CS35" t="s">
        <v>160</v>
      </c>
      <c r="CT35" t="s">
        <v>160</v>
      </c>
      <c r="CU35" s="134">
        <v>35</v>
      </c>
      <c r="CV35" t="s">
        <v>159</v>
      </c>
      <c r="CW35">
        <v>3</v>
      </c>
      <c r="CX35" s="149" t="s">
        <v>187</v>
      </c>
      <c r="CY35" s="157" t="s">
        <v>160</v>
      </c>
      <c r="CZ35" s="157" t="s">
        <v>160</v>
      </c>
      <c r="DA35" s="157" t="s">
        <v>160</v>
      </c>
      <c r="DB35" s="157" t="s">
        <v>160</v>
      </c>
      <c r="DC35" s="157" t="s">
        <v>160</v>
      </c>
      <c r="DD35" s="157" t="s">
        <v>160</v>
      </c>
      <c r="DE35" s="157" t="s">
        <v>160</v>
      </c>
      <c r="DF35" s="157" t="s">
        <v>160</v>
      </c>
      <c r="DG35" s="157" t="s">
        <v>160</v>
      </c>
      <c r="DH35" s="157" t="s">
        <v>160</v>
      </c>
      <c r="DI35" s="157" t="s">
        <v>160</v>
      </c>
      <c r="DJ35" s="157" t="s">
        <v>160</v>
      </c>
      <c r="DK35" s="132">
        <v>432.56244218316402</v>
      </c>
      <c r="DL35" t="s">
        <v>165</v>
      </c>
      <c r="DM35" s="153">
        <v>37.1</v>
      </c>
      <c r="DN35" t="s">
        <v>166</v>
      </c>
      <c r="DO35" s="138">
        <v>39.214965479999996</v>
      </c>
      <c r="DP35" s="154" t="s">
        <v>163</v>
      </c>
      <c r="DQ35" s="146">
        <v>0.2</v>
      </c>
      <c r="DR35" t="s">
        <v>190</v>
      </c>
      <c r="DS35" t="s">
        <v>167</v>
      </c>
      <c r="DT35" t="s">
        <v>168</v>
      </c>
      <c r="DU35">
        <v>1.0271999999999999</v>
      </c>
      <c r="DV35" t="s">
        <v>191</v>
      </c>
      <c r="DW35">
        <v>5.9999999999999995E-4</v>
      </c>
      <c r="DX35" t="s">
        <v>198</v>
      </c>
      <c r="DY35" t="s">
        <v>160</v>
      </c>
      <c r="DZ35" t="s">
        <v>160</v>
      </c>
      <c r="EA35" t="s">
        <v>192</v>
      </c>
      <c r="EB35" t="s">
        <v>169</v>
      </c>
      <c r="EC35" t="s">
        <v>170</v>
      </c>
      <c r="ED35" t="s">
        <v>170</v>
      </c>
      <c r="EE35" s="157" t="s">
        <v>160</v>
      </c>
      <c r="EF35" t="s">
        <v>160</v>
      </c>
      <c r="EG35" t="s">
        <v>160</v>
      </c>
      <c r="EH35" t="s">
        <v>171</v>
      </c>
      <c r="EI35" t="s">
        <v>193</v>
      </c>
      <c r="EJ35" t="s">
        <v>194</v>
      </c>
      <c r="EK35" s="137">
        <v>2330</v>
      </c>
      <c r="EL35" t="s">
        <v>211</v>
      </c>
      <c r="EM35">
        <v>175</v>
      </c>
      <c r="EN35">
        <v>175</v>
      </c>
      <c r="EO35" t="s">
        <v>160</v>
      </c>
      <c r="EP35" t="s">
        <v>160</v>
      </c>
      <c r="EQ35" t="s">
        <v>160</v>
      </c>
      <c r="ER35" t="s">
        <v>160</v>
      </c>
      <c r="ES35" s="138">
        <v>8.1006257060472908</v>
      </c>
      <c r="ET35" s="133" t="s">
        <v>172</v>
      </c>
      <c r="EU35" s="138">
        <v>6.4698540948549876E-2</v>
      </c>
      <c r="EV35" s="138">
        <v>6.5864273882970892E-2</v>
      </c>
      <c r="EW35" s="147">
        <v>341.96855335584797</v>
      </c>
      <c r="EX35" s="154">
        <v>21</v>
      </c>
      <c r="EY35" s="154" t="s">
        <v>195</v>
      </c>
      <c r="EZ35" s="138">
        <v>320.96855335584797</v>
      </c>
      <c r="FA35" s="138">
        <v>75.182843776253037</v>
      </c>
      <c r="FB35" s="138">
        <v>62.811353431036991</v>
      </c>
      <c r="FC35" s="156" t="s">
        <v>212</v>
      </c>
      <c r="FD35" s="156" t="s">
        <v>213</v>
      </c>
      <c r="FE35" t="s">
        <v>173</v>
      </c>
      <c r="FF35" t="s">
        <v>173</v>
      </c>
      <c r="FG35" t="s">
        <v>173</v>
      </c>
      <c r="FH35" t="s">
        <v>173</v>
      </c>
      <c r="FI35" t="s">
        <v>173</v>
      </c>
      <c r="FJ35" t="s">
        <v>173</v>
      </c>
      <c r="FK35" t="s">
        <v>173</v>
      </c>
      <c r="FL35" t="s">
        <v>173</v>
      </c>
      <c r="FM35" t="s">
        <v>173</v>
      </c>
      <c r="FN35" t="s">
        <v>173</v>
      </c>
      <c r="FO35" t="s">
        <v>173</v>
      </c>
      <c r="FP35" t="s">
        <v>173</v>
      </c>
    </row>
    <row r="36" spans="1:172" ht="18" x14ac:dyDescent="0.2">
      <c r="A36" s="126" t="s">
        <v>152</v>
      </c>
      <c r="B36" t="s">
        <v>174</v>
      </c>
      <c r="C36">
        <v>2015</v>
      </c>
      <c r="D36" t="s">
        <v>196</v>
      </c>
      <c r="E36" s="147">
        <f t="shared" ref="E36:E67" si="15">AG36</f>
        <v>2764.1870119999999</v>
      </c>
      <c r="F36" s="135" t="s">
        <v>160</v>
      </c>
      <c r="G36" s="135" t="s">
        <v>160</v>
      </c>
      <c r="H36" s="147">
        <f t="shared" ref="H36:H67" si="16">EZ36</f>
        <v>358.16447907321401</v>
      </c>
      <c r="I36" s="147">
        <f t="shared" ref="I36:I67" si="17">FA36</f>
        <v>79.56791804505599</v>
      </c>
      <c r="J36" s="147">
        <f t="shared" ref="J36:J67" si="18">FB36</f>
        <v>70.538769125941997</v>
      </c>
      <c r="K36" t="s">
        <v>176</v>
      </c>
      <c r="L36" s="130" t="s">
        <v>206</v>
      </c>
      <c r="M36" s="136" t="s">
        <v>175</v>
      </c>
      <c r="N36" t="s">
        <v>196</v>
      </c>
      <c r="O36" t="s">
        <v>156</v>
      </c>
      <c r="P36" s="153" t="s">
        <v>157</v>
      </c>
      <c r="Q36" s="157">
        <v>10</v>
      </c>
      <c r="R36" s="157">
        <v>5</v>
      </c>
      <c r="S36" s="157">
        <v>71</v>
      </c>
      <c r="T36" s="157">
        <v>73</v>
      </c>
      <c r="U36" s="157" t="s">
        <v>160</v>
      </c>
      <c r="V36" s="157" t="s">
        <v>160</v>
      </c>
      <c r="W36" s="157" t="s">
        <v>160</v>
      </c>
      <c r="X36" t="s">
        <v>158</v>
      </c>
      <c r="Y36" s="131">
        <v>12.75</v>
      </c>
      <c r="Z36" s="131">
        <v>-78.73</v>
      </c>
      <c r="AA36" s="131">
        <v>12.75</v>
      </c>
      <c r="AB36" s="131">
        <v>-78.73</v>
      </c>
      <c r="AC36" s="131">
        <v>-2828</v>
      </c>
      <c r="AD36" s="131">
        <v>-2828</v>
      </c>
      <c r="AE36" s="153" t="s">
        <v>160</v>
      </c>
      <c r="AF36" s="153" t="s">
        <v>160</v>
      </c>
      <c r="AG36" s="138">
        <v>2764.1870119999999</v>
      </c>
      <c r="AH36" s="2" t="s">
        <v>159</v>
      </c>
      <c r="AI36" s="153" t="s">
        <v>160</v>
      </c>
      <c r="AJ36" s="153" t="s">
        <v>160</v>
      </c>
      <c r="AK36" s="154" t="s">
        <v>160</v>
      </c>
      <c r="AL36" s="154" t="s">
        <v>177</v>
      </c>
      <c r="AM36" s="157" t="s">
        <v>160</v>
      </c>
      <c r="AN36" t="s">
        <v>160</v>
      </c>
      <c r="AO36" t="s">
        <v>160</v>
      </c>
      <c r="AP36" t="s">
        <v>160</v>
      </c>
      <c r="AQ36" t="s">
        <v>160</v>
      </c>
      <c r="AR36" t="s">
        <v>160</v>
      </c>
      <c r="AS36" t="s">
        <v>160</v>
      </c>
      <c r="AT36" t="s">
        <v>160</v>
      </c>
      <c r="AU36" s="145" t="s">
        <v>178</v>
      </c>
      <c r="AV36" t="s">
        <v>161</v>
      </c>
      <c r="AW36" s="141" t="s">
        <v>179</v>
      </c>
      <c r="AX36" s="139" t="s">
        <v>180</v>
      </c>
      <c r="AY36" s="139" t="s">
        <v>181</v>
      </c>
      <c r="AZ36" s="139" t="s">
        <v>182</v>
      </c>
      <c r="BA36" s="140" t="s">
        <v>162</v>
      </c>
      <c r="BB36" s="153" t="s">
        <v>217</v>
      </c>
      <c r="BC36" s="153" t="s">
        <v>217</v>
      </c>
      <c r="BD36" s="153" t="s">
        <v>217</v>
      </c>
      <c r="BE36" s="138">
        <v>19.859529999999999</v>
      </c>
      <c r="BF36" t="s">
        <v>183</v>
      </c>
      <c r="BG36" s="138">
        <v>0.107019087</v>
      </c>
      <c r="BH36">
        <v>0.6</v>
      </c>
      <c r="BI36" t="s">
        <v>184</v>
      </c>
      <c r="BJ36" s="2">
        <v>0.08</v>
      </c>
      <c r="BK36">
        <v>8.8699999999999992</v>
      </c>
      <c r="BL36" t="s">
        <v>163</v>
      </c>
      <c r="BM36">
        <v>1.52</v>
      </c>
      <c r="BN36" t="s">
        <v>185</v>
      </c>
      <c r="BO36" t="s">
        <v>186</v>
      </c>
      <c r="BP36" s="158">
        <f t="shared" si="12"/>
        <v>18.315883333333336</v>
      </c>
      <c r="BQ36" t="s">
        <v>184</v>
      </c>
      <c r="BR36" s="154" t="s">
        <v>160</v>
      </c>
      <c r="BS36" s="154" t="s">
        <v>160</v>
      </c>
      <c r="BT36" t="s">
        <v>214</v>
      </c>
      <c r="BU36" t="s">
        <v>218</v>
      </c>
      <c r="BV36" t="s">
        <v>164</v>
      </c>
      <c r="BW36" t="s">
        <v>164</v>
      </c>
      <c r="BX36" s="138">
        <v>27.596889999999998</v>
      </c>
      <c r="BY36" t="s">
        <v>184</v>
      </c>
      <c r="BZ36" s="159">
        <v>3</v>
      </c>
      <c r="CA36" s="159">
        <v>3</v>
      </c>
      <c r="CB36" s="138">
        <v>3.5477068173877262</v>
      </c>
      <c r="CC36" s="138">
        <v>3.5477068173877262</v>
      </c>
      <c r="CD36" t="s">
        <v>188</v>
      </c>
      <c r="CE36" s="147">
        <f t="shared" si="13"/>
        <v>9.5788084069468607E-2</v>
      </c>
      <c r="CF36" s="147">
        <f t="shared" si="14"/>
        <v>9.5788084069468607E-2</v>
      </c>
      <c r="CG36" s="153" t="s">
        <v>215</v>
      </c>
      <c r="CH36" s="148" t="s">
        <v>207</v>
      </c>
      <c r="CI36" s="138">
        <v>4.0767532348534372</v>
      </c>
      <c r="CJ36" s="138" t="s">
        <v>244</v>
      </c>
      <c r="CK36" t="s">
        <v>160</v>
      </c>
      <c r="CL36" t="s">
        <v>189</v>
      </c>
      <c r="CM36" t="s">
        <v>160</v>
      </c>
      <c r="CN36" t="s">
        <v>160</v>
      </c>
      <c r="CO36" t="s">
        <v>160</v>
      </c>
      <c r="CP36" t="s">
        <v>160</v>
      </c>
      <c r="CQ36" t="s">
        <v>160</v>
      </c>
      <c r="CR36" t="s">
        <v>160</v>
      </c>
      <c r="CS36" t="s">
        <v>160</v>
      </c>
      <c r="CT36" t="s">
        <v>160</v>
      </c>
      <c r="CU36" s="134">
        <v>35</v>
      </c>
      <c r="CV36" t="s">
        <v>159</v>
      </c>
      <c r="CW36">
        <v>3</v>
      </c>
      <c r="CX36" s="149" t="s">
        <v>187</v>
      </c>
      <c r="CY36" s="157" t="s">
        <v>160</v>
      </c>
      <c r="CZ36" s="157" t="s">
        <v>160</v>
      </c>
      <c r="DA36" s="157" t="s">
        <v>160</v>
      </c>
      <c r="DB36" s="157" t="s">
        <v>160</v>
      </c>
      <c r="DC36" s="157" t="s">
        <v>160</v>
      </c>
      <c r="DD36" s="157" t="s">
        <v>160</v>
      </c>
      <c r="DE36" s="157" t="s">
        <v>160</v>
      </c>
      <c r="DF36" s="157" t="s">
        <v>160</v>
      </c>
      <c r="DG36" s="157" t="s">
        <v>160</v>
      </c>
      <c r="DH36" s="157" t="s">
        <v>160</v>
      </c>
      <c r="DI36" s="157" t="s">
        <v>160</v>
      </c>
      <c r="DJ36" s="157" t="s">
        <v>160</v>
      </c>
      <c r="DK36" s="132">
        <v>432.56244218316402</v>
      </c>
      <c r="DL36" t="s">
        <v>165</v>
      </c>
      <c r="DM36" s="153">
        <v>37.1</v>
      </c>
      <c r="DN36" t="s">
        <v>166</v>
      </c>
      <c r="DO36" s="138">
        <v>39.21291437</v>
      </c>
      <c r="DP36" s="154" t="s">
        <v>163</v>
      </c>
      <c r="DQ36" s="146">
        <v>0.2</v>
      </c>
      <c r="DR36" t="s">
        <v>190</v>
      </c>
      <c r="DS36" t="s">
        <v>167</v>
      </c>
      <c r="DT36" t="s">
        <v>168</v>
      </c>
      <c r="DU36">
        <v>1.0271999999999999</v>
      </c>
      <c r="DV36" t="s">
        <v>191</v>
      </c>
      <c r="DW36">
        <v>5.9999999999999995E-4</v>
      </c>
      <c r="DX36" t="s">
        <v>198</v>
      </c>
      <c r="DY36" t="s">
        <v>160</v>
      </c>
      <c r="DZ36" t="s">
        <v>160</v>
      </c>
      <c r="EA36" t="s">
        <v>192</v>
      </c>
      <c r="EB36" t="s">
        <v>169</v>
      </c>
      <c r="EC36" t="s">
        <v>170</v>
      </c>
      <c r="ED36" t="s">
        <v>170</v>
      </c>
      <c r="EE36" s="157" t="s">
        <v>160</v>
      </c>
      <c r="EF36" t="s">
        <v>160</v>
      </c>
      <c r="EG36" t="s">
        <v>160</v>
      </c>
      <c r="EH36" t="s">
        <v>171</v>
      </c>
      <c r="EI36" t="s">
        <v>193</v>
      </c>
      <c r="EJ36" t="s">
        <v>194</v>
      </c>
      <c r="EK36" s="137">
        <v>2330</v>
      </c>
      <c r="EL36" t="s">
        <v>211</v>
      </c>
      <c r="EM36">
        <v>175</v>
      </c>
      <c r="EN36">
        <v>175</v>
      </c>
      <c r="EO36" t="s">
        <v>160</v>
      </c>
      <c r="EP36" t="s">
        <v>160</v>
      </c>
      <c r="EQ36" t="s">
        <v>160</v>
      </c>
      <c r="ER36" t="s">
        <v>160</v>
      </c>
      <c r="ES36" s="138">
        <v>8.0652693043544499</v>
      </c>
      <c r="ET36" s="133" t="s">
        <v>172</v>
      </c>
      <c r="EU36" s="138">
        <v>6.3524696629979616E-2</v>
      </c>
      <c r="EV36" s="138">
        <v>6.4425150157019218E-2</v>
      </c>
      <c r="EW36" s="147">
        <v>379.16447907321401</v>
      </c>
      <c r="EX36" s="154">
        <v>21</v>
      </c>
      <c r="EY36" s="154" t="s">
        <v>195</v>
      </c>
      <c r="EZ36" s="138">
        <v>358.16447907321401</v>
      </c>
      <c r="FA36" s="138">
        <v>79.56791804505599</v>
      </c>
      <c r="FB36" s="138">
        <v>70.538769125941997</v>
      </c>
      <c r="FC36" s="156" t="s">
        <v>212</v>
      </c>
      <c r="FD36" s="156" t="s">
        <v>213</v>
      </c>
      <c r="FE36" t="s">
        <v>173</v>
      </c>
      <c r="FF36" t="s">
        <v>173</v>
      </c>
      <c r="FG36" t="s">
        <v>173</v>
      </c>
      <c r="FH36" t="s">
        <v>173</v>
      </c>
      <c r="FI36" t="s">
        <v>173</v>
      </c>
      <c r="FJ36" t="s">
        <v>173</v>
      </c>
      <c r="FK36" t="s">
        <v>173</v>
      </c>
      <c r="FL36" t="s">
        <v>173</v>
      </c>
      <c r="FM36" t="s">
        <v>173</v>
      </c>
      <c r="FN36" t="s">
        <v>173</v>
      </c>
      <c r="FO36" t="s">
        <v>173</v>
      </c>
      <c r="FP36" t="s">
        <v>173</v>
      </c>
    </row>
    <row r="37" spans="1:172" ht="18" x14ac:dyDescent="0.2">
      <c r="A37" s="126" t="s">
        <v>152</v>
      </c>
      <c r="B37" t="s">
        <v>174</v>
      </c>
      <c r="C37">
        <v>2015</v>
      </c>
      <c r="D37" t="s">
        <v>196</v>
      </c>
      <c r="E37" s="147">
        <f t="shared" si="15"/>
        <v>2777.4809570000002</v>
      </c>
      <c r="F37" s="135" t="s">
        <v>160</v>
      </c>
      <c r="G37" s="135" t="s">
        <v>160</v>
      </c>
      <c r="H37" s="147">
        <f t="shared" si="16"/>
        <v>279.07774311078299</v>
      </c>
      <c r="I37" s="147">
        <f t="shared" si="17"/>
        <v>63.094229940850028</v>
      </c>
      <c r="J37" s="147">
        <f t="shared" si="18"/>
        <v>55.447670436656978</v>
      </c>
      <c r="K37" t="s">
        <v>176</v>
      </c>
      <c r="L37" s="130" t="s">
        <v>206</v>
      </c>
      <c r="M37" s="136" t="s">
        <v>175</v>
      </c>
      <c r="N37" t="s">
        <v>196</v>
      </c>
      <c r="O37" t="s">
        <v>156</v>
      </c>
      <c r="P37" s="153" t="s">
        <v>157</v>
      </c>
      <c r="Q37" s="157">
        <v>10</v>
      </c>
      <c r="R37" s="157">
        <v>5</v>
      </c>
      <c r="S37" s="157">
        <v>120</v>
      </c>
      <c r="T37" s="157">
        <v>122</v>
      </c>
      <c r="U37" s="157" t="s">
        <v>160</v>
      </c>
      <c r="V37" s="157" t="s">
        <v>160</v>
      </c>
      <c r="W37" s="157" t="s">
        <v>160</v>
      </c>
      <c r="X37" t="s">
        <v>158</v>
      </c>
      <c r="Y37" s="131">
        <v>12.75</v>
      </c>
      <c r="Z37" s="131">
        <v>-78.73</v>
      </c>
      <c r="AA37" s="131">
        <v>12.75</v>
      </c>
      <c r="AB37" s="131">
        <v>-78.73</v>
      </c>
      <c r="AC37" s="131">
        <v>-2828</v>
      </c>
      <c r="AD37" s="131">
        <v>-2828</v>
      </c>
      <c r="AE37" s="153" t="s">
        <v>160</v>
      </c>
      <c r="AF37" s="153" t="s">
        <v>160</v>
      </c>
      <c r="AG37" s="138">
        <v>2777.4809570000002</v>
      </c>
      <c r="AH37" s="2" t="s">
        <v>159</v>
      </c>
      <c r="AI37" s="153" t="s">
        <v>160</v>
      </c>
      <c r="AJ37" s="153" t="s">
        <v>160</v>
      </c>
      <c r="AK37" s="154" t="s">
        <v>160</v>
      </c>
      <c r="AL37" s="154" t="s">
        <v>177</v>
      </c>
      <c r="AM37" s="157" t="s">
        <v>160</v>
      </c>
      <c r="AN37" t="s">
        <v>160</v>
      </c>
      <c r="AO37" t="s">
        <v>160</v>
      </c>
      <c r="AP37" t="s">
        <v>160</v>
      </c>
      <c r="AQ37" t="s">
        <v>160</v>
      </c>
      <c r="AR37" t="s">
        <v>160</v>
      </c>
      <c r="AS37" t="s">
        <v>160</v>
      </c>
      <c r="AT37" t="s">
        <v>160</v>
      </c>
      <c r="AU37" s="145" t="s">
        <v>178</v>
      </c>
      <c r="AV37" t="s">
        <v>161</v>
      </c>
      <c r="AW37" s="141" t="s">
        <v>179</v>
      </c>
      <c r="AX37" s="141" t="s">
        <v>180</v>
      </c>
      <c r="AY37" s="139" t="s">
        <v>181</v>
      </c>
      <c r="AZ37" s="139" t="s">
        <v>182</v>
      </c>
      <c r="BA37" t="s">
        <v>162</v>
      </c>
      <c r="BB37" s="153" t="s">
        <v>217</v>
      </c>
      <c r="BC37" s="153" t="s">
        <v>217</v>
      </c>
      <c r="BD37" s="153" t="s">
        <v>217</v>
      </c>
      <c r="BE37" s="138">
        <v>20.370550000000001</v>
      </c>
      <c r="BF37" t="s">
        <v>183</v>
      </c>
      <c r="BG37" s="138">
        <v>9.3124295999999995E-2</v>
      </c>
      <c r="BH37">
        <v>0.6</v>
      </c>
      <c r="BI37" t="s">
        <v>184</v>
      </c>
      <c r="BJ37" s="2">
        <v>0.08</v>
      </c>
      <c r="BK37">
        <v>8.8699999999999992</v>
      </c>
      <c r="BL37" t="s">
        <v>163</v>
      </c>
      <c r="BM37">
        <v>1.52</v>
      </c>
      <c r="BN37" t="s">
        <v>185</v>
      </c>
      <c r="BO37" t="s">
        <v>186</v>
      </c>
      <c r="BP37" s="158">
        <f t="shared" si="12"/>
        <v>19.167583333333337</v>
      </c>
      <c r="BQ37" t="s">
        <v>184</v>
      </c>
      <c r="BR37" s="154" t="s">
        <v>160</v>
      </c>
      <c r="BS37" s="154" t="s">
        <v>160</v>
      </c>
      <c r="BT37" t="s">
        <v>214</v>
      </c>
      <c r="BU37" t="s">
        <v>218</v>
      </c>
      <c r="BV37" t="s">
        <v>164</v>
      </c>
      <c r="BW37" t="s">
        <v>164</v>
      </c>
      <c r="BX37" s="138">
        <v>26.96087</v>
      </c>
      <c r="BY37" t="s">
        <v>184</v>
      </c>
      <c r="BZ37" s="159">
        <v>3</v>
      </c>
      <c r="CA37" s="159">
        <v>3</v>
      </c>
      <c r="CB37" s="138">
        <v>3.3424264849756011</v>
      </c>
      <c r="CC37" s="138">
        <v>3.3424264849756011</v>
      </c>
      <c r="CD37" t="s">
        <v>188</v>
      </c>
      <c r="CE37" s="147">
        <f t="shared" si="13"/>
        <v>9.0245515094341228E-2</v>
      </c>
      <c r="CF37" s="147">
        <f t="shared" si="14"/>
        <v>9.0245515094341228E-2</v>
      </c>
      <c r="CG37" s="153" t="s">
        <v>215</v>
      </c>
      <c r="CH37" s="148" t="s">
        <v>207</v>
      </c>
      <c r="CI37" s="138">
        <v>4.0533288269315797</v>
      </c>
      <c r="CJ37" s="138" t="s">
        <v>244</v>
      </c>
      <c r="CK37" t="s">
        <v>160</v>
      </c>
      <c r="CL37" t="s">
        <v>189</v>
      </c>
      <c r="CM37" t="s">
        <v>160</v>
      </c>
      <c r="CN37" t="s">
        <v>160</v>
      </c>
      <c r="CO37" t="s">
        <v>160</v>
      </c>
      <c r="CP37" t="s">
        <v>160</v>
      </c>
      <c r="CQ37" t="s">
        <v>160</v>
      </c>
      <c r="CR37" t="s">
        <v>160</v>
      </c>
      <c r="CS37" t="s">
        <v>160</v>
      </c>
      <c r="CT37" t="s">
        <v>160</v>
      </c>
      <c r="CU37" s="134">
        <v>35</v>
      </c>
      <c r="CV37" t="s">
        <v>159</v>
      </c>
      <c r="CW37">
        <v>3</v>
      </c>
      <c r="CX37" s="149" t="s">
        <v>187</v>
      </c>
      <c r="CY37" s="157" t="s">
        <v>160</v>
      </c>
      <c r="CZ37" s="157" t="s">
        <v>160</v>
      </c>
      <c r="DA37" s="157" t="s">
        <v>160</v>
      </c>
      <c r="DB37" s="157" t="s">
        <v>160</v>
      </c>
      <c r="DC37" s="157" t="s">
        <v>160</v>
      </c>
      <c r="DD37" s="157" t="s">
        <v>160</v>
      </c>
      <c r="DE37" s="157" t="s">
        <v>160</v>
      </c>
      <c r="DF37" s="157" t="s">
        <v>160</v>
      </c>
      <c r="DG37" s="157" t="s">
        <v>160</v>
      </c>
      <c r="DH37" s="157" t="s">
        <v>160</v>
      </c>
      <c r="DI37" s="157" t="s">
        <v>160</v>
      </c>
      <c r="DJ37" s="157" t="s">
        <v>160</v>
      </c>
      <c r="DK37" s="132">
        <v>432.56244218316402</v>
      </c>
      <c r="DL37" t="s">
        <v>165</v>
      </c>
      <c r="DM37" s="153">
        <v>37.1</v>
      </c>
      <c r="DN37" t="s">
        <v>166</v>
      </c>
      <c r="DO37" s="138">
        <v>39.210756600000003</v>
      </c>
      <c r="DP37" s="154" t="s">
        <v>163</v>
      </c>
      <c r="DQ37" s="146">
        <v>0.2</v>
      </c>
      <c r="DR37" t="s">
        <v>190</v>
      </c>
      <c r="DS37" t="s">
        <v>167</v>
      </c>
      <c r="DT37" t="s">
        <v>168</v>
      </c>
      <c r="DU37">
        <v>1.0271999999999999</v>
      </c>
      <c r="DV37" t="s">
        <v>191</v>
      </c>
      <c r="DW37">
        <v>5.9999999999999995E-4</v>
      </c>
      <c r="DX37" t="s">
        <v>198</v>
      </c>
      <c r="DY37" t="s">
        <v>160</v>
      </c>
      <c r="DZ37" t="s">
        <v>160</v>
      </c>
      <c r="EA37" t="s">
        <v>192</v>
      </c>
      <c r="EB37" t="s">
        <v>169</v>
      </c>
      <c r="EC37" t="s">
        <v>170</v>
      </c>
      <c r="ED37" t="s">
        <v>170</v>
      </c>
      <c r="EE37" s="157" t="s">
        <v>160</v>
      </c>
      <c r="EF37" t="s">
        <v>160</v>
      </c>
      <c r="EG37" t="s">
        <v>160</v>
      </c>
      <c r="EH37" t="s">
        <v>171</v>
      </c>
      <c r="EI37" t="s">
        <v>193</v>
      </c>
      <c r="EJ37" t="s">
        <v>194</v>
      </c>
      <c r="EK37" s="137">
        <v>2330</v>
      </c>
      <c r="EL37" t="s">
        <v>211</v>
      </c>
      <c r="EM37">
        <v>175</v>
      </c>
      <c r="EN37">
        <v>175</v>
      </c>
      <c r="EO37" t="s">
        <v>160</v>
      </c>
      <c r="EP37" t="s">
        <v>160</v>
      </c>
      <c r="EQ37" t="s">
        <v>160</v>
      </c>
      <c r="ER37" t="s">
        <v>160</v>
      </c>
      <c r="ES37" s="138">
        <v>8.1460980046670102</v>
      </c>
      <c r="ET37" s="133" t="s">
        <v>172</v>
      </c>
      <c r="EU37" s="138">
        <v>6.4254682015169706E-2</v>
      </c>
      <c r="EV37" s="138">
        <v>6.323538094101977E-2</v>
      </c>
      <c r="EW37" s="147">
        <v>300.07774311078299</v>
      </c>
      <c r="EX37" s="154">
        <v>21</v>
      </c>
      <c r="EY37" s="154" t="s">
        <v>195</v>
      </c>
      <c r="EZ37" s="138">
        <v>279.07774311078299</v>
      </c>
      <c r="FA37" s="138">
        <v>63.094229940850028</v>
      </c>
      <c r="FB37" s="138">
        <v>55.447670436656978</v>
      </c>
      <c r="FC37" s="156" t="s">
        <v>212</v>
      </c>
      <c r="FD37" s="156" t="s">
        <v>213</v>
      </c>
      <c r="FE37" t="s">
        <v>173</v>
      </c>
      <c r="FF37" t="s">
        <v>173</v>
      </c>
      <c r="FG37" t="s">
        <v>173</v>
      </c>
      <c r="FH37" t="s">
        <v>173</v>
      </c>
      <c r="FI37" t="s">
        <v>173</v>
      </c>
      <c r="FJ37" t="s">
        <v>173</v>
      </c>
      <c r="FK37" t="s">
        <v>173</v>
      </c>
      <c r="FL37" t="s">
        <v>173</v>
      </c>
      <c r="FM37" t="s">
        <v>173</v>
      </c>
      <c r="FN37" t="s">
        <v>173</v>
      </c>
      <c r="FO37" t="s">
        <v>173</v>
      </c>
      <c r="FP37" t="s">
        <v>173</v>
      </c>
    </row>
    <row r="38" spans="1:172" ht="18" x14ac:dyDescent="0.2">
      <c r="A38" s="126" t="s">
        <v>152</v>
      </c>
      <c r="B38" t="s">
        <v>174</v>
      </c>
      <c r="C38">
        <v>2015</v>
      </c>
      <c r="D38" t="s">
        <v>196</v>
      </c>
      <c r="E38" s="147">
        <f t="shared" si="15"/>
        <v>2798.5437010000001</v>
      </c>
      <c r="F38" s="135" t="s">
        <v>160</v>
      </c>
      <c r="G38" s="135" t="s">
        <v>160</v>
      </c>
      <c r="H38" s="147">
        <f t="shared" si="16"/>
        <v>281.28879872121001</v>
      </c>
      <c r="I38" s="147">
        <f t="shared" si="17"/>
        <v>64.187420774375994</v>
      </c>
      <c r="J38" s="147">
        <f t="shared" si="18"/>
        <v>55.264789755869003</v>
      </c>
      <c r="K38" t="s">
        <v>176</v>
      </c>
      <c r="L38" s="130" t="s">
        <v>206</v>
      </c>
      <c r="M38" s="136" t="s">
        <v>175</v>
      </c>
      <c r="N38" t="s">
        <v>196</v>
      </c>
      <c r="O38" t="s">
        <v>156</v>
      </c>
      <c r="P38" s="153" t="s">
        <v>157</v>
      </c>
      <c r="Q38" s="157">
        <v>10</v>
      </c>
      <c r="R38" s="157">
        <v>6</v>
      </c>
      <c r="S38" s="157">
        <v>48</v>
      </c>
      <c r="T38" s="157">
        <v>50</v>
      </c>
      <c r="U38" s="157" t="s">
        <v>160</v>
      </c>
      <c r="V38" s="157" t="s">
        <v>160</v>
      </c>
      <c r="W38" s="157" t="s">
        <v>160</v>
      </c>
      <c r="X38" t="s">
        <v>158</v>
      </c>
      <c r="Y38" s="131">
        <v>12.75</v>
      </c>
      <c r="Z38" s="131">
        <v>-78.73</v>
      </c>
      <c r="AA38" s="131">
        <v>12.75</v>
      </c>
      <c r="AB38" s="131">
        <v>-78.73</v>
      </c>
      <c r="AC38" s="131">
        <v>-2828</v>
      </c>
      <c r="AD38" s="131">
        <v>-2828</v>
      </c>
      <c r="AE38" s="153" t="s">
        <v>160</v>
      </c>
      <c r="AF38" s="153" t="s">
        <v>160</v>
      </c>
      <c r="AG38" s="138">
        <v>2798.5437010000001</v>
      </c>
      <c r="AH38" s="2" t="s">
        <v>159</v>
      </c>
      <c r="AI38" s="153" t="s">
        <v>160</v>
      </c>
      <c r="AJ38" s="153" t="s">
        <v>160</v>
      </c>
      <c r="AK38" s="154" t="s">
        <v>160</v>
      </c>
      <c r="AL38" s="154" t="s">
        <v>177</v>
      </c>
      <c r="AM38" s="157" t="s">
        <v>160</v>
      </c>
      <c r="AN38" t="s">
        <v>160</v>
      </c>
      <c r="AO38" t="s">
        <v>160</v>
      </c>
      <c r="AP38" t="s">
        <v>160</v>
      </c>
      <c r="AQ38" t="s">
        <v>160</v>
      </c>
      <c r="AR38" t="s">
        <v>160</v>
      </c>
      <c r="AS38" t="s">
        <v>160</v>
      </c>
      <c r="AT38" t="s">
        <v>160</v>
      </c>
      <c r="AU38" s="145" t="s">
        <v>178</v>
      </c>
      <c r="AV38" t="s">
        <v>161</v>
      </c>
      <c r="AW38" s="141" t="s">
        <v>179</v>
      </c>
      <c r="AX38" s="139" t="s">
        <v>180</v>
      </c>
      <c r="AY38" s="139" t="s">
        <v>181</v>
      </c>
      <c r="AZ38" s="139" t="s">
        <v>182</v>
      </c>
      <c r="BA38" s="140" t="s">
        <v>162</v>
      </c>
      <c r="BB38" s="153" t="s">
        <v>217</v>
      </c>
      <c r="BC38" s="153" t="s">
        <v>217</v>
      </c>
      <c r="BD38" s="153" t="s">
        <v>217</v>
      </c>
      <c r="BE38" s="138">
        <v>20.39716</v>
      </c>
      <c r="BF38" t="s">
        <v>183</v>
      </c>
      <c r="BG38" s="138">
        <v>0.108623541</v>
      </c>
      <c r="BH38">
        <v>0.6</v>
      </c>
      <c r="BI38" t="s">
        <v>184</v>
      </c>
      <c r="BJ38" s="2">
        <v>0.08</v>
      </c>
      <c r="BK38">
        <v>8.8699999999999992</v>
      </c>
      <c r="BL38" t="s">
        <v>163</v>
      </c>
      <c r="BM38">
        <v>1.52</v>
      </c>
      <c r="BN38" t="s">
        <v>185</v>
      </c>
      <c r="BO38" t="s">
        <v>186</v>
      </c>
      <c r="BP38" s="158">
        <f t="shared" si="12"/>
        <v>19.211933333333334</v>
      </c>
      <c r="BQ38" t="s">
        <v>184</v>
      </c>
      <c r="BR38" s="154" t="s">
        <v>160</v>
      </c>
      <c r="BS38" s="154" t="s">
        <v>160</v>
      </c>
      <c r="BT38" t="s">
        <v>214</v>
      </c>
      <c r="BU38" t="s">
        <v>218</v>
      </c>
      <c r="BV38" t="s">
        <v>164</v>
      </c>
      <c r="BW38" t="s">
        <v>164</v>
      </c>
      <c r="BX38" s="138">
        <v>27.57319</v>
      </c>
      <c r="BY38" t="s">
        <v>184</v>
      </c>
      <c r="BZ38" s="159">
        <v>3</v>
      </c>
      <c r="CA38" s="159">
        <v>3</v>
      </c>
      <c r="CB38" s="138">
        <v>3.5178428908274295</v>
      </c>
      <c r="CC38" s="138">
        <v>3.5178428908274295</v>
      </c>
      <c r="CD38" t="s">
        <v>188</v>
      </c>
      <c r="CE38" s="147">
        <f t="shared" si="13"/>
        <v>9.498175805234059E-2</v>
      </c>
      <c r="CF38" s="147">
        <f t="shared" si="14"/>
        <v>9.498175805234059E-2</v>
      </c>
      <c r="CG38" s="153" t="s">
        <v>215</v>
      </c>
      <c r="CH38" s="148" t="s">
        <v>207</v>
      </c>
      <c r="CI38" s="138">
        <v>4.0143891171480632</v>
      </c>
      <c r="CJ38" s="138" t="s">
        <v>244</v>
      </c>
      <c r="CK38" t="s">
        <v>160</v>
      </c>
      <c r="CL38" t="s">
        <v>189</v>
      </c>
      <c r="CM38" t="s">
        <v>160</v>
      </c>
      <c r="CN38" t="s">
        <v>160</v>
      </c>
      <c r="CO38" t="s">
        <v>160</v>
      </c>
      <c r="CP38" t="s">
        <v>160</v>
      </c>
      <c r="CQ38" t="s">
        <v>160</v>
      </c>
      <c r="CR38" t="s">
        <v>160</v>
      </c>
      <c r="CS38" t="s">
        <v>160</v>
      </c>
      <c r="CT38" t="s">
        <v>160</v>
      </c>
      <c r="CU38" s="134">
        <v>35</v>
      </c>
      <c r="CV38" t="s">
        <v>159</v>
      </c>
      <c r="CW38">
        <v>3</v>
      </c>
      <c r="CX38" s="149" t="s">
        <v>187</v>
      </c>
      <c r="CY38" s="157" t="s">
        <v>160</v>
      </c>
      <c r="CZ38" s="157" t="s">
        <v>160</v>
      </c>
      <c r="DA38" s="157" t="s">
        <v>160</v>
      </c>
      <c r="DB38" s="157" t="s">
        <v>160</v>
      </c>
      <c r="DC38" s="157" t="s">
        <v>160</v>
      </c>
      <c r="DD38" s="157" t="s">
        <v>160</v>
      </c>
      <c r="DE38" s="157" t="s">
        <v>160</v>
      </c>
      <c r="DF38" s="157" t="s">
        <v>160</v>
      </c>
      <c r="DG38" s="157" t="s">
        <v>160</v>
      </c>
      <c r="DH38" s="157" t="s">
        <v>160</v>
      </c>
      <c r="DI38" s="157" t="s">
        <v>160</v>
      </c>
      <c r="DJ38" s="157" t="s">
        <v>160</v>
      </c>
      <c r="DK38" s="132">
        <v>432.56244218316402</v>
      </c>
      <c r="DL38" t="s">
        <v>165</v>
      </c>
      <c r="DM38" s="153">
        <v>37.1</v>
      </c>
      <c r="DN38" t="s">
        <v>166</v>
      </c>
      <c r="DO38" s="138">
        <v>39.207882720000001</v>
      </c>
      <c r="DP38" s="154" t="s">
        <v>163</v>
      </c>
      <c r="DQ38" s="146">
        <v>0.2</v>
      </c>
      <c r="DR38" t="s">
        <v>190</v>
      </c>
      <c r="DS38" t="s">
        <v>167</v>
      </c>
      <c r="DT38" t="s">
        <v>168</v>
      </c>
      <c r="DU38">
        <v>1.0271999999999999</v>
      </c>
      <c r="DV38" t="s">
        <v>191</v>
      </c>
      <c r="DW38">
        <v>5.9999999999999995E-4</v>
      </c>
      <c r="DX38" t="s">
        <v>198</v>
      </c>
      <c r="DY38" t="s">
        <v>160</v>
      </c>
      <c r="DZ38" t="s">
        <v>160</v>
      </c>
      <c r="EA38" t="s">
        <v>192</v>
      </c>
      <c r="EB38" t="s">
        <v>169</v>
      </c>
      <c r="EC38" t="s">
        <v>170</v>
      </c>
      <c r="ED38" t="s">
        <v>170</v>
      </c>
      <c r="EE38" s="157" t="s">
        <v>160</v>
      </c>
      <c r="EF38" t="s">
        <v>160</v>
      </c>
      <c r="EG38" t="s">
        <v>160</v>
      </c>
      <c r="EH38" t="s">
        <v>171</v>
      </c>
      <c r="EI38" t="s">
        <v>193</v>
      </c>
      <c r="EJ38" t="s">
        <v>194</v>
      </c>
      <c r="EK38" s="137">
        <v>2330</v>
      </c>
      <c r="EL38" t="s">
        <v>211</v>
      </c>
      <c r="EM38">
        <v>175</v>
      </c>
      <c r="EN38">
        <v>175</v>
      </c>
      <c r="EO38" t="s">
        <v>160</v>
      </c>
      <c r="EP38" t="s">
        <v>160</v>
      </c>
      <c r="EQ38" t="s">
        <v>160</v>
      </c>
      <c r="ER38" t="s">
        <v>160</v>
      </c>
      <c r="ES38" s="138">
        <v>8.1428786645573705</v>
      </c>
      <c r="ET38" s="133" t="s">
        <v>172</v>
      </c>
      <c r="EU38" s="138">
        <v>6.4070918489859352E-2</v>
      </c>
      <c r="EV38" s="138">
        <v>6.3321761291071255E-2</v>
      </c>
      <c r="EW38" s="147">
        <v>302.28879872121001</v>
      </c>
      <c r="EX38" s="154">
        <v>21</v>
      </c>
      <c r="EY38" s="154" t="s">
        <v>195</v>
      </c>
      <c r="EZ38" s="138">
        <v>281.28879872121001</v>
      </c>
      <c r="FA38" s="138">
        <v>64.187420774375994</v>
      </c>
      <c r="FB38" s="138">
        <v>55.264789755869003</v>
      </c>
      <c r="FC38" s="156" t="s">
        <v>212</v>
      </c>
      <c r="FD38" s="156" t="s">
        <v>213</v>
      </c>
      <c r="FE38" t="s">
        <v>173</v>
      </c>
      <c r="FF38" t="s">
        <v>173</v>
      </c>
      <c r="FG38" t="s">
        <v>173</v>
      </c>
      <c r="FH38" t="s">
        <v>173</v>
      </c>
      <c r="FI38" t="s">
        <v>173</v>
      </c>
      <c r="FJ38" t="s">
        <v>173</v>
      </c>
      <c r="FK38" t="s">
        <v>173</v>
      </c>
      <c r="FL38" t="s">
        <v>173</v>
      </c>
      <c r="FM38" t="s">
        <v>173</v>
      </c>
      <c r="FN38" t="s">
        <v>173</v>
      </c>
      <c r="FO38" t="s">
        <v>173</v>
      </c>
      <c r="FP38" t="s">
        <v>173</v>
      </c>
    </row>
    <row r="39" spans="1:172" ht="18" x14ac:dyDescent="0.2">
      <c r="A39" s="126" t="s">
        <v>152</v>
      </c>
      <c r="B39" t="s">
        <v>174</v>
      </c>
      <c r="C39">
        <v>2015</v>
      </c>
      <c r="D39" t="s">
        <v>196</v>
      </c>
      <c r="E39" s="147">
        <f t="shared" si="15"/>
        <v>2830.1762699999999</v>
      </c>
      <c r="F39" s="135" t="s">
        <v>160</v>
      </c>
      <c r="G39" s="135" t="s">
        <v>160</v>
      </c>
      <c r="H39" s="147">
        <f t="shared" si="16"/>
        <v>317.11605581875699</v>
      </c>
      <c r="I39" s="147">
        <f t="shared" si="17"/>
        <v>72.021002881998015</v>
      </c>
      <c r="J39" s="147">
        <f t="shared" si="18"/>
        <v>62.652052585980982</v>
      </c>
      <c r="K39" t="s">
        <v>176</v>
      </c>
      <c r="L39" s="130" t="s">
        <v>206</v>
      </c>
      <c r="M39" s="136" t="s">
        <v>175</v>
      </c>
      <c r="N39" t="s">
        <v>196</v>
      </c>
      <c r="O39" t="s">
        <v>156</v>
      </c>
      <c r="P39" s="153" t="s">
        <v>157</v>
      </c>
      <c r="Q39" s="157">
        <v>10</v>
      </c>
      <c r="R39" s="157">
        <v>6</v>
      </c>
      <c r="S39" s="157">
        <v>127</v>
      </c>
      <c r="T39" s="157">
        <v>129</v>
      </c>
      <c r="U39" s="157" t="s">
        <v>160</v>
      </c>
      <c r="V39" s="157" t="s">
        <v>160</v>
      </c>
      <c r="W39" s="157" t="s">
        <v>160</v>
      </c>
      <c r="X39" t="s">
        <v>158</v>
      </c>
      <c r="Y39" s="131">
        <v>12.75</v>
      </c>
      <c r="Z39" s="131">
        <v>-78.73</v>
      </c>
      <c r="AA39" s="131">
        <v>12.75</v>
      </c>
      <c r="AB39" s="131">
        <v>-78.73</v>
      </c>
      <c r="AC39" s="131">
        <v>-2828</v>
      </c>
      <c r="AD39" s="131">
        <v>-2828</v>
      </c>
      <c r="AE39" s="153" t="s">
        <v>160</v>
      </c>
      <c r="AF39" s="153" t="s">
        <v>160</v>
      </c>
      <c r="AG39" s="138">
        <v>2830.1762699999999</v>
      </c>
      <c r="AH39" s="2" t="s">
        <v>159</v>
      </c>
      <c r="AI39" s="153" t="s">
        <v>160</v>
      </c>
      <c r="AJ39" s="153" t="s">
        <v>160</v>
      </c>
      <c r="AK39" s="154" t="s">
        <v>160</v>
      </c>
      <c r="AL39" s="154" t="s">
        <v>177</v>
      </c>
      <c r="AM39" s="157" t="s">
        <v>160</v>
      </c>
      <c r="AN39" t="s">
        <v>160</v>
      </c>
      <c r="AO39" t="s">
        <v>160</v>
      </c>
      <c r="AP39" t="s">
        <v>160</v>
      </c>
      <c r="AQ39" t="s">
        <v>160</v>
      </c>
      <c r="AR39" t="s">
        <v>160</v>
      </c>
      <c r="AS39" t="s">
        <v>160</v>
      </c>
      <c r="AT39" t="s">
        <v>160</v>
      </c>
      <c r="AU39" s="145" t="s">
        <v>178</v>
      </c>
      <c r="AV39" t="s">
        <v>161</v>
      </c>
      <c r="AW39" s="141" t="s">
        <v>179</v>
      </c>
      <c r="AX39" s="141" t="s">
        <v>180</v>
      </c>
      <c r="AY39" s="139" t="s">
        <v>181</v>
      </c>
      <c r="AZ39" s="139" t="s">
        <v>182</v>
      </c>
      <c r="BA39" t="s">
        <v>162</v>
      </c>
      <c r="BB39" s="153" t="s">
        <v>217</v>
      </c>
      <c r="BC39" s="153" t="s">
        <v>217</v>
      </c>
      <c r="BD39" s="153" t="s">
        <v>217</v>
      </c>
      <c r="BE39" s="138">
        <v>20.197900000000001</v>
      </c>
      <c r="BF39" t="s">
        <v>183</v>
      </c>
      <c r="BG39" s="138">
        <v>0.105442673</v>
      </c>
      <c r="BH39">
        <v>0.6</v>
      </c>
      <c r="BI39" t="s">
        <v>184</v>
      </c>
      <c r="BJ39" s="2">
        <v>0.08</v>
      </c>
      <c r="BK39">
        <v>8.8699999999999992</v>
      </c>
      <c r="BL39" t="s">
        <v>163</v>
      </c>
      <c r="BM39">
        <v>1.52</v>
      </c>
      <c r="BN39" t="s">
        <v>185</v>
      </c>
      <c r="BO39" t="s">
        <v>186</v>
      </c>
      <c r="BP39" s="158">
        <f t="shared" si="12"/>
        <v>18.879833333333337</v>
      </c>
      <c r="BQ39" t="s">
        <v>184</v>
      </c>
      <c r="BR39" s="154" t="s">
        <v>160</v>
      </c>
      <c r="BS39" s="154" t="s">
        <v>160</v>
      </c>
      <c r="BT39" t="s">
        <v>214</v>
      </c>
      <c r="BU39" t="s">
        <v>218</v>
      </c>
      <c r="BV39" t="s">
        <v>164</v>
      </c>
      <c r="BW39" t="s">
        <v>164</v>
      </c>
      <c r="BX39" s="138">
        <v>28.703800000000001</v>
      </c>
      <c r="BY39" t="s">
        <v>184</v>
      </c>
      <c r="BZ39" s="159">
        <v>3</v>
      </c>
      <c r="CA39" s="159">
        <v>3</v>
      </c>
      <c r="CB39" s="138">
        <v>3.8730652235950234</v>
      </c>
      <c r="CC39" s="138">
        <v>3.8730652235950234</v>
      </c>
      <c r="CD39" t="s">
        <v>188</v>
      </c>
      <c r="CE39" s="147">
        <f t="shared" si="13"/>
        <v>0.10457276103706563</v>
      </c>
      <c r="CF39" s="147">
        <f t="shared" si="14"/>
        <v>0.10457276103706563</v>
      </c>
      <c r="CG39" s="153" t="s">
        <v>215</v>
      </c>
      <c r="CH39" s="148" t="s">
        <v>207</v>
      </c>
      <c r="CI39" s="138">
        <v>3.9603499450977289</v>
      </c>
      <c r="CJ39" s="138" t="s">
        <v>244</v>
      </c>
      <c r="CK39" t="s">
        <v>160</v>
      </c>
      <c r="CL39" t="s">
        <v>189</v>
      </c>
      <c r="CM39" t="s">
        <v>160</v>
      </c>
      <c r="CN39" t="s">
        <v>160</v>
      </c>
      <c r="CO39" t="s">
        <v>160</v>
      </c>
      <c r="CP39" t="s">
        <v>160</v>
      </c>
      <c r="CQ39" t="s">
        <v>160</v>
      </c>
      <c r="CR39" t="s">
        <v>160</v>
      </c>
      <c r="CS39" t="s">
        <v>160</v>
      </c>
      <c r="CT39" t="s">
        <v>160</v>
      </c>
      <c r="CU39" s="134">
        <v>35</v>
      </c>
      <c r="CV39" t="s">
        <v>159</v>
      </c>
      <c r="CW39">
        <v>3</v>
      </c>
      <c r="CX39" s="149" t="s">
        <v>187</v>
      </c>
      <c r="CY39" s="157" t="s">
        <v>160</v>
      </c>
      <c r="CZ39" s="157" t="s">
        <v>160</v>
      </c>
      <c r="DA39" s="157" t="s">
        <v>160</v>
      </c>
      <c r="DB39" s="157" t="s">
        <v>160</v>
      </c>
      <c r="DC39" s="157" t="s">
        <v>160</v>
      </c>
      <c r="DD39" s="157" t="s">
        <v>160</v>
      </c>
      <c r="DE39" s="157" t="s">
        <v>160</v>
      </c>
      <c r="DF39" s="157" t="s">
        <v>160</v>
      </c>
      <c r="DG39" s="157" t="s">
        <v>160</v>
      </c>
      <c r="DH39" s="157" t="s">
        <v>160</v>
      </c>
      <c r="DI39" s="157" t="s">
        <v>160</v>
      </c>
      <c r="DJ39" s="157" t="s">
        <v>160</v>
      </c>
      <c r="DK39" s="132">
        <v>432.56244218316402</v>
      </c>
      <c r="DL39" t="s">
        <v>165</v>
      </c>
      <c r="DM39" s="153">
        <v>37.1</v>
      </c>
      <c r="DN39" t="s">
        <v>166</v>
      </c>
      <c r="DO39" s="138">
        <v>39.204835520000003</v>
      </c>
      <c r="DP39" s="154" t="s">
        <v>163</v>
      </c>
      <c r="DQ39" s="146">
        <v>0.2</v>
      </c>
      <c r="DR39" t="s">
        <v>190</v>
      </c>
      <c r="DS39" t="s">
        <v>167</v>
      </c>
      <c r="DT39" t="s">
        <v>168</v>
      </c>
      <c r="DU39">
        <v>1.0271999999999999</v>
      </c>
      <c r="DV39" t="s">
        <v>191</v>
      </c>
      <c r="DW39">
        <v>5.9999999999999995E-4</v>
      </c>
      <c r="DX39" t="s">
        <v>198</v>
      </c>
      <c r="DY39" t="s">
        <v>160</v>
      </c>
      <c r="DZ39" t="s">
        <v>160</v>
      </c>
      <c r="EA39" t="s">
        <v>192</v>
      </c>
      <c r="EB39" t="s">
        <v>169</v>
      </c>
      <c r="EC39" t="s">
        <v>170</v>
      </c>
      <c r="ED39" t="s">
        <v>170</v>
      </c>
      <c r="EE39" s="157" t="s">
        <v>160</v>
      </c>
      <c r="EF39" t="s">
        <v>160</v>
      </c>
      <c r="EG39" t="s">
        <v>160</v>
      </c>
      <c r="EH39" t="s">
        <v>171</v>
      </c>
      <c r="EI39" t="s">
        <v>193</v>
      </c>
      <c r="EJ39" t="s">
        <v>194</v>
      </c>
      <c r="EK39" s="137">
        <v>2330</v>
      </c>
      <c r="EL39" t="s">
        <v>211</v>
      </c>
      <c r="EM39">
        <v>175</v>
      </c>
      <c r="EN39">
        <v>175</v>
      </c>
      <c r="EO39" t="s">
        <v>160</v>
      </c>
      <c r="EP39" t="s">
        <v>160</v>
      </c>
      <c r="EQ39" t="s">
        <v>160</v>
      </c>
      <c r="ER39" t="s">
        <v>160</v>
      </c>
      <c r="ES39" s="138">
        <v>8.1033473569402705</v>
      </c>
      <c r="ET39" s="133" t="s">
        <v>172</v>
      </c>
      <c r="EU39" s="138">
        <v>6.6201299155370208E-2</v>
      </c>
      <c r="EV39" s="138">
        <v>6.5741434958029643E-2</v>
      </c>
      <c r="EW39" s="147">
        <v>338.11605581875699</v>
      </c>
      <c r="EX39" s="154">
        <v>21</v>
      </c>
      <c r="EY39" s="154" t="s">
        <v>195</v>
      </c>
      <c r="EZ39" s="138">
        <v>317.11605581875699</v>
      </c>
      <c r="FA39" s="138">
        <v>72.021002881998015</v>
      </c>
      <c r="FB39" s="138">
        <v>62.652052585980982</v>
      </c>
      <c r="FC39" s="156" t="s">
        <v>212</v>
      </c>
      <c r="FD39" s="156" t="s">
        <v>213</v>
      </c>
      <c r="FE39" t="s">
        <v>173</v>
      </c>
      <c r="FF39" t="s">
        <v>173</v>
      </c>
      <c r="FG39" t="s">
        <v>173</v>
      </c>
      <c r="FH39" t="s">
        <v>173</v>
      </c>
      <c r="FI39" t="s">
        <v>173</v>
      </c>
      <c r="FJ39" t="s">
        <v>173</v>
      </c>
      <c r="FK39" t="s">
        <v>173</v>
      </c>
      <c r="FL39" t="s">
        <v>173</v>
      </c>
      <c r="FM39" t="s">
        <v>173</v>
      </c>
      <c r="FN39" t="s">
        <v>173</v>
      </c>
      <c r="FO39" t="s">
        <v>173</v>
      </c>
      <c r="FP39" t="s">
        <v>173</v>
      </c>
    </row>
    <row r="40" spans="1:172" ht="18" x14ac:dyDescent="0.2">
      <c r="A40" s="126" t="s">
        <v>152</v>
      </c>
      <c r="B40" t="s">
        <v>174</v>
      </c>
      <c r="C40">
        <v>2015</v>
      </c>
      <c r="D40" t="s">
        <v>196</v>
      </c>
      <c r="E40" s="147">
        <f t="shared" si="15"/>
        <v>2831.6838379999999</v>
      </c>
      <c r="F40" s="135" t="s">
        <v>160</v>
      </c>
      <c r="G40" s="135" t="s">
        <v>160</v>
      </c>
      <c r="H40" s="147">
        <f t="shared" si="16"/>
        <v>361.39509727157798</v>
      </c>
      <c r="I40" s="147">
        <f t="shared" si="17"/>
        <v>91.927434482915999</v>
      </c>
      <c r="J40" s="147">
        <f t="shared" si="18"/>
        <v>77.928498947545961</v>
      </c>
      <c r="K40" t="s">
        <v>176</v>
      </c>
      <c r="L40" s="130" t="s">
        <v>206</v>
      </c>
      <c r="M40" s="136" t="s">
        <v>175</v>
      </c>
      <c r="N40" t="s">
        <v>196</v>
      </c>
      <c r="O40" t="s">
        <v>156</v>
      </c>
      <c r="P40" s="153" t="s">
        <v>157</v>
      </c>
      <c r="Q40" s="157">
        <v>10</v>
      </c>
      <c r="R40" s="157">
        <v>6</v>
      </c>
      <c r="S40" s="157">
        <v>132</v>
      </c>
      <c r="T40" s="157">
        <v>134</v>
      </c>
      <c r="U40" s="157" t="s">
        <v>160</v>
      </c>
      <c r="V40" s="157" t="s">
        <v>160</v>
      </c>
      <c r="W40" s="157" t="s">
        <v>160</v>
      </c>
      <c r="X40" t="s">
        <v>158</v>
      </c>
      <c r="Y40" s="131">
        <v>12.75</v>
      </c>
      <c r="Z40" s="131">
        <v>-78.73</v>
      </c>
      <c r="AA40" s="131">
        <v>12.75</v>
      </c>
      <c r="AB40" s="131">
        <v>-78.73</v>
      </c>
      <c r="AC40" s="131">
        <v>-2828</v>
      </c>
      <c r="AD40" s="131">
        <v>-2828</v>
      </c>
      <c r="AE40" s="153" t="s">
        <v>160</v>
      </c>
      <c r="AF40" s="153" t="s">
        <v>160</v>
      </c>
      <c r="AG40" s="138">
        <v>2831.6838379999999</v>
      </c>
      <c r="AH40" s="2" t="s">
        <v>159</v>
      </c>
      <c r="AI40" s="153" t="s">
        <v>160</v>
      </c>
      <c r="AJ40" s="153" t="s">
        <v>160</v>
      </c>
      <c r="AK40" s="154" t="s">
        <v>160</v>
      </c>
      <c r="AL40" s="154" t="s">
        <v>177</v>
      </c>
      <c r="AM40" s="157" t="s">
        <v>160</v>
      </c>
      <c r="AN40" t="s">
        <v>160</v>
      </c>
      <c r="AO40" t="s">
        <v>160</v>
      </c>
      <c r="AP40" t="s">
        <v>160</v>
      </c>
      <c r="AQ40" t="s">
        <v>160</v>
      </c>
      <c r="AR40" t="s">
        <v>160</v>
      </c>
      <c r="AS40" t="s">
        <v>160</v>
      </c>
      <c r="AT40" t="s">
        <v>160</v>
      </c>
      <c r="AU40" s="145" t="s">
        <v>178</v>
      </c>
      <c r="AV40" t="s">
        <v>161</v>
      </c>
      <c r="AW40" s="141" t="s">
        <v>179</v>
      </c>
      <c r="AX40" s="139" t="s">
        <v>180</v>
      </c>
      <c r="AY40" s="139" t="s">
        <v>181</v>
      </c>
      <c r="AZ40" s="139" t="s">
        <v>182</v>
      </c>
      <c r="BA40" s="140" t="s">
        <v>162</v>
      </c>
      <c r="BB40" s="153" t="s">
        <v>217</v>
      </c>
      <c r="BC40" s="153" t="s">
        <v>217</v>
      </c>
      <c r="BD40" s="153" t="s">
        <v>217</v>
      </c>
      <c r="BE40" s="138">
        <v>19.87284</v>
      </c>
      <c r="BF40" t="s">
        <v>183</v>
      </c>
      <c r="BG40" s="138">
        <v>0.24043832300000001</v>
      </c>
      <c r="BH40">
        <v>0.6</v>
      </c>
      <c r="BI40" t="s">
        <v>184</v>
      </c>
      <c r="BJ40" s="2">
        <v>0.08</v>
      </c>
      <c r="BK40">
        <v>8.8699999999999992</v>
      </c>
      <c r="BL40" t="s">
        <v>163</v>
      </c>
      <c r="BM40">
        <v>1.52</v>
      </c>
      <c r="BN40" t="s">
        <v>185</v>
      </c>
      <c r="BO40" t="s">
        <v>186</v>
      </c>
      <c r="BP40" s="158">
        <f t="shared" si="12"/>
        <v>18.33806666666667</v>
      </c>
      <c r="BQ40" t="s">
        <v>184</v>
      </c>
      <c r="BR40" s="154" t="s">
        <v>160</v>
      </c>
      <c r="BS40" s="154" t="s">
        <v>160</v>
      </c>
      <c r="BT40" t="s">
        <v>214</v>
      </c>
      <c r="BU40" t="s">
        <v>218</v>
      </c>
      <c r="BV40" t="s">
        <v>164</v>
      </c>
      <c r="BW40" t="s">
        <v>164</v>
      </c>
      <c r="BX40" s="138">
        <v>28.141539999999999</v>
      </c>
      <c r="BY40" t="s">
        <v>184</v>
      </c>
      <c r="BZ40" s="159">
        <v>3</v>
      </c>
      <c r="CA40" s="159">
        <v>3</v>
      </c>
      <c r="CB40" s="138">
        <v>3.6809735306482367</v>
      </c>
      <c r="CC40" s="138">
        <v>3.6809735306482367</v>
      </c>
      <c r="CD40" t="s">
        <v>188</v>
      </c>
      <c r="CE40" s="147">
        <f t="shared" si="13"/>
        <v>9.9386285327502391E-2</v>
      </c>
      <c r="CF40" s="147">
        <f t="shared" si="14"/>
        <v>9.9386285327502391E-2</v>
      </c>
      <c r="CG40" s="153" t="s">
        <v>215</v>
      </c>
      <c r="CH40" s="148" t="s">
        <v>207</v>
      </c>
      <c r="CI40" s="138">
        <v>3.9577854599347955</v>
      </c>
      <c r="CJ40" s="138" t="s">
        <v>244</v>
      </c>
      <c r="CK40" t="s">
        <v>160</v>
      </c>
      <c r="CL40" t="s">
        <v>189</v>
      </c>
      <c r="CM40" t="s">
        <v>160</v>
      </c>
      <c r="CN40" t="s">
        <v>160</v>
      </c>
      <c r="CO40" t="s">
        <v>160</v>
      </c>
      <c r="CP40" t="s">
        <v>160</v>
      </c>
      <c r="CQ40" t="s">
        <v>160</v>
      </c>
      <c r="CR40" t="s">
        <v>160</v>
      </c>
      <c r="CS40" t="s">
        <v>160</v>
      </c>
      <c r="CT40" t="s">
        <v>160</v>
      </c>
      <c r="CU40" s="134">
        <v>35</v>
      </c>
      <c r="CV40" t="s">
        <v>159</v>
      </c>
      <c r="CW40">
        <v>3</v>
      </c>
      <c r="CX40" s="149" t="s">
        <v>187</v>
      </c>
      <c r="CY40" s="157" t="s">
        <v>160</v>
      </c>
      <c r="CZ40" s="157" t="s">
        <v>160</v>
      </c>
      <c r="DA40" s="157" t="s">
        <v>160</v>
      </c>
      <c r="DB40" s="157" t="s">
        <v>160</v>
      </c>
      <c r="DC40" s="157" t="s">
        <v>160</v>
      </c>
      <c r="DD40" s="157" t="s">
        <v>160</v>
      </c>
      <c r="DE40" s="157" t="s">
        <v>160</v>
      </c>
      <c r="DF40" s="157" t="s">
        <v>160</v>
      </c>
      <c r="DG40" s="157" t="s">
        <v>160</v>
      </c>
      <c r="DH40" s="157" t="s">
        <v>160</v>
      </c>
      <c r="DI40" s="157" t="s">
        <v>160</v>
      </c>
      <c r="DJ40" s="157" t="s">
        <v>160</v>
      </c>
      <c r="DK40" s="132">
        <v>432.56244218316402</v>
      </c>
      <c r="DL40" t="s">
        <v>165</v>
      </c>
      <c r="DM40" s="153">
        <v>37.1</v>
      </c>
      <c r="DN40" t="s">
        <v>166</v>
      </c>
      <c r="DO40" s="138">
        <v>39.20374236</v>
      </c>
      <c r="DP40" s="154" t="s">
        <v>163</v>
      </c>
      <c r="DQ40" s="146">
        <v>0.2</v>
      </c>
      <c r="DR40" t="s">
        <v>190</v>
      </c>
      <c r="DS40" t="s">
        <v>167</v>
      </c>
      <c r="DT40" t="s">
        <v>168</v>
      </c>
      <c r="DU40">
        <v>1.0271999999999999</v>
      </c>
      <c r="DV40" t="s">
        <v>191</v>
      </c>
      <c r="DW40">
        <v>5.9999999999999995E-4</v>
      </c>
      <c r="DX40" t="s">
        <v>198</v>
      </c>
      <c r="DY40" t="s">
        <v>160</v>
      </c>
      <c r="DZ40" t="s">
        <v>160</v>
      </c>
      <c r="EA40" t="s">
        <v>192</v>
      </c>
      <c r="EB40" t="s">
        <v>169</v>
      </c>
      <c r="EC40" t="s">
        <v>170</v>
      </c>
      <c r="ED40" t="s">
        <v>170</v>
      </c>
      <c r="EE40" s="157" t="s">
        <v>160</v>
      </c>
      <c r="EF40" t="s">
        <v>160</v>
      </c>
      <c r="EG40" t="s">
        <v>160</v>
      </c>
      <c r="EH40" t="s">
        <v>171</v>
      </c>
      <c r="EI40" t="s">
        <v>193</v>
      </c>
      <c r="EJ40" t="s">
        <v>194</v>
      </c>
      <c r="EK40" s="137">
        <v>2330</v>
      </c>
      <c r="EL40" t="s">
        <v>211</v>
      </c>
      <c r="EM40">
        <v>175</v>
      </c>
      <c r="EN40">
        <v>175</v>
      </c>
      <c r="EO40" t="s">
        <v>160</v>
      </c>
      <c r="EP40" t="s">
        <v>160</v>
      </c>
      <c r="EQ40" t="s">
        <v>160</v>
      </c>
      <c r="ER40" t="s">
        <v>160</v>
      </c>
      <c r="ES40" s="138">
        <v>8.0622320763686908</v>
      </c>
      <c r="ET40" s="133" t="s">
        <v>172</v>
      </c>
      <c r="EU40" s="138">
        <v>7.2569164699489264E-2</v>
      </c>
      <c r="EV40" s="138">
        <v>7.4111753152720894E-2</v>
      </c>
      <c r="EW40" s="147">
        <v>382.39509727157798</v>
      </c>
      <c r="EX40" s="154">
        <v>21</v>
      </c>
      <c r="EY40" s="154" t="s">
        <v>195</v>
      </c>
      <c r="EZ40" s="138">
        <v>361.39509727157798</v>
      </c>
      <c r="FA40" s="138">
        <v>91.927434482915999</v>
      </c>
      <c r="FB40" s="138">
        <v>77.928498947545961</v>
      </c>
      <c r="FC40" s="156" t="s">
        <v>212</v>
      </c>
      <c r="FD40" s="156" t="s">
        <v>213</v>
      </c>
      <c r="FE40" t="s">
        <v>173</v>
      </c>
      <c r="FF40" t="s">
        <v>173</v>
      </c>
      <c r="FG40" t="s">
        <v>173</v>
      </c>
      <c r="FH40" t="s">
        <v>173</v>
      </c>
      <c r="FI40" t="s">
        <v>173</v>
      </c>
      <c r="FJ40" t="s">
        <v>173</v>
      </c>
      <c r="FK40" t="s">
        <v>173</v>
      </c>
      <c r="FL40" t="s">
        <v>173</v>
      </c>
      <c r="FM40" t="s">
        <v>173</v>
      </c>
      <c r="FN40" t="s">
        <v>173</v>
      </c>
      <c r="FO40" t="s">
        <v>173</v>
      </c>
      <c r="FP40" t="s">
        <v>173</v>
      </c>
    </row>
    <row r="41" spans="1:172" ht="18" x14ac:dyDescent="0.2">
      <c r="A41" s="126" t="s">
        <v>152</v>
      </c>
      <c r="B41" t="s">
        <v>174</v>
      </c>
      <c r="C41">
        <v>2015</v>
      </c>
      <c r="D41" t="s">
        <v>196</v>
      </c>
      <c r="E41" s="147">
        <f t="shared" si="15"/>
        <v>2838.900635</v>
      </c>
      <c r="F41" s="135" t="s">
        <v>160</v>
      </c>
      <c r="G41" s="135" t="s">
        <v>160</v>
      </c>
      <c r="H41" s="147">
        <f t="shared" si="16"/>
        <v>387.683385175392</v>
      </c>
      <c r="I41" s="147">
        <f t="shared" si="17"/>
        <v>87.267713109030979</v>
      </c>
      <c r="J41" s="147">
        <f t="shared" si="18"/>
        <v>73.912674160112999</v>
      </c>
      <c r="K41" t="s">
        <v>176</v>
      </c>
      <c r="L41" s="130" t="s">
        <v>206</v>
      </c>
      <c r="M41" s="136" t="s">
        <v>175</v>
      </c>
      <c r="N41" t="s">
        <v>196</v>
      </c>
      <c r="O41" t="s">
        <v>156</v>
      </c>
      <c r="P41" s="153" t="s">
        <v>157</v>
      </c>
      <c r="Q41" s="171">
        <v>10</v>
      </c>
      <c r="R41" s="171">
        <v>7</v>
      </c>
      <c r="S41" s="171">
        <v>10</v>
      </c>
      <c r="T41" s="171">
        <v>12</v>
      </c>
      <c r="U41" s="157" t="s">
        <v>160</v>
      </c>
      <c r="V41" s="157" t="s">
        <v>160</v>
      </c>
      <c r="W41" s="157" t="s">
        <v>160</v>
      </c>
      <c r="X41" t="s">
        <v>158</v>
      </c>
      <c r="Y41" s="131">
        <v>12.75</v>
      </c>
      <c r="Z41" s="131">
        <v>-78.73</v>
      </c>
      <c r="AA41" s="131">
        <v>12.75</v>
      </c>
      <c r="AB41" s="131">
        <v>-78.73</v>
      </c>
      <c r="AC41" s="131">
        <v>-2828</v>
      </c>
      <c r="AD41" s="131">
        <v>-2828</v>
      </c>
      <c r="AE41" s="153" t="s">
        <v>160</v>
      </c>
      <c r="AF41" s="153" t="s">
        <v>160</v>
      </c>
      <c r="AG41" s="138">
        <v>2838.900635</v>
      </c>
      <c r="AH41" s="2" t="s">
        <v>159</v>
      </c>
      <c r="AI41" s="153" t="s">
        <v>160</v>
      </c>
      <c r="AJ41" s="153" t="s">
        <v>160</v>
      </c>
      <c r="AK41" s="154" t="s">
        <v>160</v>
      </c>
      <c r="AL41" s="154" t="s">
        <v>177</v>
      </c>
      <c r="AM41" s="157" t="s">
        <v>160</v>
      </c>
      <c r="AN41" t="s">
        <v>160</v>
      </c>
      <c r="AO41" t="s">
        <v>160</v>
      </c>
      <c r="AP41" t="s">
        <v>160</v>
      </c>
      <c r="AQ41" t="s">
        <v>160</v>
      </c>
      <c r="AR41" t="s">
        <v>160</v>
      </c>
      <c r="AS41" t="s">
        <v>160</v>
      </c>
      <c r="AT41" t="s">
        <v>160</v>
      </c>
      <c r="AU41" s="145" t="s">
        <v>178</v>
      </c>
      <c r="AV41" t="s">
        <v>161</v>
      </c>
      <c r="AW41" s="141" t="s">
        <v>179</v>
      </c>
      <c r="AX41" s="141" t="s">
        <v>180</v>
      </c>
      <c r="AY41" s="139" t="s">
        <v>181</v>
      </c>
      <c r="AZ41" s="139" t="s">
        <v>182</v>
      </c>
      <c r="BA41" t="s">
        <v>162</v>
      </c>
      <c r="BB41" s="153" t="s">
        <v>217</v>
      </c>
      <c r="BC41" s="153" t="s">
        <v>217</v>
      </c>
      <c r="BD41" s="153" t="s">
        <v>217</v>
      </c>
      <c r="BE41" s="138">
        <v>19.670649999999998</v>
      </c>
      <c r="BF41" t="s">
        <v>183</v>
      </c>
      <c r="BG41" s="138">
        <v>9.5088858999999998E-2</v>
      </c>
      <c r="BH41">
        <v>0.6</v>
      </c>
      <c r="BI41" t="s">
        <v>184</v>
      </c>
      <c r="BJ41" s="2">
        <v>0.08</v>
      </c>
      <c r="BK41">
        <v>8.8699999999999992</v>
      </c>
      <c r="BL41" t="s">
        <v>163</v>
      </c>
      <c r="BM41">
        <v>1.52</v>
      </c>
      <c r="BN41" t="s">
        <v>185</v>
      </c>
      <c r="BO41" t="s">
        <v>186</v>
      </c>
      <c r="BP41" s="158">
        <f t="shared" si="12"/>
        <v>18.001083333333334</v>
      </c>
      <c r="BQ41" t="s">
        <v>184</v>
      </c>
      <c r="BR41" s="154" t="s">
        <v>160</v>
      </c>
      <c r="BS41" s="154" t="s">
        <v>160</v>
      </c>
      <c r="BT41" t="s">
        <v>214</v>
      </c>
      <c r="BU41" t="s">
        <v>218</v>
      </c>
      <c r="BV41" t="s">
        <v>164</v>
      </c>
      <c r="BW41" t="s">
        <v>164</v>
      </c>
      <c r="BX41" s="138">
        <v>27.48629</v>
      </c>
      <c r="BY41" t="s">
        <v>184</v>
      </c>
      <c r="BZ41" s="159">
        <v>3</v>
      </c>
      <c r="CA41" s="159">
        <v>3</v>
      </c>
      <c r="CB41" s="138">
        <v>3.4657869802559342</v>
      </c>
      <c r="CC41" s="138">
        <v>3.4657869802559342</v>
      </c>
      <c r="CD41" t="s">
        <v>188</v>
      </c>
      <c r="CE41" s="147">
        <f t="shared" si="13"/>
        <v>9.357624846691022E-2</v>
      </c>
      <c r="CF41" s="147">
        <f t="shared" si="14"/>
        <v>9.357624846691022E-2</v>
      </c>
      <c r="CG41" s="153" t="s">
        <v>215</v>
      </c>
      <c r="CH41" s="148" t="s">
        <v>207</v>
      </c>
      <c r="CI41" s="138">
        <v>3.9455927354542331</v>
      </c>
      <c r="CJ41" s="138" t="s">
        <v>244</v>
      </c>
      <c r="CK41" t="s">
        <v>160</v>
      </c>
      <c r="CL41" t="s">
        <v>189</v>
      </c>
      <c r="CM41" t="s">
        <v>160</v>
      </c>
      <c r="CN41" t="s">
        <v>160</v>
      </c>
      <c r="CO41" t="s">
        <v>160</v>
      </c>
      <c r="CP41" t="s">
        <v>160</v>
      </c>
      <c r="CQ41" t="s">
        <v>160</v>
      </c>
      <c r="CR41" t="s">
        <v>160</v>
      </c>
      <c r="CS41" t="s">
        <v>160</v>
      </c>
      <c r="CT41" t="s">
        <v>160</v>
      </c>
      <c r="CU41" s="134">
        <v>35</v>
      </c>
      <c r="CV41" t="s">
        <v>159</v>
      </c>
      <c r="CW41">
        <v>3</v>
      </c>
      <c r="CX41" s="149" t="s">
        <v>187</v>
      </c>
      <c r="CY41" s="157" t="s">
        <v>160</v>
      </c>
      <c r="CZ41" s="157" t="s">
        <v>160</v>
      </c>
      <c r="DA41" s="157" t="s">
        <v>160</v>
      </c>
      <c r="DB41" s="157" t="s">
        <v>160</v>
      </c>
      <c r="DC41" s="157" t="s">
        <v>160</v>
      </c>
      <c r="DD41" s="157" t="s">
        <v>160</v>
      </c>
      <c r="DE41" s="157" t="s">
        <v>160</v>
      </c>
      <c r="DF41" s="157" t="s">
        <v>160</v>
      </c>
      <c r="DG41" s="157" t="s">
        <v>160</v>
      </c>
      <c r="DH41" s="157" t="s">
        <v>160</v>
      </c>
      <c r="DI41" s="157" t="s">
        <v>160</v>
      </c>
      <c r="DJ41" s="157" t="s">
        <v>160</v>
      </c>
      <c r="DK41" s="132">
        <v>432.56244218316402</v>
      </c>
      <c r="DL41" t="s">
        <v>165</v>
      </c>
      <c r="DM41" s="153">
        <v>37.1</v>
      </c>
      <c r="DN41" t="s">
        <v>166</v>
      </c>
      <c r="DO41" s="138">
        <v>39.202961389999999</v>
      </c>
      <c r="DP41" s="154" t="s">
        <v>163</v>
      </c>
      <c r="DQ41" s="146">
        <v>0.2</v>
      </c>
      <c r="DR41" t="s">
        <v>190</v>
      </c>
      <c r="DS41" t="s">
        <v>167</v>
      </c>
      <c r="DT41" t="s">
        <v>168</v>
      </c>
      <c r="DU41">
        <v>1.0271999999999999</v>
      </c>
      <c r="DV41" t="s">
        <v>191</v>
      </c>
      <c r="DW41">
        <v>5.9999999999999995E-4</v>
      </c>
      <c r="DX41" t="s">
        <v>198</v>
      </c>
      <c r="DY41" t="s">
        <v>160</v>
      </c>
      <c r="DZ41" t="s">
        <v>160</v>
      </c>
      <c r="EA41" t="s">
        <v>192</v>
      </c>
      <c r="EB41" t="s">
        <v>169</v>
      </c>
      <c r="EC41" t="s">
        <v>170</v>
      </c>
      <c r="ED41" t="s">
        <v>170</v>
      </c>
      <c r="EE41" s="157" t="s">
        <v>160</v>
      </c>
      <c r="EF41" t="s">
        <v>160</v>
      </c>
      <c r="EG41" t="s">
        <v>160</v>
      </c>
      <c r="EH41" t="s">
        <v>171</v>
      </c>
      <c r="EI41" t="s">
        <v>193</v>
      </c>
      <c r="EJ41" t="s">
        <v>194</v>
      </c>
      <c r="EK41" s="137">
        <v>2330</v>
      </c>
      <c r="EL41" t="s">
        <v>211</v>
      </c>
      <c r="EM41">
        <v>175</v>
      </c>
      <c r="EN41">
        <v>175</v>
      </c>
      <c r="EO41" t="s">
        <v>160</v>
      </c>
      <c r="EP41" t="s">
        <v>160</v>
      </c>
      <c r="EQ41" t="s">
        <v>160</v>
      </c>
      <c r="ER41" t="s">
        <v>160</v>
      </c>
      <c r="ES41" s="138">
        <v>8.0392677891921505</v>
      </c>
      <c r="ET41" s="133" t="s">
        <v>172</v>
      </c>
      <c r="EU41" s="138">
        <v>6.4878386531740162E-2</v>
      </c>
      <c r="EV41" s="138">
        <v>6.5702934865140783E-2</v>
      </c>
      <c r="EW41" s="147">
        <v>408.683385175392</v>
      </c>
      <c r="EX41" s="154">
        <v>21</v>
      </c>
      <c r="EY41" s="154" t="s">
        <v>195</v>
      </c>
      <c r="EZ41" s="138">
        <v>387.683385175392</v>
      </c>
      <c r="FA41" s="138">
        <v>87.267713109030979</v>
      </c>
      <c r="FB41" s="138">
        <v>73.912674160112999</v>
      </c>
      <c r="FC41" s="156" t="s">
        <v>212</v>
      </c>
      <c r="FD41" s="156" t="s">
        <v>213</v>
      </c>
      <c r="FE41" t="s">
        <v>173</v>
      </c>
      <c r="FF41" t="s">
        <v>173</v>
      </c>
      <c r="FG41" t="s">
        <v>173</v>
      </c>
      <c r="FH41" t="s">
        <v>173</v>
      </c>
      <c r="FI41" t="s">
        <v>173</v>
      </c>
      <c r="FJ41" t="s">
        <v>173</v>
      </c>
      <c r="FK41" t="s">
        <v>173</v>
      </c>
      <c r="FL41" t="s">
        <v>173</v>
      </c>
      <c r="FM41" t="s">
        <v>173</v>
      </c>
      <c r="FN41" t="s">
        <v>173</v>
      </c>
      <c r="FO41" t="s">
        <v>173</v>
      </c>
      <c r="FP41" t="s">
        <v>173</v>
      </c>
    </row>
    <row r="42" spans="1:172" ht="18" x14ac:dyDescent="0.2">
      <c r="A42" s="126" t="s">
        <v>152</v>
      </c>
      <c r="B42" t="s">
        <v>174</v>
      </c>
      <c r="C42">
        <v>2015</v>
      </c>
      <c r="D42" t="s">
        <v>196</v>
      </c>
      <c r="E42" s="147">
        <f t="shared" si="15"/>
        <v>2849.1823730000001</v>
      </c>
      <c r="F42" s="135" t="s">
        <v>160</v>
      </c>
      <c r="G42" s="135" t="s">
        <v>160</v>
      </c>
      <c r="H42" s="147">
        <f t="shared" si="16"/>
        <v>307.71190055559299</v>
      </c>
      <c r="I42" s="147">
        <f t="shared" si="17"/>
        <v>68.963122351056995</v>
      </c>
      <c r="J42" s="147">
        <f t="shared" si="18"/>
        <v>60.601372482999977</v>
      </c>
      <c r="K42" t="s">
        <v>176</v>
      </c>
      <c r="L42" s="130" t="s">
        <v>206</v>
      </c>
      <c r="M42" s="136" t="s">
        <v>175</v>
      </c>
      <c r="N42" t="s">
        <v>196</v>
      </c>
      <c r="O42" t="s">
        <v>156</v>
      </c>
      <c r="P42" s="153" t="s">
        <v>157</v>
      </c>
      <c r="Q42" s="157">
        <v>10</v>
      </c>
      <c r="R42" s="157">
        <v>7</v>
      </c>
      <c r="S42" s="157">
        <v>50</v>
      </c>
      <c r="T42" s="157">
        <v>52</v>
      </c>
      <c r="U42" s="157" t="s">
        <v>160</v>
      </c>
      <c r="V42" s="157" t="s">
        <v>160</v>
      </c>
      <c r="W42" s="157" t="s">
        <v>160</v>
      </c>
      <c r="X42" t="s">
        <v>158</v>
      </c>
      <c r="Y42" s="131">
        <v>12.75</v>
      </c>
      <c r="Z42" s="131">
        <v>-78.73</v>
      </c>
      <c r="AA42" s="131">
        <v>12.75</v>
      </c>
      <c r="AB42" s="131">
        <v>-78.73</v>
      </c>
      <c r="AC42" s="131">
        <v>-2828</v>
      </c>
      <c r="AD42" s="131">
        <v>-2828</v>
      </c>
      <c r="AE42" s="153" t="s">
        <v>160</v>
      </c>
      <c r="AF42" s="153" t="s">
        <v>160</v>
      </c>
      <c r="AG42" s="138">
        <v>2849.1823730000001</v>
      </c>
      <c r="AH42" s="2" t="s">
        <v>159</v>
      </c>
      <c r="AI42" s="153" t="s">
        <v>160</v>
      </c>
      <c r="AJ42" s="153" t="s">
        <v>160</v>
      </c>
      <c r="AK42" s="154" t="s">
        <v>160</v>
      </c>
      <c r="AL42" s="154" t="s">
        <v>177</v>
      </c>
      <c r="AM42" s="157" t="s">
        <v>160</v>
      </c>
      <c r="AN42" t="s">
        <v>160</v>
      </c>
      <c r="AO42" t="s">
        <v>160</v>
      </c>
      <c r="AP42" t="s">
        <v>160</v>
      </c>
      <c r="AQ42" t="s">
        <v>160</v>
      </c>
      <c r="AR42" t="s">
        <v>160</v>
      </c>
      <c r="AS42" t="s">
        <v>160</v>
      </c>
      <c r="AT42" t="s">
        <v>160</v>
      </c>
      <c r="AU42" s="145" t="s">
        <v>178</v>
      </c>
      <c r="AV42" t="s">
        <v>161</v>
      </c>
      <c r="AW42" s="141" t="s">
        <v>179</v>
      </c>
      <c r="AX42" s="139" t="s">
        <v>180</v>
      </c>
      <c r="AY42" s="139" t="s">
        <v>181</v>
      </c>
      <c r="AZ42" s="139" t="s">
        <v>182</v>
      </c>
      <c r="BA42" s="140" t="s">
        <v>162</v>
      </c>
      <c r="BB42" s="153" t="s">
        <v>217</v>
      </c>
      <c r="BC42" s="153" t="s">
        <v>217</v>
      </c>
      <c r="BD42" s="153" t="s">
        <v>217</v>
      </c>
      <c r="BE42" s="138">
        <v>20.160060000000001</v>
      </c>
      <c r="BF42" t="s">
        <v>183</v>
      </c>
      <c r="BG42" s="138">
        <v>0.111171903</v>
      </c>
      <c r="BH42">
        <v>0.6</v>
      </c>
      <c r="BI42" t="s">
        <v>184</v>
      </c>
      <c r="BJ42" s="2">
        <v>0.08</v>
      </c>
      <c r="BK42">
        <v>8.8699999999999992</v>
      </c>
      <c r="BL42" t="s">
        <v>163</v>
      </c>
      <c r="BM42">
        <v>1.52</v>
      </c>
      <c r="BN42" t="s">
        <v>185</v>
      </c>
      <c r="BO42" t="s">
        <v>186</v>
      </c>
      <c r="BP42" s="158">
        <f t="shared" si="12"/>
        <v>18.81676666666667</v>
      </c>
      <c r="BQ42" t="s">
        <v>184</v>
      </c>
      <c r="BR42" s="154" t="s">
        <v>160</v>
      </c>
      <c r="BS42" s="154" t="s">
        <v>160</v>
      </c>
      <c r="BT42" t="s">
        <v>214</v>
      </c>
      <c r="BU42" t="s">
        <v>218</v>
      </c>
      <c r="BV42" t="s">
        <v>164</v>
      </c>
      <c r="BW42" t="s">
        <v>164</v>
      </c>
      <c r="BX42" s="138">
        <v>27.170369999999998</v>
      </c>
      <c r="BY42" t="s">
        <v>184</v>
      </c>
      <c r="BZ42" s="159">
        <v>3</v>
      </c>
      <c r="CA42" s="159">
        <v>3</v>
      </c>
      <c r="CB42" s="138">
        <v>3.3626617309197604</v>
      </c>
      <c r="CC42" s="138">
        <v>3.3626617309197604</v>
      </c>
      <c r="CD42" t="s">
        <v>188</v>
      </c>
      <c r="CE42" s="147">
        <f t="shared" si="13"/>
        <v>9.0791866734833526E-2</v>
      </c>
      <c r="CF42" s="147">
        <f t="shared" si="14"/>
        <v>9.0791866734833526E-2</v>
      </c>
      <c r="CG42" s="153" t="s">
        <v>215</v>
      </c>
      <c r="CH42" s="148" t="s">
        <v>207</v>
      </c>
      <c r="CI42" s="138">
        <v>3.9285568723081332</v>
      </c>
      <c r="CJ42" s="138" t="s">
        <v>244</v>
      </c>
      <c r="CK42" t="s">
        <v>160</v>
      </c>
      <c r="CL42" t="s">
        <v>189</v>
      </c>
      <c r="CM42" t="s">
        <v>160</v>
      </c>
      <c r="CN42" t="s">
        <v>160</v>
      </c>
      <c r="CO42" t="s">
        <v>160</v>
      </c>
      <c r="CP42" t="s">
        <v>160</v>
      </c>
      <c r="CQ42" t="s">
        <v>160</v>
      </c>
      <c r="CR42" t="s">
        <v>160</v>
      </c>
      <c r="CS42" t="s">
        <v>160</v>
      </c>
      <c r="CT42" t="s">
        <v>160</v>
      </c>
      <c r="CU42" s="134">
        <v>35</v>
      </c>
      <c r="CV42" t="s">
        <v>159</v>
      </c>
      <c r="CW42">
        <v>3</v>
      </c>
      <c r="CX42" s="149" t="s">
        <v>187</v>
      </c>
      <c r="CY42" s="157" t="s">
        <v>160</v>
      </c>
      <c r="CZ42" s="157" t="s">
        <v>160</v>
      </c>
      <c r="DA42" s="157" t="s">
        <v>160</v>
      </c>
      <c r="DB42" s="157" t="s">
        <v>160</v>
      </c>
      <c r="DC42" s="157" t="s">
        <v>160</v>
      </c>
      <c r="DD42" s="157" t="s">
        <v>160</v>
      </c>
      <c r="DE42" s="157" t="s">
        <v>160</v>
      </c>
      <c r="DF42" s="157" t="s">
        <v>160</v>
      </c>
      <c r="DG42" s="157" t="s">
        <v>160</v>
      </c>
      <c r="DH42" s="157" t="s">
        <v>160</v>
      </c>
      <c r="DI42" s="157" t="s">
        <v>160</v>
      </c>
      <c r="DJ42" s="157" t="s">
        <v>160</v>
      </c>
      <c r="DK42" s="132">
        <v>432.56244218316402</v>
      </c>
      <c r="DL42" t="s">
        <v>165</v>
      </c>
      <c r="DM42" s="153">
        <v>37.1</v>
      </c>
      <c r="DN42" t="s">
        <v>166</v>
      </c>
      <c r="DO42" s="138">
        <v>39.200656039999998</v>
      </c>
      <c r="DP42" s="154" t="s">
        <v>163</v>
      </c>
      <c r="DQ42" s="146">
        <v>0.2</v>
      </c>
      <c r="DR42" t="s">
        <v>190</v>
      </c>
      <c r="DS42" t="s">
        <v>167</v>
      </c>
      <c r="DT42" t="s">
        <v>168</v>
      </c>
      <c r="DU42">
        <v>1.0271999999999999</v>
      </c>
      <c r="DV42" t="s">
        <v>191</v>
      </c>
      <c r="DW42">
        <v>5.9999999999999995E-4</v>
      </c>
      <c r="DX42" t="s">
        <v>198</v>
      </c>
      <c r="DY42" t="s">
        <v>160</v>
      </c>
      <c r="DZ42" t="s">
        <v>160</v>
      </c>
      <c r="EA42" t="s">
        <v>192</v>
      </c>
      <c r="EB42" t="s">
        <v>169</v>
      </c>
      <c r="EC42" t="s">
        <v>170</v>
      </c>
      <c r="ED42" t="s">
        <v>170</v>
      </c>
      <c r="EE42" s="157" t="s">
        <v>160</v>
      </c>
      <c r="EF42" t="s">
        <v>160</v>
      </c>
      <c r="EG42" t="s">
        <v>160</v>
      </c>
      <c r="EH42" t="s">
        <v>171</v>
      </c>
      <c r="EI42" t="s">
        <v>193</v>
      </c>
      <c r="EJ42" t="s">
        <v>194</v>
      </c>
      <c r="EK42" s="137">
        <v>2330</v>
      </c>
      <c r="EL42" t="s">
        <v>211</v>
      </c>
      <c r="EM42">
        <v>175</v>
      </c>
      <c r="EN42">
        <v>175</v>
      </c>
      <c r="EO42" t="s">
        <v>160</v>
      </c>
      <c r="EP42" t="s">
        <v>160</v>
      </c>
      <c r="EQ42" t="s">
        <v>160</v>
      </c>
      <c r="ER42" t="s">
        <v>160</v>
      </c>
      <c r="ES42" s="138">
        <v>8.1149004899944099</v>
      </c>
      <c r="ET42" s="133" t="s">
        <v>172</v>
      </c>
      <c r="EU42" s="138">
        <v>6.4651369809579862E-2</v>
      </c>
      <c r="EV42" s="138">
        <v>6.4225141902120697E-2</v>
      </c>
      <c r="EW42" s="147">
        <v>328.71190055559299</v>
      </c>
      <c r="EX42" s="154">
        <v>21</v>
      </c>
      <c r="EY42" s="154" t="s">
        <v>195</v>
      </c>
      <c r="EZ42" s="138">
        <v>307.71190055559299</v>
      </c>
      <c r="FA42" s="138">
        <v>68.963122351056995</v>
      </c>
      <c r="FB42" s="138">
        <v>60.601372482999977</v>
      </c>
      <c r="FC42" s="156" t="s">
        <v>212</v>
      </c>
      <c r="FD42" s="156" t="s">
        <v>213</v>
      </c>
      <c r="FE42" t="s">
        <v>173</v>
      </c>
      <c r="FF42" t="s">
        <v>173</v>
      </c>
      <c r="FG42" t="s">
        <v>173</v>
      </c>
      <c r="FH42" t="s">
        <v>173</v>
      </c>
      <c r="FI42" t="s">
        <v>173</v>
      </c>
      <c r="FJ42" t="s">
        <v>173</v>
      </c>
      <c r="FK42" t="s">
        <v>173</v>
      </c>
      <c r="FL42" t="s">
        <v>173</v>
      </c>
      <c r="FM42" t="s">
        <v>173</v>
      </c>
      <c r="FN42" t="s">
        <v>173</v>
      </c>
      <c r="FO42" t="s">
        <v>173</v>
      </c>
      <c r="FP42" t="s">
        <v>173</v>
      </c>
    </row>
    <row r="43" spans="1:172" ht="18" x14ac:dyDescent="0.2">
      <c r="A43" s="126" t="s">
        <v>152</v>
      </c>
      <c r="B43" t="s">
        <v>174</v>
      </c>
      <c r="C43">
        <v>2015</v>
      </c>
      <c r="D43" t="s">
        <v>196</v>
      </c>
      <c r="E43" s="147">
        <f t="shared" si="15"/>
        <v>2858.3210450000001</v>
      </c>
      <c r="F43" s="135" t="s">
        <v>160</v>
      </c>
      <c r="G43" s="135" t="s">
        <v>160</v>
      </c>
      <c r="H43" s="147">
        <f t="shared" si="16"/>
        <v>444.89181653378398</v>
      </c>
      <c r="I43" s="147">
        <f t="shared" si="17"/>
        <v>103.91479822632402</v>
      </c>
      <c r="J43" s="147">
        <f t="shared" si="18"/>
        <v>89.412766925418964</v>
      </c>
      <c r="K43" t="s">
        <v>176</v>
      </c>
      <c r="L43" s="130" t="s">
        <v>206</v>
      </c>
      <c r="M43" s="136" t="s">
        <v>175</v>
      </c>
      <c r="N43" t="s">
        <v>196</v>
      </c>
      <c r="O43" t="s">
        <v>156</v>
      </c>
      <c r="P43" s="153" t="s">
        <v>157</v>
      </c>
      <c r="Q43" s="157">
        <v>10</v>
      </c>
      <c r="R43" s="157" t="s">
        <v>252</v>
      </c>
      <c r="S43" s="157">
        <v>19</v>
      </c>
      <c r="T43" s="157">
        <v>21</v>
      </c>
      <c r="U43" s="157" t="s">
        <v>160</v>
      </c>
      <c r="V43" s="157" t="s">
        <v>160</v>
      </c>
      <c r="W43" s="157" t="s">
        <v>160</v>
      </c>
      <c r="X43" t="s">
        <v>158</v>
      </c>
      <c r="Y43" s="131">
        <v>12.75</v>
      </c>
      <c r="Z43" s="131">
        <v>-78.73</v>
      </c>
      <c r="AA43" s="131">
        <v>12.75</v>
      </c>
      <c r="AB43" s="131">
        <v>-78.73</v>
      </c>
      <c r="AC43" s="131">
        <v>-2828</v>
      </c>
      <c r="AD43" s="131">
        <v>-2828</v>
      </c>
      <c r="AE43" s="153" t="s">
        <v>160</v>
      </c>
      <c r="AF43" s="153" t="s">
        <v>160</v>
      </c>
      <c r="AG43" s="138">
        <v>2858.3210450000001</v>
      </c>
      <c r="AH43" s="2" t="s">
        <v>159</v>
      </c>
      <c r="AI43" s="153" t="s">
        <v>160</v>
      </c>
      <c r="AJ43" s="153" t="s">
        <v>160</v>
      </c>
      <c r="AK43" s="154" t="s">
        <v>160</v>
      </c>
      <c r="AL43" s="154" t="s">
        <v>177</v>
      </c>
      <c r="AM43" s="157" t="s">
        <v>160</v>
      </c>
      <c r="AN43" t="s">
        <v>160</v>
      </c>
      <c r="AO43" t="s">
        <v>160</v>
      </c>
      <c r="AP43" t="s">
        <v>160</v>
      </c>
      <c r="AQ43" t="s">
        <v>160</v>
      </c>
      <c r="AR43" t="s">
        <v>160</v>
      </c>
      <c r="AS43" t="s">
        <v>160</v>
      </c>
      <c r="AT43" t="s">
        <v>160</v>
      </c>
      <c r="AU43" s="145" t="s">
        <v>178</v>
      </c>
      <c r="AV43" t="s">
        <v>161</v>
      </c>
      <c r="AW43" s="141" t="s">
        <v>179</v>
      </c>
      <c r="AX43" s="141" t="s">
        <v>180</v>
      </c>
      <c r="AY43" s="139" t="s">
        <v>181</v>
      </c>
      <c r="AZ43" s="139" t="s">
        <v>182</v>
      </c>
      <c r="BA43" t="s">
        <v>162</v>
      </c>
      <c r="BB43" s="153" t="s">
        <v>217</v>
      </c>
      <c r="BC43" s="153" t="s">
        <v>217</v>
      </c>
      <c r="BD43" s="153" t="s">
        <v>217</v>
      </c>
      <c r="BE43" s="138">
        <v>19.312259999999998</v>
      </c>
      <c r="BF43" t="s">
        <v>183</v>
      </c>
      <c r="BG43" s="138">
        <v>9.9492488000000004E-2</v>
      </c>
      <c r="BH43">
        <v>0.6</v>
      </c>
      <c r="BI43" t="s">
        <v>184</v>
      </c>
      <c r="BJ43" s="2">
        <v>0.08</v>
      </c>
      <c r="BK43">
        <v>8.8699999999999992</v>
      </c>
      <c r="BL43" t="s">
        <v>163</v>
      </c>
      <c r="BM43">
        <v>1.52</v>
      </c>
      <c r="BN43" t="s">
        <v>185</v>
      </c>
      <c r="BO43" t="s">
        <v>186</v>
      </c>
      <c r="BP43" s="158">
        <f t="shared" si="12"/>
        <v>17.403766666666666</v>
      </c>
      <c r="BQ43" t="s">
        <v>184</v>
      </c>
      <c r="BR43" s="154" t="s">
        <v>160</v>
      </c>
      <c r="BS43" s="154" t="s">
        <v>160</v>
      </c>
      <c r="BT43" t="s">
        <v>214</v>
      </c>
      <c r="BU43" t="s">
        <v>218</v>
      </c>
      <c r="BV43" t="s">
        <v>164</v>
      </c>
      <c r="BW43" t="s">
        <v>164</v>
      </c>
      <c r="BX43" s="138">
        <v>26.396509999999999</v>
      </c>
      <c r="BY43" t="s">
        <v>184</v>
      </c>
      <c r="BZ43" s="159">
        <v>3</v>
      </c>
      <c r="CA43" s="159">
        <v>3</v>
      </c>
      <c r="CB43" s="138">
        <v>3.1316012127254975</v>
      </c>
      <c r="CC43" s="138">
        <v>3.1316012127254975</v>
      </c>
      <c r="CD43" t="s">
        <v>188</v>
      </c>
      <c r="CE43" s="147">
        <f t="shared" si="13"/>
        <v>8.4553232743588433E-2</v>
      </c>
      <c r="CF43" s="147">
        <f t="shared" si="14"/>
        <v>8.4553232743588433E-2</v>
      </c>
      <c r="CG43" s="153" t="s">
        <v>215</v>
      </c>
      <c r="CH43" s="148" t="s">
        <v>207</v>
      </c>
      <c r="CI43" s="138">
        <v>3.9138189721033454</v>
      </c>
      <c r="CJ43" s="138" t="s">
        <v>244</v>
      </c>
      <c r="CK43" t="s">
        <v>160</v>
      </c>
      <c r="CL43" t="s">
        <v>189</v>
      </c>
      <c r="CM43" t="s">
        <v>160</v>
      </c>
      <c r="CN43" t="s">
        <v>160</v>
      </c>
      <c r="CO43" t="s">
        <v>160</v>
      </c>
      <c r="CP43" t="s">
        <v>160</v>
      </c>
      <c r="CQ43" t="s">
        <v>160</v>
      </c>
      <c r="CR43" t="s">
        <v>160</v>
      </c>
      <c r="CS43" t="s">
        <v>160</v>
      </c>
      <c r="CT43" t="s">
        <v>160</v>
      </c>
      <c r="CU43" s="134">
        <v>35</v>
      </c>
      <c r="CV43" t="s">
        <v>159</v>
      </c>
      <c r="CW43">
        <v>3</v>
      </c>
      <c r="CX43" s="149" t="s">
        <v>187</v>
      </c>
      <c r="CY43" s="157" t="s">
        <v>160</v>
      </c>
      <c r="CZ43" s="157" t="s">
        <v>160</v>
      </c>
      <c r="DA43" s="157" t="s">
        <v>160</v>
      </c>
      <c r="DB43" s="157" t="s">
        <v>160</v>
      </c>
      <c r="DC43" s="157" t="s">
        <v>160</v>
      </c>
      <c r="DD43" s="157" t="s">
        <v>160</v>
      </c>
      <c r="DE43" s="157" t="s">
        <v>160</v>
      </c>
      <c r="DF43" s="157" t="s">
        <v>160</v>
      </c>
      <c r="DG43" s="157" t="s">
        <v>160</v>
      </c>
      <c r="DH43" s="157" t="s">
        <v>160</v>
      </c>
      <c r="DI43" s="157" t="s">
        <v>160</v>
      </c>
      <c r="DJ43" s="157" t="s">
        <v>160</v>
      </c>
      <c r="DK43" s="132">
        <v>432.56244218316402</v>
      </c>
      <c r="DL43" t="s">
        <v>165</v>
      </c>
      <c r="DM43" s="153">
        <v>37.1</v>
      </c>
      <c r="DN43" t="s">
        <v>166</v>
      </c>
      <c r="DO43" s="138">
        <v>39.198593350000003</v>
      </c>
      <c r="DP43" s="154" t="s">
        <v>163</v>
      </c>
      <c r="DQ43" s="146">
        <v>0.2</v>
      </c>
      <c r="DR43" t="s">
        <v>190</v>
      </c>
      <c r="DS43" t="s">
        <v>167</v>
      </c>
      <c r="DT43" t="s">
        <v>168</v>
      </c>
      <c r="DU43">
        <v>1.0271999999999999</v>
      </c>
      <c r="DV43" t="s">
        <v>191</v>
      </c>
      <c r="DW43">
        <v>5.9999999999999995E-4</v>
      </c>
      <c r="DX43" t="s">
        <v>198</v>
      </c>
      <c r="DY43" t="s">
        <v>160</v>
      </c>
      <c r="DZ43" t="s">
        <v>160</v>
      </c>
      <c r="EA43" t="s">
        <v>192</v>
      </c>
      <c r="EB43" t="s">
        <v>169</v>
      </c>
      <c r="EC43" t="s">
        <v>170</v>
      </c>
      <c r="ED43" t="s">
        <v>170</v>
      </c>
      <c r="EE43" s="157" t="s">
        <v>160</v>
      </c>
      <c r="EF43" t="s">
        <v>160</v>
      </c>
      <c r="EG43" t="s">
        <v>160</v>
      </c>
      <c r="EH43" t="s">
        <v>171</v>
      </c>
      <c r="EI43" t="s">
        <v>193</v>
      </c>
      <c r="EJ43" t="s">
        <v>194</v>
      </c>
      <c r="EK43" s="137">
        <v>2330</v>
      </c>
      <c r="EL43" t="s">
        <v>211</v>
      </c>
      <c r="EM43">
        <v>175</v>
      </c>
      <c r="EN43">
        <v>175</v>
      </c>
      <c r="EO43" t="s">
        <v>160</v>
      </c>
      <c r="EP43" t="s">
        <v>160</v>
      </c>
      <c r="EQ43" t="s">
        <v>160</v>
      </c>
      <c r="ER43" t="s">
        <v>160</v>
      </c>
      <c r="ES43" s="138">
        <v>7.9939926176359801</v>
      </c>
      <c r="ET43" s="133" t="s">
        <v>172</v>
      </c>
      <c r="EU43" s="138">
        <v>6.808531120636907E-2</v>
      </c>
      <c r="EV43" s="138">
        <v>7.0913193397680097E-2</v>
      </c>
      <c r="EW43" s="147">
        <v>465.89181653378398</v>
      </c>
      <c r="EX43" s="154">
        <v>21</v>
      </c>
      <c r="EY43" s="154" t="s">
        <v>195</v>
      </c>
      <c r="EZ43" s="138">
        <v>444.89181653378398</v>
      </c>
      <c r="FA43" s="138">
        <v>103.91479822632402</v>
      </c>
      <c r="FB43" s="138">
        <v>89.412766925418964</v>
      </c>
      <c r="FC43" s="156" t="s">
        <v>212</v>
      </c>
      <c r="FD43" s="156" t="s">
        <v>213</v>
      </c>
      <c r="FE43" t="s">
        <v>173</v>
      </c>
      <c r="FF43" t="s">
        <v>173</v>
      </c>
      <c r="FG43" t="s">
        <v>173</v>
      </c>
      <c r="FH43" t="s">
        <v>173</v>
      </c>
      <c r="FI43" t="s">
        <v>173</v>
      </c>
      <c r="FJ43" t="s">
        <v>173</v>
      </c>
      <c r="FK43" t="s">
        <v>173</v>
      </c>
      <c r="FL43" t="s">
        <v>173</v>
      </c>
      <c r="FM43" t="s">
        <v>173</v>
      </c>
      <c r="FN43" t="s">
        <v>173</v>
      </c>
      <c r="FO43" t="s">
        <v>173</v>
      </c>
      <c r="FP43" t="s">
        <v>173</v>
      </c>
    </row>
    <row r="44" spans="1:172" ht="18" x14ac:dyDescent="0.2">
      <c r="A44" s="126" t="s">
        <v>152</v>
      </c>
      <c r="B44" t="s">
        <v>174</v>
      </c>
      <c r="C44">
        <v>2015</v>
      </c>
      <c r="D44" t="s">
        <v>196</v>
      </c>
      <c r="E44" s="147">
        <f t="shared" si="15"/>
        <v>2912.3842770000001</v>
      </c>
      <c r="F44" s="135" t="s">
        <v>160</v>
      </c>
      <c r="G44" s="135" t="s">
        <v>160</v>
      </c>
      <c r="H44" s="147">
        <f t="shared" si="16"/>
        <v>370.56552167107901</v>
      </c>
      <c r="I44" s="147">
        <f t="shared" si="17"/>
        <v>82.513325910432002</v>
      </c>
      <c r="J44" s="147">
        <f t="shared" si="18"/>
        <v>70.870887170334015</v>
      </c>
      <c r="K44" t="s">
        <v>176</v>
      </c>
      <c r="L44" s="130" t="s">
        <v>206</v>
      </c>
      <c r="M44" s="136" t="s">
        <v>175</v>
      </c>
      <c r="N44" t="s">
        <v>196</v>
      </c>
      <c r="O44" t="s">
        <v>156</v>
      </c>
      <c r="P44" s="153" t="s">
        <v>157</v>
      </c>
      <c r="Q44" s="157">
        <v>11</v>
      </c>
      <c r="R44" s="157">
        <v>1</v>
      </c>
      <c r="S44" s="157">
        <v>89</v>
      </c>
      <c r="T44" s="157">
        <v>90</v>
      </c>
      <c r="U44" s="157" t="s">
        <v>160</v>
      </c>
      <c r="V44" s="157" t="s">
        <v>160</v>
      </c>
      <c r="W44" s="157" t="s">
        <v>160</v>
      </c>
      <c r="X44" t="s">
        <v>158</v>
      </c>
      <c r="Y44" s="131">
        <v>12.75</v>
      </c>
      <c r="Z44" s="131">
        <v>-78.73</v>
      </c>
      <c r="AA44" s="131">
        <v>12.75</v>
      </c>
      <c r="AB44" s="131">
        <v>-78.73</v>
      </c>
      <c r="AC44" s="131">
        <v>-2828</v>
      </c>
      <c r="AD44" s="131">
        <v>-2828</v>
      </c>
      <c r="AE44" s="153" t="s">
        <v>160</v>
      </c>
      <c r="AF44" s="153" t="s">
        <v>160</v>
      </c>
      <c r="AG44" s="138">
        <v>2912.3842770000001</v>
      </c>
      <c r="AH44" s="2" t="s">
        <v>159</v>
      </c>
      <c r="AI44" s="153" t="s">
        <v>160</v>
      </c>
      <c r="AJ44" s="153" t="s">
        <v>160</v>
      </c>
      <c r="AK44" s="154" t="s">
        <v>160</v>
      </c>
      <c r="AL44" s="154" t="s">
        <v>177</v>
      </c>
      <c r="AM44" s="157" t="s">
        <v>160</v>
      </c>
      <c r="AN44" t="s">
        <v>160</v>
      </c>
      <c r="AO44" t="s">
        <v>160</v>
      </c>
      <c r="AP44" t="s">
        <v>160</v>
      </c>
      <c r="AQ44" t="s">
        <v>160</v>
      </c>
      <c r="AR44" t="s">
        <v>160</v>
      </c>
      <c r="AS44" t="s">
        <v>160</v>
      </c>
      <c r="AT44" t="s">
        <v>160</v>
      </c>
      <c r="AU44" s="145" t="s">
        <v>178</v>
      </c>
      <c r="AV44" t="s">
        <v>161</v>
      </c>
      <c r="AW44" s="141" t="s">
        <v>179</v>
      </c>
      <c r="AX44" s="139" t="s">
        <v>180</v>
      </c>
      <c r="AY44" s="139" t="s">
        <v>181</v>
      </c>
      <c r="AZ44" s="139" t="s">
        <v>182</v>
      </c>
      <c r="BA44" s="140" t="s">
        <v>162</v>
      </c>
      <c r="BB44" s="153" t="s">
        <v>217</v>
      </c>
      <c r="BC44" s="153" t="s">
        <v>217</v>
      </c>
      <c r="BD44" s="153" t="s">
        <v>217</v>
      </c>
      <c r="BE44" s="138">
        <v>19.70327</v>
      </c>
      <c r="BF44" t="s">
        <v>183</v>
      </c>
      <c r="BG44" s="138">
        <v>9.6916661000000001E-2</v>
      </c>
      <c r="BH44">
        <v>0.6</v>
      </c>
      <c r="BI44" t="s">
        <v>184</v>
      </c>
      <c r="BJ44" s="2">
        <v>0.08</v>
      </c>
      <c r="BK44">
        <v>8.8699999999999992</v>
      </c>
      <c r="BL44" t="s">
        <v>163</v>
      </c>
      <c r="BM44">
        <v>1.52</v>
      </c>
      <c r="BN44" t="s">
        <v>185</v>
      </c>
      <c r="BO44" t="s">
        <v>186</v>
      </c>
      <c r="BP44" s="158">
        <f t="shared" si="12"/>
        <v>18.05545</v>
      </c>
      <c r="BQ44" t="s">
        <v>184</v>
      </c>
      <c r="BR44" s="154" t="s">
        <v>160</v>
      </c>
      <c r="BS44" s="154" t="s">
        <v>160</v>
      </c>
      <c r="BT44" t="s">
        <v>214</v>
      </c>
      <c r="BU44" t="s">
        <v>218</v>
      </c>
      <c r="BV44" t="s">
        <v>164</v>
      </c>
      <c r="BW44" t="s">
        <v>164</v>
      </c>
      <c r="BX44" s="138">
        <v>26.5868</v>
      </c>
      <c r="BY44" t="s">
        <v>184</v>
      </c>
      <c r="BZ44" s="159">
        <v>3</v>
      </c>
      <c r="CA44" s="159">
        <v>3</v>
      </c>
      <c r="CB44" s="138">
        <v>3.1575565644298691</v>
      </c>
      <c r="CC44" s="138">
        <v>3.1575565644298691</v>
      </c>
      <c r="CD44" t="s">
        <v>188</v>
      </c>
      <c r="CE44" s="147">
        <f t="shared" si="13"/>
        <v>8.525402723960647E-2</v>
      </c>
      <c r="CF44" s="147">
        <f t="shared" si="14"/>
        <v>8.525402723960647E-2</v>
      </c>
      <c r="CG44" s="153" t="s">
        <v>215</v>
      </c>
      <c r="CH44" s="148" t="s">
        <v>207</v>
      </c>
      <c r="CI44" s="138">
        <v>3.830036988183692</v>
      </c>
      <c r="CJ44" s="138" t="s">
        <v>244</v>
      </c>
      <c r="CK44" t="s">
        <v>160</v>
      </c>
      <c r="CL44" t="s">
        <v>189</v>
      </c>
      <c r="CM44" t="s">
        <v>160</v>
      </c>
      <c r="CN44" t="s">
        <v>160</v>
      </c>
      <c r="CO44" t="s">
        <v>160</v>
      </c>
      <c r="CP44" t="s">
        <v>160</v>
      </c>
      <c r="CQ44" t="s">
        <v>160</v>
      </c>
      <c r="CR44" t="s">
        <v>160</v>
      </c>
      <c r="CS44" t="s">
        <v>160</v>
      </c>
      <c r="CT44" t="s">
        <v>160</v>
      </c>
      <c r="CU44" s="134">
        <v>35</v>
      </c>
      <c r="CV44" t="s">
        <v>159</v>
      </c>
      <c r="CW44">
        <v>3</v>
      </c>
      <c r="CX44" s="149" t="s">
        <v>187</v>
      </c>
      <c r="CY44" s="157" t="s">
        <v>160</v>
      </c>
      <c r="CZ44" s="157" t="s">
        <v>160</v>
      </c>
      <c r="DA44" s="157" t="s">
        <v>160</v>
      </c>
      <c r="DB44" s="157" t="s">
        <v>160</v>
      </c>
      <c r="DC44" s="157" t="s">
        <v>160</v>
      </c>
      <c r="DD44" s="157" t="s">
        <v>160</v>
      </c>
      <c r="DE44" s="157" t="s">
        <v>160</v>
      </c>
      <c r="DF44" s="157" t="s">
        <v>160</v>
      </c>
      <c r="DG44" s="157" t="s">
        <v>160</v>
      </c>
      <c r="DH44" s="157" t="s">
        <v>160</v>
      </c>
      <c r="DI44" s="157" t="s">
        <v>160</v>
      </c>
      <c r="DJ44" s="157" t="s">
        <v>160</v>
      </c>
      <c r="DK44" s="132">
        <v>432.56244218316402</v>
      </c>
      <c r="DL44" t="s">
        <v>165</v>
      </c>
      <c r="DM44" s="153">
        <v>37.1</v>
      </c>
      <c r="DN44" t="s">
        <v>166</v>
      </c>
      <c r="DO44" s="138">
        <v>39.192786849999997</v>
      </c>
      <c r="DP44" s="154" t="s">
        <v>163</v>
      </c>
      <c r="DQ44" s="146">
        <v>0.2</v>
      </c>
      <c r="DR44" t="s">
        <v>190</v>
      </c>
      <c r="DS44" t="s">
        <v>167</v>
      </c>
      <c r="DT44" t="s">
        <v>168</v>
      </c>
      <c r="DU44">
        <v>1.0271999999999999</v>
      </c>
      <c r="DV44" t="s">
        <v>191</v>
      </c>
      <c r="DW44">
        <v>5.9999999999999995E-4</v>
      </c>
      <c r="DX44" t="s">
        <v>198</v>
      </c>
      <c r="DY44" t="s">
        <v>160</v>
      </c>
      <c r="DZ44" t="s">
        <v>160</v>
      </c>
      <c r="EA44" t="s">
        <v>192</v>
      </c>
      <c r="EB44" t="s">
        <v>169</v>
      </c>
      <c r="EC44" t="s">
        <v>170</v>
      </c>
      <c r="ED44" t="s">
        <v>170</v>
      </c>
      <c r="EE44" s="157" t="s">
        <v>160</v>
      </c>
      <c r="EF44" t="s">
        <v>160</v>
      </c>
      <c r="EG44" t="s">
        <v>160</v>
      </c>
      <c r="EH44" t="s">
        <v>171</v>
      </c>
      <c r="EI44" t="s">
        <v>193</v>
      </c>
      <c r="EJ44" t="s">
        <v>194</v>
      </c>
      <c r="EK44" s="137">
        <v>2330</v>
      </c>
      <c r="EL44" t="s">
        <v>211</v>
      </c>
      <c r="EM44">
        <v>175</v>
      </c>
      <c r="EN44">
        <v>175</v>
      </c>
      <c r="EO44" t="s">
        <v>160</v>
      </c>
      <c r="EP44" t="s">
        <v>160</v>
      </c>
      <c r="EQ44" t="s">
        <v>160</v>
      </c>
      <c r="ER44" t="s">
        <v>160</v>
      </c>
      <c r="ES44" s="138">
        <v>8.0549825322883208</v>
      </c>
      <c r="ET44" s="133" t="s">
        <v>172</v>
      </c>
      <c r="EU44" s="138">
        <v>6.4979399252250047E-2</v>
      </c>
      <c r="EV44" s="138">
        <v>6.5471817388230491E-2</v>
      </c>
      <c r="EW44" s="147">
        <v>391.56552167107901</v>
      </c>
      <c r="EX44" s="154">
        <v>21</v>
      </c>
      <c r="EY44" s="154" t="s">
        <v>195</v>
      </c>
      <c r="EZ44" s="138">
        <v>370.56552167107901</v>
      </c>
      <c r="FA44" s="138">
        <v>82.513325910432002</v>
      </c>
      <c r="FB44" s="138">
        <v>70.870887170334015</v>
      </c>
      <c r="FC44" s="156" t="s">
        <v>212</v>
      </c>
      <c r="FD44" s="156" t="s">
        <v>213</v>
      </c>
      <c r="FE44" t="s">
        <v>173</v>
      </c>
      <c r="FF44" t="s">
        <v>173</v>
      </c>
      <c r="FG44" t="s">
        <v>173</v>
      </c>
      <c r="FH44" t="s">
        <v>173</v>
      </c>
      <c r="FI44" t="s">
        <v>173</v>
      </c>
      <c r="FJ44" t="s">
        <v>173</v>
      </c>
      <c r="FK44" t="s">
        <v>173</v>
      </c>
      <c r="FL44" t="s">
        <v>173</v>
      </c>
      <c r="FM44" t="s">
        <v>173</v>
      </c>
      <c r="FN44" t="s">
        <v>173</v>
      </c>
      <c r="FO44" t="s">
        <v>173</v>
      </c>
      <c r="FP44" t="s">
        <v>173</v>
      </c>
    </row>
    <row r="45" spans="1:172" ht="18" x14ac:dyDescent="0.2">
      <c r="A45" s="126" t="s">
        <v>152</v>
      </c>
      <c r="B45" t="s">
        <v>174</v>
      </c>
      <c r="C45">
        <v>2015</v>
      </c>
      <c r="D45" t="s">
        <v>196</v>
      </c>
      <c r="E45" s="147">
        <f t="shared" si="15"/>
        <v>2923.5595699999999</v>
      </c>
      <c r="F45" s="135" t="s">
        <v>160</v>
      </c>
      <c r="G45" s="135" t="s">
        <v>160</v>
      </c>
      <c r="H45" s="147">
        <f t="shared" si="16"/>
        <v>377.16756706350799</v>
      </c>
      <c r="I45" s="147">
        <f t="shared" si="17"/>
        <v>84.241104126924029</v>
      </c>
      <c r="J45" s="147">
        <f t="shared" si="18"/>
        <v>72.856762354393993</v>
      </c>
      <c r="K45" t="s">
        <v>176</v>
      </c>
      <c r="L45" s="130" t="s">
        <v>206</v>
      </c>
      <c r="M45" s="136" t="s">
        <v>175</v>
      </c>
      <c r="N45" t="s">
        <v>196</v>
      </c>
      <c r="O45" t="s">
        <v>156</v>
      </c>
      <c r="P45" s="153" t="s">
        <v>157</v>
      </c>
      <c r="Q45" s="171">
        <v>11</v>
      </c>
      <c r="R45" s="171">
        <v>1</v>
      </c>
      <c r="S45" s="171">
        <v>122</v>
      </c>
      <c r="T45" s="171">
        <v>124</v>
      </c>
      <c r="U45" s="157" t="s">
        <v>160</v>
      </c>
      <c r="V45" s="157" t="s">
        <v>160</v>
      </c>
      <c r="W45" s="157" t="s">
        <v>160</v>
      </c>
      <c r="X45" t="s">
        <v>158</v>
      </c>
      <c r="Y45" s="131">
        <v>12.75</v>
      </c>
      <c r="Z45" s="131">
        <v>-78.73</v>
      </c>
      <c r="AA45" s="131">
        <v>12.75</v>
      </c>
      <c r="AB45" s="131">
        <v>-78.73</v>
      </c>
      <c r="AC45" s="131">
        <v>-2828</v>
      </c>
      <c r="AD45" s="131">
        <v>-2828</v>
      </c>
      <c r="AE45" s="153" t="s">
        <v>160</v>
      </c>
      <c r="AF45" s="153" t="s">
        <v>160</v>
      </c>
      <c r="AG45" s="138">
        <v>2923.5595699999999</v>
      </c>
      <c r="AH45" s="2" t="s">
        <v>159</v>
      </c>
      <c r="AI45" s="153" t="s">
        <v>160</v>
      </c>
      <c r="AJ45" s="153" t="s">
        <v>160</v>
      </c>
      <c r="AK45" s="154" t="s">
        <v>160</v>
      </c>
      <c r="AL45" s="154" t="s">
        <v>177</v>
      </c>
      <c r="AM45" s="157" t="s">
        <v>160</v>
      </c>
      <c r="AN45" t="s">
        <v>160</v>
      </c>
      <c r="AO45" t="s">
        <v>160</v>
      </c>
      <c r="AP45" t="s">
        <v>160</v>
      </c>
      <c r="AQ45" t="s">
        <v>160</v>
      </c>
      <c r="AR45" t="s">
        <v>160</v>
      </c>
      <c r="AS45" t="s">
        <v>160</v>
      </c>
      <c r="AT45" t="s">
        <v>160</v>
      </c>
      <c r="AU45" s="145" t="s">
        <v>178</v>
      </c>
      <c r="AV45" t="s">
        <v>161</v>
      </c>
      <c r="AW45" s="141" t="s">
        <v>179</v>
      </c>
      <c r="AX45" s="141" t="s">
        <v>180</v>
      </c>
      <c r="AY45" s="139" t="s">
        <v>181</v>
      </c>
      <c r="AZ45" s="139" t="s">
        <v>182</v>
      </c>
      <c r="BA45" t="s">
        <v>162</v>
      </c>
      <c r="BB45" s="153" t="s">
        <v>217</v>
      </c>
      <c r="BC45" s="153" t="s">
        <v>217</v>
      </c>
      <c r="BD45" s="153" t="s">
        <v>217</v>
      </c>
      <c r="BE45" s="138">
        <v>19.657440000000001</v>
      </c>
      <c r="BF45" t="s">
        <v>183</v>
      </c>
      <c r="BG45" s="138">
        <v>0.103841052</v>
      </c>
      <c r="BH45">
        <v>0.6</v>
      </c>
      <c r="BI45" t="s">
        <v>184</v>
      </c>
      <c r="BJ45" s="2">
        <v>0.08</v>
      </c>
      <c r="BK45">
        <v>8.8699999999999992</v>
      </c>
      <c r="BL45" t="s">
        <v>163</v>
      </c>
      <c r="BM45">
        <v>1.52</v>
      </c>
      <c r="BN45" t="s">
        <v>185</v>
      </c>
      <c r="BO45" t="s">
        <v>186</v>
      </c>
      <c r="BP45" s="158">
        <f t="shared" si="12"/>
        <v>17.979066666666672</v>
      </c>
      <c r="BQ45" t="s">
        <v>184</v>
      </c>
      <c r="BR45" s="154" t="s">
        <v>160</v>
      </c>
      <c r="BS45" s="154" t="s">
        <v>160</v>
      </c>
      <c r="BT45" t="s">
        <v>214</v>
      </c>
      <c r="BU45" t="s">
        <v>218</v>
      </c>
      <c r="BV45" t="s">
        <v>164</v>
      </c>
      <c r="BW45" t="s">
        <v>164</v>
      </c>
      <c r="BX45" s="138">
        <v>26.442979999999999</v>
      </c>
      <c r="BY45" t="s">
        <v>184</v>
      </c>
      <c r="BZ45" s="159">
        <v>3</v>
      </c>
      <c r="CA45" s="159">
        <v>3</v>
      </c>
      <c r="CB45" s="138">
        <v>3.1112500060743207</v>
      </c>
      <c r="CC45" s="138">
        <v>3.1112500060743207</v>
      </c>
      <c r="CD45" t="s">
        <v>188</v>
      </c>
      <c r="CE45" s="147">
        <f t="shared" si="13"/>
        <v>8.4003750164006658E-2</v>
      </c>
      <c r="CF45" s="147">
        <f t="shared" si="14"/>
        <v>8.4003750164006658E-2</v>
      </c>
      <c r="CG45" s="153" t="s">
        <v>215</v>
      </c>
      <c r="CH45" s="148" t="s">
        <v>207</v>
      </c>
      <c r="CI45" s="138">
        <v>3.8129789910111893</v>
      </c>
      <c r="CJ45" s="138" t="s">
        <v>244</v>
      </c>
      <c r="CK45" t="s">
        <v>160</v>
      </c>
      <c r="CL45" t="s">
        <v>189</v>
      </c>
      <c r="CM45" t="s">
        <v>160</v>
      </c>
      <c r="CN45" t="s">
        <v>160</v>
      </c>
      <c r="CO45" t="s">
        <v>160</v>
      </c>
      <c r="CP45" t="s">
        <v>160</v>
      </c>
      <c r="CQ45" t="s">
        <v>160</v>
      </c>
      <c r="CR45" t="s">
        <v>160</v>
      </c>
      <c r="CS45" t="s">
        <v>160</v>
      </c>
      <c r="CT45" t="s">
        <v>160</v>
      </c>
      <c r="CU45" s="134">
        <v>35</v>
      </c>
      <c r="CV45" t="s">
        <v>159</v>
      </c>
      <c r="CW45">
        <v>3</v>
      </c>
      <c r="CX45" s="149" t="s">
        <v>187</v>
      </c>
      <c r="CY45" s="157" t="s">
        <v>160</v>
      </c>
      <c r="CZ45" s="157" t="s">
        <v>160</v>
      </c>
      <c r="DA45" s="157" t="s">
        <v>160</v>
      </c>
      <c r="DB45" s="157" t="s">
        <v>160</v>
      </c>
      <c r="DC45" s="157" t="s">
        <v>160</v>
      </c>
      <c r="DD45" s="157" t="s">
        <v>160</v>
      </c>
      <c r="DE45" s="157" t="s">
        <v>160</v>
      </c>
      <c r="DF45" s="157" t="s">
        <v>160</v>
      </c>
      <c r="DG45" s="157" t="s">
        <v>160</v>
      </c>
      <c r="DH45" s="157" t="s">
        <v>160</v>
      </c>
      <c r="DI45" s="157" t="s">
        <v>160</v>
      </c>
      <c r="DJ45" s="157" t="s">
        <v>160</v>
      </c>
      <c r="DK45" s="132">
        <v>432.56244218316402</v>
      </c>
      <c r="DL45" t="s">
        <v>165</v>
      </c>
      <c r="DM45" s="153">
        <v>37.1</v>
      </c>
      <c r="DN45" t="s">
        <v>166</v>
      </c>
      <c r="DO45" s="138">
        <v>39.191233609999998</v>
      </c>
      <c r="DP45" s="154" t="s">
        <v>163</v>
      </c>
      <c r="DQ45" s="146">
        <v>0.2</v>
      </c>
      <c r="DR45" t="s">
        <v>190</v>
      </c>
      <c r="DS45" t="s">
        <v>167</v>
      </c>
      <c r="DT45" t="s">
        <v>168</v>
      </c>
      <c r="DU45">
        <v>1.0271999999999999</v>
      </c>
      <c r="DV45" t="s">
        <v>191</v>
      </c>
      <c r="DW45">
        <v>5.9999999999999995E-4</v>
      </c>
      <c r="DX45" t="s">
        <v>198</v>
      </c>
      <c r="DY45" t="s">
        <v>160</v>
      </c>
      <c r="DZ45" t="s">
        <v>160</v>
      </c>
      <c r="EA45" t="s">
        <v>192</v>
      </c>
      <c r="EB45" t="s">
        <v>169</v>
      </c>
      <c r="EC45" t="s">
        <v>170</v>
      </c>
      <c r="ED45" t="s">
        <v>170</v>
      </c>
      <c r="EE45" s="157" t="s">
        <v>160</v>
      </c>
      <c r="EF45" t="s">
        <v>160</v>
      </c>
      <c r="EG45" t="s">
        <v>160</v>
      </c>
      <c r="EH45" t="s">
        <v>171</v>
      </c>
      <c r="EI45" t="s">
        <v>193</v>
      </c>
      <c r="EJ45" t="s">
        <v>194</v>
      </c>
      <c r="EK45" s="137">
        <v>2330</v>
      </c>
      <c r="EL45" t="s">
        <v>211</v>
      </c>
      <c r="EM45">
        <v>175</v>
      </c>
      <c r="EN45">
        <v>175</v>
      </c>
      <c r="EO45" t="s">
        <v>160</v>
      </c>
      <c r="EP45" t="s">
        <v>160</v>
      </c>
      <c r="EQ45" t="s">
        <v>160</v>
      </c>
      <c r="ER45" t="s">
        <v>160</v>
      </c>
      <c r="ES45" s="138">
        <v>8.0491848191185298</v>
      </c>
      <c r="ET45" s="133" t="s">
        <v>172</v>
      </c>
      <c r="EU45" s="138">
        <v>6.4539327106970745E-2</v>
      </c>
      <c r="EV45" s="138">
        <v>6.6510815157009517E-2</v>
      </c>
      <c r="EW45" s="147">
        <v>398.16756706350799</v>
      </c>
      <c r="EX45" s="154">
        <v>21</v>
      </c>
      <c r="EY45" s="154" t="s">
        <v>195</v>
      </c>
      <c r="EZ45" s="138">
        <v>377.16756706350799</v>
      </c>
      <c r="FA45" s="138">
        <v>84.241104126924029</v>
      </c>
      <c r="FB45" s="138">
        <v>72.856762354393993</v>
      </c>
      <c r="FC45" s="156" t="s">
        <v>212</v>
      </c>
      <c r="FD45" s="156" t="s">
        <v>213</v>
      </c>
      <c r="FE45" t="s">
        <v>173</v>
      </c>
      <c r="FF45" t="s">
        <v>173</v>
      </c>
      <c r="FG45" t="s">
        <v>173</v>
      </c>
      <c r="FH45" t="s">
        <v>173</v>
      </c>
      <c r="FI45" t="s">
        <v>173</v>
      </c>
      <c r="FJ45" t="s">
        <v>173</v>
      </c>
      <c r="FK45" t="s">
        <v>173</v>
      </c>
      <c r="FL45" t="s">
        <v>173</v>
      </c>
      <c r="FM45" t="s">
        <v>173</v>
      </c>
      <c r="FN45" t="s">
        <v>173</v>
      </c>
      <c r="FO45" t="s">
        <v>173</v>
      </c>
      <c r="FP45" t="s">
        <v>173</v>
      </c>
    </row>
    <row r="46" spans="1:172" ht="18" x14ac:dyDescent="0.2">
      <c r="A46" s="126" t="s">
        <v>152</v>
      </c>
      <c r="B46" t="s">
        <v>174</v>
      </c>
      <c r="C46">
        <v>2015</v>
      </c>
      <c r="D46" t="s">
        <v>196</v>
      </c>
      <c r="E46" s="147">
        <f t="shared" si="15"/>
        <v>2941.578125</v>
      </c>
      <c r="F46" s="135" t="s">
        <v>160</v>
      </c>
      <c r="G46" s="135" t="s">
        <v>160</v>
      </c>
      <c r="H46" s="147">
        <f t="shared" si="16"/>
        <v>337.22498596652099</v>
      </c>
      <c r="I46" s="147">
        <f t="shared" si="17"/>
        <v>74.707324437508987</v>
      </c>
      <c r="J46" s="147">
        <f t="shared" si="18"/>
        <v>64.501630415652983</v>
      </c>
      <c r="K46" t="s">
        <v>176</v>
      </c>
      <c r="L46" s="130" t="s">
        <v>206</v>
      </c>
      <c r="M46" s="136" t="s">
        <v>175</v>
      </c>
      <c r="N46" t="s">
        <v>196</v>
      </c>
      <c r="O46" t="s">
        <v>156</v>
      </c>
      <c r="P46" s="153" t="s">
        <v>157</v>
      </c>
      <c r="Q46" s="157">
        <v>11</v>
      </c>
      <c r="R46" s="157">
        <v>2</v>
      </c>
      <c r="S46" s="157">
        <v>27</v>
      </c>
      <c r="T46" s="157">
        <v>29</v>
      </c>
      <c r="U46" s="157" t="s">
        <v>160</v>
      </c>
      <c r="V46" s="157" t="s">
        <v>160</v>
      </c>
      <c r="W46" s="157" t="s">
        <v>160</v>
      </c>
      <c r="X46" t="s">
        <v>158</v>
      </c>
      <c r="Y46" s="131">
        <v>12.75</v>
      </c>
      <c r="Z46" s="131">
        <v>-78.73</v>
      </c>
      <c r="AA46" s="131">
        <v>12.75</v>
      </c>
      <c r="AB46" s="131">
        <v>-78.73</v>
      </c>
      <c r="AC46" s="131">
        <v>-2828</v>
      </c>
      <c r="AD46" s="131">
        <v>-2828</v>
      </c>
      <c r="AE46" s="153" t="s">
        <v>160</v>
      </c>
      <c r="AF46" s="153" t="s">
        <v>160</v>
      </c>
      <c r="AG46" s="138">
        <v>2941.578125</v>
      </c>
      <c r="AH46" s="2" t="s">
        <v>159</v>
      </c>
      <c r="AI46" s="153" t="s">
        <v>160</v>
      </c>
      <c r="AJ46" s="153" t="s">
        <v>160</v>
      </c>
      <c r="AK46" s="154" t="s">
        <v>160</v>
      </c>
      <c r="AL46" s="154" t="s">
        <v>177</v>
      </c>
      <c r="AM46" s="157" t="s">
        <v>160</v>
      </c>
      <c r="AN46" t="s">
        <v>160</v>
      </c>
      <c r="AO46" t="s">
        <v>160</v>
      </c>
      <c r="AP46" t="s">
        <v>160</v>
      </c>
      <c r="AQ46" t="s">
        <v>160</v>
      </c>
      <c r="AR46" t="s">
        <v>160</v>
      </c>
      <c r="AS46" t="s">
        <v>160</v>
      </c>
      <c r="AT46" t="s">
        <v>160</v>
      </c>
      <c r="AU46" s="145" t="s">
        <v>178</v>
      </c>
      <c r="AV46" t="s">
        <v>161</v>
      </c>
      <c r="AW46" s="141" t="s">
        <v>179</v>
      </c>
      <c r="AX46" s="139" t="s">
        <v>180</v>
      </c>
      <c r="AY46" s="139" t="s">
        <v>181</v>
      </c>
      <c r="AZ46" s="139" t="s">
        <v>182</v>
      </c>
      <c r="BA46" s="140" t="s">
        <v>162</v>
      </c>
      <c r="BB46" s="153" t="s">
        <v>217</v>
      </c>
      <c r="BC46" s="153" t="s">
        <v>217</v>
      </c>
      <c r="BD46" s="153" t="s">
        <v>217</v>
      </c>
      <c r="BE46" s="138">
        <v>19.973500000000001</v>
      </c>
      <c r="BF46" t="s">
        <v>183</v>
      </c>
      <c r="BG46" s="138">
        <v>9.0771784999999994E-2</v>
      </c>
      <c r="BH46">
        <v>0.6</v>
      </c>
      <c r="BI46" t="s">
        <v>184</v>
      </c>
      <c r="BJ46" s="2">
        <v>0.08</v>
      </c>
      <c r="BK46">
        <v>8.8699999999999992</v>
      </c>
      <c r="BL46" t="s">
        <v>163</v>
      </c>
      <c r="BM46">
        <v>1.52</v>
      </c>
      <c r="BN46" t="s">
        <v>185</v>
      </c>
      <c r="BO46" t="s">
        <v>186</v>
      </c>
      <c r="BP46" s="158">
        <f t="shared" si="12"/>
        <v>18.505833333333339</v>
      </c>
      <c r="BQ46" t="s">
        <v>184</v>
      </c>
      <c r="BR46" s="154" t="s">
        <v>160</v>
      </c>
      <c r="BS46" s="154" t="s">
        <v>160</v>
      </c>
      <c r="BT46" t="s">
        <v>214</v>
      </c>
      <c r="BU46" t="s">
        <v>218</v>
      </c>
      <c r="BV46" t="s">
        <v>164</v>
      </c>
      <c r="BW46" t="s">
        <v>164</v>
      </c>
      <c r="BX46" s="138">
        <v>27.55518</v>
      </c>
      <c r="BY46" t="s">
        <v>184</v>
      </c>
      <c r="BZ46" s="159">
        <v>3</v>
      </c>
      <c r="CA46" s="159">
        <v>3</v>
      </c>
      <c r="CB46" s="138">
        <v>3.4286473195322031</v>
      </c>
      <c r="CC46" s="138">
        <v>3.4286473195322031</v>
      </c>
      <c r="CD46" t="s">
        <v>188</v>
      </c>
      <c r="CE46" s="147">
        <f t="shared" si="13"/>
        <v>9.2573477627369477E-2</v>
      </c>
      <c r="CF46" s="147">
        <f t="shared" si="14"/>
        <v>9.2573477627369477E-2</v>
      </c>
      <c r="CG46" s="153" t="s">
        <v>215</v>
      </c>
      <c r="CH46" s="148" t="s">
        <v>207</v>
      </c>
      <c r="CI46" s="138">
        <v>3.7855801811620364</v>
      </c>
      <c r="CJ46" s="138" t="s">
        <v>244</v>
      </c>
      <c r="CK46" t="s">
        <v>160</v>
      </c>
      <c r="CL46" t="s">
        <v>189</v>
      </c>
      <c r="CM46" t="s">
        <v>160</v>
      </c>
      <c r="CN46" t="s">
        <v>160</v>
      </c>
      <c r="CO46" t="s">
        <v>160</v>
      </c>
      <c r="CP46" t="s">
        <v>160</v>
      </c>
      <c r="CQ46" t="s">
        <v>160</v>
      </c>
      <c r="CR46" t="s">
        <v>160</v>
      </c>
      <c r="CS46" t="s">
        <v>160</v>
      </c>
      <c r="CT46" t="s">
        <v>160</v>
      </c>
      <c r="CU46" s="134">
        <v>35</v>
      </c>
      <c r="CV46" t="s">
        <v>159</v>
      </c>
      <c r="CW46">
        <v>3</v>
      </c>
      <c r="CX46" s="149" t="s">
        <v>187</v>
      </c>
      <c r="CY46" s="157" t="s">
        <v>160</v>
      </c>
      <c r="CZ46" s="157" t="s">
        <v>160</v>
      </c>
      <c r="DA46" s="157" t="s">
        <v>160</v>
      </c>
      <c r="DB46" s="157" t="s">
        <v>160</v>
      </c>
      <c r="DC46" s="157" t="s">
        <v>160</v>
      </c>
      <c r="DD46" s="157" t="s">
        <v>160</v>
      </c>
      <c r="DE46" s="157" t="s">
        <v>160</v>
      </c>
      <c r="DF46" s="157" t="s">
        <v>160</v>
      </c>
      <c r="DG46" s="157" t="s">
        <v>160</v>
      </c>
      <c r="DH46" s="157" t="s">
        <v>160</v>
      </c>
      <c r="DI46" s="157" t="s">
        <v>160</v>
      </c>
      <c r="DJ46" s="157" t="s">
        <v>160</v>
      </c>
      <c r="DK46" s="132">
        <v>432.56244218316402</v>
      </c>
      <c r="DL46" t="s">
        <v>165</v>
      </c>
      <c r="DM46" s="153">
        <v>37.1</v>
      </c>
      <c r="DN46" t="s">
        <v>166</v>
      </c>
      <c r="DO46" s="138">
        <v>39.188661590000002</v>
      </c>
      <c r="DP46" s="154" t="s">
        <v>163</v>
      </c>
      <c r="DQ46" s="146">
        <v>0.2</v>
      </c>
      <c r="DR46" t="s">
        <v>190</v>
      </c>
      <c r="DS46" t="s">
        <v>167</v>
      </c>
      <c r="DT46" t="s">
        <v>168</v>
      </c>
      <c r="DU46">
        <v>1.0271999999999999</v>
      </c>
      <c r="DV46" t="s">
        <v>191</v>
      </c>
      <c r="DW46">
        <v>5.9999999999999995E-4</v>
      </c>
      <c r="DX46" t="s">
        <v>198</v>
      </c>
      <c r="DY46" t="s">
        <v>160</v>
      </c>
      <c r="DZ46" t="s">
        <v>160</v>
      </c>
      <c r="EA46" t="s">
        <v>192</v>
      </c>
      <c r="EB46" t="s">
        <v>169</v>
      </c>
      <c r="EC46" t="s">
        <v>170</v>
      </c>
      <c r="ED46" t="s">
        <v>170</v>
      </c>
      <c r="EE46" s="157" t="s">
        <v>160</v>
      </c>
      <c r="EF46" t="s">
        <v>160</v>
      </c>
      <c r="EG46" t="s">
        <v>160</v>
      </c>
      <c r="EH46" t="s">
        <v>171</v>
      </c>
      <c r="EI46" t="s">
        <v>193</v>
      </c>
      <c r="EJ46" t="s">
        <v>194</v>
      </c>
      <c r="EK46" s="137">
        <v>2330</v>
      </c>
      <c r="EL46" t="s">
        <v>211</v>
      </c>
      <c r="EM46">
        <v>175</v>
      </c>
      <c r="EN46">
        <v>175</v>
      </c>
      <c r="EO46" t="s">
        <v>160</v>
      </c>
      <c r="EP46" t="s">
        <v>160</v>
      </c>
      <c r="EQ46" t="s">
        <v>160</v>
      </c>
      <c r="ER46" t="s">
        <v>160</v>
      </c>
      <c r="ES46" s="138">
        <v>8.0848904849837506</v>
      </c>
      <c r="ET46" s="133" t="s">
        <v>172</v>
      </c>
      <c r="EU46" s="138">
        <v>6.447264289080934E-2</v>
      </c>
      <c r="EV46" s="138">
        <v>6.4904817137851012E-2</v>
      </c>
      <c r="EW46" s="147">
        <v>358.22498596652099</v>
      </c>
      <c r="EX46" s="154">
        <v>21</v>
      </c>
      <c r="EY46" s="154" t="s">
        <v>195</v>
      </c>
      <c r="EZ46" s="138">
        <v>337.22498596652099</v>
      </c>
      <c r="FA46" s="138">
        <v>74.707324437508987</v>
      </c>
      <c r="FB46" s="138">
        <v>64.501630415652983</v>
      </c>
      <c r="FC46" s="156" t="s">
        <v>212</v>
      </c>
      <c r="FD46" s="156" t="s">
        <v>213</v>
      </c>
      <c r="FE46" t="s">
        <v>173</v>
      </c>
      <c r="FF46" t="s">
        <v>173</v>
      </c>
      <c r="FG46" t="s">
        <v>173</v>
      </c>
      <c r="FH46" t="s">
        <v>173</v>
      </c>
      <c r="FI46" t="s">
        <v>173</v>
      </c>
      <c r="FJ46" t="s">
        <v>173</v>
      </c>
      <c r="FK46" t="s">
        <v>173</v>
      </c>
      <c r="FL46" t="s">
        <v>173</v>
      </c>
      <c r="FM46" t="s">
        <v>173</v>
      </c>
      <c r="FN46" t="s">
        <v>173</v>
      </c>
      <c r="FO46" t="s">
        <v>173</v>
      </c>
      <c r="FP46" t="s">
        <v>173</v>
      </c>
    </row>
    <row r="47" spans="1:172" ht="18" x14ac:dyDescent="0.2">
      <c r="A47" s="126" t="s">
        <v>152</v>
      </c>
      <c r="B47" t="s">
        <v>174</v>
      </c>
      <c r="C47">
        <v>2015</v>
      </c>
      <c r="D47" t="s">
        <v>196</v>
      </c>
      <c r="E47" s="147">
        <f t="shared" si="15"/>
        <v>2950.4926759999998</v>
      </c>
      <c r="F47" s="135" t="s">
        <v>160</v>
      </c>
      <c r="G47" s="135" t="s">
        <v>160</v>
      </c>
      <c r="H47" s="147">
        <f t="shared" si="16"/>
        <v>357.80486321970102</v>
      </c>
      <c r="I47" s="147">
        <f t="shared" si="17"/>
        <v>81.735998737526984</v>
      </c>
      <c r="J47" s="147">
        <f t="shared" si="18"/>
        <v>70.393309466878009</v>
      </c>
      <c r="K47" t="s">
        <v>176</v>
      </c>
      <c r="L47" s="130" t="s">
        <v>206</v>
      </c>
      <c r="M47" s="136" t="s">
        <v>175</v>
      </c>
      <c r="N47" t="s">
        <v>196</v>
      </c>
      <c r="O47" t="s">
        <v>156</v>
      </c>
      <c r="P47" s="153" t="s">
        <v>157</v>
      </c>
      <c r="Q47" s="157">
        <v>11</v>
      </c>
      <c r="R47" s="157">
        <v>2</v>
      </c>
      <c r="S47" s="157">
        <v>53</v>
      </c>
      <c r="T47" s="157">
        <v>57</v>
      </c>
      <c r="U47" s="157" t="s">
        <v>160</v>
      </c>
      <c r="V47" s="157" t="s">
        <v>160</v>
      </c>
      <c r="W47" s="157" t="s">
        <v>160</v>
      </c>
      <c r="X47" t="s">
        <v>158</v>
      </c>
      <c r="Y47" s="131">
        <v>12.75</v>
      </c>
      <c r="Z47" s="131">
        <v>-78.73</v>
      </c>
      <c r="AA47" s="131">
        <v>12.75</v>
      </c>
      <c r="AB47" s="131">
        <v>-78.73</v>
      </c>
      <c r="AC47" s="131">
        <v>-2828</v>
      </c>
      <c r="AD47" s="131">
        <v>-2828</v>
      </c>
      <c r="AE47" s="153" t="s">
        <v>160</v>
      </c>
      <c r="AF47" s="153" t="s">
        <v>160</v>
      </c>
      <c r="AG47" s="138">
        <v>2950.4926759999998</v>
      </c>
      <c r="AH47" s="2" t="s">
        <v>159</v>
      </c>
      <c r="AI47" s="153" t="s">
        <v>160</v>
      </c>
      <c r="AJ47" s="153" t="s">
        <v>160</v>
      </c>
      <c r="AK47" s="154" t="s">
        <v>160</v>
      </c>
      <c r="AL47" s="154" t="s">
        <v>177</v>
      </c>
      <c r="AM47" s="157" t="s">
        <v>160</v>
      </c>
      <c r="AN47" t="s">
        <v>160</v>
      </c>
      <c r="AO47" t="s">
        <v>160</v>
      </c>
      <c r="AP47" t="s">
        <v>160</v>
      </c>
      <c r="AQ47" t="s">
        <v>160</v>
      </c>
      <c r="AR47" t="s">
        <v>160</v>
      </c>
      <c r="AS47" t="s">
        <v>160</v>
      </c>
      <c r="AT47" t="s">
        <v>160</v>
      </c>
      <c r="AU47" s="145" t="s">
        <v>178</v>
      </c>
      <c r="AV47" t="s">
        <v>161</v>
      </c>
      <c r="AW47" s="141" t="s">
        <v>179</v>
      </c>
      <c r="AX47" s="141" t="s">
        <v>180</v>
      </c>
      <c r="AY47" s="139" t="s">
        <v>181</v>
      </c>
      <c r="AZ47" s="139" t="s">
        <v>182</v>
      </c>
      <c r="BA47" t="s">
        <v>162</v>
      </c>
      <c r="BB47" s="153" t="s">
        <v>217</v>
      </c>
      <c r="BC47" s="153" t="s">
        <v>217</v>
      </c>
      <c r="BD47" s="153" t="s">
        <v>217</v>
      </c>
      <c r="BE47" s="138">
        <v>19.756710000000002</v>
      </c>
      <c r="BF47" t="s">
        <v>183</v>
      </c>
      <c r="BG47" s="138">
        <v>0.11186700199999999</v>
      </c>
      <c r="BH47">
        <v>0.6</v>
      </c>
      <c r="BI47" t="s">
        <v>184</v>
      </c>
      <c r="BJ47" s="2">
        <v>0.08</v>
      </c>
      <c r="BK47">
        <v>8.8699999999999992</v>
      </c>
      <c r="BL47" t="s">
        <v>163</v>
      </c>
      <c r="BM47">
        <v>1.52</v>
      </c>
      <c r="BN47" t="s">
        <v>185</v>
      </c>
      <c r="BO47" t="s">
        <v>186</v>
      </c>
      <c r="BP47" s="158">
        <f t="shared" si="12"/>
        <v>18.144516666666672</v>
      </c>
      <c r="BQ47" t="s">
        <v>184</v>
      </c>
      <c r="BR47" s="154" t="s">
        <v>160</v>
      </c>
      <c r="BS47" s="154" t="s">
        <v>160</v>
      </c>
      <c r="BT47" t="s">
        <v>214</v>
      </c>
      <c r="BU47" t="s">
        <v>218</v>
      </c>
      <c r="BV47" t="s">
        <v>164</v>
      </c>
      <c r="BW47" t="s">
        <v>164</v>
      </c>
      <c r="BX47" s="138">
        <v>26.314409999999999</v>
      </c>
      <c r="BY47" t="s">
        <v>184</v>
      </c>
      <c r="BZ47" s="159">
        <v>3</v>
      </c>
      <c r="CA47" s="159">
        <v>3</v>
      </c>
      <c r="CB47" s="138">
        <v>3.0618668789723391</v>
      </c>
      <c r="CC47" s="138">
        <v>3.0618668789723391</v>
      </c>
      <c r="CD47" t="s">
        <v>188</v>
      </c>
      <c r="CE47" s="147">
        <f t="shared" si="13"/>
        <v>8.2670405732253149E-2</v>
      </c>
      <c r="CF47" s="147">
        <f t="shared" si="14"/>
        <v>8.2670405732253149E-2</v>
      </c>
      <c r="CG47" s="153" t="s">
        <v>215</v>
      </c>
      <c r="CH47" s="148" t="s">
        <v>207</v>
      </c>
      <c r="CI47" s="138">
        <v>3.7720162013744121</v>
      </c>
      <c r="CJ47" s="138" t="s">
        <v>244</v>
      </c>
      <c r="CK47" t="s">
        <v>160</v>
      </c>
      <c r="CL47" t="s">
        <v>189</v>
      </c>
      <c r="CM47" t="s">
        <v>160</v>
      </c>
      <c r="CN47" t="s">
        <v>160</v>
      </c>
      <c r="CO47" t="s">
        <v>160</v>
      </c>
      <c r="CP47" t="s">
        <v>160</v>
      </c>
      <c r="CQ47" t="s">
        <v>160</v>
      </c>
      <c r="CR47" t="s">
        <v>160</v>
      </c>
      <c r="CS47" t="s">
        <v>160</v>
      </c>
      <c r="CT47" t="s">
        <v>160</v>
      </c>
      <c r="CU47" s="134">
        <v>35</v>
      </c>
      <c r="CV47" t="s">
        <v>159</v>
      </c>
      <c r="CW47">
        <v>3</v>
      </c>
      <c r="CX47" s="149" t="s">
        <v>187</v>
      </c>
      <c r="CY47" s="157" t="s">
        <v>160</v>
      </c>
      <c r="CZ47" s="157" t="s">
        <v>160</v>
      </c>
      <c r="DA47" s="157" t="s">
        <v>160</v>
      </c>
      <c r="DB47" s="157" t="s">
        <v>160</v>
      </c>
      <c r="DC47" s="157" t="s">
        <v>160</v>
      </c>
      <c r="DD47" s="157" t="s">
        <v>160</v>
      </c>
      <c r="DE47" s="157" t="s">
        <v>160</v>
      </c>
      <c r="DF47" s="157" t="s">
        <v>160</v>
      </c>
      <c r="DG47" s="157" t="s">
        <v>160</v>
      </c>
      <c r="DH47" s="157" t="s">
        <v>160</v>
      </c>
      <c r="DI47" s="157" t="s">
        <v>160</v>
      </c>
      <c r="DJ47" s="157" t="s">
        <v>160</v>
      </c>
      <c r="DK47" s="132">
        <v>432.56244218316402</v>
      </c>
      <c r="DL47" t="s">
        <v>165</v>
      </c>
      <c r="DM47" s="153">
        <v>37.1</v>
      </c>
      <c r="DN47" t="s">
        <v>166</v>
      </c>
      <c r="DO47" s="138">
        <v>39.187496179999997</v>
      </c>
      <c r="DP47" s="154" t="s">
        <v>163</v>
      </c>
      <c r="DQ47" s="146">
        <v>0.2</v>
      </c>
      <c r="DR47" t="s">
        <v>190</v>
      </c>
      <c r="DS47" t="s">
        <v>167</v>
      </c>
      <c r="DT47" t="s">
        <v>168</v>
      </c>
      <c r="DU47">
        <v>1.0271999999999999</v>
      </c>
      <c r="DV47" t="s">
        <v>191</v>
      </c>
      <c r="DW47">
        <v>5.9999999999999995E-4</v>
      </c>
      <c r="DX47" t="s">
        <v>198</v>
      </c>
      <c r="DY47" t="s">
        <v>160</v>
      </c>
      <c r="DZ47" t="s">
        <v>160</v>
      </c>
      <c r="EA47" t="s">
        <v>192</v>
      </c>
      <c r="EB47" t="s">
        <v>169</v>
      </c>
      <c r="EC47" t="s">
        <v>170</v>
      </c>
      <c r="ED47" t="s">
        <v>170</v>
      </c>
      <c r="EE47" s="157" t="s">
        <v>160</v>
      </c>
      <c r="EF47" t="s">
        <v>160</v>
      </c>
      <c r="EG47" t="s">
        <v>160</v>
      </c>
      <c r="EH47" t="s">
        <v>171</v>
      </c>
      <c r="EI47" t="s">
        <v>193</v>
      </c>
      <c r="EJ47" t="s">
        <v>194</v>
      </c>
      <c r="EK47" s="137">
        <v>2330</v>
      </c>
      <c r="EL47" t="s">
        <v>211</v>
      </c>
      <c r="EM47">
        <v>175</v>
      </c>
      <c r="EN47">
        <v>175</v>
      </c>
      <c r="EO47" t="s">
        <v>160</v>
      </c>
      <c r="EP47" t="s">
        <v>160</v>
      </c>
      <c r="EQ47" t="s">
        <v>160</v>
      </c>
      <c r="ER47" t="s">
        <v>160</v>
      </c>
      <c r="ES47" s="138">
        <v>8.0669519332944493</v>
      </c>
      <c r="ET47" s="133" t="s">
        <v>172</v>
      </c>
      <c r="EU47" s="138">
        <v>6.4530767513410581E-2</v>
      </c>
      <c r="EV47" s="138">
        <v>6.6209836390958898E-2</v>
      </c>
      <c r="EW47" s="147">
        <v>378.80486321970102</v>
      </c>
      <c r="EX47" s="154">
        <v>21</v>
      </c>
      <c r="EY47" s="154" t="s">
        <v>195</v>
      </c>
      <c r="EZ47" s="138">
        <v>357.80486321970102</v>
      </c>
      <c r="FA47" s="138">
        <v>81.735998737526984</v>
      </c>
      <c r="FB47" s="138">
        <v>70.393309466878009</v>
      </c>
      <c r="FC47" s="156" t="s">
        <v>212</v>
      </c>
      <c r="FD47" s="156" t="s">
        <v>213</v>
      </c>
      <c r="FE47" t="s">
        <v>173</v>
      </c>
      <c r="FF47" t="s">
        <v>173</v>
      </c>
      <c r="FG47" t="s">
        <v>173</v>
      </c>
      <c r="FH47" t="s">
        <v>173</v>
      </c>
      <c r="FI47" t="s">
        <v>173</v>
      </c>
      <c r="FJ47" t="s">
        <v>173</v>
      </c>
      <c r="FK47" t="s">
        <v>173</v>
      </c>
      <c r="FL47" t="s">
        <v>173</v>
      </c>
      <c r="FM47" t="s">
        <v>173</v>
      </c>
      <c r="FN47" t="s">
        <v>173</v>
      </c>
      <c r="FO47" t="s">
        <v>173</v>
      </c>
      <c r="FP47" t="s">
        <v>173</v>
      </c>
    </row>
    <row r="48" spans="1:172" ht="18" x14ac:dyDescent="0.2">
      <c r="A48" s="126" t="s">
        <v>152</v>
      </c>
      <c r="B48" t="s">
        <v>174</v>
      </c>
      <c r="C48">
        <v>2015</v>
      </c>
      <c r="D48" t="s">
        <v>196</v>
      </c>
      <c r="E48" s="147">
        <f t="shared" si="15"/>
        <v>2951.1613769999999</v>
      </c>
      <c r="F48" s="135" t="s">
        <v>160</v>
      </c>
      <c r="G48" s="135" t="s">
        <v>160</v>
      </c>
      <c r="H48" s="147">
        <f t="shared" si="16"/>
        <v>419.31100384131798</v>
      </c>
      <c r="I48" s="147">
        <f t="shared" si="17"/>
        <v>105.63052073997301</v>
      </c>
      <c r="J48" s="147">
        <f t="shared" si="18"/>
        <v>88.247716433217988</v>
      </c>
      <c r="K48" t="s">
        <v>176</v>
      </c>
      <c r="L48" s="130" t="s">
        <v>206</v>
      </c>
      <c r="M48" s="136" t="s">
        <v>175</v>
      </c>
      <c r="N48" t="s">
        <v>196</v>
      </c>
      <c r="O48" t="s">
        <v>156</v>
      </c>
      <c r="P48" s="153" t="s">
        <v>157</v>
      </c>
      <c r="Q48" s="157">
        <v>11</v>
      </c>
      <c r="R48" s="157">
        <v>2</v>
      </c>
      <c r="S48" s="157">
        <v>55</v>
      </c>
      <c r="T48" s="157">
        <v>57</v>
      </c>
      <c r="U48" s="157" t="s">
        <v>160</v>
      </c>
      <c r="V48" s="157" t="s">
        <v>160</v>
      </c>
      <c r="W48" s="157" t="s">
        <v>160</v>
      </c>
      <c r="X48" t="s">
        <v>158</v>
      </c>
      <c r="Y48" s="131">
        <v>12.75</v>
      </c>
      <c r="Z48" s="131">
        <v>-78.73</v>
      </c>
      <c r="AA48" s="131">
        <v>12.75</v>
      </c>
      <c r="AB48" s="131">
        <v>-78.73</v>
      </c>
      <c r="AC48" s="131">
        <v>-2828</v>
      </c>
      <c r="AD48" s="131">
        <v>-2828</v>
      </c>
      <c r="AE48" s="153" t="s">
        <v>160</v>
      </c>
      <c r="AF48" s="153" t="s">
        <v>160</v>
      </c>
      <c r="AG48" s="138">
        <v>2951.1613769999999</v>
      </c>
      <c r="AH48" s="2" t="s">
        <v>159</v>
      </c>
      <c r="AI48" s="153" t="s">
        <v>160</v>
      </c>
      <c r="AJ48" s="153" t="s">
        <v>160</v>
      </c>
      <c r="AK48" s="154" t="s">
        <v>160</v>
      </c>
      <c r="AL48" s="154" t="s">
        <v>177</v>
      </c>
      <c r="AM48" s="157" t="s">
        <v>160</v>
      </c>
      <c r="AN48" t="s">
        <v>160</v>
      </c>
      <c r="AO48" t="s">
        <v>160</v>
      </c>
      <c r="AP48" t="s">
        <v>160</v>
      </c>
      <c r="AQ48" t="s">
        <v>160</v>
      </c>
      <c r="AR48" t="s">
        <v>160</v>
      </c>
      <c r="AS48" t="s">
        <v>160</v>
      </c>
      <c r="AT48" t="s">
        <v>160</v>
      </c>
      <c r="AU48" s="145" t="s">
        <v>178</v>
      </c>
      <c r="AV48" t="s">
        <v>161</v>
      </c>
      <c r="AW48" s="141" t="s">
        <v>179</v>
      </c>
      <c r="AX48" s="139" t="s">
        <v>180</v>
      </c>
      <c r="AY48" s="139" t="s">
        <v>181</v>
      </c>
      <c r="AZ48" s="139" t="s">
        <v>182</v>
      </c>
      <c r="BA48" s="140" t="s">
        <v>162</v>
      </c>
      <c r="BB48" s="153" t="s">
        <v>217</v>
      </c>
      <c r="BC48" s="153" t="s">
        <v>217</v>
      </c>
      <c r="BD48" s="153" t="s">
        <v>217</v>
      </c>
      <c r="BE48" s="138">
        <v>19.46</v>
      </c>
      <c r="BF48" t="s">
        <v>183</v>
      </c>
      <c r="BG48" s="138">
        <v>0.200511776</v>
      </c>
      <c r="BH48">
        <v>0.6</v>
      </c>
      <c r="BI48" t="s">
        <v>184</v>
      </c>
      <c r="BJ48" s="2">
        <v>0.08</v>
      </c>
      <c r="BK48">
        <v>8.8699999999999992</v>
      </c>
      <c r="BL48" t="s">
        <v>163</v>
      </c>
      <c r="BM48">
        <v>1.52</v>
      </c>
      <c r="BN48" t="s">
        <v>185</v>
      </c>
      <c r="BO48" t="s">
        <v>186</v>
      </c>
      <c r="BP48" s="158">
        <f t="shared" si="12"/>
        <v>17.650000000000002</v>
      </c>
      <c r="BQ48" t="s">
        <v>184</v>
      </c>
      <c r="BR48" s="154" t="s">
        <v>160</v>
      </c>
      <c r="BS48" s="154" t="s">
        <v>160</v>
      </c>
      <c r="BT48" t="s">
        <v>214</v>
      </c>
      <c r="BU48" t="s">
        <v>218</v>
      </c>
      <c r="BV48" t="s">
        <v>164</v>
      </c>
      <c r="BW48" t="s">
        <v>164</v>
      </c>
      <c r="BX48" s="138">
        <v>26.887779999999999</v>
      </c>
      <c r="BY48" t="s">
        <v>184</v>
      </c>
      <c r="BZ48" s="159">
        <v>3</v>
      </c>
      <c r="CA48" s="159">
        <v>3</v>
      </c>
      <c r="CB48" s="138">
        <v>3.2236599742960799</v>
      </c>
      <c r="CC48" s="138">
        <v>3.2236599742960799</v>
      </c>
      <c r="CD48" t="s">
        <v>188</v>
      </c>
      <c r="CE48" s="147">
        <f t="shared" si="13"/>
        <v>8.703881930599415E-2</v>
      </c>
      <c r="CF48" s="147">
        <f t="shared" si="14"/>
        <v>8.703881930599415E-2</v>
      </c>
      <c r="CG48" s="153" t="s">
        <v>215</v>
      </c>
      <c r="CH48" s="148" t="s">
        <v>207</v>
      </c>
      <c r="CI48" s="138">
        <v>3.770997259394095</v>
      </c>
      <c r="CJ48" s="138" t="s">
        <v>244</v>
      </c>
      <c r="CK48" t="s">
        <v>160</v>
      </c>
      <c r="CL48" t="s">
        <v>189</v>
      </c>
      <c r="CM48" t="s">
        <v>160</v>
      </c>
      <c r="CN48" t="s">
        <v>160</v>
      </c>
      <c r="CO48" t="s">
        <v>160</v>
      </c>
      <c r="CP48" t="s">
        <v>160</v>
      </c>
      <c r="CQ48" t="s">
        <v>160</v>
      </c>
      <c r="CR48" t="s">
        <v>160</v>
      </c>
      <c r="CS48" t="s">
        <v>160</v>
      </c>
      <c r="CT48" t="s">
        <v>160</v>
      </c>
      <c r="CU48" s="134">
        <v>35</v>
      </c>
      <c r="CV48" t="s">
        <v>159</v>
      </c>
      <c r="CW48">
        <v>3</v>
      </c>
      <c r="CX48" s="149" t="s">
        <v>187</v>
      </c>
      <c r="CY48" s="157" t="s">
        <v>160</v>
      </c>
      <c r="CZ48" s="157" t="s">
        <v>160</v>
      </c>
      <c r="DA48" s="157" t="s">
        <v>160</v>
      </c>
      <c r="DB48" s="157" t="s">
        <v>160</v>
      </c>
      <c r="DC48" s="157" t="s">
        <v>160</v>
      </c>
      <c r="DD48" s="157" t="s">
        <v>160</v>
      </c>
      <c r="DE48" s="157" t="s">
        <v>160</v>
      </c>
      <c r="DF48" s="157" t="s">
        <v>160</v>
      </c>
      <c r="DG48" s="157" t="s">
        <v>160</v>
      </c>
      <c r="DH48" s="157" t="s">
        <v>160</v>
      </c>
      <c r="DI48" s="157" t="s">
        <v>160</v>
      </c>
      <c r="DJ48" s="157" t="s">
        <v>160</v>
      </c>
      <c r="DK48" s="132">
        <v>432.56244218316402</v>
      </c>
      <c r="DL48" t="s">
        <v>165</v>
      </c>
      <c r="DM48" s="153">
        <v>37.1</v>
      </c>
      <c r="DN48" t="s">
        <v>166</v>
      </c>
      <c r="DO48" s="138">
        <v>39.187023009999997</v>
      </c>
      <c r="DP48" s="154" t="s">
        <v>163</v>
      </c>
      <c r="DQ48" s="146">
        <v>0.2</v>
      </c>
      <c r="DR48" t="s">
        <v>190</v>
      </c>
      <c r="DS48" t="s">
        <v>167</v>
      </c>
      <c r="DT48" t="s">
        <v>168</v>
      </c>
      <c r="DU48">
        <v>1.0271999999999999</v>
      </c>
      <c r="DV48" t="s">
        <v>191</v>
      </c>
      <c r="DW48">
        <v>5.9999999999999995E-4</v>
      </c>
      <c r="DX48" t="s">
        <v>198</v>
      </c>
      <c r="DY48" t="s">
        <v>160</v>
      </c>
      <c r="DZ48" t="s">
        <v>160</v>
      </c>
      <c r="EA48" t="s">
        <v>192</v>
      </c>
      <c r="EB48" t="s">
        <v>169</v>
      </c>
      <c r="EC48" t="s">
        <v>170</v>
      </c>
      <c r="ED48" t="s">
        <v>170</v>
      </c>
      <c r="EE48" s="157" t="s">
        <v>160</v>
      </c>
      <c r="EF48" t="s">
        <v>160</v>
      </c>
      <c r="EG48" t="s">
        <v>160</v>
      </c>
      <c r="EH48" t="s">
        <v>171</v>
      </c>
      <c r="EI48" t="s">
        <v>193</v>
      </c>
      <c r="EJ48" t="s">
        <v>194</v>
      </c>
      <c r="EK48" s="137">
        <v>2330</v>
      </c>
      <c r="EL48" t="s">
        <v>211</v>
      </c>
      <c r="EM48">
        <v>175</v>
      </c>
      <c r="EN48">
        <v>175</v>
      </c>
      <c r="EO48" t="s">
        <v>160</v>
      </c>
      <c r="EP48" t="s">
        <v>160</v>
      </c>
      <c r="EQ48" t="s">
        <v>160</v>
      </c>
      <c r="ER48" t="s">
        <v>160</v>
      </c>
      <c r="ES48" s="138">
        <v>8.0138008855184797</v>
      </c>
      <c r="ET48" s="133" t="s">
        <v>172</v>
      </c>
      <c r="EU48" s="138">
        <v>7.2673598746769486E-2</v>
      </c>
      <c r="EV48" s="138">
        <v>7.4419310820959872E-2</v>
      </c>
      <c r="EW48" s="147">
        <v>440.31100384131798</v>
      </c>
      <c r="EX48" s="154">
        <v>21</v>
      </c>
      <c r="EY48" s="154" t="s">
        <v>195</v>
      </c>
      <c r="EZ48" s="138">
        <v>419.31100384131798</v>
      </c>
      <c r="FA48" s="138">
        <v>105.63052073997301</v>
      </c>
      <c r="FB48" s="138">
        <v>88.247716433217988</v>
      </c>
      <c r="FC48" s="156" t="s">
        <v>212</v>
      </c>
      <c r="FD48" s="156" t="s">
        <v>213</v>
      </c>
      <c r="FE48" t="s">
        <v>173</v>
      </c>
      <c r="FF48" t="s">
        <v>173</v>
      </c>
      <c r="FG48" t="s">
        <v>173</v>
      </c>
      <c r="FH48" t="s">
        <v>173</v>
      </c>
      <c r="FI48" t="s">
        <v>173</v>
      </c>
      <c r="FJ48" t="s">
        <v>173</v>
      </c>
      <c r="FK48" t="s">
        <v>173</v>
      </c>
      <c r="FL48" t="s">
        <v>173</v>
      </c>
      <c r="FM48" t="s">
        <v>173</v>
      </c>
      <c r="FN48" t="s">
        <v>173</v>
      </c>
      <c r="FO48" t="s">
        <v>173</v>
      </c>
      <c r="FP48" t="s">
        <v>173</v>
      </c>
    </row>
    <row r="49" spans="1:172" ht="18" x14ac:dyDescent="0.2">
      <c r="A49" s="126" t="s">
        <v>152</v>
      </c>
      <c r="B49" t="s">
        <v>174</v>
      </c>
      <c r="C49">
        <v>2015</v>
      </c>
      <c r="D49" t="s">
        <v>196</v>
      </c>
      <c r="E49" s="147">
        <f t="shared" si="15"/>
        <v>2959.599365</v>
      </c>
      <c r="F49" s="135" t="s">
        <v>160</v>
      </c>
      <c r="G49" s="135" t="s">
        <v>160</v>
      </c>
      <c r="H49" s="147">
        <f t="shared" si="16"/>
        <v>345.53105939065603</v>
      </c>
      <c r="I49" s="147">
        <f t="shared" si="17"/>
        <v>75.089950941278971</v>
      </c>
      <c r="J49" s="147">
        <f t="shared" si="18"/>
        <v>66.540707023945004</v>
      </c>
      <c r="K49" t="s">
        <v>176</v>
      </c>
      <c r="L49" s="130" t="s">
        <v>206</v>
      </c>
      <c r="M49" s="136" t="s">
        <v>175</v>
      </c>
      <c r="N49" t="s">
        <v>196</v>
      </c>
      <c r="O49" t="s">
        <v>156</v>
      </c>
      <c r="P49" s="153" t="s">
        <v>157</v>
      </c>
      <c r="Q49" s="157">
        <v>11</v>
      </c>
      <c r="R49" s="157">
        <v>2</v>
      </c>
      <c r="S49" s="157">
        <v>80</v>
      </c>
      <c r="T49" s="157">
        <v>82</v>
      </c>
      <c r="U49" s="157" t="s">
        <v>160</v>
      </c>
      <c r="V49" s="157" t="s">
        <v>160</v>
      </c>
      <c r="W49" s="157" t="s">
        <v>160</v>
      </c>
      <c r="X49" t="s">
        <v>158</v>
      </c>
      <c r="Y49" s="131">
        <v>12.75</v>
      </c>
      <c r="Z49" s="131">
        <v>-78.73</v>
      </c>
      <c r="AA49" s="131">
        <v>12.75</v>
      </c>
      <c r="AB49" s="131">
        <v>-78.73</v>
      </c>
      <c r="AC49" s="131">
        <v>-2828</v>
      </c>
      <c r="AD49" s="131">
        <v>-2828</v>
      </c>
      <c r="AE49" s="153" t="s">
        <v>160</v>
      </c>
      <c r="AF49" s="153" t="s">
        <v>160</v>
      </c>
      <c r="AG49" s="138">
        <v>2959.599365</v>
      </c>
      <c r="AH49" s="2" t="s">
        <v>159</v>
      </c>
      <c r="AI49" s="153" t="s">
        <v>160</v>
      </c>
      <c r="AJ49" s="153" t="s">
        <v>160</v>
      </c>
      <c r="AK49" s="154" t="s">
        <v>160</v>
      </c>
      <c r="AL49" s="154" t="s">
        <v>177</v>
      </c>
      <c r="AM49" s="157" t="s">
        <v>160</v>
      </c>
      <c r="AN49" t="s">
        <v>160</v>
      </c>
      <c r="AO49" t="s">
        <v>160</v>
      </c>
      <c r="AP49" t="s">
        <v>160</v>
      </c>
      <c r="AQ49" t="s">
        <v>160</v>
      </c>
      <c r="AR49" t="s">
        <v>160</v>
      </c>
      <c r="AS49" t="s">
        <v>160</v>
      </c>
      <c r="AT49" t="s">
        <v>160</v>
      </c>
      <c r="AU49" s="145" t="s">
        <v>178</v>
      </c>
      <c r="AV49" t="s">
        <v>161</v>
      </c>
      <c r="AW49" s="141" t="s">
        <v>179</v>
      </c>
      <c r="AX49" s="141" t="s">
        <v>180</v>
      </c>
      <c r="AY49" s="139" t="s">
        <v>181</v>
      </c>
      <c r="AZ49" s="139" t="s">
        <v>182</v>
      </c>
      <c r="BA49" t="s">
        <v>162</v>
      </c>
      <c r="BB49" s="153" t="s">
        <v>217</v>
      </c>
      <c r="BC49" s="153" t="s">
        <v>217</v>
      </c>
      <c r="BD49" s="153" t="s">
        <v>217</v>
      </c>
      <c r="BE49" s="138">
        <v>20.009589999999999</v>
      </c>
      <c r="BF49" t="s">
        <v>183</v>
      </c>
      <c r="BG49" s="138">
        <v>9.0781642999999995E-2</v>
      </c>
      <c r="BH49">
        <v>0.6</v>
      </c>
      <c r="BI49" t="s">
        <v>184</v>
      </c>
      <c r="BJ49" s="2">
        <v>0.08</v>
      </c>
      <c r="BK49">
        <v>8.8699999999999992</v>
      </c>
      <c r="BL49" t="s">
        <v>163</v>
      </c>
      <c r="BM49">
        <v>1.52</v>
      </c>
      <c r="BN49" t="s">
        <v>185</v>
      </c>
      <c r="BO49" t="s">
        <v>186</v>
      </c>
      <c r="BP49" s="158">
        <f t="shared" si="12"/>
        <v>18.565983333333335</v>
      </c>
      <c r="BQ49" t="s">
        <v>184</v>
      </c>
      <c r="BR49" s="154" t="s">
        <v>160</v>
      </c>
      <c r="BS49" s="154" t="s">
        <v>160</v>
      </c>
      <c r="BT49" t="s">
        <v>214</v>
      </c>
      <c r="BU49" t="s">
        <v>218</v>
      </c>
      <c r="BV49" t="s">
        <v>164</v>
      </c>
      <c r="BW49" t="s">
        <v>164</v>
      </c>
      <c r="BX49" s="138">
        <v>28.90682</v>
      </c>
      <c r="BY49" t="s">
        <v>184</v>
      </c>
      <c r="BZ49" s="159">
        <v>3</v>
      </c>
      <c r="CA49" s="159">
        <v>3</v>
      </c>
      <c r="CB49" s="138">
        <v>3.8606210686464681</v>
      </c>
      <c r="CC49" s="138">
        <v>3.8606210686464681</v>
      </c>
      <c r="CD49" t="s">
        <v>188</v>
      </c>
      <c r="CE49" s="147">
        <f t="shared" si="13"/>
        <v>0.10423676885345463</v>
      </c>
      <c r="CF49" s="147">
        <f t="shared" si="14"/>
        <v>0.10423676885345463</v>
      </c>
      <c r="CG49" s="153" t="s">
        <v>215</v>
      </c>
      <c r="CH49" s="148" t="s">
        <v>207</v>
      </c>
      <c r="CI49" s="138">
        <v>3.7581162175822662</v>
      </c>
      <c r="CJ49" s="138" t="s">
        <v>244</v>
      </c>
      <c r="CK49" t="s">
        <v>160</v>
      </c>
      <c r="CL49" t="s">
        <v>189</v>
      </c>
      <c r="CM49" t="s">
        <v>160</v>
      </c>
      <c r="CN49" t="s">
        <v>160</v>
      </c>
      <c r="CO49" t="s">
        <v>160</v>
      </c>
      <c r="CP49" t="s">
        <v>160</v>
      </c>
      <c r="CQ49" t="s">
        <v>160</v>
      </c>
      <c r="CR49" t="s">
        <v>160</v>
      </c>
      <c r="CS49" t="s">
        <v>160</v>
      </c>
      <c r="CT49" t="s">
        <v>160</v>
      </c>
      <c r="CU49" s="134">
        <v>35</v>
      </c>
      <c r="CV49" t="s">
        <v>159</v>
      </c>
      <c r="CW49">
        <v>3</v>
      </c>
      <c r="CX49" s="149" t="s">
        <v>187</v>
      </c>
      <c r="CY49" s="157" t="s">
        <v>160</v>
      </c>
      <c r="CZ49" s="157" t="s">
        <v>160</v>
      </c>
      <c r="DA49" s="157" t="s">
        <v>160</v>
      </c>
      <c r="DB49" s="157" t="s">
        <v>160</v>
      </c>
      <c r="DC49" s="157" t="s">
        <v>160</v>
      </c>
      <c r="DD49" s="157" t="s">
        <v>160</v>
      </c>
      <c r="DE49" s="157" t="s">
        <v>160</v>
      </c>
      <c r="DF49" s="157" t="s">
        <v>160</v>
      </c>
      <c r="DG49" s="157" t="s">
        <v>160</v>
      </c>
      <c r="DH49" s="157" t="s">
        <v>160</v>
      </c>
      <c r="DI49" s="157" t="s">
        <v>160</v>
      </c>
      <c r="DJ49" s="157" t="s">
        <v>160</v>
      </c>
      <c r="DK49" s="132">
        <v>432.56244218316402</v>
      </c>
      <c r="DL49" t="s">
        <v>165</v>
      </c>
      <c r="DM49" s="153">
        <v>37.1</v>
      </c>
      <c r="DN49" t="s">
        <v>166</v>
      </c>
      <c r="DO49" s="138">
        <v>39.186234470000002</v>
      </c>
      <c r="DP49" s="154" t="s">
        <v>163</v>
      </c>
      <c r="DQ49" s="146">
        <v>0.2</v>
      </c>
      <c r="DR49" t="s">
        <v>190</v>
      </c>
      <c r="DS49" t="s">
        <v>167</v>
      </c>
      <c r="DT49" t="s">
        <v>168</v>
      </c>
      <c r="DU49">
        <v>1.0271999999999999</v>
      </c>
      <c r="DV49" t="s">
        <v>191</v>
      </c>
      <c r="DW49">
        <v>5.9999999999999995E-4</v>
      </c>
      <c r="DX49" t="s">
        <v>198</v>
      </c>
      <c r="DY49" t="s">
        <v>160</v>
      </c>
      <c r="DZ49" t="s">
        <v>160</v>
      </c>
      <c r="EA49" t="s">
        <v>192</v>
      </c>
      <c r="EB49" t="s">
        <v>169</v>
      </c>
      <c r="EC49" t="s">
        <v>170</v>
      </c>
      <c r="ED49" t="s">
        <v>170</v>
      </c>
      <c r="EE49" s="157" t="s">
        <v>160</v>
      </c>
      <c r="EF49" t="s">
        <v>160</v>
      </c>
      <c r="EG49" t="s">
        <v>160</v>
      </c>
      <c r="EH49" t="s">
        <v>171</v>
      </c>
      <c r="EI49" t="s">
        <v>193</v>
      </c>
      <c r="EJ49" t="s">
        <v>194</v>
      </c>
      <c r="EK49" s="137">
        <v>2330</v>
      </c>
      <c r="EL49" t="s">
        <v>211</v>
      </c>
      <c r="EM49">
        <v>175</v>
      </c>
      <c r="EN49">
        <v>175</v>
      </c>
      <c r="EO49" t="s">
        <v>160</v>
      </c>
      <c r="EP49" t="s">
        <v>160</v>
      </c>
      <c r="EQ49" t="s">
        <v>160</v>
      </c>
      <c r="ER49" t="s">
        <v>160</v>
      </c>
      <c r="ES49" s="138">
        <v>8.0751116491909105</v>
      </c>
      <c r="ET49" s="133" t="s">
        <v>172</v>
      </c>
      <c r="EU49" s="138">
        <v>6.2533085787739751E-2</v>
      </c>
      <c r="EV49" s="138">
        <v>6.2936628751870671E-2</v>
      </c>
      <c r="EW49" s="147">
        <v>366.53105939065603</v>
      </c>
      <c r="EX49" s="154">
        <v>21</v>
      </c>
      <c r="EY49" s="154" t="s">
        <v>195</v>
      </c>
      <c r="EZ49" s="138">
        <v>345.53105939065603</v>
      </c>
      <c r="FA49" s="138">
        <v>75.089950941278971</v>
      </c>
      <c r="FB49" s="138">
        <v>66.540707023945004</v>
      </c>
      <c r="FC49" s="156" t="s">
        <v>212</v>
      </c>
      <c r="FD49" s="156" t="s">
        <v>213</v>
      </c>
      <c r="FE49" t="s">
        <v>173</v>
      </c>
      <c r="FF49" t="s">
        <v>173</v>
      </c>
      <c r="FG49" t="s">
        <v>173</v>
      </c>
      <c r="FH49" t="s">
        <v>173</v>
      </c>
      <c r="FI49" t="s">
        <v>173</v>
      </c>
      <c r="FJ49" t="s">
        <v>173</v>
      </c>
      <c r="FK49" t="s">
        <v>173</v>
      </c>
      <c r="FL49" t="s">
        <v>173</v>
      </c>
      <c r="FM49" t="s">
        <v>173</v>
      </c>
      <c r="FN49" t="s">
        <v>173</v>
      </c>
      <c r="FO49" t="s">
        <v>173</v>
      </c>
      <c r="FP49" t="s">
        <v>173</v>
      </c>
    </row>
    <row r="50" spans="1:172" ht="18" x14ac:dyDescent="0.2">
      <c r="A50" s="126" t="s">
        <v>152</v>
      </c>
      <c r="B50" t="s">
        <v>174</v>
      </c>
      <c r="C50">
        <v>2015</v>
      </c>
      <c r="D50" t="s">
        <v>196</v>
      </c>
      <c r="E50" s="147">
        <f t="shared" si="15"/>
        <v>2978.0664059999999</v>
      </c>
      <c r="F50" s="135" t="s">
        <v>160</v>
      </c>
      <c r="G50" s="135" t="s">
        <v>160</v>
      </c>
      <c r="H50" s="147">
        <f t="shared" si="16"/>
        <v>328.215501865688</v>
      </c>
      <c r="I50" s="147">
        <f t="shared" si="17"/>
        <v>74.227430687158005</v>
      </c>
      <c r="J50" s="147">
        <f t="shared" si="18"/>
        <v>62.82922720631899</v>
      </c>
      <c r="K50" t="s">
        <v>176</v>
      </c>
      <c r="L50" s="130" t="s">
        <v>206</v>
      </c>
      <c r="M50" s="136" t="s">
        <v>175</v>
      </c>
      <c r="N50" t="s">
        <v>196</v>
      </c>
      <c r="O50" t="s">
        <v>156</v>
      </c>
      <c r="P50" s="153" t="s">
        <v>157</v>
      </c>
      <c r="Q50" s="157">
        <v>11</v>
      </c>
      <c r="R50" s="157">
        <v>2</v>
      </c>
      <c r="S50" s="157">
        <v>139</v>
      </c>
      <c r="T50" s="157">
        <v>140</v>
      </c>
      <c r="U50" s="157" t="s">
        <v>160</v>
      </c>
      <c r="V50" s="157" t="s">
        <v>160</v>
      </c>
      <c r="W50" s="157" t="s">
        <v>160</v>
      </c>
      <c r="X50" t="s">
        <v>158</v>
      </c>
      <c r="Y50" s="131">
        <v>12.75</v>
      </c>
      <c r="Z50" s="131">
        <v>-78.73</v>
      </c>
      <c r="AA50" s="131">
        <v>12.75</v>
      </c>
      <c r="AB50" s="131">
        <v>-78.73</v>
      </c>
      <c r="AC50" s="131">
        <v>-2828</v>
      </c>
      <c r="AD50" s="131">
        <v>-2828</v>
      </c>
      <c r="AE50" s="153" t="s">
        <v>160</v>
      </c>
      <c r="AF50" s="153" t="s">
        <v>160</v>
      </c>
      <c r="AG50" s="138">
        <v>2978.0664059999999</v>
      </c>
      <c r="AH50" s="2" t="s">
        <v>159</v>
      </c>
      <c r="AI50" s="153" t="s">
        <v>160</v>
      </c>
      <c r="AJ50" s="153" t="s">
        <v>160</v>
      </c>
      <c r="AK50" s="154" t="s">
        <v>160</v>
      </c>
      <c r="AL50" s="154" t="s">
        <v>177</v>
      </c>
      <c r="AM50" s="157" t="s">
        <v>160</v>
      </c>
      <c r="AN50" t="s">
        <v>160</v>
      </c>
      <c r="AO50" t="s">
        <v>160</v>
      </c>
      <c r="AP50" t="s">
        <v>160</v>
      </c>
      <c r="AQ50" t="s">
        <v>160</v>
      </c>
      <c r="AR50" t="s">
        <v>160</v>
      </c>
      <c r="AS50" t="s">
        <v>160</v>
      </c>
      <c r="AT50" t="s">
        <v>160</v>
      </c>
      <c r="AU50" s="145" t="s">
        <v>178</v>
      </c>
      <c r="AV50" t="s">
        <v>161</v>
      </c>
      <c r="AW50" s="141" t="s">
        <v>179</v>
      </c>
      <c r="AX50" s="139" t="s">
        <v>180</v>
      </c>
      <c r="AY50" s="139" t="s">
        <v>181</v>
      </c>
      <c r="AZ50" s="139" t="s">
        <v>182</v>
      </c>
      <c r="BA50" s="140" t="s">
        <v>162</v>
      </c>
      <c r="BB50" s="153" t="s">
        <v>217</v>
      </c>
      <c r="BC50" s="153" t="s">
        <v>217</v>
      </c>
      <c r="BD50" s="153" t="s">
        <v>217</v>
      </c>
      <c r="BE50" s="138">
        <v>20.02403</v>
      </c>
      <c r="BF50" t="s">
        <v>183</v>
      </c>
      <c r="BG50" s="138">
        <v>8.8352811000000003E-2</v>
      </c>
      <c r="BH50">
        <v>0.6</v>
      </c>
      <c r="BI50" t="s">
        <v>184</v>
      </c>
      <c r="BJ50" s="2">
        <v>0.08</v>
      </c>
      <c r="BK50">
        <v>8.8699999999999992</v>
      </c>
      <c r="BL50" t="s">
        <v>163</v>
      </c>
      <c r="BM50">
        <v>1.52</v>
      </c>
      <c r="BN50" t="s">
        <v>185</v>
      </c>
      <c r="BO50" t="s">
        <v>186</v>
      </c>
      <c r="BP50" s="158">
        <f t="shared" si="12"/>
        <v>18.590050000000002</v>
      </c>
      <c r="BQ50" t="s">
        <v>184</v>
      </c>
      <c r="BR50" s="154" t="s">
        <v>160</v>
      </c>
      <c r="BS50" s="154" t="s">
        <v>160</v>
      </c>
      <c r="BT50" t="s">
        <v>214</v>
      </c>
      <c r="BU50" t="s">
        <v>218</v>
      </c>
      <c r="BV50" t="s">
        <v>164</v>
      </c>
      <c r="BW50" t="s">
        <v>164</v>
      </c>
      <c r="BX50" s="138">
        <v>27.52289</v>
      </c>
      <c r="BY50" t="s">
        <v>184</v>
      </c>
      <c r="BZ50" s="159">
        <v>3</v>
      </c>
      <c r="CA50" s="159">
        <v>3</v>
      </c>
      <c r="CB50" s="138">
        <v>3.3979922890765417</v>
      </c>
      <c r="CC50" s="138">
        <v>3.3979922890765417</v>
      </c>
      <c r="CD50" t="s">
        <v>188</v>
      </c>
      <c r="CE50" s="147">
        <f t="shared" si="13"/>
        <v>9.1745791805066632E-2</v>
      </c>
      <c r="CF50" s="147">
        <f t="shared" si="14"/>
        <v>9.1745791805066632E-2</v>
      </c>
      <c r="CG50" s="153" t="s">
        <v>215</v>
      </c>
      <c r="CH50" s="148" t="s">
        <v>207</v>
      </c>
      <c r="CI50" s="138">
        <v>3.7299028180666101</v>
      </c>
      <c r="CJ50" s="138" t="s">
        <v>244</v>
      </c>
      <c r="CK50" t="s">
        <v>160</v>
      </c>
      <c r="CL50" t="s">
        <v>189</v>
      </c>
      <c r="CM50" t="s">
        <v>160</v>
      </c>
      <c r="CN50" t="s">
        <v>160</v>
      </c>
      <c r="CO50" t="s">
        <v>160</v>
      </c>
      <c r="CP50" t="s">
        <v>160</v>
      </c>
      <c r="CQ50" t="s">
        <v>160</v>
      </c>
      <c r="CR50" t="s">
        <v>160</v>
      </c>
      <c r="CS50" t="s">
        <v>160</v>
      </c>
      <c r="CT50" t="s">
        <v>160</v>
      </c>
      <c r="CU50" s="134">
        <v>35</v>
      </c>
      <c r="CV50" t="s">
        <v>159</v>
      </c>
      <c r="CW50">
        <v>3</v>
      </c>
      <c r="CX50" s="149" t="s">
        <v>187</v>
      </c>
      <c r="CY50" s="157" t="s">
        <v>160</v>
      </c>
      <c r="CZ50" s="157" t="s">
        <v>160</v>
      </c>
      <c r="DA50" s="157" t="s">
        <v>160</v>
      </c>
      <c r="DB50" s="157" t="s">
        <v>160</v>
      </c>
      <c r="DC50" s="157" t="s">
        <v>160</v>
      </c>
      <c r="DD50" s="157" t="s">
        <v>160</v>
      </c>
      <c r="DE50" s="157" t="s">
        <v>160</v>
      </c>
      <c r="DF50" s="157" t="s">
        <v>160</v>
      </c>
      <c r="DG50" s="157" t="s">
        <v>160</v>
      </c>
      <c r="DH50" s="157" t="s">
        <v>160</v>
      </c>
      <c r="DI50" s="157" t="s">
        <v>160</v>
      </c>
      <c r="DJ50" s="157" t="s">
        <v>160</v>
      </c>
      <c r="DK50" s="132">
        <v>432.56244218316402</v>
      </c>
      <c r="DL50" t="s">
        <v>165</v>
      </c>
      <c r="DM50" s="153">
        <v>37.1</v>
      </c>
      <c r="DN50" t="s">
        <v>166</v>
      </c>
      <c r="DO50" s="138">
        <v>39.183836249999999</v>
      </c>
      <c r="DP50" s="154" t="s">
        <v>163</v>
      </c>
      <c r="DQ50" s="146">
        <v>0.2</v>
      </c>
      <c r="DR50" t="s">
        <v>190</v>
      </c>
      <c r="DS50" t="s">
        <v>167</v>
      </c>
      <c r="DT50" t="s">
        <v>168</v>
      </c>
      <c r="DU50">
        <v>1.0271999999999999</v>
      </c>
      <c r="DV50" t="s">
        <v>191</v>
      </c>
      <c r="DW50">
        <v>5.9999999999999995E-4</v>
      </c>
      <c r="DX50" t="s">
        <v>198</v>
      </c>
      <c r="DY50" t="s">
        <v>160</v>
      </c>
      <c r="DZ50" t="s">
        <v>160</v>
      </c>
      <c r="EA50" t="s">
        <v>192</v>
      </c>
      <c r="EB50" t="s">
        <v>169</v>
      </c>
      <c r="EC50" t="s">
        <v>170</v>
      </c>
      <c r="ED50" t="s">
        <v>170</v>
      </c>
      <c r="EE50" s="157" t="s">
        <v>160</v>
      </c>
      <c r="EF50" t="s">
        <v>160</v>
      </c>
      <c r="EG50" t="s">
        <v>160</v>
      </c>
      <c r="EH50" t="s">
        <v>171</v>
      </c>
      <c r="EI50" t="s">
        <v>193</v>
      </c>
      <c r="EJ50" t="s">
        <v>194</v>
      </c>
      <c r="EK50" s="137">
        <v>2330</v>
      </c>
      <c r="EL50" t="s">
        <v>211</v>
      </c>
      <c r="EM50">
        <v>175</v>
      </c>
      <c r="EN50">
        <v>175</v>
      </c>
      <c r="EO50" t="s">
        <v>160</v>
      </c>
      <c r="EP50" t="s">
        <v>160</v>
      </c>
      <c r="EQ50" t="s">
        <v>160</v>
      </c>
      <c r="ER50" t="s">
        <v>160</v>
      </c>
      <c r="ES50" s="138">
        <v>8.0936998354908791</v>
      </c>
      <c r="ET50" s="133" t="s">
        <v>172</v>
      </c>
      <c r="EU50" s="138">
        <v>6.2661007228731691E-2</v>
      </c>
      <c r="EV50" s="138">
        <v>6.3550379977918681E-2</v>
      </c>
      <c r="EW50" s="147">
        <v>349.215501865688</v>
      </c>
      <c r="EX50" s="154">
        <v>21</v>
      </c>
      <c r="EY50" s="154" t="s">
        <v>195</v>
      </c>
      <c r="EZ50" s="138">
        <v>328.215501865688</v>
      </c>
      <c r="FA50" s="138">
        <v>74.227430687158005</v>
      </c>
      <c r="FB50" s="138">
        <v>62.82922720631899</v>
      </c>
      <c r="FC50" s="156" t="s">
        <v>212</v>
      </c>
      <c r="FD50" s="156" t="s">
        <v>213</v>
      </c>
      <c r="FE50" t="s">
        <v>173</v>
      </c>
      <c r="FF50" t="s">
        <v>173</v>
      </c>
      <c r="FG50" t="s">
        <v>173</v>
      </c>
      <c r="FH50" t="s">
        <v>173</v>
      </c>
      <c r="FI50" t="s">
        <v>173</v>
      </c>
      <c r="FJ50" t="s">
        <v>173</v>
      </c>
      <c r="FK50" t="s">
        <v>173</v>
      </c>
      <c r="FL50" t="s">
        <v>173</v>
      </c>
      <c r="FM50" t="s">
        <v>173</v>
      </c>
      <c r="FN50" t="s">
        <v>173</v>
      </c>
      <c r="FO50" t="s">
        <v>173</v>
      </c>
      <c r="FP50" t="s">
        <v>173</v>
      </c>
    </row>
    <row r="51" spans="1:172" ht="18" x14ac:dyDescent="0.2">
      <c r="A51" s="126" t="s">
        <v>152</v>
      </c>
      <c r="B51" t="s">
        <v>174</v>
      </c>
      <c r="C51">
        <v>2015</v>
      </c>
      <c r="D51" t="s">
        <v>196</v>
      </c>
      <c r="E51" s="147">
        <f t="shared" si="15"/>
        <v>3002.813721</v>
      </c>
      <c r="F51" s="135" t="s">
        <v>160</v>
      </c>
      <c r="G51" s="135" t="s">
        <v>160</v>
      </c>
      <c r="H51" s="147">
        <f t="shared" si="16"/>
        <v>368.95837951399801</v>
      </c>
      <c r="I51" s="147">
        <f t="shared" si="17"/>
        <v>84.078573073954999</v>
      </c>
      <c r="J51" s="147">
        <f t="shared" si="18"/>
        <v>71.524289677140985</v>
      </c>
      <c r="K51" t="s">
        <v>176</v>
      </c>
      <c r="L51" s="130" t="s">
        <v>206</v>
      </c>
      <c r="M51" s="136" t="s">
        <v>175</v>
      </c>
      <c r="N51" t="s">
        <v>196</v>
      </c>
      <c r="O51" t="s">
        <v>156</v>
      </c>
      <c r="P51" s="153" t="s">
        <v>157</v>
      </c>
      <c r="Q51" s="157">
        <v>11</v>
      </c>
      <c r="R51" s="157">
        <v>3</v>
      </c>
      <c r="S51" s="157">
        <v>90</v>
      </c>
      <c r="T51" s="157">
        <v>92</v>
      </c>
      <c r="U51" s="157" t="s">
        <v>160</v>
      </c>
      <c r="V51" s="157" t="s">
        <v>160</v>
      </c>
      <c r="W51" s="157" t="s">
        <v>160</v>
      </c>
      <c r="X51" t="s">
        <v>158</v>
      </c>
      <c r="Y51" s="131">
        <v>12.75</v>
      </c>
      <c r="Z51" s="131">
        <v>-78.73</v>
      </c>
      <c r="AA51" s="131">
        <v>12.75</v>
      </c>
      <c r="AB51" s="131">
        <v>-78.73</v>
      </c>
      <c r="AC51" s="131">
        <v>-2828</v>
      </c>
      <c r="AD51" s="131">
        <v>-2828</v>
      </c>
      <c r="AE51" s="153" t="s">
        <v>160</v>
      </c>
      <c r="AF51" s="153" t="s">
        <v>160</v>
      </c>
      <c r="AG51" s="138">
        <v>3002.813721</v>
      </c>
      <c r="AH51" s="2" t="s">
        <v>159</v>
      </c>
      <c r="AI51" s="153" t="s">
        <v>160</v>
      </c>
      <c r="AJ51" s="153" t="s">
        <v>160</v>
      </c>
      <c r="AK51" s="154" t="s">
        <v>160</v>
      </c>
      <c r="AL51" s="154" t="s">
        <v>177</v>
      </c>
      <c r="AM51" s="157" t="s">
        <v>160</v>
      </c>
      <c r="AN51" t="s">
        <v>160</v>
      </c>
      <c r="AO51" t="s">
        <v>160</v>
      </c>
      <c r="AP51" t="s">
        <v>160</v>
      </c>
      <c r="AQ51" t="s">
        <v>160</v>
      </c>
      <c r="AR51" t="s">
        <v>160</v>
      </c>
      <c r="AS51" t="s">
        <v>160</v>
      </c>
      <c r="AT51" t="s">
        <v>160</v>
      </c>
      <c r="AU51" s="145" t="s">
        <v>178</v>
      </c>
      <c r="AV51" t="s">
        <v>161</v>
      </c>
      <c r="AW51" s="141" t="s">
        <v>179</v>
      </c>
      <c r="AX51" s="141" t="s">
        <v>180</v>
      </c>
      <c r="AY51" s="139" t="s">
        <v>181</v>
      </c>
      <c r="AZ51" s="139" t="s">
        <v>182</v>
      </c>
      <c r="BA51" t="s">
        <v>162</v>
      </c>
      <c r="BB51" s="153" t="s">
        <v>217</v>
      </c>
      <c r="BC51" s="153" t="s">
        <v>217</v>
      </c>
      <c r="BD51" s="153" t="s">
        <v>217</v>
      </c>
      <c r="BE51" s="138">
        <v>19.742699999999999</v>
      </c>
      <c r="BF51" t="s">
        <v>183</v>
      </c>
      <c r="BG51" s="138">
        <v>0.10188934500000001</v>
      </c>
      <c r="BH51">
        <v>0.6</v>
      </c>
      <c r="BI51" t="s">
        <v>184</v>
      </c>
      <c r="BJ51" s="2">
        <v>0.08</v>
      </c>
      <c r="BK51">
        <v>8.8699999999999992</v>
      </c>
      <c r="BL51" t="s">
        <v>163</v>
      </c>
      <c r="BM51">
        <v>1.52</v>
      </c>
      <c r="BN51" t="s">
        <v>185</v>
      </c>
      <c r="BO51" t="s">
        <v>186</v>
      </c>
      <c r="BP51" s="158">
        <f t="shared" si="12"/>
        <v>18.121166666666667</v>
      </c>
      <c r="BQ51" t="s">
        <v>184</v>
      </c>
      <c r="BR51" s="154" t="s">
        <v>160</v>
      </c>
      <c r="BS51" s="154" t="s">
        <v>160</v>
      </c>
      <c r="BT51" t="s">
        <v>214</v>
      </c>
      <c r="BU51" t="s">
        <v>218</v>
      </c>
      <c r="BV51" t="s">
        <v>164</v>
      </c>
      <c r="BW51" t="s">
        <v>164</v>
      </c>
      <c r="BX51" s="138">
        <v>27.160779999999999</v>
      </c>
      <c r="BY51" t="s">
        <v>184</v>
      </c>
      <c r="BZ51" s="159">
        <v>3</v>
      </c>
      <c r="CA51" s="159">
        <v>3</v>
      </c>
      <c r="CB51" s="138">
        <v>3.2754998282475962</v>
      </c>
      <c r="CC51" s="138">
        <v>3.2754998282475962</v>
      </c>
      <c r="CD51" t="s">
        <v>188</v>
      </c>
      <c r="CE51" s="147">
        <f t="shared" si="13"/>
        <v>8.8438495362685096E-2</v>
      </c>
      <c r="CF51" s="147">
        <f t="shared" si="14"/>
        <v>8.8438495362685096E-2</v>
      </c>
      <c r="CG51" s="153" t="s">
        <v>215</v>
      </c>
      <c r="CH51" s="148" t="s">
        <v>207</v>
      </c>
      <c r="CI51" s="138">
        <v>3.6925701104362649</v>
      </c>
      <c r="CJ51" s="138" t="s">
        <v>244</v>
      </c>
      <c r="CK51" t="s">
        <v>160</v>
      </c>
      <c r="CL51" t="s">
        <v>189</v>
      </c>
      <c r="CM51" t="s">
        <v>160</v>
      </c>
      <c r="CN51" t="s">
        <v>160</v>
      </c>
      <c r="CO51" t="s">
        <v>160</v>
      </c>
      <c r="CP51" t="s">
        <v>160</v>
      </c>
      <c r="CQ51" t="s">
        <v>160</v>
      </c>
      <c r="CR51" t="s">
        <v>160</v>
      </c>
      <c r="CS51" t="s">
        <v>160</v>
      </c>
      <c r="CT51" t="s">
        <v>160</v>
      </c>
      <c r="CU51" s="134">
        <v>35</v>
      </c>
      <c r="CV51" t="s">
        <v>159</v>
      </c>
      <c r="CW51">
        <v>3</v>
      </c>
      <c r="CX51" s="149" t="s">
        <v>187</v>
      </c>
      <c r="CY51" s="157" t="s">
        <v>160</v>
      </c>
      <c r="CZ51" s="157" t="s">
        <v>160</v>
      </c>
      <c r="DA51" s="157" t="s">
        <v>160</v>
      </c>
      <c r="DB51" s="157" t="s">
        <v>160</v>
      </c>
      <c r="DC51" s="157" t="s">
        <v>160</v>
      </c>
      <c r="DD51" s="157" t="s">
        <v>160</v>
      </c>
      <c r="DE51" s="157" t="s">
        <v>160</v>
      </c>
      <c r="DF51" s="157" t="s">
        <v>160</v>
      </c>
      <c r="DG51" s="157" t="s">
        <v>160</v>
      </c>
      <c r="DH51" s="157" t="s">
        <v>160</v>
      </c>
      <c r="DI51" s="157" t="s">
        <v>160</v>
      </c>
      <c r="DJ51" s="157" t="s">
        <v>160</v>
      </c>
      <c r="DK51" s="132">
        <v>432.56244218316402</v>
      </c>
      <c r="DL51" t="s">
        <v>165</v>
      </c>
      <c r="DM51" s="153">
        <v>37.1</v>
      </c>
      <c r="DN51" t="s">
        <v>166</v>
      </c>
      <c r="DO51" s="138">
        <v>39.180069799999998</v>
      </c>
      <c r="DP51" s="154" t="s">
        <v>163</v>
      </c>
      <c r="DQ51" s="146">
        <v>0.2</v>
      </c>
      <c r="DR51" t="s">
        <v>190</v>
      </c>
      <c r="DS51" t="s">
        <v>167</v>
      </c>
      <c r="DT51" t="s">
        <v>168</v>
      </c>
      <c r="DU51">
        <v>1.0271999999999999</v>
      </c>
      <c r="DV51" t="s">
        <v>191</v>
      </c>
      <c r="DW51">
        <v>5.9999999999999995E-4</v>
      </c>
      <c r="DX51" t="s">
        <v>198</v>
      </c>
      <c r="DY51" t="s">
        <v>160</v>
      </c>
      <c r="DZ51" t="s">
        <v>160</v>
      </c>
      <c r="EA51" t="s">
        <v>192</v>
      </c>
      <c r="EB51" t="s">
        <v>169</v>
      </c>
      <c r="EC51" t="s">
        <v>170</v>
      </c>
      <c r="ED51" t="s">
        <v>170</v>
      </c>
      <c r="EE51" s="157" t="s">
        <v>160</v>
      </c>
      <c r="EF51" t="s">
        <v>160</v>
      </c>
      <c r="EG51" t="s">
        <v>160</v>
      </c>
      <c r="EH51" t="s">
        <v>171</v>
      </c>
      <c r="EI51" t="s">
        <v>193</v>
      </c>
      <c r="EJ51" t="s">
        <v>194</v>
      </c>
      <c r="EK51" s="137">
        <v>2330</v>
      </c>
      <c r="EL51" t="s">
        <v>211</v>
      </c>
      <c r="EM51">
        <v>175</v>
      </c>
      <c r="EN51">
        <v>175</v>
      </c>
      <c r="EO51" t="s">
        <v>160</v>
      </c>
      <c r="EP51" t="s">
        <v>160</v>
      </c>
      <c r="EQ51" t="s">
        <v>160</v>
      </c>
      <c r="ER51" t="s">
        <v>160</v>
      </c>
      <c r="ES51" s="138">
        <v>8.0558435366009995</v>
      </c>
      <c r="ET51" s="133" t="s">
        <v>172</v>
      </c>
      <c r="EU51" s="138">
        <v>6.4555020358040949E-2</v>
      </c>
      <c r="EV51" s="138">
        <v>6.4826547144009261E-2</v>
      </c>
      <c r="EW51" s="147">
        <v>389.95837951399801</v>
      </c>
      <c r="EX51" s="154">
        <v>21</v>
      </c>
      <c r="EY51" s="154" t="s">
        <v>195</v>
      </c>
      <c r="EZ51" s="138">
        <v>368.95837951399801</v>
      </c>
      <c r="FA51" s="138">
        <v>84.078573073954999</v>
      </c>
      <c r="FB51" s="138">
        <v>71.524289677140985</v>
      </c>
      <c r="FC51" s="156" t="s">
        <v>212</v>
      </c>
      <c r="FD51" s="156" t="s">
        <v>213</v>
      </c>
      <c r="FE51" t="s">
        <v>173</v>
      </c>
      <c r="FF51" t="s">
        <v>173</v>
      </c>
      <c r="FG51" t="s">
        <v>173</v>
      </c>
      <c r="FH51" t="s">
        <v>173</v>
      </c>
      <c r="FI51" t="s">
        <v>173</v>
      </c>
      <c r="FJ51" t="s">
        <v>173</v>
      </c>
      <c r="FK51" t="s">
        <v>173</v>
      </c>
      <c r="FL51" t="s">
        <v>173</v>
      </c>
      <c r="FM51" t="s">
        <v>173</v>
      </c>
      <c r="FN51" t="s">
        <v>173</v>
      </c>
      <c r="FO51" t="s">
        <v>173</v>
      </c>
      <c r="FP51" t="s">
        <v>173</v>
      </c>
    </row>
    <row r="52" spans="1:172" ht="18" x14ac:dyDescent="0.2">
      <c r="A52" s="126" t="s">
        <v>152</v>
      </c>
      <c r="B52" t="s">
        <v>174</v>
      </c>
      <c r="C52">
        <v>2015</v>
      </c>
      <c r="D52" t="s">
        <v>196</v>
      </c>
      <c r="E52" s="147">
        <f t="shared" si="15"/>
        <v>3010.9960940000001</v>
      </c>
      <c r="F52" s="135" t="s">
        <v>160</v>
      </c>
      <c r="G52" s="135" t="s">
        <v>160</v>
      </c>
      <c r="H52" s="147">
        <f t="shared" si="16"/>
        <v>356.95100904339199</v>
      </c>
      <c r="I52" s="147">
        <f t="shared" si="17"/>
        <v>79.128188583215035</v>
      </c>
      <c r="J52" s="147">
        <f t="shared" si="18"/>
        <v>70.480251884398001</v>
      </c>
      <c r="K52" t="s">
        <v>176</v>
      </c>
      <c r="L52" s="130" t="s">
        <v>206</v>
      </c>
      <c r="M52" s="136" t="s">
        <v>175</v>
      </c>
      <c r="N52" t="s">
        <v>196</v>
      </c>
      <c r="O52" t="s">
        <v>156</v>
      </c>
      <c r="P52" s="153" t="s">
        <v>157</v>
      </c>
      <c r="Q52" s="171">
        <v>11</v>
      </c>
      <c r="R52" s="171">
        <v>3</v>
      </c>
      <c r="S52" s="171">
        <v>123</v>
      </c>
      <c r="T52" s="171">
        <v>125</v>
      </c>
      <c r="U52" s="157" t="s">
        <v>160</v>
      </c>
      <c r="V52" s="157" t="s">
        <v>160</v>
      </c>
      <c r="W52" s="157" t="s">
        <v>160</v>
      </c>
      <c r="X52" t="s">
        <v>158</v>
      </c>
      <c r="Y52" s="131">
        <v>12.75</v>
      </c>
      <c r="Z52" s="131">
        <v>-78.73</v>
      </c>
      <c r="AA52" s="131">
        <v>12.75</v>
      </c>
      <c r="AB52" s="131">
        <v>-78.73</v>
      </c>
      <c r="AC52" s="131">
        <v>-2828</v>
      </c>
      <c r="AD52" s="131">
        <v>-2828</v>
      </c>
      <c r="AE52" s="153" t="s">
        <v>160</v>
      </c>
      <c r="AF52" s="153" t="s">
        <v>160</v>
      </c>
      <c r="AG52" s="138">
        <v>3010.9960940000001</v>
      </c>
      <c r="AH52" s="2" t="s">
        <v>159</v>
      </c>
      <c r="AI52" s="153" t="s">
        <v>160</v>
      </c>
      <c r="AJ52" s="153" t="s">
        <v>160</v>
      </c>
      <c r="AK52" s="154" t="s">
        <v>160</v>
      </c>
      <c r="AL52" s="154" t="s">
        <v>177</v>
      </c>
      <c r="AM52" s="157" t="s">
        <v>160</v>
      </c>
      <c r="AN52" t="s">
        <v>160</v>
      </c>
      <c r="AO52" t="s">
        <v>160</v>
      </c>
      <c r="AP52" t="s">
        <v>160</v>
      </c>
      <c r="AQ52" t="s">
        <v>160</v>
      </c>
      <c r="AR52" t="s">
        <v>160</v>
      </c>
      <c r="AS52" t="s">
        <v>160</v>
      </c>
      <c r="AT52" t="s">
        <v>160</v>
      </c>
      <c r="AU52" s="145" t="s">
        <v>178</v>
      </c>
      <c r="AV52" t="s">
        <v>161</v>
      </c>
      <c r="AW52" s="141" t="s">
        <v>179</v>
      </c>
      <c r="AX52" s="139" t="s">
        <v>180</v>
      </c>
      <c r="AY52" s="139" t="s">
        <v>181</v>
      </c>
      <c r="AZ52" s="139" t="s">
        <v>182</v>
      </c>
      <c r="BA52" s="140" t="s">
        <v>162</v>
      </c>
      <c r="BB52" s="153" t="s">
        <v>217</v>
      </c>
      <c r="BC52" s="153" t="s">
        <v>217</v>
      </c>
      <c r="BD52" s="153" t="s">
        <v>217</v>
      </c>
      <c r="BE52" s="138">
        <v>19.7928</v>
      </c>
      <c r="BF52" t="s">
        <v>183</v>
      </c>
      <c r="BG52" s="138">
        <v>0.10640801499999999</v>
      </c>
      <c r="BH52">
        <v>0.6</v>
      </c>
      <c r="BI52" t="s">
        <v>184</v>
      </c>
      <c r="BJ52" s="2">
        <v>0.08</v>
      </c>
      <c r="BK52">
        <v>8.8699999999999992</v>
      </c>
      <c r="BL52" t="s">
        <v>163</v>
      </c>
      <c r="BM52">
        <v>1.52</v>
      </c>
      <c r="BN52" t="s">
        <v>185</v>
      </c>
      <c r="BO52" t="s">
        <v>186</v>
      </c>
      <c r="BP52" s="158">
        <f t="shared" si="12"/>
        <v>18.204666666666668</v>
      </c>
      <c r="BQ52" t="s">
        <v>184</v>
      </c>
      <c r="BR52" s="154" t="s">
        <v>160</v>
      </c>
      <c r="BS52" s="154" t="s">
        <v>160</v>
      </c>
      <c r="BT52" t="s">
        <v>214</v>
      </c>
      <c r="BU52" t="s">
        <v>218</v>
      </c>
      <c r="BV52" t="s">
        <v>164</v>
      </c>
      <c r="BW52" t="s">
        <v>164</v>
      </c>
      <c r="BX52" s="138">
        <v>26.847490000000001</v>
      </c>
      <c r="BY52" t="s">
        <v>184</v>
      </c>
      <c r="BZ52" s="159">
        <v>3</v>
      </c>
      <c r="CA52" s="159">
        <v>3</v>
      </c>
      <c r="CB52" s="138">
        <v>3.1801489139419252</v>
      </c>
      <c r="CC52" s="138">
        <v>3.1801489139419252</v>
      </c>
      <c r="CD52" t="s">
        <v>188</v>
      </c>
      <c r="CE52" s="147">
        <f t="shared" si="13"/>
        <v>8.5864020676431979E-2</v>
      </c>
      <c r="CF52" s="147">
        <f t="shared" si="14"/>
        <v>8.5864020676431979E-2</v>
      </c>
      <c r="CG52" s="153" t="s">
        <v>215</v>
      </c>
      <c r="CH52" s="148" t="s">
        <v>207</v>
      </c>
      <c r="CI52" s="138">
        <v>3.6804643829602885</v>
      </c>
      <c r="CJ52" s="138" t="s">
        <v>244</v>
      </c>
      <c r="CK52" t="s">
        <v>160</v>
      </c>
      <c r="CL52" t="s">
        <v>189</v>
      </c>
      <c r="CM52" t="s">
        <v>160</v>
      </c>
      <c r="CN52" t="s">
        <v>160</v>
      </c>
      <c r="CO52" t="s">
        <v>160</v>
      </c>
      <c r="CP52" t="s">
        <v>160</v>
      </c>
      <c r="CQ52" t="s">
        <v>160</v>
      </c>
      <c r="CR52" t="s">
        <v>160</v>
      </c>
      <c r="CS52" t="s">
        <v>160</v>
      </c>
      <c r="CT52" t="s">
        <v>160</v>
      </c>
      <c r="CU52" s="134">
        <v>35</v>
      </c>
      <c r="CV52" t="s">
        <v>159</v>
      </c>
      <c r="CW52">
        <v>3</v>
      </c>
      <c r="CX52" s="149" t="s">
        <v>187</v>
      </c>
      <c r="CY52" s="157" t="s">
        <v>160</v>
      </c>
      <c r="CZ52" s="157" t="s">
        <v>160</v>
      </c>
      <c r="DA52" s="157" t="s">
        <v>160</v>
      </c>
      <c r="DB52" s="157" t="s">
        <v>160</v>
      </c>
      <c r="DC52" s="157" t="s">
        <v>160</v>
      </c>
      <c r="DD52" s="157" t="s">
        <v>160</v>
      </c>
      <c r="DE52" s="157" t="s">
        <v>160</v>
      </c>
      <c r="DF52" s="157" t="s">
        <v>160</v>
      </c>
      <c r="DG52" s="157" t="s">
        <v>160</v>
      </c>
      <c r="DH52" s="157" t="s">
        <v>160</v>
      </c>
      <c r="DI52" s="157" t="s">
        <v>160</v>
      </c>
      <c r="DJ52" s="157" t="s">
        <v>160</v>
      </c>
      <c r="DK52" s="132">
        <v>432.56244218316402</v>
      </c>
      <c r="DL52" t="s">
        <v>165</v>
      </c>
      <c r="DM52" s="153">
        <v>37.1</v>
      </c>
      <c r="DN52" t="s">
        <v>166</v>
      </c>
      <c r="DO52" s="138">
        <v>39.178866339999999</v>
      </c>
      <c r="DP52" s="154" t="s">
        <v>163</v>
      </c>
      <c r="DQ52" s="146">
        <v>0.2</v>
      </c>
      <c r="DR52" t="s">
        <v>190</v>
      </c>
      <c r="DS52" t="s">
        <v>167</v>
      </c>
      <c r="DT52" t="s">
        <v>168</v>
      </c>
      <c r="DU52">
        <v>1.0271999999999999</v>
      </c>
      <c r="DV52" t="s">
        <v>191</v>
      </c>
      <c r="DW52">
        <v>5.9999999999999995E-4</v>
      </c>
      <c r="DX52" t="s">
        <v>198</v>
      </c>
      <c r="DY52" t="s">
        <v>160</v>
      </c>
      <c r="DZ52" t="s">
        <v>160</v>
      </c>
      <c r="EA52" t="s">
        <v>192</v>
      </c>
      <c r="EB52" t="s">
        <v>169</v>
      </c>
      <c r="EC52" t="s">
        <v>170</v>
      </c>
      <c r="ED52" t="s">
        <v>170</v>
      </c>
      <c r="EE52" s="157" t="s">
        <v>160</v>
      </c>
      <c r="EF52" t="s">
        <v>160</v>
      </c>
      <c r="EG52" t="s">
        <v>160</v>
      </c>
      <c r="EH52" t="s">
        <v>171</v>
      </c>
      <c r="EI52" t="s">
        <v>193</v>
      </c>
      <c r="EJ52" t="s">
        <v>194</v>
      </c>
      <c r="EK52" s="137">
        <v>2330</v>
      </c>
      <c r="EL52" t="s">
        <v>211</v>
      </c>
      <c r="EM52">
        <v>175</v>
      </c>
      <c r="EN52">
        <v>175</v>
      </c>
      <c r="EO52" t="s">
        <v>160</v>
      </c>
      <c r="EP52" t="s">
        <v>160</v>
      </c>
      <c r="EQ52" t="s">
        <v>160</v>
      </c>
      <c r="ER52" t="s">
        <v>160</v>
      </c>
      <c r="ES52" s="138">
        <v>8.0670262522862206</v>
      </c>
      <c r="ET52" s="133" t="s">
        <v>172</v>
      </c>
      <c r="EU52" s="138">
        <v>6.472825810302929E-2</v>
      </c>
      <c r="EV52" s="138">
        <v>6.4974158205270527E-2</v>
      </c>
      <c r="EW52" s="147">
        <v>377.95100904339199</v>
      </c>
      <c r="EX52" s="154">
        <v>21</v>
      </c>
      <c r="EY52" s="154" t="s">
        <v>195</v>
      </c>
      <c r="EZ52" s="138">
        <v>356.95100904339199</v>
      </c>
      <c r="FA52" s="138">
        <v>79.128188583215035</v>
      </c>
      <c r="FB52" s="138">
        <v>70.480251884398001</v>
      </c>
      <c r="FC52" s="156" t="s">
        <v>212</v>
      </c>
      <c r="FD52" s="156" t="s">
        <v>213</v>
      </c>
      <c r="FE52" t="s">
        <v>173</v>
      </c>
      <c r="FF52" t="s">
        <v>173</v>
      </c>
      <c r="FG52" t="s">
        <v>173</v>
      </c>
      <c r="FH52" t="s">
        <v>173</v>
      </c>
      <c r="FI52" t="s">
        <v>173</v>
      </c>
      <c r="FJ52" t="s">
        <v>173</v>
      </c>
      <c r="FK52" t="s">
        <v>173</v>
      </c>
      <c r="FL52" t="s">
        <v>173</v>
      </c>
      <c r="FM52" t="s">
        <v>173</v>
      </c>
      <c r="FN52" t="s">
        <v>173</v>
      </c>
      <c r="FO52" t="s">
        <v>173</v>
      </c>
      <c r="FP52" t="s">
        <v>173</v>
      </c>
    </row>
    <row r="53" spans="1:172" ht="18" x14ac:dyDescent="0.2">
      <c r="A53" s="126" t="s">
        <v>152</v>
      </c>
      <c r="B53" t="s">
        <v>174</v>
      </c>
      <c r="C53">
        <v>2015</v>
      </c>
      <c r="D53" t="s">
        <v>196</v>
      </c>
      <c r="E53" s="147">
        <f t="shared" si="15"/>
        <v>3027.5815429999998</v>
      </c>
      <c r="F53" s="135" t="s">
        <v>160</v>
      </c>
      <c r="G53" s="135" t="s">
        <v>160</v>
      </c>
      <c r="H53" s="147">
        <f t="shared" si="16"/>
        <v>380.918887838052</v>
      </c>
      <c r="I53" s="147">
        <f t="shared" si="17"/>
        <v>85.975700230316988</v>
      </c>
      <c r="J53" s="147">
        <f t="shared" si="18"/>
        <v>74.397271888355021</v>
      </c>
      <c r="K53" t="s">
        <v>176</v>
      </c>
      <c r="L53" s="130" t="s">
        <v>206</v>
      </c>
      <c r="M53" s="136" t="s">
        <v>175</v>
      </c>
      <c r="N53" t="s">
        <v>196</v>
      </c>
      <c r="O53" t="s">
        <v>156</v>
      </c>
      <c r="P53" s="153" t="s">
        <v>157</v>
      </c>
      <c r="Q53" s="157">
        <v>11</v>
      </c>
      <c r="R53" s="157">
        <v>4</v>
      </c>
      <c r="S53" s="157">
        <v>37</v>
      </c>
      <c r="T53" s="157">
        <v>39</v>
      </c>
      <c r="U53" s="157" t="s">
        <v>160</v>
      </c>
      <c r="V53" s="157" t="s">
        <v>160</v>
      </c>
      <c r="W53" s="157" t="s">
        <v>160</v>
      </c>
      <c r="X53" t="s">
        <v>158</v>
      </c>
      <c r="Y53" s="131">
        <v>12.75</v>
      </c>
      <c r="Z53" s="131">
        <v>-78.73</v>
      </c>
      <c r="AA53" s="131">
        <v>12.75</v>
      </c>
      <c r="AB53" s="131">
        <v>-78.73</v>
      </c>
      <c r="AC53" s="131">
        <v>-2828</v>
      </c>
      <c r="AD53" s="131">
        <v>-2828</v>
      </c>
      <c r="AE53" s="153" t="s">
        <v>160</v>
      </c>
      <c r="AF53" s="153" t="s">
        <v>160</v>
      </c>
      <c r="AG53" s="138">
        <v>3027.5815429999998</v>
      </c>
      <c r="AH53" s="2" t="s">
        <v>159</v>
      </c>
      <c r="AI53" s="153" t="s">
        <v>160</v>
      </c>
      <c r="AJ53" s="153" t="s">
        <v>160</v>
      </c>
      <c r="AK53" s="154" t="s">
        <v>160</v>
      </c>
      <c r="AL53" s="154" t="s">
        <v>177</v>
      </c>
      <c r="AM53" s="157" t="s">
        <v>160</v>
      </c>
      <c r="AN53" t="s">
        <v>160</v>
      </c>
      <c r="AO53" t="s">
        <v>160</v>
      </c>
      <c r="AP53" t="s">
        <v>160</v>
      </c>
      <c r="AQ53" t="s">
        <v>160</v>
      </c>
      <c r="AR53" t="s">
        <v>160</v>
      </c>
      <c r="AS53" t="s">
        <v>160</v>
      </c>
      <c r="AT53" t="s">
        <v>160</v>
      </c>
      <c r="AU53" s="145" t="s">
        <v>178</v>
      </c>
      <c r="AV53" t="s">
        <v>161</v>
      </c>
      <c r="AW53" s="141" t="s">
        <v>179</v>
      </c>
      <c r="AX53" s="141" t="s">
        <v>180</v>
      </c>
      <c r="AY53" s="139" t="s">
        <v>181</v>
      </c>
      <c r="AZ53" s="139" t="s">
        <v>182</v>
      </c>
      <c r="BA53" t="s">
        <v>162</v>
      </c>
      <c r="BB53" s="153" t="s">
        <v>217</v>
      </c>
      <c r="BC53" s="153" t="s">
        <v>217</v>
      </c>
      <c r="BD53" s="153" t="s">
        <v>217</v>
      </c>
      <c r="BE53" s="138">
        <v>19.65352</v>
      </c>
      <c r="BF53" t="s">
        <v>183</v>
      </c>
      <c r="BG53" s="138">
        <v>9.5820127000000005E-2</v>
      </c>
      <c r="BH53">
        <v>0.6</v>
      </c>
      <c r="BI53" t="s">
        <v>184</v>
      </c>
      <c r="BJ53" s="2">
        <v>0.08</v>
      </c>
      <c r="BK53">
        <v>8.8699999999999992</v>
      </c>
      <c r="BL53" t="s">
        <v>163</v>
      </c>
      <c r="BM53">
        <v>1.52</v>
      </c>
      <c r="BN53" t="s">
        <v>185</v>
      </c>
      <c r="BO53" t="s">
        <v>186</v>
      </c>
      <c r="BP53" s="158">
        <f t="shared" si="12"/>
        <v>17.972533333333335</v>
      </c>
      <c r="BQ53" t="s">
        <v>184</v>
      </c>
      <c r="BR53" s="154" t="s">
        <v>160</v>
      </c>
      <c r="BS53" s="154" t="s">
        <v>160</v>
      </c>
      <c r="BT53" t="s">
        <v>214</v>
      </c>
      <c r="BU53" t="s">
        <v>218</v>
      </c>
      <c r="BV53" t="s">
        <v>164</v>
      </c>
      <c r="BW53" t="s">
        <v>164</v>
      </c>
      <c r="BX53" s="138">
        <v>26.892430000000001</v>
      </c>
      <c r="BY53" t="s">
        <v>184</v>
      </c>
      <c r="BZ53" s="159">
        <v>3</v>
      </c>
      <c r="CA53" s="159">
        <v>3</v>
      </c>
      <c r="CB53" s="138">
        <v>3.1843857901523953</v>
      </c>
      <c r="CC53" s="138">
        <v>3.1843857901523953</v>
      </c>
      <c r="CD53" t="s">
        <v>188</v>
      </c>
      <c r="CE53" s="147">
        <f t="shared" si="13"/>
        <v>8.5978416334114668E-2</v>
      </c>
      <c r="CF53" s="147">
        <f t="shared" si="14"/>
        <v>8.5978416334114668E-2</v>
      </c>
      <c r="CG53" s="153" t="s">
        <v>215</v>
      </c>
      <c r="CH53" s="148" t="s">
        <v>207</v>
      </c>
      <c r="CI53" s="138">
        <v>3.6561891127216248</v>
      </c>
      <c r="CJ53" s="138" t="s">
        <v>244</v>
      </c>
      <c r="CK53" t="s">
        <v>160</v>
      </c>
      <c r="CL53" t="s">
        <v>189</v>
      </c>
      <c r="CM53" t="s">
        <v>160</v>
      </c>
      <c r="CN53" t="s">
        <v>160</v>
      </c>
      <c r="CO53" t="s">
        <v>160</v>
      </c>
      <c r="CP53" t="s">
        <v>160</v>
      </c>
      <c r="CQ53" t="s">
        <v>160</v>
      </c>
      <c r="CR53" t="s">
        <v>160</v>
      </c>
      <c r="CS53" t="s">
        <v>160</v>
      </c>
      <c r="CT53" t="s">
        <v>160</v>
      </c>
      <c r="CU53" s="134">
        <v>35</v>
      </c>
      <c r="CV53" t="s">
        <v>159</v>
      </c>
      <c r="CW53">
        <v>3</v>
      </c>
      <c r="CX53" s="149" t="s">
        <v>187</v>
      </c>
      <c r="CY53" s="157" t="s">
        <v>160</v>
      </c>
      <c r="CZ53" s="157" t="s">
        <v>160</v>
      </c>
      <c r="DA53" s="157" t="s">
        <v>160</v>
      </c>
      <c r="DB53" s="157" t="s">
        <v>160</v>
      </c>
      <c r="DC53" s="157" t="s">
        <v>160</v>
      </c>
      <c r="DD53" s="157" t="s">
        <v>160</v>
      </c>
      <c r="DE53" s="157" t="s">
        <v>160</v>
      </c>
      <c r="DF53" s="157" t="s">
        <v>160</v>
      </c>
      <c r="DG53" s="157" t="s">
        <v>160</v>
      </c>
      <c r="DH53" s="157" t="s">
        <v>160</v>
      </c>
      <c r="DI53" s="157" t="s">
        <v>160</v>
      </c>
      <c r="DJ53" s="157" t="s">
        <v>160</v>
      </c>
      <c r="DK53" s="132">
        <v>432.56244218316402</v>
      </c>
      <c r="DL53" t="s">
        <v>165</v>
      </c>
      <c r="DM53" s="153">
        <v>37.1</v>
      </c>
      <c r="DN53" t="s">
        <v>166</v>
      </c>
      <c r="DO53" s="138">
        <v>39.176497869999999</v>
      </c>
      <c r="DP53" s="154" t="s">
        <v>163</v>
      </c>
      <c r="DQ53" s="146">
        <v>0.2</v>
      </c>
      <c r="DR53" t="s">
        <v>190</v>
      </c>
      <c r="DS53" t="s">
        <v>167</v>
      </c>
      <c r="DT53" t="s">
        <v>168</v>
      </c>
      <c r="DU53">
        <v>1.0271999999999999</v>
      </c>
      <c r="DV53" t="s">
        <v>191</v>
      </c>
      <c r="DW53">
        <v>5.9999999999999995E-4</v>
      </c>
      <c r="DX53" t="s">
        <v>198</v>
      </c>
      <c r="DY53" t="s">
        <v>160</v>
      </c>
      <c r="DZ53" t="s">
        <v>160</v>
      </c>
      <c r="EA53" t="s">
        <v>192</v>
      </c>
      <c r="EB53" t="s">
        <v>169</v>
      </c>
      <c r="EC53" t="s">
        <v>170</v>
      </c>
      <c r="ED53" t="s">
        <v>170</v>
      </c>
      <c r="EE53" s="157" t="s">
        <v>160</v>
      </c>
      <c r="EF53" t="s">
        <v>160</v>
      </c>
      <c r="EG53" t="s">
        <v>160</v>
      </c>
      <c r="EH53" t="s">
        <v>171</v>
      </c>
      <c r="EI53" t="s">
        <v>193</v>
      </c>
      <c r="EJ53" t="s">
        <v>194</v>
      </c>
      <c r="EK53" s="137">
        <v>2330</v>
      </c>
      <c r="EL53" t="s">
        <v>211</v>
      </c>
      <c r="EM53">
        <v>175</v>
      </c>
      <c r="EN53">
        <v>175</v>
      </c>
      <c r="EO53" t="s">
        <v>160</v>
      </c>
      <c r="EP53" t="s">
        <v>160</v>
      </c>
      <c r="EQ53" t="s">
        <v>160</v>
      </c>
      <c r="ER53" t="s">
        <v>160</v>
      </c>
      <c r="ES53" s="138">
        <v>8.0456656747126498</v>
      </c>
      <c r="ET53" s="133" t="s">
        <v>172</v>
      </c>
      <c r="EU53" s="138">
        <v>6.4284318140590102E-2</v>
      </c>
      <c r="EV53" s="138">
        <v>6.5708320844339418E-2</v>
      </c>
      <c r="EW53" s="147">
        <v>401.918887838052</v>
      </c>
      <c r="EX53" s="154">
        <v>21</v>
      </c>
      <c r="EY53" s="154" t="s">
        <v>195</v>
      </c>
      <c r="EZ53" s="138">
        <v>380.918887838052</v>
      </c>
      <c r="FA53" s="138">
        <v>85.975700230316988</v>
      </c>
      <c r="FB53" s="138">
        <v>74.397271888355021</v>
      </c>
      <c r="FC53" s="156" t="s">
        <v>212</v>
      </c>
      <c r="FD53" s="156" t="s">
        <v>213</v>
      </c>
      <c r="FE53" t="s">
        <v>173</v>
      </c>
      <c r="FF53" t="s">
        <v>173</v>
      </c>
      <c r="FG53" t="s">
        <v>173</v>
      </c>
      <c r="FH53" t="s">
        <v>173</v>
      </c>
      <c r="FI53" t="s">
        <v>173</v>
      </c>
      <c r="FJ53" t="s">
        <v>173</v>
      </c>
      <c r="FK53" t="s">
        <v>173</v>
      </c>
      <c r="FL53" t="s">
        <v>173</v>
      </c>
      <c r="FM53" t="s">
        <v>173</v>
      </c>
      <c r="FN53" t="s">
        <v>173</v>
      </c>
      <c r="FO53" t="s">
        <v>173</v>
      </c>
      <c r="FP53" t="s">
        <v>173</v>
      </c>
    </row>
    <row r="54" spans="1:172" ht="18" x14ac:dyDescent="0.2">
      <c r="A54" s="126" t="s">
        <v>152</v>
      </c>
      <c r="B54" t="s">
        <v>174</v>
      </c>
      <c r="C54">
        <v>2015</v>
      </c>
      <c r="D54" t="s">
        <v>196</v>
      </c>
      <c r="E54" s="147">
        <f t="shared" si="15"/>
        <v>3042.6633299999999</v>
      </c>
      <c r="F54" s="135" t="s">
        <v>160</v>
      </c>
      <c r="G54" s="135" t="s">
        <v>160</v>
      </c>
      <c r="H54" s="147">
        <f t="shared" si="16"/>
        <v>419.48208498677502</v>
      </c>
      <c r="I54" s="147">
        <f t="shared" si="17"/>
        <v>98.212039464943018</v>
      </c>
      <c r="J54" s="147">
        <f t="shared" si="18"/>
        <v>83.399291735307031</v>
      </c>
      <c r="K54" t="s">
        <v>176</v>
      </c>
      <c r="L54" s="130" t="s">
        <v>206</v>
      </c>
      <c r="M54" s="136" t="s">
        <v>175</v>
      </c>
      <c r="N54" t="s">
        <v>196</v>
      </c>
      <c r="O54" t="s">
        <v>156</v>
      </c>
      <c r="P54" s="153" t="s">
        <v>157</v>
      </c>
      <c r="Q54" s="157">
        <v>11</v>
      </c>
      <c r="R54" s="157">
        <v>4</v>
      </c>
      <c r="S54" s="157">
        <v>93</v>
      </c>
      <c r="T54" s="157">
        <v>95</v>
      </c>
      <c r="U54" s="157" t="s">
        <v>160</v>
      </c>
      <c r="V54" s="157" t="s">
        <v>160</v>
      </c>
      <c r="W54" s="157" t="s">
        <v>160</v>
      </c>
      <c r="X54" t="s">
        <v>158</v>
      </c>
      <c r="Y54" s="131">
        <v>12.75</v>
      </c>
      <c r="Z54" s="131">
        <v>-78.73</v>
      </c>
      <c r="AA54" s="131">
        <v>12.75</v>
      </c>
      <c r="AB54" s="131">
        <v>-78.73</v>
      </c>
      <c r="AC54" s="131">
        <v>-2828</v>
      </c>
      <c r="AD54" s="131">
        <v>-2828</v>
      </c>
      <c r="AE54" s="153" t="s">
        <v>160</v>
      </c>
      <c r="AF54" s="153" t="s">
        <v>160</v>
      </c>
      <c r="AG54" s="138">
        <v>3042.6633299999999</v>
      </c>
      <c r="AH54" s="2" t="s">
        <v>159</v>
      </c>
      <c r="AI54" s="153" t="s">
        <v>160</v>
      </c>
      <c r="AJ54" s="153" t="s">
        <v>160</v>
      </c>
      <c r="AK54" s="154" t="s">
        <v>160</v>
      </c>
      <c r="AL54" s="154" t="s">
        <v>177</v>
      </c>
      <c r="AM54" s="157" t="s">
        <v>160</v>
      </c>
      <c r="AN54" t="s">
        <v>160</v>
      </c>
      <c r="AO54" t="s">
        <v>160</v>
      </c>
      <c r="AP54" t="s">
        <v>160</v>
      </c>
      <c r="AQ54" t="s">
        <v>160</v>
      </c>
      <c r="AR54" t="s">
        <v>160</v>
      </c>
      <c r="AS54" t="s">
        <v>160</v>
      </c>
      <c r="AT54" t="s">
        <v>160</v>
      </c>
      <c r="AU54" s="145" t="s">
        <v>178</v>
      </c>
      <c r="AV54" t="s">
        <v>161</v>
      </c>
      <c r="AW54" s="141" t="s">
        <v>179</v>
      </c>
      <c r="AX54" s="139" t="s">
        <v>180</v>
      </c>
      <c r="AY54" s="139" t="s">
        <v>181</v>
      </c>
      <c r="AZ54" s="139" t="s">
        <v>182</v>
      </c>
      <c r="BA54" s="140" t="s">
        <v>162</v>
      </c>
      <c r="BB54" s="153" t="s">
        <v>217</v>
      </c>
      <c r="BC54" s="153" t="s">
        <v>217</v>
      </c>
      <c r="BD54" s="153" t="s">
        <v>217</v>
      </c>
      <c r="BE54" s="138">
        <v>19.459389999999999</v>
      </c>
      <c r="BF54" t="s">
        <v>183</v>
      </c>
      <c r="BG54" s="138">
        <v>0.12713133400000001</v>
      </c>
      <c r="BH54">
        <v>0.6</v>
      </c>
      <c r="BI54" t="s">
        <v>184</v>
      </c>
      <c r="BJ54" s="2">
        <v>0.08</v>
      </c>
      <c r="BK54">
        <v>8.8699999999999992</v>
      </c>
      <c r="BL54" t="s">
        <v>163</v>
      </c>
      <c r="BM54">
        <v>1.52</v>
      </c>
      <c r="BN54" t="s">
        <v>185</v>
      </c>
      <c r="BO54" t="s">
        <v>186</v>
      </c>
      <c r="BP54" s="158">
        <f t="shared" si="12"/>
        <v>17.648983333333334</v>
      </c>
      <c r="BQ54" t="s">
        <v>184</v>
      </c>
      <c r="BR54" s="154" t="s">
        <v>160</v>
      </c>
      <c r="BS54" s="154" t="s">
        <v>160</v>
      </c>
      <c r="BT54" t="s">
        <v>214</v>
      </c>
      <c r="BU54" t="s">
        <v>218</v>
      </c>
      <c r="BV54" t="s">
        <v>164</v>
      </c>
      <c r="BW54" t="s">
        <v>164</v>
      </c>
      <c r="BX54" s="138">
        <v>27.030349999999999</v>
      </c>
      <c r="BY54" t="s">
        <v>184</v>
      </c>
      <c r="BZ54" s="159">
        <v>3</v>
      </c>
      <c r="CA54" s="159">
        <v>3</v>
      </c>
      <c r="CB54" s="138">
        <v>3.2161903083087262</v>
      </c>
      <c r="CC54" s="138">
        <v>3.2161903083087262</v>
      </c>
      <c r="CD54" t="s">
        <v>188</v>
      </c>
      <c r="CE54" s="147">
        <f t="shared" si="13"/>
        <v>8.6837138324335608E-2</v>
      </c>
      <c r="CF54" s="147">
        <f t="shared" si="14"/>
        <v>8.6837138324335608E-2</v>
      </c>
      <c r="CG54" s="153" t="s">
        <v>215</v>
      </c>
      <c r="CH54" s="148" t="s">
        <v>207</v>
      </c>
      <c r="CI54" s="138">
        <v>3.6341873491874939</v>
      </c>
      <c r="CJ54" s="138" t="s">
        <v>244</v>
      </c>
      <c r="CK54" t="s">
        <v>160</v>
      </c>
      <c r="CL54" t="s">
        <v>189</v>
      </c>
      <c r="CM54" t="s">
        <v>160</v>
      </c>
      <c r="CN54" t="s">
        <v>160</v>
      </c>
      <c r="CO54" t="s">
        <v>160</v>
      </c>
      <c r="CP54" t="s">
        <v>160</v>
      </c>
      <c r="CQ54" t="s">
        <v>160</v>
      </c>
      <c r="CR54" t="s">
        <v>160</v>
      </c>
      <c r="CS54" t="s">
        <v>160</v>
      </c>
      <c r="CT54" t="s">
        <v>160</v>
      </c>
      <c r="CU54" s="134">
        <v>35</v>
      </c>
      <c r="CV54" t="s">
        <v>159</v>
      </c>
      <c r="CW54">
        <v>3</v>
      </c>
      <c r="CX54" s="149" t="s">
        <v>187</v>
      </c>
      <c r="CY54" s="157" t="s">
        <v>160</v>
      </c>
      <c r="CZ54" s="157" t="s">
        <v>160</v>
      </c>
      <c r="DA54" s="157" t="s">
        <v>160</v>
      </c>
      <c r="DB54" s="157" t="s">
        <v>160</v>
      </c>
      <c r="DC54" s="157" t="s">
        <v>160</v>
      </c>
      <c r="DD54" s="157" t="s">
        <v>160</v>
      </c>
      <c r="DE54" s="157" t="s">
        <v>160</v>
      </c>
      <c r="DF54" s="157" t="s">
        <v>160</v>
      </c>
      <c r="DG54" s="157" t="s">
        <v>160</v>
      </c>
      <c r="DH54" s="157" t="s">
        <v>160</v>
      </c>
      <c r="DI54" s="157" t="s">
        <v>160</v>
      </c>
      <c r="DJ54" s="157" t="s">
        <v>160</v>
      </c>
      <c r="DK54" s="132">
        <v>432.56244218316402</v>
      </c>
      <c r="DL54" t="s">
        <v>165</v>
      </c>
      <c r="DM54" s="153">
        <v>37.1</v>
      </c>
      <c r="DN54" t="s">
        <v>166</v>
      </c>
      <c r="DO54" s="138">
        <v>39.174439939999999</v>
      </c>
      <c r="DP54" s="154" t="s">
        <v>163</v>
      </c>
      <c r="DQ54" s="146">
        <v>0.2</v>
      </c>
      <c r="DR54" t="s">
        <v>190</v>
      </c>
      <c r="DS54" t="s">
        <v>167</v>
      </c>
      <c r="DT54" t="s">
        <v>168</v>
      </c>
      <c r="DU54">
        <v>1.0271999999999999</v>
      </c>
      <c r="DV54" t="s">
        <v>191</v>
      </c>
      <c r="DW54">
        <v>5.9999999999999995E-4</v>
      </c>
      <c r="DX54" t="s">
        <v>198</v>
      </c>
      <c r="DY54" t="s">
        <v>160</v>
      </c>
      <c r="DZ54" t="s">
        <v>160</v>
      </c>
      <c r="EA54" t="s">
        <v>192</v>
      </c>
      <c r="EB54" t="s">
        <v>169</v>
      </c>
      <c r="EC54" t="s">
        <v>170</v>
      </c>
      <c r="ED54" t="s">
        <v>170</v>
      </c>
      <c r="EE54" s="157" t="s">
        <v>160</v>
      </c>
      <c r="EF54" t="s">
        <v>160</v>
      </c>
      <c r="EG54" t="s">
        <v>160</v>
      </c>
      <c r="EH54" t="s">
        <v>171</v>
      </c>
      <c r="EI54" t="s">
        <v>193</v>
      </c>
      <c r="EJ54" t="s">
        <v>194</v>
      </c>
      <c r="EK54" s="137">
        <v>2330</v>
      </c>
      <c r="EL54" t="s">
        <v>211</v>
      </c>
      <c r="EM54">
        <v>175</v>
      </c>
      <c r="EN54">
        <v>175</v>
      </c>
      <c r="EO54" t="s">
        <v>160</v>
      </c>
      <c r="EP54" t="s">
        <v>160</v>
      </c>
      <c r="EQ54" t="s">
        <v>160</v>
      </c>
      <c r="ER54" t="s">
        <v>160</v>
      </c>
      <c r="ES54" s="138">
        <v>8.0133033661306001</v>
      </c>
      <c r="ET54" s="133" t="s">
        <v>172</v>
      </c>
      <c r="EU54" s="138">
        <v>6.7541799873160002E-2</v>
      </c>
      <c r="EV54" s="138">
        <v>6.7915027766829894E-2</v>
      </c>
      <c r="EW54" s="147">
        <v>440.48208498677502</v>
      </c>
      <c r="EX54" s="154">
        <v>21</v>
      </c>
      <c r="EY54" s="154" t="s">
        <v>195</v>
      </c>
      <c r="EZ54" s="138">
        <v>419.48208498677502</v>
      </c>
      <c r="FA54" s="138">
        <v>98.212039464943018</v>
      </c>
      <c r="FB54" s="138">
        <v>83.399291735307031</v>
      </c>
      <c r="FC54" s="156" t="s">
        <v>212</v>
      </c>
      <c r="FD54" s="156" t="s">
        <v>213</v>
      </c>
      <c r="FE54" t="s">
        <v>173</v>
      </c>
      <c r="FF54" t="s">
        <v>173</v>
      </c>
      <c r="FG54" t="s">
        <v>173</v>
      </c>
      <c r="FH54" t="s">
        <v>173</v>
      </c>
      <c r="FI54" t="s">
        <v>173</v>
      </c>
      <c r="FJ54" t="s">
        <v>173</v>
      </c>
      <c r="FK54" t="s">
        <v>173</v>
      </c>
      <c r="FL54" t="s">
        <v>173</v>
      </c>
      <c r="FM54" t="s">
        <v>173</v>
      </c>
      <c r="FN54" t="s">
        <v>173</v>
      </c>
      <c r="FO54" t="s">
        <v>173</v>
      </c>
      <c r="FP54" t="s">
        <v>173</v>
      </c>
    </row>
    <row r="55" spans="1:172" ht="18" x14ac:dyDescent="0.2">
      <c r="A55" s="126" t="s">
        <v>152</v>
      </c>
      <c r="B55" t="s">
        <v>174</v>
      </c>
      <c r="C55">
        <v>2015</v>
      </c>
      <c r="D55" t="s">
        <v>196</v>
      </c>
      <c r="E55" s="147">
        <f t="shared" si="15"/>
        <v>3050.0161130000001</v>
      </c>
      <c r="F55" s="135" t="s">
        <v>160</v>
      </c>
      <c r="G55" s="135" t="s">
        <v>160</v>
      </c>
      <c r="H55" s="147">
        <f t="shared" si="16"/>
        <v>418.02181594779398</v>
      </c>
      <c r="I55" s="147">
        <f t="shared" si="17"/>
        <v>94.110963874934043</v>
      </c>
      <c r="J55" s="147">
        <f t="shared" si="18"/>
        <v>80.076414750173001</v>
      </c>
      <c r="K55" t="s">
        <v>176</v>
      </c>
      <c r="L55" s="130" t="s">
        <v>206</v>
      </c>
      <c r="M55" s="136" t="s">
        <v>175</v>
      </c>
      <c r="N55" t="s">
        <v>196</v>
      </c>
      <c r="O55" t="s">
        <v>156</v>
      </c>
      <c r="P55" s="153" t="s">
        <v>157</v>
      </c>
      <c r="Q55" s="157">
        <v>11</v>
      </c>
      <c r="R55" s="157">
        <v>4</v>
      </c>
      <c r="S55" s="157">
        <v>120</v>
      </c>
      <c r="T55" s="157">
        <v>122</v>
      </c>
      <c r="U55" s="157" t="s">
        <v>160</v>
      </c>
      <c r="V55" s="157" t="s">
        <v>160</v>
      </c>
      <c r="W55" s="157" t="s">
        <v>160</v>
      </c>
      <c r="X55" t="s">
        <v>158</v>
      </c>
      <c r="Y55" s="131">
        <v>12.75</v>
      </c>
      <c r="Z55" s="131">
        <v>-78.73</v>
      </c>
      <c r="AA55" s="131">
        <v>12.75</v>
      </c>
      <c r="AB55" s="131">
        <v>-78.73</v>
      </c>
      <c r="AC55" s="131">
        <v>-2828</v>
      </c>
      <c r="AD55" s="131">
        <v>-2828</v>
      </c>
      <c r="AE55" s="153" t="s">
        <v>160</v>
      </c>
      <c r="AF55" s="153" t="s">
        <v>160</v>
      </c>
      <c r="AG55" s="138">
        <v>3050.0161130000001</v>
      </c>
      <c r="AH55" s="2" t="s">
        <v>159</v>
      </c>
      <c r="AI55" s="153" t="s">
        <v>160</v>
      </c>
      <c r="AJ55" s="153" t="s">
        <v>160</v>
      </c>
      <c r="AK55" s="154" t="s">
        <v>160</v>
      </c>
      <c r="AL55" s="154" t="s">
        <v>177</v>
      </c>
      <c r="AM55" s="157" t="s">
        <v>160</v>
      </c>
      <c r="AN55" t="s">
        <v>160</v>
      </c>
      <c r="AO55" t="s">
        <v>160</v>
      </c>
      <c r="AP55" t="s">
        <v>160</v>
      </c>
      <c r="AQ55" t="s">
        <v>160</v>
      </c>
      <c r="AR55" t="s">
        <v>160</v>
      </c>
      <c r="AS55" t="s">
        <v>160</v>
      </c>
      <c r="AT55" t="s">
        <v>160</v>
      </c>
      <c r="AU55" s="145" t="s">
        <v>178</v>
      </c>
      <c r="AV55" t="s">
        <v>161</v>
      </c>
      <c r="AW55" s="141" t="s">
        <v>179</v>
      </c>
      <c r="AX55" s="141" t="s">
        <v>180</v>
      </c>
      <c r="AY55" s="139" t="s">
        <v>181</v>
      </c>
      <c r="AZ55" s="139" t="s">
        <v>182</v>
      </c>
      <c r="BA55" t="s">
        <v>162</v>
      </c>
      <c r="BB55" s="153" t="s">
        <v>217</v>
      </c>
      <c r="BC55" s="153" t="s">
        <v>217</v>
      </c>
      <c r="BD55" s="153" t="s">
        <v>217</v>
      </c>
      <c r="BE55" s="138">
        <v>19.581440000000001</v>
      </c>
      <c r="BF55" t="s">
        <v>183</v>
      </c>
      <c r="BG55" s="138">
        <v>9.3808649999999993E-2</v>
      </c>
      <c r="BH55">
        <v>0.6</v>
      </c>
      <c r="BI55" t="s">
        <v>184</v>
      </c>
      <c r="BJ55" s="2">
        <v>0.08</v>
      </c>
      <c r="BK55">
        <v>8.8699999999999992</v>
      </c>
      <c r="BL55" t="s">
        <v>163</v>
      </c>
      <c r="BM55">
        <v>1.52</v>
      </c>
      <c r="BN55" t="s">
        <v>185</v>
      </c>
      <c r="BO55" t="s">
        <v>186</v>
      </c>
      <c r="BP55" s="158">
        <f t="shared" si="12"/>
        <v>17.852400000000003</v>
      </c>
      <c r="BQ55" t="s">
        <v>184</v>
      </c>
      <c r="BR55" s="154" t="s">
        <v>160</v>
      </c>
      <c r="BS55" s="154" t="s">
        <v>160</v>
      </c>
      <c r="BT55" t="s">
        <v>214</v>
      </c>
      <c r="BU55" t="s">
        <v>218</v>
      </c>
      <c r="BV55" t="s">
        <v>164</v>
      </c>
      <c r="BW55" t="s">
        <v>164</v>
      </c>
      <c r="BX55" s="138">
        <v>28.746739999999999</v>
      </c>
      <c r="BY55" t="s">
        <v>184</v>
      </c>
      <c r="BZ55" s="159">
        <v>3</v>
      </c>
      <c r="CA55" s="159">
        <v>3</v>
      </c>
      <c r="CB55" s="138">
        <v>3.7488706538751901</v>
      </c>
      <c r="CC55" s="138">
        <v>3.7488706538751901</v>
      </c>
      <c r="CD55" t="s">
        <v>188</v>
      </c>
      <c r="CE55" s="147">
        <f t="shared" si="13"/>
        <v>0.10121950765463013</v>
      </c>
      <c r="CF55" s="147">
        <f t="shared" si="14"/>
        <v>0.10121950765463013</v>
      </c>
      <c r="CG55" s="153" t="s">
        <v>215</v>
      </c>
      <c r="CH55" s="148" t="s">
        <v>207</v>
      </c>
      <c r="CI55" s="138">
        <v>3.623407267914363</v>
      </c>
      <c r="CJ55" s="138" t="s">
        <v>244</v>
      </c>
      <c r="CK55" t="s">
        <v>160</v>
      </c>
      <c r="CL55" t="s">
        <v>189</v>
      </c>
      <c r="CM55" t="s">
        <v>160</v>
      </c>
      <c r="CN55" t="s">
        <v>160</v>
      </c>
      <c r="CO55" t="s">
        <v>160</v>
      </c>
      <c r="CP55" t="s">
        <v>160</v>
      </c>
      <c r="CQ55" t="s">
        <v>160</v>
      </c>
      <c r="CR55" t="s">
        <v>160</v>
      </c>
      <c r="CS55" t="s">
        <v>160</v>
      </c>
      <c r="CT55" t="s">
        <v>160</v>
      </c>
      <c r="CU55" s="134">
        <v>35</v>
      </c>
      <c r="CV55" t="s">
        <v>159</v>
      </c>
      <c r="CW55">
        <v>3</v>
      </c>
      <c r="CX55" s="149" t="s">
        <v>187</v>
      </c>
      <c r="CY55" s="157" t="s">
        <v>160</v>
      </c>
      <c r="CZ55" s="157" t="s">
        <v>160</v>
      </c>
      <c r="DA55" s="157" t="s">
        <v>160</v>
      </c>
      <c r="DB55" s="157" t="s">
        <v>160</v>
      </c>
      <c r="DC55" s="157" t="s">
        <v>160</v>
      </c>
      <c r="DD55" s="157" t="s">
        <v>160</v>
      </c>
      <c r="DE55" s="157" t="s">
        <v>160</v>
      </c>
      <c r="DF55" s="157" t="s">
        <v>160</v>
      </c>
      <c r="DG55" s="157" t="s">
        <v>160</v>
      </c>
      <c r="DH55" s="157" t="s">
        <v>160</v>
      </c>
      <c r="DI55" s="157" t="s">
        <v>160</v>
      </c>
      <c r="DJ55" s="157" t="s">
        <v>160</v>
      </c>
      <c r="DK55" s="132">
        <v>432.56244218316402</v>
      </c>
      <c r="DL55" t="s">
        <v>165</v>
      </c>
      <c r="DM55" s="153">
        <v>37.1</v>
      </c>
      <c r="DN55" t="s">
        <v>166</v>
      </c>
      <c r="DO55" s="138">
        <v>39.173430719999999</v>
      </c>
      <c r="DP55" s="154" t="s">
        <v>163</v>
      </c>
      <c r="DQ55" s="146">
        <v>0.2</v>
      </c>
      <c r="DR55" t="s">
        <v>190</v>
      </c>
      <c r="DS55" t="s">
        <v>167</v>
      </c>
      <c r="DT55" t="s">
        <v>168</v>
      </c>
      <c r="DU55">
        <v>1.0271999999999999</v>
      </c>
      <c r="DV55" t="s">
        <v>191</v>
      </c>
      <c r="DW55">
        <v>5.9999999999999995E-4</v>
      </c>
      <c r="DX55" t="s">
        <v>198</v>
      </c>
      <c r="DY55" t="s">
        <v>160</v>
      </c>
      <c r="DZ55" t="s">
        <v>160</v>
      </c>
      <c r="EA55" t="s">
        <v>192</v>
      </c>
      <c r="EB55" t="s">
        <v>169</v>
      </c>
      <c r="EC55" t="s">
        <v>170</v>
      </c>
      <c r="ED55" t="s">
        <v>170</v>
      </c>
      <c r="EE55" s="157" t="s">
        <v>160</v>
      </c>
      <c r="EF55" t="s">
        <v>160</v>
      </c>
      <c r="EG55" t="s">
        <v>160</v>
      </c>
      <c r="EH55" t="s">
        <v>171</v>
      </c>
      <c r="EI55" t="s">
        <v>193</v>
      </c>
      <c r="EJ55" t="s">
        <v>194</v>
      </c>
      <c r="EK55" s="137">
        <v>2330</v>
      </c>
      <c r="EL55" t="s">
        <v>211</v>
      </c>
      <c r="EM55">
        <v>175</v>
      </c>
      <c r="EN55">
        <v>175</v>
      </c>
      <c r="EO55" t="s">
        <v>160</v>
      </c>
      <c r="EP55" t="s">
        <v>160</v>
      </c>
      <c r="EQ55" t="s">
        <v>160</v>
      </c>
      <c r="ER55" t="s">
        <v>160</v>
      </c>
      <c r="ES55" s="138">
        <v>8.0127763680181801</v>
      </c>
      <c r="ET55" s="133" t="s">
        <v>172</v>
      </c>
      <c r="EU55" s="138">
        <v>6.3737828337220748E-2</v>
      </c>
      <c r="EV55" s="138">
        <v>6.6151627235830013E-2</v>
      </c>
      <c r="EW55" s="147">
        <v>439.02181594779398</v>
      </c>
      <c r="EX55" s="154">
        <v>21</v>
      </c>
      <c r="EY55" s="154" t="s">
        <v>195</v>
      </c>
      <c r="EZ55" s="138">
        <v>418.02181594779398</v>
      </c>
      <c r="FA55" s="138">
        <v>94.110963874934043</v>
      </c>
      <c r="FB55" s="138">
        <v>80.076414750173001</v>
      </c>
      <c r="FC55" s="156" t="s">
        <v>212</v>
      </c>
      <c r="FD55" s="156" t="s">
        <v>213</v>
      </c>
      <c r="FE55" t="s">
        <v>173</v>
      </c>
      <c r="FF55" t="s">
        <v>173</v>
      </c>
      <c r="FG55" t="s">
        <v>173</v>
      </c>
      <c r="FH55" t="s">
        <v>173</v>
      </c>
      <c r="FI55" t="s">
        <v>173</v>
      </c>
      <c r="FJ55" t="s">
        <v>173</v>
      </c>
      <c r="FK55" t="s">
        <v>173</v>
      </c>
      <c r="FL55" t="s">
        <v>173</v>
      </c>
      <c r="FM55" t="s">
        <v>173</v>
      </c>
      <c r="FN55" t="s">
        <v>173</v>
      </c>
      <c r="FO55" t="s">
        <v>173</v>
      </c>
      <c r="FP55" t="s">
        <v>173</v>
      </c>
    </row>
    <row r="56" spans="1:172" ht="18" x14ac:dyDescent="0.2">
      <c r="A56" s="126" t="s">
        <v>152</v>
      </c>
      <c r="B56" t="s">
        <v>174</v>
      </c>
      <c r="C56">
        <v>2015</v>
      </c>
      <c r="D56" t="s">
        <v>196</v>
      </c>
      <c r="E56" s="147">
        <f t="shared" si="15"/>
        <v>3059.0261230000001</v>
      </c>
      <c r="F56" s="135" t="s">
        <v>160</v>
      </c>
      <c r="G56" s="135" t="s">
        <v>160</v>
      </c>
      <c r="H56" s="147">
        <f t="shared" si="16"/>
        <v>361.315391905887</v>
      </c>
      <c r="I56" s="147">
        <f t="shared" si="17"/>
        <v>83.245262861694016</v>
      </c>
      <c r="J56" s="147">
        <f t="shared" si="18"/>
        <v>73.093702386770985</v>
      </c>
      <c r="K56" t="s">
        <v>176</v>
      </c>
      <c r="L56" s="130" t="s">
        <v>206</v>
      </c>
      <c r="M56" s="136" t="s">
        <v>175</v>
      </c>
      <c r="N56" t="s">
        <v>196</v>
      </c>
      <c r="O56" t="s">
        <v>156</v>
      </c>
      <c r="P56" s="153" t="s">
        <v>157</v>
      </c>
      <c r="Q56" s="157">
        <v>11</v>
      </c>
      <c r="R56" s="157">
        <v>5</v>
      </c>
      <c r="S56" s="157">
        <v>2</v>
      </c>
      <c r="T56" s="157">
        <v>4</v>
      </c>
      <c r="U56" s="157" t="s">
        <v>160</v>
      </c>
      <c r="V56" s="157" t="s">
        <v>160</v>
      </c>
      <c r="W56" s="157" t="s">
        <v>160</v>
      </c>
      <c r="X56" t="s">
        <v>158</v>
      </c>
      <c r="Y56" s="131">
        <v>12.75</v>
      </c>
      <c r="Z56" s="131">
        <v>-78.73</v>
      </c>
      <c r="AA56" s="131">
        <v>12.75</v>
      </c>
      <c r="AB56" s="131">
        <v>-78.73</v>
      </c>
      <c r="AC56" s="131">
        <v>-2828</v>
      </c>
      <c r="AD56" s="131">
        <v>-2828</v>
      </c>
      <c r="AE56" s="153" t="s">
        <v>160</v>
      </c>
      <c r="AF56" s="153" t="s">
        <v>160</v>
      </c>
      <c r="AG56" s="138">
        <v>3059.0261230000001</v>
      </c>
      <c r="AH56" s="2" t="s">
        <v>159</v>
      </c>
      <c r="AI56" s="153" t="s">
        <v>160</v>
      </c>
      <c r="AJ56" s="153" t="s">
        <v>160</v>
      </c>
      <c r="AK56" s="154" t="s">
        <v>160</v>
      </c>
      <c r="AL56" s="154" t="s">
        <v>177</v>
      </c>
      <c r="AM56" s="157" t="s">
        <v>160</v>
      </c>
      <c r="AN56" t="s">
        <v>160</v>
      </c>
      <c r="AO56" t="s">
        <v>160</v>
      </c>
      <c r="AP56" t="s">
        <v>160</v>
      </c>
      <c r="AQ56" t="s">
        <v>160</v>
      </c>
      <c r="AR56" t="s">
        <v>160</v>
      </c>
      <c r="AS56" t="s">
        <v>160</v>
      </c>
      <c r="AT56" t="s">
        <v>160</v>
      </c>
      <c r="AU56" s="145" t="s">
        <v>178</v>
      </c>
      <c r="AV56" t="s">
        <v>161</v>
      </c>
      <c r="AW56" s="141" t="s">
        <v>179</v>
      </c>
      <c r="AX56" s="139" t="s">
        <v>180</v>
      </c>
      <c r="AY56" s="139" t="s">
        <v>181</v>
      </c>
      <c r="AZ56" s="139" t="s">
        <v>182</v>
      </c>
      <c r="BA56" s="140" t="s">
        <v>162</v>
      </c>
      <c r="BB56" s="153" t="s">
        <v>217</v>
      </c>
      <c r="BC56" s="153" t="s">
        <v>217</v>
      </c>
      <c r="BD56" s="153" t="s">
        <v>217</v>
      </c>
      <c r="BE56" s="138">
        <v>19.83933</v>
      </c>
      <c r="BF56" t="s">
        <v>183</v>
      </c>
      <c r="BG56" s="138">
        <v>0.150337269</v>
      </c>
      <c r="BH56">
        <v>0.6</v>
      </c>
      <c r="BI56" t="s">
        <v>184</v>
      </c>
      <c r="BJ56" s="2">
        <v>0.08</v>
      </c>
      <c r="BK56">
        <v>8.8699999999999992</v>
      </c>
      <c r="BL56" t="s">
        <v>163</v>
      </c>
      <c r="BM56">
        <v>1.52</v>
      </c>
      <c r="BN56" t="s">
        <v>185</v>
      </c>
      <c r="BO56" t="s">
        <v>186</v>
      </c>
      <c r="BP56" s="158">
        <f t="shared" si="12"/>
        <v>18.28221666666667</v>
      </c>
      <c r="BQ56" t="s">
        <v>184</v>
      </c>
      <c r="BR56" s="154" t="s">
        <v>160</v>
      </c>
      <c r="BS56" s="154" t="s">
        <v>160</v>
      </c>
      <c r="BT56" t="s">
        <v>214</v>
      </c>
      <c r="BU56" t="s">
        <v>218</v>
      </c>
      <c r="BV56" t="s">
        <v>164</v>
      </c>
      <c r="BW56" t="s">
        <v>164</v>
      </c>
      <c r="BX56" s="138">
        <v>27.875610000000002</v>
      </c>
      <c r="BY56" t="s">
        <v>184</v>
      </c>
      <c r="BZ56" s="159">
        <v>3</v>
      </c>
      <c r="CA56" s="159">
        <v>3</v>
      </c>
      <c r="CB56" s="138">
        <v>3.4609632352074677</v>
      </c>
      <c r="CC56" s="138">
        <v>3.4609632352074677</v>
      </c>
      <c r="CD56" t="s">
        <v>188</v>
      </c>
      <c r="CE56" s="147">
        <f t="shared" si="13"/>
        <v>9.3446007350601629E-2</v>
      </c>
      <c r="CF56" s="147">
        <f t="shared" si="14"/>
        <v>9.3446007350601629E-2</v>
      </c>
      <c r="CG56" s="153" t="s">
        <v>215</v>
      </c>
      <c r="CH56" s="148" t="s">
        <v>207</v>
      </c>
      <c r="CI56" s="138">
        <v>3.6101223442032326</v>
      </c>
      <c r="CJ56" s="138" t="s">
        <v>244</v>
      </c>
      <c r="CK56" t="s">
        <v>160</v>
      </c>
      <c r="CL56" t="s">
        <v>189</v>
      </c>
      <c r="CM56" t="s">
        <v>160</v>
      </c>
      <c r="CN56" t="s">
        <v>160</v>
      </c>
      <c r="CO56" t="s">
        <v>160</v>
      </c>
      <c r="CP56" t="s">
        <v>160</v>
      </c>
      <c r="CQ56" t="s">
        <v>160</v>
      </c>
      <c r="CR56" t="s">
        <v>160</v>
      </c>
      <c r="CS56" t="s">
        <v>160</v>
      </c>
      <c r="CT56" t="s">
        <v>160</v>
      </c>
      <c r="CU56" s="134">
        <v>35</v>
      </c>
      <c r="CV56" t="s">
        <v>159</v>
      </c>
      <c r="CW56">
        <v>3</v>
      </c>
      <c r="CX56" s="149" t="s">
        <v>187</v>
      </c>
      <c r="CY56" s="157" t="s">
        <v>160</v>
      </c>
      <c r="CZ56" s="157" t="s">
        <v>160</v>
      </c>
      <c r="DA56" s="157" t="s">
        <v>160</v>
      </c>
      <c r="DB56" s="157" t="s">
        <v>160</v>
      </c>
      <c r="DC56" s="157" t="s">
        <v>160</v>
      </c>
      <c r="DD56" s="157" t="s">
        <v>160</v>
      </c>
      <c r="DE56" s="157" t="s">
        <v>160</v>
      </c>
      <c r="DF56" s="157" t="s">
        <v>160</v>
      </c>
      <c r="DG56" s="157" t="s">
        <v>160</v>
      </c>
      <c r="DH56" s="157" t="s">
        <v>160</v>
      </c>
      <c r="DI56" s="157" t="s">
        <v>160</v>
      </c>
      <c r="DJ56" s="157" t="s">
        <v>160</v>
      </c>
      <c r="DK56" s="132">
        <v>432.56244218316402</v>
      </c>
      <c r="DL56" t="s">
        <v>165</v>
      </c>
      <c r="DM56" s="153">
        <v>37.1</v>
      </c>
      <c r="DN56" t="s">
        <v>166</v>
      </c>
      <c r="DO56" s="138">
        <v>39.172226469999998</v>
      </c>
      <c r="DP56" s="154" t="s">
        <v>163</v>
      </c>
      <c r="DQ56" s="146">
        <v>0.2</v>
      </c>
      <c r="DR56" t="s">
        <v>190</v>
      </c>
      <c r="DS56" t="s">
        <v>167</v>
      </c>
      <c r="DT56" t="s">
        <v>168</v>
      </c>
      <c r="DU56">
        <v>1.0271999999999999</v>
      </c>
      <c r="DV56" t="s">
        <v>191</v>
      </c>
      <c r="DW56">
        <v>5.9999999999999995E-4</v>
      </c>
      <c r="DX56" t="s">
        <v>198</v>
      </c>
      <c r="DY56" t="s">
        <v>160</v>
      </c>
      <c r="DZ56" t="s">
        <v>160</v>
      </c>
      <c r="EA56" t="s">
        <v>192</v>
      </c>
      <c r="EB56" t="s">
        <v>169</v>
      </c>
      <c r="EC56" t="s">
        <v>170</v>
      </c>
      <c r="ED56" t="s">
        <v>170</v>
      </c>
      <c r="EE56" s="157" t="s">
        <v>160</v>
      </c>
      <c r="EF56" t="s">
        <v>160</v>
      </c>
      <c r="EG56" t="s">
        <v>160</v>
      </c>
      <c r="EH56" t="s">
        <v>171</v>
      </c>
      <c r="EI56" t="s">
        <v>193</v>
      </c>
      <c r="EJ56" t="s">
        <v>194</v>
      </c>
      <c r="EK56" s="137">
        <v>2330</v>
      </c>
      <c r="EL56" t="s">
        <v>211</v>
      </c>
      <c r="EM56">
        <v>175</v>
      </c>
      <c r="EN56">
        <v>175</v>
      </c>
      <c r="EO56" t="s">
        <v>160</v>
      </c>
      <c r="EP56" t="s">
        <v>160</v>
      </c>
      <c r="EQ56" t="s">
        <v>160</v>
      </c>
      <c r="ER56" t="s">
        <v>160</v>
      </c>
      <c r="ES56" s="138">
        <v>8.0618959624255595</v>
      </c>
      <c r="ET56" s="133" t="s">
        <v>172</v>
      </c>
      <c r="EU56" s="138">
        <v>6.6622222814400445E-2</v>
      </c>
      <c r="EV56" s="138">
        <v>6.6452285723189064E-2</v>
      </c>
      <c r="EW56" s="147">
        <v>382.315391905887</v>
      </c>
      <c r="EX56" s="154">
        <v>21</v>
      </c>
      <c r="EY56" s="154" t="s">
        <v>195</v>
      </c>
      <c r="EZ56" s="138">
        <v>361.315391905887</v>
      </c>
      <c r="FA56" s="138">
        <v>83.245262861694016</v>
      </c>
      <c r="FB56" s="138">
        <v>73.093702386770985</v>
      </c>
      <c r="FC56" s="156" t="s">
        <v>212</v>
      </c>
      <c r="FD56" s="156" t="s">
        <v>213</v>
      </c>
      <c r="FE56" t="s">
        <v>173</v>
      </c>
      <c r="FF56" t="s">
        <v>173</v>
      </c>
      <c r="FG56" t="s">
        <v>173</v>
      </c>
      <c r="FH56" t="s">
        <v>173</v>
      </c>
      <c r="FI56" t="s">
        <v>173</v>
      </c>
      <c r="FJ56" t="s">
        <v>173</v>
      </c>
      <c r="FK56" t="s">
        <v>173</v>
      </c>
      <c r="FL56" t="s">
        <v>173</v>
      </c>
      <c r="FM56" t="s">
        <v>173</v>
      </c>
      <c r="FN56" t="s">
        <v>173</v>
      </c>
      <c r="FO56" t="s">
        <v>173</v>
      </c>
      <c r="FP56" t="s">
        <v>173</v>
      </c>
    </row>
    <row r="57" spans="1:172" ht="18" x14ac:dyDescent="0.2">
      <c r="A57" s="126" t="s">
        <v>152</v>
      </c>
      <c r="B57" t="s">
        <v>174</v>
      </c>
      <c r="C57">
        <v>2015</v>
      </c>
      <c r="D57" t="s">
        <v>196</v>
      </c>
      <c r="E57" s="147">
        <f t="shared" si="15"/>
        <v>3062.9609380000002</v>
      </c>
      <c r="F57" s="135" t="s">
        <v>160</v>
      </c>
      <c r="G57" s="135" t="s">
        <v>160</v>
      </c>
      <c r="H57" s="147">
        <f t="shared" si="16"/>
        <v>413.098099028148</v>
      </c>
      <c r="I57" s="147">
        <f t="shared" si="17"/>
        <v>94.649046109315975</v>
      </c>
      <c r="J57" s="147">
        <f t="shared" si="18"/>
        <v>81.836032830841987</v>
      </c>
      <c r="K57" t="s">
        <v>176</v>
      </c>
      <c r="L57" s="130" t="s">
        <v>206</v>
      </c>
      <c r="M57" s="136" t="s">
        <v>175</v>
      </c>
      <c r="N57" t="s">
        <v>196</v>
      </c>
      <c r="O57" t="s">
        <v>156</v>
      </c>
      <c r="P57" s="153" t="s">
        <v>157</v>
      </c>
      <c r="Q57" s="157">
        <v>11</v>
      </c>
      <c r="R57" s="157">
        <v>5</v>
      </c>
      <c r="S57" s="157">
        <v>16</v>
      </c>
      <c r="T57" s="157">
        <v>18</v>
      </c>
      <c r="U57" s="157" t="s">
        <v>160</v>
      </c>
      <c r="V57" s="157" t="s">
        <v>160</v>
      </c>
      <c r="W57" s="157" t="s">
        <v>160</v>
      </c>
      <c r="X57" t="s">
        <v>158</v>
      </c>
      <c r="Y57" s="131">
        <v>12.75</v>
      </c>
      <c r="Z57" s="131">
        <v>-78.73</v>
      </c>
      <c r="AA57" s="131">
        <v>12.75</v>
      </c>
      <c r="AB57" s="131">
        <v>-78.73</v>
      </c>
      <c r="AC57" s="131">
        <v>-2828</v>
      </c>
      <c r="AD57" s="131">
        <v>-2828</v>
      </c>
      <c r="AE57" s="153" t="s">
        <v>160</v>
      </c>
      <c r="AF57" s="153" t="s">
        <v>160</v>
      </c>
      <c r="AG57" s="138">
        <v>3062.9609380000002</v>
      </c>
      <c r="AH57" s="2" t="s">
        <v>159</v>
      </c>
      <c r="AI57" s="153" t="s">
        <v>160</v>
      </c>
      <c r="AJ57" s="153" t="s">
        <v>160</v>
      </c>
      <c r="AK57" s="154" t="s">
        <v>160</v>
      </c>
      <c r="AL57" s="154" t="s">
        <v>177</v>
      </c>
      <c r="AM57" s="157" t="s">
        <v>160</v>
      </c>
      <c r="AN57" t="s">
        <v>160</v>
      </c>
      <c r="AO57" t="s">
        <v>160</v>
      </c>
      <c r="AP57" t="s">
        <v>160</v>
      </c>
      <c r="AQ57" t="s">
        <v>160</v>
      </c>
      <c r="AR57" t="s">
        <v>160</v>
      </c>
      <c r="AS57" t="s">
        <v>160</v>
      </c>
      <c r="AT57" t="s">
        <v>160</v>
      </c>
      <c r="AU57" s="145" t="s">
        <v>178</v>
      </c>
      <c r="AV57" t="s">
        <v>161</v>
      </c>
      <c r="AW57" s="141" t="s">
        <v>179</v>
      </c>
      <c r="AX57" s="141" t="s">
        <v>180</v>
      </c>
      <c r="AY57" s="139" t="s">
        <v>181</v>
      </c>
      <c r="AZ57" s="139" t="s">
        <v>182</v>
      </c>
      <c r="BA57" t="s">
        <v>162</v>
      </c>
      <c r="BB57" s="153" t="s">
        <v>217</v>
      </c>
      <c r="BC57" s="153" t="s">
        <v>217</v>
      </c>
      <c r="BD57" s="153" t="s">
        <v>217</v>
      </c>
      <c r="BE57" s="138">
        <v>19.522780000000001</v>
      </c>
      <c r="BF57" t="s">
        <v>183</v>
      </c>
      <c r="BG57" s="138">
        <v>0.114770092</v>
      </c>
      <c r="BH57">
        <v>0.6</v>
      </c>
      <c r="BI57" t="s">
        <v>184</v>
      </c>
      <c r="BJ57" s="2">
        <v>0.08</v>
      </c>
      <c r="BK57">
        <v>8.8699999999999992</v>
      </c>
      <c r="BL57" t="s">
        <v>163</v>
      </c>
      <c r="BM57">
        <v>1.52</v>
      </c>
      <c r="BN57" t="s">
        <v>185</v>
      </c>
      <c r="BO57" t="s">
        <v>186</v>
      </c>
      <c r="BP57" s="158">
        <f t="shared" si="12"/>
        <v>17.754633333333338</v>
      </c>
      <c r="BQ57" t="s">
        <v>184</v>
      </c>
      <c r="BR57" s="154" t="s">
        <v>160</v>
      </c>
      <c r="BS57" s="154" t="s">
        <v>160</v>
      </c>
      <c r="BT57" t="s">
        <v>214</v>
      </c>
      <c r="BU57" t="s">
        <v>218</v>
      </c>
      <c r="BV57" t="s">
        <v>164</v>
      </c>
      <c r="BW57" t="s">
        <v>164</v>
      </c>
      <c r="BX57" s="138">
        <v>27.52</v>
      </c>
      <c r="BY57" t="s">
        <v>184</v>
      </c>
      <c r="BZ57" s="159">
        <v>3</v>
      </c>
      <c r="CA57" s="159">
        <v>3</v>
      </c>
      <c r="CB57" s="138">
        <v>3.3497333239082376</v>
      </c>
      <c r="CC57" s="138">
        <v>3.3497333239082376</v>
      </c>
      <c r="CD57" t="s">
        <v>188</v>
      </c>
      <c r="CE57" s="147">
        <f t="shared" si="13"/>
        <v>9.0442799745522412E-2</v>
      </c>
      <c r="CF57" s="147">
        <f t="shared" si="14"/>
        <v>9.0442799745522412E-2</v>
      </c>
      <c r="CG57" s="153" t="s">
        <v>215</v>
      </c>
      <c r="CH57" s="148" t="s">
        <v>207</v>
      </c>
      <c r="CI57" s="138">
        <v>3.6043041380295855</v>
      </c>
      <c r="CJ57" s="138" t="s">
        <v>244</v>
      </c>
      <c r="CK57" t="s">
        <v>160</v>
      </c>
      <c r="CL57" t="s">
        <v>189</v>
      </c>
      <c r="CM57" t="s">
        <v>160</v>
      </c>
      <c r="CN57" t="s">
        <v>160</v>
      </c>
      <c r="CO57" t="s">
        <v>160</v>
      </c>
      <c r="CP57" t="s">
        <v>160</v>
      </c>
      <c r="CQ57" t="s">
        <v>160</v>
      </c>
      <c r="CR57" t="s">
        <v>160</v>
      </c>
      <c r="CS57" t="s">
        <v>160</v>
      </c>
      <c r="CT57" t="s">
        <v>160</v>
      </c>
      <c r="CU57" s="134">
        <v>35</v>
      </c>
      <c r="CV57" t="s">
        <v>159</v>
      </c>
      <c r="CW57">
        <v>3</v>
      </c>
      <c r="CX57" s="149" t="s">
        <v>187</v>
      </c>
      <c r="CY57" s="157" t="s">
        <v>160</v>
      </c>
      <c r="CZ57" s="157" t="s">
        <v>160</v>
      </c>
      <c r="DA57" s="157" t="s">
        <v>160</v>
      </c>
      <c r="DB57" s="157" t="s">
        <v>160</v>
      </c>
      <c r="DC57" s="157" t="s">
        <v>160</v>
      </c>
      <c r="DD57" s="157" t="s">
        <v>160</v>
      </c>
      <c r="DE57" s="157" t="s">
        <v>160</v>
      </c>
      <c r="DF57" s="157" t="s">
        <v>160</v>
      </c>
      <c r="DG57" s="157" t="s">
        <v>160</v>
      </c>
      <c r="DH57" s="157" t="s">
        <v>160</v>
      </c>
      <c r="DI57" s="157" t="s">
        <v>160</v>
      </c>
      <c r="DJ57" s="157" t="s">
        <v>160</v>
      </c>
      <c r="DK57" s="132">
        <v>432.56244218316402</v>
      </c>
      <c r="DL57" t="s">
        <v>165</v>
      </c>
      <c r="DM57" s="153">
        <v>37.1</v>
      </c>
      <c r="DN57" t="s">
        <v>166</v>
      </c>
      <c r="DO57" s="138">
        <v>39.171378109999999</v>
      </c>
      <c r="DP57" s="154" t="s">
        <v>163</v>
      </c>
      <c r="DQ57" s="146">
        <v>0.2</v>
      </c>
      <c r="DR57" t="s">
        <v>190</v>
      </c>
      <c r="DS57" t="s">
        <v>167</v>
      </c>
      <c r="DT57" t="s">
        <v>168</v>
      </c>
      <c r="DU57">
        <v>1.0271999999999999</v>
      </c>
      <c r="DV57" t="s">
        <v>191</v>
      </c>
      <c r="DW57">
        <v>5.9999999999999995E-4</v>
      </c>
      <c r="DX57" t="s">
        <v>198</v>
      </c>
      <c r="DY57" t="s">
        <v>160</v>
      </c>
      <c r="DZ57" t="s">
        <v>160</v>
      </c>
      <c r="EA57" t="s">
        <v>192</v>
      </c>
      <c r="EB57" t="s">
        <v>169</v>
      </c>
      <c r="EC57" t="s">
        <v>170</v>
      </c>
      <c r="ED57" t="s">
        <v>170</v>
      </c>
      <c r="EE57" s="157" t="s">
        <v>160</v>
      </c>
      <c r="EF57" t="s">
        <v>160</v>
      </c>
      <c r="EG57" t="s">
        <v>160</v>
      </c>
      <c r="EH57" t="s">
        <v>171</v>
      </c>
      <c r="EI57" t="s">
        <v>193</v>
      </c>
      <c r="EJ57" t="s">
        <v>194</v>
      </c>
      <c r="EK57" s="137">
        <v>2330</v>
      </c>
      <c r="EL57" t="s">
        <v>211</v>
      </c>
      <c r="EM57">
        <v>175</v>
      </c>
      <c r="EN57">
        <v>175</v>
      </c>
      <c r="EO57" t="s">
        <v>160</v>
      </c>
      <c r="EP57" t="s">
        <v>160</v>
      </c>
      <c r="EQ57" t="s">
        <v>160</v>
      </c>
      <c r="ER57" t="s">
        <v>160</v>
      </c>
      <c r="ES57" s="138">
        <v>8.0179670174863098</v>
      </c>
      <c r="ET57" s="133" t="s">
        <v>172</v>
      </c>
      <c r="EU57" s="138">
        <v>6.649388887912977E-2</v>
      </c>
      <c r="EV57" s="138">
        <v>6.7616182604779418E-2</v>
      </c>
      <c r="EW57" s="147">
        <v>434.098099028148</v>
      </c>
      <c r="EX57" s="154">
        <v>21</v>
      </c>
      <c r="EY57" s="154" t="s">
        <v>195</v>
      </c>
      <c r="EZ57" s="138">
        <v>413.098099028148</v>
      </c>
      <c r="FA57" s="138">
        <v>94.649046109315975</v>
      </c>
      <c r="FB57" s="138">
        <v>81.836032830841987</v>
      </c>
      <c r="FC57" s="156" t="s">
        <v>212</v>
      </c>
      <c r="FD57" s="156" t="s">
        <v>213</v>
      </c>
      <c r="FE57" t="s">
        <v>173</v>
      </c>
      <c r="FF57" t="s">
        <v>173</v>
      </c>
      <c r="FG57" t="s">
        <v>173</v>
      </c>
      <c r="FH57" t="s">
        <v>173</v>
      </c>
      <c r="FI57" t="s">
        <v>173</v>
      </c>
      <c r="FJ57" t="s">
        <v>173</v>
      </c>
      <c r="FK57" t="s">
        <v>173</v>
      </c>
      <c r="FL57" t="s">
        <v>173</v>
      </c>
      <c r="FM57" t="s">
        <v>173</v>
      </c>
      <c r="FN57" t="s">
        <v>173</v>
      </c>
      <c r="FO57" t="s">
        <v>173</v>
      </c>
      <c r="FP57" t="s">
        <v>173</v>
      </c>
    </row>
    <row r="58" spans="1:172" ht="18" x14ac:dyDescent="0.2">
      <c r="A58" s="126" t="s">
        <v>152</v>
      </c>
      <c r="B58" t="s">
        <v>174</v>
      </c>
      <c r="C58">
        <v>2015</v>
      </c>
      <c r="D58" t="s">
        <v>196</v>
      </c>
      <c r="E58" s="147">
        <f t="shared" si="15"/>
        <v>3066.538086</v>
      </c>
      <c r="F58" s="135" t="s">
        <v>160</v>
      </c>
      <c r="G58" s="135" t="s">
        <v>160</v>
      </c>
      <c r="H58" s="147">
        <f t="shared" si="16"/>
        <v>379.83358018496301</v>
      </c>
      <c r="I58" s="147">
        <f t="shared" si="17"/>
        <v>86.485455406184997</v>
      </c>
      <c r="J58" s="147">
        <f t="shared" si="18"/>
        <v>74.895650652098027</v>
      </c>
      <c r="K58" t="s">
        <v>176</v>
      </c>
      <c r="L58" s="130" t="s">
        <v>206</v>
      </c>
      <c r="M58" s="136" t="s">
        <v>175</v>
      </c>
      <c r="N58" t="s">
        <v>196</v>
      </c>
      <c r="O58" t="s">
        <v>156</v>
      </c>
      <c r="P58" s="153" t="s">
        <v>157</v>
      </c>
      <c r="Q58" s="157">
        <v>11</v>
      </c>
      <c r="R58" s="157">
        <v>5</v>
      </c>
      <c r="S58" s="157">
        <v>28</v>
      </c>
      <c r="T58" s="157">
        <v>30</v>
      </c>
      <c r="U58" s="157" t="s">
        <v>160</v>
      </c>
      <c r="V58" s="157" t="s">
        <v>160</v>
      </c>
      <c r="W58" s="157" t="s">
        <v>160</v>
      </c>
      <c r="X58" t="s">
        <v>158</v>
      </c>
      <c r="Y58" s="131">
        <v>12.75</v>
      </c>
      <c r="Z58" s="131">
        <v>-78.73</v>
      </c>
      <c r="AA58" s="131">
        <v>12.75</v>
      </c>
      <c r="AB58" s="131">
        <v>-78.73</v>
      </c>
      <c r="AC58" s="131">
        <v>-2828</v>
      </c>
      <c r="AD58" s="131">
        <v>-2828</v>
      </c>
      <c r="AE58" s="153" t="s">
        <v>160</v>
      </c>
      <c r="AF58" s="153" t="s">
        <v>160</v>
      </c>
      <c r="AG58" s="138">
        <v>3066.538086</v>
      </c>
      <c r="AH58" s="2" t="s">
        <v>159</v>
      </c>
      <c r="AI58" s="153" t="s">
        <v>160</v>
      </c>
      <c r="AJ58" s="153" t="s">
        <v>160</v>
      </c>
      <c r="AK58" s="154" t="s">
        <v>160</v>
      </c>
      <c r="AL58" s="154" t="s">
        <v>177</v>
      </c>
      <c r="AM58" s="157" t="s">
        <v>160</v>
      </c>
      <c r="AN58" t="s">
        <v>160</v>
      </c>
      <c r="AO58" t="s">
        <v>160</v>
      </c>
      <c r="AP58" t="s">
        <v>160</v>
      </c>
      <c r="AQ58" t="s">
        <v>160</v>
      </c>
      <c r="AR58" t="s">
        <v>160</v>
      </c>
      <c r="AS58" t="s">
        <v>160</v>
      </c>
      <c r="AT58" t="s">
        <v>160</v>
      </c>
      <c r="AU58" s="145" t="s">
        <v>178</v>
      </c>
      <c r="AV58" t="s">
        <v>161</v>
      </c>
      <c r="AW58" s="141" t="s">
        <v>179</v>
      </c>
      <c r="AX58" s="139" t="s">
        <v>180</v>
      </c>
      <c r="AY58" s="139" t="s">
        <v>181</v>
      </c>
      <c r="AZ58" s="139" t="s">
        <v>182</v>
      </c>
      <c r="BA58" s="140" t="s">
        <v>162</v>
      </c>
      <c r="BB58" s="153" t="s">
        <v>217</v>
      </c>
      <c r="BC58" s="153" t="s">
        <v>217</v>
      </c>
      <c r="BD58" s="153" t="s">
        <v>217</v>
      </c>
      <c r="BE58" s="138">
        <v>19.6676</v>
      </c>
      <c r="BF58" t="s">
        <v>183</v>
      </c>
      <c r="BG58" s="138">
        <v>0.113555926</v>
      </c>
      <c r="BH58">
        <v>0.6</v>
      </c>
      <c r="BI58" t="s">
        <v>184</v>
      </c>
      <c r="BJ58" s="2">
        <v>0.08</v>
      </c>
      <c r="BK58">
        <v>8.8699999999999992</v>
      </c>
      <c r="BL58" t="s">
        <v>163</v>
      </c>
      <c r="BM58">
        <v>1.52</v>
      </c>
      <c r="BN58" t="s">
        <v>185</v>
      </c>
      <c r="BO58" t="s">
        <v>186</v>
      </c>
      <c r="BP58" s="158">
        <f t="shared" si="12"/>
        <v>17.996000000000002</v>
      </c>
      <c r="BQ58" t="s">
        <v>184</v>
      </c>
      <c r="BR58" s="154" t="s">
        <v>160</v>
      </c>
      <c r="BS58" s="154" t="s">
        <v>160</v>
      </c>
      <c r="BT58" t="s">
        <v>214</v>
      </c>
      <c r="BU58" t="s">
        <v>218</v>
      </c>
      <c r="BV58" t="s">
        <v>164</v>
      </c>
      <c r="BW58" t="s">
        <v>164</v>
      </c>
      <c r="BX58" s="138">
        <v>27.04336</v>
      </c>
      <c r="BY58" t="s">
        <v>184</v>
      </c>
      <c r="BZ58" s="159">
        <v>3</v>
      </c>
      <c r="CA58" s="159">
        <v>3</v>
      </c>
      <c r="CB58" s="138">
        <v>3.2071428815076004</v>
      </c>
      <c r="CC58" s="138">
        <v>3.2071428815076004</v>
      </c>
      <c r="CD58" t="s">
        <v>188</v>
      </c>
      <c r="CE58" s="147">
        <f t="shared" si="13"/>
        <v>8.6592857800705206E-2</v>
      </c>
      <c r="CF58" s="147">
        <f t="shared" si="14"/>
        <v>8.6592857800705206E-2</v>
      </c>
      <c r="CG58" s="153" t="s">
        <v>215</v>
      </c>
      <c r="CH58" s="148" t="s">
        <v>207</v>
      </c>
      <c r="CI58" s="138">
        <v>3.5990100093583464</v>
      </c>
      <c r="CJ58" s="138" t="s">
        <v>244</v>
      </c>
      <c r="CK58" t="s">
        <v>160</v>
      </c>
      <c r="CL58" t="s">
        <v>189</v>
      </c>
      <c r="CM58" t="s">
        <v>160</v>
      </c>
      <c r="CN58" t="s">
        <v>160</v>
      </c>
      <c r="CO58" t="s">
        <v>160</v>
      </c>
      <c r="CP58" t="s">
        <v>160</v>
      </c>
      <c r="CQ58" t="s">
        <v>160</v>
      </c>
      <c r="CR58" t="s">
        <v>160</v>
      </c>
      <c r="CS58" t="s">
        <v>160</v>
      </c>
      <c r="CT58" t="s">
        <v>160</v>
      </c>
      <c r="CU58" s="134">
        <v>35</v>
      </c>
      <c r="CV58" t="s">
        <v>159</v>
      </c>
      <c r="CW58">
        <v>3</v>
      </c>
      <c r="CX58" s="149" t="s">
        <v>187</v>
      </c>
      <c r="CY58" s="157" t="s">
        <v>160</v>
      </c>
      <c r="CZ58" s="157" t="s">
        <v>160</v>
      </c>
      <c r="DA58" s="157" t="s">
        <v>160</v>
      </c>
      <c r="DB58" s="157" t="s">
        <v>160</v>
      </c>
      <c r="DC58" s="157" t="s">
        <v>160</v>
      </c>
      <c r="DD58" s="157" t="s">
        <v>160</v>
      </c>
      <c r="DE58" s="157" t="s">
        <v>160</v>
      </c>
      <c r="DF58" s="157" t="s">
        <v>160</v>
      </c>
      <c r="DG58" s="157" t="s">
        <v>160</v>
      </c>
      <c r="DH58" s="157" t="s">
        <v>160</v>
      </c>
      <c r="DI58" s="157" t="s">
        <v>160</v>
      </c>
      <c r="DJ58" s="157" t="s">
        <v>160</v>
      </c>
      <c r="DK58" s="132">
        <v>432.56244218316402</v>
      </c>
      <c r="DL58" t="s">
        <v>165</v>
      </c>
      <c r="DM58" s="153">
        <v>37.1</v>
      </c>
      <c r="DN58" t="s">
        <v>166</v>
      </c>
      <c r="DO58" s="138">
        <v>39.171294570000001</v>
      </c>
      <c r="DP58" s="154" t="s">
        <v>163</v>
      </c>
      <c r="DQ58" s="146">
        <v>0.2</v>
      </c>
      <c r="DR58" t="s">
        <v>190</v>
      </c>
      <c r="DS58" t="s">
        <v>167</v>
      </c>
      <c r="DT58" t="s">
        <v>168</v>
      </c>
      <c r="DU58">
        <v>1.0271999999999999</v>
      </c>
      <c r="DV58" t="s">
        <v>191</v>
      </c>
      <c r="DW58">
        <v>5.9999999999999995E-4</v>
      </c>
      <c r="DX58" t="s">
        <v>198</v>
      </c>
      <c r="DY58" t="s">
        <v>160</v>
      </c>
      <c r="DZ58" t="s">
        <v>160</v>
      </c>
      <c r="EA58" t="s">
        <v>192</v>
      </c>
      <c r="EB58" t="s">
        <v>169</v>
      </c>
      <c r="EC58" t="s">
        <v>170</v>
      </c>
      <c r="ED58" t="s">
        <v>170</v>
      </c>
      <c r="EE58" s="157" t="s">
        <v>160</v>
      </c>
      <c r="EF58" t="s">
        <v>160</v>
      </c>
      <c r="EG58" t="s">
        <v>160</v>
      </c>
      <c r="EH58" t="s">
        <v>171</v>
      </c>
      <c r="EI58" t="s">
        <v>193</v>
      </c>
      <c r="EJ58" t="s">
        <v>194</v>
      </c>
      <c r="EK58" s="137">
        <v>2330</v>
      </c>
      <c r="EL58" t="s">
        <v>211</v>
      </c>
      <c r="EM58">
        <v>175</v>
      </c>
      <c r="EN58">
        <v>175</v>
      </c>
      <c r="EO58" t="s">
        <v>160</v>
      </c>
      <c r="EP58" t="s">
        <v>160</v>
      </c>
      <c r="EQ58" t="s">
        <v>160</v>
      </c>
      <c r="ER58" t="s">
        <v>160</v>
      </c>
      <c r="ES58" s="138">
        <v>8.0460742344515808</v>
      </c>
      <c r="ET58" s="133" t="s">
        <v>172</v>
      </c>
      <c r="EU58" s="138">
        <v>6.4916760567699683E-2</v>
      </c>
      <c r="EV58" s="138">
        <v>6.6685761259750898E-2</v>
      </c>
      <c r="EW58" s="147">
        <v>400.83358018496301</v>
      </c>
      <c r="EX58" s="154">
        <v>21</v>
      </c>
      <c r="EY58" s="154" t="s">
        <v>195</v>
      </c>
      <c r="EZ58" s="138">
        <v>379.83358018496301</v>
      </c>
      <c r="FA58" s="138">
        <v>86.485455406184997</v>
      </c>
      <c r="FB58" s="138">
        <v>74.895650652098027</v>
      </c>
      <c r="FC58" s="156" t="s">
        <v>212</v>
      </c>
      <c r="FD58" s="156" t="s">
        <v>213</v>
      </c>
      <c r="FE58" t="s">
        <v>173</v>
      </c>
      <c r="FF58" t="s">
        <v>173</v>
      </c>
      <c r="FG58" t="s">
        <v>173</v>
      </c>
      <c r="FH58" t="s">
        <v>173</v>
      </c>
      <c r="FI58" t="s">
        <v>173</v>
      </c>
      <c r="FJ58" t="s">
        <v>173</v>
      </c>
      <c r="FK58" t="s">
        <v>173</v>
      </c>
      <c r="FL58" t="s">
        <v>173</v>
      </c>
      <c r="FM58" t="s">
        <v>173</v>
      </c>
      <c r="FN58" t="s">
        <v>173</v>
      </c>
      <c r="FO58" t="s">
        <v>173</v>
      </c>
      <c r="FP58" t="s">
        <v>173</v>
      </c>
    </row>
    <row r="59" spans="1:172" ht="18" x14ac:dyDescent="0.2">
      <c r="A59" s="126" t="s">
        <v>152</v>
      </c>
      <c r="B59" t="s">
        <v>174</v>
      </c>
      <c r="C59">
        <v>2015</v>
      </c>
      <c r="D59" t="s">
        <v>196</v>
      </c>
      <c r="E59" s="147">
        <f t="shared" si="15"/>
        <v>3091.1833499999998</v>
      </c>
      <c r="F59" s="135" t="s">
        <v>160</v>
      </c>
      <c r="G59" s="135" t="s">
        <v>160</v>
      </c>
      <c r="H59" s="147">
        <f t="shared" si="16"/>
        <v>334.19677467550503</v>
      </c>
      <c r="I59" s="147">
        <f t="shared" si="17"/>
        <v>74.057556044031969</v>
      </c>
      <c r="J59" s="147">
        <f t="shared" si="18"/>
        <v>63.918527699288006</v>
      </c>
      <c r="K59" t="s">
        <v>176</v>
      </c>
      <c r="L59" s="130" t="s">
        <v>206</v>
      </c>
      <c r="M59" s="136" t="s">
        <v>175</v>
      </c>
      <c r="N59" t="s">
        <v>196</v>
      </c>
      <c r="O59" t="s">
        <v>156</v>
      </c>
      <c r="P59" s="153" t="s">
        <v>157</v>
      </c>
      <c r="Q59" s="157">
        <v>11</v>
      </c>
      <c r="R59" s="157">
        <v>5</v>
      </c>
      <c r="S59" s="157">
        <v>112</v>
      </c>
      <c r="T59" s="157">
        <v>114</v>
      </c>
      <c r="U59" s="157" t="s">
        <v>160</v>
      </c>
      <c r="V59" s="157" t="s">
        <v>160</v>
      </c>
      <c r="W59" s="157" t="s">
        <v>160</v>
      </c>
      <c r="X59" t="s">
        <v>158</v>
      </c>
      <c r="Y59" s="131">
        <v>12.75</v>
      </c>
      <c r="Z59" s="131">
        <v>-78.73</v>
      </c>
      <c r="AA59" s="131">
        <v>12.75</v>
      </c>
      <c r="AB59" s="131">
        <v>-78.73</v>
      </c>
      <c r="AC59" s="131">
        <v>-2828</v>
      </c>
      <c r="AD59" s="131">
        <v>-2828</v>
      </c>
      <c r="AE59" s="153" t="s">
        <v>160</v>
      </c>
      <c r="AF59" s="153" t="s">
        <v>160</v>
      </c>
      <c r="AG59" s="138">
        <v>3091.1833499999998</v>
      </c>
      <c r="AH59" s="2" t="s">
        <v>159</v>
      </c>
      <c r="AI59" s="153" t="s">
        <v>160</v>
      </c>
      <c r="AJ59" s="153" t="s">
        <v>160</v>
      </c>
      <c r="AK59" s="154" t="s">
        <v>160</v>
      </c>
      <c r="AL59" s="154" t="s">
        <v>177</v>
      </c>
      <c r="AM59" s="157" t="s">
        <v>160</v>
      </c>
      <c r="AN59" t="s">
        <v>160</v>
      </c>
      <c r="AO59" t="s">
        <v>160</v>
      </c>
      <c r="AP59" t="s">
        <v>160</v>
      </c>
      <c r="AQ59" t="s">
        <v>160</v>
      </c>
      <c r="AR59" t="s">
        <v>160</v>
      </c>
      <c r="AS59" t="s">
        <v>160</v>
      </c>
      <c r="AT59" t="s">
        <v>160</v>
      </c>
      <c r="AU59" s="145" t="s">
        <v>178</v>
      </c>
      <c r="AV59" t="s">
        <v>161</v>
      </c>
      <c r="AW59" s="141" t="s">
        <v>179</v>
      </c>
      <c r="AX59" s="141" t="s">
        <v>180</v>
      </c>
      <c r="AY59" s="139" t="s">
        <v>181</v>
      </c>
      <c r="AZ59" s="139" t="s">
        <v>182</v>
      </c>
      <c r="BA59" t="s">
        <v>162</v>
      </c>
      <c r="BB59" s="153" t="s">
        <v>217</v>
      </c>
      <c r="BC59" s="153" t="s">
        <v>217</v>
      </c>
      <c r="BD59" s="153" t="s">
        <v>217</v>
      </c>
      <c r="BE59" s="138">
        <v>20.033519999999999</v>
      </c>
      <c r="BF59" t="s">
        <v>183</v>
      </c>
      <c r="BG59" s="138">
        <v>0.108315068</v>
      </c>
      <c r="BH59">
        <v>0.6</v>
      </c>
      <c r="BI59" t="s">
        <v>184</v>
      </c>
      <c r="BJ59" s="2">
        <v>0.08</v>
      </c>
      <c r="BK59">
        <v>8.8699999999999992</v>
      </c>
      <c r="BL59" t="s">
        <v>163</v>
      </c>
      <c r="BM59">
        <v>1.52</v>
      </c>
      <c r="BN59" t="s">
        <v>185</v>
      </c>
      <c r="BO59" t="s">
        <v>186</v>
      </c>
      <c r="BP59" s="158">
        <f t="shared" si="12"/>
        <v>18.605866666666667</v>
      </c>
      <c r="BQ59" t="s">
        <v>184</v>
      </c>
      <c r="BR59" s="154" t="s">
        <v>160</v>
      </c>
      <c r="BS59" s="154" t="s">
        <v>160</v>
      </c>
      <c r="BT59" t="s">
        <v>214</v>
      </c>
      <c r="BU59" t="s">
        <v>218</v>
      </c>
      <c r="BV59" t="s">
        <v>164</v>
      </c>
      <c r="BW59" t="s">
        <v>164</v>
      </c>
      <c r="BX59" s="138">
        <v>28.26849</v>
      </c>
      <c r="BY59" t="s">
        <v>184</v>
      </c>
      <c r="BZ59" s="159">
        <v>3</v>
      </c>
      <c r="CA59" s="159">
        <v>3</v>
      </c>
      <c r="CB59" s="138">
        <v>3.5661056276710639</v>
      </c>
      <c r="CC59" s="138">
        <v>3.5661056276710639</v>
      </c>
      <c r="CD59" t="s">
        <v>188</v>
      </c>
      <c r="CE59" s="147">
        <f t="shared" si="13"/>
        <v>9.6284851947118721E-2</v>
      </c>
      <c r="CF59" s="147">
        <f t="shared" si="14"/>
        <v>9.6284851947118721E-2</v>
      </c>
      <c r="CG59" s="153" t="s">
        <v>215</v>
      </c>
      <c r="CH59" s="148" t="s">
        <v>207</v>
      </c>
      <c r="CI59" s="138">
        <v>3.5626080544314624</v>
      </c>
      <c r="CJ59" s="138" t="s">
        <v>244</v>
      </c>
      <c r="CK59" t="s">
        <v>160</v>
      </c>
      <c r="CL59" t="s">
        <v>189</v>
      </c>
      <c r="CM59" t="s">
        <v>160</v>
      </c>
      <c r="CN59" t="s">
        <v>160</v>
      </c>
      <c r="CO59" t="s">
        <v>160</v>
      </c>
      <c r="CP59" t="s">
        <v>160</v>
      </c>
      <c r="CQ59" t="s">
        <v>160</v>
      </c>
      <c r="CR59" t="s">
        <v>160</v>
      </c>
      <c r="CS59" t="s">
        <v>160</v>
      </c>
      <c r="CT59" t="s">
        <v>160</v>
      </c>
      <c r="CU59" s="134">
        <v>35</v>
      </c>
      <c r="CV59" t="s">
        <v>159</v>
      </c>
      <c r="CW59">
        <v>3</v>
      </c>
      <c r="CX59" s="149" t="s">
        <v>187</v>
      </c>
      <c r="CY59" s="157" t="s">
        <v>160</v>
      </c>
      <c r="CZ59" s="157" t="s">
        <v>160</v>
      </c>
      <c r="DA59" s="157" t="s">
        <v>160</v>
      </c>
      <c r="DB59" s="157" t="s">
        <v>160</v>
      </c>
      <c r="DC59" s="157" t="s">
        <v>160</v>
      </c>
      <c r="DD59" s="157" t="s">
        <v>160</v>
      </c>
      <c r="DE59" s="157" t="s">
        <v>160</v>
      </c>
      <c r="DF59" s="157" t="s">
        <v>160</v>
      </c>
      <c r="DG59" s="157" t="s">
        <v>160</v>
      </c>
      <c r="DH59" s="157" t="s">
        <v>160</v>
      </c>
      <c r="DI59" s="157" t="s">
        <v>160</v>
      </c>
      <c r="DJ59" s="157" t="s">
        <v>160</v>
      </c>
      <c r="DK59" s="132">
        <v>432.56244218316402</v>
      </c>
      <c r="DL59" t="s">
        <v>165</v>
      </c>
      <c r="DM59" s="153">
        <v>37.1</v>
      </c>
      <c r="DN59" t="s">
        <v>166</v>
      </c>
      <c r="DO59" s="138">
        <v>39.167604040000001</v>
      </c>
      <c r="DP59" s="154" t="s">
        <v>163</v>
      </c>
      <c r="DQ59" s="146">
        <v>0.2</v>
      </c>
      <c r="DR59" t="s">
        <v>190</v>
      </c>
      <c r="DS59" t="s">
        <v>167</v>
      </c>
      <c r="DT59" t="s">
        <v>168</v>
      </c>
      <c r="DU59">
        <v>1.0271999999999999</v>
      </c>
      <c r="DV59" t="s">
        <v>191</v>
      </c>
      <c r="DW59">
        <v>5.9999999999999995E-4</v>
      </c>
      <c r="DX59" t="s">
        <v>198</v>
      </c>
      <c r="DY59" t="s">
        <v>160</v>
      </c>
      <c r="DZ59" t="s">
        <v>160</v>
      </c>
      <c r="EA59" t="s">
        <v>192</v>
      </c>
      <c r="EB59" t="s">
        <v>169</v>
      </c>
      <c r="EC59" t="s">
        <v>170</v>
      </c>
      <c r="ED59" t="s">
        <v>170</v>
      </c>
      <c r="EE59" s="157" t="s">
        <v>160</v>
      </c>
      <c r="EF59" t="s">
        <v>160</v>
      </c>
      <c r="EG59" t="s">
        <v>160</v>
      </c>
      <c r="EH59" t="s">
        <v>171</v>
      </c>
      <c r="EI59" t="s">
        <v>193</v>
      </c>
      <c r="EJ59" t="s">
        <v>194</v>
      </c>
      <c r="EK59" s="137">
        <v>2330</v>
      </c>
      <c r="EL59" t="s">
        <v>211</v>
      </c>
      <c r="EM59">
        <v>175</v>
      </c>
      <c r="EN59">
        <v>175</v>
      </c>
      <c r="EO59" t="s">
        <v>160</v>
      </c>
      <c r="EP59" t="s">
        <v>160</v>
      </c>
      <c r="EQ59" t="s">
        <v>160</v>
      </c>
      <c r="ER59" t="s">
        <v>160</v>
      </c>
      <c r="ES59" s="138">
        <v>8.0869230501732101</v>
      </c>
      <c r="ET59" s="133" t="s">
        <v>172</v>
      </c>
      <c r="EU59" s="138">
        <v>6.4981330194379794E-2</v>
      </c>
      <c r="EV59" s="138">
        <v>6.3342801275439342E-2</v>
      </c>
      <c r="EW59" s="147">
        <v>355.19677467550503</v>
      </c>
      <c r="EX59" s="154">
        <v>21</v>
      </c>
      <c r="EY59" s="154" t="s">
        <v>195</v>
      </c>
      <c r="EZ59" s="138">
        <v>334.19677467550503</v>
      </c>
      <c r="FA59" s="138">
        <v>74.057556044031969</v>
      </c>
      <c r="FB59" s="138">
        <v>63.918527699288006</v>
      </c>
      <c r="FC59" s="156" t="s">
        <v>212</v>
      </c>
      <c r="FD59" s="156" t="s">
        <v>213</v>
      </c>
      <c r="FE59" t="s">
        <v>173</v>
      </c>
      <c r="FF59" t="s">
        <v>173</v>
      </c>
      <c r="FG59" t="s">
        <v>173</v>
      </c>
      <c r="FH59" t="s">
        <v>173</v>
      </c>
      <c r="FI59" t="s">
        <v>173</v>
      </c>
      <c r="FJ59" t="s">
        <v>173</v>
      </c>
      <c r="FK59" t="s">
        <v>173</v>
      </c>
      <c r="FL59" t="s">
        <v>173</v>
      </c>
      <c r="FM59" t="s">
        <v>173</v>
      </c>
      <c r="FN59" t="s">
        <v>173</v>
      </c>
      <c r="FO59" t="s">
        <v>173</v>
      </c>
      <c r="FP59" t="s">
        <v>173</v>
      </c>
    </row>
    <row r="60" spans="1:172" ht="18" x14ac:dyDescent="0.2">
      <c r="A60" s="126" t="s">
        <v>152</v>
      </c>
      <c r="B60" t="s">
        <v>174</v>
      </c>
      <c r="C60">
        <v>2015</v>
      </c>
      <c r="D60" t="s">
        <v>196</v>
      </c>
      <c r="E60" s="147">
        <f t="shared" si="15"/>
        <v>3100.1770019999999</v>
      </c>
      <c r="F60" s="135" t="s">
        <v>160</v>
      </c>
      <c r="G60" s="135" t="s">
        <v>160</v>
      </c>
      <c r="H60" s="147">
        <f t="shared" si="16"/>
        <v>319.30767521218098</v>
      </c>
      <c r="I60" s="147">
        <f t="shared" si="17"/>
        <v>73.343410636235035</v>
      </c>
      <c r="J60" s="147">
        <f t="shared" si="18"/>
        <v>62.018006589734</v>
      </c>
      <c r="K60" t="s">
        <v>176</v>
      </c>
      <c r="L60" s="130" t="s">
        <v>206</v>
      </c>
      <c r="M60" s="136" t="s">
        <v>175</v>
      </c>
      <c r="N60" t="s">
        <v>196</v>
      </c>
      <c r="O60" t="s">
        <v>156</v>
      </c>
      <c r="P60" s="153" t="s">
        <v>157</v>
      </c>
      <c r="Q60" s="157">
        <v>11</v>
      </c>
      <c r="R60" s="157">
        <v>5</v>
      </c>
      <c r="S60" s="157">
        <v>142</v>
      </c>
      <c r="T60" s="157">
        <v>144</v>
      </c>
      <c r="U60" s="157" t="s">
        <v>160</v>
      </c>
      <c r="V60" s="157" t="s">
        <v>160</v>
      </c>
      <c r="W60" s="157" t="s">
        <v>160</v>
      </c>
      <c r="X60" t="s">
        <v>158</v>
      </c>
      <c r="Y60" s="131">
        <v>12.75</v>
      </c>
      <c r="Z60" s="131">
        <v>-78.73</v>
      </c>
      <c r="AA60" s="131">
        <v>12.75</v>
      </c>
      <c r="AB60" s="131">
        <v>-78.73</v>
      </c>
      <c r="AC60" s="131">
        <v>-2828</v>
      </c>
      <c r="AD60" s="131">
        <v>-2828</v>
      </c>
      <c r="AE60" s="153" t="s">
        <v>160</v>
      </c>
      <c r="AF60" s="153" t="s">
        <v>160</v>
      </c>
      <c r="AG60" s="138">
        <v>3100.1770019999999</v>
      </c>
      <c r="AH60" s="2" t="s">
        <v>159</v>
      </c>
      <c r="AI60" s="153" t="s">
        <v>160</v>
      </c>
      <c r="AJ60" s="153" t="s">
        <v>160</v>
      </c>
      <c r="AK60" s="154" t="s">
        <v>160</v>
      </c>
      <c r="AL60" s="154" t="s">
        <v>177</v>
      </c>
      <c r="AM60" s="157" t="s">
        <v>160</v>
      </c>
      <c r="AN60" t="s">
        <v>160</v>
      </c>
      <c r="AO60" t="s">
        <v>160</v>
      </c>
      <c r="AP60" t="s">
        <v>160</v>
      </c>
      <c r="AQ60" t="s">
        <v>160</v>
      </c>
      <c r="AR60" t="s">
        <v>160</v>
      </c>
      <c r="AS60" t="s">
        <v>160</v>
      </c>
      <c r="AT60" t="s">
        <v>160</v>
      </c>
      <c r="AU60" s="145" t="s">
        <v>178</v>
      </c>
      <c r="AV60" t="s">
        <v>161</v>
      </c>
      <c r="AW60" s="141" t="s">
        <v>179</v>
      </c>
      <c r="AX60" s="139" t="s">
        <v>180</v>
      </c>
      <c r="AY60" s="139" t="s">
        <v>181</v>
      </c>
      <c r="AZ60" s="139" t="s">
        <v>182</v>
      </c>
      <c r="BA60" s="140" t="s">
        <v>162</v>
      </c>
      <c r="BB60" s="153" t="s">
        <v>217</v>
      </c>
      <c r="BC60" s="153" t="s">
        <v>217</v>
      </c>
      <c r="BD60" s="153" t="s">
        <v>217</v>
      </c>
      <c r="BE60" s="138">
        <v>20.10444</v>
      </c>
      <c r="BF60" t="s">
        <v>183</v>
      </c>
      <c r="BG60" s="138">
        <v>0.10635955900000001</v>
      </c>
      <c r="BH60">
        <v>0.6</v>
      </c>
      <c r="BI60" t="s">
        <v>184</v>
      </c>
      <c r="BJ60" s="2">
        <v>0.08</v>
      </c>
      <c r="BK60">
        <v>8.8699999999999992</v>
      </c>
      <c r="BL60" t="s">
        <v>163</v>
      </c>
      <c r="BM60">
        <v>1.52</v>
      </c>
      <c r="BN60" t="s">
        <v>185</v>
      </c>
      <c r="BO60" t="s">
        <v>186</v>
      </c>
      <c r="BP60" s="158">
        <f t="shared" si="12"/>
        <v>18.724066666666669</v>
      </c>
      <c r="BQ60" t="s">
        <v>184</v>
      </c>
      <c r="BR60" s="154" t="s">
        <v>160</v>
      </c>
      <c r="BS60" s="154" t="s">
        <v>160</v>
      </c>
      <c r="BT60" t="s">
        <v>214</v>
      </c>
      <c r="BU60" t="s">
        <v>218</v>
      </c>
      <c r="BV60" t="s">
        <v>164</v>
      </c>
      <c r="BW60" t="s">
        <v>164</v>
      </c>
      <c r="BX60" s="138">
        <v>27.929300000000001</v>
      </c>
      <c r="BY60" t="s">
        <v>184</v>
      </c>
      <c r="BZ60" s="159">
        <v>3</v>
      </c>
      <c r="CA60" s="159">
        <v>3</v>
      </c>
      <c r="CB60" s="138">
        <v>3.4536460145750554</v>
      </c>
      <c r="CC60" s="138">
        <v>3.4536460145750554</v>
      </c>
      <c r="CD60" t="s">
        <v>188</v>
      </c>
      <c r="CE60" s="147">
        <f t="shared" si="13"/>
        <v>9.324844239352649E-2</v>
      </c>
      <c r="CF60" s="147">
        <f t="shared" si="14"/>
        <v>9.324844239352649E-2</v>
      </c>
      <c r="CG60" s="153" t="s">
        <v>215</v>
      </c>
      <c r="CH60" s="148" t="s">
        <v>207</v>
      </c>
      <c r="CI60" s="138">
        <v>3.5494546481648559</v>
      </c>
      <c r="CJ60" s="138" t="s">
        <v>244</v>
      </c>
      <c r="CK60" t="s">
        <v>160</v>
      </c>
      <c r="CL60" t="s">
        <v>189</v>
      </c>
      <c r="CM60" t="s">
        <v>160</v>
      </c>
      <c r="CN60" t="s">
        <v>160</v>
      </c>
      <c r="CO60" t="s">
        <v>160</v>
      </c>
      <c r="CP60" t="s">
        <v>160</v>
      </c>
      <c r="CQ60" t="s">
        <v>160</v>
      </c>
      <c r="CR60" t="s">
        <v>160</v>
      </c>
      <c r="CS60" t="s">
        <v>160</v>
      </c>
      <c r="CT60" t="s">
        <v>160</v>
      </c>
      <c r="CU60" s="134">
        <v>35</v>
      </c>
      <c r="CV60" t="s">
        <v>159</v>
      </c>
      <c r="CW60">
        <v>3</v>
      </c>
      <c r="CX60" s="149" t="s">
        <v>187</v>
      </c>
      <c r="CY60" s="157" t="s">
        <v>160</v>
      </c>
      <c r="CZ60" s="157" t="s">
        <v>160</v>
      </c>
      <c r="DA60" s="157" t="s">
        <v>160</v>
      </c>
      <c r="DB60" s="157" t="s">
        <v>160</v>
      </c>
      <c r="DC60" s="157" t="s">
        <v>160</v>
      </c>
      <c r="DD60" s="157" t="s">
        <v>160</v>
      </c>
      <c r="DE60" s="157" t="s">
        <v>160</v>
      </c>
      <c r="DF60" s="157" t="s">
        <v>160</v>
      </c>
      <c r="DG60" s="157" t="s">
        <v>160</v>
      </c>
      <c r="DH60" s="157" t="s">
        <v>160</v>
      </c>
      <c r="DI60" s="157" t="s">
        <v>160</v>
      </c>
      <c r="DJ60" s="157" t="s">
        <v>160</v>
      </c>
      <c r="DK60" s="132">
        <v>432.56244218316402</v>
      </c>
      <c r="DL60" t="s">
        <v>165</v>
      </c>
      <c r="DM60" s="153">
        <v>37.1</v>
      </c>
      <c r="DN60" t="s">
        <v>166</v>
      </c>
      <c r="DO60" s="138">
        <v>39.166196669999998</v>
      </c>
      <c r="DP60" s="154" t="s">
        <v>163</v>
      </c>
      <c r="DQ60" s="146">
        <v>0.2</v>
      </c>
      <c r="DR60" t="s">
        <v>190</v>
      </c>
      <c r="DS60" t="s">
        <v>167</v>
      </c>
      <c r="DT60" t="s">
        <v>168</v>
      </c>
      <c r="DU60">
        <v>1.0271999999999999</v>
      </c>
      <c r="DV60" t="s">
        <v>191</v>
      </c>
      <c r="DW60">
        <v>5.9999999999999995E-4</v>
      </c>
      <c r="DX60" t="s">
        <v>198</v>
      </c>
      <c r="DY60" t="s">
        <v>160</v>
      </c>
      <c r="DZ60" t="s">
        <v>160</v>
      </c>
      <c r="EA60" t="s">
        <v>192</v>
      </c>
      <c r="EB60" t="s">
        <v>169</v>
      </c>
      <c r="EC60" t="s">
        <v>170</v>
      </c>
      <c r="ED60" t="s">
        <v>170</v>
      </c>
      <c r="EE60" s="157" t="s">
        <v>160</v>
      </c>
      <c r="EF60" t="s">
        <v>160</v>
      </c>
      <c r="EG60" t="s">
        <v>160</v>
      </c>
      <c r="EH60" t="s">
        <v>171</v>
      </c>
      <c r="EI60" t="s">
        <v>193</v>
      </c>
      <c r="EJ60" t="s">
        <v>194</v>
      </c>
      <c r="EK60" s="137">
        <v>2330</v>
      </c>
      <c r="EL60" t="s">
        <v>211</v>
      </c>
      <c r="EM60">
        <v>175</v>
      </c>
      <c r="EN60">
        <v>175</v>
      </c>
      <c r="EO60" t="s">
        <v>160</v>
      </c>
      <c r="EP60" t="s">
        <v>160</v>
      </c>
      <c r="EQ60" t="s">
        <v>160</v>
      </c>
      <c r="ER60" t="s">
        <v>160</v>
      </c>
      <c r="ES60" s="138">
        <v>8.1017627702584605</v>
      </c>
      <c r="ET60" s="133" t="s">
        <v>172</v>
      </c>
      <c r="EU60" s="138">
        <v>6.2858591952819509E-2</v>
      </c>
      <c r="EV60" s="138">
        <v>6.5605084471160424E-2</v>
      </c>
      <c r="EW60" s="147">
        <v>340.30767521218098</v>
      </c>
      <c r="EX60" s="154">
        <v>21</v>
      </c>
      <c r="EY60" s="154" t="s">
        <v>195</v>
      </c>
      <c r="EZ60" s="138">
        <v>319.30767521218098</v>
      </c>
      <c r="FA60" s="138">
        <v>73.343410636235035</v>
      </c>
      <c r="FB60" s="138">
        <v>62.018006589734</v>
      </c>
      <c r="FC60" s="156" t="s">
        <v>212</v>
      </c>
      <c r="FD60" s="156" t="s">
        <v>213</v>
      </c>
      <c r="FE60" t="s">
        <v>173</v>
      </c>
      <c r="FF60" t="s">
        <v>173</v>
      </c>
      <c r="FG60" t="s">
        <v>173</v>
      </c>
      <c r="FH60" t="s">
        <v>173</v>
      </c>
      <c r="FI60" t="s">
        <v>173</v>
      </c>
      <c r="FJ60" t="s">
        <v>173</v>
      </c>
      <c r="FK60" t="s">
        <v>173</v>
      </c>
      <c r="FL60" t="s">
        <v>173</v>
      </c>
      <c r="FM60" t="s">
        <v>173</v>
      </c>
      <c r="FN60" t="s">
        <v>173</v>
      </c>
      <c r="FO60" t="s">
        <v>173</v>
      </c>
      <c r="FP60" t="s">
        <v>173</v>
      </c>
    </row>
    <row r="61" spans="1:172" ht="18" x14ac:dyDescent="0.2">
      <c r="A61" s="126" t="s">
        <v>152</v>
      </c>
      <c r="B61" t="s">
        <v>174</v>
      </c>
      <c r="C61">
        <v>2015</v>
      </c>
      <c r="D61" t="s">
        <v>196</v>
      </c>
      <c r="E61" s="147">
        <f t="shared" si="15"/>
        <v>3114.2382809999999</v>
      </c>
      <c r="F61" s="135" t="s">
        <v>160</v>
      </c>
      <c r="G61" s="135" t="s">
        <v>160</v>
      </c>
      <c r="H61" s="147">
        <f t="shared" si="16"/>
        <v>391.55377622173899</v>
      </c>
      <c r="I61" s="147">
        <f t="shared" si="17"/>
        <v>87.936237289319024</v>
      </c>
      <c r="J61" s="147">
        <f t="shared" si="18"/>
        <v>76.19520949012599</v>
      </c>
      <c r="K61" t="s">
        <v>176</v>
      </c>
      <c r="L61" s="130" t="s">
        <v>206</v>
      </c>
      <c r="M61" s="136" t="s">
        <v>175</v>
      </c>
      <c r="N61" t="s">
        <v>196</v>
      </c>
      <c r="O61" t="s">
        <v>156</v>
      </c>
      <c r="P61" s="153" t="s">
        <v>157</v>
      </c>
      <c r="Q61" s="157">
        <v>11</v>
      </c>
      <c r="R61" s="157">
        <v>6</v>
      </c>
      <c r="S61" s="157">
        <v>38</v>
      </c>
      <c r="T61" s="157">
        <v>40</v>
      </c>
      <c r="U61" s="157" t="s">
        <v>160</v>
      </c>
      <c r="V61" s="157" t="s">
        <v>160</v>
      </c>
      <c r="W61" s="157" t="s">
        <v>160</v>
      </c>
      <c r="X61" t="s">
        <v>158</v>
      </c>
      <c r="Y61" s="131">
        <v>12.75</v>
      </c>
      <c r="Z61" s="131">
        <v>-78.73</v>
      </c>
      <c r="AA61" s="131">
        <v>12.75</v>
      </c>
      <c r="AB61" s="131">
        <v>-78.73</v>
      </c>
      <c r="AC61" s="131">
        <v>-2828</v>
      </c>
      <c r="AD61" s="131">
        <v>-2828</v>
      </c>
      <c r="AE61" s="153" t="s">
        <v>160</v>
      </c>
      <c r="AF61" s="153" t="s">
        <v>160</v>
      </c>
      <c r="AG61" s="138">
        <v>3114.2382809999999</v>
      </c>
      <c r="AH61" s="2" t="s">
        <v>159</v>
      </c>
      <c r="AI61" s="153" t="s">
        <v>160</v>
      </c>
      <c r="AJ61" s="153" t="s">
        <v>160</v>
      </c>
      <c r="AK61" s="154" t="s">
        <v>160</v>
      </c>
      <c r="AL61" s="154" t="s">
        <v>177</v>
      </c>
      <c r="AM61" s="157" t="s">
        <v>160</v>
      </c>
      <c r="AN61" t="s">
        <v>160</v>
      </c>
      <c r="AO61" t="s">
        <v>160</v>
      </c>
      <c r="AP61" t="s">
        <v>160</v>
      </c>
      <c r="AQ61" t="s">
        <v>160</v>
      </c>
      <c r="AR61" t="s">
        <v>160</v>
      </c>
      <c r="AS61" t="s">
        <v>160</v>
      </c>
      <c r="AT61" t="s">
        <v>160</v>
      </c>
      <c r="AU61" s="145" t="s">
        <v>178</v>
      </c>
      <c r="AV61" t="s">
        <v>161</v>
      </c>
      <c r="AW61" s="141" t="s">
        <v>179</v>
      </c>
      <c r="AX61" s="141" t="s">
        <v>180</v>
      </c>
      <c r="AY61" s="139" t="s">
        <v>181</v>
      </c>
      <c r="AZ61" s="139" t="s">
        <v>182</v>
      </c>
      <c r="BA61" t="s">
        <v>162</v>
      </c>
      <c r="BB61" s="153" t="s">
        <v>217</v>
      </c>
      <c r="BC61" s="153" t="s">
        <v>217</v>
      </c>
      <c r="BD61" s="153" t="s">
        <v>217</v>
      </c>
      <c r="BE61" s="138">
        <v>19.609580000000001</v>
      </c>
      <c r="BF61" t="s">
        <v>183</v>
      </c>
      <c r="BG61" s="138">
        <v>9.9925189999999997E-2</v>
      </c>
      <c r="BH61">
        <v>0.6</v>
      </c>
      <c r="BI61" t="s">
        <v>184</v>
      </c>
      <c r="BJ61" s="2">
        <v>0.08</v>
      </c>
      <c r="BK61">
        <v>8.8699999999999992</v>
      </c>
      <c r="BL61" t="s">
        <v>163</v>
      </c>
      <c r="BM61">
        <v>1.52</v>
      </c>
      <c r="BN61" t="s">
        <v>185</v>
      </c>
      <c r="BO61" t="s">
        <v>186</v>
      </c>
      <c r="BP61" s="158">
        <f t="shared" si="12"/>
        <v>17.899300000000004</v>
      </c>
      <c r="BQ61" t="s">
        <v>184</v>
      </c>
      <c r="BR61" s="154" t="s">
        <v>160</v>
      </c>
      <c r="BS61" s="154" t="s">
        <v>160</v>
      </c>
      <c r="BT61" t="s">
        <v>214</v>
      </c>
      <c r="BU61" t="s">
        <v>218</v>
      </c>
      <c r="BV61" t="s">
        <v>164</v>
      </c>
      <c r="BW61" t="s">
        <v>164</v>
      </c>
      <c r="BX61" s="138">
        <v>27.226880000000001</v>
      </c>
      <c r="BY61" t="s">
        <v>184</v>
      </c>
      <c r="BZ61" s="159">
        <v>3</v>
      </c>
      <c r="CA61" s="159">
        <v>3</v>
      </c>
      <c r="CB61" s="138">
        <v>3.2344019495229932</v>
      </c>
      <c r="CC61" s="138">
        <v>3.2344019495229932</v>
      </c>
      <c r="CD61" t="s">
        <v>188</v>
      </c>
      <c r="CE61" s="147">
        <f t="shared" si="13"/>
        <v>8.7328852637120813E-2</v>
      </c>
      <c r="CF61" s="147">
        <f t="shared" si="14"/>
        <v>8.7328852637120813E-2</v>
      </c>
      <c r="CG61" s="153" t="s">
        <v>215</v>
      </c>
      <c r="CH61" s="148" t="s">
        <v>207</v>
      </c>
      <c r="CI61" s="138">
        <v>3.5290079035579227</v>
      </c>
      <c r="CJ61" s="138" t="s">
        <v>244</v>
      </c>
      <c r="CK61" t="s">
        <v>160</v>
      </c>
      <c r="CL61" t="s">
        <v>189</v>
      </c>
      <c r="CM61" t="s">
        <v>160</v>
      </c>
      <c r="CN61" t="s">
        <v>160</v>
      </c>
      <c r="CO61" t="s">
        <v>160</v>
      </c>
      <c r="CP61" t="s">
        <v>160</v>
      </c>
      <c r="CQ61" t="s">
        <v>160</v>
      </c>
      <c r="CR61" t="s">
        <v>160</v>
      </c>
      <c r="CS61" t="s">
        <v>160</v>
      </c>
      <c r="CT61" t="s">
        <v>160</v>
      </c>
      <c r="CU61" s="134">
        <v>35</v>
      </c>
      <c r="CV61" t="s">
        <v>159</v>
      </c>
      <c r="CW61">
        <v>3</v>
      </c>
      <c r="CX61" s="149" t="s">
        <v>187</v>
      </c>
      <c r="CY61" s="157" t="s">
        <v>160</v>
      </c>
      <c r="CZ61" s="157" t="s">
        <v>160</v>
      </c>
      <c r="DA61" s="157" t="s">
        <v>160</v>
      </c>
      <c r="DB61" s="157" t="s">
        <v>160</v>
      </c>
      <c r="DC61" s="157" t="s">
        <v>160</v>
      </c>
      <c r="DD61" s="157" t="s">
        <v>160</v>
      </c>
      <c r="DE61" s="157" t="s">
        <v>160</v>
      </c>
      <c r="DF61" s="157" t="s">
        <v>160</v>
      </c>
      <c r="DG61" s="157" t="s">
        <v>160</v>
      </c>
      <c r="DH61" s="157" t="s">
        <v>160</v>
      </c>
      <c r="DI61" s="157" t="s">
        <v>160</v>
      </c>
      <c r="DJ61" s="157" t="s">
        <v>160</v>
      </c>
      <c r="DK61" s="132">
        <v>432.56244218316402</v>
      </c>
      <c r="DL61" t="s">
        <v>165</v>
      </c>
      <c r="DM61" s="153">
        <v>37.1</v>
      </c>
      <c r="DN61" t="s">
        <v>166</v>
      </c>
      <c r="DO61" s="138">
        <v>39.164060079999999</v>
      </c>
      <c r="DP61" s="154" t="s">
        <v>163</v>
      </c>
      <c r="DQ61" s="146">
        <v>0.2</v>
      </c>
      <c r="DR61" t="s">
        <v>190</v>
      </c>
      <c r="DS61" t="s">
        <v>167</v>
      </c>
      <c r="DT61" t="s">
        <v>168</v>
      </c>
      <c r="DU61">
        <v>1.0271999999999999</v>
      </c>
      <c r="DV61" t="s">
        <v>191</v>
      </c>
      <c r="DW61">
        <v>5.9999999999999995E-4</v>
      </c>
      <c r="DX61" t="s">
        <v>198</v>
      </c>
      <c r="DY61" t="s">
        <v>160</v>
      </c>
      <c r="DZ61" t="s">
        <v>160</v>
      </c>
      <c r="EA61" t="s">
        <v>192</v>
      </c>
      <c r="EB61" t="s">
        <v>169</v>
      </c>
      <c r="EC61" t="s">
        <v>170</v>
      </c>
      <c r="ED61" t="s">
        <v>170</v>
      </c>
      <c r="EE61" s="157" t="s">
        <v>160</v>
      </c>
      <c r="EF61" t="s">
        <v>160</v>
      </c>
      <c r="EG61" t="s">
        <v>160</v>
      </c>
      <c r="EH61" t="s">
        <v>171</v>
      </c>
      <c r="EI61" t="s">
        <v>193</v>
      </c>
      <c r="EJ61" t="s">
        <v>194</v>
      </c>
      <c r="EK61" s="137">
        <v>2330</v>
      </c>
      <c r="EL61" t="s">
        <v>211</v>
      </c>
      <c r="EM61">
        <v>175</v>
      </c>
      <c r="EN61">
        <v>175</v>
      </c>
      <c r="EO61" t="s">
        <v>160</v>
      </c>
      <c r="EP61" t="s">
        <v>160</v>
      </c>
      <c r="EQ61" t="s">
        <v>160</v>
      </c>
      <c r="ER61" t="s">
        <v>160</v>
      </c>
      <c r="ES61" s="138">
        <v>8.0362383691170205</v>
      </c>
      <c r="ET61" s="133" t="s">
        <v>172</v>
      </c>
      <c r="EU61" s="138">
        <v>6.7200070402488876E-2</v>
      </c>
      <c r="EV61" s="138">
        <v>6.6547903075470316E-2</v>
      </c>
      <c r="EW61" s="147">
        <v>412.55377622173899</v>
      </c>
      <c r="EX61" s="154">
        <v>21</v>
      </c>
      <c r="EY61" s="154" t="s">
        <v>195</v>
      </c>
      <c r="EZ61" s="138">
        <v>391.55377622173899</v>
      </c>
      <c r="FA61" s="138">
        <v>87.936237289319024</v>
      </c>
      <c r="FB61" s="138">
        <v>76.19520949012599</v>
      </c>
      <c r="FC61" s="156" t="s">
        <v>212</v>
      </c>
      <c r="FD61" s="156" t="s">
        <v>213</v>
      </c>
      <c r="FE61" t="s">
        <v>173</v>
      </c>
      <c r="FF61" t="s">
        <v>173</v>
      </c>
      <c r="FG61" t="s">
        <v>173</v>
      </c>
      <c r="FH61" t="s">
        <v>173</v>
      </c>
      <c r="FI61" t="s">
        <v>173</v>
      </c>
      <c r="FJ61" t="s">
        <v>173</v>
      </c>
      <c r="FK61" t="s">
        <v>173</v>
      </c>
      <c r="FL61" t="s">
        <v>173</v>
      </c>
      <c r="FM61" t="s">
        <v>173</v>
      </c>
      <c r="FN61" t="s">
        <v>173</v>
      </c>
      <c r="FO61" t="s">
        <v>173</v>
      </c>
      <c r="FP61" t="s">
        <v>173</v>
      </c>
    </row>
    <row r="62" spans="1:172" ht="18" x14ac:dyDescent="0.2">
      <c r="A62" s="126" t="s">
        <v>152</v>
      </c>
      <c r="B62" t="s">
        <v>174</v>
      </c>
      <c r="C62">
        <v>2015</v>
      </c>
      <c r="D62" t="s">
        <v>196</v>
      </c>
      <c r="E62" s="147">
        <f t="shared" si="15"/>
        <v>3133.1547850000002</v>
      </c>
      <c r="F62" s="135" t="s">
        <v>160</v>
      </c>
      <c r="G62" s="135" t="s">
        <v>160</v>
      </c>
      <c r="H62" s="147">
        <f t="shared" si="16"/>
        <v>345.25334845839598</v>
      </c>
      <c r="I62" s="147">
        <f t="shared" si="17"/>
        <v>78.534190252963015</v>
      </c>
      <c r="J62" s="147">
        <f t="shared" si="18"/>
        <v>68.136654431814975</v>
      </c>
      <c r="K62" t="s">
        <v>176</v>
      </c>
      <c r="L62" s="130" t="s">
        <v>206</v>
      </c>
      <c r="M62" s="136" t="s">
        <v>175</v>
      </c>
      <c r="N62" t="s">
        <v>196</v>
      </c>
      <c r="O62" t="s">
        <v>156</v>
      </c>
      <c r="P62" s="153" t="s">
        <v>157</v>
      </c>
      <c r="Q62" s="157">
        <v>11</v>
      </c>
      <c r="R62" s="157">
        <v>6</v>
      </c>
      <c r="S62" s="157">
        <v>99</v>
      </c>
      <c r="T62" s="157">
        <v>101</v>
      </c>
      <c r="U62" s="157" t="s">
        <v>160</v>
      </c>
      <c r="V62" s="157" t="s">
        <v>160</v>
      </c>
      <c r="W62" s="157" t="s">
        <v>160</v>
      </c>
      <c r="X62" t="s">
        <v>158</v>
      </c>
      <c r="Y62" s="131">
        <v>12.75</v>
      </c>
      <c r="Z62" s="131">
        <v>-78.73</v>
      </c>
      <c r="AA62" s="131">
        <v>12.75</v>
      </c>
      <c r="AB62" s="131">
        <v>-78.73</v>
      </c>
      <c r="AC62" s="131">
        <v>-2828</v>
      </c>
      <c r="AD62" s="131">
        <v>-2828</v>
      </c>
      <c r="AE62" s="153" t="s">
        <v>160</v>
      </c>
      <c r="AF62" s="153" t="s">
        <v>160</v>
      </c>
      <c r="AG62" s="138">
        <v>3133.1547850000002</v>
      </c>
      <c r="AH62" s="2" t="s">
        <v>159</v>
      </c>
      <c r="AI62" s="153" t="s">
        <v>160</v>
      </c>
      <c r="AJ62" s="153" t="s">
        <v>160</v>
      </c>
      <c r="AK62" s="154" t="s">
        <v>160</v>
      </c>
      <c r="AL62" s="154" t="s">
        <v>177</v>
      </c>
      <c r="AM62" s="157" t="s">
        <v>160</v>
      </c>
      <c r="AN62" t="s">
        <v>160</v>
      </c>
      <c r="AO62" t="s">
        <v>160</v>
      </c>
      <c r="AP62" t="s">
        <v>160</v>
      </c>
      <c r="AQ62" t="s">
        <v>160</v>
      </c>
      <c r="AR62" t="s">
        <v>160</v>
      </c>
      <c r="AS62" t="s">
        <v>160</v>
      </c>
      <c r="AT62" t="s">
        <v>160</v>
      </c>
      <c r="AU62" s="145" t="s">
        <v>178</v>
      </c>
      <c r="AV62" t="s">
        <v>161</v>
      </c>
      <c r="AW62" s="141" t="s">
        <v>179</v>
      </c>
      <c r="AX62" s="139" t="s">
        <v>180</v>
      </c>
      <c r="AY62" s="139" t="s">
        <v>181</v>
      </c>
      <c r="AZ62" s="139" t="s">
        <v>182</v>
      </c>
      <c r="BA62" s="140" t="s">
        <v>162</v>
      </c>
      <c r="BB62" s="153" t="s">
        <v>217</v>
      </c>
      <c r="BC62" s="153" t="s">
        <v>217</v>
      </c>
      <c r="BD62" s="153" t="s">
        <v>217</v>
      </c>
      <c r="BE62" s="138">
        <v>19.804919999999999</v>
      </c>
      <c r="BF62" t="s">
        <v>183</v>
      </c>
      <c r="BG62" s="138">
        <v>0.130653451</v>
      </c>
      <c r="BH62">
        <v>0.6</v>
      </c>
      <c r="BI62" t="s">
        <v>184</v>
      </c>
      <c r="BJ62" s="2">
        <v>0.08</v>
      </c>
      <c r="BK62">
        <v>8.8699999999999992</v>
      </c>
      <c r="BL62" t="s">
        <v>163</v>
      </c>
      <c r="BM62">
        <v>1.52</v>
      </c>
      <c r="BN62" t="s">
        <v>185</v>
      </c>
      <c r="BO62" t="s">
        <v>186</v>
      </c>
      <c r="BP62" s="158">
        <f t="shared" si="12"/>
        <v>18.224866666666667</v>
      </c>
      <c r="BQ62" t="s">
        <v>184</v>
      </c>
      <c r="BR62" s="154" t="s">
        <v>160</v>
      </c>
      <c r="BS62" s="154" t="s">
        <v>160</v>
      </c>
      <c r="BT62" t="s">
        <v>214</v>
      </c>
      <c r="BU62" t="s">
        <v>218</v>
      </c>
      <c r="BV62" t="s">
        <v>164</v>
      </c>
      <c r="BW62" t="s">
        <v>164</v>
      </c>
      <c r="BX62" s="138">
        <v>26.10661</v>
      </c>
      <c r="BY62" t="s">
        <v>184</v>
      </c>
      <c r="BZ62" s="159">
        <v>3</v>
      </c>
      <c r="CA62" s="159">
        <v>3</v>
      </c>
      <c r="CB62" s="138">
        <v>2.9149039740697438</v>
      </c>
      <c r="CC62" s="138">
        <v>2.9149039740697438</v>
      </c>
      <c r="CD62" t="s">
        <v>188</v>
      </c>
      <c r="CE62" s="147">
        <f t="shared" si="13"/>
        <v>7.8702407299883079E-2</v>
      </c>
      <c r="CF62" s="147">
        <f t="shared" si="14"/>
        <v>7.8702407299883079E-2</v>
      </c>
      <c r="CG62" s="153" t="s">
        <v>215</v>
      </c>
      <c r="CH62" s="148" t="s">
        <v>207</v>
      </c>
      <c r="CI62" s="138">
        <v>3.5017179794542934</v>
      </c>
      <c r="CJ62" s="138" t="s">
        <v>244</v>
      </c>
      <c r="CK62" t="s">
        <v>160</v>
      </c>
      <c r="CL62" t="s">
        <v>189</v>
      </c>
      <c r="CM62" t="s">
        <v>160</v>
      </c>
      <c r="CN62" t="s">
        <v>160</v>
      </c>
      <c r="CO62" t="s">
        <v>160</v>
      </c>
      <c r="CP62" t="s">
        <v>160</v>
      </c>
      <c r="CQ62" t="s">
        <v>160</v>
      </c>
      <c r="CR62" t="s">
        <v>160</v>
      </c>
      <c r="CS62" t="s">
        <v>160</v>
      </c>
      <c r="CT62" t="s">
        <v>160</v>
      </c>
      <c r="CU62" s="134">
        <v>35</v>
      </c>
      <c r="CV62" t="s">
        <v>159</v>
      </c>
      <c r="CW62">
        <v>3</v>
      </c>
      <c r="CX62" s="149" t="s">
        <v>187</v>
      </c>
      <c r="CY62" s="157" t="s">
        <v>160</v>
      </c>
      <c r="CZ62" s="157" t="s">
        <v>160</v>
      </c>
      <c r="DA62" s="157" t="s">
        <v>160</v>
      </c>
      <c r="DB62" s="157" t="s">
        <v>160</v>
      </c>
      <c r="DC62" s="157" t="s">
        <v>160</v>
      </c>
      <c r="DD62" s="157" t="s">
        <v>160</v>
      </c>
      <c r="DE62" s="157" t="s">
        <v>160</v>
      </c>
      <c r="DF62" s="157" t="s">
        <v>160</v>
      </c>
      <c r="DG62" s="157" t="s">
        <v>160</v>
      </c>
      <c r="DH62" s="157" t="s">
        <v>160</v>
      </c>
      <c r="DI62" s="157" t="s">
        <v>160</v>
      </c>
      <c r="DJ62" s="157" t="s">
        <v>160</v>
      </c>
      <c r="DK62" s="132">
        <v>432.56244218316402</v>
      </c>
      <c r="DL62" t="s">
        <v>165</v>
      </c>
      <c r="DM62" s="153">
        <v>37.1</v>
      </c>
      <c r="DN62" t="s">
        <v>166</v>
      </c>
      <c r="DO62" s="138">
        <v>39.161245010000002</v>
      </c>
      <c r="DP62" s="154" t="s">
        <v>163</v>
      </c>
      <c r="DQ62" s="146">
        <v>0.2</v>
      </c>
      <c r="DR62" t="s">
        <v>190</v>
      </c>
      <c r="DS62" t="s">
        <v>167</v>
      </c>
      <c r="DT62" t="s">
        <v>168</v>
      </c>
      <c r="DU62">
        <v>1.0271999999999999</v>
      </c>
      <c r="DV62" t="s">
        <v>191</v>
      </c>
      <c r="DW62">
        <v>5.9999999999999995E-4</v>
      </c>
      <c r="DX62" t="s">
        <v>198</v>
      </c>
      <c r="DY62" t="s">
        <v>160</v>
      </c>
      <c r="DZ62" t="s">
        <v>160</v>
      </c>
      <c r="EA62" t="s">
        <v>192</v>
      </c>
      <c r="EB62" t="s">
        <v>169</v>
      </c>
      <c r="EC62" t="s">
        <v>170</v>
      </c>
      <c r="ED62" t="s">
        <v>170</v>
      </c>
      <c r="EE62" s="157" t="s">
        <v>160</v>
      </c>
      <c r="EF62" t="s">
        <v>160</v>
      </c>
      <c r="EG62" t="s">
        <v>160</v>
      </c>
      <c r="EH62" t="s">
        <v>171</v>
      </c>
      <c r="EI62" t="s">
        <v>193</v>
      </c>
      <c r="EJ62" t="s">
        <v>194</v>
      </c>
      <c r="EK62" s="137">
        <v>2330</v>
      </c>
      <c r="EL62" t="s">
        <v>211</v>
      </c>
      <c r="EM62">
        <v>175</v>
      </c>
      <c r="EN62">
        <v>175</v>
      </c>
      <c r="EO62" t="s">
        <v>160</v>
      </c>
      <c r="EP62" t="s">
        <v>160</v>
      </c>
      <c r="EQ62" t="s">
        <v>160</v>
      </c>
      <c r="ER62" t="s">
        <v>160</v>
      </c>
      <c r="ES62" s="138">
        <v>8.0788344584892098</v>
      </c>
      <c r="ET62" s="133" t="s">
        <v>172</v>
      </c>
      <c r="EU62" s="138">
        <v>6.6389681308169912E-2</v>
      </c>
      <c r="EV62" s="138">
        <v>6.6640700895868932E-2</v>
      </c>
      <c r="EW62" s="147">
        <v>366.25334845839598</v>
      </c>
      <c r="EX62" s="154">
        <v>21</v>
      </c>
      <c r="EY62" s="154" t="s">
        <v>195</v>
      </c>
      <c r="EZ62" s="138">
        <v>345.25334845839598</v>
      </c>
      <c r="FA62" s="138">
        <v>78.534190252963015</v>
      </c>
      <c r="FB62" s="138">
        <v>68.136654431814975</v>
      </c>
      <c r="FC62" s="156" t="s">
        <v>212</v>
      </c>
      <c r="FD62" s="156" t="s">
        <v>213</v>
      </c>
      <c r="FE62" t="s">
        <v>173</v>
      </c>
      <c r="FF62" t="s">
        <v>173</v>
      </c>
      <c r="FG62" t="s">
        <v>173</v>
      </c>
      <c r="FH62" t="s">
        <v>173</v>
      </c>
      <c r="FI62" t="s">
        <v>173</v>
      </c>
      <c r="FJ62" t="s">
        <v>173</v>
      </c>
      <c r="FK62" t="s">
        <v>173</v>
      </c>
      <c r="FL62" t="s">
        <v>173</v>
      </c>
      <c r="FM62" t="s">
        <v>173</v>
      </c>
      <c r="FN62" t="s">
        <v>173</v>
      </c>
      <c r="FO62" t="s">
        <v>173</v>
      </c>
      <c r="FP62" t="s">
        <v>173</v>
      </c>
    </row>
    <row r="63" spans="1:172" ht="18" x14ac:dyDescent="0.2">
      <c r="A63" s="126" t="s">
        <v>152</v>
      </c>
      <c r="B63" t="s">
        <v>174</v>
      </c>
      <c r="C63">
        <v>2015</v>
      </c>
      <c r="D63" t="s">
        <v>196</v>
      </c>
      <c r="E63" s="147">
        <f t="shared" si="15"/>
        <v>3143.1660160000001</v>
      </c>
      <c r="F63" s="135" t="s">
        <v>160</v>
      </c>
      <c r="G63" s="135" t="s">
        <v>160</v>
      </c>
      <c r="H63" s="147">
        <f t="shared" si="16"/>
        <v>333.873909519606</v>
      </c>
      <c r="I63" s="147">
        <f t="shared" si="17"/>
        <v>79.043389235383017</v>
      </c>
      <c r="J63" s="147">
        <f t="shared" si="18"/>
        <v>66.056181311514024</v>
      </c>
      <c r="K63" t="s">
        <v>176</v>
      </c>
      <c r="L63" s="130" t="s">
        <v>206</v>
      </c>
      <c r="M63" s="136" t="s">
        <v>175</v>
      </c>
      <c r="N63" t="s">
        <v>196</v>
      </c>
      <c r="O63" t="s">
        <v>156</v>
      </c>
      <c r="P63" s="153" t="s">
        <v>157</v>
      </c>
      <c r="Q63" s="157">
        <v>11</v>
      </c>
      <c r="R63" s="157">
        <v>6</v>
      </c>
      <c r="S63" s="157">
        <v>127</v>
      </c>
      <c r="T63" s="157">
        <v>129</v>
      </c>
      <c r="U63" s="157" t="s">
        <v>160</v>
      </c>
      <c r="V63" s="157" t="s">
        <v>160</v>
      </c>
      <c r="W63" s="157" t="s">
        <v>160</v>
      </c>
      <c r="X63" t="s">
        <v>158</v>
      </c>
      <c r="Y63" s="131">
        <v>12.75</v>
      </c>
      <c r="Z63" s="131">
        <v>-78.73</v>
      </c>
      <c r="AA63" s="131">
        <v>12.75</v>
      </c>
      <c r="AB63" s="131">
        <v>-78.73</v>
      </c>
      <c r="AC63" s="131">
        <v>-2828</v>
      </c>
      <c r="AD63" s="131">
        <v>-2828</v>
      </c>
      <c r="AE63" s="153" t="s">
        <v>160</v>
      </c>
      <c r="AF63" s="153" t="s">
        <v>160</v>
      </c>
      <c r="AG63" s="138">
        <v>3143.1660160000001</v>
      </c>
      <c r="AH63" s="2" t="s">
        <v>159</v>
      </c>
      <c r="AI63" s="153" t="s">
        <v>160</v>
      </c>
      <c r="AJ63" s="153" t="s">
        <v>160</v>
      </c>
      <c r="AK63" s="154" t="s">
        <v>160</v>
      </c>
      <c r="AL63" s="154" t="s">
        <v>177</v>
      </c>
      <c r="AM63" s="157" t="s">
        <v>160</v>
      </c>
      <c r="AN63" t="s">
        <v>160</v>
      </c>
      <c r="AO63" t="s">
        <v>160</v>
      </c>
      <c r="AP63" t="s">
        <v>160</v>
      </c>
      <c r="AQ63" t="s">
        <v>160</v>
      </c>
      <c r="AR63" t="s">
        <v>160</v>
      </c>
      <c r="AS63" t="s">
        <v>160</v>
      </c>
      <c r="AT63" t="s">
        <v>160</v>
      </c>
      <c r="AU63" s="145" t="s">
        <v>178</v>
      </c>
      <c r="AV63" t="s">
        <v>161</v>
      </c>
      <c r="AW63" s="141" t="s">
        <v>179</v>
      </c>
      <c r="AX63" s="141" t="s">
        <v>180</v>
      </c>
      <c r="AY63" s="139" t="s">
        <v>181</v>
      </c>
      <c r="AZ63" s="139" t="s">
        <v>182</v>
      </c>
      <c r="BA63" t="s">
        <v>162</v>
      </c>
      <c r="BB63" s="153" t="s">
        <v>217</v>
      </c>
      <c r="BC63" s="153" t="s">
        <v>217</v>
      </c>
      <c r="BD63" s="153" t="s">
        <v>217</v>
      </c>
      <c r="BE63" s="138">
        <v>19.950839999999999</v>
      </c>
      <c r="BF63" t="s">
        <v>183</v>
      </c>
      <c r="BG63" s="138">
        <v>0.14869110199999999</v>
      </c>
      <c r="BH63">
        <v>0.6</v>
      </c>
      <c r="BI63" t="s">
        <v>184</v>
      </c>
      <c r="BJ63" s="2">
        <v>0.08</v>
      </c>
      <c r="BK63">
        <v>8.8699999999999992</v>
      </c>
      <c r="BL63" t="s">
        <v>163</v>
      </c>
      <c r="BM63">
        <v>1.52</v>
      </c>
      <c r="BN63" t="s">
        <v>185</v>
      </c>
      <c r="BO63" t="s">
        <v>186</v>
      </c>
      <c r="BP63" s="158">
        <f t="shared" si="12"/>
        <v>18.468066666666669</v>
      </c>
      <c r="BQ63" t="s">
        <v>184</v>
      </c>
      <c r="BR63" s="154" t="s">
        <v>160</v>
      </c>
      <c r="BS63" s="154" t="s">
        <v>160</v>
      </c>
      <c r="BT63" t="s">
        <v>214</v>
      </c>
      <c r="BU63" t="s">
        <v>218</v>
      </c>
      <c r="BV63" t="s">
        <v>164</v>
      </c>
      <c r="BW63" t="s">
        <v>164</v>
      </c>
      <c r="BX63" s="138">
        <v>27.155629999999999</v>
      </c>
      <c r="BY63" t="s">
        <v>184</v>
      </c>
      <c r="BZ63" s="159">
        <v>3</v>
      </c>
      <c r="CA63" s="159">
        <v>3</v>
      </c>
      <c r="CB63" s="138">
        <v>3.1981570354880278</v>
      </c>
      <c r="CC63" s="138">
        <v>3.1981570354880278</v>
      </c>
      <c r="CD63" t="s">
        <v>188</v>
      </c>
      <c r="CE63" s="147">
        <f t="shared" si="13"/>
        <v>8.6350239958176755E-2</v>
      </c>
      <c r="CF63" s="147">
        <f t="shared" si="14"/>
        <v>8.6350239958176755E-2</v>
      </c>
      <c r="CG63" s="153" t="s">
        <v>215</v>
      </c>
      <c r="CH63" s="148" t="s">
        <v>207</v>
      </c>
      <c r="CI63" s="138">
        <v>3.4874502109809429</v>
      </c>
      <c r="CJ63" s="138" t="s">
        <v>244</v>
      </c>
      <c r="CK63" t="s">
        <v>160</v>
      </c>
      <c r="CL63" t="s">
        <v>189</v>
      </c>
      <c r="CM63" t="s">
        <v>160</v>
      </c>
      <c r="CN63" t="s">
        <v>160</v>
      </c>
      <c r="CO63" t="s">
        <v>160</v>
      </c>
      <c r="CP63" t="s">
        <v>160</v>
      </c>
      <c r="CQ63" t="s">
        <v>160</v>
      </c>
      <c r="CR63" t="s">
        <v>160</v>
      </c>
      <c r="CS63" t="s">
        <v>160</v>
      </c>
      <c r="CT63" t="s">
        <v>160</v>
      </c>
      <c r="CU63" s="134">
        <v>35</v>
      </c>
      <c r="CV63" t="s">
        <v>159</v>
      </c>
      <c r="CW63">
        <v>3</v>
      </c>
      <c r="CX63" s="149" t="s">
        <v>187</v>
      </c>
      <c r="CY63" s="157" t="s">
        <v>160</v>
      </c>
      <c r="CZ63" s="157" t="s">
        <v>160</v>
      </c>
      <c r="DA63" s="157" t="s">
        <v>160</v>
      </c>
      <c r="DB63" s="157" t="s">
        <v>160</v>
      </c>
      <c r="DC63" s="157" t="s">
        <v>160</v>
      </c>
      <c r="DD63" s="157" t="s">
        <v>160</v>
      </c>
      <c r="DE63" s="157" t="s">
        <v>160</v>
      </c>
      <c r="DF63" s="157" t="s">
        <v>160</v>
      </c>
      <c r="DG63" s="157" t="s">
        <v>160</v>
      </c>
      <c r="DH63" s="157" t="s">
        <v>160</v>
      </c>
      <c r="DI63" s="157" t="s">
        <v>160</v>
      </c>
      <c r="DJ63" s="157" t="s">
        <v>160</v>
      </c>
      <c r="DK63" s="132">
        <v>432.56244218316402</v>
      </c>
      <c r="DL63" t="s">
        <v>165</v>
      </c>
      <c r="DM63" s="153">
        <v>37.1</v>
      </c>
      <c r="DN63" t="s">
        <v>166</v>
      </c>
      <c r="DO63" s="138">
        <v>39.159936600000002</v>
      </c>
      <c r="DP63" s="154" t="s">
        <v>163</v>
      </c>
      <c r="DQ63" s="146">
        <v>0.2</v>
      </c>
      <c r="DR63" t="s">
        <v>190</v>
      </c>
      <c r="DS63" t="s">
        <v>167</v>
      </c>
      <c r="DT63" t="s">
        <v>168</v>
      </c>
      <c r="DU63">
        <v>1.0271999999999999</v>
      </c>
      <c r="DV63" t="s">
        <v>191</v>
      </c>
      <c r="DW63">
        <v>5.9999999999999995E-4</v>
      </c>
      <c r="DX63" t="s">
        <v>198</v>
      </c>
      <c r="DY63" t="s">
        <v>160</v>
      </c>
      <c r="DZ63" t="s">
        <v>160</v>
      </c>
      <c r="EA63" t="s">
        <v>192</v>
      </c>
      <c r="EB63" t="s">
        <v>169</v>
      </c>
      <c r="EC63" t="s">
        <v>170</v>
      </c>
      <c r="ED63" t="s">
        <v>170</v>
      </c>
      <c r="EE63" s="157" t="s">
        <v>160</v>
      </c>
      <c r="EF63" t="s">
        <v>160</v>
      </c>
      <c r="EG63" t="s">
        <v>160</v>
      </c>
      <c r="EH63" t="s">
        <v>171</v>
      </c>
      <c r="EI63" t="s">
        <v>193</v>
      </c>
      <c r="EJ63" t="s">
        <v>194</v>
      </c>
      <c r="EK63" s="137">
        <v>2330</v>
      </c>
      <c r="EL63" t="s">
        <v>211</v>
      </c>
      <c r="EM63">
        <v>175</v>
      </c>
      <c r="EN63">
        <v>175</v>
      </c>
      <c r="EO63" t="s">
        <v>160</v>
      </c>
      <c r="EP63" t="s">
        <v>160</v>
      </c>
      <c r="EQ63" t="s">
        <v>160</v>
      </c>
      <c r="ER63" t="s">
        <v>160</v>
      </c>
      <c r="ES63" s="138">
        <v>8.0886175687762094</v>
      </c>
      <c r="ET63" s="133" t="s">
        <v>172</v>
      </c>
      <c r="EU63" s="138">
        <v>6.4629018492590617E-2</v>
      </c>
      <c r="EV63" s="138">
        <v>6.693459949570979E-2</v>
      </c>
      <c r="EW63" s="147">
        <v>354.873909519606</v>
      </c>
      <c r="EX63" s="154">
        <v>21</v>
      </c>
      <c r="EY63" s="154" t="s">
        <v>195</v>
      </c>
      <c r="EZ63" s="138">
        <v>333.873909519606</v>
      </c>
      <c r="FA63" s="138">
        <v>79.043389235383017</v>
      </c>
      <c r="FB63" s="138">
        <v>66.056181311514024</v>
      </c>
      <c r="FC63" s="156" t="s">
        <v>212</v>
      </c>
      <c r="FD63" s="156" t="s">
        <v>213</v>
      </c>
      <c r="FE63" t="s">
        <v>173</v>
      </c>
      <c r="FF63" t="s">
        <v>173</v>
      </c>
      <c r="FG63" t="s">
        <v>173</v>
      </c>
      <c r="FH63" t="s">
        <v>173</v>
      </c>
      <c r="FI63" t="s">
        <v>173</v>
      </c>
      <c r="FJ63" t="s">
        <v>173</v>
      </c>
      <c r="FK63" t="s">
        <v>173</v>
      </c>
      <c r="FL63" t="s">
        <v>173</v>
      </c>
      <c r="FM63" t="s">
        <v>173</v>
      </c>
      <c r="FN63" t="s">
        <v>173</v>
      </c>
      <c r="FO63" t="s">
        <v>173</v>
      </c>
      <c r="FP63" t="s">
        <v>173</v>
      </c>
    </row>
    <row r="64" spans="1:172" ht="18" x14ac:dyDescent="0.2">
      <c r="A64" s="126" t="s">
        <v>152</v>
      </c>
      <c r="B64" t="s">
        <v>174</v>
      </c>
      <c r="C64">
        <v>2015</v>
      </c>
      <c r="D64" t="s">
        <v>196</v>
      </c>
      <c r="E64" s="147">
        <f t="shared" si="15"/>
        <v>3151.8999020000001</v>
      </c>
      <c r="F64" s="135" t="s">
        <v>160</v>
      </c>
      <c r="G64" s="135" t="s">
        <v>160</v>
      </c>
      <c r="H64" s="147">
        <f t="shared" si="16"/>
        <v>403.17550432894097</v>
      </c>
      <c r="I64" s="147">
        <f t="shared" si="17"/>
        <v>125.17671653848402</v>
      </c>
      <c r="J64" s="147">
        <f t="shared" si="18"/>
        <v>100.50483670449898</v>
      </c>
      <c r="K64" t="s">
        <v>176</v>
      </c>
      <c r="L64" s="130" t="s">
        <v>206</v>
      </c>
      <c r="M64" s="136" t="s">
        <v>175</v>
      </c>
      <c r="N64" t="s">
        <v>196</v>
      </c>
      <c r="O64" t="s">
        <v>156</v>
      </c>
      <c r="P64" s="153" t="s">
        <v>157</v>
      </c>
      <c r="Q64" s="157">
        <v>11</v>
      </c>
      <c r="R64" s="157">
        <v>7</v>
      </c>
      <c r="S64" s="157">
        <v>0</v>
      </c>
      <c r="T64" s="157">
        <v>2</v>
      </c>
      <c r="U64" s="157" t="s">
        <v>160</v>
      </c>
      <c r="V64" s="157" t="s">
        <v>160</v>
      </c>
      <c r="W64" s="157" t="s">
        <v>160</v>
      </c>
      <c r="X64" t="s">
        <v>158</v>
      </c>
      <c r="Y64" s="131">
        <v>12.75</v>
      </c>
      <c r="Z64" s="131">
        <v>-78.73</v>
      </c>
      <c r="AA64" s="131">
        <v>12.75</v>
      </c>
      <c r="AB64" s="131">
        <v>-78.73</v>
      </c>
      <c r="AC64" s="131">
        <v>-2828</v>
      </c>
      <c r="AD64" s="131">
        <v>-2828</v>
      </c>
      <c r="AE64" s="153" t="s">
        <v>160</v>
      </c>
      <c r="AF64" s="153" t="s">
        <v>160</v>
      </c>
      <c r="AG64" s="138">
        <v>3151.8999020000001</v>
      </c>
      <c r="AH64" s="2" t="s">
        <v>159</v>
      </c>
      <c r="AI64" s="153" t="s">
        <v>160</v>
      </c>
      <c r="AJ64" s="153" t="s">
        <v>160</v>
      </c>
      <c r="AK64" s="154" t="s">
        <v>160</v>
      </c>
      <c r="AL64" s="154" t="s">
        <v>177</v>
      </c>
      <c r="AM64" s="157" t="s">
        <v>160</v>
      </c>
      <c r="AN64" t="s">
        <v>160</v>
      </c>
      <c r="AO64" t="s">
        <v>160</v>
      </c>
      <c r="AP64" t="s">
        <v>160</v>
      </c>
      <c r="AQ64" t="s">
        <v>160</v>
      </c>
      <c r="AR64" t="s">
        <v>160</v>
      </c>
      <c r="AS64" t="s">
        <v>160</v>
      </c>
      <c r="AT64" t="s">
        <v>160</v>
      </c>
      <c r="AU64" s="145" t="s">
        <v>178</v>
      </c>
      <c r="AV64" t="s">
        <v>161</v>
      </c>
      <c r="AW64" s="141" t="s">
        <v>179</v>
      </c>
      <c r="AX64" s="139" t="s">
        <v>180</v>
      </c>
      <c r="AY64" s="139" t="s">
        <v>181</v>
      </c>
      <c r="AZ64" s="139" t="s">
        <v>182</v>
      </c>
      <c r="BA64" s="140" t="s">
        <v>162</v>
      </c>
      <c r="BB64" s="153" t="s">
        <v>217</v>
      </c>
      <c r="BC64" s="153" t="s">
        <v>217</v>
      </c>
      <c r="BD64" s="153" t="s">
        <v>217</v>
      </c>
      <c r="BE64" s="138">
        <v>19.507429999999999</v>
      </c>
      <c r="BF64" t="s">
        <v>183</v>
      </c>
      <c r="BG64" s="138">
        <v>0.33308674599999999</v>
      </c>
      <c r="BH64">
        <v>0.6</v>
      </c>
      <c r="BI64" t="s">
        <v>184</v>
      </c>
      <c r="BJ64" s="2">
        <v>0.08</v>
      </c>
      <c r="BK64">
        <v>8.8699999999999992</v>
      </c>
      <c r="BL64" t="s">
        <v>163</v>
      </c>
      <c r="BM64">
        <v>1.52</v>
      </c>
      <c r="BN64" t="s">
        <v>185</v>
      </c>
      <c r="BO64" t="s">
        <v>186</v>
      </c>
      <c r="BP64" s="158">
        <f t="shared" si="12"/>
        <v>17.729050000000001</v>
      </c>
      <c r="BQ64" t="s">
        <v>184</v>
      </c>
      <c r="BR64" s="154" t="s">
        <v>160</v>
      </c>
      <c r="BS64" s="154" t="s">
        <v>160</v>
      </c>
      <c r="BT64" t="s">
        <v>214</v>
      </c>
      <c r="BU64" t="s">
        <v>218</v>
      </c>
      <c r="BV64" t="s">
        <v>164</v>
      </c>
      <c r="BW64" t="s">
        <v>164</v>
      </c>
      <c r="BX64" s="138">
        <v>26.41761</v>
      </c>
      <c r="BY64" t="s">
        <v>184</v>
      </c>
      <c r="BZ64" s="159">
        <v>3</v>
      </c>
      <c r="CA64" s="159">
        <v>3</v>
      </c>
      <c r="CB64" s="138">
        <v>2.9882947033878104</v>
      </c>
      <c r="CC64" s="138">
        <v>2.9882947033878104</v>
      </c>
      <c r="CD64" t="s">
        <v>188</v>
      </c>
      <c r="CE64" s="147">
        <f t="shared" si="13"/>
        <v>8.0683956991470879E-2</v>
      </c>
      <c r="CF64" s="147">
        <f t="shared" si="14"/>
        <v>8.0683956991470879E-2</v>
      </c>
      <c r="CG64" s="153" t="s">
        <v>215</v>
      </c>
      <c r="CH64" s="148" t="s">
        <v>207</v>
      </c>
      <c r="CI64" s="138">
        <v>3.4751381082141903</v>
      </c>
      <c r="CJ64" s="138" t="s">
        <v>244</v>
      </c>
      <c r="CK64" t="s">
        <v>160</v>
      </c>
      <c r="CL64" t="s">
        <v>189</v>
      </c>
      <c r="CM64" t="s">
        <v>160</v>
      </c>
      <c r="CN64" t="s">
        <v>160</v>
      </c>
      <c r="CO64" t="s">
        <v>160</v>
      </c>
      <c r="CP64" t="s">
        <v>160</v>
      </c>
      <c r="CQ64" t="s">
        <v>160</v>
      </c>
      <c r="CR64" t="s">
        <v>160</v>
      </c>
      <c r="CS64" t="s">
        <v>160</v>
      </c>
      <c r="CT64" t="s">
        <v>160</v>
      </c>
      <c r="CU64" s="134">
        <v>35</v>
      </c>
      <c r="CV64" t="s">
        <v>159</v>
      </c>
      <c r="CW64">
        <v>3</v>
      </c>
      <c r="CX64" s="149" t="s">
        <v>187</v>
      </c>
      <c r="CY64" s="157" t="s">
        <v>160</v>
      </c>
      <c r="CZ64" s="157" t="s">
        <v>160</v>
      </c>
      <c r="DA64" s="157" t="s">
        <v>160</v>
      </c>
      <c r="DB64" s="157" t="s">
        <v>160</v>
      </c>
      <c r="DC64" s="157" t="s">
        <v>160</v>
      </c>
      <c r="DD64" s="157" t="s">
        <v>160</v>
      </c>
      <c r="DE64" s="157" t="s">
        <v>160</v>
      </c>
      <c r="DF64" s="157" t="s">
        <v>160</v>
      </c>
      <c r="DG64" s="157" t="s">
        <v>160</v>
      </c>
      <c r="DH64" s="157" t="s">
        <v>160</v>
      </c>
      <c r="DI64" s="157" t="s">
        <v>160</v>
      </c>
      <c r="DJ64" s="157" t="s">
        <v>160</v>
      </c>
      <c r="DK64" s="132">
        <v>432.56244218316402</v>
      </c>
      <c r="DL64" t="s">
        <v>165</v>
      </c>
      <c r="DM64" s="153">
        <v>37.1</v>
      </c>
      <c r="DN64" t="s">
        <v>166</v>
      </c>
      <c r="DO64" s="138">
        <v>39.158868380000001</v>
      </c>
      <c r="DP64" s="154" t="s">
        <v>163</v>
      </c>
      <c r="DQ64" s="146">
        <v>0.2</v>
      </c>
      <c r="DR64" t="s">
        <v>190</v>
      </c>
      <c r="DS64" t="s">
        <v>167</v>
      </c>
      <c r="DT64" t="s">
        <v>168</v>
      </c>
      <c r="DU64">
        <v>1.0271999999999999</v>
      </c>
      <c r="DV64" t="s">
        <v>191</v>
      </c>
      <c r="DW64">
        <v>5.9999999999999995E-4</v>
      </c>
      <c r="DX64" t="s">
        <v>198</v>
      </c>
      <c r="DY64" t="s">
        <v>160</v>
      </c>
      <c r="DZ64" t="s">
        <v>160</v>
      </c>
      <c r="EA64" t="s">
        <v>192</v>
      </c>
      <c r="EB64" t="s">
        <v>169</v>
      </c>
      <c r="EC64" t="s">
        <v>170</v>
      </c>
      <c r="ED64" t="s">
        <v>170</v>
      </c>
      <c r="EE64" s="157" t="s">
        <v>160</v>
      </c>
      <c r="EF64" t="s">
        <v>160</v>
      </c>
      <c r="EG64" t="s">
        <v>160</v>
      </c>
      <c r="EH64" t="s">
        <v>171</v>
      </c>
      <c r="EI64" t="s">
        <v>193</v>
      </c>
      <c r="EJ64" t="s">
        <v>194</v>
      </c>
      <c r="EK64" s="137">
        <v>2330</v>
      </c>
      <c r="EL64" t="s">
        <v>211</v>
      </c>
      <c r="EM64">
        <v>175</v>
      </c>
      <c r="EN64">
        <v>175</v>
      </c>
      <c r="EO64" t="s">
        <v>160</v>
      </c>
      <c r="EP64" t="s">
        <v>160</v>
      </c>
      <c r="EQ64" t="s">
        <v>160</v>
      </c>
      <c r="ER64" t="s">
        <v>160</v>
      </c>
      <c r="ES64" s="138">
        <v>8.0284479042834906</v>
      </c>
      <c r="ET64" s="133" t="s">
        <v>172</v>
      </c>
      <c r="EU64" s="138">
        <v>8.6231847716589982E-2</v>
      </c>
      <c r="EV64" s="138">
        <v>9.2143438215511075E-2</v>
      </c>
      <c r="EW64" s="147">
        <v>424.17550432894097</v>
      </c>
      <c r="EX64" s="154">
        <v>21</v>
      </c>
      <c r="EY64" s="154" t="s">
        <v>195</v>
      </c>
      <c r="EZ64" s="138">
        <v>403.17550432894097</v>
      </c>
      <c r="FA64" s="138">
        <v>125.17671653848402</v>
      </c>
      <c r="FB64" s="138">
        <v>100.50483670449898</v>
      </c>
      <c r="FC64" s="156" t="s">
        <v>212</v>
      </c>
      <c r="FD64" s="156" t="s">
        <v>213</v>
      </c>
      <c r="FE64" t="s">
        <v>173</v>
      </c>
      <c r="FF64" t="s">
        <v>173</v>
      </c>
      <c r="FG64" t="s">
        <v>173</v>
      </c>
      <c r="FH64" t="s">
        <v>173</v>
      </c>
      <c r="FI64" t="s">
        <v>173</v>
      </c>
      <c r="FJ64" t="s">
        <v>173</v>
      </c>
      <c r="FK64" t="s">
        <v>173</v>
      </c>
      <c r="FL64" t="s">
        <v>173</v>
      </c>
      <c r="FM64" t="s">
        <v>173</v>
      </c>
      <c r="FN64" t="s">
        <v>173</v>
      </c>
      <c r="FO64" t="s">
        <v>173</v>
      </c>
      <c r="FP64" t="s">
        <v>173</v>
      </c>
    </row>
    <row r="65" spans="1:172" ht="18" x14ac:dyDescent="0.2">
      <c r="A65" s="126" t="s">
        <v>152</v>
      </c>
      <c r="B65" t="s">
        <v>174</v>
      </c>
      <c r="C65">
        <v>2015</v>
      </c>
      <c r="D65" t="s">
        <v>196</v>
      </c>
      <c r="E65" s="147">
        <f t="shared" si="15"/>
        <v>3157.9370119999999</v>
      </c>
      <c r="F65" s="135" t="s">
        <v>160</v>
      </c>
      <c r="G65" s="135" t="s">
        <v>160</v>
      </c>
      <c r="H65" s="147">
        <f t="shared" si="16"/>
        <v>339.64626515835801</v>
      </c>
      <c r="I65" s="147">
        <f t="shared" si="17"/>
        <v>76.439030395686984</v>
      </c>
      <c r="J65" s="147">
        <f t="shared" si="18"/>
        <v>67.894034531428986</v>
      </c>
      <c r="K65" t="s">
        <v>176</v>
      </c>
      <c r="L65" s="130" t="s">
        <v>206</v>
      </c>
      <c r="M65" s="136" t="s">
        <v>175</v>
      </c>
      <c r="N65" t="s">
        <v>196</v>
      </c>
      <c r="O65" t="s">
        <v>156</v>
      </c>
      <c r="P65" s="153" t="s">
        <v>157</v>
      </c>
      <c r="Q65" s="157">
        <v>11</v>
      </c>
      <c r="R65" s="157">
        <v>7</v>
      </c>
      <c r="S65" s="157">
        <v>16</v>
      </c>
      <c r="T65" s="157">
        <v>18</v>
      </c>
      <c r="U65" s="157" t="s">
        <v>160</v>
      </c>
      <c r="V65" s="157" t="s">
        <v>160</v>
      </c>
      <c r="W65" s="157" t="s">
        <v>160</v>
      </c>
      <c r="X65" t="s">
        <v>158</v>
      </c>
      <c r="Y65" s="131">
        <v>12.75</v>
      </c>
      <c r="Z65" s="131">
        <v>-78.73</v>
      </c>
      <c r="AA65" s="131">
        <v>12.75</v>
      </c>
      <c r="AB65" s="131">
        <v>-78.73</v>
      </c>
      <c r="AC65" s="131">
        <v>-2828</v>
      </c>
      <c r="AD65" s="131">
        <v>-2828</v>
      </c>
      <c r="AE65" s="153" t="s">
        <v>160</v>
      </c>
      <c r="AF65" s="153" t="s">
        <v>160</v>
      </c>
      <c r="AG65" s="138">
        <v>3157.9370119999999</v>
      </c>
      <c r="AH65" s="2" t="s">
        <v>159</v>
      </c>
      <c r="AI65" s="153" t="s">
        <v>160</v>
      </c>
      <c r="AJ65" s="153" t="s">
        <v>160</v>
      </c>
      <c r="AK65" s="154" t="s">
        <v>160</v>
      </c>
      <c r="AL65" s="154" t="s">
        <v>177</v>
      </c>
      <c r="AM65" s="157" t="s">
        <v>160</v>
      </c>
      <c r="AN65" t="s">
        <v>160</v>
      </c>
      <c r="AO65" t="s">
        <v>160</v>
      </c>
      <c r="AP65" t="s">
        <v>160</v>
      </c>
      <c r="AQ65" t="s">
        <v>160</v>
      </c>
      <c r="AR65" t="s">
        <v>160</v>
      </c>
      <c r="AS65" t="s">
        <v>160</v>
      </c>
      <c r="AT65" t="s">
        <v>160</v>
      </c>
      <c r="AU65" s="145" t="s">
        <v>178</v>
      </c>
      <c r="AV65" t="s">
        <v>161</v>
      </c>
      <c r="AW65" s="141" t="s">
        <v>179</v>
      </c>
      <c r="AX65" s="141" t="s">
        <v>180</v>
      </c>
      <c r="AY65" s="139" t="s">
        <v>181</v>
      </c>
      <c r="AZ65" s="139" t="s">
        <v>182</v>
      </c>
      <c r="BA65" t="s">
        <v>162</v>
      </c>
      <c r="BB65" s="153" t="s">
        <v>217</v>
      </c>
      <c r="BC65" s="153" t="s">
        <v>217</v>
      </c>
      <c r="BD65" s="153" t="s">
        <v>217</v>
      </c>
      <c r="BE65" s="138">
        <v>19.93</v>
      </c>
      <c r="BF65" t="s">
        <v>183</v>
      </c>
      <c r="BG65" s="138">
        <v>0.11328068600000001</v>
      </c>
      <c r="BH65">
        <v>0.6</v>
      </c>
      <c r="BI65" t="s">
        <v>184</v>
      </c>
      <c r="BJ65" s="2">
        <v>0.08</v>
      </c>
      <c r="BK65">
        <v>8.8699999999999992</v>
      </c>
      <c r="BL65" t="s">
        <v>163</v>
      </c>
      <c r="BM65">
        <v>1.52</v>
      </c>
      <c r="BN65" t="s">
        <v>185</v>
      </c>
      <c r="BO65" t="s">
        <v>186</v>
      </c>
      <c r="BP65" s="158">
        <f t="shared" si="12"/>
        <v>18.433333333333334</v>
      </c>
      <c r="BQ65" t="s">
        <v>184</v>
      </c>
      <c r="BR65" s="154" t="s">
        <v>160</v>
      </c>
      <c r="BS65" s="154" t="s">
        <v>160</v>
      </c>
      <c r="BT65" t="s">
        <v>214</v>
      </c>
      <c r="BU65" t="s">
        <v>218</v>
      </c>
      <c r="BV65" t="s">
        <v>164</v>
      </c>
      <c r="BW65" t="s">
        <v>164</v>
      </c>
      <c r="BX65" s="138">
        <v>27.442219999999999</v>
      </c>
      <c r="BY65" t="s">
        <v>184</v>
      </c>
      <c r="BZ65" s="159">
        <v>3</v>
      </c>
      <c r="CA65" s="159">
        <v>3</v>
      </c>
      <c r="CB65" s="138">
        <v>3.2737021241846032</v>
      </c>
      <c r="CC65" s="138">
        <v>3.2737021241846032</v>
      </c>
      <c r="CD65" t="s">
        <v>188</v>
      </c>
      <c r="CE65" s="147">
        <f t="shared" si="13"/>
        <v>8.8389957352984286E-2</v>
      </c>
      <c r="CF65" s="147">
        <f t="shared" si="14"/>
        <v>8.8389957352984286E-2</v>
      </c>
      <c r="CG65" s="153" t="s">
        <v>215</v>
      </c>
      <c r="CH65" s="148" t="s">
        <v>207</v>
      </c>
      <c r="CI65" s="138">
        <v>3.4667037845893023</v>
      </c>
      <c r="CJ65" s="138" t="s">
        <v>244</v>
      </c>
      <c r="CK65" t="s">
        <v>160</v>
      </c>
      <c r="CL65" t="s">
        <v>189</v>
      </c>
      <c r="CM65" t="s">
        <v>160</v>
      </c>
      <c r="CN65" t="s">
        <v>160</v>
      </c>
      <c r="CO65" t="s">
        <v>160</v>
      </c>
      <c r="CP65" t="s">
        <v>160</v>
      </c>
      <c r="CQ65" t="s">
        <v>160</v>
      </c>
      <c r="CR65" t="s">
        <v>160</v>
      </c>
      <c r="CS65" t="s">
        <v>160</v>
      </c>
      <c r="CT65" t="s">
        <v>160</v>
      </c>
      <c r="CU65" s="134">
        <v>35</v>
      </c>
      <c r="CV65" t="s">
        <v>159</v>
      </c>
      <c r="CW65">
        <v>3</v>
      </c>
      <c r="CX65" s="149" t="s">
        <v>187</v>
      </c>
      <c r="CY65" s="157" t="s">
        <v>160</v>
      </c>
      <c r="CZ65" s="157" t="s">
        <v>160</v>
      </c>
      <c r="DA65" s="157" t="s">
        <v>160</v>
      </c>
      <c r="DB65" s="157" t="s">
        <v>160</v>
      </c>
      <c r="DC65" s="157" t="s">
        <v>160</v>
      </c>
      <c r="DD65" s="157" t="s">
        <v>160</v>
      </c>
      <c r="DE65" s="157" t="s">
        <v>160</v>
      </c>
      <c r="DF65" s="157" t="s">
        <v>160</v>
      </c>
      <c r="DG65" s="157" t="s">
        <v>160</v>
      </c>
      <c r="DH65" s="157" t="s">
        <v>160</v>
      </c>
      <c r="DI65" s="157" t="s">
        <v>160</v>
      </c>
      <c r="DJ65" s="157" t="s">
        <v>160</v>
      </c>
      <c r="DK65" s="132">
        <v>432.56244218316402</v>
      </c>
      <c r="DL65" t="s">
        <v>165</v>
      </c>
      <c r="DM65" s="153">
        <v>37.1</v>
      </c>
      <c r="DN65" t="s">
        <v>166</v>
      </c>
      <c r="DO65" s="138">
        <v>39.158087430000002</v>
      </c>
      <c r="DP65" s="154" t="s">
        <v>163</v>
      </c>
      <c r="DQ65" s="146">
        <v>0.2</v>
      </c>
      <c r="DR65" t="s">
        <v>190</v>
      </c>
      <c r="DS65" t="s">
        <v>167</v>
      </c>
      <c r="DT65" t="s">
        <v>168</v>
      </c>
      <c r="DU65">
        <v>1.0271999999999999</v>
      </c>
      <c r="DV65" t="s">
        <v>191</v>
      </c>
      <c r="DW65">
        <v>5.9999999999999995E-4</v>
      </c>
      <c r="DX65" t="s">
        <v>198</v>
      </c>
      <c r="DY65" t="s">
        <v>160</v>
      </c>
      <c r="DZ65" t="s">
        <v>160</v>
      </c>
      <c r="EA65" t="s">
        <v>192</v>
      </c>
      <c r="EB65" t="s">
        <v>169</v>
      </c>
      <c r="EC65" t="s">
        <v>170</v>
      </c>
      <c r="ED65" t="s">
        <v>170</v>
      </c>
      <c r="EE65" s="157" t="s">
        <v>160</v>
      </c>
      <c r="EF65" t="s">
        <v>160</v>
      </c>
      <c r="EG65" t="s">
        <v>160</v>
      </c>
      <c r="EH65" t="s">
        <v>171</v>
      </c>
      <c r="EI65" t="s">
        <v>193</v>
      </c>
      <c r="EJ65" t="s">
        <v>194</v>
      </c>
      <c r="EK65" s="137">
        <v>2330</v>
      </c>
      <c r="EL65" t="s">
        <v>211</v>
      </c>
      <c r="EM65">
        <v>175</v>
      </c>
      <c r="EN65">
        <v>175</v>
      </c>
      <c r="EO65" t="s">
        <v>160</v>
      </c>
      <c r="EP65" t="s">
        <v>160</v>
      </c>
      <c r="EQ65" t="s">
        <v>160</v>
      </c>
      <c r="ER65" t="s">
        <v>160</v>
      </c>
      <c r="ES65" s="138">
        <v>8.0823451674312192</v>
      </c>
      <c r="ET65" s="133" t="s">
        <v>172</v>
      </c>
      <c r="EU65" s="138">
        <v>6.5871076686111252E-2</v>
      </c>
      <c r="EV65" s="138">
        <v>6.5680550632828627E-2</v>
      </c>
      <c r="EW65" s="147">
        <v>360.64626515835801</v>
      </c>
      <c r="EX65" s="154">
        <v>21</v>
      </c>
      <c r="EY65" s="154" t="s">
        <v>195</v>
      </c>
      <c r="EZ65" s="138">
        <v>339.64626515835801</v>
      </c>
      <c r="FA65" s="138">
        <v>76.439030395686984</v>
      </c>
      <c r="FB65" s="138">
        <v>67.894034531428986</v>
      </c>
      <c r="FC65" s="156" t="s">
        <v>212</v>
      </c>
      <c r="FD65" s="156" t="s">
        <v>213</v>
      </c>
      <c r="FE65" t="s">
        <v>173</v>
      </c>
      <c r="FF65" t="s">
        <v>173</v>
      </c>
      <c r="FG65" t="s">
        <v>173</v>
      </c>
      <c r="FH65" t="s">
        <v>173</v>
      </c>
      <c r="FI65" t="s">
        <v>173</v>
      </c>
      <c r="FJ65" t="s">
        <v>173</v>
      </c>
      <c r="FK65" t="s">
        <v>173</v>
      </c>
      <c r="FL65" t="s">
        <v>173</v>
      </c>
      <c r="FM65" t="s">
        <v>173</v>
      </c>
      <c r="FN65" t="s">
        <v>173</v>
      </c>
      <c r="FO65" t="s">
        <v>173</v>
      </c>
      <c r="FP65" t="s">
        <v>173</v>
      </c>
    </row>
    <row r="66" spans="1:172" ht="18" x14ac:dyDescent="0.2">
      <c r="A66" s="126" t="s">
        <v>152</v>
      </c>
      <c r="B66" t="s">
        <v>174</v>
      </c>
      <c r="C66">
        <v>2015</v>
      </c>
      <c r="D66" t="s">
        <v>196</v>
      </c>
      <c r="E66" s="147">
        <f t="shared" si="15"/>
        <v>3171.554932</v>
      </c>
      <c r="F66" s="135" t="s">
        <v>160</v>
      </c>
      <c r="G66" s="135" t="s">
        <v>160</v>
      </c>
      <c r="H66" s="147">
        <f t="shared" si="16"/>
        <v>451.65168540037001</v>
      </c>
      <c r="I66" s="147">
        <f t="shared" si="17"/>
        <v>102.0160338714</v>
      </c>
      <c r="J66" s="147">
        <f t="shared" si="18"/>
        <v>86.950981100511001</v>
      </c>
      <c r="K66" t="s">
        <v>176</v>
      </c>
      <c r="L66" s="130" t="s">
        <v>206</v>
      </c>
      <c r="M66" s="136" t="s">
        <v>175</v>
      </c>
      <c r="N66" t="s">
        <v>196</v>
      </c>
      <c r="O66" t="s">
        <v>156</v>
      </c>
      <c r="P66" s="153" t="s">
        <v>157</v>
      </c>
      <c r="Q66" s="157">
        <v>11</v>
      </c>
      <c r="R66" s="157">
        <v>7</v>
      </c>
      <c r="S66" s="157">
        <v>53</v>
      </c>
      <c r="T66" s="157">
        <v>55</v>
      </c>
      <c r="U66" s="157" t="s">
        <v>160</v>
      </c>
      <c r="V66" s="157" t="s">
        <v>160</v>
      </c>
      <c r="W66" s="157" t="s">
        <v>160</v>
      </c>
      <c r="X66" t="s">
        <v>158</v>
      </c>
      <c r="Y66" s="131">
        <v>12.75</v>
      </c>
      <c r="Z66" s="131">
        <v>-78.73</v>
      </c>
      <c r="AA66" s="131">
        <v>12.75</v>
      </c>
      <c r="AB66" s="131">
        <v>-78.73</v>
      </c>
      <c r="AC66" s="131">
        <v>-2828</v>
      </c>
      <c r="AD66" s="131">
        <v>-2828</v>
      </c>
      <c r="AE66" s="153" t="s">
        <v>160</v>
      </c>
      <c r="AF66" s="153" t="s">
        <v>160</v>
      </c>
      <c r="AG66" s="138">
        <v>3171.554932</v>
      </c>
      <c r="AH66" s="2" t="s">
        <v>159</v>
      </c>
      <c r="AI66" s="153" t="s">
        <v>160</v>
      </c>
      <c r="AJ66" s="153" t="s">
        <v>160</v>
      </c>
      <c r="AK66" s="154" t="s">
        <v>160</v>
      </c>
      <c r="AL66" s="154" t="s">
        <v>177</v>
      </c>
      <c r="AM66" s="157" t="s">
        <v>160</v>
      </c>
      <c r="AN66" t="s">
        <v>160</v>
      </c>
      <c r="AO66" t="s">
        <v>160</v>
      </c>
      <c r="AP66" t="s">
        <v>160</v>
      </c>
      <c r="AQ66" t="s">
        <v>160</v>
      </c>
      <c r="AR66" t="s">
        <v>160</v>
      </c>
      <c r="AS66" t="s">
        <v>160</v>
      </c>
      <c r="AT66" t="s">
        <v>160</v>
      </c>
      <c r="AU66" s="145" t="s">
        <v>178</v>
      </c>
      <c r="AV66" t="s">
        <v>161</v>
      </c>
      <c r="AW66" s="141" t="s">
        <v>179</v>
      </c>
      <c r="AX66" s="139" t="s">
        <v>180</v>
      </c>
      <c r="AY66" s="139" t="s">
        <v>181</v>
      </c>
      <c r="AZ66" s="139" t="s">
        <v>182</v>
      </c>
      <c r="BA66" s="140" t="s">
        <v>162</v>
      </c>
      <c r="BB66" s="153" t="s">
        <v>217</v>
      </c>
      <c r="BC66" s="153" t="s">
        <v>217</v>
      </c>
      <c r="BD66" s="153" t="s">
        <v>217</v>
      </c>
      <c r="BE66" s="138">
        <v>19.406479999999998</v>
      </c>
      <c r="BF66" t="s">
        <v>183</v>
      </c>
      <c r="BG66" s="138">
        <v>0.11233689600000001</v>
      </c>
      <c r="BH66">
        <v>0.6</v>
      </c>
      <c r="BI66" t="s">
        <v>184</v>
      </c>
      <c r="BJ66" s="2">
        <v>0.08</v>
      </c>
      <c r="BK66">
        <v>8.8699999999999992</v>
      </c>
      <c r="BL66" t="s">
        <v>163</v>
      </c>
      <c r="BM66">
        <v>1.52</v>
      </c>
      <c r="BN66" t="s">
        <v>185</v>
      </c>
      <c r="BO66" t="s">
        <v>186</v>
      </c>
      <c r="BP66" s="158">
        <f t="shared" si="12"/>
        <v>17.5608</v>
      </c>
      <c r="BQ66" t="s">
        <v>184</v>
      </c>
      <c r="BR66" s="154" t="s">
        <v>160</v>
      </c>
      <c r="BS66" s="154" t="s">
        <v>160</v>
      </c>
      <c r="BT66" t="s">
        <v>214</v>
      </c>
      <c r="BU66" t="s">
        <v>218</v>
      </c>
      <c r="BV66" t="s">
        <v>164</v>
      </c>
      <c r="BW66" t="s">
        <v>164</v>
      </c>
      <c r="BX66" s="138">
        <v>28.721</v>
      </c>
      <c r="BY66" t="s">
        <v>184</v>
      </c>
      <c r="BZ66" s="159">
        <v>3</v>
      </c>
      <c r="CA66" s="159">
        <v>3</v>
      </c>
      <c r="CB66" s="138">
        <v>3.6648180164556474</v>
      </c>
      <c r="CC66" s="138">
        <v>3.6648180164556474</v>
      </c>
      <c r="CD66" t="s">
        <v>188</v>
      </c>
      <c r="CE66" s="147">
        <f t="shared" si="13"/>
        <v>9.8950086444302476E-2</v>
      </c>
      <c r="CF66" s="147">
        <f t="shared" si="14"/>
        <v>9.8950086444302476E-2</v>
      </c>
      <c r="CG66" s="153" t="s">
        <v>215</v>
      </c>
      <c r="CH66" s="148" t="s">
        <v>207</v>
      </c>
      <c r="CI66" s="138">
        <v>3.4478741459311948</v>
      </c>
      <c r="CJ66" s="138" t="s">
        <v>244</v>
      </c>
      <c r="CK66" t="s">
        <v>160</v>
      </c>
      <c r="CL66" t="s">
        <v>189</v>
      </c>
      <c r="CM66" t="s">
        <v>160</v>
      </c>
      <c r="CN66" t="s">
        <v>160</v>
      </c>
      <c r="CO66" t="s">
        <v>160</v>
      </c>
      <c r="CP66" t="s">
        <v>160</v>
      </c>
      <c r="CQ66" t="s">
        <v>160</v>
      </c>
      <c r="CR66" t="s">
        <v>160</v>
      </c>
      <c r="CS66" t="s">
        <v>160</v>
      </c>
      <c r="CT66" t="s">
        <v>160</v>
      </c>
      <c r="CU66" s="134">
        <v>35</v>
      </c>
      <c r="CV66" t="s">
        <v>159</v>
      </c>
      <c r="CW66">
        <v>3</v>
      </c>
      <c r="CX66" s="149" t="s">
        <v>187</v>
      </c>
      <c r="CY66" s="157" t="s">
        <v>160</v>
      </c>
      <c r="CZ66" s="157" t="s">
        <v>160</v>
      </c>
      <c r="DA66" s="157" t="s">
        <v>160</v>
      </c>
      <c r="DB66" s="157" t="s">
        <v>160</v>
      </c>
      <c r="DC66" s="157" t="s">
        <v>160</v>
      </c>
      <c r="DD66" s="157" t="s">
        <v>160</v>
      </c>
      <c r="DE66" s="157" t="s">
        <v>160</v>
      </c>
      <c r="DF66" s="157" t="s">
        <v>160</v>
      </c>
      <c r="DG66" s="157" t="s">
        <v>160</v>
      </c>
      <c r="DH66" s="157" t="s">
        <v>160</v>
      </c>
      <c r="DI66" s="157" t="s">
        <v>160</v>
      </c>
      <c r="DJ66" s="157" t="s">
        <v>160</v>
      </c>
      <c r="DK66" s="132">
        <v>432.56244218316402</v>
      </c>
      <c r="DL66" t="s">
        <v>165</v>
      </c>
      <c r="DM66" s="153">
        <v>37.1</v>
      </c>
      <c r="DN66" t="s">
        <v>166</v>
      </c>
      <c r="DO66" s="138">
        <v>39.156416550000003</v>
      </c>
      <c r="DP66" s="154" t="s">
        <v>163</v>
      </c>
      <c r="DQ66" s="146">
        <v>0.2</v>
      </c>
      <c r="DR66" t="s">
        <v>190</v>
      </c>
      <c r="DS66" t="s">
        <v>167</v>
      </c>
      <c r="DT66" t="s">
        <v>168</v>
      </c>
      <c r="DU66">
        <v>1.0271999999999999</v>
      </c>
      <c r="DV66" t="s">
        <v>191</v>
      </c>
      <c r="DW66">
        <v>5.9999999999999995E-4</v>
      </c>
      <c r="DX66" t="s">
        <v>198</v>
      </c>
      <c r="DY66" t="s">
        <v>160</v>
      </c>
      <c r="DZ66" t="s">
        <v>160</v>
      </c>
      <c r="EA66" t="s">
        <v>192</v>
      </c>
      <c r="EB66" t="s">
        <v>169</v>
      </c>
      <c r="EC66" t="s">
        <v>170</v>
      </c>
      <c r="ED66" t="s">
        <v>170</v>
      </c>
      <c r="EE66" s="157" t="s">
        <v>160</v>
      </c>
      <c r="EF66" t="s">
        <v>160</v>
      </c>
      <c r="EG66" t="s">
        <v>160</v>
      </c>
      <c r="EH66" t="s">
        <v>171</v>
      </c>
      <c r="EI66" t="s">
        <v>193</v>
      </c>
      <c r="EJ66" t="s">
        <v>194</v>
      </c>
      <c r="EK66" s="137">
        <v>2330</v>
      </c>
      <c r="EL66" t="s">
        <v>211</v>
      </c>
      <c r="EM66">
        <v>175</v>
      </c>
      <c r="EN66">
        <v>175</v>
      </c>
      <c r="EO66" t="s">
        <v>160</v>
      </c>
      <c r="EP66" t="s">
        <v>160</v>
      </c>
      <c r="EQ66" t="s">
        <v>160</v>
      </c>
      <c r="ER66" t="s">
        <v>160</v>
      </c>
      <c r="ES66" s="138">
        <v>7.9867582345965999</v>
      </c>
      <c r="ET66" s="133" t="s">
        <v>172</v>
      </c>
      <c r="EU66" s="138">
        <v>6.6506427852630168E-2</v>
      </c>
      <c r="EV66" s="138">
        <v>6.8585727505030114E-2</v>
      </c>
      <c r="EW66" s="147">
        <v>472.65168540037001</v>
      </c>
      <c r="EX66" s="154">
        <v>21</v>
      </c>
      <c r="EY66" s="154" t="s">
        <v>195</v>
      </c>
      <c r="EZ66" s="138">
        <v>451.65168540037001</v>
      </c>
      <c r="FA66" s="138">
        <v>102.0160338714</v>
      </c>
      <c r="FB66" s="138">
        <v>86.950981100511001</v>
      </c>
      <c r="FC66" s="156" t="s">
        <v>212</v>
      </c>
      <c r="FD66" s="156" t="s">
        <v>213</v>
      </c>
      <c r="FE66" t="s">
        <v>173</v>
      </c>
      <c r="FF66" t="s">
        <v>173</v>
      </c>
      <c r="FG66" t="s">
        <v>173</v>
      </c>
      <c r="FH66" t="s">
        <v>173</v>
      </c>
      <c r="FI66" t="s">
        <v>173</v>
      </c>
      <c r="FJ66" t="s">
        <v>173</v>
      </c>
      <c r="FK66" t="s">
        <v>173</v>
      </c>
      <c r="FL66" t="s">
        <v>173</v>
      </c>
      <c r="FM66" t="s">
        <v>173</v>
      </c>
      <c r="FN66" t="s">
        <v>173</v>
      </c>
      <c r="FO66" t="s">
        <v>173</v>
      </c>
      <c r="FP66" t="s">
        <v>173</v>
      </c>
    </row>
    <row r="67" spans="1:172" ht="18" x14ac:dyDescent="0.2">
      <c r="A67" s="126" t="s">
        <v>152</v>
      </c>
      <c r="B67" t="s">
        <v>174</v>
      </c>
      <c r="C67">
        <v>2015</v>
      </c>
      <c r="D67" t="s">
        <v>196</v>
      </c>
      <c r="E67" s="147">
        <f t="shared" si="15"/>
        <v>3179.7871089999999</v>
      </c>
      <c r="F67" s="135" t="s">
        <v>160</v>
      </c>
      <c r="G67" s="135" t="s">
        <v>160</v>
      </c>
      <c r="H67" s="147">
        <f t="shared" si="16"/>
        <v>381.07301979576903</v>
      </c>
      <c r="I67" s="147">
        <f t="shared" si="17"/>
        <v>85.656852309900955</v>
      </c>
      <c r="J67" s="147">
        <f t="shared" si="18"/>
        <v>72.328034744414026</v>
      </c>
      <c r="K67" t="s">
        <v>176</v>
      </c>
      <c r="L67" s="130" t="s">
        <v>206</v>
      </c>
      <c r="M67" s="136" t="s">
        <v>175</v>
      </c>
      <c r="N67" t="s">
        <v>196</v>
      </c>
      <c r="O67" t="s">
        <v>156</v>
      </c>
      <c r="P67" s="153" t="s">
        <v>157</v>
      </c>
      <c r="Q67" s="157">
        <v>11</v>
      </c>
      <c r="R67" s="157" t="s">
        <v>252</v>
      </c>
      <c r="S67" s="157">
        <v>3</v>
      </c>
      <c r="T67" s="157">
        <v>5</v>
      </c>
      <c r="U67" s="157" t="s">
        <v>160</v>
      </c>
      <c r="V67" s="157" t="s">
        <v>160</v>
      </c>
      <c r="W67" s="157" t="s">
        <v>160</v>
      </c>
      <c r="X67" t="s">
        <v>158</v>
      </c>
      <c r="Y67" s="131">
        <v>12.75</v>
      </c>
      <c r="Z67" s="131">
        <v>-78.73</v>
      </c>
      <c r="AA67" s="131">
        <v>12.75</v>
      </c>
      <c r="AB67" s="131">
        <v>-78.73</v>
      </c>
      <c r="AC67" s="131">
        <v>-2828</v>
      </c>
      <c r="AD67" s="131">
        <v>-2828</v>
      </c>
      <c r="AE67" s="153" t="s">
        <v>160</v>
      </c>
      <c r="AF67" s="153" t="s">
        <v>160</v>
      </c>
      <c r="AG67" s="138">
        <v>3179.7871089999999</v>
      </c>
      <c r="AH67" s="2" t="s">
        <v>159</v>
      </c>
      <c r="AI67" s="153" t="s">
        <v>160</v>
      </c>
      <c r="AJ67" s="153" t="s">
        <v>160</v>
      </c>
      <c r="AK67" s="154" t="s">
        <v>160</v>
      </c>
      <c r="AL67" s="154" t="s">
        <v>177</v>
      </c>
      <c r="AM67" s="157" t="s">
        <v>160</v>
      </c>
      <c r="AN67" t="s">
        <v>160</v>
      </c>
      <c r="AO67" t="s">
        <v>160</v>
      </c>
      <c r="AP67" t="s">
        <v>160</v>
      </c>
      <c r="AQ67" t="s">
        <v>160</v>
      </c>
      <c r="AR67" t="s">
        <v>160</v>
      </c>
      <c r="AS67" t="s">
        <v>160</v>
      </c>
      <c r="AT67" t="s">
        <v>160</v>
      </c>
      <c r="AU67" s="145" t="s">
        <v>178</v>
      </c>
      <c r="AV67" t="s">
        <v>161</v>
      </c>
      <c r="AW67" s="141" t="s">
        <v>179</v>
      </c>
      <c r="AX67" s="141" t="s">
        <v>180</v>
      </c>
      <c r="AY67" s="139" t="s">
        <v>181</v>
      </c>
      <c r="AZ67" s="139" t="s">
        <v>182</v>
      </c>
      <c r="BA67" t="s">
        <v>162</v>
      </c>
      <c r="BB67" s="153" t="s">
        <v>217</v>
      </c>
      <c r="BC67" s="153" t="s">
        <v>217</v>
      </c>
      <c r="BD67" s="153" t="s">
        <v>217</v>
      </c>
      <c r="BE67" s="138">
        <v>19.746120000000001</v>
      </c>
      <c r="BF67" t="s">
        <v>183</v>
      </c>
      <c r="BG67" s="138">
        <v>9.3528344999999999E-2</v>
      </c>
      <c r="BH67">
        <v>0.6</v>
      </c>
      <c r="BI67" t="s">
        <v>184</v>
      </c>
      <c r="BJ67" s="2">
        <v>0.08</v>
      </c>
      <c r="BK67">
        <v>8.8699999999999992</v>
      </c>
      <c r="BL67" t="s">
        <v>163</v>
      </c>
      <c r="BM67">
        <v>1.52</v>
      </c>
      <c r="BN67" t="s">
        <v>185</v>
      </c>
      <c r="BO67" t="s">
        <v>186</v>
      </c>
      <c r="BP67" s="158">
        <f t="shared" si="12"/>
        <v>18.126866666666672</v>
      </c>
      <c r="BQ67" t="s">
        <v>184</v>
      </c>
      <c r="BR67" s="154" t="s">
        <v>160</v>
      </c>
      <c r="BS67" s="154" t="s">
        <v>160</v>
      </c>
      <c r="BT67" t="s">
        <v>214</v>
      </c>
      <c r="BU67" t="s">
        <v>218</v>
      </c>
      <c r="BV67" t="s">
        <v>164</v>
      </c>
      <c r="BW67" t="s">
        <v>164</v>
      </c>
      <c r="BX67" s="138">
        <v>28.44828</v>
      </c>
      <c r="BY67" t="s">
        <v>184</v>
      </c>
      <c r="BZ67" s="159">
        <v>3</v>
      </c>
      <c r="CA67" s="159">
        <v>3</v>
      </c>
      <c r="CB67" s="138">
        <v>3.5711636470697048</v>
      </c>
      <c r="CC67" s="138">
        <v>3.5711636470697048</v>
      </c>
      <c r="CD67" t="s">
        <v>188</v>
      </c>
      <c r="CE67" s="147">
        <f t="shared" si="13"/>
        <v>9.6421418470882023E-2</v>
      </c>
      <c r="CF67" s="147">
        <f t="shared" si="14"/>
        <v>9.6421418470882023E-2</v>
      </c>
      <c r="CG67" s="153" t="s">
        <v>215</v>
      </c>
      <c r="CH67" s="148" t="s">
        <v>207</v>
      </c>
      <c r="CI67" s="138">
        <v>3.4366038841407245</v>
      </c>
      <c r="CJ67" s="138" t="s">
        <v>244</v>
      </c>
      <c r="CK67" t="s">
        <v>160</v>
      </c>
      <c r="CL67" t="s">
        <v>189</v>
      </c>
      <c r="CM67" t="s">
        <v>160</v>
      </c>
      <c r="CN67" t="s">
        <v>160</v>
      </c>
      <c r="CO67" t="s">
        <v>160</v>
      </c>
      <c r="CP67" t="s">
        <v>160</v>
      </c>
      <c r="CQ67" t="s">
        <v>160</v>
      </c>
      <c r="CR67" t="s">
        <v>160</v>
      </c>
      <c r="CS67" t="s">
        <v>160</v>
      </c>
      <c r="CT67" t="s">
        <v>160</v>
      </c>
      <c r="CU67" s="134">
        <v>35</v>
      </c>
      <c r="CV67" t="s">
        <v>159</v>
      </c>
      <c r="CW67">
        <v>3</v>
      </c>
      <c r="CX67" s="149" t="s">
        <v>187</v>
      </c>
      <c r="CY67" s="157" t="s">
        <v>160</v>
      </c>
      <c r="CZ67" s="157" t="s">
        <v>160</v>
      </c>
      <c r="DA67" s="157" t="s">
        <v>160</v>
      </c>
      <c r="DB67" s="157" t="s">
        <v>160</v>
      </c>
      <c r="DC67" s="157" t="s">
        <v>160</v>
      </c>
      <c r="DD67" s="157" t="s">
        <v>160</v>
      </c>
      <c r="DE67" s="157" t="s">
        <v>160</v>
      </c>
      <c r="DF67" s="157" t="s">
        <v>160</v>
      </c>
      <c r="DG67" s="157" t="s">
        <v>160</v>
      </c>
      <c r="DH67" s="157" t="s">
        <v>160</v>
      </c>
      <c r="DI67" s="157" t="s">
        <v>160</v>
      </c>
      <c r="DJ67" s="157" t="s">
        <v>160</v>
      </c>
      <c r="DK67" s="132">
        <v>432.56244218316402</v>
      </c>
      <c r="DL67" t="s">
        <v>165</v>
      </c>
      <c r="DM67" s="153">
        <v>37.1</v>
      </c>
      <c r="DN67" t="s">
        <v>166</v>
      </c>
      <c r="DO67" s="138">
        <v>39.155242620000003</v>
      </c>
      <c r="DP67" s="154" t="s">
        <v>163</v>
      </c>
      <c r="DQ67" s="146">
        <v>0.2</v>
      </c>
      <c r="DR67" t="s">
        <v>190</v>
      </c>
      <c r="DS67" t="s">
        <v>167</v>
      </c>
      <c r="DT67" t="s">
        <v>168</v>
      </c>
      <c r="DU67">
        <v>1.0271999999999999</v>
      </c>
      <c r="DV67" t="s">
        <v>191</v>
      </c>
      <c r="DW67">
        <v>5.9999999999999995E-4</v>
      </c>
      <c r="DX67" t="s">
        <v>198</v>
      </c>
      <c r="DY67" t="s">
        <v>160</v>
      </c>
      <c r="DZ67" t="s">
        <v>160</v>
      </c>
      <c r="EA67" t="s">
        <v>192</v>
      </c>
      <c r="EB67" t="s">
        <v>169</v>
      </c>
      <c r="EC67" t="s">
        <v>170</v>
      </c>
      <c r="ED67" t="s">
        <v>170</v>
      </c>
      <c r="EE67" s="157" t="s">
        <v>160</v>
      </c>
      <c r="EF67" t="s">
        <v>160</v>
      </c>
      <c r="EG67" t="s">
        <v>160</v>
      </c>
      <c r="EH67" t="s">
        <v>171</v>
      </c>
      <c r="EI67" t="s">
        <v>193</v>
      </c>
      <c r="EJ67" t="s">
        <v>194</v>
      </c>
      <c r="EK67" s="137">
        <v>2330</v>
      </c>
      <c r="EL67" t="s">
        <v>211</v>
      </c>
      <c r="EM67">
        <v>175</v>
      </c>
      <c r="EN67">
        <v>175</v>
      </c>
      <c r="EO67" t="s">
        <v>160</v>
      </c>
      <c r="EP67" t="s">
        <v>160</v>
      </c>
      <c r="EQ67" t="s">
        <v>160</v>
      </c>
      <c r="ER67" t="s">
        <v>160</v>
      </c>
      <c r="ES67" s="138">
        <v>8.0438540263816893</v>
      </c>
      <c r="ET67" s="133" t="s">
        <v>172</v>
      </c>
      <c r="EU67" s="138">
        <v>6.3712075039660476E-2</v>
      </c>
      <c r="EV67" s="138">
        <v>6.436043488445975E-2</v>
      </c>
      <c r="EW67" s="147">
        <v>402.07301979576903</v>
      </c>
      <c r="EX67" s="154">
        <v>21</v>
      </c>
      <c r="EY67" s="154" t="s">
        <v>195</v>
      </c>
      <c r="EZ67" s="138">
        <v>381.07301979576903</v>
      </c>
      <c r="FA67" s="138">
        <v>85.656852309900955</v>
      </c>
      <c r="FB67" s="138">
        <v>72.328034744414026</v>
      </c>
      <c r="FC67" s="156" t="s">
        <v>212</v>
      </c>
      <c r="FD67" s="156" t="s">
        <v>213</v>
      </c>
      <c r="FE67" t="s">
        <v>173</v>
      </c>
      <c r="FF67" t="s">
        <v>173</v>
      </c>
      <c r="FG67" t="s">
        <v>173</v>
      </c>
      <c r="FH67" t="s">
        <v>173</v>
      </c>
      <c r="FI67" t="s">
        <v>173</v>
      </c>
      <c r="FJ67" t="s">
        <v>173</v>
      </c>
      <c r="FK67" t="s">
        <v>173</v>
      </c>
      <c r="FL67" t="s">
        <v>173</v>
      </c>
      <c r="FM67" t="s">
        <v>173</v>
      </c>
      <c r="FN67" t="s">
        <v>173</v>
      </c>
      <c r="FO67" t="s">
        <v>173</v>
      </c>
      <c r="FP67" t="s">
        <v>173</v>
      </c>
    </row>
    <row r="68" spans="1:172" ht="18" x14ac:dyDescent="0.2">
      <c r="A68" s="126" t="s">
        <v>152</v>
      </c>
      <c r="B68" t="s">
        <v>174</v>
      </c>
      <c r="C68">
        <v>2015</v>
      </c>
      <c r="D68" t="s">
        <v>196</v>
      </c>
      <c r="E68" s="147">
        <f t="shared" ref="E68:E73" si="19">AG68</f>
        <v>3189.1899410000001</v>
      </c>
      <c r="F68" s="135" t="s">
        <v>160</v>
      </c>
      <c r="G68" s="135" t="s">
        <v>160</v>
      </c>
      <c r="H68" s="147">
        <f t="shared" ref="H68:H73" si="20">EZ68</f>
        <v>283.44461302669202</v>
      </c>
      <c r="I68" s="147">
        <f t="shared" ref="I68:I73" si="21">FA68</f>
        <v>63.112620174581991</v>
      </c>
      <c r="J68" s="147">
        <f t="shared" ref="J68:J73" si="22">FB68</f>
        <v>55.063535706950034</v>
      </c>
      <c r="K68" t="s">
        <v>176</v>
      </c>
      <c r="L68" s="130" t="s">
        <v>206</v>
      </c>
      <c r="M68" s="136" t="s">
        <v>175</v>
      </c>
      <c r="N68" t="s">
        <v>196</v>
      </c>
      <c r="O68" t="s">
        <v>156</v>
      </c>
      <c r="P68" s="153" t="s">
        <v>157</v>
      </c>
      <c r="Q68" s="157">
        <v>12</v>
      </c>
      <c r="R68" s="157">
        <v>1</v>
      </c>
      <c r="S68" s="157">
        <v>4</v>
      </c>
      <c r="T68" s="157">
        <v>6</v>
      </c>
      <c r="U68" s="157" t="s">
        <v>160</v>
      </c>
      <c r="V68" s="157" t="s">
        <v>160</v>
      </c>
      <c r="W68" s="157" t="s">
        <v>160</v>
      </c>
      <c r="X68" t="s">
        <v>158</v>
      </c>
      <c r="Y68" s="131">
        <v>12.75</v>
      </c>
      <c r="Z68" s="131">
        <v>-78.73</v>
      </c>
      <c r="AA68" s="131">
        <v>12.75</v>
      </c>
      <c r="AB68" s="131">
        <v>-78.73</v>
      </c>
      <c r="AC68" s="131">
        <v>-2828</v>
      </c>
      <c r="AD68" s="131">
        <v>-2828</v>
      </c>
      <c r="AE68" s="153" t="s">
        <v>160</v>
      </c>
      <c r="AF68" s="153" t="s">
        <v>160</v>
      </c>
      <c r="AG68" s="138">
        <v>3189.1899410000001</v>
      </c>
      <c r="AH68" s="2" t="s">
        <v>159</v>
      </c>
      <c r="AI68" s="153" t="s">
        <v>160</v>
      </c>
      <c r="AJ68" s="153" t="s">
        <v>160</v>
      </c>
      <c r="AK68" s="154" t="s">
        <v>160</v>
      </c>
      <c r="AL68" s="154" t="s">
        <v>177</v>
      </c>
      <c r="AM68" s="157" t="s">
        <v>160</v>
      </c>
      <c r="AN68" t="s">
        <v>160</v>
      </c>
      <c r="AO68" t="s">
        <v>160</v>
      </c>
      <c r="AP68" t="s">
        <v>160</v>
      </c>
      <c r="AQ68" t="s">
        <v>160</v>
      </c>
      <c r="AR68" t="s">
        <v>160</v>
      </c>
      <c r="AS68" t="s">
        <v>160</v>
      </c>
      <c r="AT68" t="s">
        <v>160</v>
      </c>
      <c r="AU68" s="145" t="s">
        <v>178</v>
      </c>
      <c r="AV68" t="s">
        <v>161</v>
      </c>
      <c r="AW68" s="141" t="s">
        <v>179</v>
      </c>
      <c r="AX68" s="139" t="s">
        <v>180</v>
      </c>
      <c r="AY68" s="139" t="s">
        <v>181</v>
      </c>
      <c r="AZ68" s="139" t="s">
        <v>182</v>
      </c>
      <c r="BA68" s="140" t="s">
        <v>162</v>
      </c>
      <c r="BB68" s="153" t="s">
        <v>217</v>
      </c>
      <c r="BC68" s="153" t="s">
        <v>217</v>
      </c>
      <c r="BD68" s="153" t="s">
        <v>217</v>
      </c>
      <c r="BE68" s="138">
        <v>20.463830000000002</v>
      </c>
      <c r="BF68" t="s">
        <v>183</v>
      </c>
      <c r="BG68" s="138">
        <v>9.8452018000000002E-2</v>
      </c>
      <c r="BH68">
        <v>0.6</v>
      </c>
      <c r="BI68" t="s">
        <v>184</v>
      </c>
      <c r="BJ68" s="2">
        <v>0.08</v>
      </c>
      <c r="BK68">
        <v>8.8699999999999992</v>
      </c>
      <c r="BL68" t="s">
        <v>163</v>
      </c>
      <c r="BM68">
        <v>1.52</v>
      </c>
      <c r="BN68" t="s">
        <v>185</v>
      </c>
      <c r="BO68" t="s">
        <v>186</v>
      </c>
      <c r="BP68" s="158">
        <f t="shared" si="12"/>
        <v>19.323050000000006</v>
      </c>
      <c r="BQ68" t="s">
        <v>184</v>
      </c>
      <c r="BR68" s="154" t="s">
        <v>160</v>
      </c>
      <c r="BS68" s="154" t="s">
        <v>160</v>
      </c>
      <c r="BT68" t="s">
        <v>214</v>
      </c>
      <c r="BU68" t="s">
        <v>218</v>
      </c>
      <c r="BV68" t="s">
        <v>164</v>
      </c>
      <c r="BW68" t="s">
        <v>164</v>
      </c>
      <c r="BX68" s="138">
        <v>29.18675</v>
      </c>
      <c r="BY68" t="s">
        <v>184</v>
      </c>
      <c r="BZ68" s="159">
        <v>3</v>
      </c>
      <c r="CA68" s="159">
        <v>3</v>
      </c>
      <c r="CB68" s="138">
        <v>3.8107467853136208</v>
      </c>
      <c r="CC68" s="138">
        <v>3.8107467853136208</v>
      </c>
      <c r="CD68" t="s">
        <v>188</v>
      </c>
      <c r="CE68" s="147">
        <f t="shared" si="13"/>
        <v>0.10289016320346776</v>
      </c>
      <c r="CF68" s="147">
        <f t="shared" si="14"/>
        <v>0.10289016320346776</v>
      </c>
      <c r="CG68" s="153" t="s">
        <v>215</v>
      </c>
      <c r="CH68" s="148" t="s">
        <v>207</v>
      </c>
      <c r="CI68" s="138">
        <v>3.4238149265347264</v>
      </c>
      <c r="CJ68" s="138" t="s">
        <v>244</v>
      </c>
      <c r="CK68" t="s">
        <v>160</v>
      </c>
      <c r="CL68" t="s">
        <v>189</v>
      </c>
      <c r="CM68" t="s">
        <v>160</v>
      </c>
      <c r="CN68" t="s">
        <v>160</v>
      </c>
      <c r="CO68" t="s">
        <v>160</v>
      </c>
      <c r="CP68" t="s">
        <v>160</v>
      </c>
      <c r="CQ68" t="s">
        <v>160</v>
      </c>
      <c r="CR68" t="s">
        <v>160</v>
      </c>
      <c r="CS68" t="s">
        <v>160</v>
      </c>
      <c r="CT68" t="s">
        <v>160</v>
      </c>
      <c r="CU68" s="134">
        <v>35</v>
      </c>
      <c r="CV68" t="s">
        <v>159</v>
      </c>
      <c r="CW68">
        <v>3</v>
      </c>
      <c r="CX68" s="149" t="s">
        <v>187</v>
      </c>
      <c r="CY68" s="157" t="s">
        <v>160</v>
      </c>
      <c r="CZ68" s="157" t="s">
        <v>160</v>
      </c>
      <c r="DA68" s="157" t="s">
        <v>160</v>
      </c>
      <c r="DB68" s="157" t="s">
        <v>160</v>
      </c>
      <c r="DC68" s="157" t="s">
        <v>160</v>
      </c>
      <c r="DD68" s="157" t="s">
        <v>160</v>
      </c>
      <c r="DE68" s="157" t="s">
        <v>160</v>
      </c>
      <c r="DF68" s="157" t="s">
        <v>160</v>
      </c>
      <c r="DG68" s="157" t="s">
        <v>160</v>
      </c>
      <c r="DH68" s="157" t="s">
        <v>160</v>
      </c>
      <c r="DI68" s="157" t="s">
        <v>160</v>
      </c>
      <c r="DJ68" s="157" t="s">
        <v>160</v>
      </c>
      <c r="DK68" s="132">
        <v>432.56244218316402</v>
      </c>
      <c r="DL68" t="s">
        <v>165</v>
      </c>
      <c r="DM68" s="153">
        <v>37.1</v>
      </c>
      <c r="DN68" t="s">
        <v>166</v>
      </c>
      <c r="DO68" s="138">
        <v>39.15372593</v>
      </c>
      <c r="DP68" s="154" t="s">
        <v>163</v>
      </c>
      <c r="DQ68" s="146">
        <v>0.2</v>
      </c>
      <c r="DR68" t="s">
        <v>190</v>
      </c>
      <c r="DS68" t="s">
        <v>167</v>
      </c>
      <c r="DT68" t="s">
        <v>168</v>
      </c>
      <c r="DU68">
        <v>1.0271999999999999</v>
      </c>
      <c r="DV68" t="s">
        <v>191</v>
      </c>
      <c r="DW68">
        <v>5.9999999999999995E-4</v>
      </c>
      <c r="DX68" t="s">
        <v>198</v>
      </c>
      <c r="DY68" t="s">
        <v>160</v>
      </c>
      <c r="DZ68" t="s">
        <v>160</v>
      </c>
      <c r="EA68" t="s">
        <v>192</v>
      </c>
      <c r="EB68" t="s">
        <v>169</v>
      </c>
      <c r="EC68" t="s">
        <v>170</v>
      </c>
      <c r="ED68" t="s">
        <v>170</v>
      </c>
      <c r="EE68" s="157" t="s">
        <v>160</v>
      </c>
      <c r="EF68" t="s">
        <v>160</v>
      </c>
      <c r="EG68" t="s">
        <v>160</v>
      </c>
      <c r="EH68" t="s">
        <v>171</v>
      </c>
      <c r="EI68" t="s">
        <v>193</v>
      </c>
      <c r="EJ68" t="s">
        <v>194</v>
      </c>
      <c r="EK68" s="137">
        <v>2330</v>
      </c>
      <c r="EL68" t="s">
        <v>211</v>
      </c>
      <c r="EM68">
        <v>175</v>
      </c>
      <c r="EN68">
        <v>175</v>
      </c>
      <c r="EO68" t="s">
        <v>160</v>
      </c>
      <c r="EP68" t="s">
        <v>160</v>
      </c>
      <c r="EQ68" t="s">
        <v>160</v>
      </c>
      <c r="ER68" t="s">
        <v>160</v>
      </c>
      <c r="ES68" s="138">
        <v>8.1380526468239403</v>
      </c>
      <c r="ET68" s="133" t="s">
        <v>172</v>
      </c>
      <c r="EU68" s="138">
        <v>6.3300318464250438E-2</v>
      </c>
      <c r="EV68" s="138">
        <v>6.2070951868090418E-2</v>
      </c>
      <c r="EW68" s="147">
        <v>304.44461302669202</v>
      </c>
      <c r="EX68" s="154">
        <v>21</v>
      </c>
      <c r="EY68" s="154" t="s">
        <v>195</v>
      </c>
      <c r="EZ68" s="138">
        <v>283.44461302669202</v>
      </c>
      <c r="FA68" s="138">
        <v>63.112620174581991</v>
      </c>
      <c r="FB68" s="138">
        <v>55.063535706950034</v>
      </c>
      <c r="FC68" s="156" t="s">
        <v>212</v>
      </c>
      <c r="FD68" s="156" t="s">
        <v>213</v>
      </c>
      <c r="FE68" t="s">
        <v>173</v>
      </c>
      <c r="FF68" t="s">
        <v>173</v>
      </c>
      <c r="FG68" t="s">
        <v>173</v>
      </c>
      <c r="FH68" t="s">
        <v>173</v>
      </c>
      <c r="FI68" t="s">
        <v>173</v>
      </c>
      <c r="FJ68" t="s">
        <v>173</v>
      </c>
      <c r="FK68" t="s">
        <v>173</v>
      </c>
      <c r="FL68" t="s">
        <v>173</v>
      </c>
      <c r="FM68" t="s">
        <v>173</v>
      </c>
      <c r="FN68" t="s">
        <v>173</v>
      </c>
      <c r="FO68" t="s">
        <v>173</v>
      </c>
      <c r="FP68" t="s">
        <v>173</v>
      </c>
    </row>
    <row r="69" spans="1:172" ht="18" x14ac:dyDescent="0.2">
      <c r="A69" s="126" t="s">
        <v>152</v>
      </c>
      <c r="B69" t="s">
        <v>174</v>
      </c>
      <c r="C69">
        <v>2015</v>
      </c>
      <c r="D69" t="s">
        <v>196</v>
      </c>
      <c r="E69" s="147">
        <f t="shared" si="19"/>
        <v>3198.7292480000001</v>
      </c>
      <c r="F69" s="135" t="s">
        <v>160</v>
      </c>
      <c r="G69" s="135" t="s">
        <v>160</v>
      </c>
      <c r="H69" s="147">
        <f t="shared" si="20"/>
        <v>330.902805570449</v>
      </c>
      <c r="I69" s="147">
        <f t="shared" si="21"/>
        <v>74.052015070313018</v>
      </c>
      <c r="J69" s="147">
        <f t="shared" si="22"/>
        <v>63.522036601196987</v>
      </c>
      <c r="K69" t="s">
        <v>176</v>
      </c>
      <c r="L69" s="130" t="s">
        <v>206</v>
      </c>
      <c r="M69" s="136" t="s">
        <v>175</v>
      </c>
      <c r="N69" t="s">
        <v>196</v>
      </c>
      <c r="O69" t="s">
        <v>156</v>
      </c>
      <c r="P69" s="153" t="s">
        <v>157</v>
      </c>
      <c r="Q69" s="157">
        <v>12</v>
      </c>
      <c r="R69" s="157">
        <v>1</v>
      </c>
      <c r="S69" s="157">
        <v>29</v>
      </c>
      <c r="T69" s="157">
        <v>30</v>
      </c>
      <c r="U69" s="157" t="s">
        <v>160</v>
      </c>
      <c r="V69" s="157" t="s">
        <v>160</v>
      </c>
      <c r="W69" s="157" t="s">
        <v>160</v>
      </c>
      <c r="X69" t="s">
        <v>158</v>
      </c>
      <c r="Y69" s="131">
        <v>12.75</v>
      </c>
      <c r="Z69" s="131">
        <v>-78.73</v>
      </c>
      <c r="AA69" s="131">
        <v>12.75</v>
      </c>
      <c r="AB69" s="131">
        <v>-78.73</v>
      </c>
      <c r="AC69" s="131">
        <v>-2828</v>
      </c>
      <c r="AD69" s="131">
        <v>-2828</v>
      </c>
      <c r="AE69" s="153" t="s">
        <v>160</v>
      </c>
      <c r="AF69" s="153" t="s">
        <v>160</v>
      </c>
      <c r="AG69" s="138">
        <v>3198.7292480000001</v>
      </c>
      <c r="AH69" s="2" t="s">
        <v>159</v>
      </c>
      <c r="AI69" s="153" t="s">
        <v>160</v>
      </c>
      <c r="AJ69" s="153" t="s">
        <v>160</v>
      </c>
      <c r="AK69" s="154" t="s">
        <v>160</v>
      </c>
      <c r="AL69" s="154" t="s">
        <v>177</v>
      </c>
      <c r="AM69" s="157" t="s">
        <v>160</v>
      </c>
      <c r="AN69" t="s">
        <v>160</v>
      </c>
      <c r="AO69" t="s">
        <v>160</v>
      </c>
      <c r="AP69" t="s">
        <v>160</v>
      </c>
      <c r="AQ69" t="s">
        <v>160</v>
      </c>
      <c r="AR69" t="s">
        <v>160</v>
      </c>
      <c r="AS69" t="s">
        <v>160</v>
      </c>
      <c r="AT69" t="s">
        <v>160</v>
      </c>
      <c r="AU69" s="145" t="s">
        <v>178</v>
      </c>
      <c r="AV69" t="s">
        <v>161</v>
      </c>
      <c r="AW69" s="141" t="s">
        <v>179</v>
      </c>
      <c r="AX69" s="141" t="s">
        <v>180</v>
      </c>
      <c r="AY69" s="139" t="s">
        <v>181</v>
      </c>
      <c r="AZ69" s="139" t="s">
        <v>182</v>
      </c>
      <c r="BA69" t="s">
        <v>162</v>
      </c>
      <c r="BB69" s="153" t="s">
        <v>217</v>
      </c>
      <c r="BC69" s="153" t="s">
        <v>217</v>
      </c>
      <c r="BD69" s="153" t="s">
        <v>217</v>
      </c>
      <c r="BE69" s="138">
        <v>20.061399999999999</v>
      </c>
      <c r="BF69" t="s">
        <v>183</v>
      </c>
      <c r="BG69" s="138">
        <v>0.116816926</v>
      </c>
      <c r="BH69">
        <v>0.6</v>
      </c>
      <c r="BI69" t="s">
        <v>184</v>
      </c>
      <c r="BJ69" s="2">
        <v>0.08</v>
      </c>
      <c r="BK69">
        <v>8.8699999999999992</v>
      </c>
      <c r="BL69" t="s">
        <v>163</v>
      </c>
      <c r="BM69">
        <v>1.52</v>
      </c>
      <c r="BN69" t="s">
        <v>185</v>
      </c>
      <c r="BO69" t="s">
        <v>186</v>
      </c>
      <c r="BP69" s="158">
        <f t="shared" ref="BP69:BP84" si="23">(BE69-8.87)/0.6</f>
        <v>18.652333333333335</v>
      </c>
      <c r="BQ69" t="s">
        <v>184</v>
      </c>
      <c r="BR69" s="154" t="s">
        <v>160</v>
      </c>
      <c r="BS69" s="154" t="s">
        <v>160</v>
      </c>
      <c r="BT69" t="s">
        <v>214</v>
      </c>
      <c r="BU69" t="s">
        <v>218</v>
      </c>
      <c r="BV69" t="s">
        <v>164</v>
      </c>
      <c r="BW69" t="s">
        <v>164</v>
      </c>
      <c r="BX69" s="138">
        <v>28.499939999999999</v>
      </c>
      <c r="BY69" t="s">
        <v>184</v>
      </c>
      <c r="BZ69" s="159">
        <v>3</v>
      </c>
      <c r="CA69" s="159">
        <v>3</v>
      </c>
      <c r="CB69" s="138">
        <v>3.5767851230305161</v>
      </c>
      <c r="CC69" s="138">
        <v>3.5767851230305161</v>
      </c>
      <c r="CD69" t="s">
        <v>188</v>
      </c>
      <c r="CE69" s="147">
        <f t="shared" ref="CE69:CE77" si="24">CC69*0.027</f>
        <v>9.6573198321823928E-2</v>
      </c>
      <c r="CF69" s="147">
        <f t="shared" ref="CF69:CF77" si="25">CC69*0.027</f>
        <v>9.6573198321823928E-2</v>
      </c>
      <c r="CG69" s="153" t="s">
        <v>215</v>
      </c>
      <c r="CH69" s="148" t="s">
        <v>207</v>
      </c>
      <c r="CI69" s="138">
        <v>3.4109132260437143</v>
      </c>
      <c r="CJ69" s="138" t="s">
        <v>244</v>
      </c>
      <c r="CK69" t="s">
        <v>160</v>
      </c>
      <c r="CL69" t="s">
        <v>189</v>
      </c>
      <c r="CM69" t="s">
        <v>160</v>
      </c>
      <c r="CN69" t="s">
        <v>160</v>
      </c>
      <c r="CO69" t="s">
        <v>160</v>
      </c>
      <c r="CP69" t="s">
        <v>160</v>
      </c>
      <c r="CQ69" t="s">
        <v>160</v>
      </c>
      <c r="CR69" t="s">
        <v>160</v>
      </c>
      <c r="CS69" t="s">
        <v>160</v>
      </c>
      <c r="CT69" t="s">
        <v>160</v>
      </c>
      <c r="CU69" s="134">
        <v>35</v>
      </c>
      <c r="CV69" t="s">
        <v>159</v>
      </c>
      <c r="CW69">
        <v>3</v>
      </c>
      <c r="CX69" s="149" t="s">
        <v>187</v>
      </c>
      <c r="CY69" s="157" t="s">
        <v>160</v>
      </c>
      <c r="CZ69" s="157" t="s">
        <v>160</v>
      </c>
      <c r="DA69" s="157" t="s">
        <v>160</v>
      </c>
      <c r="DB69" s="157" t="s">
        <v>160</v>
      </c>
      <c r="DC69" s="157" t="s">
        <v>160</v>
      </c>
      <c r="DD69" s="157" t="s">
        <v>160</v>
      </c>
      <c r="DE69" s="157" t="s">
        <v>160</v>
      </c>
      <c r="DF69" s="157" t="s">
        <v>160</v>
      </c>
      <c r="DG69" s="157" t="s">
        <v>160</v>
      </c>
      <c r="DH69" s="157" t="s">
        <v>160</v>
      </c>
      <c r="DI69" s="157" t="s">
        <v>160</v>
      </c>
      <c r="DJ69" s="157" t="s">
        <v>160</v>
      </c>
      <c r="DK69" s="132">
        <v>432.56244218316402</v>
      </c>
      <c r="DL69" t="s">
        <v>165</v>
      </c>
      <c r="DM69" s="153">
        <v>37.1</v>
      </c>
      <c r="DN69" t="s">
        <v>166</v>
      </c>
      <c r="DO69" s="138">
        <v>39.152330569999997</v>
      </c>
      <c r="DP69" s="154" t="s">
        <v>163</v>
      </c>
      <c r="DQ69" s="146">
        <v>0.2</v>
      </c>
      <c r="DR69" t="s">
        <v>190</v>
      </c>
      <c r="DS69" t="s">
        <v>167</v>
      </c>
      <c r="DT69" t="s">
        <v>168</v>
      </c>
      <c r="DU69">
        <v>1.0271999999999999</v>
      </c>
      <c r="DV69" t="s">
        <v>191</v>
      </c>
      <c r="DW69">
        <v>5.9999999999999995E-4</v>
      </c>
      <c r="DX69" t="s">
        <v>198</v>
      </c>
      <c r="DY69" t="s">
        <v>160</v>
      </c>
      <c r="DZ69" t="s">
        <v>160</v>
      </c>
      <c r="EA69" t="s">
        <v>192</v>
      </c>
      <c r="EB69" t="s">
        <v>169</v>
      </c>
      <c r="EC69" t="s">
        <v>170</v>
      </c>
      <c r="ED69" t="s">
        <v>170</v>
      </c>
      <c r="EE69" s="157" t="s">
        <v>160</v>
      </c>
      <c r="EF69" t="s">
        <v>160</v>
      </c>
      <c r="EG69" t="s">
        <v>160</v>
      </c>
      <c r="EH69" t="s">
        <v>171</v>
      </c>
      <c r="EI69" t="s">
        <v>193</v>
      </c>
      <c r="EJ69" t="s">
        <v>194</v>
      </c>
      <c r="EK69" s="137">
        <v>2330</v>
      </c>
      <c r="EL69" t="s">
        <v>211</v>
      </c>
      <c r="EM69">
        <v>175</v>
      </c>
      <c r="EN69">
        <v>175</v>
      </c>
      <c r="EO69" t="s">
        <v>160</v>
      </c>
      <c r="EP69" t="s">
        <v>160</v>
      </c>
      <c r="EQ69" t="s">
        <v>160</v>
      </c>
      <c r="ER69" t="s">
        <v>160</v>
      </c>
      <c r="ES69" s="138">
        <v>8.08979612539766</v>
      </c>
      <c r="ET69" s="133" t="s">
        <v>172</v>
      </c>
      <c r="EU69" s="138">
        <v>6.3805907596009348E-2</v>
      </c>
      <c r="EV69" s="138">
        <v>6.491101742708949E-2</v>
      </c>
      <c r="EW69" s="147">
        <v>351.902805570449</v>
      </c>
      <c r="EX69" s="154">
        <v>21</v>
      </c>
      <c r="EY69" s="154" t="s">
        <v>195</v>
      </c>
      <c r="EZ69" s="138">
        <v>330.902805570449</v>
      </c>
      <c r="FA69" s="138">
        <v>74.052015070313018</v>
      </c>
      <c r="FB69" s="138">
        <v>63.522036601196987</v>
      </c>
      <c r="FC69" s="156" t="s">
        <v>212</v>
      </c>
      <c r="FD69" s="156" t="s">
        <v>213</v>
      </c>
      <c r="FE69" t="s">
        <v>173</v>
      </c>
      <c r="FF69" t="s">
        <v>173</v>
      </c>
      <c r="FG69" t="s">
        <v>173</v>
      </c>
      <c r="FH69" t="s">
        <v>173</v>
      </c>
      <c r="FI69" t="s">
        <v>173</v>
      </c>
      <c r="FJ69" t="s">
        <v>173</v>
      </c>
      <c r="FK69" t="s">
        <v>173</v>
      </c>
      <c r="FL69" t="s">
        <v>173</v>
      </c>
      <c r="FM69" t="s">
        <v>173</v>
      </c>
      <c r="FN69" t="s">
        <v>173</v>
      </c>
      <c r="FO69" t="s">
        <v>173</v>
      </c>
      <c r="FP69" t="s">
        <v>173</v>
      </c>
    </row>
    <row r="70" spans="1:172" ht="18" x14ac:dyDescent="0.2">
      <c r="A70" s="126" t="s">
        <v>152</v>
      </c>
      <c r="B70" t="s">
        <v>174</v>
      </c>
      <c r="C70">
        <v>2015</v>
      </c>
      <c r="D70" t="s">
        <v>196</v>
      </c>
      <c r="E70" s="147">
        <f t="shared" si="19"/>
        <v>3209.3752439999998</v>
      </c>
      <c r="F70" s="135" t="s">
        <v>160</v>
      </c>
      <c r="G70" s="135" t="s">
        <v>160</v>
      </c>
      <c r="H70" s="147">
        <f t="shared" si="20"/>
        <v>326.37900708607202</v>
      </c>
      <c r="I70" s="147">
        <f t="shared" si="21"/>
        <v>73.596368624784986</v>
      </c>
      <c r="J70" s="147">
        <f t="shared" si="22"/>
        <v>63.068132754594046</v>
      </c>
      <c r="K70" t="s">
        <v>176</v>
      </c>
      <c r="L70" s="130" t="s">
        <v>206</v>
      </c>
      <c r="M70" s="136" t="s">
        <v>175</v>
      </c>
      <c r="N70" t="s">
        <v>196</v>
      </c>
      <c r="O70" t="s">
        <v>156</v>
      </c>
      <c r="P70" s="153" t="s">
        <v>157</v>
      </c>
      <c r="Q70" s="157">
        <v>12</v>
      </c>
      <c r="R70" s="157">
        <v>1</v>
      </c>
      <c r="S70" s="157">
        <v>57</v>
      </c>
      <c r="T70" s="157">
        <v>59</v>
      </c>
      <c r="U70" s="157" t="s">
        <v>160</v>
      </c>
      <c r="V70" s="157" t="s">
        <v>160</v>
      </c>
      <c r="W70" s="157" t="s">
        <v>160</v>
      </c>
      <c r="X70" t="s">
        <v>158</v>
      </c>
      <c r="Y70" s="131">
        <v>12.75</v>
      </c>
      <c r="Z70" s="131">
        <v>-78.73</v>
      </c>
      <c r="AA70" s="131">
        <v>12.75</v>
      </c>
      <c r="AB70" s="131">
        <v>-78.73</v>
      </c>
      <c r="AC70" s="131">
        <v>-2828</v>
      </c>
      <c r="AD70" s="131">
        <v>-2828</v>
      </c>
      <c r="AE70" s="153" t="s">
        <v>160</v>
      </c>
      <c r="AF70" s="153" t="s">
        <v>160</v>
      </c>
      <c r="AG70" s="138">
        <v>3209.3752439999998</v>
      </c>
      <c r="AH70" s="2" t="s">
        <v>159</v>
      </c>
      <c r="AI70" s="153" t="s">
        <v>160</v>
      </c>
      <c r="AJ70" s="153" t="s">
        <v>160</v>
      </c>
      <c r="AK70" s="154" t="s">
        <v>160</v>
      </c>
      <c r="AL70" s="154" t="s">
        <v>177</v>
      </c>
      <c r="AM70" s="157" t="s">
        <v>160</v>
      </c>
      <c r="AN70" t="s">
        <v>160</v>
      </c>
      <c r="AO70" t="s">
        <v>160</v>
      </c>
      <c r="AP70" t="s">
        <v>160</v>
      </c>
      <c r="AQ70" t="s">
        <v>160</v>
      </c>
      <c r="AR70" t="s">
        <v>160</v>
      </c>
      <c r="AS70" t="s">
        <v>160</v>
      </c>
      <c r="AT70" t="s">
        <v>160</v>
      </c>
      <c r="AU70" s="145" t="s">
        <v>178</v>
      </c>
      <c r="AV70" t="s">
        <v>161</v>
      </c>
      <c r="AW70" s="141" t="s">
        <v>179</v>
      </c>
      <c r="AX70" s="139" t="s">
        <v>180</v>
      </c>
      <c r="AY70" s="139" t="s">
        <v>181</v>
      </c>
      <c r="AZ70" s="139" t="s">
        <v>182</v>
      </c>
      <c r="BA70" s="140" t="s">
        <v>162</v>
      </c>
      <c r="BB70" s="153" t="s">
        <v>217</v>
      </c>
      <c r="BC70" s="153" t="s">
        <v>217</v>
      </c>
      <c r="BD70" s="153" t="s">
        <v>217</v>
      </c>
      <c r="BE70" s="138">
        <v>20.123249999999999</v>
      </c>
      <c r="BF70" t="s">
        <v>183</v>
      </c>
      <c r="BG70" s="138">
        <v>0.14652628000000001</v>
      </c>
      <c r="BH70">
        <v>0.6</v>
      </c>
      <c r="BI70" t="s">
        <v>184</v>
      </c>
      <c r="BJ70" s="2">
        <v>0.08</v>
      </c>
      <c r="BK70">
        <v>8.8699999999999992</v>
      </c>
      <c r="BL70" t="s">
        <v>163</v>
      </c>
      <c r="BM70">
        <v>1.52</v>
      </c>
      <c r="BN70" t="s">
        <v>185</v>
      </c>
      <c r="BO70" t="s">
        <v>186</v>
      </c>
      <c r="BP70" s="158">
        <f t="shared" si="23"/>
        <v>18.755416666666665</v>
      </c>
      <c r="BQ70" t="s">
        <v>184</v>
      </c>
      <c r="BR70" s="154" t="s">
        <v>160</v>
      </c>
      <c r="BS70" s="154" t="s">
        <v>160</v>
      </c>
      <c r="BT70" t="s">
        <v>214</v>
      </c>
      <c r="BU70" t="s">
        <v>218</v>
      </c>
      <c r="BV70" t="s">
        <v>164</v>
      </c>
      <c r="BW70" t="s">
        <v>164</v>
      </c>
      <c r="BX70" s="138">
        <v>28.98817</v>
      </c>
      <c r="BY70" t="s">
        <v>184</v>
      </c>
      <c r="BZ70" s="159">
        <v>3</v>
      </c>
      <c r="CA70" s="159">
        <v>3</v>
      </c>
      <c r="CB70" s="138">
        <v>3.7310169501453525</v>
      </c>
      <c r="CC70" s="138">
        <v>3.7310169501453525</v>
      </c>
      <c r="CD70" t="s">
        <v>188</v>
      </c>
      <c r="CE70" s="147">
        <f t="shared" si="24"/>
        <v>0.10073745765392451</v>
      </c>
      <c r="CF70" s="147">
        <f t="shared" si="25"/>
        <v>0.10073745765392451</v>
      </c>
      <c r="CG70" s="153" t="s">
        <v>215</v>
      </c>
      <c r="CH70" s="148" t="s">
        <v>207</v>
      </c>
      <c r="CI70" s="138">
        <v>3.3965987981582644</v>
      </c>
      <c r="CJ70" s="138" t="s">
        <v>244</v>
      </c>
      <c r="CK70" t="s">
        <v>160</v>
      </c>
      <c r="CL70" t="s">
        <v>189</v>
      </c>
      <c r="CM70" t="s">
        <v>160</v>
      </c>
      <c r="CN70" t="s">
        <v>160</v>
      </c>
      <c r="CO70" t="s">
        <v>160</v>
      </c>
      <c r="CP70" t="s">
        <v>160</v>
      </c>
      <c r="CQ70" t="s">
        <v>160</v>
      </c>
      <c r="CR70" t="s">
        <v>160</v>
      </c>
      <c r="CS70" t="s">
        <v>160</v>
      </c>
      <c r="CT70" t="s">
        <v>160</v>
      </c>
      <c r="CU70" s="134">
        <v>35</v>
      </c>
      <c r="CV70" t="s">
        <v>159</v>
      </c>
      <c r="CW70">
        <v>3</v>
      </c>
      <c r="CX70" s="149" t="s">
        <v>187</v>
      </c>
      <c r="CY70" s="157" t="s">
        <v>160</v>
      </c>
      <c r="CZ70" s="157" t="s">
        <v>160</v>
      </c>
      <c r="DA70" s="157" t="s">
        <v>160</v>
      </c>
      <c r="DB70" s="157" t="s">
        <v>160</v>
      </c>
      <c r="DC70" s="157" t="s">
        <v>160</v>
      </c>
      <c r="DD70" s="157" t="s">
        <v>160</v>
      </c>
      <c r="DE70" s="157" t="s">
        <v>160</v>
      </c>
      <c r="DF70" s="157" t="s">
        <v>160</v>
      </c>
      <c r="DG70" s="157" t="s">
        <v>160</v>
      </c>
      <c r="DH70" s="157" t="s">
        <v>160</v>
      </c>
      <c r="DI70" s="157" t="s">
        <v>160</v>
      </c>
      <c r="DJ70" s="157" t="s">
        <v>160</v>
      </c>
      <c r="DK70" s="132">
        <v>432.56244218316402</v>
      </c>
      <c r="DL70" t="s">
        <v>165</v>
      </c>
      <c r="DM70" s="153">
        <v>37.1</v>
      </c>
      <c r="DN70" t="s">
        <v>166</v>
      </c>
      <c r="DO70" s="138">
        <v>39.150692560000003</v>
      </c>
      <c r="DP70" s="154" t="s">
        <v>163</v>
      </c>
      <c r="DQ70" s="146">
        <v>0.2</v>
      </c>
      <c r="DR70" t="s">
        <v>190</v>
      </c>
      <c r="DS70" t="s">
        <v>167</v>
      </c>
      <c r="DT70" t="s">
        <v>168</v>
      </c>
      <c r="DU70">
        <v>1.0271999999999999</v>
      </c>
      <c r="DV70" t="s">
        <v>191</v>
      </c>
      <c r="DW70">
        <v>5.9999999999999995E-4</v>
      </c>
      <c r="DX70" t="s">
        <v>198</v>
      </c>
      <c r="DY70" t="s">
        <v>160</v>
      </c>
      <c r="DZ70" t="s">
        <v>160</v>
      </c>
      <c r="EA70" t="s">
        <v>192</v>
      </c>
      <c r="EB70" t="s">
        <v>169</v>
      </c>
      <c r="EC70" t="s">
        <v>170</v>
      </c>
      <c r="ED70" t="s">
        <v>170</v>
      </c>
      <c r="EE70" s="157" t="s">
        <v>160</v>
      </c>
      <c r="EF70" t="s">
        <v>160</v>
      </c>
      <c r="EG70" t="s">
        <v>160</v>
      </c>
      <c r="EH70" t="s">
        <v>171</v>
      </c>
      <c r="EI70" t="s">
        <v>193</v>
      </c>
      <c r="EJ70" t="s">
        <v>194</v>
      </c>
      <c r="EK70" s="137">
        <v>2330</v>
      </c>
      <c r="EL70" t="s">
        <v>211</v>
      </c>
      <c r="EM70">
        <v>175</v>
      </c>
      <c r="EN70">
        <v>175</v>
      </c>
      <c r="EO70" t="s">
        <v>160</v>
      </c>
      <c r="EP70" t="s">
        <v>160</v>
      </c>
      <c r="EQ70" t="s">
        <v>160</v>
      </c>
      <c r="ER70" t="s">
        <v>160</v>
      </c>
      <c r="ES70" s="138">
        <v>8.0937024448033092</v>
      </c>
      <c r="ET70" s="133" t="s">
        <v>172</v>
      </c>
      <c r="EU70" s="138">
        <v>6.4431054030780643E-2</v>
      </c>
      <c r="EV70" s="138">
        <v>6.5251379639779117E-2</v>
      </c>
      <c r="EW70" s="147">
        <v>347.37900708607202</v>
      </c>
      <c r="EX70" s="154">
        <v>21</v>
      </c>
      <c r="EY70" s="154" t="s">
        <v>195</v>
      </c>
      <c r="EZ70" s="138">
        <v>326.37900708607202</v>
      </c>
      <c r="FA70" s="138">
        <v>73.596368624784986</v>
      </c>
      <c r="FB70" s="138">
        <v>63.068132754594046</v>
      </c>
      <c r="FC70" s="156" t="s">
        <v>212</v>
      </c>
      <c r="FD70" s="156" t="s">
        <v>213</v>
      </c>
      <c r="FE70" t="s">
        <v>173</v>
      </c>
      <c r="FF70" t="s">
        <v>173</v>
      </c>
      <c r="FG70" t="s">
        <v>173</v>
      </c>
      <c r="FH70" t="s">
        <v>173</v>
      </c>
      <c r="FI70" t="s">
        <v>173</v>
      </c>
      <c r="FJ70" t="s">
        <v>173</v>
      </c>
      <c r="FK70" t="s">
        <v>173</v>
      </c>
      <c r="FL70" t="s">
        <v>173</v>
      </c>
      <c r="FM70" t="s">
        <v>173</v>
      </c>
      <c r="FN70" t="s">
        <v>173</v>
      </c>
      <c r="FO70" t="s">
        <v>173</v>
      </c>
      <c r="FP70" t="s">
        <v>173</v>
      </c>
    </row>
    <row r="71" spans="1:172" ht="18" x14ac:dyDescent="0.2">
      <c r="A71" s="126" t="s">
        <v>152</v>
      </c>
      <c r="B71" t="s">
        <v>174</v>
      </c>
      <c r="C71">
        <v>2015</v>
      </c>
      <c r="D71" t="s">
        <v>196</v>
      </c>
      <c r="E71" s="147">
        <f t="shared" si="19"/>
        <v>3224.6044919999999</v>
      </c>
      <c r="F71" s="135" t="s">
        <v>160</v>
      </c>
      <c r="G71" s="135" t="s">
        <v>160</v>
      </c>
      <c r="H71" s="147">
        <f t="shared" si="20"/>
        <v>375.84765705955698</v>
      </c>
      <c r="I71" s="147">
        <f t="shared" si="21"/>
        <v>85.212616657898025</v>
      </c>
      <c r="J71" s="147">
        <f t="shared" si="22"/>
        <v>73.158550301221965</v>
      </c>
      <c r="K71" t="s">
        <v>176</v>
      </c>
      <c r="L71" s="130" t="s">
        <v>206</v>
      </c>
      <c r="M71" s="136" t="s">
        <v>175</v>
      </c>
      <c r="N71" t="s">
        <v>196</v>
      </c>
      <c r="O71" t="s">
        <v>156</v>
      </c>
      <c r="P71" s="153" t="s">
        <v>157</v>
      </c>
      <c r="Q71" s="157">
        <v>12</v>
      </c>
      <c r="R71" s="157">
        <v>1</v>
      </c>
      <c r="S71" s="157">
        <v>99</v>
      </c>
      <c r="T71" s="157">
        <v>101</v>
      </c>
      <c r="U71" s="157" t="s">
        <v>160</v>
      </c>
      <c r="V71" s="157" t="s">
        <v>160</v>
      </c>
      <c r="W71" s="157" t="s">
        <v>160</v>
      </c>
      <c r="X71" t="s">
        <v>158</v>
      </c>
      <c r="Y71" s="131">
        <v>12.75</v>
      </c>
      <c r="Z71" s="131">
        <v>-78.73</v>
      </c>
      <c r="AA71" s="131">
        <v>12.75</v>
      </c>
      <c r="AB71" s="131">
        <v>-78.73</v>
      </c>
      <c r="AC71" s="131">
        <v>-2828</v>
      </c>
      <c r="AD71" s="131">
        <v>-2828</v>
      </c>
      <c r="AE71" s="153" t="s">
        <v>160</v>
      </c>
      <c r="AF71" s="153" t="s">
        <v>160</v>
      </c>
      <c r="AG71" s="138">
        <v>3224.6044919999999</v>
      </c>
      <c r="AH71" s="2" t="s">
        <v>159</v>
      </c>
      <c r="AI71" s="153" t="s">
        <v>160</v>
      </c>
      <c r="AJ71" s="153" t="s">
        <v>160</v>
      </c>
      <c r="AK71" s="154" t="s">
        <v>160</v>
      </c>
      <c r="AL71" s="154" t="s">
        <v>177</v>
      </c>
      <c r="AM71" s="157" t="s">
        <v>160</v>
      </c>
      <c r="AN71" t="s">
        <v>160</v>
      </c>
      <c r="AO71" t="s">
        <v>160</v>
      </c>
      <c r="AP71" t="s">
        <v>160</v>
      </c>
      <c r="AQ71" t="s">
        <v>160</v>
      </c>
      <c r="AR71" t="s">
        <v>160</v>
      </c>
      <c r="AS71" t="s">
        <v>160</v>
      </c>
      <c r="AT71" t="s">
        <v>160</v>
      </c>
      <c r="AU71" s="145" t="s">
        <v>178</v>
      </c>
      <c r="AV71" t="s">
        <v>161</v>
      </c>
      <c r="AW71" s="141" t="s">
        <v>179</v>
      </c>
      <c r="AX71" s="141" t="s">
        <v>180</v>
      </c>
      <c r="AY71" s="139" t="s">
        <v>181</v>
      </c>
      <c r="AZ71" s="139" t="s">
        <v>182</v>
      </c>
      <c r="BA71" t="s">
        <v>162</v>
      </c>
      <c r="BB71" s="153" t="s">
        <v>217</v>
      </c>
      <c r="BC71" s="153" t="s">
        <v>217</v>
      </c>
      <c r="BD71" s="153" t="s">
        <v>217</v>
      </c>
      <c r="BE71" s="138">
        <v>19.766449999999999</v>
      </c>
      <c r="BF71" t="s">
        <v>183</v>
      </c>
      <c r="BG71" s="138">
        <v>0.12743700699999999</v>
      </c>
      <c r="BH71">
        <v>0.6</v>
      </c>
      <c r="BI71" t="s">
        <v>184</v>
      </c>
      <c r="BJ71" s="2">
        <v>0.08</v>
      </c>
      <c r="BK71">
        <v>8.8699999999999992</v>
      </c>
      <c r="BL71" t="s">
        <v>163</v>
      </c>
      <c r="BM71">
        <v>1.52</v>
      </c>
      <c r="BN71" t="s">
        <v>185</v>
      </c>
      <c r="BO71" t="s">
        <v>186</v>
      </c>
      <c r="BP71" s="158">
        <f t="shared" si="23"/>
        <v>18.16075</v>
      </c>
      <c r="BQ71" t="s">
        <v>184</v>
      </c>
      <c r="BR71" s="154" t="s">
        <v>160</v>
      </c>
      <c r="BS71" s="154" t="s">
        <v>160</v>
      </c>
      <c r="BT71" t="s">
        <v>214</v>
      </c>
      <c r="BU71" t="s">
        <v>218</v>
      </c>
      <c r="BV71" t="s">
        <v>164</v>
      </c>
      <c r="BW71" t="s">
        <v>164</v>
      </c>
      <c r="BX71" s="138">
        <v>28.33708</v>
      </c>
      <c r="BY71" t="s">
        <v>184</v>
      </c>
      <c r="BZ71" s="159">
        <v>3</v>
      </c>
      <c r="CA71" s="159">
        <v>3</v>
      </c>
      <c r="CB71" s="138">
        <v>3.5100362069016069</v>
      </c>
      <c r="CC71" s="138">
        <v>3.5100362069016069</v>
      </c>
      <c r="CD71" t="s">
        <v>188</v>
      </c>
      <c r="CE71" s="147">
        <f t="shared" si="24"/>
        <v>9.4770977586343383E-2</v>
      </c>
      <c r="CF71" s="147">
        <f t="shared" si="25"/>
        <v>9.4770977586343383E-2</v>
      </c>
      <c r="CG71" s="153" t="s">
        <v>215</v>
      </c>
      <c r="CH71" s="148" t="s">
        <v>207</v>
      </c>
      <c r="CI71" s="138">
        <v>3.3763099951750268</v>
      </c>
      <c r="CJ71" s="138" t="s">
        <v>244</v>
      </c>
      <c r="CK71" t="s">
        <v>160</v>
      </c>
      <c r="CL71" t="s">
        <v>189</v>
      </c>
      <c r="CM71" t="s">
        <v>160</v>
      </c>
      <c r="CN71" t="s">
        <v>160</v>
      </c>
      <c r="CO71" t="s">
        <v>160</v>
      </c>
      <c r="CP71" t="s">
        <v>160</v>
      </c>
      <c r="CQ71" t="s">
        <v>160</v>
      </c>
      <c r="CR71" t="s">
        <v>160</v>
      </c>
      <c r="CS71" t="s">
        <v>160</v>
      </c>
      <c r="CT71" t="s">
        <v>160</v>
      </c>
      <c r="CU71" s="134">
        <v>35</v>
      </c>
      <c r="CV71" t="s">
        <v>159</v>
      </c>
      <c r="CW71">
        <v>3</v>
      </c>
      <c r="CX71" s="149" t="s">
        <v>187</v>
      </c>
      <c r="CY71" s="157" t="s">
        <v>160</v>
      </c>
      <c r="CZ71" s="157" t="s">
        <v>160</v>
      </c>
      <c r="DA71" s="157" t="s">
        <v>160</v>
      </c>
      <c r="DB71" s="157" t="s">
        <v>160</v>
      </c>
      <c r="DC71" s="157" t="s">
        <v>160</v>
      </c>
      <c r="DD71" s="157" t="s">
        <v>160</v>
      </c>
      <c r="DE71" s="157" t="s">
        <v>160</v>
      </c>
      <c r="DF71" s="157" t="s">
        <v>160</v>
      </c>
      <c r="DG71" s="157" t="s">
        <v>160</v>
      </c>
      <c r="DH71" s="157" t="s">
        <v>160</v>
      </c>
      <c r="DI71" s="157" t="s">
        <v>160</v>
      </c>
      <c r="DJ71" s="157" t="s">
        <v>160</v>
      </c>
      <c r="DK71" s="132">
        <v>432.56244218316402</v>
      </c>
      <c r="DL71" t="s">
        <v>165</v>
      </c>
      <c r="DM71" s="153">
        <v>37.1</v>
      </c>
      <c r="DN71" t="s">
        <v>166</v>
      </c>
      <c r="DO71" s="138">
        <v>39.148326539999999</v>
      </c>
      <c r="DP71" s="154" t="s">
        <v>163</v>
      </c>
      <c r="DQ71" s="146">
        <v>0.2</v>
      </c>
      <c r="DR71" t="s">
        <v>190</v>
      </c>
      <c r="DS71" t="s">
        <v>167</v>
      </c>
      <c r="DT71" t="s">
        <v>168</v>
      </c>
      <c r="DU71">
        <v>1.0271999999999999</v>
      </c>
      <c r="DV71" t="s">
        <v>191</v>
      </c>
      <c r="DW71">
        <v>5.9999999999999995E-4</v>
      </c>
      <c r="DX71" t="s">
        <v>198</v>
      </c>
      <c r="DY71" t="s">
        <v>160</v>
      </c>
      <c r="DZ71" t="s">
        <v>160</v>
      </c>
      <c r="EA71" t="s">
        <v>192</v>
      </c>
      <c r="EB71" t="s">
        <v>169</v>
      </c>
      <c r="EC71" t="s">
        <v>170</v>
      </c>
      <c r="ED71" t="s">
        <v>170</v>
      </c>
      <c r="EE71" s="157" t="s">
        <v>160</v>
      </c>
      <c r="EF71" t="s">
        <v>160</v>
      </c>
      <c r="EG71" t="s">
        <v>160</v>
      </c>
      <c r="EH71" t="s">
        <v>171</v>
      </c>
      <c r="EI71" t="s">
        <v>193</v>
      </c>
      <c r="EJ71" t="s">
        <v>194</v>
      </c>
      <c r="EK71" s="137">
        <v>2330</v>
      </c>
      <c r="EL71" t="s">
        <v>211</v>
      </c>
      <c r="EM71">
        <v>175</v>
      </c>
      <c r="EN71">
        <v>175</v>
      </c>
      <c r="EO71" t="s">
        <v>160</v>
      </c>
      <c r="EP71" t="s">
        <v>160</v>
      </c>
      <c r="EQ71" t="s">
        <v>160</v>
      </c>
      <c r="ER71" t="s">
        <v>160</v>
      </c>
      <c r="ES71" s="138">
        <v>8.0486629416490594</v>
      </c>
      <c r="ET71" s="133" t="s">
        <v>172</v>
      </c>
      <c r="EU71" s="138">
        <v>6.5687996687620043E-2</v>
      </c>
      <c r="EV71" s="138">
        <v>6.5673266759969096E-2</v>
      </c>
      <c r="EW71" s="147">
        <v>396.84765705955698</v>
      </c>
      <c r="EX71" s="154">
        <v>21</v>
      </c>
      <c r="EY71" s="154" t="s">
        <v>195</v>
      </c>
      <c r="EZ71" s="138">
        <v>375.84765705955698</v>
      </c>
      <c r="FA71" s="138">
        <v>85.212616657898025</v>
      </c>
      <c r="FB71" s="138">
        <v>73.158550301221965</v>
      </c>
      <c r="FC71" s="156" t="s">
        <v>212</v>
      </c>
      <c r="FD71" s="156" t="s">
        <v>213</v>
      </c>
      <c r="FE71" t="s">
        <v>173</v>
      </c>
      <c r="FF71" t="s">
        <v>173</v>
      </c>
      <c r="FG71" t="s">
        <v>173</v>
      </c>
      <c r="FH71" t="s">
        <v>173</v>
      </c>
      <c r="FI71" t="s">
        <v>173</v>
      </c>
      <c r="FJ71" t="s">
        <v>173</v>
      </c>
      <c r="FK71" t="s">
        <v>173</v>
      </c>
      <c r="FL71" t="s">
        <v>173</v>
      </c>
      <c r="FM71" t="s">
        <v>173</v>
      </c>
      <c r="FN71" t="s">
        <v>173</v>
      </c>
      <c r="FO71" t="s">
        <v>173</v>
      </c>
      <c r="FP71" t="s">
        <v>173</v>
      </c>
    </row>
    <row r="72" spans="1:172" ht="18" x14ac:dyDescent="0.2">
      <c r="A72" s="126" t="s">
        <v>152</v>
      </c>
      <c r="B72" t="s">
        <v>174</v>
      </c>
      <c r="C72">
        <v>2015</v>
      </c>
      <c r="D72" t="s">
        <v>196</v>
      </c>
      <c r="E72" s="147">
        <f t="shared" si="19"/>
        <v>3239.8859859999998</v>
      </c>
      <c r="F72" s="135" t="s">
        <v>160</v>
      </c>
      <c r="G72" s="135" t="s">
        <v>160</v>
      </c>
      <c r="H72" s="147">
        <f t="shared" si="20"/>
        <v>423.24042050583398</v>
      </c>
      <c r="I72" s="147">
        <f t="shared" si="21"/>
        <v>112.74940063385702</v>
      </c>
      <c r="J72" s="147">
        <f t="shared" si="22"/>
        <v>94.07907151779898</v>
      </c>
      <c r="K72" t="s">
        <v>176</v>
      </c>
      <c r="L72" s="130" t="s">
        <v>206</v>
      </c>
      <c r="M72" s="136" t="s">
        <v>175</v>
      </c>
      <c r="N72" t="s">
        <v>196</v>
      </c>
      <c r="O72" t="s">
        <v>156</v>
      </c>
      <c r="P72" s="153" t="s">
        <v>157</v>
      </c>
      <c r="Q72" s="157">
        <v>12</v>
      </c>
      <c r="R72" s="157">
        <v>1</v>
      </c>
      <c r="S72" s="157">
        <v>143</v>
      </c>
      <c r="T72" s="157">
        <v>145</v>
      </c>
      <c r="U72" s="157" t="s">
        <v>160</v>
      </c>
      <c r="V72" s="157" t="s">
        <v>160</v>
      </c>
      <c r="W72" s="157" t="s">
        <v>160</v>
      </c>
      <c r="X72" t="s">
        <v>158</v>
      </c>
      <c r="Y72" s="131">
        <v>12.75</v>
      </c>
      <c r="Z72" s="131">
        <v>-78.73</v>
      </c>
      <c r="AA72" s="131">
        <v>12.75</v>
      </c>
      <c r="AB72" s="131">
        <v>-78.73</v>
      </c>
      <c r="AC72" s="131">
        <v>-2828</v>
      </c>
      <c r="AD72" s="131">
        <v>-2828</v>
      </c>
      <c r="AE72" s="153" t="s">
        <v>160</v>
      </c>
      <c r="AF72" s="153" t="s">
        <v>160</v>
      </c>
      <c r="AG72" s="138">
        <v>3239.8859859999998</v>
      </c>
      <c r="AH72" s="2" t="s">
        <v>159</v>
      </c>
      <c r="AI72" s="153" t="s">
        <v>160</v>
      </c>
      <c r="AJ72" s="153" t="s">
        <v>160</v>
      </c>
      <c r="AK72" s="154" t="s">
        <v>160</v>
      </c>
      <c r="AL72" s="154" t="s">
        <v>177</v>
      </c>
      <c r="AM72" s="157" t="s">
        <v>160</v>
      </c>
      <c r="AN72" t="s">
        <v>160</v>
      </c>
      <c r="AO72" t="s">
        <v>160</v>
      </c>
      <c r="AP72" t="s">
        <v>160</v>
      </c>
      <c r="AQ72" t="s">
        <v>160</v>
      </c>
      <c r="AR72" t="s">
        <v>160</v>
      </c>
      <c r="AS72" t="s">
        <v>160</v>
      </c>
      <c r="AT72" t="s">
        <v>160</v>
      </c>
      <c r="AU72" s="145" t="s">
        <v>178</v>
      </c>
      <c r="AV72" t="s">
        <v>161</v>
      </c>
      <c r="AW72" s="141" t="s">
        <v>179</v>
      </c>
      <c r="AX72" s="139" t="s">
        <v>180</v>
      </c>
      <c r="AY72" s="139" t="s">
        <v>181</v>
      </c>
      <c r="AZ72" s="139" t="s">
        <v>182</v>
      </c>
      <c r="BA72" s="140" t="s">
        <v>162</v>
      </c>
      <c r="BB72" s="153" t="s">
        <v>217</v>
      </c>
      <c r="BC72" s="153" t="s">
        <v>217</v>
      </c>
      <c r="BD72" s="153" t="s">
        <v>217</v>
      </c>
      <c r="BE72" s="138">
        <v>19.47</v>
      </c>
      <c r="BF72" t="s">
        <v>183</v>
      </c>
      <c r="BG72" s="138">
        <v>0.245767399</v>
      </c>
      <c r="BH72">
        <v>0.6</v>
      </c>
      <c r="BI72" t="s">
        <v>184</v>
      </c>
      <c r="BJ72" s="2">
        <v>0.08</v>
      </c>
      <c r="BK72">
        <v>8.8699999999999992</v>
      </c>
      <c r="BL72" t="s">
        <v>163</v>
      </c>
      <c r="BM72">
        <v>1.52</v>
      </c>
      <c r="BN72" t="s">
        <v>185</v>
      </c>
      <c r="BO72" t="s">
        <v>186</v>
      </c>
      <c r="BP72" s="158">
        <f t="shared" si="23"/>
        <v>17.666666666666668</v>
      </c>
      <c r="BQ72" t="s">
        <v>184</v>
      </c>
      <c r="BR72" s="154" t="s">
        <v>160</v>
      </c>
      <c r="BS72" s="154" t="s">
        <v>160</v>
      </c>
      <c r="BT72" t="s">
        <v>214</v>
      </c>
      <c r="BU72" t="s">
        <v>218</v>
      </c>
      <c r="BV72" t="s">
        <v>164</v>
      </c>
      <c r="BW72" t="s">
        <v>164</v>
      </c>
      <c r="BX72" s="138">
        <v>27.686669999999999</v>
      </c>
      <c r="BY72" t="s">
        <v>184</v>
      </c>
      <c r="BZ72" s="159">
        <v>3</v>
      </c>
      <c r="CA72" s="159">
        <v>3</v>
      </c>
      <c r="CB72" s="138">
        <v>3.3023552160333618</v>
      </c>
      <c r="CC72" s="138">
        <v>3.3023552160333618</v>
      </c>
      <c r="CD72" t="s">
        <v>188</v>
      </c>
      <c r="CE72" s="147">
        <f t="shared" si="24"/>
        <v>8.9163590832900763E-2</v>
      </c>
      <c r="CF72" s="147">
        <f t="shared" si="25"/>
        <v>8.9163590832900763E-2</v>
      </c>
      <c r="CG72" s="153" t="s">
        <v>215</v>
      </c>
      <c r="CH72" s="148" t="s">
        <v>207</v>
      </c>
      <c r="CI72" s="138">
        <v>3.3561656912692652</v>
      </c>
      <c r="CJ72" s="138" t="s">
        <v>244</v>
      </c>
      <c r="CK72" t="s">
        <v>160</v>
      </c>
      <c r="CL72" t="s">
        <v>189</v>
      </c>
      <c r="CM72" t="s">
        <v>160</v>
      </c>
      <c r="CN72" t="s">
        <v>160</v>
      </c>
      <c r="CO72" t="s">
        <v>160</v>
      </c>
      <c r="CP72" t="s">
        <v>160</v>
      </c>
      <c r="CQ72" t="s">
        <v>160</v>
      </c>
      <c r="CR72" t="s">
        <v>160</v>
      </c>
      <c r="CS72" t="s">
        <v>160</v>
      </c>
      <c r="CT72" t="s">
        <v>160</v>
      </c>
      <c r="CU72" s="134">
        <v>35</v>
      </c>
      <c r="CV72" t="s">
        <v>159</v>
      </c>
      <c r="CW72">
        <v>3</v>
      </c>
      <c r="CX72" s="149" t="s">
        <v>187</v>
      </c>
      <c r="CY72" s="157" t="s">
        <v>160</v>
      </c>
      <c r="CZ72" s="157" t="s">
        <v>160</v>
      </c>
      <c r="DA72" s="157" t="s">
        <v>160</v>
      </c>
      <c r="DB72" s="157" t="s">
        <v>160</v>
      </c>
      <c r="DC72" s="157" t="s">
        <v>160</v>
      </c>
      <c r="DD72" s="157" t="s">
        <v>160</v>
      </c>
      <c r="DE72" s="157" t="s">
        <v>160</v>
      </c>
      <c r="DF72" s="157" t="s">
        <v>160</v>
      </c>
      <c r="DG72" s="157" t="s">
        <v>160</v>
      </c>
      <c r="DH72" s="157" t="s">
        <v>160</v>
      </c>
      <c r="DI72" s="157" t="s">
        <v>160</v>
      </c>
      <c r="DJ72" s="157" t="s">
        <v>160</v>
      </c>
      <c r="DK72" s="132">
        <v>432.56244218316402</v>
      </c>
      <c r="DL72" t="s">
        <v>165</v>
      </c>
      <c r="DM72" s="153">
        <v>37.1</v>
      </c>
      <c r="DN72" t="s">
        <v>166</v>
      </c>
      <c r="DO72" s="138">
        <v>39.14619442</v>
      </c>
      <c r="DP72" s="154" t="s">
        <v>163</v>
      </c>
      <c r="DQ72" s="146">
        <v>0.2</v>
      </c>
      <c r="DR72" t="s">
        <v>190</v>
      </c>
      <c r="DS72" t="s">
        <v>167</v>
      </c>
      <c r="DT72" t="s">
        <v>168</v>
      </c>
      <c r="DU72">
        <v>1.0271999999999999</v>
      </c>
      <c r="DV72" t="s">
        <v>191</v>
      </c>
      <c r="DW72">
        <v>5.9999999999999995E-4</v>
      </c>
      <c r="DX72" t="s">
        <v>198</v>
      </c>
      <c r="DY72" t="s">
        <v>160</v>
      </c>
      <c r="DZ72" t="s">
        <v>160</v>
      </c>
      <c r="EA72" t="s">
        <v>192</v>
      </c>
      <c r="EB72" t="s">
        <v>169</v>
      </c>
      <c r="EC72" t="s">
        <v>170</v>
      </c>
      <c r="ED72" t="s">
        <v>170</v>
      </c>
      <c r="EE72" s="157" t="s">
        <v>160</v>
      </c>
      <c r="EF72" t="s">
        <v>160</v>
      </c>
      <c r="EG72" t="s">
        <v>160</v>
      </c>
      <c r="EH72" t="s">
        <v>171</v>
      </c>
      <c r="EI72" t="s">
        <v>193</v>
      </c>
      <c r="EJ72" t="s">
        <v>194</v>
      </c>
      <c r="EK72" s="137">
        <v>2330</v>
      </c>
      <c r="EL72" t="s">
        <v>211</v>
      </c>
      <c r="EM72">
        <v>175</v>
      </c>
      <c r="EN72">
        <v>175</v>
      </c>
      <c r="EO72" t="s">
        <v>160</v>
      </c>
      <c r="EP72" t="s">
        <v>160</v>
      </c>
      <c r="EQ72" t="s">
        <v>160</v>
      </c>
      <c r="ER72" t="s">
        <v>160</v>
      </c>
      <c r="ES72" s="138">
        <v>8.0104194644359303</v>
      </c>
      <c r="ET72" s="133" t="s">
        <v>172</v>
      </c>
      <c r="EU72" s="138">
        <v>7.8420678342089545E-2</v>
      </c>
      <c r="EV72" s="138">
        <v>7.9659166590570152E-2</v>
      </c>
      <c r="EW72" s="147">
        <v>444.24042050583398</v>
      </c>
      <c r="EX72" s="154">
        <v>21</v>
      </c>
      <c r="EY72" s="154" t="s">
        <v>195</v>
      </c>
      <c r="EZ72" s="138">
        <v>423.24042050583398</v>
      </c>
      <c r="FA72" s="138">
        <v>112.74940063385702</v>
      </c>
      <c r="FB72" s="138">
        <v>94.07907151779898</v>
      </c>
      <c r="FC72" s="156" t="s">
        <v>212</v>
      </c>
      <c r="FD72" s="156" t="s">
        <v>213</v>
      </c>
      <c r="FE72" t="s">
        <v>173</v>
      </c>
      <c r="FF72" t="s">
        <v>173</v>
      </c>
      <c r="FG72" t="s">
        <v>173</v>
      </c>
      <c r="FH72" t="s">
        <v>173</v>
      </c>
      <c r="FI72" t="s">
        <v>173</v>
      </c>
      <c r="FJ72" t="s">
        <v>173</v>
      </c>
      <c r="FK72" t="s">
        <v>173</v>
      </c>
      <c r="FL72" t="s">
        <v>173</v>
      </c>
      <c r="FM72" t="s">
        <v>173</v>
      </c>
      <c r="FN72" t="s">
        <v>173</v>
      </c>
      <c r="FO72" t="s">
        <v>173</v>
      </c>
      <c r="FP72" t="s">
        <v>173</v>
      </c>
    </row>
    <row r="73" spans="1:172" ht="18" x14ac:dyDescent="0.2">
      <c r="A73" s="126" t="s">
        <v>152</v>
      </c>
      <c r="B73" t="s">
        <v>174</v>
      </c>
      <c r="C73">
        <v>2015</v>
      </c>
      <c r="D73" t="s">
        <v>196</v>
      </c>
      <c r="E73" s="147">
        <f t="shared" si="19"/>
        <v>3242.9252929999998</v>
      </c>
      <c r="F73" s="135" t="s">
        <v>160</v>
      </c>
      <c r="G73" s="135" t="s">
        <v>160</v>
      </c>
      <c r="H73" s="147">
        <f t="shared" si="20"/>
        <v>354.45720409640398</v>
      </c>
      <c r="I73" s="147">
        <f t="shared" si="21"/>
        <v>79.309896762442008</v>
      </c>
      <c r="J73" s="147">
        <f t="shared" si="22"/>
        <v>70.037326514946983</v>
      </c>
      <c r="K73" t="s">
        <v>176</v>
      </c>
      <c r="L73" s="130" t="s">
        <v>206</v>
      </c>
      <c r="M73" s="136" t="s">
        <v>175</v>
      </c>
      <c r="N73" t="s">
        <v>196</v>
      </c>
      <c r="O73" t="s">
        <v>156</v>
      </c>
      <c r="P73" s="153" t="s">
        <v>157</v>
      </c>
      <c r="Q73" s="157">
        <v>12</v>
      </c>
      <c r="R73" s="157">
        <v>2</v>
      </c>
      <c r="S73" s="157">
        <v>2</v>
      </c>
      <c r="T73" s="157">
        <v>4</v>
      </c>
      <c r="U73" s="157" t="s">
        <v>160</v>
      </c>
      <c r="V73" s="157" t="s">
        <v>160</v>
      </c>
      <c r="W73" s="157" t="s">
        <v>160</v>
      </c>
      <c r="X73" t="s">
        <v>158</v>
      </c>
      <c r="Y73" s="131">
        <v>12.75</v>
      </c>
      <c r="Z73" s="131">
        <v>-78.73</v>
      </c>
      <c r="AA73" s="131">
        <v>12.75</v>
      </c>
      <c r="AB73" s="131">
        <v>-78.73</v>
      </c>
      <c r="AC73" s="131">
        <v>-2828</v>
      </c>
      <c r="AD73" s="131">
        <v>-2828</v>
      </c>
      <c r="AE73" s="153" t="s">
        <v>160</v>
      </c>
      <c r="AF73" s="153" t="s">
        <v>160</v>
      </c>
      <c r="AG73" s="138">
        <v>3242.9252929999998</v>
      </c>
      <c r="AH73" s="2" t="s">
        <v>159</v>
      </c>
      <c r="AI73" s="153" t="s">
        <v>160</v>
      </c>
      <c r="AJ73" s="153" t="s">
        <v>160</v>
      </c>
      <c r="AK73" s="154" t="s">
        <v>160</v>
      </c>
      <c r="AL73" s="154" t="s">
        <v>177</v>
      </c>
      <c r="AM73" s="157" t="s">
        <v>160</v>
      </c>
      <c r="AN73" t="s">
        <v>160</v>
      </c>
      <c r="AO73" t="s">
        <v>160</v>
      </c>
      <c r="AP73" t="s">
        <v>160</v>
      </c>
      <c r="AQ73" t="s">
        <v>160</v>
      </c>
      <c r="AR73" t="s">
        <v>160</v>
      </c>
      <c r="AS73" t="s">
        <v>160</v>
      </c>
      <c r="AT73" t="s">
        <v>160</v>
      </c>
      <c r="AU73" s="145" t="s">
        <v>178</v>
      </c>
      <c r="AV73" t="s">
        <v>161</v>
      </c>
      <c r="AW73" s="141" t="s">
        <v>179</v>
      </c>
      <c r="AX73" s="141" t="s">
        <v>180</v>
      </c>
      <c r="AY73" s="139" t="s">
        <v>181</v>
      </c>
      <c r="AZ73" s="139" t="s">
        <v>182</v>
      </c>
      <c r="BA73" t="s">
        <v>162</v>
      </c>
      <c r="BB73" s="153" t="s">
        <v>217</v>
      </c>
      <c r="BC73" s="153" t="s">
        <v>217</v>
      </c>
      <c r="BD73" s="153" t="s">
        <v>217</v>
      </c>
      <c r="BE73" s="138">
        <v>19.8293</v>
      </c>
      <c r="BF73" t="s">
        <v>183</v>
      </c>
      <c r="BG73" s="138">
        <v>0.110349244</v>
      </c>
      <c r="BH73">
        <v>0.6</v>
      </c>
      <c r="BI73" t="s">
        <v>184</v>
      </c>
      <c r="BJ73" s="2">
        <v>0.08</v>
      </c>
      <c r="BK73">
        <v>8.8699999999999992</v>
      </c>
      <c r="BL73" t="s">
        <v>163</v>
      </c>
      <c r="BM73">
        <v>1.52</v>
      </c>
      <c r="BN73" t="s">
        <v>185</v>
      </c>
      <c r="BO73" t="s">
        <v>186</v>
      </c>
      <c r="BP73" s="158">
        <f t="shared" si="23"/>
        <v>18.265500000000003</v>
      </c>
      <c r="BQ73" t="s">
        <v>184</v>
      </c>
      <c r="BR73" s="154" t="s">
        <v>160</v>
      </c>
      <c r="BS73" s="154" t="s">
        <v>160</v>
      </c>
      <c r="BT73" t="s">
        <v>214</v>
      </c>
      <c r="BU73" t="s">
        <v>218</v>
      </c>
      <c r="BV73" t="s">
        <v>164</v>
      </c>
      <c r="BW73" t="s">
        <v>164</v>
      </c>
      <c r="BX73" s="138">
        <v>27.3582</v>
      </c>
      <c r="BY73" t="s">
        <v>184</v>
      </c>
      <c r="BZ73" s="159">
        <v>3</v>
      </c>
      <c r="CA73" s="159">
        <v>3</v>
      </c>
      <c r="CB73" s="138">
        <v>3.2045987890238949</v>
      </c>
      <c r="CC73" s="138">
        <v>3.2045987890238949</v>
      </c>
      <c r="CD73" t="s">
        <v>188</v>
      </c>
      <c r="CE73" s="147">
        <f t="shared" si="24"/>
        <v>8.6524167303645164E-2</v>
      </c>
      <c r="CF73" s="147">
        <f t="shared" si="25"/>
        <v>8.6524167303645164E-2</v>
      </c>
      <c r="CG73" s="153" t="s">
        <v>215</v>
      </c>
      <c r="CH73" s="148" t="s">
        <v>207</v>
      </c>
      <c r="CI73" s="138">
        <v>3.3521839096653645</v>
      </c>
      <c r="CJ73" s="138" t="s">
        <v>244</v>
      </c>
      <c r="CK73" t="s">
        <v>160</v>
      </c>
      <c r="CL73" t="s">
        <v>189</v>
      </c>
      <c r="CM73" t="s">
        <v>160</v>
      </c>
      <c r="CN73" t="s">
        <v>160</v>
      </c>
      <c r="CO73" t="s">
        <v>160</v>
      </c>
      <c r="CP73" t="s">
        <v>160</v>
      </c>
      <c r="CQ73" t="s">
        <v>160</v>
      </c>
      <c r="CR73" t="s">
        <v>160</v>
      </c>
      <c r="CS73" t="s">
        <v>160</v>
      </c>
      <c r="CT73" t="s">
        <v>160</v>
      </c>
      <c r="CU73" s="134">
        <v>35</v>
      </c>
      <c r="CV73" t="s">
        <v>159</v>
      </c>
      <c r="CW73">
        <v>3</v>
      </c>
      <c r="CX73" s="149" t="s">
        <v>187</v>
      </c>
      <c r="CY73" s="157" t="s">
        <v>160</v>
      </c>
      <c r="CZ73" s="157" t="s">
        <v>160</v>
      </c>
      <c r="DA73" s="157" t="s">
        <v>160</v>
      </c>
      <c r="DB73" s="157" t="s">
        <v>160</v>
      </c>
      <c r="DC73" s="157" t="s">
        <v>160</v>
      </c>
      <c r="DD73" s="157" t="s">
        <v>160</v>
      </c>
      <c r="DE73" s="157" t="s">
        <v>160</v>
      </c>
      <c r="DF73" s="157" t="s">
        <v>160</v>
      </c>
      <c r="DG73" s="157" t="s">
        <v>160</v>
      </c>
      <c r="DH73" s="157" t="s">
        <v>160</v>
      </c>
      <c r="DI73" s="157" t="s">
        <v>160</v>
      </c>
      <c r="DJ73" s="157" t="s">
        <v>160</v>
      </c>
      <c r="DK73" s="132">
        <v>432.56244218316402</v>
      </c>
      <c r="DL73" t="s">
        <v>165</v>
      </c>
      <c r="DM73" s="153">
        <v>37.1</v>
      </c>
      <c r="DN73" t="s">
        <v>166</v>
      </c>
      <c r="DO73" s="138">
        <v>39.145778499999999</v>
      </c>
      <c r="DP73" s="154" t="s">
        <v>163</v>
      </c>
      <c r="DQ73" s="146">
        <v>0.2</v>
      </c>
      <c r="DR73" t="s">
        <v>190</v>
      </c>
      <c r="DS73" t="s">
        <v>167</v>
      </c>
      <c r="DT73" t="s">
        <v>168</v>
      </c>
      <c r="DU73">
        <v>1.0271999999999999</v>
      </c>
      <c r="DV73" t="s">
        <v>191</v>
      </c>
      <c r="DW73">
        <v>5.9999999999999995E-4</v>
      </c>
      <c r="DX73" t="s">
        <v>198</v>
      </c>
      <c r="DY73" t="s">
        <v>160</v>
      </c>
      <c r="DZ73" t="s">
        <v>160</v>
      </c>
      <c r="EA73" t="s">
        <v>192</v>
      </c>
      <c r="EB73" t="s">
        <v>169</v>
      </c>
      <c r="EC73" t="s">
        <v>170</v>
      </c>
      <c r="ED73" t="s">
        <v>170</v>
      </c>
      <c r="EE73" s="157" t="s">
        <v>160</v>
      </c>
      <c r="EF73" t="s">
        <v>160</v>
      </c>
      <c r="EG73" t="s">
        <v>160</v>
      </c>
      <c r="EH73" t="s">
        <v>171</v>
      </c>
      <c r="EI73" t="s">
        <v>193</v>
      </c>
      <c r="EJ73" t="s">
        <v>194</v>
      </c>
      <c r="EK73" s="137">
        <v>2330</v>
      </c>
      <c r="EL73" t="s">
        <v>211</v>
      </c>
      <c r="EM73">
        <v>175</v>
      </c>
      <c r="EN73">
        <v>175</v>
      </c>
      <c r="EO73" t="s">
        <v>160</v>
      </c>
      <c r="EP73" t="s">
        <v>160</v>
      </c>
      <c r="EQ73" t="s">
        <v>160</v>
      </c>
      <c r="ER73" t="s">
        <v>160</v>
      </c>
      <c r="ES73" s="138">
        <v>8.0690456269913895</v>
      </c>
      <c r="ET73" s="133" t="s">
        <v>172</v>
      </c>
      <c r="EU73" s="138">
        <v>6.6041685221840396E-2</v>
      </c>
      <c r="EV73" s="138">
        <v>6.5422132811230327E-2</v>
      </c>
      <c r="EW73" s="147">
        <v>375.45720409640398</v>
      </c>
      <c r="EX73" s="154">
        <v>21</v>
      </c>
      <c r="EY73" s="154" t="s">
        <v>195</v>
      </c>
      <c r="EZ73" s="138">
        <v>354.45720409640398</v>
      </c>
      <c r="FA73" s="138">
        <v>79.309896762442008</v>
      </c>
      <c r="FB73" s="138">
        <v>70.037326514946983</v>
      </c>
      <c r="FC73" s="156" t="s">
        <v>212</v>
      </c>
      <c r="FD73" s="156" t="s">
        <v>213</v>
      </c>
      <c r="FE73" t="s">
        <v>173</v>
      </c>
      <c r="FF73" t="s">
        <v>173</v>
      </c>
      <c r="FG73" t="s">
        <v>173</v>
      </c>
      <c r="FH73" t="s">
        <v>173</v>
      </c>
      <c r="FI73" t="s">
        <v>173</v>
      </c>
      <c r="FJ73" t="s">
        <v>173</v>
      </c>
      <c r="FK73" t="s">
        <v>173</v>
      </c>
      <c r="FL73" t="s">
        <v>173</v>
      </c>
      <c r="FM73" t="s">
        <v>173</v>
      </c>
      <c r="FN73" t="s">
        <v>173</v>
      </c>
      <c r="FO73" t="s">
        <v>173</v>
      </c>
      <c r="FP73" t="s">
        <v>173</v>
      </c>
    </row>
    <row r="74" spans="1:172" ht="18" x14ac:dyDescent="0.2">
      <c r="A74" s="126" t="s">
        <v>152</v>
      </c>
      <c r="B74" t="s">
        <v>174</v>
      </c>
      <c r="C74">
        <v>2015</v>
      </c>
      <c r="D74" t="s">
        <v>196</v>
      </c>
      <c r="E74" s="147">
        <f t="shared" ref="E74:E76" si="26">AG74</f>
        <v>3245.811768</v>
      </c>
      <c r="F74" s="135" t="s">
        <v>160</v>
      </c>
      <c r="G74" s="135" t="s">
        <v>160</v>
      </c>
      <c r="H74" s="147">
        <f t="shared" ref="H74:H77" si="27">EZ74</f>
        <v>316.30111257034002</v>
      </c>
      <c r="I74" s="147">
        <f t="shared" ref="I74:I77" si="28">FA74</f>
        <v>70.745626686302955</v>
      </c>
      <c r="J74" s="147">
        <f t="shared" ref="J74:J77" si="29">FB74</f>
        <v>60.642096330450016</v>
      </c>
      <c r="K74" t="s">
        <v>176</v>
      </c>
      <c r="L74" s="130" t="s">
        <v>206</v>
      </c>
      <c r="M74" s="136" t="s">
        <v>175</v>
      </c>
      <c r="N74" t="s">
        <v>196</v>
      </c>
      <c r="O74" t="s">
        <v>156</v>
      </c>
      <c r="P74" s="153" t="s">
        <v>157</v>
      </c>
      <c r="Q74" s="157">
        <v>12</v>
      </c>
      <c r="R74" s="157">
        <v>2</v>
      </c>
      <c r="S74" s="157">
        <v>10</v>
      </c>
      <c r="T74" s="157">
        <v>12</v>
      </c>
      <c r="U74" s="157" t="s">
        <v>160</v>
      </c>
      <c r="V74" s="157" t="s">
        <v>160</v>
      </c>
      <c r="W74" s="157" t="s">
        <v>160</v>
      </c>
      <c r="X74" t="s">
        <v>158</v>
      </c>
      <c r="Y74" s="131">
        <v>12.75</v>
      </c>
      <c r="Z74" s="131">
        <v>-78.73</v>
      </c>
      <c r="AA74" s="131">
        <v>12.75</v>
      </c>
      <c r="AB74" s="131">
        <v>-78.73</v>
      </c>
      <c r="AC74" s="131">
        <v>-2828</v>
      </c>
      <c r="AD74" s="131">
        <v>-2828</v>
      </c>
      <c r="AE74" s="153" t="s">
        <v>160</v>
      </c>
      <c r="AF74" s="153" t="s">
        <v>160</v>
      </c>
      <c r="AG74" s="138">
        <v>3245.811768</v>
      </c>
      <c r="AH74" s="2" t="s">
        <v>159</v>
      </c>
      <c r="AI74" s="153" t="s">
        <v>160</v>
      </c>
      <c r="AJ74" s="153" t="s">
        <v>160</v>
      </c>
      <c r="AK74" s="154" t="s">
        <v>160</v>
      </c>
      <c r="AL74" s="154" t="s">
        <v>177</v>
      </c>
      <c r="AM74" s="157" t="s">
        <v>160</v>
      </c>
      <c r="AN74" t="s">
        <v>160</v>
      </c>
      <c r="AO74" t="s">
        <v>160</v>
      </c>
      <c r="AP74" t="s">
        <v>160</v>
      </c>
      <c r="AQ74" t="s">
        <v>160</v>
      </c>
      <c r="AR74" t="s">
        <v>160</v>
      </c>
      <c r="AS74" t="s">
        <v>160</v>
      </c>
      <c r="AT74" t="s">
        <v>160</v>
      </c>
      <c r="AU74" s="145" t="s">
        <v>178</v>
      </c>
      <c r="AV74" t="s">
        <v>161</v>
      </c>
      <c r="AW74" s="141" t="s">
        <v>179</v>
      </c>
      <c r="AX74" s="139" t="s">
        <v>180</v>
      </c>
      <c r="AY74" s="139" t="s">
        <v>181</v>
      </c>
      <c r="AZ74" s="139" t="s">
        <v>182</v>
      </c>
      <c r="BA74" s="140" t="s">
        <v>162</v>
      </c>
      <c r="BB74" s="153" t="s">
        <v>217</v>
      </c>
      <c r="BC74" s="153" t="s">
        <v>217</v>
      </c>
      <c r="BD74" s="153" t="s">
        <v>217</v>
      </c>
      <c r="BE74" s="138">
        <v>20.1553</v>
      </c>
      <c r="BF74" t="s">
        <v>183</v>
      </c>
      <c r="BG74" s="138">
        <v>9.6271975999999995E-2</v>
      </c>
      <c r="BH74">
        <v>0.6</v>
      </c>
      <c r="BI74" t="s">
        <v>184</v>
      </c>
      <c r="BJ74" s="2">
        <v>0.08</v>
      </c>
      <c r="BK74">
        <v>8.8699999999999992</v>
      </c>
      <c r="BL74" t="s">
        <v>163</v>
      </c>
      <c r="BM74">
        <v>1.52</v>
      </c>
      <c r="BN74" t="s">
        <v>185</v>
      </c>
      <c r="BO74" t="s">
        <v>186</v>
      </c>
      <c r="BP74" s="158">
        <f t="shared" si="23"/>
        <v>18.808833333333336</v>
      </c>
      <c r="BQ74" t="s">
        <v>184</v>
      </c>
      <c r="BR74" s="154" t="s">
        <v>160</v>
      </c>
      <c r="BS74" s="154" t="s">
        <v>160</v>
      </c>
      <c r="BT74" t="s">
        <v>214</v>
      </c>
      <c r="BU74" t="s">
        <v>218</v>
      </c>
      <c r="BV74" t="s">
        <v>164</v>
      </c>
      <c r="BW74" t="s">
        <v>164</v>
      </c>
      <c r="BX74" s="138">
        <v>28.506129999999999</v>
      </c>
      <c r="BY74" t="s">
        <v>184</v>
      </c>
      <c r="BZ74" s="159">
        <v>3</v>
      </c>
      <c r="CA74" s="159">
        <v>3</v>
      </c>
      <c r="CB74" s="138">
        <v>3.5517439268834692</v>
      </c>
      <c r="CC74" s="138">
        <v>3.5517439268834692</v>
      </c>
      <c r="CD74" t="s">
        <v>188</v>
      </c>
      <c r="CE74" s="147">
        <f t="shared" si="24"/>
        <v>9.5897086025853673E-2</v>
      </c>
      <c r="CF74" s="147">
        <f t="shared" si="25"/>
        <v>9.5897086025853673E-2</v>
      </c>
      <c r="CG74" s="153" t="s">
        <v>215</v>
      </c>
      <c r="CH74" s="148" t="s">
        <v>207</v>
      </c>
      <c r="CI74" s="138">
        <v>3.348409761208722</v>
      </c>
      <c r="CJ74" s="138" t="s">
        <v>244</v>
      </c>
      <c r="CK74" t="s">
        <v>160</v>
      </c>
      <c r="CL74" t="s">
        <v>189</v>
      </c>
      <c r="CM74" t="s">
        <v>160</v>
      </c>
      <c r="CN74" t="s">
        <v>160</v>
      </c>
      <c r="CO74" t="s">
        <v>160</v>
      </c>
      <c r="CP74" t="s">
        <v>160</v>
      </c>
      <c r="CQ74" t="s">
        <v>160</v>
      </c>
      <c r="CR74" t="s">
        <v>160</v>
      </c>
      <c r="CS74" t="s">
        <v>160</v>
      </c>
      <c r="CT74" t="s">
        <v>160</v>
      </c>
      <c r="CU74" s="134">
        <v>35</v>
      </c>
      <c r="CV74" t="s">
        <v>159</v>
      </c>
      <c r="CW74">
        <v>3</v>
      </c>
      <c r="CX74" s="149" t="s">
        <v>187</v>
      </c>
      <c r="CY74" s="157" t="s">
        <v>160</v>
      </c>
      <c r="CZ74" s="157" t="s">
        <v>160</v>
      </c>
      <c r="DA74" s="157" t="s">
        <v>160</v>
      </c>
      <c r="DB74" s="157" t="s">
        <v>160</v>
      </c>
      <c r="DC74" s="157" t="s">
        <v>160</v>
      </c>
      <c r="DD74" s="157" t="s">
        <v>160</v>
      </c>
      <c r="DE74" s="157" t="s">
        <v>160</v>
      </c>
      <c r="DF74" s="157" t="s">
        <v>160</v>
      </c>
      <c r="DG74" s="157" t="s">
        <v>160</v>
      </c>
      <c r="DH74" s="157" t="s">
        <v>160</v>
      </c>
      <c r="DI74" s="157" t="s">
        <v>160</v>
      </c>
      <c r="DJ74" s="157" t="s">
        <v>160</v>
      </c>
      <c r="DK74" s="132">
        <v>432.56244218316402</v>
      </c>
      <c r="DL74" t="s">
        <v>165</v>
      </c>
      <c r="DM74" s="153">
        <v>37.1</v>
      </c>
      <c r="DN74" t="s">
        <v>166</v>
      </c>
      <c r="DO74" s="138">
        <v>39.14485612</v>
      </c>
      <c r="DP74" s="154" t="s">
        <v>163</v>
      </c>
      <c r="DQ74" s="146">
        <v>0.2</v>
      </c>
      <c r="DR74" t="s">
        <v>190</v>
      </c>
      <c r="DS74" t="s">
        <v>167</v>
      </c>
      <c r="DT74" t="s">
        <v>168</v>
      </c>
      <c r="DU74">
        <v>1.0271999999999999</v>
      </c>
      <c r="DV74" t="s">
        <v>191</v>
      </c>
      <c r="DW74">
        <v>5.9999999999999995E-4</v>
      </c>
      <c r="DX74" t="s">
        <v>198</v>
      </c>
      <c r="DY74" t="s">
        <v>160</v>
      </c>
      <c r="DZ74" t="s">
        <v>160</v>
      </c>
      <c r="EA74" t="s">
        <v>192</v>
      </c>
      <c r="EB74" t="s">
        <v>169</v>
      </c>
      <c r="EC74" t="s">
        <v>170</v>
      </c>
      <c r="ED74" t="s">
        <v>170</v>
      </c>
      <c r="EE74" s="157" t="s">
        <v>160</v>
      </c>
      <c r="EF74" t="s">
        <v>160</v>
      </c>
      <c r="EG74" t="s">
        <v>160</v>
      </c>
      <c r="EH74" t="s">
        <v>171</v>
      </c>
      <c r="EI74" t="s">
        <v>193</v>
      </c>
      <c r="EJ74" t="s">
        <v>194</v>
      </c>
      <c r="EK74" s="137">
        <v>2330</v>
      </c>
      <c r="EL74" t="s">
        <v>211</v>
      </c>
      <c r="EM74">
        <v>175</v>
      </c>
      <c r="EN74">
        <v>175</v>
      </c>
      <c r="EO74" t="s">
        <v>160</v>
      </c>
      <c r="EP74" t="s">
        <v>160</v>
      </c>
      <c r="EQ74" t="s">
        <v>160</v>
      </c>
      <c r="ER74" t="s">
        <v>160</v>
      </c>
      <c r="ES74" s="138">
        <v>8.1037319246391597</v>
      </c>
      <c r="ET74" s="133" t="s">
        <v>172</v>
      </c>
      <c r="EU74" s="138">
        <v>6.2283312286730563E-2</v>
      </c>
      <c r="EV74" s="138">
        <v>6.3797359565459288E-2</v>
      </c>
      <c r="EW74" s="147">
        <v>337.30111257034002</v>
      </c>
      <c r="EX74" s="154">
        <v>21</v>
      </c>
      <c r="EY74" s="154" t="s">
        <v>195</v>
      </c>
      <c r="EZ74" s="138">
        <v>316.30111257034002</v>
      </c>
      <c r="FA74" s="138">
        <v>70.745626686302955</v>
      </c>
      <c r="FB74" s="138">
        <v>60.642096330450016</v>
      </c>
      <c r="FC74" s="156" t="s">
        <v>212</v>
      </c>
      <c r="FD74" s="156" t="s">
        <v>213</v>
      </c>
      <c r="FE74" t="s">
        <v>173</v>
      </c>
      <c r="FF74" t="s">
        <v>173</v>
      </c>
      <c r="FG74" t="s">
        <v>173</v>
      </c>
      <c r="FH74" t="s">
        <v>173</v>
      </c>
      <c r="FI74" t="s">
        <v>173</v>
      </c>
      <c r="FJ74" t="s">
        <v>173</v>
      </c>
      <c r="FK74" t="s">
        <v>173</v>
      </c>
      <c r="FL74" t="s">
        <v>173</v>
      </c>
      <c r="FM74" t="s">
        <v>173</v>
      </c>
      <c r="FN74" t="s">
        <v>173</v>
      </c>
      <c r="FO74" t="s">
        <v>173</v>
      </c>
      <c r="FP74" t="s">
        <v>173</v>
      </c>
    </row>
    <row r="75" spans="1:172" ht="18" x14ac:dyDescent="0.2">
      <c r="A75" s="126" t="s">
        <v>152</v>
      </c>
      <c r="B75" t="s">
        <v>174</v>
      </c>
      <c r="C75">
        <v>2015</v>
      </c>
      <c r="D75" t="s">
        <v>196</v>
      </c>
      <c r="E75" s="147">
        <f t="shared" si="26"/>
        <v>3259.5778810000002</v>
      </c>
      <c r="F75" s="135" t="s">
        <v>160</v>
      </c>
      <c r="G75" s="135" t="s">
        <v>160</v>
      </c>
      <c r="H75" s="147">
        <f t="shared" si="27"/>
        <v>347.82904691952899</v>
      </c>
      <c r="I75" s="147">
        <f t="shared" si="28"/>
        <v>81.320029397281985</v>
      </c>
      <c r="J75" s="147">
        <f t="shared" si="29"/>
        <v>70.827284467840002</v>
      </c>
      <c r="K75" t="s">
        <v>176</v>
      </c>
      <c r="L75" s="130" t="s">
        <v>206</v>
      </c>
      <c r="M75" s="136" t="s">
        <v>175</v>
      </c>
      <c r="N75" t="s">
        <v>196</v>
      </c>
      <c r="O75" t="s">
        <v>156</v>
      </c>
      <c r="P75" s="153" t="s">
        <v>157</v>
      </c>
      <c r="Q75" s="157">
        <v>12</v>
      </c>
      <c r="R75" s="157">
        <v>2</v>
      </c>
      <c r="S75" s="157">
        <v>50</v>
      </c>
      <c r="T75" s="157">
        <v>52</v>
      </c>
      <c r="U75" s="157" t="s">
        <v>160</v>
      </c>
      <c r="V75" s="157" t="s">
        <v>160</v>
      </c>
      <c r="W75" s="157" t="s">
        <v>160</v>
      </c>
      <c r="X75" t="s">
        <v>158</v>
      </c>
      <c r="Y75" s="131">
        <v>12.75</v>
      </c>
      <c r="Z75" s="131">
        <v>-78.73</v>
      </c>
      <c r="AA75" s="131">
        <v>12.75</v>
      </c>
      <c r="AB75" s="131">
        <v>-78.73</v>
      </c>
      <c r="AC75" s="131">
        <v>-2828</v>
      </c>
      <c r="AD75" s="131">
        <v>-2828</v>
      </c>
      <c r="AE75" s="153" t="s">
        <v>160</v>
      </c>
      <c r="AF75" s="153" t="s">
        <v>160</v>
      </c>
      <c r="AG75" s="138">
        <v>3259.5778810000002</v>
      </c>
      <c r="AH75" s="2" t="s">
        <v>159</v>
      </c>
      <c r="AI75" s="153" t="s">
        <v>160</v>
      </c>
      <c r="AJ75" s="153" t="s">
        <v>160</v>
      </c>
      <c r="AK75" s="154" t="s">
        <v>160</v>
      </c>
      <c r="AL75" s="154" t="s">
        <v>177</v>
      </c>
      <c r="AM75" s="157" t="s">
        <v>160</v>
      </c>
      <c r="AN75" t="s">
        <v>160</v>
      </c>
      <c r="AO75" t="s">
        <v>160</v>
      </c>
      <c r="AP75" t="s">
        <v>160</v>
      </c>
      <c r="AQ75" t="s">
        <v>160</v>
      </c>
      <c r="AR75" t="s">
        <v>160</v>
      </c>
      <c r="AS75" t="s">
        <v>160</v>
      </c>
      <c r="AT75" t="s">
        <v>160</v>
      </c>
      <c r="AU75" s="145" t="s">
        <v>178</v>
      </c>
      <c r="AV75" t="s">
        <v>161</v>
      </c>
      <c r="AW75" s="141" t="s">
        <v>179</v>
      </c>
      <c r="AX75" s="141" t="s">
        <v>180</v>
      </c>
      <c r="AY75" s="139" t="s">
        <v>181</v>
      </c>
      <c r="AZ75" s="139" t="s">
        <v>182</v>
      </c>
      <c r="BA75" t="s">
        <v>162</v>
      </c>
      <c r="BB75" s="153" t="s">
        <v>217</v>
      </c>
      <c r="BC75" s="153" t="s">
        <v>217</v>
      </c>
      <c r="BD75" s="153" t="s">
        <v>217</v>
      </c>
      <c r="BE75" s="138">
        <v>19.89508</v>
      </c>
      <c r="BF75" t="s">
        <v>183</v>
      </c>
      <c r="BG75" s="138">
        <v>0.18737314299999999</v>
      </c>
      <c r="BH75">
        <v>0.6</v>
      </c>
      <c r="BI75" t="s">
        <v>184</v>
      </c>
      <c r="BJ75" s="2">
        <v>0.08</v>
      </c>
      <c r="BK75">
        <v>8.8699999999999992</v>
      </c>
      <c r="BL75" t="s">
        <v>163</v>
      </c>
      <c r="BM75">
        <v>1.52</v>
      </c>
      <c r="BN75" t="s">
        <v>185</v>
      </c>
      <c r="BO75" t="s">
        <v>186</v>
      </c>
      <c r="BP75" s="158">
        <f t="shared" si="23"/>
        <v>18.375133333333334</v>
      </c>
      <c r="BQ75" t="s">
        <v>184</v>
      </c>
      <c r="BR75" s="154" t="s">
        <v>160</v>
      </c>
      <c r="BS75" s="154" t="s">
        <v>160</v>
      </c>
      <c r="BT75" t="s">
        <v>214</v>
      </c>
      <c r="BU75" t="s">
        <v>218</v>
      </c>
      <c r="BV75" t="s">
        <v>164</v>
      </c>
      <c r="BW75" t="s">
        <v>164</v>
      </c>
      <c r="BX75" s="138">
        <v>27.81399</v>
      </c>
      <c r="BY75" t="s">
        <v>184</v>
      </c>
      <c r="BZ75" s="159">
        <v>3</v>
      </c>
      <c r="CA75" s="159">
        <v>3</v>
      </c>
      <c r="CB75" s="138">
        <v>3.3299406619826772</v>
      </c>
      <c r="CC75" s="138">
        <v>3.3299406619826772</v>
      </c>
      <c r="CD75" t="s">
        <v>188</v>
      </c>
      <c r="CE75" s="147">
        <f t="shared" si="24"/>
        <v>8.9908397873532289E-2</v>
      </c>
      <c r="CF75" s="147">
        <f t="shared" si="25"/>
        <v>8.9908397873532289E-2</v>
      </c>
      <c r="CG75" s="153" t="s">
        <v>215</v>
      </c>
      <c r="CH75" s="148" t="s">
        <v>207</v>
      </c>
      <c r="CI75" s="138">
        <v>3.3305586701305776</v>
      </c>
      <c r="CJ75" s="138" t="s">
        <v>244</v>
      </c>
      <c r="CK75" t="s">
        <v>160</v>
      </c>
      <c r="CL75" t="s">
        <v>189</v>
      </c>
      <c r="CM75" t="s">
        <v>160</v>
      </c>
      <c r="CN75" t="s">
        <v>160</v>
      </c>
      <c r="CO75" t="s">
        <v>160</v>
      </c>
      <c r="CP75" t="s">
        <v>160</v>
      </c>
      <c r="CQ75" t="s">
        <v>160</v>
      </c>
      <c r="CR75" t="s">
        <v>160</v>
      </c>
      <c r="CS75" t="s">
        <v>160</v>
      </c>
      <c r="CT75" t="s">
        <v>160</v>
      </c>
      <c r="CU75" s="134">
        <v>35</v>
      </c>
      <c r="CV75" t="s">
        <v>159</v>
      </c>
      <c r="CW75">
        <v>3</v>
      </c>
      <c r="CX75" s="149" t="s">
        <v>187</v>
      </c>
      <c r="CY75" s="157" t="s">
        <v>160</v>
      </c>
      <c r="CZ75" s="157" t="s">
        <v>160</v>
      </c>
      <c r="DA75" s="157" t="s">
        <v>160</v>
      </c>
      <c r="DB75" s="157" t="s">
        <v>160</v>
      </c>
      <c r="DC75" s="157" t="s">
        <v>160</v>
      </c>
      <c r="DD75" s="157" t="s">
        <v>160</v>
      </c>
      <c r="DE75" s="157" t="s">
        <v>160</v>
      </c>
      <c r="DF75" s="157" t="s">
        <v>160</v>
      </c>
      <c r="DG75" s="157" t="s">
        <v>160</v>
      </c>
      <c r="DH75" s="157" t="s">
        <v>160</v>
      </c>
      <c r="DI75" s="157" t="s">
        <v>160</v>
      </c>
      <c r="DJ75" s="157" t="s">
        <v>160</v>
      </c>
      <c r="DK75" s="132">
        <v>432.56244218316402</v>
      </c>
      <c r="DL75" t="s">
        <v>165</v>
      </c>
      <c r="DM75" s="153">
        <v>37.1</v>
      </c>
      <c r="DN75" t="s">
        <v>166</v>
      </c>
      <c r="DO75" s="138">
        <v>39.14315569</v>
      </c>
      <c r="DP75" s="154" t="s">
        <v>163</v>
      </c>
      <c r="DQ75" s="146">
        <v>0.2</v>
      </c>
      <c r="DR75" t="s">
        <v>190</v>
      </c>
      <c r="DS75" t="s">
        <v>167</v>
      </c>
      <c r="DT75" t="s">
        <v>168</v>
      </c>
      <c r="DU75">
        <v>1.0271999999999999</v>
      </c>
      <c r="DV75" t="s">
        <v>191</v>
      </c>
      <c r="DW75">
        <v>5.9999999999999995E-4</v>
      </c>
      <c r="DX75" t="s">
        <v>198</v>
      </c>
      <c r="DY75" t="s">
        <v>160</v>
      </c>
      <c r="DZ75" t="s">
        <v>160</v>
      </c>
      <c r="EA75" t="s">
        <v>192</v>
      </c>
      <c r="EB75" t="s">
        <v>169</v>
      </c>
      <c r="EC75" t="s">
        <v>170</v>
      </c>
      <c r="ED75" t="s">
        <v>170</v>
      </c>
      <c r="EE75" s="157" t="s">
        <v>160</v>
      </c>
      <c r="EF75" t="s">
        <v>160</v>
      </c>
      <c r="EG75" t="s">
        <v>160</v>
      </c>
      <c r="EH75" t="s">
        <v>171</v>
      </c>
      <c r="EI75" t="s">
        <v>193</v>
      </c>
      <c r="EJ75" t="s">
        <v>194</v>
      </c>
      <c r="EK75" s="137">
        <v>2330</v>
      </c>
      <c r="EL75" t="s">
        <v>211</v>
      </c>
      <c r="EM75">
        <v>175</v>
      </c>
      <c r="EN75">
        <v>175</v>
      </c>
      <c r="EO75" t="s">
        <v>160</v>
      </c>
      <c r="EP75" t="s">
        <v>160</v>
      </c>
      <c r="EQ75" t="s">
        <v>160</v>
      </c>
      <c r="ER75" t="s">
        <v>160</v>
      </c>
      <c r="ES75" s="138">
        <v>8.0745719408323708</v>
      </c>
      <c r="ET75" s="133" t="s">
        <v>172</v>
      </c>
      <c r="EU75" s="138">
        <v>6.9377915045869543E-2</v>
      </c>
      <c r="EV75" s="138">
        <v>6.7886106223500775E-2</v>
      </c>
      <c r="EW75" s="147">
        <v>368.82904691952899</v>
      </c>
      <c r="EX75" s="154">
        <v>21</v>
      </c>
      <c r="EY75" s="154" t="s">
        <v>195</v>
      </c>
      <c r="EZ75" s="138">
        <v>347.82904691952899</v>
      </c>
      <c r="FA75" s="138">
        <v>81.320029397281985</v>
      </c>
      <c r="FB75" s="138">
        <v>70.827284467840002</v>
      </c>
      <c r="FC75" s="156" t="s">
        <v>212</v>
      </c>
      <c r="FD75" s="156" t="s">
        <v>213</v>
      </c>
      <c r="FE75" t="s">
        <v>173</v>
      </c>
      <c r="FF75" t="s">
        <v>173</v>
      </c>
      <c r="FG75" t="s">
        <v>173</v>
      </c>
      <c r="FH75" t="s">
        <v>173</v>
      </c>
      <c r="FI75" t="s">
        <v>173</v>
      </c>
      <c r="FJ75" t="s">
        <v>173</v>
      </c>
      <c r="FK75" t="s">
        <v>173</v>
      </c>
      <c r="FL75" t="s">
        <v>173</v>
      </c>
      <c r="FM75" t="s">
        <v>173</v>
      </c>
      <c r="FN75" t="s">
        <v>173</v>
      </c>
      <c r="FO75" t="s">
        <v>173</v>
      </c>
      <c r="FP75" t="s">
        <v>173</v>
      </c>
    </row>
    <row r="76" spans="1:172" ht="18" x14ac:dyDescent="0.2">
      <c r="A76" s="126" t="s">
        <v>152</v>
      </c>
      <c r="B76" t="s">
        <v>174</v>
      </c>
      <c r="C76">
        <v>2015</v>
      </c>
      <c r="D76" t="s">
        <v>196</v>
      </c>
      <c r="E76" s="147">
        <f t="shared" si="26"/>
        <v>3270.1684570000002</v>
      </c>
      <c r="F76" s="135" t="s">
        <v>160</v>
      </c>
      <c r="G76" s="135" t="s">
        <v>160</v>
      </c>
      <c r="H76" s="147">
        <f t="shared" si="27"/>
        <v>364.75081241135001</v>
      </c>
      <c r="I76" s="147">
        <f t="shared" si="28"/>
        <v>91.23493844265397</v>
      </c>
      <c r="J76" s="147">
        <f t="shared" si="29"/>
        <v>77.277357856542039</v>
      </c>
      <c r="K76" t="s">
        <v>176</v>
      </c>
      <c r="L76" s="130" t="s">
        <v>206</v>
      </c>
      <c r="M76" s="136" t="s">
        <v>175</v>
      </c>
      <c r="N76" t="s">
        <v>196</v>
      </c>
      <c r="O76" t="s">
        <v>156</v>
      </c>
      <c r="P76" s="153" t="s">
        <v>157</v>
      </c>
      <c r="Q76" s="157">
        <v>12</v>
      </c>
      <c r="R76" s="157">
        <v>2</v>
      </c>
      <c r="S76" s="157">
        <v>80</v>
      </c>
      <c r="T76" s="157">
        <v>82</v>
      </c>
      <c r="U76" s="157" t="s">
        <v>160</v>
      </c>
      <c r="V76" s="157" t="s">
        <v>160</v>
      </c>
      <c r="W76" s="157" t="s">
        <v>160</v>
      </c>
      <c r="X76" t="s">
        <v>158</v>
      </c>
      <c r="Y76" s="131">
        <v>12.75</v>
      </c>
      <c r="Z76" s="131">
        <v>-78.73</v>
      </c>
      <c r="AA76" s="131">
        <v>12.75</v>
      </c>
      <c r="AB76" s="131">
        <v>-78.73</v>
      </c>
      <c r="AC76" s="131">
        <v>-2828</v>
      </c>
      <c r="AD76" s="131">
        <v>-2828</v>
      </c>
      <c r="AE76" s="153" t="s">
        <v>160</v>
      </c>
      <c r="AF76" s="153" t="s">
        <v>160</v>
      </c>
      <c r="AG76" s="138">
        <v>3270.1684570000002</v>
      </c>
      <c r="AH76" s="2" t="s">
        <v>159</v>
      </c>
      <c r="AI76" s="153" t="s">
        <v>160</v>
      </c>
      <c r="AJ76" s="153" t="s">
        <v>160</v>
      </c>
      <c r="AK76" s="154" t="s">
        <v>160</v>
      </c>
      <c r="AL76" s="154" t="s">
        <v>177</v>
      </c>
      <c r="AM76" s="157" t="s">
        <v>160</v>
      </c>
      <c r="AN76" t="s">
        <v>160</v>
      </c>
      <c r="AO76" t="s">
        <v>160</v>
      </c>
      <c r="AP76" t="s">
        <v>160</v>
      </c>
      <c r="AQ76" t="s">
        <v>160</v>
      </c>
      <c r="AR76" t="s">
        <v>160</v>
      </c>
      <c r="AS76" t="s">
        <v>160</v>
      </c>
      <c r="AT76" t="s">
        <v>160</v>
      </c>
      <c r="AU76" s="145" t="s">
        <v>178</v>
      </c>
      <c r="AV76" t="s">
        <v>161</v>
      </c>
      <c r="AW76" s="141" t="s">
        <v>179</v>
      </c>
      <c r="AX76" s="139" t="s">
        <v>180</v>
      </c>
      <c r="AY76" s="139" t="s">
        <v>181</v>
      </c>
      <c r="AZ76" s="139" t="s">
        <v>182</v>
      </c>
      <c r="BA76" s="140" t="s">
        <v>162</v>
      </c>
      <c r="BB76" s="153" t="s">
        <v>217</v>
      </c>
      <c r="BC76" s="153" t="s">
        <v>217</v>
      </c>
      <c r="BD76" s="153" t="s">
        <v>217</v>
      </c>
      <c r="BE76" s="138">
        <v>19.917110000000001</v>
      </c>
      <c r="BF76" t="s">
        <v>183</v>
      </c>
      <c r="BG76" s="138">
        <v>0.22504139200000001</v>
      </c>
      <c r="BH76">
        <v>0.6</v>
      </c>
      <c r="BI76" t="s">
        <v>184</v>
      </c>
      <c r="BJ76" s="2">
        <v>0.08</v>
      </c>
      <c r="BK76">
        <v>8.8699999999999992</v>
      </c>
      <c r="BL76" t="s">
        <v>163</v>
      </c>
      <c r="BM76">
        <v>1.52</v>
      </c>
      <c r="BN76" t="s">
        <v>185</v>
      </c>
      <c r="BO76" t="s">
        <v>186</v>
      </c>
      <c r="BP76" s="158">
        <f t="shared" si="23"/>
        <v>18.411850000000005</v>
      </c>
      <c r="BQ76" t="s">
        <v>184</v>
      </c>
      <c r="BR76" s="154" t="s">
        <v>160</v>
      </c>
      <c r="BS76" s="154" t="s">
        <v>160</v>
      </c>
      <c r="BT76" t="s">
        <v>214</v>
      </c>
      <c r="BU76" t="s">
        <v>218</v>
      </c>
      <c r="BV76" t="s">
        <v>164</v>
      </c>
      <c r="BW76" t="s">
        <v>164</v>
      </c>
      <c r="BX76" s="138">
        <v>29.60303</v>
      </c>
      <c r="BY76" t="s">
        <v>184</v>
      </c>
      <c r="BZ76" s="159">
        <v>3</v>
      </c>
      <c r="CA76" s="159">
        <v>3</v>
      </c>
      <c r="CB76" s="138">
        <v>3.9051541571056134</v>
      </c>
      <c r="CC76" s="138">
        <v>3.9051541571056134</v>
      </c>
      <c r="CD76" t="s">
        <v>188</v>
      </c>
      <c r="CE76" s="147">
        <f t="shared" si="24"/>
        <v>0.10543916224185156</v>
      </c>
      <c r="CF76" s="147">
        <f t="shared" si="25"/>
        <v>0.10543916224185156</v>
      </c>
      <c r="CG76" s="153" t="s">
        <v>215</v>
      </c>
      <c r="CH76" s="148" t="s">
        <v>207</v>
      </c>
      <c r="CI76" s="138">
        <v>3.3170136502765937</v>
      </c>
      <c r="CJ76" s="138" t="s">
        <v>244</v>
      </c>
      <c r="CK76" t="s">
        <v>160</v>
      </c>
      <c r="CL76" t="s">
        <v>189</v>
      </c>
      <c r="CM76" t="s">
        <v>160</v>
      </c>
      <c r="CN76" t="s">
        <v>160</v>
      </c>
      <c r="CO76" t="s">
        <v>160</v>
      </c>
      <c r="CP76" t="s">
        <v>160</v>
      </c>
      <c r="CQ76" t="s">
        <v>160</v>
      </c>
      <c r="CR76" t="s">
        <v>160</v>
      </c>
      <c r="CS76" t="s">
        <v>160</v>
      </c>
      <c r="CT76" t="s">
        <v>160</v>
      </c>
      <c r="CU76" s="134">
        <v>35</v>
      </c>
      <c r="CV76" t="s">
        <v>159</v>
      </c>
      <c r="CW76">
        <v>3</v>
      </c>
      <c r="CX76" s="149" t="s">
        <v>187</v>
      </c>
      <c r="CY76" s="157" t="s">
        <v>160</v>
      </c>
      <c r="CZ76" s="157" t="s">
        <v>160</v>
      </c>
      <c r="DA76" s="157" t="s">
        <v>160</v>
      </c>
      <c r="DB76" s="157" t="s">
        <v>160</v>
      </c>
      <c r="DC76" s="157" t="s">
        <v>160</v>
      </c>
      <c r="DD76" s="157" t="s">
        <v>160</v>
      </c>
      <c r="DE76" s="157" t="s">
        <v>160</v>
      </c>
      <c r="DF76" s="157" t="s">
        <v>160</v>
      </c>
      <c r="DG76" s="157" t="s">
        <v>160</v>
      </c>
      <c r="DH76" s="157" t="s">
        <v>160</v>
      </c>
      <c r="DI76" s="157" t="s">
        <v>160</v>
      </c>
      <c r="DJ76" s="157" t="s">
        <v>160</v>
      </c>
      <c r="DK76" s="132">
        <v>432.56244218316402</v>
      </c>
      <c r="DL76" t="s">
        <v>165</v>
      </c>
      <c r="DM76" s="153">
        <v>37.1</v>
      </c>
      <c r="DN76" t="s">
        <v>166</v>
      </c>
      <c r="DO76" s="138">
        <v>39.14206952</v>
      </c>
      <c r="DP76" s="154" t="s">
        <v>163</v>
      </c>
      <c r="DQ76" s="146">
        <v>0.2</v>
      </c>
      <c r="DR76" t="s">
        <v>190</v>
      </c>
      <c r="DS76" t="s">
        <v>167</v>
      </c>
      <c r="DT76" t="s">
        <v>168</v>
      </c>
      <c r="DU76">
        <v>1.0271999999999999</v>
      </c>
      <c r="DV76" t="s">
        <v>191</v>
      </c>
      <c r="DW76">
        <v>5.9999999999999995E-4</v>
      </c>
      <c r="DX76" t="s">
        <v>198</v>
      </c>
      <c r="DY76" t="s">
        <v>160</v>
      </c>
      <c r="DZ76" t="s">
        <v>160</v>
      </c>
      <c r="EA76" t="s">
        <v>192</v>
      </c>
      <c r="EB76" t="s">
        <v>169</v>
      </c>
      <c r="EC76" t="s">
        <v>170</v>
      </c>
      <c r="ED76" t="s">
        <v>170</v>
      </c>
      <c r="EE76" s="157" t="s">
        <v>160</v>
      </c>
      <c r="EF76" t="s">
        <v>160</v>
      </c>
      <c r="EG76" t="s">
        <v>160</v>
      </c>
      <c r="EH76" t="s">
        <v>171</v>
      </c>
      <c r="EI76" t="s">
        <v>193</v>
      </c>
      <c r="EJ76" t="s">
        <v>194</v>
      </c>
      <c r="EK76" s="137">
        <v>2330</v>
      </c>
      <c r="EL76" t="s">
        <v>211</v>
      </c>
      <c r="EM76">
        <v>175</v>
      </c>
      <c r="EN76">
        <v>175</v>
      </c>
      <c r="EO76" t="s">
        <v>160</v>
      </c>
      <c r="EP76" t="s">
        <v>160</v>
      </c>
      <c r="EQ76" t="s">
        <v>160</v>
      </c>
      <c r="ER76" t="s">
        <v>160</v>
      </c>
      <c r="ES76" s="138">
        <v>8.0570580199988893</v>
      </c>
      <c r="ET76" s="133" t="s">
        <v>172</v>
      </c>
      <c r="EU76" s="138">
        <v>7.0739562748951101E-2</v>
      </c>
      <c r="EV76" s="138">
        <v>7.3227874721268904E-2</v>
      </c>
      <c r="EW76" s="147">
        <v>385.75081241135001</v>
      </c>
      <c r="EX76" s="154">
        <v>21</v>
      </c>
      <c r="EY76" s="154" t="s">
        <v>195</v>
      </c>
      <c r="EZ76" s="138">
        <v>364.75081241135001</v>
      </c>
      <c r="FA76" s="138">
        <v>91.23493844265397</v>
      </c>
      <c r="FB76" s="138">
        <v>77.277357856542039</v>
      </c>
      <c r="FC76" s="156" t="s">
        <v>212</v>
      </c>
      <c r="FD76" s="156" t="s">
        <v>213</v>
      </c>
      <c r="FE76" t="s">
        <v>173</v>
      </c>
      <c r="FF76" t="s">
        <v>173</v>
      </c>
      <c r="FG76" t="s">
        <v>173</v>
      </c>
      <c r="FH76" t="s">
        <v>173</v>
      </c>
      <c r="FI76" t="s">
        <v>173</v>
      </c>
      <c r="FJ76" t="s">
        <v>173</v>
      </c>
      <c r="FK76" t="s">
        <v>173</v>
      </c>
      <c r="FL76" t="s">
        <v>173</v>
      </c>
      <c r="FM76" t="s">
        <v>173</v>
      </c>
      <c r="FN76" t="s">
        <v>173</v>
      </c>
      <c r="FO76" t="s">
        <v>173</v>
      </c>
      <c r="FP76" t="s">
        <v>173</v>
      </c>
    </row>
    <row r="77" spans="1:172" ht="18" x14ac:dyDescent="0.2">
      <c r="A77" s="126" t="s">
        <v>152</v>
      </c>
      <c r="B77" t="s">
        <v>174</v>
      </c>
      <c r="C77">
        <v>2015</v>
      </c>
      <c r="D77" t="s">
        <v>196</v>
      </c>
      <c r="E77" s="147">
        <f>AG77</f>
        <v>3280.600586</v>
      </c>
      <c r="F77" s="135" t="s">
        <v>160</v>
      </c>
      <c r="G77" s="135" t="s">
        <v>160</v>
      </c>
      <c r="H77" s="147">
        <f t="shared" si="27"/>
        <v>313.369178345254</v>
      </c>
      <c r="I77" s="147">
        <f t="shared" si="28"/>
        <v>69.742510123838997</v>
      </c>
      <c r="J77" s="147">
        <f t="shared" si="29"/>
        <v>62.159491756805011</v>
      </c>
      <c r="K77" t="s">
        <v>176</v>
      </c>
      <c r="L77" s="130" t="s">
        <v>206</v>
      </c>
      <c r="M77" s="136" t="s">
        <v>175</v>
      </c>
      <c r="N77" t="s">
        <v>196</v>
      </c>
      <c r="O77" t="s">
        <v>156</v>
      </c>
      <c r="P77" s="153" t="s">
        <v>157</v>
      </c>
      <c r="Q77" s="157">
        <v>12</v>
      </c>
      <c r="R77" s="157">
        <v>2</v>
      </c>
      <c r="S77" s="157">
        <v>110</v>
      </c>
      <c r="T77" s="157">
        <v>112</v>
      </c>
      <c r="U77" s="157" t="s">
        <v>160</v>
      </c>
      <c r="V77" s="157" t="s">
        <v>160</v>
      </c>
      <c r="W77" s="157" t="s">
        <v>160</v>
      </c>
      <c r="X77" t="s">
        <v>158</v>
      </c>
      <c r="Y77" s="131">
        <v>12.75</v>
      </c>
      <c r="Z77" s="131">
        <v>-78.73</v>
      </c>
      <c r="AA77" s="131">
        <v>12.75</v>
      </c>
      <c r="AB77" s="131">
        <v>-78.73</v>
      </c>
      <c r="AC77" s="131">
        <v>-2828</v>
      </c>
      <c r="AD77" s="131">
        <v>-2828</v>
      </c>
      <c r="AE77" s="153" t="s">
        <v>160</v>
      </c>
      <c r="AF77" s="153" t="s">
        <v>160</v>
      </c>
      <c r="AG77" s="138">
        <v>3280.600586</v>
      </c>
      <c r="AH77" s="2" t="s">
        <v>159</v>
      </c>
      <c r="AI77" s="153" t="s">
        <v>160</v>
      </c>
      <c r="AJ77" s="153" t="s">
        <v>160</v>
      </c>
      <c r="AK77" s="154" t="s">
        <v>160</v>
      </c>
      <c r="AL77" s="154" t="s">
        <v>177</v>
      </c>
      <c r="AM77" s="157" t="s">
        <v>160</v>
      </c>
      <c r="AN77" t="s">
        <v>160</v>
      </c>
      <c r="AO77" t="s">
        <v>160</v>
      </c>
      <c r="AP77" t="s">
        <v>160</v>
      </c>
      <c r="AQ77" t="s">
        <v>160</v>
      </c>
      <c r="AR77" t="s">
        <v>160</v>
      </c>
      <c r="AS77" t="s">
        <v>160</v>
      </c>
      <c r="AT77" t="s">
        <v>160</v>
      </c>
      <c r="AU77" s="145" t="s">
        <v>178</v>
      </c>
      <c r="AV77" t="s">
        <v>161</v>
      </c>
      <c r="AW77" s="141" t="s">
        <v>179</v>
      </c>
      <c r="AX77" s="141" t="s">
        <v>180</v>
      </c>
      <c r="AY77" s="139" t="s">
        <v>181</v>
      </c>
      <c r="AZ77" s="139" t="s">
        <v>182</v>
      </c>
      <c r="BA77" t="s">
        <v>162</v>
      </c>
      <c r="BB77" s="153" t="s">
        <v>217</v>
      </c>
      <c r="BC77" s="153" t="s">
        <v>217</v>
      </c>
      <c r="BD77" s="153" t="s">
        <v>217</v>
      </c>
      <c r="BE77" s="138">
        <v>20.148430000000001</v>
      </c>
      <c r="BF77" t="s">
        <v>183</v>
      </c>
      <c r="BG77" s="138">
        <v>0.116103674</v>
      </c>
      <c r="BH77">
        <v>0.6</v>
      </c>
      <c r="BI77" t="s">
        <v>184</v>
      </c>
      <c r="BJ77" s="2">
        <v>0.08</v>
      </c>
      <c r="BK77">
        <v>8.8699999999999992</v>
      </c>
      <c r="BL77" t="s">
        <v>163</v>
      </c>
      <c r="BM77">
        <v>1.52</v>
      </c>
      <c r="BN77" t="s">
        <v>185</v>
      </c>
      <c r="BO77" t="s">
        <v>186</v>
      </c>
      <c r="BP77" s="158">
        <f t="shared" si="23"/>
        <v>18.797383333333336</v>
      </c>
      <c r="BQ77" t="s">
        <v>184</v>
      </c>
      <c r="BR77" s="154" t="s">
        <v>160</v>
      </c>
      <c r="BS77" s="154" t="s">
        <v>160</v>
      </c>
      <c r="BT77" t="s">
        <v>214</v>
      </c>
      <c r="BU77" t="s">
        <v>218</v>
      </c>
      <c r="BV77" t="s">
        <v>164</v>
      </c>
      <c r="BW77" t="s">
        <v>164</v>
      </c>
      <c r="BX77" s="138">
        <v>28.11833</v>
      </c>
      <c r="BY77" t="s">
        <v>184</v>
      </c>
      <c r="BZ77" s="159">
        <v>3</v>
      </c>
      <c r="CA77" s="159">
        <v>3</v>
      </c>
      <c r="CB77" s="138">
        <v>3.4110842585776457</v>
      </c>
      <c r="CC77" s="138">
        <v>3.4110842585776457</v>
      </c>
      <c r="CD77" t="s">
        <v>188</v>
      </c>
      <c r="CE77" s="147">
        <f t="shared" si="24"/>
        <v>9.2099274981596438E-2</v>
      </c>
      <c r="CF77" s="147">
        <f t="shared" si="25"/>
        <v>9.2099274981596438E-2</v>
      </c>
      <c r="CG77" s="153" t="s">
        <v>215</v>
      </c>
      <c r="CH77" s="148" t="s">
        <v>207</v>
      </c>
      <c r="CI77" s="138">
        <v>3.3037394278028405</v>
      </c>
      <c r="CJ77" s="138" t="s">
        <v>244</v>
      </c>
      <c r="CK77" t="s">
        <v>160</v>
      </c>
      <c r="CL77" t="s">
        <v>189</v>
      </c>
      <c r="CM77" t="s">
        <v>160</v>
      </c>
      <c r="CN77" t="s">
        <v>160</v>
      </c>
      <c r="CO77" t="s">
        <v>160</v>
      </c>
      <c r="CP77" t="s">
        <v>160</v>
      </c>
      <c r="CQ77" t="s">
        <v>160</v>
      </c>
      <c r="CR77" t="s">
        <v>160</v>
      </c>
      <c r="CS77" t="s">
        <v>160</v>
      </c>
      <c r="CT77" t="s">
        <v>160</v>
      </c>
      <c r="CU77" s="134">
        <v>35</v>
      </c>
      <c r="CV77" t="s">
        <v>159</v>
      </c>
      <c r="CW77">
        <v>3</v>
      </c>
      <c r="CX77" s="149" t="s">
        <v>187</v>
      </c>
      <c r="CY77" s="157" t="s">
        <v>160</v>
      </c>
      <c r="CZ77" s="157" t="s">
        <v>160</v>
      </c>
      <c r="DA77" s="157" t="s">
        <v>160</v>
      </c>
      <c r="DB77" s="157" t="s">
        <v>160</v>
      </c>
      <c r="DC77" s="157" t="s">
        <v>160</v>
      </c>
      <c r="DD77" s="157" t="s">
        <v>160</v>
      </c>
      <c r="DE77" s="157" t="s">
        <v>160</v>
      </c>
      <c r="DF77" s="157" t="s">
        <v>160</v>
      </c>
      <c r="DG77" s="157" t="s">
        <v>160</v>
      </c>
      <c r="DH77" s="157" t="s">
        <v>160</v>
      </c>
      <c r="DI77" s="157" t="s">
        <v>160</v>
      </c>
      <c r="DJ77" s="157" t="s">
        <v>160</v>
      </c>
      <c r="DK77" s="132">
        <v>432.56244218316402</v>
      </c>
      <c r="DL77" t="s">
        <v>165</v>
      </c>
      <c r="DM77" s="153">
        <v>37.1</v>
      </c>
      <c r="DN77" t="s">
        <v>166</v>
      </c>
      <c r="DO77" s="138">
        <v>39.140980839999997</v>
      </c>
      <c r="DP77" s="154" t="s">
        <v>163</v>
      </c>
      <c r="DQ77" s="146">
        <v>0.2</v>
      </c>
      <c r="DR77" t="s">
        <v>190</v>
      </c>
      <c r="DS77" t="s">
        <v>167</v>
      </c>
      <c r="DT77" t="s">
        <v>168</v>
      </c>
      <c r="DU77">
        <v>1.0271999999999999</v>
      </c>
      <c r="DV77" t="s">
        <v>191</v>
      </c>
      <c r="DW77">
        <v>5.9999999999999995E-4</v>
      </c>
      <c r="DX77" t="s">
        <v>198</v>
      </c>
      <c r="DY77" t="s">
        <v>160</v>
      </c>
      <c r="DZ77" t="s">
        <v>160</v>
      </c>
      <c r="EA77" t="s">
        <v>192</v>
      </c>
      <c r="EB77" t="s">
        <v>169</v>
      </c>
      <c r="EC77" t="s">
        <v>170</v>
      </c>
      <c r="ED77" t="s">
        <v>170</v>
      </c>
      <c r="EE77" s="157" t="s">
        <v>160</v>
      </c>
      <c r="EF77" t="s">
        <v>160</v>
      </c>
      <c r="EG77" t="s">
        <v>160</v>
      </c>
      <c r="EH77" t="s">
        <v>171</v>
      </c>
      <c r="EI77" t="s">
        <v>193</v>
      </c>
      <c r="EJ77" t="s">
        <v>194</v>
      </c>
      <c r="EK77" s="137">
        <v>2330</v>
      </c>
      <c r="EL77" t="s">
        <v>211</v>
      </c>
      <c r="EM77">
        <v>175</v>
      </c>
      <c r="EN77">
        <v>175</v>
      </c>
      <c r="EO77" t="s">
        <v>160</v>
      </c>
      <c r="EP77" t="s">
        <v>160</v>
      </c>
      <c r="EQ77" t="s">
        <v>160</v>
      </c>
      <c r="ER77" t="s">
        <v>160</v>
      </c>
      <c r="ES77" s="138">
        <v>8.1077628966538295</v>
      </c>
      <c r="ET77" s="133" t="s">
        <v>172</v>
      </c>
      <c r="EU77" s="138">
        <v>6.4214799327221073E-2</v>
      </c>
      <c r="EV77" s="138">
        <v>6.3449479386669339E-2</v>
      </c>
      <c r="EW77" s="147">
        <v>334.369178345254</v>
      </c>
      <c r="EX77" s="154">
        <v>21</v>
      </c>
      <c r="EY77" s="154" t="s">
        <v>195</v>
      </c>
      <c r="EZ77" s="138">
        <v>313.369178345254</v>
      </c>
      <c r="FA77" s="138">
        <v>69.742510123838997</v>
      </c>
      <c r="FB77" s="138">
        <v>62.159491756805011</v>
      </c>
      <c r="FC77" s="156" t="s">
        <v>212</v>
      </c>
      <c r="FD77" s="156" t="s">
        <v>213</v>
      </c>
      <c r="FE77" t="s">
        <v>173</v>
      </c>
      <c r="FF77" t="s">
        <v>173</v>
      </c>
      <c r="FG77" t="s">
        <v>173</v>
      </c>
      <c r="FH77" t="s">
        <v>173</v>
      </c>
      <c r="FI77" t="s">
        <v>173</v>
      </c>
      <c r="FJ77" t="s">
        <v>173</v>
      </c>
      <c r="FK77" t="s">
        <v>173</v>
      </c>
      <c r="FL77" t="s">
        <v>173</v>
      </c>
      <c r="FM77" t="s">
        <v>173</v>
      </c>
      <c r="FN77" t="s">
        <v>173</v>
      </c>
      <c r="FO77" t="s">
        <v>173</v>
      </c>
      <c r="FP77" t="s">
        <v>173</v>
      </c>
    </row>
    <row r="78" spans="1:172" ht="18" x14ac:dyDescent="0.2">
      <c r="A78" s="126" t="s">
        <v>152</v>
      </c>
      <c r="B78" t="s">
        <v>174</v>
      </c>
      <c r="C78">
        <v>2015</v>
      </c>
      <c r="D78" t="s">
        <v>196</v>
      </c>
      <c r="E78" s="138">
        <v>2347.234375</v>
      </c>
      <c r="F78" s="135" t="s">
        <v>160</v>
      </c>
      <c r="G78" s="135" t="s">
        <v>160</v>
      </c>
      <c r="H78" s="138">
        <v>369.10265539945601</v>
      </c>
      <c r="I78" s="147">
        <v>85.200087998365973</v>
      </c>
      <c r="J78" s="147">
        <v>73.040639961098009</v>
      </c>
      <c r="K78" t="s">
        <v>208</v>
      </c>
      <c r="L78" s="130" t="s">
        <v>209</v>
      </c>
      <c r="M78" s="136" t="s">
        <v>175</v>
      </c>
      <c r="N78" t="s">
        <v>196</v>
      </c>
      <c r="O78" t="s">
        <v>216</v>
      </c>
      <c r="P78" s="154" t="s">
        <v>160</v>
      </c>
      <c r="Q78" s="154" t="s">
        <v>160</v>
      </c>
      <c r="R78" s="154" t="s">
        <v>160</v>
      </c>
      <c r="S78" s="154" t="s">
        <v>160</v>
      </c>
      <c r="T78" s="154" t="s">
        <v>160</v>
      </c>
      <c r="U78" s="154" t="s">
        <v>160</v>
      </c>
      <c r="V78" s="157" t="s">
        <v>160</v>
      </c>
      <c r="W78" s="157" t="s">
        <v>160</v>
      </c>
      <c r="X78" t="s">
        <v>210</v>
      </c>
      <c r="Y78" s="131">
        <v>-1.394722</v>
      </c>
      <c r="Z78" s="131">
        <v>-11.74306</v>
      </c>
      <c r="AA78" s="131">
        <v>-1.394722</v>
      </c>
      <c r="AB78" s="131">
        <v>-11.74306</v>
      </c>
      <c r="AC78" s="131">
        <v>-3821</v>
      </c>
      <c r="AD78" s="131">
        <v>-3821</v>
      </c>
      <c r="AE78" s="153" t="s">
        <v>160</v>
      </c>
      <c r="AF78" s="153" t="s">
        <v>160</v>
      </c>
      <c r="AG78" s="138">
        <v>2347.234375</v>
      </c>
      <c r="AH78" s="2" t="s">
        <v>159</v>
      </c>
      <c r="AI78" s="153" t="s">
        <v>160</v>
      </c>
      <c r="AJ78" s="153" t="s">
        <v>160</v>
      </c>
      <c r="AK78" s="154" t="s">
        <v>160</v>
      </c>
      <c r="AL78" s="154" t="s">
        <v>177</v>
      </c>
      <c r="AM78" s="157" t="s">
        <v>160</v>
      </c>
      <c r="AN78" t="s">
        <v>160</v>
      </c>
      <c r="AO78" t="s">
        <v>160</v>
      </c>
      <c r="AP78" t="s">
        <v>160</v>
      </c>
      <c r="AQ78" t="s">
        <v>160</v>
      </c>
      <c r="AR78" t="s">
        <v>160</v>
      </c>
      <c r="AS78" t="s">
        <v>160</v>
      </c>
      <c r="AT78" t="s">
        <v>160</v>
      </c>
      <c r="AU78" s="145" t="s">
        <v>178</v>
      </c>
      <c r="AV78" t="s">
        <v>161</v>
      </c>
      <c r="AW78" s="141" t="s">
        <v>179</v>
      </c>
      <c r="AX78" s="139" t="s">
        <v>180</v>
      </c>
      <c r="AY78" s="139" t="s">
        <v>181</v>
      </c>
      <c r="AZ78" s="139" t="s">
        <v>182</v>
      </c>
      <c r="BA78" t="s">
        <v>162</v>
      </c>
      <c r="BB78" s="153" t="s">
        <v>217</v>
      </c>
      <c r="BC78" s="153" t="s">
        <v>217</v>
      </c>
      <c r="BD78" s="153" t="s">
        <v>217</v>
      </c>
      <c r="BE78" s="138">
        <v>19.79990497</v>
      </c>
      <c r="BF78" t="s">
        <v>183</v>
      </c>
      <c r="BG78" s="138">
        <v>0.128363914</v>
      </c>
      <c r="BH78">
        <v>0.6</v>
      </c>
      <c r="BI78" t="s">
        <v>184</v>
      </c>
      <c r="BJ78" s="2">
        <v>0.08</v>
      </c>
      <c r="BK78">
        <v>8.8699999999999992</v>
      </c>
      <c r="BL78" t="s">
        <v>163</v>
      </c>
      <c r="BM78">
        <v>1.52</v>
      </c>
      <c r="BN78" t="s">
        <v>185</v>
      </c>
      <c r="BO78" t="s">
        <v>186</v>
      </c>
      <c r="BP78" s="158">
        <f t="shared" si="23"/>
        <v>18.216508283333336</v>
      </c>
      <c r="BQ78" t="s">
        <v>184</v>
      </c>
      <c r="BR78" s="154" t="s">
        <v>160</v>
      </c>
      <c r="BS78" s="154" t="s">
        <v>160</v>
      </c>
      <c r="BT78" t="s">
        <v>214</v>
      </c>
      <c r="BU78" t="s">
        <v>218</v>
      </c>
      <c r="BV78" t="s">
        <v>164</v>
      </c>
      <c r="BW78" t="s">
        <v>164</v>
      </c>
      <c r="BX78" s="138">
        <v>27.336175000000004</v>
      </c>
      <c r="BY78" t="s">
        <v>184</v>
      </c>
      <c r="BZ78" s="159">
        <v>3</v>
      </c>
      <c r="CA78" s="159">
        <v>3</v>
      </c>
      <c r="CB78" s="157" t="s">
        <v>160</v>
      </c>
      <c r="CC78" s="157" t="s">
        <v>160</v>
      </c>
      <c r="CD78" s="157" t="s">
        <v>160</v>
      </c>
      <c r="CE78" s="157" t="s">
        <v>160</v>
      </c>
      <c r="CF78" s="157" t="s">
        <v>160</v>
      </c>
      <c r="CG78" s="157" t="s">
        <v>160</v>
      </c>
      <c r="CH78" s="160" t="s">
        <v>160</v>
      </c>
      <c r="CI78" s="161" t="s">
        <v>160</v>
      </c>
      <c r="CJ78" s="138" t="s">
        <v>160</v>
      </c>
      <c r="CK78" s="153" t="s">
        <v>160</v>
      </c>
      <c r="CL78" s="157" t="s">
        <v>160</v>
      </c>
      <c r="CM78" t="s">
        <v>160</v>
      </c>
      <c r="CN78" t="s">
        <v>160</v>
      </c>
      <c r="CO78" t="s">
        <v>160</v>
      </c>
      <c r="CP78" t="s">
        <v>160</v>
      </c>
      <c r="CQ78" t="s">
        <v>160</v>
      </c>
      <c r="CR78" t="s">
        <v>160</v>
      </c>
      <c r="CS78" s="162" t="s">
        <v>219</v>
      </c>
      <c r="CT78" t="s">
        <v>220</v>
      </c>
      <c r="CU78" s="134">
        <v>35</v>
      </c>
      <c r="CV78" t="s">
        <v>159</v>
      </c>
      <c r="CW78">
        <v>3</v>
      </c>
      <c r="CX78" s="149" t="s">
        <v>187</v>
      </c>
      <c r="CY78" s="157" t="s">
        <v>160</v>
      </c>
      <c r="CZ78" s="157" t="s">
        <v>160</v>
      </c>
      <c r="DA78" s="157" t="s">
        <v>160</v>
      </c>
      <c r="DB78" s="157" t="s">
        <v>160</v>
      </c>
      <c r="DC78" s="157" t="s">
        <v>160</v>
      </c>
      <c r="DD78" s="157" t="s">
        <v>160</v>
      </c>
      <c r="DE78" s="157" t="s">
        <v>160</v>
      </c>
      <c r="DF78" s="157" t="s">
        <v>160</v>
      </c>
      <c r="DG78" s="157" t="s">
        <v>160</v>
      </c>
      <c r="DH78" s="157" t="s">
        <v>160</v>
      </c>
      <c r="DI78" s="157" t="s">
        <v>160</v>
      </c>
      <c r="DJ78" s="157" t="s">
        <v>160</v>
      </c>
      <c r="DK78" s="132">
        <v>432.56244218316402</v>
      </c>
      <c r="DL78" t="s">
        <v>165</v>
      </c>
      <c r="DM78" s="153">
        <v>37.1</v>
      </c>
      <c r="DN78" t="s">
        <v>166</v>
      </c>
      <c r="DO78" s="138">
        <v>39.267321109999997</v>
      </c>
      <c r="DP78" s="154" t="s">
        <v>163</v>
      </c>
      <c r="DQ78" s="146">
        <v>0.2</v>
      </c>
      <c r="DR78" t="s">
        <v>190</v>
      </c>
      <c r="DS78" t="s">
        <v>167</v>
      </c>
      <c r="DT78" t="s">
        <v>168</v>
      </c>
      <c r="DU78">
        <v>1.0271999999999999</v>
      </c>
      <c r="DV78" t="s">
        <v>191</v>
      </c>
      <c r="DW78">
        <v>5.9999999999999995E-4</v>
      </c>
      <c r="DX78" t="s">
        <v>198</v>
      </c>
      <c r="DY78" t="s">
        <v>160</v>
      </c>
      <c r="DZ78" t="s">
        <v>160</v>
      </c>
      <c r="EA78" t="s">
        <v>192</v>
      </c>
      <c r="EB78" t="s">
        <v>169</v>
      </c>
      <c r="EC78" t="s">
        <v>170</v>
      </c>
      <c r="ED78" t="s">
        <v>170</v>
      </c>
      <c r="EE78" s="157" t="s">
        <v>160</v>
      </c>
      <c r="EF78" t="s">
        <v>160</v>
      </c>
      <c r="EG78" t="s">
        <v>160</v>
      </c>
      <c r="EH78" t="s">
        <v>171</v>
      </c>
      <c r="EI78" t="s">
        <v>193</v>
      </c>
      <c r="EJ78" t="s">
        <v>194</v>
      </c>
      <c r="EK78" s="137">
        <v>2330</v>
      </c>
      <c r="EL78" t="s">
        <v>211</v>
      </c>
      <c r="EM78">
        <v>175</v>
      </c>
      <c r="EN78">
        <v>175</v>
      </c>
      <c r="EO78" t="s">
        <v>160</v>
      </c>
      <c r="EP78" t="s">
        <v>160</v>
      </c>
      <c r="EQ78" t="s">
        <v>160</v>
      </c>
      <c r="ER78" t="s">
        <v>160</v>
      </c>
      <c r="ES78" s="138">
        <v>8.0556035879183394</v>
      </c>
      <c r="ET78" s="133" t="s">
        <v>172</v>
      </c>
      <c r="EU78" s="155">
        <v>6.6929899877069765E-2</v>
      </c>
      <c r="EV78" s="155">
        <v>6.4418642360660527E-2</v>
      </c>
      <c r="EW78" s="156">
        <f>EZ78+29</f>
        <v>398.10265539945601</v>
      </c>
      <c r="EX78" s="157">
        <v>29</v>
      </c>
      <c r="EY78" s="154" t="s">
        <v>195</v>
      </c>
      <c r="EZ78" s="138">
        <v>369.10265539945601</v>
      </c>
      <c r="FA78" s="158">
        <v>85.200087998365973</v>
      </c>
      <c r="FB78" s="158">
        <v>73.040639961098009</v>
      </c>
      <c r="FC78" s="156" t="s">
        <v>212</v>
      </c>
      <c r="FD78" s="156" t="s">
        <v>213</v>
      </c>
      <c r="FE78" t="s">
        <v>173</v>
      </c>
      <c r="FF78" t="s">
        <v>173</v>
      </c>
      <c r="FG78" t="s">
        <v>173</v>
      </c>
      <c r="FH78" t="s">
        <v>173</v>
      </c>
      <c r="FI78" t="s">
        <v>173</v>
      </c>
      <c r="FJ78" t="s">
        <v>173</v>
      </c>
      <c r="FK78" t="s">
        <v>173</v>
      </c>
      <c r="FL78" t="s">
        <v>173</v>
      </c>
      <c r="FM78" t="s">
        <v>173</v>
      </c>
      <c r="FN78" t="s">
        <v>173</v>
      </c>
      <c r="FO78" t="s">
        <v>173</v>
      </c>
      <c r="FP78" t="s">
        <v>173</v>
      </c>
    </row>
    <row r="79" spans="1:172" ht="18" x14ac:dyDescent="0.2">
      <c r="A79" s="126" t="s">
        <v>152</v>
      </c>
      <c r="B79" t="s">
        <v>174</v>
      </c>
      <c r="C79">
        <v>2015</v>
      </c>
      <c r="D79" t="s">
        <v>196</v>
      </c>
      <c r="E79" s="138">
        <v>2417.172607</v>
      </c>
      <c r="F79" s="135" t="s">
        <v>160</v>
      </c>
      <c r="G79" s="135" t="s">
        <v>160</v>
      </c>
      <c r="H79" s="138">
        <v>441.67906805667502</v>
      </c>
      <c r="I79" s="147">
        <v>115.132802754804</v>
      </c>
      <c r="J79" s="147">
        <v>94.286291658333027</v>
      </c>
      <c r="K79" t="s">
        <v>208</v>
      </c>
      <c r="L79" s="130" t="s">
        <v>209</v>
      </c>
      <c r="M79" s="136" t="s">
        <v>175</v>
      </c>
      <c r="N79" t="s">
        <v>196</v>
      </c>
      <c r="O79" t="s">
        <v>216</v>
      </c>
      <c r="P79" s="154" t="s">
        <v>160</v>
      </c>
      <c r="Q79" s="154" t="s">
        <v>160</v>
      </c>
      <c r="R79" s="154" t="s">
        <v>160</v>
      </c>
      <c r="S79" s="154" t="s">
        <v>160</v>
      </c>
      <c r="T79" s="154" t="s">
        <v>160</v>
      </c>
      <c r="U79" s="154" t="s">
        <v>160</v>
      </c>
      <c r="V79" s="157" t="s">
        <v>160</v>
      </c>
      <c r="W79" s="157" t="s">
        <v>160</v>
      </c>
      <c r="X79" t="s">
        <v>210</v>
      </c>
      <c r="Y79" s="131">
        <v>-1.394722</v>
      </c>
      <c r="Z79" s="131">
        <v>-11.74306</v>
      </c>
      <c r="AA79" s="131">
        <v>-1.394722</v>
      </c>
      <c r="AB79" s="131">
        <v>-11.74306</v>
      </c>
      <c r="AC79" s="131">
        <v>-3821</v>
      </c>
      <c r="AD79" s="131">
        <v>-3821</v>
      </c>
      <c r="AE79" s="153" t="s">
        <v>160</v>
      </c>
      <c r="AF79" s="153" t="s">
        <v>160</v>
      </c>
      <c r="AG79" s="138">
        <v>2417.172607</v>
      </c>
      <c r="AH79" s="2" t="s">
        <v>159</v>
      </c>
      <c r="AI79" s="153" t="s">
        <v>160</v>
      </c>
      <c r="AJ79" s="153" t="s">
        <v>160</v>
      </c>
      <c r="AK79" s="154" t="s">
        <v>160</v>
      </c>
      <c r="AL79" s="154" t="s">
        <v>177</v>
      </c>
      <c r="AM79" s="157" t="s">
        <v>160</v>
      </c>
      <c r="AN79" t="s">
        <v>160</v>
      </c>
      <c r="AO79" t="s">
        <v>160</v>
      </c>
      <c r="AP79" t="s">
        <v>160</v>
      </c>
      <c r="AQ79" t="s">
        <v>160</v>
      </c>
      <c r="AR79" t="s">
        <v>160</v>
      </c>
      <c r="AS79" t="s">
        <v>160</v>
      </c>
      <c r="AT79" t="s">
        <v>160</v>
      </c>
      <c r="AU79" s="145" t="s">
        <v>178</v>
      </c>
      <c r="AV79" t="s">
        <v>161</v>
      </c>
      <c r="AW79" s="141" t="s">
        <v>179</v>
      </c>
      <c r="AX79" s="141" t="s">
        <v>180</v>
      </c>
      <c r="AY79" s="139" t="s">
        <v>181</v>
      </c>
      <c r="AZ79" s="139" t="s">
        <v>182</v>
      </c>
      <c r="BA79" t="s">
        <v>162</v>
      </c>
      <c r="BB79" s="153" t="s">
        <v>217</v>
      </c>
      <c r="BC79" s="153" t="s">
        <v>217</v>
      </c>
      <c r="BD79" s="153" t="s">
        <v>217</v>
      </c>
      <c r="BE79" s="138">
        <v>19.39170408</v>
      </c>
      <c r="BF79" t="s">
        <v>183</v>
      </c>
      <c r="BG79" s="138">
        <v>0.205909335</v>
      </c>
      <c r="BH79">
        <v>0.6</v>
      </c>
      <c r="BI79" t="s">
        <v>184</v>
      </c>
      <c r="BJ79" s="2">
        <v>0.08</v>
      </c>
      <c r="BK79">
        <v>8.8699999999999992</v>
      </c>
      <c r="BL79" t="s">
        <v>163</v>
      </c>
      <c r="BM79">
        <v>1.52</v>
      </c>
      <c r="BN79" t="s">
        <v>185</v>
      </c>
      <c r="BO79" t="s">
        <v>186</v>
      </c>
      <c r="BP79" s="158">
        <f t="shared" si="23"/>
        <v>17.536173466666668</v>
      </c>
      <c r="BQ79" t="s">
        <v>184</v>
      </c>
      <c r="BR79" s="154" t="s">
        <v>160</v>
      </c>
      <c r="BS79" s="154" t="s">
        <v>160</v>
      </c>
      <c r="BT79" t="s">
        <v>214</v>
      </c>
      <c r="BU79" t="s">
        <v>218</v>
      </c>
      <c r="BV79" t="s">
        <v>164</v>
      </c>
      <c r="BW79" t="s">
        <v>164</v>
      </c>
      <c r="BX79" s="138">
        <v>26.95354273448276</v>
      </c>
      <c r="BY79" t="s">
        <v>184</v>
      </c>
      <c r="BZ79" s="159">
        <v>3</v>
      </c>
      <c r="CA79" s="159">
        <v>3</v>
      </c>
      <c r="CB79" s="157" t="s">
        <v>160</v>
      </c>
      <c r="CC79" s="157" t="s">
        <v>160</v>
      </c>
      <c r="CD79" s="157" t="s">
        <v>160</v>
      </c>
      <c r="CE79" s="157" t="s">
        <v>160</v>
      </c>
      <c r="CF79" s="157" t="s">
        <v>160</v>
      </c>
      <c r="CG79" s="157" t="s">
        <v>160</v>
      </c>
      <c r="CH79" s="160" t="s">
        <v>160</v>
      </c>
      <c r="CI79" s="161" t="s">
        <v>160</v>
      </c>
      <c r="CJ79" s="138" t="s">
        <v>160</v>
      </c>
      <c r="CK79" s="153" t="s">
        <v>160</v>
      </c>
      <c r="CL79" s="157" t="s">
        <v>160</v>
      </c>
      <c r="CM79" t="s">
        <v>160</v>
      </c>
      <c r="CN79" t="s">
        <v>160</v>
      </c>
      <c r="CO79" t="s">
        <v>160</v>
      </c>
      <c r="CP79" t="s">
        <v>160</v>
      </c>
      <c r="CQ79" t="s">
        <v>160</v>
      </c>
      <c r="CR79" t="s">
        <v>160</v>
      </c>
      <c r="CS79" s="162" t="s">
        <v>219</v>
      </c>
      <c r="CT79" t="s">
        <v>221</v>
      </c>
      <c r="CU79" s="134">
        <v>35</v>
      </c>
      <c r="CV79" t="s">
        <v>159</v>
      </c>
      <c r="CW79">
        <v>3</v>
      </c>
      <c r="CX79" s="149" t="s">
        <v>187</v>
      </c>
      <c r="CY79" s="157" t="s">
        <v>160</v>
      </c>
      <c r="CZ79" s="157" t="s">
        <v>160</v>
      </c>
      <c r="DA79" s="157" t="s">
        <v>160</v>
      </c>
      <c r="DB79" s="157" t="s">
        <v>160</v>
      </c>
      <c r="DC79" s="157" t="s">
        <v>160</v>
      </c>
      <c r="DD79" s="157" t="s">
        <v>160</v>
      </c>
      <c r="DE79" s="157" t="s">
        <v>160</v>
      </c>
      <c r="DF79" s="157" t="s">
        <v>160</v>
      </c>
      <c r="DG79" s="157" t="s">
        <v>160</v>
      </c>
      <c r="DH79" s="157" t="s">
        <v>160</v>
      </c>
      <c r="DI79" s="157" t="s">
        <v>160</v>
      </c>
      <c r="DJ79" s="157" t="s">
        <v>160</v>
      </c>
      <c r="DK79" s="132">
        <v>432.56244218316402</v>
      </c>
      <c r="DL79" t="s">
        <v>165</v>
      </c>
      <c r="DM79" s="153">
        <v>37.1</v>
      </c>
      <c r="DN79" t="s">
        <v>166</v>
      </c>
      <c r="DO79" s="138">
        <v>39.257408609999999</v>
      </c>
      <c r="DP79" s="154" t="s">
        <v>163</v>
      </c>
      <c r="DQ79" s="146">
        <v>0.2</v>
      </c>
      <c r="DR79" t="s">
        <v>190</v>
      </c>
      <c r="DS79" t="s">
        <v>167</v>
      </c>
      <c r="DT79" t="s">
        <v>168</v>
      </c>
      <c r="DU79">
        <v>1.0271999999999999</v>
      </c>
      <c r="DV79" t="s">
        <v>191</v>
      </c>
      <c r="DW79">
        <v>5.9999999999999995E-4</v>
      </c>
      <c r="DX79" t="s">
        <v>198</v>
      </c>
      <c r="DY79" t="s">
        <v>160</v>
      </c>
      <c r="DZ79" t="s">
        <v>160</v>
      </c>
      <c r="EA79" t="s">
        <v>192</v>
      </c>
      <c r="EB79" t="s">
        <v>169</v>
      </c>
      <c r="EC79" t="s">
        <v>170</v>
      </c>
      <c r="ED79" t="s">
        <v>170</v>
      </c>
      <c r="EE79" s="157" t="s">
        <v>160</v>
      </c>
      <c r="EF79" t="s">
        <v>160</v>
      </c>
      <c r="EG79" t="s">
        <v>160</v>
      </c>
      <c r="EH79" t="s">
        <v>171</v>
      </c>
      <c r="EI79" t="s">
        <v>193</v>
      </c>
      <c r="EJ79" t="s">
        <v>194</v>
      </c>
      <c r="EK79" s="137">
        <v>2330</v>
      </c>
      <c r="EL79" t="s">
        <v>211</v>
      </c>
      <c r="EM79">
        <v>175</v>
      </c>
      <c r="EN79">
        <v>175</v>
      </c>
      <c r="EO79" t="s">
        <v>160</v>
      </c>
      <c r="EP79" t="s">
        <v>160</v>
      </c>
      <c r="EQ79" t="s">
        <v>160</v>
      </c>
      <c r="ER79" t="s">
        <v>160</v>
      </c>
      <c r="ES79" s="138">
        <v>7.9960444307132699</v>
      </c>
      <c r="ET79" s="133" t="s">
        <v>172</v>
      </c>
      <c r="EU79" s="155">
        <v>7.7662240154260154E-2</v>
      </c>
      <c r="EV79" s="155">
        <v>7.3359963422450214E-2</v>
      </c>
      <c r="EW79" s="156">
        <f t="shared" ref="EW79:EW85" si="30">EZ79+29</f>
        <v>470.67906805667502</v>
      </c>
      <c r="EX79" s="157">
        <v>29</v>
      </c>
      <c r="EY79" s="154" t="s">
        <v>195</v>
      </c>
      <c r="EZ79" s="138">
        <v>441.67906805667502</v>
      </c>
      <c r="FA79" s="158">
        <v>115.132802754804</v>
      </c>
      <c r="FB79" s="158">
        <v>94.286291658333027</v>
      </c>
      <c r="FC79" s="156" t="s">
        <v>212</v>
      </c>
      <c r="FD79" s="156" t="s">
        <v>213</v>
      </c>
      <c r="FE79" t="s">
        <v>173</v>
      </c>
      <c r="FF79" t="s">
        <v>173</v>
      </c>
      <c r="FG79" t="s">
        <v>173</v>
      </c>
      <c r="FH79" t="s">
        <v>173</v>
      </c>
      <c r="FI79" t="s">
        <v>173</v>
      </c>
      <c r="FJ79" t="s">
        <v>173</v>
      </c>
      <c r="FK79" t="s">
        <v>173</v>
      </c>
      <c r="FL79" t="s">
        <v>173</v>
      </c>
      <c r="FM79" t="s">
        <v>173</v>
      </c>
      <c r="FN79" t="s">
        <v>173</v>
      </c>
      <c r="FO79" t="s">
        <v>173</v>
      </c>
      <c r="FP79" t="s">
        <v>173</v>
      </c>
    </row>
    <row r="80" spans="1:172" ht="18" x14ac:dyDescent="0.2">
      <c r="A80" s="126" t="s">
        <v>152</v>
      </c>
      <c r="B80" t="s">
        <v>174</v>
      </c>
      <c r="C80">
        <v>2015</v>
      </c>
      <c r="D80" t="s">
        <v>196</v>
      </c>
      <c r="E80" s="138">
        <v>2498.358643</v>
      </c>
      <c r="F80" s="135" t="s">
        <v>160</v>
      </c>
      <c r="G80" s="135" t="s">
        <v>160</v>
      </c>
      <c r="H80" s="138">
        <v>422.788592701065</v>
      </c>
      <c r="I80" s="147">
        <v>97.962707919242007</v>
      </c>
      <c r="J80" s="147">
        <v>84.966022438585981</v>
      </c>
      <c r="K80" t="s">
        <v>208</v>
      </c>
      <c r="L80" s="130" t="s">
        <v>209</v>
      </c>
      <c r="M80" s="136" t="s">
        <v>175</v>
      </c>
      <c r="N80" t="s">
        <v>196</v>
      </c>
      <c r="O80" t="s">
        <v>216</v>
      </c>
      <c r="P80" s="154" t="s">
        <v>160</v>
      </c>
      <c r="Q80" s="154" t="s">
        <v>160</v>
      </c>
      <c r="R80" s="154" t="s">
        <v>160</v>
      </c>
      <c r="S80" s="154" t="s">
        <v>160</v>
      </c>
      <c r="T80" s="154" t="s">
        <v>160</v>
      </c>
      <c r="U80" s="154" t="s">
        <v>160</v>
      </c>
      <c r="V80" s="157" t="s">
        <v>160</v>
      </c>
      <c r="W80" s="157" t="s">
        <v>160</v>
      </c>
      <c r="X80" t="s">
        <v>210</v>
      </c>
      <c r="Y80" s="131">
        <v>-1.394722</v>
      </c>
      <c r="Z80" s="131">
        <v>-11.74306</v>
      </c>
      <c r="AA80" s="131">
        <v>-1.394722</v>
      </c>
      <c r="AB80" s="131">
        <v>-11.74306</v>
      </c>
      <c r="AC80" s="131">
        <v>-3821</v>
      </c>
      <c r="AD80" s="131">
        <v>-3821</v>
      </c>
      <c r="AE80" s="153" t="s">
        <v>160</v>
      </c>
      <c r="AF80" s="153" t="s">
        <v>160</v>
      </c>
      <c r="AG80" s="138">
        <v>2498.358643</v>
      </c>
      <c r="AH80" s="2" t="s">
        <v>159</v>
      </c>
      <c r="AI80" s="153" t="s">
        <v>160</v>
      </c>
      <c r="AJ80" s="153" t="s">
        <v>160</v>
      </c>
      <c r="AK80" s="154" t="s">
        <v>160</v>
      </c>
      <c r="AL80" s="154" t="s">
        <v>177</v>
      </c>
      <c r="AM80" s="157" t="s">
        <v>160</v>
      </c>
      <c r="AN80" t="s">
        <v>160</v>
      </c>
      <c r="AO80" t="s">
        <v>160</v>
      </c>
      <c r="AP80" t="s">
        <v>160</v>
      </c>
      <c r="AQ80" t="s">
        <v>160</v>
      </c>
      <c r="AR80" t="s">
        <v>160</v>
      </c>
      <c r="AS80" t="s">
        <v>160</v>
      </c>
      <c r="AT80" t="s">
        <v>160</v>
      </c>
      <c r="AU80" s="145" t="s">
        <v>178</v>
      </c>
      <c r="AV80" t="s">
        <v>161</v>
      </c>
      <c r="AW80" s="141" t="s">
        <v>179</v>
      </c>
      <c r="AX80" s="139" t="s">
        <v>180</v>
      </c>
      <c r="AY80" s="139" t="s">
        <v>181</v>
      </c>
      <c r="AZ80" s="139" t="s">
        <v>182</v>
      </c>
      <c r="BA80" t="s">
        <v>162</v>
      </c>
      <c r="BB80" s="153" t="s">
        <v>217</v>
      </c>
      <c r="BC80" s="153" t="s">
        <v>217</v>
      </c>
      <c r="BD80" s="153" t="s">
        <v>217</v>
      </c>
      <c r="BE80" s="138">
        <v>19.4612479</v>
      </c>
      <c r="BF80" t="s">
        <v>183</v>
      </c>
      <c r="BG80" s="138">
        <v>0.12697467400000001</v>
      </c>
      <c r="BH80">
        <v>0.6</v>
      </c>
      <c r="BI80" t="s">
        <v>184</v>
      </c>
      <c r="BJ80" s="2">
        <v>0.08</v>
      </c>
      <c r="BK80">
        <v>8.8699999999999992</v>
      </c>
      <c r="BL80" t="s">
        <v>163</v>
      </c>
      <c r="BM80">
        <v>1.52</v>
      </c>
      <c r="BN80" t="s">
        <v>185</v>
      </c>
      <c r="BO80" t="s">
        <v>186</v>
      </c>
      <c r="BP80" s="158">
        <f t="shared" si="23"/>
        <v>17.652079833333335</v>
      </c>
      <c r="BQ80" t="s">
        <v>184</v>
      </c>
      <c r="BR80" s="154" t="s">
        <v>160</v>
      </c>
      <c r="BS80" s="154" t="s">
        <v>160</v>
      </c>
      <c r="BT80" t="s">
        <v>214</v>
      </c>
      <c r="BU80" t="s">
        <v>218</v>
      </c>
      <c r="BV80" t="s">
        <v>164</v>
      </c>
      <c r="BW80" t="s">
        <v>164</v>
      </c>
      <c r="BX80" s="138">
        <v>26.680380240373388</v>
      </c>
      <c r="BY80" t="s">
        <v>184</v>
      </c>
      <c r="BZ80" s="159">
        <v>3</v>
      </c>
      <c r="CA80" s="159">
        <v>3</v>
      </c>
      <c r="CB80" s="157" t="s">
        <v>160</v>
      </c>
      <c r="CC80" s="157" t="s">
        <v>160</v>
      </c>
      <c r="CD80" s="157" t="s">
        <v>160</v>
      </c>
      <c r="CE80" s="157" t="s">
        <v>160</v>
      </c>
      <c r="CF80" s="157" t="s">
        <v>160</v>
      </c>
      <c r="CG80" s="157" t="s">
        <v>160</v>
      </c>
      <c r="CH80" s="160" t="s">
        <v>160</v>
      </c>
      <c r="CI80" s="161" t="s">
        <v>160</v>
      </c>
      <c r="CJ80" s="138" t="s">
        <v>160</v>
      </c>
      <c r="CK80" s="153" t="s">
        <v>160</v>
      </c>
      <c r="CL80" s="157" t="s">
        <v>160</v>
      </c>
      <c r="CM80" t="s">
        <v>160</v>
      </c>
      <c r="CN80" t="s">
        <v>160</v>
      </c>
      <c r="CO80" t="s">
        <v>160</v>
      </c>
      <c r="CP80" t="s">
        <v>160</v>
      </c>
      <c r="CQ80" t="s">
        <v>160</v>
      </c>
      <c r="CR80" t="s">
        <v>160</v>
      </c>
      <c r="CS80" s="162" t="s">
        <v>219</v>
      </c>
      <c r="CT80" t="s">
        <v>222</v>
      </c>
      <c r="CU80" s="134">
        <v>35</v>
      </c>
      <c r="CV80" t="s">
        <v>159</v>
      </c>
      <c r="CW80">
        <v>3</v>
      </c>
      <c r="CX80" s="149" t="s">
        <v>187</v>
      </c>
      <c r="CY80" s="157" t="s">
        <v>160</v>
      </c>
      <c r="CZ80" s="157" t="s">
        <v>160</v>
      </c>
      <c r="DA80" s="157" t="s">
        <v>160</v>
      </c>
      <c r="DB80" s="157" t="s">
        <v>160</v>
      </c>
      <c r="DC80" s="157" t="s">
        <v>160</v>
      </c>
      <c r="DD80" s="157" t="s">
        <v>160</v>
      </c>
      <c r="DE80" s="157" t="s">
        <v>160</v>
      </c>
      <c r="DF80" s="157" t="s">
        <v>160</v>
      </c>
      <c r="DG80" s="157" t="s">
        <v>160</v>
      </c>
      <c r="DH80" s="157" t="s">
        <v>160</v>
      </c>
      <c r="DI80" s="157" t="s">
        <v>160</v>
      </c>
      <c r="DJ80" s="157" t="s">
        <v>160</v>
      </c>
      <c r="DK80" s="132">
        <v>432.56244218316402</v>
      </c>
      <c r="DL80" t="s">
        <v>165</v>
      </c>
      <c r="DM80" s="153">
        <v>37.1</v>
      </c>
      <c r="DN80" t="s">
        <v>166</v>
      </c>
      <c r="DO80" s="138">
        <v>39.245901920000001</v>
      </c>
      <c r="DP80" s="154" t="s">
        <v>163</v>
      </c>
      <c r="DQ80" s="146">
        <v>0.2</v>
      </c>
      <c r="DR80" t="s">
        <v>190</v>
      </c>
      <c r="DS80" t="s">
        <v>167</v>
      </c>
      <c r="DT80" t="s">
        <v>168</v>
      </c>
      <c r="DU80">
        <v>1.0271999999999999</v>
      </c>
      <c r="DV80" t="s">
        <v>191</v>
      </c>
      <c r="DW80">
        <v>5.9999999999999995E-4</v>
      </c>
      <c r="DX80" t="s">
        <v>198</v>
      </c>
      <c r="DY80" t="s">
        <v>160</v>
      </c>
      <c r="DZ80" t="s">
        <v>160</v>
      </c>
      <c r="EA80" t="s">
        <v>192</v>
      </c>
      <c r="EB80" t="s">
        <v>169</v>
      </c>
      <c r="EC80" t="s">
        <v>170</v>
      </c>
      <c r="ED80" t="s">
        <v>170</v>
      </c>
      <c r="EE80" s="157" t="s">
        <v>160</v>
      </c>
      <c r="EF80" t="s">
        <v>160</v>
      </c>
      <c r="EG80" t="s">
        <v>160</v>
      </c>
      <c r="EH80" t="s">
        <v>171</v>
      </c>
      <c r="EI80" t="s">
        <v>193</v>
      </c>
      <c r="EJ80" t="s">
        <v>194</v>
      </c>
      <c r="EK80" s="137">
        <v>2330</v>
      </c>
      <c r="EL80" t="s">
        <v>211</v>
      </c>
      <c r="EM80">
        <v>175</v>
      </c>
      <c r="EN80">
        <v>175</v>
      </c>
      <c r="EO80" t="s">
        <v>160</v>
      </c>
      <c r="EP80" t="s">
        <v>160</v>
      </c>
      <c r="EQ80" t="s">
        <v>160</v>
      </c>
      <c r="ER80" t="s">
        <v>160</v>
      </c>
      <c r="ES80" s="138">
        <v>8.0108312118442093</v>
      </c>
      <c r="ET80" s="133" t="s">
        <v>172</v>
      </c>
      <c r="EU80" s="155">
        <v>6.9939552860959431E-2</v>
      </c>
      <c r="EV80" s="155">
        <v>6.8166249002031165E-2</v>
      </c>
      <c r="EW80" s="156">
        <f t="shared" si="30"/>
        <v>451.788592701065</v>
      </c>
      <c r="EX80" s="157">
        <v>29</v>
      </c>
      <c r="EY80" s="154" t="s">
        <v>195</v>
      </c>
      <c r="EZ80" s="138">
        <v>422.788592701065</v>
      </c>
      <c r="FA80" s="158">
        <v>97.962707919242007</v>
      </c>
      <c r="FB80" s="158">
        <v>84.966022438585981</v>
      </c>
      <c r="FC80" s="156" t="s">
        <v>212</v>
      </c>
      <c r="FD80" s="156" t="s">
        <v>213</v>
      </c>
      <c r="FE80" t="s">
        <v>173</v>
      </c>
      <c r="FF80" t="s">
        <v>173</v>
      </c>
      <c r="FG80" t="s">
        <v>173</v>
      </c>
      <c r="FH80" t="s">
        <v>173</v>
      </c>
      <c r="FI80" t="s">
        <v>173</v>
      </c>
      <c r="FJ80" t="s">
        <v>173</v>
      </c>
      <c r="FK80" t="s">
        <v>173</v>
      </c>
      <c r="FL80" t="s">
        <v>173</v>
      </c>
      <c r="FM80" t="s">
        <v>173</v>
      </c>
      <c r="FN80" t="s">
        <v>173</v>
      </c>
      <c r="FO80" t="s">
        <v>173</v>
      </c>
      <c r="FP80" t="s">
        <v>173</v>
      </c>
    </row>
    <row r="81" spans="1:172" ht="18" x14ac:dyDescent="0.2">
      <c r="A81" s="126" t="s">
        <v>152</v>
      </c>
      <c r="B81" t="s">
        <v>174</v>
      </c>
      <c r="C81">
        <v>2015</v>
      </c>
      <c r="D81" t="s">
        <v>196</v>
      </c>
      <c r="E81" s="138">
        <v>2626.1445309999999</v>
      </c>
      <c r="F81" s="135" t="s">
        <v>160</v>
      </c>
      <c r="G81" s="135" t="s">
        <v>160</v>
      </c>
      <c r="H81" s="138">
        <v>401.925265560215</v>
      </c>
      <c r="I81" s="147">
        <v>96.273266553235999</v>
      </c>
      <c r="J81" s="147">
        <v>79.142738067669995</v>
      </c>
      <c r="K81" t="s">
        <v>208</v>
      </c>
      <c r="L81" s="130" t="s">
        <v>209</v>
      </c>
      <c r="M81" s="136" t="s">
        <v>175</v>
      </c>
      <c r="N81" t="s">
        <v>196</v>
      </c>
      <c r="O81" t="s">
        <v>216</v>
      </c>
      <c r="P81" s="154" t="s">
        <v>160</v>
      </c>
      <c r="Q81" s="154" t="s">
        <v>160</v>
      </c>
      <c r="R81" s="154" t="s">
        <v>160</v>
      </c>
      <c r="S81" s="154" t="s">
        <v>160</v>
      </c>
      <c r="T81" s="154" t="s">
        <v>160</v>
      </c>
      <c r="U81" s="154" t="s">
        <v>160</v>
      </c>
      <c r="V81" s="157" t="s">
        <v>160</v>
      </c>
      <c r="W81" s="157" t="s">
        <v>160</v>
      </c>
      <c r="X81" t="s">
        <v>210</v>
      </c>
      <c r="Y81" s="131">
        <v>-1.394722</v>
      </c>
      <c r="Z81" s="131">
        <v>-11.74306</v>
      </c>
      <c r="AA81" s="131">
        <v>-1.394722</v>
      </c>
      <c r="AB81" s="131">
        <v>-11.74306</v>
      </c>
      <c r="AC81" s="131">
        <v>-3821</v>
      </c>
      <c r="AD81" s="131">
        <v>-3821</v>
      </c>
      <c r="AE81" s="153" t="s">
        <v>160</v>
      </c>
      <c r="AF81" s="153" t="s">
        <v>160</v>
      </c>
      <c r="AG81" s="138">
        <v>2626.1445309999999</v>
      </c>
      <c r="AH81" s="2" t="s">
        <v>159</v>
      </c>
      <c r="AI81" s="153" t="s">
        <v>160</v>
      </c>
      <c r="AJ81" s="153" t="s">
        <v>160</v>
      </c>
      <c r="AK81" s="154" t="s">
        <v>160</v>
      </c>
      <c r="AL81" s="154" t="s">
        <v>177</v>
      </c>
      <c r="AM81" s="157" t="s">
        <v>160</v>
      </c>
      <c r="AN81" t="s">
        <v>160</v>
      </c>
      <c r="AO81" t="s">
        <v>160</v>
      </c>
      <c r="AP81" t="s">
        <v>160</v>
      </c>
      <c r="AQ81" t="s">
        <v>160</v>
      </c>
      <c r="AR81" t="s">
        <v>160</v>
      </c>
      <c r="AS81" t="s">
        <v>160</v>
      </c>
      <c r="AT81" t="s">
        <v>160</v>
      </c>
      <c r="AU81" s="145" t="s">
        <v>178</v>
      </c>
      <c r="AV81" t="s">
        <v>161</v>
      </c>
      <c r="AW81" s="141" t="s">
        <v>179</v>
      </c>
      <c r="AX81" s="141" t="s">
        <v>180</v>
      </c>
      <c r="AY81" s="139" t="s">
        <v>181</v>
      </c>
      <c r="AZ81" s="139" t="s">
        <v>182</v>
      </c>
      <c r="BA81" t="s">
        <v>162</v>
      </c>
      <c r="BB81" s="153" t="s">
        <v>217</v>
      </c>
      <c r="BC81" s="153" t="s">
        <v>217</v>
      </c>
      <c r="BD81" s="153" t="s">
        <v>217</v>
      </c>
      <c r="BE81" s="138">
        <v>19.543103649999999</v>
      </c>
      <c r="BF81" t="s">
        <v>183</v>
      </c>
      <c r="BG81" s="138">
        <v>0.14246539</v>
      </c>
      <c r="BH81">
        <v>0.6</v>
      </c>
      <c r="BI81" t="s">
        <v>184</v>
      </c>
      <c r="BJ81" s="2">
        <v>0.08</v>
      </c>
      <c r="BK81">
        <v>8.8699999999999992</v>
      </c>
      <c r="BL81" t="s">
        <v>163</v>
      </c>
      <c r="BM81">
        <v>1.52</v>
      </c>
      <c r="BN81" t="s">
        <v>185</v>
      </c>
      <c r="BO81" t="s">
        <v>186</v>
      </c>
      <c r="BP81" s="158">
        <f t="shared" si="23"/>
        <v>17.788506083333335</v>
      </c>
      <c r="BQ81" t="s">
        <v>184</v>
      </c>
      <c r="BR81" s="154" t="s">
        <v>160</v>
      </c>
      <c r="BS81" s="154" t="s">
        <v>160</v>
      </c>
      <c r="BT81" t="s">
        <v>214</v>
      </c>
      <c r="BU81" t="s">
        <v>218</v>
      </c>
      <c r="BV81" t="s">
        <v>164</v>
      </c>
      <c r="BW81" t="s">
        <v>164</v>
      </c>
      <c r="BX81" s="138">
        <v>26.492778594339622</v>
      </c>
      <c r="BY81" t="s">
        <v>184</v>
      </c>
      <c r="BZ81" s="159">
        <v>3</v>
      </c>
      <c r="CA81" s="159">
        <v>3</v>
      </c>
      <c r="CB81" s="157" t="s">
        <v>160</v>
      </c>
      <c r="CC81" s="157" t="s">
        <v>160</v>
      </c>
      <c r="CD81" s="157" t="s">
        <v>160</v>
      </c>
      <c r="CE81" s="157" t="s">
        <v>160</v>
      </c>
      <c r="CF81" s="157" t="s">
        <v>160</v>
      </c>
      <c r="CG81" s="157" t="s">
        <v>160</v>
      </c>
      <c r="CH81" s="160" t="s">
        <v>160</v>
      </c>
      <c r="CI81" s="161" t="s">
        <v>160</v>
      </c>
      <c r="CJ81" s="138" t="s">
        <v>160</v>
      </c>
      <c r="CK81" s="153" t="s">
        <v>160</v>
      </c>
      <c r="CL81" s="157" t="s">
        <v>160</v>
      </c>
      <c r="CM81" t="s">
        <v>160</v>
      </c>
      <c r="CN81" t="s">
        <v>160</v>
      </c>
      <c r="CO81" t="s">
        <v>160</v>
      </c>
      <c r="CP81" t="s">
        <v>160</v>
      </c>
      <c r="CQ81" t="s">
        <v>160</v>
      </c>
      <c r="CR81" t="s">
        <v>160</v>
      </c>
      <c r="CS81" s="162" t="s">
        <v>219</v>
      </c>
      <c r="CT81" t="s">
        <v>223</v>
      </c>
      <c r="CU81" s="134">
        <v>35</v>
      </c>
      <c r="CV81" t="s">
        <v>159</v>
      </c>
      <c r="CW81">
        <v>3</v>
      </c>
      <c r="CX81" s="149" t="s">
        <v>187</v>
      </c>
      <c r="CY81" s="157" t="s">
        <v>160</v>
      </c>
      <c r="CZ81" s="157" t="s">
        <v>160</v>
      </c>
      <c r="DA81" s="157" t="s">
        <v>160</v>
      </c>
      <c r="DB81" s="157" t="s">
        <v>160</v>
      </c>
      <c r="DC81" s="157" t="s">
        <v>160</v>
      </c>
      <c r="DD81" s="157" t="s">
        <v>160</v>
      </c>
      <c r="DE81" s="157" t="s">
        <v>160</v>
      </c>
      <c r="DF81" s="157" t="s">
        <v>160</v>
      </c>
      <c r="DG81" s="157" t="s">
        <v>160</v>
      </c>
      <c r="DH81" s="157" t="s">
        <v>160</v>
      </c>
      <c r="DI81" s="157" t="s">
        <v>160</v>
      </c>
      <c r="DJ81" s="157" t="s">
        <v>160</v>
      </c>
      <c r="DK81" s="132">
        <v>432.56244218316402</v>
      </c>
      <c r="DL81" t="s">
        <v>165</v>
      </c>
      <c r="DM81" s="153">
        <v>37.1</v>
      </c>
      <c r="DN81" t="s">
        <v>166</v>
      </c>
      <c r="DO81" s="138">
        <v>39.227790540000001</v>
      </c>
      <c r="DP81" s="154" t="s">
        <v>163</v>
      </c>
      <c r="DQ81" s="146">
        <v>0.2</v>
      </c>
      <c r="DR81" t="s">
        <v>190</v>
      </c>
      <c r="DS81" t="s">
        <v>167</v>
      </c>
      <c r="DT81" t="s">
        <v>168</v>
      </c>
      <c r="DU81">
        <v>1.0271999999999999</v>
      </c>
      <c r="DV81" t="s">
        <v>191</v>
      </c>
      <c r="DW81">
        <v>5.9999999999999995E-4</v>
      </c>
      <c r="DX81" t="s">
        <v>198</v>
      </c>
      <c r="DY81" t="s">
        <v>160</v>
      </c>
      <c r="DZ81" t="s">
        <v>160</v>
      </c>
      <c r="EA81" t="s">
        <v>192</v>
      </c>
      <c r="EB81" t="s">
        <v>169</v>
      </c>
      <c r="EC81" t="s">
        <v>170</v>
      </c>
      <c r="ED81" t="s">
        <v>170</v>
      </c>
      <c r="EE81" s="157" t="s">
        <v>160</v>
      </c>
      <c r="EF81" t="s">
        <v>160</v>
      </c>
      <c r="EG81" t="s">
        <v>160</v>
      </c>
      <c r="EH81" t="s">
        <v>171</v>
      </c>
      <c r="EI81" t="s">
        <v>193</v>
      </c>
      <c r="EJ81" t="s">
        <v>194</v>
      </c>
      <c r="EK81" s="137">
        <v>2330</v>
      </c>
      <c r="EL81" t="s">
        <v>211</v>
      </c>
      <c r="EM81">
        <v>175</v>
      </c>
      <c r="EN81">
        <v>175</v>
      </c>
      <c r="EO81" t="s">
        <v>160</v>
      </c>
      <c r="EP81" t="s">
        <v>160</v>
      </c>
      <c r="EQ81" t="s">
        <v>160</v>
      </c>
      <c r="ER81" t="s">
        <v>160</v>
      </c>
      <c r="ES81" s="138">
        <v>8.0279294332926199</v>
      </c>
      <c r="ET81" s="133" t="s">
        <v>172</v>
      </c>
      <c r="EU81" s="155">
        <v>7.1150313257430042E-2</v>
      </c>
      <c r="EV81" s="155">
        <v>6.8944610647669435E-2</v>
      </c>
      <c r="EW81" s="156">
        <f t="shared" si="30"/>
        <v>430.925265560215</v>
      </c>
      <c r="EX81" s="157">
        <v>29</v>
      </c>
      <c r="EY81" s="154" t="s">
        <v>195</v>
      </c>
      <c r="EZ81" s="138">
        <v>401.925265560215</v>
      </c>
      <c r="FA81" s="158">
        <v>96.273266553235999</v>
      </c>
      <c r="FB81" s="158">
        <v>79.142738067669995</v>
      </c>
      <c r="FC81" s="156" t="s">
        <v>212</v>
      </c>
      <c r="FD81" s="156" t="s">
        <v>213</v>
      </c>
      <c r="FE81" t="s">
        <v>173</v>
      </c>
      <c r="FF81" t="s">
        <v>173</v>
      </c>
      <c r="FG81" t="s">
        <v>173</v>
      </c>
      <c r="FH81" t="s">
        <v>173</v>
      </c>
      <c r="FI81" t="s">
        <v>173</v>
      </c>
      <c r="FJ81" t="s">
        <v>173</v>
      </c>
      <c r="FK81" t="s">
        <v>173</v>
      </c>
      <c r="FL81" t="s">
        <v>173</v>
      </c>
      <c r="FM81" t="s">
        <v>173</v>
      </c>
      <c r="FN81" t="s">
        <v>173</v>
      </c>
      <c r="FO81" t="s">
        <v>173</v>
      </c>
      <c r="FP81" t="s">
        <v>173</v>
      </c>
    </row>
    <row r="82" spans="1:172" ht="18" x14ac:dyDescent="0.2">
      <c r="A82" s="126" t="s">
        <v>152</v>
      </c>
      <c r="B82" t="s">
        <v>174</v>
      </c>
      <c r="C82">
        <v>2015</v>
      </c>
      <c r="D82" t="s">
        <v>196</v>
      </c>
      <c r="E82" s="138">
        <v>2750.5686040000001</v>
      </c>
      <c r="F82" s="135" t="s">
        <v>160</v>
      </c>
      <c r="G82" s="135" t="s">
        <v>160</v>
      </c>
      <c r="H82" s="138">
        <v>376.30382933961403</v>
      </c>
      <c r="I82" s="147">
        <v>92.124635527582996</v>
      </c>
      <c r="J82" s="147">
        <v>77.939455064808044</v>
      </c>
      <c r="K82" t="s">
        <v>208</v>
      </c>
      <c r="L82" s="130" t="s">
        <v>209</v>
      </c>
      <c r="M82" s="136" t="s">
        <v>175</v>
      </c>
      <c r="N82" t="s">
        <v>196</v>
      </c>
      <c r="O82" t="s">
        <v>216</v>
      </c>
      <c r="P82" s="154" t="s">
        <v>160</v>
      </c>
      <c r="Q82" s="154" t="s">
        <v>160</v>
      </c>
      <c r="R82" s="154" t="s">
        <v>160</v>
      </c>
      <c r="S82" s="154" t="s">
        <v>160</v>
      </c>
      <c r="T82" s="154" t="s">
        <v>160</v>
      </c>
      <c r="U82" s="154" t="s">
        <v>160</v>
      </c>
      <c r="V82" s="157" t="s">
        <v>160</v>
      </c>
      <c r="W82" s="157" t="s">
        <v>160</v>
      </c>
      <c r="X82" t="s">
        <v>210</v>
      </c>
      <c r="Y82" s="131">
        <v>-1.394722</v>
      </c>
      <c r="Z82" s="131">
        <v>-11.74306</v>
      </c>
      <c r="AA82" s="131">
        <v>-1.394722</v>
      </c>
      <c r="AB82" s="131">
        <v>-11.74306</v>
      </c>
      <c r="AC82" s="131">
        <v>-3821</v>
      </c>
      <c r="AD82" s="131">
        <v>-3821</v>
      </c>
      <c r="AE82" s="153" t="s">
        <v>160</v>
      </c>
      <c r="AF82" s="153" t="s">
        <v>160</v>
      </c>
      <c r="AG82" s="138">
        <v>2750.5686040000001</v>
      </c>
      <c r="AH82" s="2" t="s">
        <v>159</v>
      </c>
      <c r="AI82" s="153" t="s">
        <v>160</v>
      </c>
      <c r="AJ82" s="153" t="s">
        <v>160</v>
      </c>
      <c r="AK82" s="154" t="s">
        <v>160</v>
      </c>
      <c r="AL82" s="154" t="s">
        <v>177</v>
      </c>
      <c r="AM82" s="157" t="s">
        <v>160</v>
      </c>
      <c r="AN82" t="s">
        <v>160</v>
      </c>
      <c r="AO82" t="s">
        <v>160</v>
      </c>
      <c r="AP82" t="s">
        <v>160</v>
      </c>
      <c r="AQ82" t="s">
        <v>160</v>
      </c>
      <c r="AR82" t="s">
        <v>160</v>
      </c>
      <c r="AS82" t="s">
        <v>160</v>
      </c>
      <c r="AT82" t="s">
        <v>160</v>
      </c>
      <c r="AU82" s="145" t="s">
        <v>178</v>
      </c>
      <c r="AV82" t="s">
        <v>161</v>
      </c>
      <c r="AW82" s="141" t="s">
        <v>179</v>
      </c>
      <c r="AX82" s="139" t="s">
        <v>180</v>
      </c>
      <c r="AY82" s="139" t="s">
        <v>181</v>
      </c>
      <c r="AZ82" s="139" t="s">
        <v>182</v>
      </c>
      <c r="BA82" t="s">
        <v>162</v>
      </c>
      <c r="BB82" s="153" t="s">
        <v>217</v>
      </c>
      <c r="BC82" s="153" t="s">
        <v>217</v>
      </c>
      <c r="BD82" s="153" t="s">
        <v>217</v>
      </c>
      <c r="BE82" s="138">
        <v>19.70604062</v>
      </c>
      <c r="BF82" t="s">
        <v>183</v>
      </c>
      <c r="BG82" s="138">
        <v>0.175761576</v>
      </c>
      <c r="BH82">
        <v>0.6</v>
      </c>
      <c r="BI82" t="s">
        <v>184</v>
      </c>
      <c r="BJ82" s="2">
        <v>0.08</v>
      </c>
      <c r="BK82">
        <v>8.8699999999999992</v>
      </c>
      <c r="BL82" t="s">
        <v>163</v>
      </c>
      <c r="BM82">
        <v>1.52</v>
      </c>
      <c r="BN82" t="s">
        <v>185</v>
      </c>
      <c r="BO82" t="s">
        <v>186</v>
      </c>
      <c r="BP82" s="158">
        <f t="shared" si="23"/>
        <v>18.060067700000001</v>
      </c>
      <c r="BQ82" t="s">
        <v>184</v>
      </c>
      <c r="BR82" s="154" t="s">
        <v>160</v>
      </c>
      <c r="BS82" s="154" t="s">
        <v>160</v>
      </c>
      <c r="BT82" t="s">
        <v>214</v>
      </c>
      <c r="BU82" t="s">
        <v>218</v>
      </c>
      <c r="BV82" t="s">
        <v>164</v>
      </c>
      <c r="BW82" t="s">
        <v>164</v>
      </c>
      <c r="BX82" s="138">
        <v>26.888414564885494</v>
      </c>
      <c r="BY82" t="s">
        <v>184</v>
      </c>
      <c r="BZ82" s="159">
        <v>3</v>
      </c>
      <c r="CA82" s="159">
        <v>3</v>
      </c>
      <c r="CB82" s="157" t="s">
        <v>160</v>
      </c>
      <c r="CC82" s="157" t="s">
        <v>160</v>
      </c>
      <c r="CD82" s="157" t="s">
        <v>160</v>
      </c>
      <c r="CE82" s="157" t="s">
        <v>160</v>
      </c>
      <c r="CF82" s="157" t="s">
        <v>160</v>
      </c>
      <c r="CG82" s="157" t="s">
        <v>160</v>
      </c>
      <c r="CH82" s="160" t="s">
        <v>160</v>
      </c>
      <c r="CI82" s="161" t="s">
        <v>160</v>
      </c>
      <c r="CJ82" s="138" t="s">
        <v>160</v>
      </c>
      <c r="CK82" s="153" t="s">
        <v>160</v>
      </c>
      <c r="CL82" s="157" t="s">
        <v>160</v>
      </c>
      <c r="CM82" t="s">
        <v>160</v>
      </c>
      <c r="CN82" t="s">
        <v>160</v>
      </c>
      <c r="CO82" t="s">
        <v>160</v>
      </c>
      <c r="CP82" t="s">
        <v>160</v>
      </c>
      <c r="CQ82" t="s">
        <v>160</v>
      </c>
      <c r="CR82" t="s">
        <v>160</v>
      </c>
      <c r="CS82" s="162" t="s">
        <v>219</v>
      </c>
      <c r="CT82" t="s">
        <v>224</v>
      </c>
      <c r="CU82" s="134">
        <v>35</v>
      </c>
      <c r="CV82" t="s">
        <v>159</v>
      </c>
      <c r="CW82">
        <v>3</v>
      </c>
      <c r="CX82" s="149" t="s">
        <v>187</v>
      </c>
      <c r="CY82" s="157" t="s">
        <v>160</v>
      </c>
      <c r="CZ82" s="157" t="s">
        <v>160</v>
      </c>
      <c r="DA82" s="157" t="s">
        <v>160</v>
      </c>
      <c r="DB82" s="157" t="s">
        <v>160</v>
      </c>
      <c r="DC82" s="157" t="s">
        <v>160</v>
      </c>
      <c r="DD82" s="157" t="s">
        <v>160</v>
      </c>
      <c r="DE82" s="157" t="s">
        <v>160</v>
      </c>
      <c r="DF82" s="157" t="s">
        <v>160</v>
      </c>
      <c r="DG82" s="157" t="s">
        <v>160</v>
      </c>
      <c r="DH82" s="157" t="s">
        <v>160</v>
      </c>
      <c r="DI82" s="157" t="s">
        <v>160</v>
      </c>
      <c r="DJ82" s="157" t="s">
        <v>160</v>
      </c>
      <c r="DK82" s="132">
        <v>432.56244218316402</v>
      </c>
      <c r="DL82" t="s">
        <v>165</v>
      </c>
      <c r="DM82" s="153">
        <v>37.1</v>
      </c>
      <c r="DN82" t="s">
        <v>166</v>
      </c>
      <c r="DO82" s="138">
        <v>39.210155630000003</v>
      </c>
      <c r="DP82" s="154" t="s">
        <v>163</v>
      </c>
      <c r="DQ82" s="146">
        <v>0.2</v>
      </c>
      <c r="DR82" t="s">
        <v>190</v>
      </c>
      <c r="DS82" t="s">
        <v>167</v>
      </c>
      <c r="DT82" t="s">
        <v>168</v>
      </c>
      <c r="DU82">
        <v>1.0271999999999999</v>
      </c>
      <c r="DV82" t="s">
        <v>191</v>
      </c>
      <c r="DW82">
        <v>5.9999999999999995E-4</v>
      </c>
      <c r="DX82" t="s">
        <v>198</v>
      </c>
      <c r="DY82" t="s">
        <v>160</v>
      </c>
      <c r="DZ82" t="s">
        <v>160</v>
      </c>
      <c r="EA82" t="s">
        <v>192</v>
      </c>
      <c r="EB82" t="s">
        <v>169</v>
      </c>
      <c r="EC82" t="s">
        <v>170</v>
      </c>
      <c r="ED82" t="s">
        <v>170</v>
      </c>
      <c r="EE82" s="157" t="s">
        <v>160</v>
      </c>
      <c r="EF82" t="s">
        <v>160</v>
      </c>
      <c r="EG82" t="s">
        <v>160</v>
      </c>
      <c r="EH82" t="s">
        <v>171</v>
      </c>
      <c r="EI82" t="s">
        <v>193</v>
      </c>
      <c r="EJ82" t="s">
        <v>194</v>
      </c>
      <c r="EK82" s="137">
        <v>2330</v>
      </c>
      <c r="EL82" t="s">
        <v>211</v>
      </c>
      <c r="EM82">
        <v>175</v>
      </c>
      <c r="EN82">
        <v>175</v>
      </c>
      <c r="EO82" t="s">
        <v>160</v>
      </c>
      <c r="EP82" t="s">
        <v>160</v>
      </c>
      <c r="EQ82" t="s">
        <v>160</v>
      </c>
      <c r="ER82" t="s">
        <v>160</v>
      </c>
      <c r="ES82" s="138">
        <v>8.0498975159270003</v>
      </c>
      <c r="ET82" s="133" t="s">
        <v>172</v>
      </c>
      <c r="EU82" s="155">
        <v>7.2330222375089903E-2</v>
      </c>
      <c r="EV82" s="155">
        <v>6.9233537407539458E-2</v>
      </c>
      <c r="EW82" s="156">
        <f t="shared" si="30"/>
        <v>405.30382933961403</v>
      </c>
      <c r="EX82" s="157">
        <v>29</v>
      </c>
      <c r="EY82" s="154" t="s">
        <v>195</v>
      </c>
      <c r="EZ82" s="138">
        <v>376.30382933961403</v>
      </c>
      <c r="FA82" s="158">
        <v>92.124635527582996</v>
      </c>
      <c r="FB82" s="158">
        <v>77.939455064808044</v>
      </c>
      <c r="FC82" s="156" t="s">
        <v>212</v>
      </c>
      <c r="FD82" s="156" t="s">
        <v>213</v>
      </c>
      <c r="FE82" t="s">
        <v>173</v>
      </c>
      <c r="FF82" t="s">
        <v>173</v>
      </c>
      <c r="FG82" t="s">
        <v>173</v>
      </c>
      <c r="FH82" t="s">
        <v>173</v>
      </c>
      <c r="FI82" t="s">
        <v>173</v>
      </c>
      <c r="FJ82" t="s">
        <v>173</v>
      </c>
      <c r="FK82" t="s">
        <v>173</v>
      </c>
      <c r="FL82" t="s">
        <v>173</v>
      </c>
      <c r="FM82" t="s">
        <v>173</v>
      </c>
      <c r="FN82" t="s">
        <v>173</v>
      </c>
      <c r="FO82" t="s">
        <v>173</v>
      </c>
      <c r="FP82" t="s">
        <v>173</v>
      </c>
    </row>
    <row r="83" spans="1:172" ht="18" x14ac:dyDescent="0.2">
      <c r="A83" s="126" t="s">
        <v>152</v>
      </c>
      <c r="B83" t="s">
        <v>174</v>
      </c>
      <c r="C83">
        <v>2015</v>
      </c>
      <c r="D83" t="s">
        <v>196</v>
      </c>
      <c r="E83" s="138">
        <v>2828.2758789999998</v>
      </c>
      <c r="F83" s="135" t="s">
        <v>160</v>
      </c>
      <c r="G83" s="135" t="s">
        <v>160</v>
      </c>
      <c r="H83" s="138">
        <v>352.052923691731</v>
      </c>
      <c r="I83" s="147">
        <v>82.534938994390984</v>
      </c>
      <c r="J83" s="147">
        <v>69.91786962763797</v>
      </c>
      <c r="K83" t="s">
        <v>208</v>
      </c>
      <c r="L83" s="130" t="s">
        <v>209</v>
      </c>
      <c r="M83" s="136" t="s">
        <v>175</v>
      </c>
      <c r="N83" t="s">
        <v>196</v>
      </c>
      <c r="O83" t="s">
        <v>216</v>
      </c>
      <c r="P83" s="154" t="s">
        <v>160</v>
      </c>
      <c r="Q83" s="154" t="s">
        <v>160</v>
      </c>
      <c r="R83" s="154" t="s">
        <v>160</v>
      </c>
      <c r="S83" s="154" t="s">
        <v>160</v>
      </c>
      <c r="T83" s="154" t="s">
        <v>160</v>
      </c>
      <c r="U83" s="154" t="s">
        <v>160</v>
      </c>
      <c r="V83" s="157" t="s">
        <v>160</v>
      </c>
      <c r="W83" s="157" t="s">
        <v>160</v>
      </c>
      <c r="X83" t="s">
        <v>210</v>
      </c>
      <c r="Y83" s="131">
        <v>-1.394722</v>
      </c>
      <c r="Z83" s="131">
        <v>-11.74306</v>
      </c>
      <c r="AA83" s="131">
        <v>-1.394722</v>
      </c>
      <c r="AB83" s="131">
        <v>-11.74306</v>
      </c>
      <c r="AC83" s="131">
        <v>-3821</v>
      </c>
      <c r="AD83" s="131">
        <v>-3821</v>
      </c>
      <c r="AE83" s="153" t="s">
        <v>160</v>
      </c>
      <c r="AF83" s="153" t="s">
        <v>160</v>
      </c>
      <c r="AG83" s="138">
        <v>2828.2758789999998</v>
      </c>
      <c r="AH83" s="2" t="s">
        <v>159</v>
      </c>
      <c r="AI83" s="153" t="s">
        <v>160</v>
      </c>
      <c r="AJ83" s="153" t="s">
        <v>160</v>
      </c>
      <c r="AK83" s="154" t="s">
        <v>160</v>
      </c>
      <c r="AL83" s="154" t="s">
        <v>177</v>
      </c>
      <c r="AM83" s="157" t="s">
        <v>160</v>
      </c>
      <c r="AN83" t="s">
        <v>160</v>
      </c>
      <c r="AO83" t="s">
        <v>160</v>
      </c>
      <c r="AP83" t="s">
        <v>160</v>
      </c>
      <c r="AQ83" t="s">
        <v>160</v>
      </c>
      <c r="AR83" t="s">
        <v>160</v>
      </c>
      <c r="AS83" t="s">
        <v>160</v>
      </c>
      <c r="AT83" t="s">
        <v>160</v>
      </c>
      <c r="AU83" s="145" t="s">
        <v>178</v>
      </c>
      <c r="AV83" t="s">
        <v>161</v>
      </c>
      <c r="AW83" s="141" t="s">
        <v>179</v>
      </c>
      <c r="AX83" s="141" t="s">
        <v>180</v>
      </c>
      <c r="AY83" s="139" t="s">
        <v>181</v>
      </c>
      <c r="AZ83" s="139" t="s">
        <v>182</v>
      </c>
      <c r="BA83" t="s">
        <v>162</v>
      </c>
      <c r="BB83" s="153" t="s">
        <v>217</v>
      </c>
      <c r="BC83" s="153" t="s">
        <v>217</v>
      </c>
      <c r="BD83" s="153" t="s">
        <v>217</v>
      </c>
      <c r="BE83" s="138">
        <v>19.765591749999999</v>
      </c>
      <c r="BF83" t="s">
        <v>183</v>
      </c>
      <c r="BG83" s="138">
        <v>0.141604016</v>
      </c>
      <c r="BH83">
        <v>0.6</v>
      </c>
      <c r="BI83" t="s">
        <v>184</v>
      </c>
      <c r="BJ83" s="2">
        <v>0.08</v>
      </c>
      <c r="BK83">
        <v>8.8699999999999992</v>
      </c>
      <c r="BL83" t="s">
        <v>163</v>
      </c>
      <c r="BM83">
        <v>1.52</v>
      </c>
      <c r="BN83" t="s">
        <v>185</v>
      </c>
      <c r="BO83" t="s">
        <v>186</v>
      </c>
      <c r="BP83" s="158">
        <f t="shared" si="23"/>
        <v>18.159319583333332</v>
      </c>
      <c r="BQ83" t="s">
        <v>184</v>
      </c>
      <c r="BR83" s="154" t="s">
        <v>160</v>
      </c>
      <c r="BS83" s="154" t="s">
        <v>160</v>
      </c>
      <c r="BT83" t="s">
        <v>214</v>
      </c>
      <c r="BU83" t="s">
        <v>218</v>
      </c>
      <c r="BV83" t="s">
        <v>164</v>
      </c>
      <c r="BW83" t="s">
        <v>164</v>
      </c>
      <c r="BX83" s="138">
        <v>25.927814443137198</v>
      </c>
      <c r="BY83" t="s">
        <v>184</v>
      </c>
      <c r="BZ83" s="159">
        <v>3</v>
      </c>
      <c r="CA83" s="159">
        <v>3</v>
      </c>
      <c r="CB83" s="157" t="s">
        <v>160</v>
      </c>
      <c r="CC83" s="157" t="s">
        <v>160</v>
      </c>
      <c r="CD83" s="157" t="s">
        <v>160</v>
      </c>
      <c r="CE83" s="157" t="s">
        <v>160</v>
      </c>
      <c r="CF83" s="157" t="s">
        <v>160</v>
      </c>
      <c r="CG83" s="157" t="s">
        <v>160</v>
      </c>
      <c r="CH83" s="160" t="s">
        <v>160</v>
      </c>
      <c r="CI83" s="161" t="s">
        <v>160</v>
      </c>
      <c r="CJ83" s="138" t="s">
        <v>160</v>
      </c>
      <c r="CK83" s="153" t="s">
        <v>160</v>
      </c>
      <c r="CL83" s="157" t="s">
        <v>160</v>
      </c>
      <c r="CM83" t="s">
        <v>160</v>
      </c>
      <c r="CN83" t="s">
        <v>160</v>
      </c>
      <c r="CO83" t="s">
        <v>160</v>
      </c>
      <c r="CP83" t="s">
        <v>160</v>
      </c>
      <c r="CQ83" t="s">
        <v>160</v>
      </c>
      <c r="CR83" t="s">
        <v>160</v>
      </c>
      <c r="CS83" s="162" t="s">
        <v>219</v>
      </c>
      <c r="CT83" t="s">
        <v>225</v>
      </c>
      <c r="CU83" s="134">
        <v>35</v>
      </c>
      <c r="CV83" t="s">
        <v>159</v>
      </c>
      <c r="CW83">
        <v>3</v>
      </c>
      <c r="CX83" s="149" t="s">
        <v>187</v>
      </c>
      <c r="CY83" s="157" t="s">
        <v>160</v>
      </c>
      <c r="CZ83" s="157" t="s">
        <v>160</v>
      </c>
      <c r="DA83" s="157" t="s">
        <v>160</v>
      </c>
      <c r="DB83" s="157" t="s">
        <v>160</v>
      </c>
      <c r="DC83" s="157" t="s">
        <v>160</v>
      </c>
      <c r="DD83" s="157" t="s">
        <v>160</v>
      </c>
      <c r="DE83" s="157" t="s">
        <v>160</v>
      </c>
      <c r="DF83" s="157" t="s">
        <v>160</v>
      </c>
      <c r="DG83" s="157" t="s">
        <v>160</v>
      </c>
      <c r="DH83" s="157" t="s">
        <v>160</v>
      </c>
      <c r="DI83" s="157" t="s">
        <v>160</v>
      </c>
      <c r="DJ83" s="157" t="s">
        <v>160</v>
      </c>
      <c r="DK83" s="132">
        <v>432.56244218316402</v>
      </c>
      <c r="DL83" t="s">
        <v>165</v>
      </c>
      <c r="DM83" s="153">
        <v>37.1</v>
      </c>
      <c r="DN83" t="s">
        <v>166</v>
      </c>
      <c r="DO83" s="138">
        <v>39.199142000000002</v>
      </c>
      <c r="DP83" s="154" t="s">
        <v>163</v>
      </c>
      <c r="DQ83" s="146">
        <v>0.2</v>
      </c>
      <c r="DR83" t="s">
        <v>190</v>
      </c>
      <c r="DS83" t="s">
        <v>167</v>
      </c>
      <c r="DT83" t="s">
        <v>168</v>
      </c>
      <c r="DU83">
        <v>1.0271999999999999</v>
      </c>
      <c r="DV83" t="s">
        <v>191</v>
      </c>
      <c r="DW83">
        <v>5.9999999999999995E-4</v>
      </c>
      <c r="DX83" t="s">
        <v>198</v>
      </c>
      <c r="DY83" t="s">
        <v>160</v>
      </c>
      <c r="DZ83" t="s">
        <v>160</v>
      </c>
      <c r="EA83" t="s">
        <v>192</v>
      </c>
      <c r="EB83" t="s">
        <v>169</v>
      </c>
      <c r="EC83" t="s">
        <v>170</v>
      </c>
      <c r="ED83" t="s">
        <v>170</v>
      </c>
      <c r="EE83" s="157" t="s">
        <v>160</v>
      </c>
      <c r="EF83" t="s">
        <v>160</v>
      </c>
      <c r="EG83" t="s">
        <v>160</v>
      </c>
      <c r="EH83" t="s">
        <v>171</v>
      </c>
      <c r="EI83" t="s">
        <v>193</v>
      </c>
      <c r="EJ83" t="s">
        <v>194</v>
      </c>
      <c r="EK83" s="137">
        <v>2330</v>
      </c>
      <c r="EL83" t="s">
        <v>211</v>
      </c>
      <c r="EM83">
        <v>175</v>
      </c>
      <c r="EN83">
        <v>175</v>
      </c>
      <c r="EO83" t="s">
        <v>160</v>
      </c>
      <c r="EP83" t="s">
        <v>160</v>
      </c>
      <c r="EQ83" t="s">
        <v>160</v>
      </c>
      <c r="ER83" t="s">
        <v>160</v>
      </c>
      <c r="ES83" s="138">
        <v>8.0724874469436596</v>
      </c>
      <c r="ET83" s="133" t="s">
        <v>172</v>
      </c>
      <c r="EU83" s="155">
        <v>6.7701083959809338E-2</v>
      </c>
      <c r="EV83" s="155">
        <v>6.6024113452749944E-2</v>
      </c>
      <c r="EW83" s="156">
        <f t="shared" si="30"/>
        <v>381.052923691731</v>
      </c>
      <c r="EX83" s="157">
        <v>29</v>
      </c>
      <c r="EY83" s="154" t="s">
        <v>195</v>
      </c>
      <c r="EZ83" s="138">
        <v>352.052923691731</v>
      </c>
      <c r="FA83" s="158">
        <v>82.534938994390984</v>
      </c>
      <c r="FB83" s="158">
        <v>69.91786962763797</v>
      </c>
      <c r="FC83" s="156" t="s">
        <v>212</v>
      </c>
      <c r="FD83" s="156" t="s">
        <v>213</v>
      </c>
      <c r="FE83" t="s">
        <v>173</v>
      </c>
      <c r="FF83" t="s">
        <v>173</v>
      </c>
      <c r="FG83" t="s">
        <v>173</v>
      </c>
      <c r="FH83" t="s">
        <v>173</v>
      </c>
      <c r="FI83" t="s">
        <v>173</v>
      </c>
      <c r="FJ83" t="s">
        <v>173</v>
      </c>
      <c r="FK83" t="s">
        <v>173</v>
      </c>
      <c r="FL83" t="s">
        <v>173</v>
      </c>
      <c r="FM83" t="s">
        <v>173</v>
      </c>
      <c r="FN83" t="s">
        <v>173</v>
      </c>
      <c r="FO83" t="s">
        <v>173</v>
      </c>
      <c r="FP83" t="s">
        <v>173</v>
      </c>
    </row>
    <row r="84" spans="1:172" ht="18" x14ac:dyDescent="0.2">
      <c r="A84" s="126" t="s">
        <v>152</v>
      </c>
      <c r="B84" t="s">
        <v>174</v>
      </c>
      <c r="C84">
        <v>2015</v>
      </c>
      <c r="D84" t="s">
        <v>196</v>
      </c>
      <c r="E84" s="138">
        <v>3160.107422</v>
      </c>
      <c r="F84" s="135" t="s">
        <v>160</v>
      </c>
      <c r="G84" s="135" t="s">
        <v>160</v>
      </c>
      <c r="H84" s="138">
        <v>525.25733655511397</v>
      </c>
      <c r="I84" s="147">
        <v>126.968923173147</v>
      </c>
      <c r="J84" s="147">
        <v>106.60977183014296</v>
      </c>
      <c r="K84" t="s">
        <v>208</v>
      </c>
      <c r="L84" s="130" t="s">
        <v>209</v>
      </c>
      <c r="M84" s="136" t="s">
        <v>175</v>
      </c>
      <c r="N84" t="s">
        <v>196</v>
      </c>
      <c r="O84" t="s">
        <v>216</v>
      </c>
      <c r="P84" s="154" t="s">
        <v>160</v>
      </c>
      <c r="Q84" s="154" t="s">
        <v>160</v>
      </c>
      <c r="R84" s="154" t="s">
        <v>160</v>
      </c>
      <c r="S84" s="154" t="s">
        <v>160</v>
      </c>
      <c r="T84" s="154" t="s">
        <v>160</v>
      </c>
      <c r="U84" s="154" t="s">
        <v>160</v>
      </c>
      <c r="V84" s="157" t="s">
        <v>160</v>
      </c>
      <c r="W84" s="157" t="s">
        <v>160</v>
      </c>
      <c r="X84" t="s">
        <v>210</v>
      </c>
      <c r="Y84" s="131">
        <v>-1.394722</v>
      </c>
      <c r="Z84" s="131">
        <v>-11.74306</v>
      </c>
      <c r="AA84" s="131">
        <v>-1.394722</v>
      </c>
      <c r="AB84" s="131">
        <v>-11.74306</v>
      </c>
      <c r="AC84" s="131">
        <v>-3821</v>
      </c>
      <c r="AD84" s="131">
        <v>-3821</v>
      </c>
      <c r="AE84" s="153" t="s">
        <v>160</v>
      </c>
      <c r="AF84" s="153" t="s">
        <v>160</v>
      </c>
      <c r="AG84" s="138">
        <v>3160.107422</v>
      </c>
      <c r="AH84" s="2" t="s">
        <v>159</v>
      </c>
      <c r="AI84" s="153" t="s">
        <v>160</v>
      </c>
      <c r="AJ84" s="153" t="s">
        <v>160</v>
      </c>
      <c r="AK84" s="154" t="s">
        <v>160</v>
      </c>
      <c r="AL84" s="154" t="s">
        <v>177</v>
      </c>
      <c r="AM84" s="157" t="s">
        <v>160</v>
      </c>
      <c r="AN84" t="s">
        <v>160</v>
      </c>
      <c r="AO84" t="s">
        <v>160</v>
      </c>
      <c r="AP84" t="s">
        <v>160</v>
      </c>
      <c r="AQ84" t="s">
        <v>160</v>
      </c>
      <c r="AR84" t="s">
        <v>160</v>
      </c>
      <c r="AS84" t="s">
        <v>160</v>
      </c>
      <c r="AT84" t="s">
        <v>160</v>
      </c>
      <c r="AU84" s="145" t="s">
        <v>178</v>
      </c>
      <c r="AV84" t="s">
        <v>161</v>
      </c>
      <c r="AW84" s="141" t="s">
        <v>179</v>
      </c>
      <c r="AX84" s="139" t="s">
        <v>180</v>
      </c>
      <c r="AY84" s="139" t="s">
        <v>181</v>
      </c>
      <c r="AZ84" s="139" t="s">
        <v>182</v>
      </c>
      <c r="BA84" t="s">
        <v>162</v>
      </c>
      <c r="BB84" s="153" t="s">
        <v>217</v>
      </c>
      <c r="BC84" s="153" t="s">
        <v>217</v>
      </c>
      <c r="BD84" s="153" t="s">
        <v>217</v>
      </c>
      <c r="BE84" s="138">
        <v>18.992928110000001</v>
      </c>
      <c r="BF84" t="s">
        <v>183</v>
      </c>
      <c r="BG84" s="138">
        <v>0.131848045</v>
      </c>
      <c r="BH84">
        <v>0.6</v>
      </c>
      <c r="BI84" t="s">
        <v>184</v>
      </c>
      <c r="BJ84" s="2">
        <v>0.08</v>
      </c>
      <c r="BK84">
        <v>8.8699999999999992</v>
      </c>
      <c r="BL84" t="s">
        <v>163</v>
      </c>
      <c r="BM84">
        <v>1.52</v>
      </c>
      <c r="BN84" t="s">
        <v>185</v>
      </c>
      <c r="BO84" t="s">
        <v>186</v>
      </c>
      <c r="BP84" s="158">
        <f t="shared" si="23"/>
        <v>16.871546850000005</v>
      </c>
      <c r="BQ84" t="s">
        <v>184</v>
      </c>
      <c r="BR84" s="154" t="s">
        <v>160</v>
      </c>
      <c r="BS84" s="154" t="s">
        <v>160</v>
      </c>
      <c r="BT84" t="s">
        <v>214</v>
      </c>
      <c r="BU84" t="s">
        <v>218</v>
      </c>
      <c r="BV84" t="s">
        <v>164</v>
      </c>
      <c r="BW84" t="s">
        <v>164</v>
      </c>
      <c r="BX84" s="138">
        <v>27.01421667326732</v>
      </c>
      <c r="BY84" t="s">
        <v>184</v>
      </c>
      <c r="BZ84" s="159">
        <v>3</v>
      </c>
      <c r="CA84" s="159">
        <v>3</v>
      </c>
      <c r="CB84" s="157" t="s">
        <v>160</v>
      </c>
      <c r="CC84" s="157" t="s">
        <v>160</v>
      </c>
      <c r="CD84" s="157" t="s">
        <v>160</v>
      </c>
      <c r="CE84" s="157" t="s">
        <v>160</v>
      </c>
      <c r="CF84" s="157" t="s">
        <v>160</v>
      </c>
      <c r="CG84" s="157" t="s">
        <v>160</v>
      </c>
      <c r="CH84" s="160" t="s">
        <v>160</v>
      </c>
      <c r="CI84" s="161" t="s">
        <v>160</v>
      </c>
      <c r="CJ84" s="138" t="s">
        <v>160</v>
      </c>
      <c r="CK84" s="153" t="s">
        <v>160</v>
      </c>
      <c r="CL84" s="157" t="s">
        <v>160</v>
      </c>
      <c r="CM84" t="s">
        <v>160</v>
      </c>
      <c r="CN84" t="s">
        <v>160</v>
      </c>
      <c r="CO84" t="s">
        <v>160</v>
      </c>
      <c r="CP84" t="s">
        <v>160</v>
      </c>
      <c r="CQ84" t="s">
        <v>160</v>
      </c>
      <c r="CR84" t="s">
        <v>160</v>
      </c>
      <c r="CS84" s="162" t="s">
        <v>219</v>
      </c>
      <c r="CT84" t="s">
        <v>226</v>
      </c>
      <c r="CU84" s="134">
        <v>35</v>
      </c>
      <c r="CV84" t="s">
        <v>159</v>
      </c>
      <c r="CW84">
        <v>3</v>
      </c>
      <c r="CX84" s="149" t="s">
        <v>187</v>
      </c>
      <c r="CY84" s="157" t="s">
        <v>160</v>
      </c>
      <c r="CZ84" s="157" t="s">
        <v>160</v>
      </c>
      <c r="DA84" s="157" t="s">
        <v>160</v>
      </c>
      <c r="DB84" s="157" t="s">
        <v>160</v>
      </c>
      <c r="DC84" s="157" t="s">
        <v>160</v>
      </c>
      <c r="DD84" s="157" t="s">
        <v>160</v>
      </c>
      <c r="DE84" s="157" t="s">
        <v>160</v>
      </c>
      <c r="DF84" s="157" t="s">
        <v>160</v>
      </c>
      <c r="DG84" s="157" t="s">
        <v>160</v>
      </c>
      <c r="DH84" s="157" t="s">
        <v>160</v>
      </c>
      <c r="DI84" s="157" t="s">
        <v>160</v>
      </c>
      <c r="DJ84" s="157" t="s">
        <v>160</v>
      </c>
      <c r="DK84" s="132">
        <v>432.56244218316402</v>
      </c>
      <c r="DL84" t="s">
        <v>165</v>
      </c>
      <c r="DM84" s="153">
        <v>37.1</v>
      </c>
      <c r="DN84" t="s">
        <v>166</v>
      </c>
      <c r="DO84" s="138">
        <v>39.152110759999999</v>
      </c>
      <c r="DP84" s="154" t="s">
        <v>163</v>
      </c>
      <c r="DQ84" s="146">
        <v>0.2</v>
      </c>
      <c r="DR84" t="s">
        <v>190</v>
      </c>
      <c r="DS84" t="s">
        <v>167</v>
      </c>
      <c r="DT84" t="s">
        <v>168</v>
      </c>
      <c r="DU84">
        <v>1.0271999999999999</v>
      </c>
      <c r="DV84" t="s">
        <v>191</v>
      </c>
      <c r="DW84">
        <v>5.9999999999999995E-4</v>
      </c>
      <c r="DX84" t="s">
        <v>198</v>
      </c>
      <c r="DY84" t="s">
        <v>160</v>
      </c>
      <c r="DZ84" t="s">
        <v>160</v>
      </c>
      <c r="EA84" t="s">
        <v>192</v>
      </c>
      <c r="EB84" t="s">
        <v>169</v>
      </c>
      <c r="EC84" t="s">
        <v>170</v>
      </c>
      <c r="ED84" t="s">
        <v>170</v>
      </c>
      <c r="EE84" s="157" t="s">
        <v>160</v>
      </c>
      <c r="EF84" t="s">
        <v>160</v>
      </c>
      <c r="EG84" t="s">
        <v>160</v>
      </c>
      <c r="EH84" t="s">
        <v>171</v>
      </c>
      <c r="EI84" t="s">
        <v>193</v>
      </c>
      <c r="EJ84" t="s">
        <v>194</v>
      </c>
      <c r="EK84" s="137">
        <v>2330</v>
      </c>
      <c r="EL84" t="s">
        <v>211</v>
      </c>
      <c r="EM84">
        <v>175</v>
      </c>
      <c r="EN84">
        <v>175</v>
      </c>
      <c r="EO84" t="s">
        <v>160</v>
      </c>
      <c r="EP84" t="s">
        <v>160</v>
      </c>
      <c r="EQ84" t="s">
        <v>160</v>
      </c>
      <c r="ER84" t="s">
        <v>160</v>
      </c>
      <c r="ES84" s="138">
        <v>7.9359140448780403</v>
      </c>
      <c r="ET84" s="133" t="s">
        <v>172</v>
      </c>
      <c r="EU84" s="155">
        <v>7.5157681810370747E-2</v>
      </c>
      <c r="EV84" s="155">
        <v>7.2297747777779087E-2</v>
      </c>
      <c r="EW84" s="156">
        <f t="shared" si="30"/>
        <v>554.25733655511397</v>
      </c>
      <c r="EX84" s="157">
        <v>29</v>
      </c>
      <c r="EY84" s="154" t="s">
        <v>195</v>
      </c>
      <c r="EZ84" s="138">
        <v>525.25733655511397</v>
      </c>
      <c r="FA84" s="158">
        <v>126.968923173147</v>
      </c>
      <c r="FB84" s="158">
        <v>106.60977183014296</v>
      </c>
      <c r="FC84" s="156" t="s">
        <v>212</v>
      </c>
      <c r="FD84" s="156" t="s">
        <v>213</v>
      </c>
      <c r="FE84" t="s">
        <v>173</v>
      </c>
      <c r="FF84" t="s">
        <v>173</v>
      </c>
      <c r="FG84" t="s">
        <v>173</v>
      </c>
      <c r="FH84" t="s">
        <v>173</v>
      </c>
      <c r="FI84" t="s">
        <v>173</v>
      </c>
      <c r="FJ84" t="s">
        <v>173</v>
      </c>
      <c r="FK84" t="s">
        <v>173</v>
      </c>
      <c r="FL84" t="s">
        <v>173</v>
      </c>
      <c r="FM84" t="s">
        <v>173</v>
      </c>
      <c r="FN84" t="s">
        <v>173</v>
      </c>
      <c r="FO84" t="s">
        <v>173</v>
      </c>
      <c r="FP84" t="s">
        <v>173</v>
      </c>
    </row>
    <row r="85" spans="1:172" ht="18" x14ac:dyDescent="0.2">
      <c r="A85" s="126" t="s">
        <v>152</v>
      </c>
      <c r="B85" t="s">
        <v>174</v>
      </c>
      <c r="C85">
        <v>2015</v>
      </c>
      <c r="D85" t="s">
        <v>196</v>
      </c>
      <c r="E85" s="138">
        <v>3244.9020999999998</v>
      </c>
      <c r="F85" s="135" t="s">
        <v>160</v>
      </c>
      <c r="G85" s="135" t="s">
        <v>160</v>
      </c>
      <c r="H85" s="138">
        <v>441.18393483077</v>
      </c>
      <c r="I85" s="147">
        <v>112.41287725041502</v>
      </c>
      <c r="J85" s="147">
        <v>94.111464382077997</v>
      </c>
      <c r="K85" t="s">
        <v>208</v>
      </c>
      <c r="L85" s="130" t="s">
        <v>209</v>
      </c>
      <c r="M85" s="136" t="s">
        <v>175</v>
      </c>
      <c r="N85" t="s">
        <v>196</v>
      </c>
      <c r="O85" t="s">
        <v>216</v>
      </c>
      <c r="P85" s="154" t="s">
        <v>160</v>
      </c>
      <c r="Q85" s="154" t="s">
        <v>160</v>
      </c>
      <c r="R85" s="154" t="s">
        <v>160</v>
      </c>
      <c r="S85" s="154" t="s">
        <v>160</v>
      </c>
      <c r="T85" s="154" t="s">
        <v>160</v>
      </c>
      <c r="U85" s="154" t="s">
        <v>160</v>
      </c>
      <c r="V85" s="157" t="s">
        <v>160</v>
      </c>
      <c r="W85" s="157" t="s">
        <v>160</v>
      </c>
      <c r="X85" t="s">
        <v>210</v>
      </c>
      <c r="Y85" s="131">
        <v>-1.394722</v>
      </c>
      <c r="Z85" s="131">
        <v>-11.74306</v>
      </c>
      <c r="AA85" s="131">
        <v>-1.394722</v>
      </c>
      <c r="AB85" s="131">
        <v>-11.74306</v>
      </c>
      <c r="AC85" s="131">
        <v>-3821</v>
      </c>
      <c r="AD85" s="131">
        <v>-3821</v>
      </c>
      <c r="AE85" s="153" t="s">
        <v>160</v>
      </c>
      <c r="AF85" s="153" t="s">
        <v>160</v>
      </c>
      <c r="AG85" s="138">
        <v>3244.9020999999998</v>
      </c>
      <c r="AH85" s="2" t="s">
        <v>159</v>
      </c>
      <c r="AI85" s="153" t="s">
        <v>160</v>
      </c>
      <c r="AJ85" s="153" t="s">
        <v>160</v>
      </c>
      <c r="AK85" s="154" t="s">
        <v>160</v>
      </c>
      <c r="AL85" s="154" t="s">
        <v>177</v>
      </c>
      <c r="AM85" s="157" t="s">
        <v>160</v>
      </c>
      <c r="AN85" t="s">
        <v>160</v>
      </c>
      <c r="AO85" t="s">
        <v>160</v>
      </c>
      <c r="AP85" t="s">
        <v>160</v>
      </c>
      <c r="AQ85" t="s">
        <v>160</v>
      </c>
      <c r="AR85" t="s">
        <v>160</v>
      </c>
      <c r="AS85" t="s">
        <v>160</v>
      </c>
      <c r="AT85" t="s">
        <v>160</v>
      </c>
      <c r="AU85" s="145" t="s">
        <v>178</v>
      </c>
      <c r="AV85" t="s">
        <v>161</v>
      </c>
      <c r="AW85" s="141" t="s">
        <v>179</v>
      </c>
      <c r="AX85" s="141" t="s">
        <v>180</v>
      </c>
      <c r="AY85" s="139" t="s">
        <v>181</v>
      </c>
      <c r="AZ85" s="139" t="s">
        <v>182</v>
      </c>
      <c r="BA85" t="s">
        <v>162</v>
      </c>
      <c r="BB85" s="153" t="s">
        <v>217</v>
      </c>
      <c r="BC85" s="153" t="s">
        <v>217</v>
      </c>
      <c r="BD85" s="153" t="s">
        <v>217</v>
      </c>
      <c r="BE85" s="138">
        <v>19.294907739999999</v>
      </c>
      <c r="BF85" t="s">
        <v>183</v>
      </c>
      <c r="BG85" s="138">
        <v>0.19767660400000001</v>
      </c>
      <c r="BH85">
        <v>0.6</v>
      </c>
      <c r="BI85" t="s">
        <v>184</v>
      </c>
      <c r="BJ85" s="2">
        <v>0.08</v>
      </c>
      <c r="BK85">
        <v>8.8699999999999992</v>
      </c>
      <c r="BL85" t="s">
        <v>163</v>
      </c>
      <c r="BM85">
        <v>1.52</v>
      </c>
      <c r="BN85" t="s">
        <v>185</v>
      </c>
      <c r="BO85" t="s">
        <v>186</v>
      </c>
      <c r="BP85" s="158">
        <f>(BE85-8.87)/0.6</f>
        <v>17.374846233333333</v>
      </c>
      <c r="BQ85" t="s">
        <v>184</v>
      </c>
      <c r="BR85" s="154" t="s">
        <v>160</v>
      </c>
      <c r="BS85" s="154" t="s">
        <v>160</v>
      </c>
      <c r="BT85" t="s">
        <v>214</v>
      </c>
      <c r="BU85" t="s">
        <v>218</v>
      </c>
      <c r="BV85" t="s">
        <v>164</v>
      </c>
      <c r="BW85" t="s">
        <v>164</v>
      </c>
      <c r="BX85" s="138">
        <v>26.397646710526327</v>
      </c>
      <c r="BY85" t="s">
        <v>184</v>
      </c>
      <c r="BZ85" s="159">
        <v>3</v>
      </c>
      <c r="CA85" s="159">
        <v>3</v>
      </c>
      <c r="CB85" s="157" t="s">
        <v>160</v>
      </c>
      <c r="CC85" s="157" t="s">
        <v>160</v>
      </c>
      <c r="CD85" s="157" t="s">
        <v>160</v>
      </c>
      <c r="CE85" s="157" t="s">
        <v>160</v>
      </c>
      <c r="CF85" s="157" t="s">
        <v>160</v>
      </c>
      <c r="CG85" s="157" t="s">
        <v>160</v>
      </c>
      <c r="CH85" s="160" t="s">
        <v>160</v>
      </c>
      <c r="CI85" s="161" t="s">
        <v>160</v>
      </c>
      <c r="CJ85" s="138" t="s">
        <v>160</v>
      </c>
      <c r="CK85" s="153" t="s">
        <v>160</v>
      </c>
      <c r="CL85" s="157" t="s">
        <v>160</v>
      </c>
      <c r="CM85" t="s">
        <v>160</v>
      </c>
      <c r="CN85" t="s">
        <v>160</v>
      </c>
      <c r="CO85" t="s">
        <v>160</v>
      </c>
      <c r="CP85" t="s">
        <v>160</v>
      </c>
      <c r="CQ85" t="s">
        <v>160</v>
      </c>
      <c r="CR85" t="s">
        <v>160</v>
      </c>
      <c r="CS85" s="162" t="s">
        <v>219</v>
      </c>
      <c r="CT85" t="s">
        <v>227</v>
      </c>
      <c r="CU85" s="134">
        <v>35</v>
      </c>
      <c r="CV85" t="s">
        <v>159</v>
      </c>
      <c r="CW85">
        <v>3</v>
      </c>
      <c r="CX85" s="149" t="s">
        <v>187</v>
      </c>
      <c r="CY85" s="157" t="s">
        <v>160</v>
      </c>
      <c r="CZ85" s="157" t="s">
        <v>160</v>
      </c>
      <c r="DA85" s="157" t="s">
        <v>160</v>
      </c>
      <c r="DB85" s="157" t="s">
        <v>160</v>
      </c>
      <c r="DC85" s="157" t="s">
        <v>160</v>
      </c>
      <c r="DD85" s="157" t="s">
        <v>160</v>
      </c>
      <c r="DE85" s="157" t="s">
        <v>160</v>
      </c>
      <c r="DF85" s="157" t="s">
        <v>160</v>
      </c>
      <c r="DG85" s="157" t="s">
        <v>160</v>
      </c>
      <c r="DH85" s="157" t="s">
        <v>160</v>
      </c>
      <c r="DI85" s="157" t="s">
        <v>160</v>
      </c>
      <c r="DJ85" s="157" t="s">
        <v>160</v>
      </c>
      <c r="DK85" s="132">
        <v>432.56244218316402</v>
      </c>
      <c r="DL85" t="s">
        <v>165</v>
      </c>
      <c r="DM85" s="153">
        <v>37.1</v>
      </c>
      <c r="DN85" t="s">
        <v>166</v>
      </c>
      <c r="DO85" s="138">
        <v>39.140092619999997</v>
      </c>
      <c r="DP85" s="154" t="s">
        <v>163</v>
      </c>
      <c r="DQ85" s="146">
        <v>0.2</v>
      </c>
      <c r="DR85" t="s">
        <v>190</v>
      </c>
      <c r="DS85" t="s">
        <v>167</v>
      </c>
      <c r="DT85" t="s">
        <v>168</v>
      </c>
      <c r="DU85">
        <v>1.0271999999999999</v>
      </c>
      <c r="DV85" t="s">
        <v>191</v>
      </c>
      <c r="DW85">
        <v>5.9999999999999995E-4</v>
      </c>
      <c r="DX85" t="s">
        <v>198</v>
      </c>
      <c r="DY85" t="s">
        <v>160</v>
      </c>
      <c r="DZ85" t="s">
        <v>160</v>
      </c>
      <c r="EA85" t="s">
        <v>192</v>
      </c>
      <c r="EB85" t="s">
        <v>169</v>
      </c>
      <c r="EC85" t="s">
        <v>170</v>
      </c>
      <c r="ED85" t="s">
        <v>170</v>
      </c>
      <c r="EE85" s="157" t="s">
        <v>160</v>
      </c>
      <c r="EF85" t="s">
        <v>160</v>
      </c>
      <c r="EG85" t="s">
        <v>160</v>
      </c>
      <c r="EH85" t="s">
        <v>171</v>
      </c>
      <c r="EI85" t="s">
        <v>193</v>
      </c>
      <c r="EJ85" t="s">
        <v>194</v>
      </c>
      <c r="EK85" s="137">
        <v>2330</v>
      </c>
      <c r="EL85" t="s">
        <v>211</v>
      </c>
      <c r="EM85">
        <v>175</v>
      </c>
      <c r="EN85">
        <v>175</v>
      </c>
      <c r="EO85" t="s">
        <v>160</v>
      </c>
      <c r="EP85" t="s">
        <v>160</v>
      </c>
      <c r="EQ85" t="s">
        <v>160</v>
      </c>
      <c r="ER85" t="s">
        <v>160</v>
      </c>
      <c r="ES85" s="138">
        <v>7.9967067666861498</v>
      </c>
      <c r="ET85" s="133" t="s">
        <v>172</v>
      </c>
      <c r="EU85" s="155">
        <v>7.7391297287920047E-2</v>
      </c>
      <c r="EV85" s="155">
        <v>7.4741426647050524E-2</v>
      </c>
      <c r="EW85" s="156">
        <f t="shared" si="30"/>
        <v>470.18393483077</v>
      </c>
      <c r="EX85" s="157">
        <v>29</v>
      </c>
      <c r="EY85" s="154" t="s">
        <v>195</v>
      </c>
      <c r="EZ85" s="138">
        <v>441.18393483077</v>
      </c>
      <c r="FA85" s="158">
        <v>112.41287725041502</v>
      </c>
      <c r="FB85" s="158">
        <v>94.111464382077997</v>
      </c>
      <c r="FC85" s="156" t="s">
        <v>212</v>
      </c>
      <c r="FD85" s="156" t="s">
        <v>213</v>
      </c>
      <c r="FE85" t="s">
        <v>173</v>
      </c>
      <c r="FF85" t="s">
        <v>173</v>
      </c>
      <c r="FG85" t="s">
        <v>173</v>
      </c>
      <c r="FH85" t="s">
        <v>173</v>
      </c>
      <c r="FI85" t="s">
        <v>173</v>
      </c>
      <c r="FJ85" t="s">
        <v>173</v>
      </c>
      <c r="FK85" t="s">
        <v>173</v>
      </c>
      <c r="FL85" t="s">
        <v>173</v>
      </c>
      <c r="FM85" t="s">
        <v>173</v>
      </c>
      <c r="FN85" t="s">
        <v>173</v>
      </c>
      <c r="FO85" t="s">
        <v>173</v>
      </c>
      <c r="FP85" t="s">
        <v>173</v>
      </c>
    </row>
    <row r="86" spans="1:172" x14ac:dyDescent="0.2">
      <c r="Y86" s="131"/>
      <c r="Z86" s="131"/>
      <c r="AA86" s="131"/>
      <c r="AB86" s="131"/>
      <c r="AC86" s="131"/>
      <c r="AD86" s="131"/>
      <c r="AE86" s="153"/>
      <c r="AF86" s="153"/>
    </row>
    <row r="92" spans="1:172" x14ac:dyDescent="0.2">
      <c r="DN92" s="132"/>
    </row>
  </sheetData>
  <phoneticPr fontId="39" type="noConversion"/>
  <hyperlinks>
    <hyperlink ref="L7:L77" r:id="rId1" display="hoenisch@ldeo.columbia.edu" xr:uid="{F2A403C7-3056-CE4C-AAFB-98A4CCC14F0F}"/>
    <hyperlink ref="L78" r:id="rId2" xr:uid="{24FFEED6-C60D-594A-B069-0BDECB738F7A}"/>
    <hyperlink ref="L79:L85" r:id="rId3" display="elwyn.de-la-vega@soton.ac.uk" xr:uid="{4EB916B2-DEA4-DC4A-9F9D-7782AD1B92FF}"/>
    <hyperlink ref="L4" r:id="rId4" display="hoenisch@ldeo.columbia.edu" xr:uid="{8811E9BF-F89A-F847-B074-A2CF44CDD662}"/>
    <hyperlink ref="L5" r:id="rId5" display="hoenisch@ldeo.columbia.edu" xr:uid="{0721AC38-CEEA-4E4C-95DA-69FB76DB550B}"/>
    <hyperlink ref="L6" r:id="rId6" display="hoenisch@ldeo.columbia.edu" xr:uid="{C6324072-2541-0C46-884D-90F70D5739CC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A373-2010-384E-8527-CB40ABD5EF78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245</v>
      </c>
    </row>
    <row r="3" spans="1:1" x14ac:dyDescent="0.2">
      <c r="A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2022-01-13T21:45:21Z</dcterms:modified>
</cp:coreProperties>
</file>