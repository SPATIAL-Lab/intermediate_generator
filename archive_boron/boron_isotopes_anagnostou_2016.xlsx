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Daphnia/Desktop/paleo-CO2 data base/archive/archive data files September 2020/"/>
    </mc:Choice>
  </mc:AlternateContent>
  <xr:revisionPtr revIDLastSave="0" documentId="13_ncr:1_{D1682C8C-54A1-B642-9601-8A3883111812}" xr6:coauthVersionLast="46" xr6:coauthVersionMax="46" xr10:uidLastSave="{00000000-0000-0000-0000-000000000000}"/>
  <bookViews>
    <workbookView xWindow="660" yWindow="500" windowWidth="24040" windowHeight="15540" tabRatio="500" xr2:uid="{00000000-000D-0000-FFFF-FFFF00000000}"/>
  </bookViews>
  <sheets>
    <sheet name="boron isotopes" sheetId="2" r:id="rId1"/>
    <sheet name="Column specifications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O13" i="2" l="1"/>
  <c r="DO12" i="2"/>
  <c r="DO11" i="2"/>
  <c r="DO10" i="2"/>
  <c r="DO9" i="2"/>
  <c r="BP13" i="2" l="1"/>
  <c r="BP12" i="2"/>
  <c r="BP11" i="2"/>
  <c r="BP10" i="2"/>
  <c r="BP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Eleni</author>
  </authors>
  <commentList>
    <comment ref="S4" authorId="0" shapeId="0" xr:uid="{C33F5599-A5D4-4B48-82BC-0D2F8FFE01F7}">
      <text>
        <r>
          <rPr>
            <b/>
            <sz val="10"/>
            <color rgb="FF000000"/>
            <rFont val="Tahoma"/>
            <family val="2"/>
          </rPr>
          <t>Eleni: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also here there were two samples, but depth separation was closer than Kirsty's: 012, 14-24. I just combined here</t>
        </r>
      </text>
    </comment>
  </commentList>
</comments>
</file>

<file path=xl/sharedStrings.xml><?xml version="1.0" encoding="utf-8"?>
<sst xmlns="http://schemas.openxmlformats.org/spreadsheetml/2006/main" count="2472" uniqueCount="293">
  <si>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</si>
  <si>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</si>
  <si>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</si>
  <si>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</si>
  <si>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</si>
  <si>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</si>
  <si>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</si>
  <si>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</si>
  <si>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</si>
  <si>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</si>
  <si>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</si>
  <si>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</si>
  <si>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</si>
  <si>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</si>
  <si>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</si>
  <si>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</si>
  <si>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</si>
  <si>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</si>
  <si>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</si>
  <si>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</si>
  <si>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</si>
  <si>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</si>
  <si>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</si>
  <si>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</si>
  <si>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</si>
  <si>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</si>
  <si>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</si>
  <si>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</si>
  <si>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</si>
  <si>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</si>
  <si>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</si>
  <si>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</si>
  <si>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</si>
  <si>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</si>
  <si>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</si>
  <si>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</si>
  <si>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</si>
  <si>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</si>
  <si>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</si>
  <si>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</si>
  <si>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</si>
  <si>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</si>
  <si>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</si>
  <si>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</si>
  <si>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</si>
  <si>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</si>
  <si>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</si>
  <si>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</si>
  <si>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</si>
  <si>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</si>
  <si>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</si>
  <si>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</si>
  <si>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</si>
  <si>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</si>
  <si>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</si>
  <si>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</si>
  <si>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</si>
  <si>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</si>
  <si>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</si>
  <si>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</si>
  <si>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</si>
  <si>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</si>
  <si>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</si>
  <si>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</si>
  <si>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</si>
  <si>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</si>
  <si>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</si>
  <si>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</si>
  <si>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</si>
  <si>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</si>
  <si>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</si>
  <si>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</si>
  <si>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</si>
  <si>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</si>
  <si>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</si>
  <si>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</si>
  <si>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</si>
  <si>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</si>
  <si>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</si>
  <si>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</si>
  <si>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</si>
  <si>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</si>
  <si>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</si>
  <si>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</si>
  <si>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</si>
  <si>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</si>
  <si>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</si>
  <si>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</si>
  <si>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</si>
  <si>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>[Ca] (mol/kg)</t>
  </si>
  <si>
    <t xml:space="preserve">reference for [Ca] of seawater value </t>
  </si>
  <si>
    <t>[Mg] (mol/kg)</t>
  </si>
  <si>
    <t>reference for [Mg] of seawater value</t>
  </si>
  <si>
    <t>[SO4] (mol/kg)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</si>
  <si>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</si>
  <si>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</si>
  <si>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</si>
  <si>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</si>
  <si>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</si>
  <si>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</si>
  <si>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</si>
  <si>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</si>
  <si>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</si>
  <si>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</si>
  <si>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</si>
  <si>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</si>
  <si>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</si>
  <si>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</si>
  <si>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</si>
  <si>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</si>
  <si>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</si>
  <si>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</si>
  <si>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</si>
  <si>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</si>
  <si>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</si>
  <si>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t>pH scale reported (e.g., total scale, seawater scale)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</si>
  <si>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</si>
  <si>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</si>
  <si>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</si>
  <si>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</si>
  <si>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</si>
  <si>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</si>
  <si>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</si>
  <si>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</si>
  <si>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</si>
  <si>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</si>
  <si>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</si>
  <si>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</si>
  <si>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</si>
  <si>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</si>
  <si>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</si>
  <si>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</si>
  <si>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</si>
  <si>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</si>
  <si>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</si>
  <si>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</si>
  <si>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</si>
  <si>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</si>
  <si>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</si>
  <si>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</si>
  <si>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</si>
  <si>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</si>
  <si>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t>boron isotopes</t>
  </si>
  <si>
    <t>Anagnostou</t>
  </si>
  <si>
    <t>10.1038/nature17423</t>
  </si>
  <si>
    <t>NA</t>
  </si>
  <si>
    <t>Eleni Anagnostou</t>
  </si>
  <si>
    <t>eanagnostou@geomar.de</t>
  </si>
  <si>
    <t>TDP3</t>
  </si>
  <si>
    <t>Tanzania</t>
  </si>
  <si>
    <t>TDP2</t>
  </si>
  <si>
    <t xml:space="preserve">PP98L-2 </t>
  </si>
  <si>
    <t>TDP18</t>
  </si>
  <si>
    <t>TDP17</t>
  </si>
  <si>
    <t>TDP12</t>
  </si>
  <si>
    <t>&gt;-300</t>
  </si>
  <si>
    <t>Nicholas et al. 2006</t>
  </si>
  <si>
    <t>biostrat</t>
  </si>
  <si>
    <t>Cande &amp; Kent 1995</t>
  </si>
  <si>
    <t xml:space="preserve">Pearson, P. N. et al. Extinction and environmental change across the Eocene–Oligocene boundary in Tanzania. Geology 36, 179–182 (2008). </t>
  </si>
  <si>
    <t>range ±</t>
  </si>
  <si>
    <t>Acarinina wilcoxensis</t>
  </si>
  <si>
    <t>212-250</t>
  </si>
  <si>
    <t>~300</t>
  </si>
  <si>
    <t>3-4</t>
  </si>
  <si>
    <t>Barker et al. 2003, Rae et al. 2011</t>
  </si>
  <si>
    <t>column</t>
  </si>
  <si>
    <t>MC-ICP-MS (Neptune)</t>
  </si>
  <si>
    <t>2sd</t>
  </si>
  <si>
    <r>
      <t xml:space="preserve">Pearsonites </t>
    </r>
    <r>
      <rPr>
        <sz val="10"/>
        <color theme="1"/>
        <rFont val="Helvetica"/>
        <family val="2"/>
      </rPr>
      <t>sp.</t>
    </r>
  </si>
  <si>
    <t>Guembelitrioides nuttalli/ Globigerinatheka transition</t>
  </si>
  <si>
    <t>250-300</t>
  </si>
  <si>
    <r>
      <t xml:space="preserve">Turborotalia cerroazulensis-offset (-1.79 ± 0.26 ‰ and -2.89 </t>
    </r>
    <r>
      <rPr>
        <i/>
        <vertAlign val="superscript"/>
        <sz val="10"/>
        <color theme="1"/>
        <rFont val="Helvetica"/>
        <family val="2"/>
      </rPr>
      <t>o</t>
    </r>
    <r>
      <rPr>
        <i/>
        <sz val="10"/>
        <color theme="1"/>
        <rFont val="Helvetica"/>
        <family val="2"/>
      </rPr>
      <t>C)</t>
    </r>
  </si>
  <si>
    <t>&gt;355</t>
  </si>
  <si>
    <t>Morozovelloides lehneri</t>
  </si>
  <si>
    <t>Barker et al. 2003, Rae et al. 2012</t>
  </si>
  <si>
    <t>Turborotalia ampliapertura offseted to mixed layer</t>
  </si>
  <si>
    <t xml:space="preserve">300-1000 </t>
  </si>
  <si>
    <t>14.7,14.73</t>
  </si>
  <si>
    <t>14.47,14.09</t>
  </si>
  <si>
    <t>13.94,13.86</t>
  </si>
  <si>
    <t>13.78,13.78</t>
  </si>
  <si>
    <t>300-1000</t>
  </si>
  <si>
    <t>14.33,14.31</t>
  </si>
  <si>
    <t>13.73,14.03</t>
  </si>
  <si>
    <t>13.83,13.69</t>
  </si>
  <si>
    <t>13.95,13.59</t>
  </si>
  <si>
    <t>14.14,13.92</t>
  </si>
  <si>
    <t>Slope uncertainty not applied</t>
  </si>
  <si>
    <t>Intercept uncertainty was not applied</t>
  </si>
  <si>
    <t>Calibration was not applied</t>
  </si>
  <si>
    <t>No calibration uncertainty introduced, so only analytical</t>
  </si>
  <si>
    <t>Foster et al. 2012</t>
  </si>
  <si>
    <t>Foster calibration chosen as the size fraction was closer to our samples</t>
  </si>
  <si>
    <t>None applied</t>
  </si>
  <si>
    <t>set value</t>
  </si>
  <si>
    <t>NA- d18O used</t>
  </si>
  <si>
    <t>not applied</t>
  </si>
  <si>
    <t>long term % reproducibility</t>
  </si>
  <si>
    <t xml:space="preserve">Mg/Ca = 0.38 (±0.02) exp 0.090 (±0.003)T </t>
  </si>
  <si>
    <t xml:space="preserve">-3.598 ‰ </t>
  </si>
  <si>
    <t>set value, long term standard reproducibility</t>
  </si>
  <si>
    <t>Kim &amp; O'Neil 1997, Pearson 2012</t>
  </si>
  <si>
    <t>Kim &amp; O'Neil 1997, Cramer et al. 2011, Zachos et al. 1994</t>
  </si>
  <si>
    <t>yes</t>
  </si>
  <si>
    <t>arbitrary</t>
  </si>
  <si>
    <t>set range</t>
  </si>
  <si>
    <t>Average: Coggon2010, Horita2002, Dickson2002, Lowenstein2001, Lear2000</t>
  </si>
  <si>
    <t>not specified; assume modern</t>
  </si>
  <si>
    <t xml:space="preserve">-3.46 ‰ </t>
  </si>
  <si>
    <t>Kim &amp; O'Neil 1997, Pearson 2013</t>
  </si>
  <si>
    <t>Kim &amp; O'Neil 1997, Cramer et al. 2011, Zachos et al. 1995</t>
  </si>
  <si>
    <t>Average: Coggon2010, Horita2002, Dickson2002, Lowenstein2001, Lear2001</t>
  </si>
  <si>
    <t xml:space="preserve">-3.03 ‰ </t>
  </si>
  <si>
    <t>Kim &amp; O'Neil 1997, Pearson 2014</t>
  </si>
  <si>
    <t>Kim &amp; O'Neil 1997, Cramer et al. 2011, Zachos et al. 1996</t>
  </si>
  <si>
    <t>Average: Coggon2010, Horita2002, Dickson2002, Lowenstein2001, Lear2002</t>
  </si>
  <si>
    <t>-2.79 ‰  corrected to mixed layer</t>
  </si>
  <si>
    <t>Kim &amp; O'Neil 1997, Pearson 2015</t>
  </si>
  <si>
    <t>Kim &amp; O'Neil 1997, Cramer et al. 2011, Zachos et al. 1997</t>
  </si>
  <si>
    <t>Average: Coggon2010, Horita2002, Dickson2002, Lowenstein2001, Lear2003</t>
  </si>
  <si>
    <t xml:space="preserve">-3.429 ‰ </t>
  </si>
  <si>
    <t>Kim &amp; O'Neil 1997, Pearson 2016</t>
  </si>
  <si>
    <t>Kim &amp; O'Neil 1997, Cramer et al. 2011, Zachos et al. 1998</t>
  </si>
  <si>
    <t>Average: Coggon2010, Horita2002, Dickson2002, Lowenstein2001, Lear2004</t>
  </si>
  <si>
    <t>according to salinity</t>
  </si>
  <si>
    <t>flat probability</t>
  </si>
  <si>
    <t>Anagnostou et al 2016</t>
  </si>
  <si>
    <t>Dickson 1990</t>
  </si>
  <si>
    <t>Millero 1979</t>
  </si>
  <si>
    <t>Not applied</t>
  </si>
  <si>
    <t>offline</t>
  </si>
  <si>
    <t>Millero &amp; Pierrot 1998</t>
  </si>
  <si>
    <t>Ben-Yaakov &amp; Goldhaber 1973, Millero &amp; Pierrot 1998, Millero 1979</t>
  </si>
  <si>
    <t>Ben-Yaakov &amp; Goldhaber 1973, Millero &amp; Pierrot 1998</t>
  </si>
  <si>
    <t>Omega_calcite (essentially [CO32-])</t>
  </si>
  <si>
    <t>GENIE</t>
  </si>
  <si>
    <t>flat distribution</t>
  </si>
  <si>
    <t>total</t>
  </si>
  <si>
    <t>±40 ppm added to uncertainty</t>
  </si>
  <si>
    <t>maximum potential disequilibrium added to uncertainty</t>
  </si>
  <si>
    <t>monte carlo</t>
  </si>
  <si>
    <t>d11Bsw, T, S, Omega, Mg/Ca, d11B</t>
  </si>
  <si>
    <t>No calibration applied</t>
  </si>
  <si>
    <t>T. sac. Calibration applied</t>
  </si>
  <si>
    <t>Corrected to mixed layer by Anagnostou et al</t>
  </si>
  <si>
    <t>n of replicate measurements</t>
  </si>
  <si>
    <t>2se of replicates ( [ 2* (sd/sqrt(n))] )</t>
  </si>
  <si>
    <t>Calibration used was a correction for thermocline habitat based on the offset between cohabiting lehneri and cerroazulensis</t>
  </si>
  <si>
    <t>corrected to mixed layer, for both Temp and d11B</t>
  </si>
  <si>
    <t>Kitunda Shore sample</t>
  </si>
  <si>
    <t>44, 62, 78</t>
  </si>
  <si>
    <t>54, 70, 81</t>
  </si>
  <si>
    <t>Wade et al. 2011, Pearson et al. 2004</t>
  </si>
  <si>
    <t>not reported</t>
  </si>
  <si>
    <t>primary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</si>
  <si>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</si>
  <si>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</si>
  <si>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</si>
  <si>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</si>
  <si>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</si>
  <si>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</si>
  <si>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</si>
  <si>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</si>
  <si>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</si>
  <si>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</si>
  <si>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</si>
  <si>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</si>
  <si>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</si>
  <si>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</si>
  <si>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</si>
  <si>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</si>
  <si>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</si>
  <si>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</si>
  <si>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</si>
  <si>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</si>
  <si>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</si>
  <si>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</si>
  <si>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</si>
  <si>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</si>
  <si>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</si>
  <si>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</si>
  <si>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t>exact correction method not given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</si>
  <si>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 neg</t>
    </r>
  </si>
  <si>
    <t>notes about uncertainty estimate: e.g., included calibration slope and intercept</t>
  </si>
  <si>
    <t>-300 to -500</t>
  </si>
  <si>
    <t>Lee et al. (2010)</t>
  </si>
  <si>
    <t>Horita et al. (2002)</t>
  </si>
  <si>
    <t>Anand et al. (2003)</t>
  </si>
  <si>
    <t>CO2_ppm</t>
  </si>
  <si>
    <t>CO2_uncertainty_pos_ppm</t>
  </si>
  <si>
    <t>CO2_uncertainty_neg_ppm</t>
  </si>
  <si>
    <t>Anagnostou, E., E.H. John, K.M. Edgar, G.L. Foster, A. Ridgwell, G.N. Inglis, R.D. Pancost, D.J. Lunt, and P.N. Pearson (2016), Changing atmospheric CO2 concentration was the primary driver of early Cenozoic climate, Nature, 533 (7603), 380-384.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</si>
</sst>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rgb="FFFF0000"/>
      <name val="Calibri"/>
      <family val="2"/>
      <scheme val="minor"/>
    </font>
    <font>
      <sz val="10"/>
      <color theme="1"/>
      <name val="Helvetica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10"/>
      <color rgb="FF000000"/>
      <name val="Helvetica"/>
      <family val="2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color theme="1"/>
      <name val="AdvTT5843c571"/>
    </font>
    <font>
      <i/>
      <sz val="10"/>
      <color theme="1"/>
      <name val="Helvetica"/>
      <family val="2"/>
    </font>
    <font>
      <i/>
      <vertAlign val="superscript"/>
      <sz val="10"/>
      <color theme="1"/>
      <name val="Helvetica"/>
      <family val="2"/>
    </font>
    <font>
      <i/>
      <sz val="10"/>
      <color rgb="FF000000"/>
      <name val="Helvetica"/>
      <family val="2"/>
    </font>
    <font>
      <sz val="10"/>
      <color theme="1"/>
      <name val="MS Sans Serif"/>
    </font>
    <font>
      <sz val="11"/>
      <color theme="1"/>
      <name val="AdvTT5843c571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vertAlign val="subscript"/>
      <sz val="12"/>
      <color rgb="FF000000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98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5" fillId="0" borderId="0" applyNumberFormat="0" applyFill="0" applyBorder="0" applyAlignment="0" applyProtection="0"/>
  </cellStyleXfs>
  <cellXfs count="176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7" borderId="10" xfId="0" applyFont="1" applyFill="1" applyBorder="1"/>
    <xf numFmtId="0" fontId="5" fillId="6" borderId="11" xfId="0" applyFont="1" applyFill="1" applyBorder="1"/>
    <xf numFmtId="0" fontId="5" fillId="6" borderId="0" xfId="0" applyFont="1" applyFill="1" applyBorder="1"/>
    <xf numFmtId="0" fontId="7" fillId="6" borderId="11" xfId="0" applyFont="1" applyFill="1" applyBorder="1" applyAlignment="1">
      <alignment horizontal="left" vertical="center"/>
    </xf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5" fillId="8" borderId="4" xfId="0" applyFont="1" applyFill="1" applyBorder="1"/>
    <xf numFmtId="0" fontId="5" fillId="8" borderId="5" xfId="0" applyFont="1" applyFill="1" applyBorder="1"/>
    <xf numFmtId="0" fontId="0" fillId="12" borderId="2" xfId="0" quotePrefix="1" applyFill="1" applyBorder="1" applyAlignment="1">
      <alignment horizontal="center" vertical="center" wrapText="1"/>
    </xf>
    <xf numFmtId="164" fontId="30" fillId="0" borderId="0" xfId="0" applyNumberFormat="1" applyFont="1" applyAlignment="1">
      <alignment horizontal="center"/>
    </xf>
    <xf numFmtId="1" fontId="30" fillId="0" borderId="0" xfId="0" applyNumberFormat="1" applyFont="1" applyAlignment="1">
      <alignment horizontal="center"/>
    </xf>
    <xf numFmtId="164" fontId="31" fillId="0" borderId="0" xfId="0" applyNumberFormat="1" applyFont="1" applyAlignment="1">
      <alignment horizontal="center"/>
    </xf>
    <xf numFmtId="164" fontId="32" fillId="0" borderId="0" xfId="0" applyNumberFormat="1" applyFont="1" applyAlignment="1">
      <alignment horizontal="center"/>
    </xf>
    <xf numFmtId="0" fontId="33" fillId="0" borderId="0" xfId="0" applyFont="1"/>
    <xf numFmtId="164" fontId="34" fillId="0" borderId="0" xfId="0" applyNumberFormat="1" applyFont="1" applyAlignment="1">
      <alignment horizontal="center"/>
    </xf>
    <xf numFmtId="0" fontId="36" fillId="0" borderId="0" xfId="3" applyFont="1"/>
    <xf numFmtId="0" fontId="35" fillId="0" borderId="0" xfId="3"/>
    <xf numFmtId="0" fontId="32" fillId="0" borderId="0" xfId="0" applyFont="1"/>
    <xf numFmtId="2" fontId="0" fillId="0" borderId="0" xfId="0" applyNumberForma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0" fillId="0" borderId="0" xfId="0" quotePrefix="1"/>
    <xf numFmtId="2" fontId="30" fillId="0" borderId="0" xfId="0" applyNumberFormat="1" applyFont="1" applyAlignment="1">
      <alignment horizontal="center"/>
    </xf>
    <xf numFmtId="0" fontId="30" fillId="13" borderId="0" xfId="0" applyFont="1" applyFill="1" applyAlignment="1">
      <alignment horizontal="center"/>
    </xf>
    <xf numFmtId="2" fontId="40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horizontal="center"/>
    </xf>
    <xf numFmtId="2" fontId="0" fillId="0" borderId="0" xfId="0" applyNumberFormat="1"/>
    <xf numFmtId="2" fontId="41" fillId="0" borderId="0" xfId="0" applyNumberFormat="1" applyFont="1"/>
    <xf numFmtId="0" fontId="42" fillId="0" borderId="0" xfId="0" applyFont="1"/>
    <xf numFmtId="2" fontId="30" fillId="0" borderId="0" xfId="0" quotePrefix="1" applyNumberFormat="1" applyFont="1" applyAlignment="1">
      <alignment horizontal="center"/>
    </xf>
    <xf numFmtId="1" fontId="30" fillId="0" borderId="0" xfId="0" applyNumberFormat="1" applyFont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2" fontId="30" fillId="0" borderId="0" xfId="0" applyNumberFormat="1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ont="1"/>
    <xf numFmtId="0" fontId="5" fillId="8" borderId="1" xfId="0" applyFont="1" applyFill="1" applyBorder="1"/>
    <xf numFmtId="1" fontId="30" fillId="0" borderId="0" xfId="0" applyNumberFormat="1" applyFont="1" applyFill="1" applyAlignment="1">
      <alignment horizontal="center"/>
    </xf>
    <xf numFmtId="2" fontId="30" fillId="0" borderId="0" xfId="0" applyNumberFormat="1" applyFont="1" applyFill="1" applyBorder="1" applyAlignment="1">
      <alignment horizontal="center"/>
    </xf>
    <xf numFmtId="1" fontId="30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1" fontId="30" fillId="0" borderId="0" xfId="0" applyNumberFormat="1" applyFont="1" applyFill="1"/>
    <xf numFmtId="0" fontId="6" fillId="14" borderId="8" xfId="0" quotePrefix="1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15" borderId="3" xfId="0" quotePrefix="1" applyFill="1" applyBorder="1" applyAlignment="1">
      <alignment horizontal="center" vertical="center" wrapText="1"/>
    </xf>
    <xf numFmtId="0" fontId="0" fillId="16" borderId="2" xfId="0" quotePrefix="1" applyFill="1" applyBorder="1" applyAlignment="1">
      <alignment horizontal="center" vertical="center" wrapText="1"/>
    </xf>
    <xf numFmtId="0" fontId="0" fillId="16" borderId="3" xfId="0" quotePrefix="1" applyFill="1" applyBorder="1" applyAlignment="1">
      <alignment horizontal="center" vertical="center" wrapText="1"/>
    </xf>
    <xf numFmtId="0" fontId="0" fillId="17" borderId="2" xfId="0" quotePrefix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37" fillId="0" borderId="0" xfId="0" quotePrefix="1" applyFont="1"/>
    <xf numFmtId="2" fontId="38" fillId="0" borderId="0" xfId="0" applyNumberFormat="1" applyFont="1" applyAlignment="1">
      <alignment horizontal="left" vertical="center"/>
    </xf>
    <xf numFmtId="0" fontId="38" fillId="0" borderId="0" xfId="1" quotePrefix="1" applyFont="1" applyAlignment="1">
      <alignment horizontal="left" vertical="center"/>
    </xf>
    <xf numFmtId="2" fontId="38" fillId="13" borderId="0" xfId="0" applyNumberFormat="1" applyFont="1" applyFill="1" applyAlignment="1">
      <alignment horizontal="left" vertical="center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A9D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anagnostou@geomar.de" TargetMode="External"/><Relationship Id="rId13" Type="http://schemas.openxmlformats.org/officeDocument/2006/relationships/hyperlink" Target="mailto:eanagnostou@geomar.de" TargetMode="External"/><Relationship Id="rId18" Type="http://schemas.openxmlformats.org/officeDocument/2006/relationships/hyperlink" Target="mailto:eanagnostou@geomar.de" TargetMode="External"/><Relationship Id="rId3" Type="http://schemas.openxmlformats.org/officeDocument/2006/relationships/hyperlink" Target="mailto:eanagnostou@geomar.de" TargetMode="External"/><Relationship Id="rId21" Type="http://schemas.openxmlformats.org/officeDocument/2006/relationships/comments" Target="../comments1.xml"/><Relationship Id="rId7" Type="http://schemas.openxmlformats.org/officeDocument/2006/relationships/hyperlink" Target="mailto:eanagnostou@geomar.de" TargetMode="External"/><Relationship Id="rId12" Type="http://schemas.openxmlformats.org/officeDocument/2006/relationships/hyperlink" Target="mailto:eanagnostou@geomar.de" TargetMode="External"/><Relationship Id="rId17" Type="http://schemas.openxmlformats.org/officeDocument/2006/relationships/hyperlink" Target="mailto:eanagnostou@geomar.de" TargetMode="External"/><Relationship Id="rId2" Type="http://schemas.openxmlformats.org/officeDocument/2006/relationships/hyperlink" Target="mailto:eanagnostou@geomar.de" TargetMode="External"/><Relationship Id="rId16" Type="http://schemas.openxmlformats.org/officeDocument/2006/relationships/hyperlink" Target="mailto:eanagnostou@geomar.de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mailto:eanagnostou@geomar.de" TargetMode="External"/><Relationship Id="rId6" Type="http://schemas.openxmlformats.org/officeDocument/2006/relationships/hyperlink" Target="mailto:eanagnostou@geomar.de" TargetMode="External"/><Relationship Id="rId11" Type="http://schemas.openxmlformats.org/officeDocument/2006/relationships/hyperlink" Target="mailto:eanagnostou@geomar.de" TargetMode="External"/><Relationship Id="rId5" Type="http://schemas.openxmlformats.org/officeDocument/2006/relationships/hyperlink" Target="mailto:eanagnostou@geomar.de" TargetMode="External"/><Relationship Id="rId15" Type="http://schemas.openxmlformats.org/officeDocument/2006/relationships/hyperlink" Target="mailto:eanagnostou@geomar.de" TargetMode="External"/><Relationship Id="rId10" Type="http://schemas.openxmlformats.org/officeDocument/2006/relationships/hyperlink" Target="mailto:eanagnostou@geomar.de" TargetMode="External"/><Relationship Id="rId19" Type="http://schemas.openxmlformats.org/officeDocument/2006/relationships/hyperlink" Target="mailto:eanagnostou@geomar.de" TargetMode="External"/><Relationship Id="rId4" Type="http://schemas.openxmlformats.org/officeDocument/2006/relationships/hyperlink" Target="mailto:eanagnostou@geomar.de" TargetMode="External"/><Relationship Id="rId9" Type="http://schemas.openxmlformats.org/officeDocument/2006/relationships/hyperlink" Target="mailto:eanagnostou@geomar.de" TargetMode="External"/><Relationship Id="rId14" Type="http://schemas.openxmlformats.org/officeDocument/2006/relationships/hyperlink" Target="mailto:eanagnostou@geoma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34"/>
  <sheetViews>
    <sheetView tabSelected="1" topLeftCell="C3" zoomScaleNormal="100" workbookViewId="0">
      <selection activeCell="M10" sqref="M10"/>
    </sheetView>
  </sheetViews>
  <sheetFormatPr baseColWidth="10" defaultColWidth="11" defaultRowHeight="16"/>
  <cols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6" width="16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8" width="16.6640625" customWidth="1"/>
    <col min="79" max="79" width="14.5" customWidth="1"/>
    <col min="81" max="81" width="15.83203125" customWidth="1"/>
    <col min="82" max="83" width="15.6640625" customWidth="1"/>
    <col min="84" max="84" width="16" customWidth="1"/>
    <col min="85" max="85" width="15.5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>
      <c r="A1" s="115" t="s">
        <v>127</v>
      </c>
      <c r="B1" s="116"/>
      <c r="C1" s="116"/>
      <c r="D1" s="116"/>
      <c r="E1" s="116"/>
      <c r="F1" s="116"/>
      <c r="G1" s="116"/>
      <c r="H1" s="116"/>
      <c r="I1" s="116"/>
      <c r="J1" s="117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9"/>
      <c r="W1" s="8"/>
      <c r="X1" s="7"/>
      <c r="Y1" s="7"/>
      <c r="Z1" s="7"/>
      <c r="AA1" s="7"/>
      <c r="AB1" s="7"/>
      <c r="AC1" s="7"/>
      <c r="AD1" s="7"/>
      <c r="AE1" s="7"/>
      <c r="AF1" s="7"/>
      <c r="AG1" s="10" t="s">
        <v>3</v>
      </c>
      <c r="AH1" s="11"/>
      <c r="AI1" s="12"/>
      <c r="AJ1" s="12"/>
      <c r="AK1" s="13"/>
      <c r="AL1" s="13"/>
      <c r="AM1" s="13"/>
      <c r="AN1" s="14"/>
      <c r="AO1" s="13"/>
      <c r="AP1" s="13"/>
      <c r="AQ1" s="13"/>
      <c r="AR1" s="13"/>
      <c r="AS1" s="13"/>
      <c r="AT1" s="13"/>
      <c r="AU1" s="15" t="s">
        <v>4</v>
      </c>
      <c r="AV1" s="16"/>
      <c r="AW1" s="16"/>
      <c r="AX1" s="16"/>
      <c r="AY1" s="16"/>
      <c r="AZ1" s="16"/>
      <c r="BA1" s="16"/>
      <c r="BB1" s="17"/>
      <c r="BC1" s="18"/>
      <c r="BD1" s="18"/>
      <c r="BE1" s="18"/>
      <c r="BF1" s="19"/>
      <c r="BG1" s="20"/>
      <c r="BH1" s="21" t="s">
        <v>5</v>
      </c>
      <c r="BI1" s="22"/>
      <c r="BJ1" s="22"/>
      <c r="BK1" s="22"/>
      <c r="BL1" s="22"/>
      <c r="BM1" s="22"/>
      <c r="BN1" s="22"/>
      <c r="BO1" s="23"/>
      <c r="BP1" s="24" t="s">
        <v>6</v>
      </c>
      <c r="BQ1" s="24"/>
      <c r="BR1" s="25"/>
      <c r="BS1" s="25"/>
      <c r="BT1" s="25"/>
      <c r="BU1" s="26" t="s">
        <v>7</v>
      </c>
      <c r="BV1" s="27"/>
      <c r="BW1" s="28"/>
      <c r="BX1" s="26"/>
      <c r="BY1" s="29"/>
      <c r="BZ1" s="29"/>
      <c r="CA1" s="30"/>
      <c r="CB1" s="26" t="s">
        <v>8</v>
      </c>
      <c r="CC1" s="31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6" t="s">
        <v>9</v>
      </c>
      <c r="CO1" s="29"/>
      <c r="CP1" s="29"/>
      <c r="CQ1" s="29"/>
      <c r="CR1" s="29"/>
      <c r="CS1" s="29"/>
      <c r="CT1" s="30"/>
      <c r="CU1" s="27" t="s">
        <v>10</v>
      </c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32"/>
      <c r="DP1" s="29"/>
      <c r="DQ1" s="29"/>
      <c r="DR1" s="30"/>
      <c r="DS1" s="27"/>
      <c r="DT1" s="27"/>
      <c r="DU1" s="33" t="s">
        <v>11</v>
      </c>
      <c r="DV1" s="27"/>
      <c r="DW1" s="27"/>
      <c r="DX1" s="27"/>
      <c r="DY1" s="27"/>
      <c r="DZ1" s="28"/>
      <c r="EA1" s="33" t="s">
        <v>12</v>
      </c>
      <c r="EB1" s="27"/>
      <c r="EC1" s="27"/>
      <c r="ED1" s="27"/>
      <c r="EE1" s="27"/>
      <c r="EF1" s="34"/>
      <c r="EG1" s="34"/>
      <c r="EH1" s="123" t="s">
        <v>13</v>
      </c>
      <c r="EI1" s="124"/>
      <c r="EJ1" s="124"/>
      <c r="EK1" s="35"/>
      <c r="EL1" s="35"/>
      <c r="EM1" s="35"/>
      <c r="EN1" s="35"/>
      <c r="EO1" s="35"/>
      <c r="EP1" s="35"/>
      <c r="EQ1" s="35"/>
      <c r="ER1" s="35"/>
      <c r="ES1" s="36" t="s">
        <v>14</v>
      </c>
      <c r="ET1" s="37"/>
      <c r="EU1" s="37"/>
      <c r="EV1" s="37"/>
      <c r="EW1" s="38"/>
      <c r="EX1" s="38"/>
      <c r="EY1" s="38"/>
      <c r="EZ1" s="38"/>
      <c r="FA1" s="37"/>
      <c r="FB1" s="37"/>
      <c r="FC1" s="37"/>
      <c r="FD1" s="37"/>
      <c r="FE1" s="36"/>
      <c r="FF1" s="37"/>
      <c r="FG1" s="37"/>
      <c r="FH1" s="37"/>
      <c r="FI1" s="37"/>
      <c r="FJ1" s="37"/>
      <c r="FK1" s="7"/>
      <c r="FL1" s="7"/>
      <c r="FM1" s="7"/>
      <c r="FN1" s="7"/>
      <c r="FO1" s="7"/>
      <c r="FP1" s="7"/>
      <c r="FQ1" s="39"/>
    </row>
    <row r="2" spans="1:191" ht="20">
      <c r="A2" s="118"/>
      <c r="B2" s="41"/>
      <c r="C2" s="41"/>
      <c r="D2" s="41"/>
      <c r="E2" s="41"/>
      <c r="F2" s="41"/>
      <c r="G2" s="41"/>
      <c r="H2" s="41"/>
      <c r="I2" s="41"/>
      <c r="J2" s="43"/>
      <c r="K2" s="40"/>
      <c r="L2" s="41"/>
      <c r="M2" s="42"/>
      <c r="N2" s="43"/>
      <c r="O2" s="44"/>
      <c r="P2" s="44"/>
      <c r="Q2" s="44"/>
      <c r="R2" s="44"/>
      <c r="S2" s="44"/>
      <c r="T2" s="44"/>
      <c r="U2" s="45"/>
      <c r="V2" s="46"/>
      <c r="W2" s="45"/>
      <c r="X2" s="44"/>
      <c r="Y2" s="44"/>
      <c r="Z2" s="44"/>
      <c r="AA2" s="44"/>
      <c r="AB2" s="44"/>
      <c r="AC2" s="44"/>
      <c r="AD2" s="44"/>
      <c r="AE2" s="44"/>
      <c r="AF2" s="44"/>
      <c r="AG2" s="47"/>
      <c r="AH2" s="11"/>
      <c r="AI2" s="12"/>
      <c r="AJ2" s="12"/>
      <c r="AK2" s="13"/>
      <c r="AL2" s="13"/>
      <c r="AM2" s="13"/>
      <c r="AN2" s="14" t="s">
        <v>15</v>
      </c>
      <c r="AO2" s="13"/>
      <c r="AP2" s="13"/>
      <c r="AQ2" s="13"/>
      <c r="AR2" s="13"/>
      <c r="AS2" s="13"/>
      <c r="AT2" s="13"/>
      <c r="AU2" s="17"/>
      <c r="AV2" s="18"/>
      <c r="AW2" s="16"/>
      <c r="AX2" s="16"/>
      <c r="AY2" s="16"/>
      <c r="AZ2" s="16"/>
      <c r="BA2" s="18"/>
      <c r="BB2" s="48" t="s">
        <v>16</v>
      </c>
      <c r="BC2" s="148"/>
      <c r="BD2" s="148"/>
      <c r="BE2" s="18"/>
      <c r="BF2" s="19"/>
      <c r="BG2" s="20"/>
      <c r="BH2" s="49" t="s">
        <v>17</v>
      </c>
      <c r="BI2" s="50"/>
      <c r="BJ2" s="50"/>
      <c r="BK2" s="51" t="s">
        <v>18</v>
      </c>
      <c r="BL2" s="52"/>
      <c r="BM2" s="53"/>
      <c r="BN2" s="53"/>
      <c r="BO2" s="54"/>
      <c r="BP2" s="55"/>
      <c r="BQ2" s="55"/>
      <c r="BR2" s="22"/>
      <c r="BS2" s="22"/>
      <c r="BT2" s="22"/>
      <c r="BU2" s="56" t="s">
        <v>19</v>
      </c>
      <c r="BV2" s="57"/>
      <c r="BW2" s="58"/>
      <c r="BX2" s="59" t="s">
        <v>20</v>
      </c>
      <c r="BY2" s="60"/>
      <c r="BZ2" s="60"/>
      <c r="CA2" s="60"/>
      <c r="CB2" s="61" t="s">
        <v>21</v>
      </c>
      <c r="CC2" s="62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26" t="s">
        <v>22</v>
      </c>
      <c r="CO2" s="31"/>
      <c r="CP2" s="29"/>
      <c r="CQ2" s="29"/>
      <c r="CR2" s="29"/>
      <c r="CS2" s="29"/>
      <c r="CT2" s="30"/>
      <c r="CU2" s="57" t="s">
        <v>23</v>
      </c>
      <c r="CV2" s="57"/>
      <c r="CW2" s="57"/>
      <c r="CX2" s="57"/>
      <c r="CY2" s="63" t="s">
        <v>24</v>
      </c>
      <c r="CZ2" s="64"/>
      <c r="DA2" s="64"/>
      <c r="DB2" s="65"/>
      <c r="DC2" s="63" t="s">
        <v>25</v>
      </c>
      <c r="DD2" s="34"/>
      <c r="DE2" s="34"/>
      <c r="DF2" s="66"/>
      <c r="DG2" s="67" t="s">
        <v>26</v>
      </c>
      <c r="DH2" s="34"/>
      <c r="DI2" s="34"/>
      <c r="DJ2" s="66"/>
      <c r="DK2" s="68" t="s">
        <v>27</v>
      </c>
      <c r="DL2" s="69"/>
      <c r="DM2" s="57"/>
      <c r="DN2" s="57"/>
      <c r="DO2" s="70" t="s">
        <v>28</v>
      </c>
      <c r="DP2" s="60"/>
      <c r="DQ2" s="60"/>
      <c r="DR2" s="71"/>
      <c r="DS2" s="57" t="s">
        <v>29</v>
      </c>
      <c r="DT2" s="57"/>
      <c r="DU2" s="72" t="s">
        <v>30</v>
      </c>
      <c r="DV2" s="73"/>
      <c r="DW2" s="73"/>
      <c r="DX2" s="73"/>
      <c r="DY2" s="57"/>
      <c r="DZ2" s="57"/>
      <c r="EA2" s="74"/>
      <c r="EB2" s="57"/>
      <c r="EC2" s="57"/>
      <c r="ED2" s="57"/>
      <c r="EE2" s="34"/>
      <c r="EF2" s="56" t="s">
        <v>31</v>
      </c>
      <c r="EG2" s="34"/>
      <c r="EH2" s="154"/>
      <c r="EI2" s="35"/>
      <c r="EJ2" s="35"/>
      <c r="EK2" s="75"/>
      <c r="EL2" s="75"/>
      <c r="EM2" s="75"/>
      <c r="EN2" s="75"/>
      <c r="EO2" s="76"/>
      <c r="EP2" s="76"/>
      <c r="EQ2" s="76"/>
      <c r="ER2" s="76"/>
      <c r="ES2" s="77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44"/>
      <c r="FQ2" s="78"/>
    </row>
    <row r="3" spans="1:191" ht="238">
      <c r="A3" s="119" t="s">
        <v>128</v>
      </c>
      <c r="B3" s="120" t="s">
        <v>129</v>
      </c>
      <c r="C3" s="120" t="s">
        <v>130</v>
      </c>
      <c r="D3" s="3" t="s">
        <v>131</v>
      </c>
      <c r="E3" s="3" t="s">
        <v>132</v>
      </c>
      <c r="F3" s="121" t="s">
        <v>133</v>
      </c>
      <c r="G3" s="121" t="s">
        <v>134</v>
      </c>
      <c r="H3" s="173" t="s">
        <v>289</v>
      </c>
      <c r="I3" s="174" t="s">
        <v>290</v>
      </c>
      <c r="J3" s="175" t="s">
        <v>291</v>
      </c>
      <c r="K3" s="79" t="s">
        <v>32</v>
      </c>
      <c r="L3" s="80" t="s">
        <v>33</v>
      </c>
      <c r="M3" s="80" t="s">
        <v>34</v>
      </c>
      <c r="N3" s="81" t="s">
        <v>35</v>
      </c>
      <c r="O3" s="82" t="s">
        <v>36</v>
      </c>
      <c r="P3" s="82" t="s">
        <v>37</v>
      </c>
      <c r="Q3" s="82" t="s">
        <v>38</v>
      </c>
      <c r="R3" s="82" t="s">
        <v>39</v>
      </c>
      <c r="S3" s="82" t="s">
        <v>40</v>
      </c>
      <c r="T3" s="82" t="s">
        <v>41</v>
      </c>
      <c r="U3" s="82" t="s">
        <v>42</v>
      </c>
      <c r="V3" s="83" t="s">
        <v>43</v>
      </c>
      <c r="W3" s="82" t="s">
        <v>44</v>
      </c>
      <c r="X3" s="82" t="s">
        <v>45</v>
      </c>
      <c r="Y3" s="82" t="s">
        <v>46</v>
      </c>
      <c r="Z3" s="82" t="s">
        <v>47</v>
      </c>
      <c r="AA3" s="82" t="s">
        <v>48</v>
      </c>
      <c r="AB3" s="82" t="s">
        <v>49</v>
      </c>
      <c r="AC3" s="82" t="s">
        <v>50</v>
      </c>
      <c r="AD3" s="82" t="s">
        <v>51</v>
      </c>
      <c r="AE3" s="82" t="s">
        <v>52</v>
      </c>
      <c r="AF3" s="82" t="s">
        <v>53</v>
      </c>
      <c r="AG3" s="84" t="s">
        <v>139</v>
      </c>
      <c r="AH3" s="85" t="s">
        <v>54</v>
      </c>
      <c r="AI3" s="125" t="s">
        <v>140</v>
      </c>
      <c r="AJ3" s="125" t="s">
        <v>141</v>
      </c>
      <c r="AK3" s="86" t="s">
        <v>55</v>
      </c>
      <c r="AL3" s="86" t="s">
        <v>56</v>
      </c>
      <c r="AM3" s="87" t="s">
        <v>57</v>
      </c>
      <c r="AN3" s="84" t="s">
        <v>139</v>
      </c>
      <c r="AO3" s="85" t="s">
        <v>54</v>
      </c>
      <c r="AP3" s="125" t="s">
        <v>140</v>
      </c>
      <c r="AQ3" s="125" t="s">
        <v>141</v>
      </c>
      <c r="AR3" s="86" t="s">
        <v>55</v>
      </c>
      <c r="AS3" s="86" t="s">
        <v>56</v>
      </c>
      <c r="AT3" s="86" t="s">
        <v>57</v>
      </c>
      <c r="AU3" s="88" t="s">
        <v>58</v>
      </c>
      <c r="AV3" s="89" t="s">
        <v>59</v>
      </c>
      <c r="AW3" s="89" t="s">
        <v>60</v>
      </c>
      <c r="AX3" s="89" t="s">
        <v>61</v>
      </c>
      <c r="AY3" s="89" t="s">
        <v>62</v>
      </c>
      <c r="AZ3" s="89" t="s">
        <v>63</v>
      </c>
      <c r="BA3" s="89" t="s">
        <v>64</v>
      </c>
      <c r="BB3" s="122" t="s">
        <v>135</v>
      </c>
      <c r="BC3" s="149" t="s">
        <v>246</v>
      </c>
      <c r="BD3" s="149" t="s">
        <v>247</v>
      </c>
      <c r="BE3" s="90" t="s">
        <v>65</v>
      </c>
      <c r="BF3" s="91" t="s">
        <v>66</v>
      </c>
      <c r="BG3" s="91" t="s">
        <v>67</v>
      </c>
      <c r="BH3" s="92" t="s">
        <v>68</v>
      </c>
      <c r="BI3" s="93" t="s">
        <v>69</v>
      </c>
      <c r="BJ3" s="94" t="s">
        <v>70</v>
      </c>
      <c r="BK3" s="95" t="s">
        <v>71</v>
      </c>
      <c r="BL3" s="96" t="s">
        <v>69</v>
      </c>
      <c r="BM3" s="97" t="s">
        <v>70</v>
      </c>
      <c r="BN3" s="53" t="s">
        <v>72</v>
      </c>
      <c r="BO3" s="54" t="s">
        <v>73</v>
      </c>
      <c r="BP3" s="97" t="s">
        <v>74</v>
      </c>
      <c r="BQ3" s="93" t="s">
        <v>69</v>
      </c>
      <c r="BR3" s="94" t="s">
        <v>70</v>
      </c>
      <c r="BS3" s="53" t="s">
        <v>284</v>
      </c>
      <c r="BT3" s="53" t="s">
        <v>75</v>
      </c>
      <c r="BU3" s="98" t="s">
        <v>76</v>
      </c>
      <c r="BV3" s="99" t="s">
        <v>54</v>
      </c>
      <c r="BW3" s="100" t="s">
        <v>274</v>
      </c>
      <c r="BX3" s="101" t="s">
        <v>77</v>
      </c>
      <c r="BY3" s="99" t="s">
        <v>54</v>
      </c>
      <c r="BZ3" s="162" t="s">
        <v>265</v>
      </c>
      <c r="CA3" s="163" t="s">
        <v>266</v>
      </c>
      <c r="CB3" s="102" t="s">
        <v>136</v>
      </c>
      <c r="CC3" s="101" t="s">
        <v>78</v>
      </c>
      <c r="CD3" s="99" t="s">
        <v>54</v>
      </c>
      <c r="CE3" s="162" t="s">
        <v>267</v>
      </c>
      <c r="CF3" s="163" t="s">
        <v>268</v>
      </c>
      <c r="CG3" s="102" t="s">
        <v>79</v>
      </c>
      <c r="CH3" s="102" t="s">
        <v>80</v>
      </c>
      <c r="CI3" s="102" t="s">
        <v>280</v>
      </c>
      <c r="CJ3" s="102" t="s">
        <v>281</v>
      </c>
      <c r="CK3" s="102" t="s">
        <v>81</v>
      </c>
      <c r="CL3" s="102" t="s">
        <v>82</v>
      </c>
      <c r="CM3" s="102" t="s">
        <v>83</v>
      </c>
      <c r="CN3" s="103" t="s">
        <v>137</v>
      </c>
      <c r="CO3" s="101" t="s">
        <v>84</v>
      </c>
      <c r="CP3" s="99" t="s">
        <v>54</v>
      </c>
      <c r="CQ3" s="99" t="s">
        <v>273</v>
      </c>
      <c r="CR3" s="102" t="s">
        <v>85</v>
      </c>
      <c r="CS3" s="102" t="s">
        <v>80</v>
      </c>
      <c r="CT3" s="102" t="s">
        <v>86</v>
      </c>
      <c r="CU3" s="98" t="s">
        <v>87</v>
      </c>
      <c r="CV3" s="99" t="s">
        <v>54</v>
      </c>
      <c r="CW3" s="99" t="s">
        <v>273</v>
      </c>
      <c r="CX3" s="104" t="s">
        <v>88</v>
      </c>
      <c r="CY3" s="101" t="s">
        <v>89</v>
      </c>
      <c r="CZ3" s="99" t="s">
        <v>54</v>
      </c>
      <c r="DA3" s="99" t="s">
        <v>273</v>
      </c>
      <c r="DB3" s="104" t="s">
        <v>90</v>
      </c>
      <c r="DC3" s="101" t="s">
        <v>91</v>
      </c>
      <c r="DD3" s="99" t="s">
        <v>54</v>
      </c>
      <c r="DE3" s="99" t="s">
        <v>273</v>
      </c>
      <c r="DF3" s="104" t="s">
        <v>92</v>
      </c>
      <c r="DG3" s="101" t="s">
        <v>93</v>
      </c>
      <c r="DH3" s="99" t="s">
        <v>54</v>
      </c>
      <c r="DI3" s="99" t="s">
        <v>273</v>
      </c>
      <c r="DJ3" s="104" t="s">
        <v>94</v>
      </c>
      <c r="DK3" s="101" t="s">
        <v>275</v>
      </c>
      <c r="DL3" s="99" t="s">
        <v>54</v>
      </c>
      <c r="DM3" s="99" t="s">
        <v>273</v>
      </c>
      <c r="DN3" s="105" t="s">
        <v>95</v>
      </c>
      <c r="DO3" s="98" t="s">
        <v>96</v>
      </c>
      <c r="DP3" s="99" t="s">
        <v>54</v>
      </c>
      <c r="DQ3" s="99" t="s">
        <v>273</v>
      </c>
      <c r="DR3" s="106" t="s">
        <v>97</v>
      </c>
      <c r="DS3" s="105" t="s">
        <v>98</v>
      </c>
      <c r="DT3" s="105" t="s">
        <v>99</v>
      </c>
      <c r="DU3" s="98" t="s">
        <v>100</v>
      </c>
      <c r="DV3" s="99" t="s">
        <v>54</v>
      </c>
      <c r="DW3" s="99" t="s">
        <v>273</v>
      </c>
      <c r="DX3" s="99" t="s">
        <v>263</v>
      </c>
      <c r="DY3" s="105" t="s">
        <v>101</v>
      </c>
      <c r="DZ3" s="104" t="s">
        <v>102</v>
      </c>
      <c r="EA3" s="102" t="s">
        <v>103</v>
      </c>
      <c r="EB3" s="105" t="s">
        <v>104</v>
      </c>
      <c r="EC3" s="105" t="s">
        <v>105</v>
      </c>
      <c r="ED3" s="105" t="s">
        <v>106</v>
      </c>
      <c r="EE3" s="107" t="s">
        <v>107</v>
      </c>
      <c r="EF3" s="108" t="s">
        <v>108</v>
      </c>
      <c r="EG3" s="105" t="s">
        <v>109</v>
      </c>
      <c r="EH3" s="167" t="s">
        <v>110</v>
      </c>
      <c r="EI3" s="168" t="s">
        <v>111</v>
      </c>
      <c r="EJ3" s="168" t="s">
        <v>112</v>
      </c>
      <c r="EK3" s="109" t="s">
        <v>138</v>
      </c>
      <c r="EL3" s="110" t="s">
        <v>54</v>
      </c>
      <c r="EM3" s="164" t="s">
        <v>276</v>
      </c>
      <c r="EN3" s="165" t="s">
        <v>277</v>
      </c>
      <c r="EO3" s="109" t="s">
        <v>113</v>
      </c>
      <c r="EP3" s="110" t="s">
        <v>54</v>
      </c>
      <c r="EQ3" s="164" t="s">
        <v>269</v>
      </c>
      <c r="ER3" s="165" t="s">
        <v>270</v>
      </c>
      <c r="ES3" s="111" t="s">
        <v>114</v>
      </c>
      <c r="ET3" s="82" t="s">
        <v>115</v>
      </c>
      <c r="EU3" s="166" t="s">
        <v>269</v>
      </c>
      <c r="EV3" s="166" t="s">
        <v>270</v>
      </c>
      <c r="EW3" s="82" t="s">
        <v>116</v>
      </c>
      <c r="EX3" s="82" t="s">
        <v>117</v>
      </c>
      <c r="EY3" s="82" t="s">
        <v>118</v>
      </c>
      <c r="EZ3" s="82" t="s">
        <v>119</v>
      </c>
      <c r="FA3" s="166" t="s">
        <v>271</v>
      </c>
      <c r="FB3" s="166" t="s">
        <v>272</v>
      </c>
      <c r="FC3" s="82" t="s">
        <v>120</v>
      </c>
      <c r="FD3" s="82" t="s">
        <v>121</v>
      </c>
      <c r="FE3" s="111" t="s">
        <v>122</v>
      </c>
      <c r="FF3" s="160" t="s">
        <v>259</v>
      </c>
      <c r="FG3" s="160" t="s">
        <v>260</v>
      </c>
      <c r="FH3" s="82" t="s">
        <v>123</v>
      </c>
      <c r="FI3" s="160" t="s">
        <v>261</v>
      </c>
      <c r="FJ3" s="160" t="s">
        <v>262</v>
      </c>
      <c r="FK3" s="112" t="s">
        <v>124</v>
      </c>
      <c r="FL3" s="112" t="s">
        <v>256</v>
      </c>
      <c r="FM3" s="112" t="s">
        <v>257</v>
      </c>
      <c r="FN3" s="112" t="s">
        <v>125</v>
      </c>
      <c r="FO3" s="161" t="s">
        <v>258</v>
      </c>
      <c r="FP3" s="161" t="s">
        <v>283</v>
      </c>
      <c r="FQ3" s="113" t="s">
        <v>126</v>
      </c>
      <c r="FR3" s="114"/>
      <c r="FS3" s="114"/>
      <c r="FT3" s="114"/>
      <c r="FU3" s="114"/>
      <c r="FV3" s="114"/>
      <c r="FW3" s="114"/>
      <c r="FX3" s="114"/>
      <c r="FY3" s="114"/>
      <c r="FZ3" s="114"/>
      <c r="GA3" s="114"/>
      <c r="GB3" s="114"/>
      <c r="GC3" s="114"/>
      <c r="GD3" s="114"/>
      <c r="GE3" s="114"/>
      <c r="GF3" s="114"/>
      <c r="GG3" s="114"/>
      <c r="GH3" s="114"/>
      <c r="GI3" s="114"/>
    </row>
    <row r="4" spans="1:191">
      <c r="A4" t="s">
        <v>142</v>
      </c>
      <c r="B4" t="s">
        <v>143</v>
      </c>
      <c r="C4">
        <v>2016</v>
      </c>
      <c r="D4" t="s">
        <v>144</v>
      </c>
      <c r="E4" s="126">
        <v>53200</v>
      </c>
      <c r="F4">
        <v>400</v>
      </c>
      <c r="G4">
        <v>400</v>
      </c>
      <c r="H4" s="127">
        <v>1400</v>
      </c>
      <c r="I4" s="127">
        <v>470</v>
      </c>
      <c r="J4" s="127">
        <v>470</v>
      </c>
      <c r="K4" t="s">
        <v>146</v>
      </c>
      <c r="L4" s="132" t="s">
        <v>147</v>
      </c>
      <c r="M4" s="1" t="s">
        <v>292</v>
      </c>
      <c r="N4" t="s">
        <v>144</v>
      </c>
      <c r="O4" s="134" t="s">
        <v>148</v>
      </c>
      <c r="P4" t="s">
        <v>145</v>
      </c>
      <c r="Q4">
        <v>5</v>
      </c>
      <c r="R4">
        <v>1</v>
      </c>
      <c r="S4" s="153">
        <v>0</v>
      </c>
      <c r="T4" s="153">
        <v>24</v>
      </c>
      <c r="U4" t="s">
        <v>145</v>
      </c>
      <c r="V4" t="s">
        <v>145</v>
      </c>
      <c r="W4" t="s">
        <v>145</v>
      </c>
      <c r="X4" t="s">
        <v>149</v>
      </c>
      <c r="Y4">
        <v>-8.8562069999999995</v>
      </c>
      <c r="Z4">
        <v>39.460911573076601</v>
      </c>
      <c r="AA4">
        <v>-19</v>
      </c>
      <c r="AB4" t="s">
        <v>145</v>
      </c>
      <c r="AC4" t="s">
        <v>145</v>
      </c>
      <c r="AD4" t="s">
        <v>155</v>
      </c>
      <c r="AE4" t="s">
        <v>156</v>
      </c>
      <c r="AF4" t="s">
        <v>145</v>
      </c>
      <c r="AG4" s="126">
        <v>53200</v>
      </c>
      <c r="AH4" t="s">
        <v>160</v>
      </c>
      <c r="AI4">
        <v>400</v>
      </c>
      <c r="AJ4">
        <v>400</v>
      </c>
      <c r="AK4" t="s">
        <v>158</v>
      </c>
      <c r="AL4" t="s">
        <v>157</v>
      </c>
      <c r="AM4" s="152" t="s">
        <v>253</v>
      </c>
      <c r="AN4" t="s">
        <v>145</v>
      </c>
      <c r="AO4" t="s">
        <v>145</v>
      </c>
      <c r="AP4" t="s">
        <v>145</v>
      </c>
      <c r="AQ4" t="s">
        <v>145</v>
      </c>
      <c r="AR4" t="s">
        <v>145</v>
      </c>
      <c r="AS4" t="s">
        <v>145</v>
      </c>
      <c r="AT4" t="s">
        <v>145</v>
      </c>
      <c r="AU4" s="170" t="s">
        <v>161</v>
      </c>
      <c r="AV4" s="137" t="s">
        <v>162</v>
      </c>
      <c r="AW4" t="s">
        <v>163</v>
      </c>
      <c r="AX4" s="138" t="s">
        <v>164</v>
      </c>
      <c r="AY4" t="s">
        <v>165</v>
      </c>
      <c r="AZ4" t="s">
        <v>166</v>
      </c>
      <c r="BA4" t="s">
        <v>167</v>
      </c>
      <c r="BB4" s="152" t="s">
        <v>254</v>
      </c>
      <c r="BC4" t="s">
        <v>145</v>
      </c>
      <c r="BD4" t="s">
        <v>145</v>
      </c>
      <c r="BE4" s="139">
        <v>14.3</v>
      </c>
      <c r="BF4" t="s">
        <v>168</v>
      </c>
      <c r="BG4" s="137">
        <v>0.25</v>
      </c>
      <c r="BH4">
        <v>1</v>
      </c>
      <c r="BI4" t="s">
        <v>188</v>
      </c>
      <c r="BJ4" t="s">
        <v>188</v>
      </c>
      <c r="BK4">
        <v>0</v>
      </c>
      <c r="BL4" t="s">
        <v>189</v>
      </c>
      <c r="BM4" t="s">
        <v>189</v>
      </c>
      <c r="BN4" t="s">
        <v>190</v>
      </c>
      <c r="BO4" t="s">
        <v>145</v>
      </c>
      <c r="BP4" s="143">
        <v>14.3</v>
      </c>
      <c r="BQ4" t="s">
        <v>191</v>
      </c>
      <c r="BR4">
        <v>0.25</v>
      </c>
      <c r="BS4" t="s">
        <v>191</v>
      </c>
      <c r="BT4" t="s">
        <v>145</v>
      </c>
      <c r="BU4">
        <v>20</v>
      </c>
      <c r="BV4" t="s">
        <v>194</v>
      </c>
      <c r="BW4" t="s">
        <v>194</v>
      </c>
      <c r="BX4" s="126">
        <v>32.72</v>
      </c>
      <c r="BY4" t="s">
        <v>195</v>
      </c>
      <c r="BZ4">
        <v>2</v>
      </c>
      <c r="CA4">
        <v>2</v>
      </c>
      <c r="CB4" t="s">
        <v>145</v>
      </c>
      <c r="CC4" t="s">
        <v>196</v>
      </c>
      <c r="CD4" t="s">
        <v>145</v>
      </c>
      <c r="CE4" t="s">
        <v>145</v>
      </c>
      <c r="CF4" t="s">
        <v>145</v>
      </c>
      <c r="CG4" t="s">
        <v>145</v>
      </c>
      <c r="CH4" t="s">
        <v>145</v>
      </c>
      <c r="CI4" t="s">
        <v>145</v>
      </c>
      <c r="CJ4" t="s">
        <v>145</v>
      </c>
      <c r="CK4" t="s">
        <v>197</v>
      </c>
      <c r="CL4" t="s">
        <v>197</v>
      </c>
      <c r="CM4" t="s">
        <v>197</v>
      </c>
      <c r="CN4" t="s">
        <v>145</v>
      </c>
      <c r="CO4" s="146" t="s">
        <v>200</v>
      </c>
      <c r="CP4" t="s">
        <v>201</v>
      </c>
      <c r="CQ4">
        <v>0.12</v>
      </c>
      <c r="CR4" t="s">
        <v>202</v>
      </c>
      <c r="CS4" t="s">
        <v>203</v>
      </c>
      <c r="CT4" t="s">
        <v>204</v>
      </c>
      <c r="CU4">
        <v>35</v>
      </c>
      <c r="CV4" t="s">
        <v>195</v>
      </c>
      <c r="CW4">
        <v>2</v>
      </c>
      <c r="CX4" t="s">
        <v>205</v>
      </c>
      <c r="CY4">
        <v>1.7000000000000001E-2</v>
      </c>
      <c r="CZ4" t="s">
        <v>206</v>
      </c>
      <c r="DA4">
        <v>3.0000000000000001E-3</v>
      </c>
      <c r="DB4" t="s">
        <v>207</v>
      </c>
      <c r="DC4">
        <v>3.7999999999999999E-2</v>
      </c>
      <c r="DD4" t="s">
        <v>206</v>
      </c>
      <c r="DE4">
        <v>3.0000000000000001E-3</v>
      </c>
      <c r="DF4" t="s">
        <v>287</v>
      </c>
      <c r="DG4" t="s">
        <v>208</v>
      </c>
      <c r="DH4" t="s">
        <v>145</v>
      </c>
      <c r="DI4" t="s">
        <v>145</v>
      </c>
      <c r="DJ4" t="s">
        <v>145</v>
      </c>
      <c r="DK4">
        <v>432.6</v>
      </c>
      <c r="DL4" t="s">
        <v>225</v>
      </c>
      <c r="DM4" t="s">
        <v>225</v>
      </c>
      <c r="DN4" t="s">
        <v>286</v>
      </c>
      <c r="DO4" s="152">
        <v>38.450000000000003</v>
      </c>
      <c r="DP4" s="152" t="s">
        <v>226</v>
      </c>
      <c r="DQ4" s="152">
        <v>0.25</v>
      </c>
      <c r="DR4" t="s">
        <v>227</v>
      </c>
      <c r="DS4" t="s">
        <v>228</v>
      </c>
      <c r="DT4" t="s">
        <v>229</v>
      </c>
      <c r="DU4">
        <v>1.0271999999999999</v>
      </c>
      <c r="DV4" t="s">
        <v>230</v>
      </c>
      <c r="DW4" t="s">
        <v>230</v>
      </c>
      <c r="DX4" t="s">
        <v>264</v>
      </c>
      <c r="DY4" t="s">
        <v>230</v>
      </c>
      <c r="DZ4" t="s">
        <v>230</v>
      </c>
      <c r="EA4" t="s">
        <v>231</v>
      </c>
      <c r="EB4" t="s">
        <v>232</v>
      </c>
      <c r="EC4" t="s">
        <v>233</v>
      </c>
      <c r="ED4" t="s">
        <v>233</v>
      </c>
      <c r="EE4" t="s">
        <v>233</v>
      </c>
      <c r="EF4" s="152" t="s">
        <v>234</v>
      </c>
      <c r="EG4" s="152" t="s">
        <v>229</v>
      </c>
      <c r="EH4" t="s">
        <v>235</v>
      </c>
      <c r="EI4" t="s">
        <v>236</v>
      </c>
      <c r="EJ4" s="152" t="s">
        <v>255</v>
      </c>
      <c r="EK4" t="s">
        <v>145</v>
      </c>
      <c r="EL4" t="s">
        <v>145</v>
      </c>
      <c r="EM4" t="s">
        <v>145</v>
      </c>
      <c r="EN4" t="s">
        <v>145</v>
      </c>
      <c r="EO4">
        <v>6.5</v>
      </c>
      <c r="EP4" t="s">
        <v>237</v>
      </c>
      <c r="EQ4">
        <v>1</v>
      </c>
      <c r="ER4">
        <v>1</v>
      </c>
      <c r="ES4" s="150">
        <v>7.6623189039322694</v>
      </c>
      <c r="ET4" s="152" t="s">
        <v>238</v>
      </c>
      <c r="EU4" s="150">
        <v>6.1458791241700193E-2</v>
      </c>
      <c r="EV4" s="150">
        <v>6.1458791241700193E-2</v>
      </c>
      <c r="EW4" s="127">
        <v>1400</v>
      </c>
      <c r="EX4" t="s">
        <v>239</v>
      </c>
      <c r="EY4" t="s">
        <v>240</v>
      </c>
      <c r="EZ4" s="127">
        <v>1400</v>
      </c>
      <c r="FA4" s="127">
        <v>470</v>
      </c>
      <c r="FB4" s="127">
        <v>470</v>
      </c>
      <c r="FC4" t="s">
        <v>241</v>
      </c>
      <c r="FD4" t="s">
        <v>242</v>
      </c>
      <c r="FE4" s="127">
        <v>2700</v>
      </c>
      <c r="FF4" s="127">
        <v>530</v>
      </c>
      <c r="FG4" s="127">
        <v>530</v>
      </c>
      <c r="FH4" s="147">
        <v>2500</v>
      </c>
      <c r="FI4" s="147">
        <v>520</v>
      </c>
      <c r="FJ4" s="147">
        <v>520</v>
      </c>
      <c r="FK4" t="s">
        <v>145</v>
      </c>
      <c r="FL4" t="s">
        <v>145</v>
      </c>
      <c r="FM4" t="s">
        <v>145</v>
      </c>
      <c r="FN4" t="s">
        <v>145</v>
      </c>
      <c r="FO4" t="s">
        <v>145</v>
      </c>
      <c r="FP4" t="s">
        <v>145</v>
      </c>
      <c r="FQ4" t="s">
        <v>243</v>
      </c>
    </row>
    <row r="5" spans="1:191">
      <c r="A5" t="s">
        <v>142</v>
      </c>
      <c r="B5" t="s">
        <v>143</v>
      </c>
      <c r="C5">
        <v>2016</v>
      </c>
      <c r="D5" t="s">
        <v>144</v>
      </c>
      <c r="E5" s="126">
        <v>45600</v>
      </c>
      <c r="F5">
        <v>300</v>
      </c>
      <c r="G5">
        <v>100</v>
      </c>
      <c r="H5" s="127">
        <v>1100</v>
      </c>
      <c r="I5" s="127">
        <v>350</v>
      </c>
      <c r="J5" s="127">
        <v>350</v>
      </c>
      <c r="K5" t="s">
        <v>146</v>
      </c>
      <c r="L5" s="132" t="s">
        <v>147</v>
      </c>
      <c r="M5" s="1" t="s">
        <v>292</v>
      </c>
      <c r="N5" t="s">
        <v>144</v>
      </c>
      <c r="O5" s="134" t="s">
        <v>150</v>
      </c>
      <c r="P5" t="s">
        <v>145</v>
      </c>
      <c r="Q5">
        <v>19</v>
      </c>
      <c r="R5">
        <v>1</v>
      </c>
      <c r="S5" s="153">
        <v>90</v>
      </c>
      <c r="T5" s="153">
        <v>100</v>
      </c>
      <c r="U5" t="s">
        <v>145</v>
      </c>
      <c r="V5" t="s">
        <v>145</v>
      </c>
      <c r="W5" t="s">
        <v>145</v>
      </c>
      <c r="X5" t="s">
        <v>149</v>
      </c>
      <c r="Y5">
        <v>-8.9177140000000001</v>
      </c>
      <c r="Z5">
        <v>39.503647123608502</v>
      </c>
      <c r="AA5">
        <v>-19</v>
      </c>
      <c r="AB5" t="s">
        <v>145</v>
      </c>
      <c r="AC5" t="s">
        <v>145</v>
      </c>
      <c r="AD5" t="s">
        <v>155</v>
      </c>
      <c r="AE5" t="s">
        <v>156</v>
      </c>
      <c r="AF5" t="s">
        <v>145</v>
      </c>
      <c r="AG5" s="126">
        <v>45600</v>
      </c>
      <c r="AH5" t="s">
        <v>160</v>
      </c>
      <c r="AI5">
        <v>300</v>
      </c>
      <c r="AJ5">
        <v>100</v>
      </c>
      <c r="AK5" t="s">
        <v>158</v>
      </c>
      <c r="AL5" t="s">
        <v>157</v>
      </c>
      <c r="AM5" s="152" t="s">
        <v>253</v>
      </c>
      <c r="AN5" t="s">
        <v>145</v>
      </c>
      <c r="AO5" t="s">
        <v>145</v>
      </c>
      <c r="AP5" t="s">
        <v>145</v>
      </c>
      <c r="AQ5" t="s">
        <v>145</v>
      </c>
      <c r="AR5" t="s">
        <v>145</v>
      </c>
      <c r="AS5" t="s">
        <v>145</v>
      </c>
      <c r="AT5" t="s">
        <v>145</v>
      </c>
      <c r="AU5" s="170" t="s">
        <v>169</v>
      </c>
      <c r="AV5" s="137" t="s">
        <v>162</v>
      </c>
      <c r="AW5" t="s">
        <v>163</v>
      </c>
      <c r="AX5" s="138" t="s">
        <v>164</v>
      </c>
      <c r="AY5" t="s">
        <v>165</v>
      </c>
      <c r="AZ5" t="s">
        <v>166</v>
      </c>
      <c r="BA5" t="s">
        <v>167</v>
      </c>
      <c r="BB5" s="152" t="s">
        <v>254</v>
      </c>
      <c r="BC5" t="s">
        <v>145</v>
      </c>
      <c r="BD5" t="s">
        <v>145</v>
      </c>
      <c r="BE5" s="139">
        <v>14.65</v>
      </c>
      <c r="BF5" t="s">
        <v>168</v>
      </c>
      <c r="BG5" s="137">
        <v>0.24</v>
      </c>
      <c r="BH5">
        <v>1</v>
      </c>
      <c r="BI5" t="s">
        <v>188</v>
      </c>
      <c r="BJ5" t="s">
        <v>188</v>
      </c>
      <c r="BK5">
        <v>0</v>
      </c>
      <c r="BL5" t="s">
        <v>189</v>
      </c>
      <c r="BM5" t="s">
        <v>189</v>
      </c>
      <c r="BN5" t="s">
        <v>190</v>
      </c>
      <c r="BO5" t="s">
        <v>145</v>
      </c>
      <c r="BP5" s="143">
        <v>14.65</v>
      </c>
      <c r="BQ5" t="s">
        <v>191</v>
      </c>
      <c r="BR5">
        <v>0.24</v>
      </c>
      <c r="BS5" t="s">
        <v>191</v>
      </c>
      <c r="BT5" t="s">
        <v>145</v>
      </c>
      <c r="BU5">
        <v>0</v>
      </c>
      <c r="BV5" t="s">
        <v>194</v>
      </c>
      <c r="BW5" t="s">
        <v>194</v>
      </c>
      <c r="BX5" s="126">
        <v>31.47</v>
      </c>
      <c r="BY5" t="s">
        <v>195</v>
      </c>
      <c r="BZ5">
        <v>2</v>
      </c>
      <c r="CA5">
        <v>2</v>
      </c>
      <c r="CB5" t="s">
        <v>145</v>
      </c>
      <c r="CC5" t="s">
        <v>196</v>
      </c>
      <c r="CD5" t="s">
        <v>145</v>
      </c>
      <c r="CE5" t="s">
        <v>145</v>
      </c>
      <c r="CF5" t="s">
        <v>145</v>
      </c>
      <c r="CG5" t="s">
        <v>145</v>
      </c>
      <c r="CH5" t="s">
        <v>145</v>
      </c>
      <c r="CI5" t="s">
        <v>145</v>
      </c>
      <c r="CJ5" t="s">
        <v>145</v>
      </c>
      <c r="CK5" t="s">
        <v>197</v>
      </c>
      <c r="CL5" t="s">
        <v>197</v>
      </c>
      <c r="CM5" t="s">
        <v>197</v>
      </c>
      <c r="CN5" t="s">
        <v>145</v>
      </c>
      <c r="CO5" s="146" t="s">
        <v>209</v>
      </c>
      <c r="CP5" t="s">
        <v>201</v>
      </c>
      <c r="CQ5">
        <v>0.12</v>
      </c>
      <c r="CR5" t="s">
        <v>210</v>
      </c>
      <c r="CS5" t="s">
        <v>211</v>
      </c>
      <c r="CT5" t="s">
        <v>204</v>
      </c>
      <c r="CU5">
        <v>35</v>
      </c>
      <c r="CV5" t="s">
        <v>195</v>
      </c>
      <c r="CW5">
        <v>2</v>
      </c>
      <c r="CX5" t="s">
        <v>205</v>
      </c>
      <c r="CY5">
        <v>1.7000000000000001E-2</v>
      </c>
      <c r="CZ5" t="s">
        <v>206</v>
      </c>
      <c r="DA5">
        <v>3.0000000000000001E-3</v>
      </c>
      <c r="DB5" t="s">
        <v>212</v>
      </c>
      <c r="DC5">
        <v>3.7999999999999999E-2</v>
      </c>
      <c r="DD5" t="s">
        <v>206</v>
      </c>
      <c r="DE5">
        <v>3.0000000000000001E-3</v>
      </c>
      <c r="DF5" t="s">
        <v>287</v>
      </c>
      <c r="DG5" t="s">
        <v>208</v>
      </c>
      <c r="DH5" t="s">
        <v>145</v>
      </c>
      <c r="DI5" t="s">
        <v>145</v>
      </c>
      <c r="DJ5" t="s">
        <v>145</v>
      </c>
      <c r="DK5">
        <v>432.6</v>
      </c>
      <c r="DL5" t="s">
        <v>225</v>
      </c>
      <c r="DM5" t="s">
        <v>225</v>
      </c>
      <c r="DN5" t="s">
        <v>286</v>
      </c>
      <c r="DO5" s="152">
        <v>38.450000000000003</v>
      </c>
      <c r="DP5" s="152" t="s">
        <v>226</v>
      </c>
      <c r="DQ5" s="152">
        <v>0.25</v>
      </c>
      <c r="DR5" t="s">
        <v>227</v>
      </c>
      <c r="DS5" t="s">
        <v>228</v>
      </c>
      <c r="DT5" t="s">
        <v>229</v>
      </c>
      <c r="DU5">
        <v>1.0271999999999999</v>
      </c>
      <c r="DV5" t="s">
        <v>230</v>
      </c>
      <c r="DW5" t="s">
        <v>230</v>
      </c>
      <c r="DX5" t="s">
        <v>264</v>
      </c>
      <c r="DY5" t="s">
        <v>230</v>
      </c>
      <c r="DZ5" t="s">
        <v>230</v>
      </c>
      <c r="EA5" t="s">
        <v>231</v>
      </c>
      <c r="EB5" t="s">
        <v>232</v>
      </c>
      <c r="EC5" t="s">
        <v>233</v>
      </c>
      <c r="ED5" t="s">
        <v>233</v>
      </c>
      <c r="EE5" t="s">
        <v>233</v>
      </c>
      <c r="EF5" s="152" t="s">
        <v>234</v>
      </c>
      <c r="EG5" s="152" t="s">
        <v>229</v>
      </c>
      <c r="EH5" t="s">
        <v>235</v>
      </c>
      <c r="EI5" t="s">
        <v>236</v>
      </c>
      <c r="EJ5" s="152" t="s">
        <v>255</v>
      </c>
      <c r="EK5" t="s">
        <v>145</v>
      </c>
      <c r="EL5" t="s">
        <v>145</v>
      </c>
      <c r="EM5" t="s">
        <v>145</v>
      </c>
      <c r="EN5" t="s">
        <v>145</v>
      </c>
      <c r="EO5">
        <v>6.5</v>
      </c>
      <c r="EP5" t="s">
        <v>237</v>
      </c>
      <c r="EQ5">
        <v>1</v>
      </c>
      <c r="ER5">
        <v>1</v>
      </c>
      <c r="ES5" s="150">
        <v>7.726063181866758</v>
      </c>
      <c r="ET5" s="152" t="s">
        <v>238</v>
      </c>
      <c r="EU5" s="150">
        <v>5.6492371212494549E-2</v>
      </c>
      <c r="EV5" s="150">
        <v>5.6492371212494549E-2</v>
      </c>
      <c r="EW5" s="127">
        <v>1100</v>
      </c>
      <c r="EX5" t="s">
        <v>239</v>
      </c>
      <c r="EY5" t="s">
        <v>240</v>
      </c>
      <c r="EZ5" s="127">
        <v>1100</v>
      </c>
      <c r="FA5" s="127">
        <v>350</v>
      </c>
      <c r="FB5" s="127">
        <v>350</v>
      </c>
      <c r="FC5" t="s">
        <v>241</v>
      </c>
      <c r="FD5" t="s">
        <v>242</v>
      </c>
      <c r="FE5" s="127">
        <v>2500</v>
      </c>
      <c r="FF5" s="127">
        <v>470</v>
      </c>
      <c r="FG5" s="127">
        <v>470</v>
      </c>
      <c r="FH5" s="147">
        <v>2299.8703218958185</v>
      </c>
      <c r="FI5" s="147">
        <v>460</v>
      </c>
      <c r="FJ5" s="147">
        <v>460</v>
      </c>
      <c r="FK5" t="s">
        <v>145</v>
      </c>
      <c r="FL5" t="s">
        <v>145</v>
      </c>
      <c r="FM5" t="s">
        <v>145</v>
      </c>
      <c r="FN5" t="s">
        <v>145</v>
      </c>
      <c r="FO5" t="s">
        <v>145</v>
      </c>
      <c r="FP5" t="s">
        <v>145</v>
      </c>
      <c r="FQ5" t="s">
        <v>243</v>
      </c>
    </row>
    <row r="6" spans="1:191">
      <c r="A6" t="s">
        <v>142</v>
      </c>
      <c r="B6" t="s">
        <v>143</v>
      </c>
      <c r="C6">
        <v>2016</v>
      </c>
      <c r="D6" t="s">
        <v>144</v>
      </c>
      <c r="E6" s="126">
        <v>44400</v>
      </c>
      <c r="F6">
        <v>100</v>
      </c>
      <c r="G6">
        <v>400</v>
      </c>
      <c r="H6" s="127">
        <v>920</v>
      </c>
      <c r="I6" s="127">
        <v>320</v>
      </c>
      <c r="J6" s="127">
        <v>320</v>
      </c>
      <c r="K6" t="s">
        <v>146</v>
      </c>
      <c r="L6" s="132" t="s">
        <v>147</v>
      </c>
      <c r="M6" s="1" t="s">
        <v>292</v>
      </c>
      <c r="N6" t="s">
        <v>144</v>
      </c>
      <c r="O6" s="134" t="s">
        <v>150</v>
      </c>
      <c r="P6" t="s">
        <v>145</v>
      </c>
      <c r="Q6">
        <v>9</v>
      </c>
      <c r="R6">
        <v>3</v>
      </c>
      <c r="S6" s="153">
        <v>90</v>
      </c>
      <c r="T6" s="153">
        <v>100</v>
      </c>
      <c r="U6" t="s">
        <v>145</v>
      </c>
      <c r="V6" t="s">
        <v>145</v>
      </c>
      <c r="W6" t="s">
        <v>145</v>
      </c>
      <c r="X6" t="s">
        <v>149</v>
      </c>
      <c r="Y6">
        <v>-8.9177140000000001</v>
      </c>
      <c r="Z6">
        <v>39.503647123608502</v>
      </c>
      <c r="AA6">
        <v>-19</v>
      </c>
      <c r="AB6" t="s">
        <v>145</v>
      </c>
      <c r="AC6" t="s">
        <v>145</v>
      </c>
      <c r="AD6" t="s">
        <v>155</v>
      </c>
      <c r="AE6" t="s">
        <v>156</v>
      </c>
      <c r="AF6" t="s">
        <v>145</v>
      </c>
      <c r="AG6" s="126">
        <v>44400</v>
      </c>
      <c r="AH6" t="s">
        <v>160</v>
      </c>
      <c r="AI6">
        <v>100</v>
      </c>
      <c r="AJ6">
        <v>400</v>
      </c>
      <c r="AK6" t="s">
        <v>158</v>
      </c>
      <c r="AL6" t="s">
        <v>157</v>
      </c>
      <c r="AM6" s="152" t="s">
        <v>253</v>
      </c>
      <c r="AN6" t="s">
        <v>145</v>
      </c>
      <c r="AO6" t="s">
        <v>145</v>
      </c>
      <c r="AP6" t="s">
        <v>145</v>
      </c>
      <c r="AQ6" t="s">
        <v>145</v>
      </c>
      <c r="AR6" t="s">
        <v>145</v>
      </c>
      <c r="AS6" t="s">
        <v>145</v>
      </c>
      <c r="AT6" t="s">
        <v>145</v>
      </c>
      <c r="AU6" s="171" t="s">
        <v>170</v>
      </c>
      <c r="AV6" s="137" t="s">
        <v>171</v>
      </c>
      <c r="AW6" t="s">
        <v>163</v>
      </c>
      <c r="AX6" s="138" t="s">
        <v>164</v>
      </c>
      <c r="AY6" t="s">
        <v>165</v>
      </c>
      <c r="AZ6" t="s">
        <v>166</v>
      </c>
      <c r="BA6" t="s">
        <v>167</v>
      </c>
      <c r="BB6" s="152" t="s">
        <v>254</v>
      </c>
      <c r="BC6" t="s">
        <v>145</v>
      </c>
      <c r="BD6" t="s">
        <v>145</v>
      </c>
      <c r="BE6" s="150">
        <v>14.82</v>
      </c>
      <c r="BF6" t="s">
        <v>168</v>
      </c>
      <c r="BG6" s="151">
        <v>0.28000000000000003</v>
      </c>
      <c r="BH6">
        <v>1</v>
      </c>
      <c r="BI6" t="s">
        <v>188</v>
      </c>
      <c r="BJ6" t="s">
        <v>188</v>
      </c>
      <c r="BK6">
        <v>0</v>
      </c>
      <c r="BL6" t="s">
        <v>189</v>
      </c>
      <c r="BM6" t="s">
        <v>189</v>
      </c>
      <c r="BN6" t="s">
        <v>190</v>
      </c>
      <c r="BO6" t="s">
        <v>145</v>
      </c>
      <c r="BP6" s="143">
        <v>14.82</v>
      </c>
      <c r="BQ6" t="s">
        <v>191</v>
      </c>
      <c r="BR6">
        <v>0.28000000000000003</v>
      </c>
      <c r="BS6" t="s">
        <v>191</v>
      </c>
      <c r="BT6" t="s">
        <v>145</v>
      </c>
      <c r="BU6">
        <v>0</v>
      </c>
      <c r="BV6" t="s">
        <v>194</v>
      </c>
      <c r="BW6" t="s">
        <v>194</v>
      </c>
      <c r="BX6" s="126">
        <v>29.77</v>
      </c>
      <c r="BY6" t="s">
        <v>195</v>
      </c>
      <c r="BZ6">
        <v>2</v>
      </c>
      <c r="CA6">
        <v>2</v>
      </c>
      <c r="CB6" t="s">
        <v>145</v>
      </c>
      <c r="CC6" t="s">
        <v>196</v>
      </c>
      <c r="CD6" t="s">
        <v>145</v>
      </c>
      <c r="CE6" t="s">
        <v>145</v>
      </c>
      <c r="CF6" t="s">
        <v>145</v>
      </c>
      <c r="CG6" t="s">
        <v>145</v>
      </c>
      <c r="CH6" t="s">
        <v>145</v>
      </c>
      <c r="CI6" t="s">
        <v>145</v>
      </c>
      <c r="CJ6" t="s">
        <v>145</v>
      </c>
      <c r="CK6" t="s">
        <v>197</v>
      </c>
      <c r="CL6" t="s">
        <v>197</v>
      </c>
      <c r="CM6" t="s">
        <v>197</v>
      </c>
      <c r="CN6" t="s">
        <v>145</v>
      </c>
      <c r="CO6" s="146" t="s">
        <v>213</v>
      </c>
      <c r="CP6" t="s">
        <v>201</v>
      </c>
      <c r="CQ6">
        <v>0.12</v>
      </c>
      <c r="CR6" t="s">
        <v>214</v>
      </c>
      <c r="CS6" t="s">
        <v>215</v>
      </c>
      <c r="CT6" t="s">
        <v>204</v>
      </c>
      <c r="CU6">
        <v>35</v>
      </c>
      <c r="CV6" t="s">
        <v>195</v>
      </c>
      <c r="CW6">
        <v>2</v>
      </c>
      <c r="CX6" t="s">
        <v>205</v>
      </c>
      <c r="CY6">
        <v>1.7000000000000001E-2</v>
      </c>
      <c r="CZ6" t="s">
        <v>206</v>
      </c>
      <c r="DA6">
        <v>3.0000000000000001E-3</v>
      </c>
      <c r="DB6" t="s">
        <v>216</v>
      </c>
      <c r="DC6">
        <v>3.7999999999999999E-2</v>
      </c>
      <c r="DD6" t="s">
        <v>206</v>
      </c>
      <c r="DE6">
        <v>3.0000000000000001E-3</v>
      </c>
      <c r="DF6" t="s">
        <v>287</v>
      </c>
      <c r="DG6" t="s">
        <v>208</v>
      </c>
      <c r="DH6" t="s">
        <v>145</v>
      </c>
      <c r="DI6" t="s">
        <v>145</v>
      </c>
      <c r="DJ6" t="s">
        <v>145</v>
      </c>
      <c r="DK6">
        <v>432.6</v>
      </c>
      <c r="DL6" t="s">
        <v>225</v>
      </c>
      <c r="DM6" t="s">
        <v>225</v>
      </c>
      <c r="DN6" t="s">
        <v>286</v>
      </c>
      <c r="DO6" s="152">
        <v>38.450000000000003</v>
      </c>
      <c r="DP6" s="152" t="s">
        <v>226</v>
      </c>
      <c r="DQ6" s="152">
        <v>0.25</v>
      </c>
      <c r="DR6" t="s">
        <v>227</v>
      </c>
      <c r="DS6" t="s">
        <v>228</v>
      </c>
      <c r="DT6" t="s">
        <v>229</v>
      </c>
      <c r="DU6">
        <v>1.0271999999999999</v>
      </c>
      <c r="DV6" t="s">
        <v>230</v>
      </c>
      <c r="DW6" t="s">
        <v>230</v>
      </c>
      <c r="DX6" t="s">
        <v>264</v>
      </c>
      <c r="DY6" t="s">
        <v>230</v>
      </c>
      <c r="DZ6" t="s">
        <v>230</v>
      </c>
      <c r="EA6" t="s">
        <v>231</v>
      </c>
      <c r="EB6" t="s">
        <v>232</v>
      </c>
      <c r="EC6" t="s">
        <v>233</v>
      </c>
      <c r="ED6" t="s">
        <v>233</v>
      </c>
      <c r="EE6" t="s">
        <v>233</v>
      </c>
      <c r="EF6" s="152" t="s">
        <v>234</v>
      </c>
      <c r="EG6" s="152" t="s">
        <v>229</v>
      </c>
      <c r="EH6" t="s">
        <v>235</v>
      </c>
      <c r="EI6" t="s">
        <v>236</v>
      </c>
      <c r="EJ6" s="152" t="s">
        <v>255</v>
      </c>
      <c r="EK6" t="s">
        <v>145</v>
      </c>
      <c r="EL6" t="s">
        <v>145</v>
      </c>
      <c r="EM6" t="s">
        <v>145</v>
      </c>
      <c r="EN6" t="s">
        <v>145</v>
      </c>
      <c r="EO6">
        <v>6.5</v>
      </c>
      <c r="EP6" t="s">
        <v>237</v>
      </c>
      <c r="EQ6">
        <v>1</v>
      </c>
      <c r="ER6">
        <v>1</v>
      </c>
      <c r="ES6" s="150">
        <v>7.7680022325377838</v>
      </c>
      <c r="ET6" s="152" t="s">
        <v>238</v>
      </c>
      <c r="EU6" s="150">
        <v>5.8135775294326994E-2</v>
      </c>
      <c r="EV6" s="150">
        <v>5.8135775294326994E-2</v>
      </c>
      <c r="EW6" s="127">
        <v>920</v>
      </c>
      <c r="EX6" t="s">
        <v>239</v>
      </c>
      <c r="EY6" t="s">
        <v>240</v>
      </c>
      <c r="EZ6" s="127">
        <v>920</v>
      </c>
      <c r="FA6" s="127">
        <v>320</v>
      </c>
      <c r="FB6" s="127">
        <v>320</v>
      </c>
      <c r="FC6" t="s">
        <v>241</v>
      </c>
      <c r="FD6" t="s">
        <v>242</v>
      </c>
      <c r="FE6" s="127">
        <v>2400</v>
      </c>
      <c r="FF6" s="127">
        <v>460</v>
      </c>
      <c r="FG6" s="127">
        <v>460</v>
      </c>
      <c r="FH6" s="147">
        <v>2200</v>
      </c>
      <c r="FI6" s="147">
        <v>450.16630951793434</v>
      </c>
      <c r="FJ6" s="147">
        <v>450.16630951793434</v>
      </c>
      <c r="FK6" t="s">
        <v>145</v>
      </c>
      <c r="FL6" t="s">
        <v>145</v>
      </c>
      <c r="FM6" t="s">
        <v>145</v>
      </c>
      <c r="FN6" t="s">
        <v>145</v>
      </c>
      <c r="FO6" t="s">
        <v>145</v>
      </c>
      <c r="FP6" t="s">
        <v>145</v>
      </c>
      <c r="FQ6" t="s">
        <v>243</v>
      </c>
    </row>
    <row r="7" spans="1:191">
      <c r="A7" t="s">
        <v>142</v>
      </c>
      <c r="B7" t="s">
        <v>143</v>
      </c>
      <c r="C7">
        <v>2016</v>
      </c>
      <c r="D7" t="s">
        <v>144</v>
      </c>
      <c r="E7" s="126">
        <v>36900</v>
      </c>
      <c r="F7">
        <v>600</v>
      </c>
      <c r="G7">
        <v>600</v>
      </c>
      <c r="H7" s="127">
        <v>770</v>
      </c>
      <c r="I7" s="127">
        <v>300</v>
      </c>
      <c r="J7" s="127">
        <v>300</v>
      </c>
      <c r="K7" t="s">
        <v>146</v>
      </c>
      <c r="L7" s="132" t="s">
        <v>147</v>
      </c>
      <c r="M7" s="1" t="s">
        <v>292</v>
      </c>
      <c r="N7" t="s">
        <v>144</v>
      </c>
      <c r="O7" s="134" t="s">
        <v>151</v>
      </c>
      <c r="P7" s="152" t="s">
        <v>250</v>
      </c>
      <c r="Q7" t="s">
        <v>145</v>
      </c>
      <c r="R7" t="s">
        <v>145</v>
      </c>
      <c r="S7" s="153" t="s">
        <v>145</v>
      </c>
      <c r="T7" s="153" t="s">
        <v>145</v>
      </c>
      <c r="U7" t="s">
        <v>145</v>
      </c>
      <c r="V7" t="s">
        <v>145</v>
      </c>
      <c r="W7" t="s">
        <v>145</v>
      </c>
      <c r="X7" t="s">
        <v>149</v>
      </c>
      <c r="Y7">
        <v>-9.9022539999999992</v>
      </c>
      <c r="Z7">
        <v>39.704583526938102</v>
      </c>
      <c r="AA7">
        <v>-19</v>
      </c>
      <c r="AB7" t="s">
        <v>145</v>
      </c>
      <c r="AC7" t="s">
        <v>145</v>
      </c>
      <c r="AD7" t="s">
        <v>155</v>
      </c>
      <c r="AE7" t="s">
        <v>156</v>
      </c>
      <c r="AF7" t="s">
        <v>145</v>
      </c>
      <c r="AG7" s="126">
        <v>36900</v>
      </c>
      <c r="AH7" t="s">
        <v>160</v>
      </c>
      <c r="AI7">
        <v>600</v>
      </c>
      <c r="AJ7">
        <v>600</v>
      </c>
      <c r="AK7" t="s">
        <v>158</v>
      </c>
      <c r="AL7" t="s">
        <v>157</v>
      </c>
      <c r="AM7" s="152" t="s">
        <v>253</v>
      </c>
      <c r="AN7" t="s">
        <v>145</v>
      </c>
      <c r="AO7" t="s">
        <v>145</v>
      </c>
      <c r="AP7" t="s">
        <v>145</v>
      </c>
      <c r="AQ7" t="s">
        <v>145</v>
      </c>
      <c r="AR7" t="s">
        <v>145</v>
      </c>
      <c r="AS7" t="s">
        <v>145</v>
      </c>
      <c r="AT7" t="s">
        <v>145</v>
      </c>
      <c r="AU7" s="170" t="s">
        <v>172</v>
      </c>
      <c r="AV7" s="137" t="s">
        <v>173</v>
      </c>
      <c r="AW7" t="s">
        <v>163</v>
      </c>
      <c r="AX7" s="138" t="s">
        <v>164</v>
      </c>
      <c r="AY7" t="s">
        <v>165</v>
      </c>
      <c r="AZ7" t="s">
        <v>166</v>
      </c>
      <c r="BA7" t="s">
        <v>167</v>
      </c>
      <c r="BB7" s="152" t="s">
        <v>254</v>
      </c>
      <c r="BC7" t="s">
        <v>145</v>
      </c>
      <c r="BD7" t="s">
        <v>145</v>
      </c>
      <c r="BE7" s="150">
        <v>13.57</v>
      </c>
      <c r="BF7" t="s">
        <v>168</v>
      </c>
      <c r="BG7" s="151">
        <v>0.42</v>
      </c>
      <c r="BH7">
        <v>1</v>
      </c>
      <c r="BI7" t="s">
        <v>188</v>
      </c>
      <c r="BJ7" t="s">
        <v>188</v>
      </c>
      <c r="BK7">
        <v>0</v>
      </c>
      <c r="BL7" t="s">
        <v>189</v>
      </c>
      <c r="BM7" t="s">
        <v>189</v>
      </c>
      <c r="BN7" t="s">
        <v>248</v>
      </c>
      <c r="BO7" t="s">
        <v>145</v>
      </c>
      <c r="BP7" s="143">
        <v>15.21</v>
      </c>
      <c r="BQ7" t="s">
        <v>191</v>
      </c>
      <c r="BR7">
        <v>0.42</v>
      </c>
      <c r="BS7" t="s">
        <v>191</v>
      </c>
      <c r="BT7" t="s">
        <v>145</v>
      </c>
      <c r="BU7">
        <v>75</v>
      </c>
      <c r="BV7" t="s">
        <v>194</v>
      </c>
      <c r="BW7" t="s">
        <v>194</v>
      </c>
      <c r="BX7" s="126">
        <v>31.44</v>
      </c>
      <c r="BY7" t="s">
        <v>195</v>
      </c>
      <c r="BZ7">
        <v>2</v>
      </c>
      <c r="CA7">
        <v>2</v>
      </c>
      <c r="CB7" t="s">
        <v>145</v>
      </c>
      <c r="CC7" t="s">
        <v>196</v>
      </c>
      <c r="CD7" t="s">
        <v>145</v>
      </c>
      <c r="CE7" t="s">
        <v>145</v>
      </c>
      <c r="CF7" t="s">
        <v>145</v>
      </c>
      <c r="CG7" t="s">
        <v>145</v>
      </c>
      <c r="CH7" t="s">
        <v>145</v>
      </c>
      <c r="CI7" t="s">
        <v>145</v>
      </c>
      <c r="CJ7" t="s">
        <v>145</v>
      </c>
      <c r="CK7" t="s">
        <v>197</v>
      </c>
      <c r="CL7" t="s">
        <v>197</v>
      </c>
      <c r="CM7" t="s">
        <v>197</v>
      </c>
      <c r="CN7" t="s">
        <v>145</v>
      </c>
      <c r="CO7" s="146" t="s">
        <v>217</v>
      </c>
      <c r="CP7" t="s">
        <v>201</v>
      </c>
      <c r="CQ7">
        <v>0.12</v>
      </c>
      <c r="CR7" t="s">
        <v>218</v>
      </c>
      <c r="CS7" t="s">
        <v>219</v>
      </c>
      <c r="CT7" t="s">
        <v>204</v>
      </c>
      <c r="CU7">
        <v>35</v>
      </c>
      <c r="CV7" t="s">
        <v>195</v>
      </c>
      <c r="CW7">
        <v>2</v>
      </c>
      <c r="CX7" t="s">
        <v>205</v>
      </c>
      <c r="CY7">
        <v>1.7000000000000001E-2</v>
      </c>
      <c r="CZ7" t="s">
        <v>206</v>
      </c>
      <c r="DA7">
        <v>3.0000000000000001E-3</v>
      </c>
      <c r="DB7" t="s">
        <v>220</v>
      </c>
      <c r="DC7">
        <v>3.7999999999999999E-2</v>
      </c>
      <c r="DD7" t="s">
        <v>206</v>
      </c>
      <c r="DE7">
        <v>3.0000000000000001E-3</v>
      </c>
      <c r="DF7" t="s">
        <v>287</v>
      </c>
      <c r="DG7" t="s">
        <v>208</v>
      </c>
      <c r="DH7" t="s">
        <v>145</v>
      </c>
      <c r="DI7" t="s">
        <v>145</v>
      </c>
      <c r="DJ7" t="s">
        <v>145</v>
      </c>
      <c r="DK7">
        <v>432.6</v>
      </c>
      <c r="DL7" t="s">
        <v>225</v>
      </c>
      <c r="DM7" t="s">
        <v>225</v>
      </c>
      <c r="DN7" t="s">
        <v>286</v>
      </c>
      <c r="DO7" s="152">
        <v>38.450000000000003</v>
      </c>
      <c r="DP7" s="152" t="s">
        <v>226</v>
      </c>
      <c r="DQ7" s="152">
        <v>0.25</v>
      </c>
      <c r="DR7" t="s">
        <v>227</v>
      </c>
      <c r="DS7" t="s">
        <v>228</v>
      </c>
      <c r="DT7" t="s">
        <v>229</v>
      </c>
      <c r="DU7">
        <v>1.0271999999999999</v>
      </c>
      <c r="DV7" t="s">
        <v>230</v>
      </c>
      <c r="DW7" t="s">
        <v>230</v>
      </c>
      <c r="DX7" t="s">
        <v>264</v>
      </c>
      <c r="DY7" t="s">
        <v>230</v>
      </c>
      <c r="DZ7" t="s">
        <v>230</v>
      </c>
      <c r="EA7" t="s">
        <v>231</v>
      </c>
      <c r="EB7" t="s">
        <v>232</v>
      </c>
      <c r="EC7" t="s">
        <v>233</v>
      </c>
      <c r="ED7" t="s">
        <v>233</v>
      </c>
      <c r="EE7" t="s">
        <v>233</v>
      </c>
      <c r="EF7" s="152" t="s">
        <v>234</v>
      </c>
      <c r="EG7" s="152" t="s">
        <v>229</v>
      </c>
      <c r="EH7" t="s">
        <v>235</v>
      </c>
      <c r="EI7" t="s">
        <v>236</v>
      </c>
      <c r="EJ7" s="152" t="s">
        <v>255</v>
      </c>
      <c r="EK7" t="s">
        <v>145</v>
      </c>
      <c r="EL7" t="s">
        <v>145</v>
      </c>
      <c r="EM7" t="s">
        <v>145</v>
      </c>
      <c r="EN7" t="s">
        <v>145</v>
      </c>
      <c r="EO7">
        <v>6.5</v>
      </c>
      <c r="EP7" t="s">
        <v>237</v>
      </c>
      <c r="EQ7">
        <v>1</v>
      </c>
      <c r="ER7">
        <v>1</v>
      </c>
      <c r="ES7" s="150">
        <v>7.7975804764346694</v>
      </c>
      <c r="ET7" s="152" t="s">
        <v>238</v>
      </c>
      <c r="EU7" s="150">
        <v>6.6918349461305995E-2</v>
      </c>
      <c r="EV7" s="150">
        <v>6.6918349461305995E-2</v>
      </c>
      <c r="EW7" s="155">
        <v>770</v>
      </c>
      <c r="EX7" s="152" t="s">
        <v>239</v>
      </c>
      <c r="EY7" s="152" t="s">
        <v>240</v>
      </c>
      <c r="EZ7" s="155">
        <v>770</v>
      </c>
      <c r="FA7" s="155">
        <v>300</v>
      </c>
      <c r="FB7" s="155">
        <v>300</v>
      </c>
      <c r="FC7" t="s">
        <v>241</v>
      </c>
      <c r="FD7" s="152" t="s">
        <v>242</v>
      </c>
      <c r="FE7" s="155">
        <v>2200</v>
      </c>
      <c r="FF7" s="155">
        <v>440</v>
      </c>
      <c r="FG7" s="155">
        <v>440</v>
      </c>
      <c r="FH7" s="159">
        <v>2000</v>
      </c>
      <c r="FI7" s="159">
        <v>430</v>
      </c>
      <c r="FJ7" s="159">
        <v>430</v>
      </c>
      <c r="FK7" s="152" t="s">
        <v>145</v>
      </c>
      <c r="FL7" t="s">
        <v>145</v>
      </c>
      <c r="FM7" t="s">
        <v>145</v>
      </c>
      <c r="FN7" t="s">
        <v>145</v>
      </c>
      <c r="FO7" t="s">
        <v>145</v>
      </c>
      <c r="FP7" t="s">
        <v>145</v>
      </c>
      <c r="FQ7" t="s">
        <v>243</v>
      </c>
    </row>
    <row r="8" spans="1:191">
      <c r="A8" t="s">
        <v>142</v>
      </c>
      <c r="B8" t="s">
        <v>143</v>
      </c>
      <c r="C8">
        <v>2016</v>
      </c>
      <c r="D8" t="s">
        <v>144</v>
      </c>
      <c r="E8" s="126">
        <v>40300</v>
      </c>
      <c r="F8">
        <v>300</v>
      </c>
      <c r="G8">
        <v>300</v>
      </c>
      <c r="H8" s="127">
        <v>650</v>
      </c>
      <c r="I8" s="127">
        <v>220</v>
      </c>
      <c r="J8" s="127">
        <v>220</v>
      </c>
      <c r="K8" t="s">
        <v>146</v>
      </c>
      <c r="L8" s="132" t="s">
        <v>147</v>
      </c>
      <c r="M8" s="1" t="s">
        <v>292</v>
      </c>
      <c r="N8" t="s">
        <v>144</v>
      </c>
      <c r="O8" s="134" t="s">
        <v>152</v>
      </c>
      <c r="P8" t="s">
        <v>145</v>
      </c>
      <c r="Q8">
        <v>18</v>
      </c>
      <c r="R8">
        <v>2</v>
      </c>
      <c r="S8" s="153" t="s">
        <v>251</v>
      </c>
      <c r="T8" s="153" t="s">
        <v>252</v>
      </c>
      <c r="U8" t="s">
        <v>145</v>
      </c>
      <c r="V8" t="s">
        <v>145</v>
      </c>
      <c r="W8" t="s">
        <v>145</v>
      </c>
      <c r="X8" t="s">
        <v>149</v>
      </c>
      <c r="Y8">
        <v>-9.2652370000000008</v>
      </c>
      <c r="Z8">
        <v>39.533895288001098</v>
      </c>
      <c r="AA8">
        <v>-19</v>
      </c>
      <c r="AB8" t="s">
        <v>145</v>
      </c>
      <c r="AC8" t="s">
        <v>145</v>
      </c>
      <c r="AD8" t="s">
        <v>155</v>
      </c>
      <c r="AE8" t="s">
        <v>156</v>
      </c>
      <c r="AF8" t="s">
        <v>145</v>
      </c>
      <c r="AG8" s="126">
        <v>40300</v>
      </c>
      <c r="AH8" t="s">
        <v>160</v>
      </c>
      <c r="AI8">
        <v>300</v>
      </c>
      <c r="AJ8">
        <v>300</v>
      </c>
      <c r="AK8" t="s">
        <v>158</v>
      </c>
      <c r="AL8" t="s">
        <v>157</v>
      </c>
      <c r="AM8" s="152" t="s">
        <v>253</v>
      </c>
      <c r="AN8" t="s">
        <v>145</v>
      </c>
      <c r="AO8" t="s">
        <v>145</v>
      </c>
      <c r="AP8" t="s">
        <v>145</v>
      </c>
      <c r="AQ8" t="s">
        <v>145</v>
      </c>
      <c r="AR8" t="s">
        <v>145</v>
      </c>
      <c r="AS8" t="s">
        <v>145</v>
      </c>
      <c r="AT8" t="s">
        <v>145</v>
      </c>
      <c r="AU8" s="172" t="s">
        <v>174</v>
      </c>
      <c r="AV8" s="140" t="s">
        <v>162</v>
      </c>
      <c r="AW8" t="s">
        <v>163</v>
      </c>
      <c r="AX8" s="138" t="s">
        <v>164</v>
      </c>
      <c r="AY8" t="s">
        <v>175</v>
      </c>
      <c r="AZ8" t="s">
        <v>166</v>
      </c>
      <c r="BA8" t="s">
        <v>167</v>
      </c>
      <c r="BB8" s="152" t="s">
        <v>254</v>
      </c>
      <c r="BC8" t="s">
        <v>145</v>
      </c>
      <c r="BD8" t="s">
        <v>145</v>
      </c>
      <c r="BE8" s="150">
        <v>15.5</v>
      </c>
      <c r="BF8" t="s">
        <v>168</v>
      </c>
      <c r="BG8" s="151">
        <v>0.27</v>
      </c>
      <c r="BH8">
        <v>1</v>
      </c>
      <c r="BI8" t="s">
        <v>188</v>
      </c>
      <c r="BJ8" t="s">
        <v>188</v>
      </c>
      <c r="BK8">
        <v>0</v>
      </c>
      <c r="BL8" t="s">
        <v>189</v>
      </c>
      <c r="BM8" t="s">
        <v>189</v>
      </c>
      <c r="BN8" t="s">
        <v>190</v>
      </c>
      <c r="BO8" t="s">
        <v>145</v>
      </c>
      <c r="BP8" s="143">
        <v>15.5</v>
      </c>
      <c r="BQ8" t="s">
        <v>191</v>
      </c>
      <c r="BR8">
        <v>0.27</v>
      </c>
      <c r="BS8" t="s">
        <v>191</v>
      </c>
      <c r="BT8" t="s">
        <v>145</v>
      </c>
      <c r="BU8">
        <v>0</v>
      </c>
      <c r="BV8" t="s">
        <v>194</v>
      </c>
      <c r="BW8" t="s">
        <v>194</v>
      </c>
      <c r="BX8" s="126">
        <v>31.83</v>
      </c>
      <c r="BY8" t="s">
        <v>195</v>
      </c>
      <c r="BZ8">
        <v>2</v>
      </c>
      <c r="CA8">
        <v>2</v>
      </c>
      <c r="CB8" t="s">
        <v>145</v>
      </c>
      <c r="CC8" t="s">
        <v>196</v>
      </c>
      <c r="CD8" t="s">
        <v>145</v>
      </c>
      <c r="CE8" t="s">
        <v>145</v>
      </c>
      <c r="CF8" t="s">
        <v>145</v>
      </c>
      <c r="CG8" t="s">
        <v>145</v>
      </c>
      <c r="CH8" t="s">
        <v>145</v>
      </c>
      <c r="CI8" t="s">
        <v>145</v>
      </c>
      <c r="CJ8" t="s">
        <v>145</v>
      </c>
      <c r="CK8" t="s">
        <v>197</v>
      </c>
      <c r="CL8" t="s">
        <v>197</v>
      </c>
      <c r="CM8" t="s">
        <v>197</v>
      </c>
      <c r="CN8" t="s">
        <v>145</v>
      </c>
      <c r="CO8" s="146" t="s">
        <v>221</v>
      </c>
      <c r="CP8" t="s">
        <v>201</v>
      </c>
      <c r="CQ8">
        <v>0.12</v>
      </c>
      <c r="CR8" t="s">
        <v>222</v>
      </c>
      <c r="CS8" t="s">
        <v>223</v>
      </c>
      <c r="CT8" t="s">
        <v>204</v>
      </c>
      <c r="CU8">
        <v>35</v>
      </c>
      <c r="CV8" t="s">
        <v>195</v>
      </c>
      <c r="CW8">
        <v>2</v>
      </c>
      <c r="CX8" t="s">
        <v>205</v>
      </c>
      <c r="CY8">
        <v>1.7000000000000001E-2</v>
      </c>
      <c r="CZ8" t="s">
        <v>206</v>
      </c>
      <c r="DA8">
        <v>3.0000000000000001E-3</v>
      </c>
      <c r="DB8" t="s">
        <v>224</v>
      </c>
      <c r="DC8">
        <v>3.7999999999999999E-2</v>
      </c>
      <c r="DD8" t="s">
        <v>206</v>
      </c>
      <c r="DE8">
        <v>3.0000000000000001E-3</v>
      </c>
      <c r="DF8" t="s">
        <v>287</v>
      </c>
      <c r="DG8" t="s">
        <v>208</v>
      </c>
      <c r="DH8" t="s">
        <v>145</v>
      </c>
      <c r="DI8" t="s">
        <v>145</v>
      </c>
      <c r="DJ8" t="s">
        <v>145</v>
      </c>
      <c r="DK8">
        <v>432.6</v>
      </c>
      <c r="DL8" t="s">
        <v>225</v>
      </c>
      <c r="DM8" t="s">
        <v>225</v>
      </c>
      <c r="DN8" t="s">
        <v>286</v>
      </c>
      <c r="DO8" s="152">
        <v>38.450000000000003</v>
      </c>
      <c r="DP8" s="152" t="s">
        <v>226</v>
      </c>
      <c r="DQ8" s="152">
        <v>0.25</v>
      </c>
      <c r="DR8" t="s">
        <v>227</v>
      </c>
      <c r="DS8" t="s">
        <v>228</v>
      </c>
      <c r="DT8" t="s">
        <v>229</v>
      </c>
      <c r="DU8">
        <v>1.0271999999999999</v>
      </c>
      <c r="DV8" t="s">
        <v>230</v>
      </c>
      <c r="DW8" t="s">
        <v>230</v>
      </c>
      <c r="DX8" t="s">
        <v>264</v>
      </c>
      <c r="DY8" t="s">
        <v>230</v>
      </c>
      <c r="DZ8" t="s">
        <v>230</v>
      </c>
      <c r="EA8" t="s">
        <v>231</v>
      </c>
      <c r="EB8" t="s">
        <v>232</v>
      </c>
      <c r="EC8" t="s">
        <v>233</v>
      </c>
      <c r="ED8" t="s">
        <v>233</v>
      </c>
      <c r="EE8" t="s">
        <v>233</v>
      </c>
      <c r="EF8" s="152" t="s">
        <v>234</v>
      </c>
      <c r="EG8" s="152" t="s">
        <v>229</v>
      </c>
      <c r="EH8" t="s">
        <v>235</v>
      </c>
      <c r="EI8" t="s">
        <v>236</v>
      </c>
      <c r="EJ8" s="152" t="s">
        <v>255</v>
      </c>
      <c r="EK8" t="s">
        <v>145</v>
      </c>
      <c r="EL8" t="s">
        <v>145</v>
      </c>
      <c r="EM8" t="s">
        <v>145</v>
      </c>
      <c r="EN8" t="s">
        <v>145</v>
      </c>
      <c r="EO8">
        <v>6.5</v>
      </c>
      <c r="EP8" t="s">
        <v>237</v>
      </c>
      <c r="EQ8">
        <v>1</v>
      </c>
      <c r="ER8">
        <v>1</v>
      </c>
      <c r="ES8" s="150">
        <v>7.8277189314585867</v>
      </c>
      <c r="ET8" s="152" t="s">
        <v>238</v>
      </c>
      <c r="EU8" s="150">
        <v>5.2117617670079198E-2</v>
      </c>
      <c r="EV8" s="156">
        <v>5.2117617670079198E-2</v>
      </c>
      <c r="EW8" s="157">
        <v>650</v>
      </c>
      <c r="EX8" s="158" t="s">
        <v>239</v>
      </c>
      <c r="EY8" s="158" t="s">
        <v>240</v>
      </c>
      <c r="EZ8" s="157">
        <v>650</v>
      </c>
      <c r="FA8" s="155">
        <v>220</v>
      </c>
      <c r="FB8" s="155">
        <v>220</v>
      </c>
      <c r="FC8" t="s">
        <v>241</v>
      </c>
      <c r="FD8" s="152" t="s">
        <v>242</v>
      </c>
      <c r="FE8" s="155">
        <v>2000</v>
      </c>
      <c r="FF8" s="155">
        <v>370</v>
      </c>
      <c r="FG8" s="155">
        <v>370</v>
      </c>
      <c r="FH8" s="159">
        <v>1800</v>
      </c>
      <c r="FI8" s="159">
        <v>350</v>
      </c>
      <c r="FJ8" s="159">
        <v>350</v>
      </c>
      <c r="FK8" s="152" t="s">
        <v>145</v>
      </c>
      <c r="FL8" t="s">
        <v>145</v>
      </c>
      <c r="FM8" t="s">
        <v>145</v>
      </c>
      <c r="FN8" t="s">
        <v>145</v>
      </c>
      <c r="FO8" t="s">
        <v>145</v>
      </c>
      <c r="FP8" t="s">
        <v>145</v>
      </c>
      <c r="FQ8" t="s">
        <v>243</v>
      </c>
    </row>
    <row r="9" spans="1:191">
      <c r="A9" t="s">
        <v>142</v>
      </c>
      <c r="B9" t="s">
        <v>143</v>
      </c>
      <c r="C9">
        <v>2016</v>
      </c>
      <c r="D9" t="s">
        <v>144</v>
      </c>
      <c r="E9" s="126">
        <v>53200</v>
      </c>
      <c r="F9">
        <v>400</v>
      </c>
      <c r="G9">
        <v>400</v>
      </c>
      <c r="H9" s="127">
        <v>1900</v>
      </c>
      <c r="I9" s="127">
        <v>600</v>
      </c>
      <c r="J9" s="127">
        <v>600</v>
      </c>
      <c r="K9" t="s">
        <v>146</v>
      </c>
      <c r="L9" s="132" t="s">
        <v>147</v>
      </c>
      <c r="M9" s="1" t="s">
        <v>292</v>
      </c>
      <c r="N9" t="s">
        <v>144</v>
      </c>
      <c r="O9" s="134" t="s">
        <v>148</v>
      </c>
      <c r="P9" t="s">
        <v>145</v>
      </c>
      <c r="Q9">
        <v>5</v>
      </c>
      <c r="R9">
        <v>1</v>
      </c>
      <c r="S9" s="153">
        <v>0</v>
      </c>
      <c r="T9" s="153">
        <v>24</v>
      </c>
      <c r="U9" t="s">
        <v>145</v>
      </c>
      <c r="V9" t="s">
        <v>145</v>
      </c>
      <c r="W9" t="s">
        <v>145</v>
      </c>
      <c r="X9" t="s">
        <v>149</v>
      </c>
      <c r="Y9">
        <v>-8.8562069999999995</v>
      </c>
      <c r="Z9">
        <v>39.460911573076601</v>
      </c>
      <c r="AA9">
        <v>-19</v>
      </c>
      <c r="AB9" t="s">
        <v>145</v>
      </c>
      <c r="AC9" t="s">
        <v>145</v>
      </c>
      <c r="AD9" t="s">
        <v>155</v>
      </c>
      <c r="AE9" t="s">
        <v>156</v>
      </c>
      <c r="AF9" t="s">
        <v>145</v>
      </c>
      <c r="AG9" s="126">
        <v>53200</v>
      </c>
      <c r="AH9" t="s">
        <v>160</v>
      </c>
      <c r="AI9">
        <v>400</v>
      </c>
      <c r="AJ9">
        <v>400</v>
      </c>
      <c r="AK9" t="s">
        <v>158</v>
      </c>
      <c r="AL9" t="s">
        <v>157</v>
      </c>
      <c r="AM9" s="152" t="s">
        <v>253</v>
      </c>
      <c r="AN9" t="s">
        <v>145</v>
      </c>
      <c r="AO9" t="s">
        <v>145</v>
      </c>
      <c r="AP9" t="s">
        <v>145</v>
      </c>
      <c r="AQ9" t="s">
        <v>145</v>
      </c>
      <c r="AR9" t="s">
        <v>145</v>
      </c>
      <c r="AS9" t="s">
        <v>145</v>
      </c>
      <c r="AT9" t="s">
        <v>145</v>
      </c>
      <c r="AU9" s="170" t="s">
        <v>161</v>
      </c>
      <c r="AV9" s="137" t="s">
        <v>162</v>
      </c>
      <c r="AW9" t="s">
        <v>163</v>
      </c>
      <c r="AX9" s="138" t="s">
        <v>164</v>
      </c>
      <c r="AY9" t="s">
        <v>165</v>
      </c>
      <c r="AZ9" t="s">
        <v>166</v>
      </c>
      <c r="BA9" t="s">
        <v>167</v>
      </c>
      <c r="BB9" s="152" t="s">
        <v>254</v>
      </c>
      <c r="BC9" t="s">
        <v>145</v>
      </c>
      <c r="BD9" t="s">
        <v>145</v>
      </c>
      <c r="BE9" s="150">
        <v>14.3</v>
      </c>
      <c r="BF9" t="s">
        <v>168</v>
      </c>
      <c r="BG9" s="151">
        <v>0.25</v>
      </c>
      <c r="BH9">
        <v>0.88</v>
      </c>
      <c r="BI9" t="s">
        <v>188</v>
      </c>
      <c r="BJ9" t="s">
        <v>188</v>
      </c>
      <c r="BK9">
        <v>1.85</v>
      </c>
      <c r="BL9" t="s">
        <v>189</v>
      </c>
      <c r="BM9" t="s">
        <v>189</v>
      </c>
      <c r="BN9" t="s">
        <v>192</v>
      </c>
      <c r="BO9" t="s">
        <v>193</v>
      </c>
      <c r="BP9" s="143">
        <f>(BE9-BK9)/BH9</f>
        <v>14.147727272727273</v>
      </c>
      <c r="BQ9" t="s">
        <v>191</v>
      </c>
      <c r="BR9">
        <v>0.25</v>
      </c>
      <c r="BS9" t="s">
        <v>191</v>
      </c>
      <c r="BT9" t="s">
        <v>145</v>
      </c>
      <c r="BU9">
        <v>20</v>
      </c>
      <c r="BV9" t="s">
        <v>194</v>
      </c>
      <c r="BW9" t="s">
        <v>194</v>
      </c>
      <c r="BX9" s="126">
        <v>32.72</v>
      </c>
      <c r="BY9" t="s">
        <v>195</v>
      </c>
      <c r="BZ9">
        <v>2</v>
      </c>
      <c r="CA9">
        <v>2</v>
      </c>
      <c r="CB9" t="s">
        <v>145</v>
      </c>
      <c r="CC9" t="s">
        <v>196</v>
      </c>
      <c r="CD9" t="s">
        <v>145</v>
      </c>
      <c r="CE9" t="s">
        <v>145</v>
      </c>
      <c r="CF9" t="s">
        <v>145</v>
      </c>
      <c r="CG9" t="s">
        <v>145</v>
      </c>
      <c r="CH9" t="s">
        <v>145</v>
      </c>
      <c r="CI9" t="s">
        <v>145</v>
      </c>
      <c r="CJ9" t="s">
        <v>145</v>
      </c>
      <c r="CK9" t="s">
        <v>197</v>
      </c>
      <c r="CL9" t="s">
        <v>197</v>
      </c>
      <c r="CM9" t="s">
        <v>197</v>
      </c>
      <c r="CN9" t="s">
        <v>145</v>
      </c>
      <c r="CO9" s="146" t="s">
        <v>200</v>
      </c>
      <c r="CP9" t="s">
        <v>201</v>
      </c>
      <c r="CQ9">
        <v>0.12</v>
      </c>
      <c r="CR9" t="s">
        <v>202</v>
      </c>
      <c r="CS9" t="s">
        <v>203</v>
      </c>
      <c r="CT9" t="s">
        <v>204</v>
      </c>
      <c r="CU9">
        <v>35</v>
      </c>
      <c r="CV9" t="s">
        <v>195</v>
      </c>
      <c r="CW9">
        <v>2</v>
      </c>
      <c r="CX9" t="s">
        <v>205</v>
      </c>
      <c r="CY9">
        <v>1.7000000000000001E-2</v>
      </c>
      <c r="CZ9" t="s">
        <v>206</v>
      </c>
      <c r="DA9">
        <v>3.0000000000000001E-3</v>
      </c>
      <c r="DB9" t="s">
        <v>207</v>
      </c>
      <c r="DC9">
        <v>3.7999999999999999E-2</v>
      </c>
      <c r="DD9" t="s">
        <v>206</v>
      </c>
      <c r="DE9">
        <v>3.0000000000000001E-3</v>
      </c>
      <c r="DF9" t="s">
        <v>287</v>
      </c>
      <c r="DG9" t="s">
        <v>208</v>
      </c>
      <c r="DH9" t="s">
        <v>145</v>
      </c>
      <c r="DI9" t="s">
        <v>145</v>
      </c>
      <c r="DJ9" t="s">
        <v>145</v>
      </c>
      <c r="DK9">
        <v>432.6</v>
      </c>
      <c r="DL9" t="s">
        <v>225</v>
      </c>
      <c r="DM9" t="s">
        <v>225</v>
      </c>
      <c r="DN9" t="s">
        <v>286</v>
      </c>
      <c r="DO9" s="152">
        <f>AVERAGE(38.6,38.9)</f>
        <v>38.75</v>
      </c>
      <c r="DP9" s="152" t="s">
        <v>226</v>
      </c>
      <c r="DQ9" s="152">
        <v>0.15</v>
      </c>
      <c r="DR9" t="s">
        <v>227</v>
      </c>
      <c r="DS9" t="s">
        <v>228</v>
      </c>
      <c r="DT9" t="s">
        <v>229</v>
      </c>
      <c r="DU9">
        <v>1.0271999999999999</v>
      </c>
      <c r="DV9" t="s">
        <v>230</v>
      </c>
      <c r="DW9" t="s">
        <v>230</v>
      </c>
      <c r="DX9" t="s">
        <v>264</v>
      </c>
      <c r="DY9" t="s">
        <v>230</v>
      </c>
      <c r="DZ9" t="s">
        <v>230</v>
      </c>
      <c r="EA9" t="s">
        <v>231</v>
      </c>
      <c r="EB9" t="s">
        <v>232</v>
      </c>
      <c r="EC9" t="s">
        <v>233</v>
      </c>
      <c r="ED9" t="s">
        <v>233</v>
      </c>
      <c r="EE9" t="s">
        <v>233</v>
      </c>
      <c r="EF9" s="152" t="s">
        <v>234</v>
      </c>
      <c r="EG9" s="152" t="s">
        <v>229</v>
      </c>
      <c r="EH9" t="s">
        <v>235</v>
      </c>
      <c r="EI9" t="s">
        <v>236</v>
      </c>
      <c r="EJ9" s="152" t="s">
        <v>255</v>
      </c>
      <c r="EK9" t="s">
        <v>145</v>
      </c>
      <c r="EL9" t="s">
        <v>145</v>
      </c>
      <c r="EM9" t="s">
        <v>145</v>
      </c>
      <c r="EN9" t="s">
        <v>145</v>
      </c>
      <c r="EO9">
        <v>6.5</v>
      </c>
      <c r="EP9" t="s">
        <v>237</v>
      </c>
      <c r="EQ9">
        <v>1</v>
      </c>
      <c r="ER9">
        <v>1</v>
      </c>
      <c r="ES9" s="150">
        <v>7.5925298831271633</v>
      </c>
      <c r="ET9" s="152" t="s">
        <v>238</v>
      </c>
      <c r="EU9" s="150">
        <v>5.7078814877666868E-2</v>
      </c>
      <c r="EV9" s="156">
        <v>5.7078814877666868E-2</v>
      </c>
      <c r="EW9" s="157">
        <v>1900</v>
      </c>
      <c r="EX9" s="158" t="s">
        <v>239</v>
      </c>
      <c r="EY9" s="158" t="s">
        <v>240</v>
      </c>
      <c r="EZ9" s="157">
        <v>1900</v>
      </c>
      <c r="FA9" s="155">
        <v>600</v>
      </c>
      <c r="FB9" s="155">
        <v>600</v>
      </c>
      <c r="FC9" t="s">
        <v>241</v>
      </c>
      <c r="FD9" s="152" t="s">
        <v>242</v>
      </c>
      <c r="FE9" s="155">
        <v>3100</v>
      </c>
      <c r="FF9" s="155">
        <v>600</v>
      </c>
      <c r="FG9" s="155">
        <v>600</v>
      </c>
      <c r="FH9" s="159">
        <v>3000</v>
      </c>
      <c r="FI9" s="159">
        <v>610</v>
      </c>
      <c r="FJ9" s="159">
        <v>610</v>
      </c>
      <c r="FK9" s="152" t="s">
        <v>145</v>
      </c>
      <c r="FL9" t="s">
        <v>145</v>
      </c>
      <c r="FM9" t="s">
        <v>145</v>
      </c>
      <c r="FN9" t="s">
        <v>145</v>
      </c>
      <c r="FO9" t="s">
        <v>145</v>
      </c>
      <c r="FP9" t="s">
        <v>145</v>
      </c>
      <c r="FQ9" t="s">
        <v>244</v>
      </c>
    </row>
    <row r="10" spans="1:191">
      <c r="A10" t="s">
        <v>142</v>
      </c>
      <c r="B10" t="s">
        <v>143</v>
      </c>
      <c r="C10">
        <v>2016</v>
      </c>
      <c r="D10" t="s">
        <v>144</v>
      </c>
      <c r="E10" s="126">
        <v>45600</v>
      </c>
      <c r="F10">
        <v>300</v>
      </c>
      <c r="G10">
        <v>100</v>
      </c>
      <c r="H10" s="127">
        <v>1400</v>
      </c>
      <c r="I10" s="127">
        <v>410</v>
      </c>
      <c r="J10" s="127">
        <v>410</v>
      </c>
      <c r="K10" t="s">
        <v>146</v>
      </c>
      <c r="L10" s="132" t="s">
        <v>147</v>
      </c>
      <c r="M10" s="1" t="s">
        <v>292</v>
      </c>
      <c r="N10" t="s">
        <v>144</v>
      </c>
      <c r="O10" s="134" t="s">
        <v>150</v>
      </c>
      <c r="P10" t="s">
        <v>145</v>
      </c>
      <c r="Q10">
        <v>19</v>
      </c>
      <c r="R10">
        <v>1</v>
      </c>
      <c r="S10" s="153">
        <v>90</v>
      </c>
      <c r="T10" s="153">
        <v>100</v>
      </c>
      <c r="U10" t="s">
        <v>145</v>
      </c>
      <c r="V10" t="s">
        <v>145</v>
      </c>
      <c r="W10" t="s">
        <v>145</v>
      </c>
      <c r="X10" t="s">
        <v>149</v>
      </c>
      <c r="Y10">
        <v>-8.9177140000000001</v>
      </c>
      <c r="Z10">
        <v>39.503647123608502</v>
      </c>
      <c r="AA10">
        <v>-19</v>
      </c>
      <c r="AB10" t="s">
        <v>145</v>
      </c>
      <c r="AC10" t="s">
        <v>145</v>
      </c>
      <c r="AD10" t="s">
        <v>155</v>
      </c>
      <c r="AE10" t="s">
        <v>156</v>
      </c>
      <c r="AF10" t="s">
        <v>145</v>
      </c>
      <c r="AG10" s="126">
        <v>45600</v>
      </c>
      <c r="AH10" t="s">
        <v>160</v>
      </c>
      <c r="AI10">
        <v>300</v>
      </c>
      <c r="AJ10">
        <v>100</v>
      </c>
      <c r="AK10" t="s">
        <v>158</v>
      </c>
      <c r="AL10" t="s">
        <v>157</v>
      </c>
      <c r="AM10" s="152" t="s">
        <v>253</v>
      </c>
      <c r="AN10" t="s">
        <v>145</v>
      </c>
      <c r="AO10" t="s">
        <v>145</v>
      </c>
      <c r="AP10" t="s">
        <v>145</v>
      </c>
      <c r="AQ10" t="s">
        <v>145</v>
      </c>
      <c r="AR10" t="s">
        <v>145</v>
      </c>
      <c r="AS10" t="s">
        <v>145</v>
      </c>
      <c r="AT10" t="s">
        <v>145</v>
      </c>
      <c r="AU10" s="170" t="s">
        <v>169</v>
      </c>
      <c r="AV10" s="137" t="s">
        <v>162</v>
      </c>
      <c r="AW10" t="s">
        <v>163</v>
      </c>
      <c r="AX10" s="138" t="s">
        <v>164</v>
      </c>
      <c r="AY10" t="s">
        <v>165</v>
      </c>
      <c r="AZ10" t="s">
        <v>166</v>
      </c>
      <c r="BA10" t="s">
        <v>167</v>
      </c>
      <c r="BB10" s="152" t="s">
        <v>254</v>
      </c>
      <c r="BC10" t="s">
        <v>145</v>
      </c>
      <c r="BD10" t="s">
        <v>145</v>
      </c>
      <c r="BE10" s="150">
        <v>14.65</v>
      </c>
      <c r="BF10" t="s">
        <v>168</v>
      </c>
      <c r="BG10" s="151">
        <v>0.24</v>
      </c>
      <c r="BH10">
        <v>0.88</v>
      </c>
      <c r="BI10" t="s">
        <v>188</v>
      </c>
      <c r="BJ10" t="s">
        <v>188</v>
      </c>
      <c r="BK10">
        <v>1.85</v>
      </c>
      <c r="BL10" t="s">
        <v>189</v>
      </c>
      <c r="BM10" t="s">
        <v>189</v>
      </c>
      <c r="BN10" t="s">
        <v>192</v>
      </c>
      <c r="BO10" t="s">
        <v>193</v>
      </c>
      <c r="BP10" s="143">
        <f t="shared" ref="BP10:BP13" si="0">(BE10-BK10)/BH10</f>
        <v>14.545454545454547</v>
      </c>
      <c r="BQ10" t="s">
        <v>191</v>
      </c>
      <c r="BR10">
        <v>0.24</v>
      </c>
      <c r="BS10" t="s">
        <v>191</v>
      </c>
      <c r="BT10" t="s">
        <v>145</v>
      </c>
      <c r="BU10">
        <v>0</v>
      </c>
      <c r="BV10" t="s">
        <v>194</v>
      </c>
      <c r="BW10" t="s">
        <v>194</v>
      </c>
      <c r="BX10" s="126">
        <v>31.47</v>
      </c>
      <c r="BY10" t="s">
        <v>195</v>
      </c>
      <c r="BZ10">
        <v>2</v>
      </c>
      <c r="CA10">
        <v>2</v>
      </c>
      <c r="CB10" t="s">
        <v>145</v>
      </c>
      <c r="CC10" t="s">
        <v>196</v>
      </c>
      <c r="CD10" t="s">
        <v>145</v>
      </c>
      <c r="CE10" t="s">
        <v>145</v>
      </c>
      <c r="CF10" t="s">
        <v>145</v>
      </c>
      <c r="CG10" t="s">
        <v>145</v>
      </c>
      <c r="CH10" t="s">
        <v>145</v>
      </c>
      <c r="CI10" t="s">
        <v>145</v>
      </c>
      <c r="CJ10" t="s">
        <v>145</v>
      </c>
      <c r="CK10" t="s">
        <v>197</v>
      </c>
      <c r="CL10" t="s">
        <v>197</v>
      </c>
      <c r="CM10" t="s">
        <v>197</v>
      </c>
      <c r="CN10" t="s">
        <v>145</v>
      </c>
      <c r="CO10" s="146" t="s">
        <v>209</v>
      </c>
      <c r="CP10" t="s">
        <v>201</v>
      </c>
      <c r="CQ10">
        <v>0.12</v>
      </c>
      <c r="CR10" t="s">
        <v>210</v>
      </c>
      <c r="CS10" t="s">
        <v>211</v>
      </c>
      <c r="CT10" t="s">
        <v>204</v>
      </c>
      <c r="CU10">
        <v>35</v>
      </c>
      <c r="CV10" t="s">
        <v>195</v>
      </c>
      <c r="CW10">
        <v>2</v>
      </c>
      <c r="CX10" t="s">
        <v>205</v>
      </c>
      <c r="CY10">
        <v>1.7000000000000001E-2</v>
      </c>
      <c r="CZ10" t="s">
        <v>206</v>
      </c>
      <c r="DA10">
        <v>3.0000000000000001E-3</v>
      </c>
      <c r="DB10" t="s">
        <v>212</v>
      </c>
      <c r="DC10">
        <v>3.7999999999999999E-2</v>
      </c>
      <c r="DD10" t="s">
        <v>206</v>
      </c>
      <c r="DE10">
        <v>3.0000000000000001E-3</v>
      </c>
      <c r="DF10" t="s">
        <v>287</v>
      </c>
      <c r="DG10" t="s">
        <v>208</v>
      </c>
      <c r="DH10" t="s">
        <v>145</v>
      </c>
      <c r="DI10" t="s">
        <v>145</v>
      </c>
      <c r="DJ10" t="s">
        <v>145</v>
      </c>
      <c r="DK10">
        <v>432.6</v>
      </c>
      <c r="DL10" t="s">
        <v>225</v>
      </c>
      <c r="DM10" t="s">
        <v>225</v>
      </c>
      <c r="DN10" t="s">
        <v>286</v>
      </c>
      <c r="DO10" s="152">
        <f t="shared" ref="DO10:DO13" si="1">AVERAGE(38.6,38.9)</f>
        <v>38.75</v>
      </c>
      <c r="DP10" s="152" t="s">
        <v>226</v>
      </c>
      <c r="DQ10" s="152">
        <v>0.15</v>
      </c>
      <c r="DR10" t="s">
        <v>227</v>
      </c>
      <c r="DS10" t="s">
        <v>228</v>
      </c>
      <c r="DT10" t="s">
        <v>229</v>
      </c>
      <c r="DU10">
        <v>1.0271999999999999</v>
      </c>
      <c r="DV10" t="s">
        <v>230</v>
      </c>
      <c r="DW10" t="s">
        <v>230</v>
      </c>
      <c r="DX10" t="s">
        <v>264</v>
      </c>
      <c r="DY10" t="s">
        <v>230</v>
      </c>
      <c r="DZ10" t="s">
        <v>230</v>
      </c>
      <c r="EA10" t="s">
        <v>231</v>
      </c>
      <c r="EB10" t="s">
        <v>232</v>
      </c>
      <c r="EC10" t="s">
        <v>233</v>
      </c>
      <c r="ED10" t="s">
        <v>233</v>
      </c>
      <c r="EE10" t="s">
        <v>233</v>
      </c>
      <c r="EF10" s="152" t="s">
        <v>234</v>
      </c>
      <c r="EG10" s="152" t="s">
        <v>229</v>
      </c>
      <c r="EH10" t="s">
        <v>235</v>
      </c>
      <c r="EI10" t="s">
        <v>236</v>
      </c>
      <c r="EJ10" s="152" t="s">
        <v>255</v>
      </c>
      <c r="EK10" t="s">
        <v>145</v>
      </c>
      <c r="EL10" t="s">
        <v>145</v>
      </c>
      <c r="EM10" t="s">
        <v>145</v>
      </c>
      <c r="EN10" t="s">
        <v>145</v>
      </c>
      <c r="EO10">
        <v>6.5</v>
      </c>
      <c r="EP10" t="s">
        <v>237</v>
      </c>
      <c r="EQ10">
        <v>1</v>
      </c>
      <c r="ER10">
        <v>1</v>
      </c>
      <c r="ES10" s="150">
        <v>7.669765023077546</v>
      </c>
      <c r="ET10" s="152" t="s">
        <v>238</v>
      </c>
      <c r="EU10" s="150">
        <v>5.0319967396113163E-2</v>
      </c>
      <c r="EV10" s="156">
        <v>5.0319967396113163E-2</v>
      </c>
      <c r="EW10" s="157">
        <v>1400</v>
      </c>
      <c r="EX10" s="158" t="s">
        <v>239</v>
      </c>
      <c r="EY10" s="158" t="s">
        <v>240</v>
      </c>
      <c r="EZ10" s="157">
        <v>1400</v>
      </c>
      <c r="FA10" s="155">
        <v>410</v>
      </c>
      <c r="FB10" s="155">
        <v>410</v>
      </c>
      <c r="FC10" t="s">
        <v>241</v>
      </c>
      <c r="FD10" s="152" t="s">
        <v>242</v>
      </c>
      <c r="FE10" s="155">
        <v>2800</v>
      </c>
      <c r="FF10" s="155">
        <v>500</v>
      </c>
      <c r="FG10" s="155">
        <v>500</v>
      </c>
      <c r="FH10" s="159">
        <v>2600</v>
      </c>
      <c r="FI10" s="159">
        <v>500.41525776546632</v>
      </c>
      <c r="FJ10" s="159">
        <v>500.41525776546632</v>
      </c>
      <c r="FK10" s="152" t="s">
        <v>145</v>
      </c>
      <c r="FL10" t="s">
        <v>145</v>
      </c>
      <c r="FM10" t="s">
        <v>145</v>
      </c>
      <c r="FN10" t="s">
        <v>145</v>
      </c>
      <c r="FO10" t="s">
        <v>145</v>
      </c>
      <c r="FP10" t="s">
        <v>145</v>
      </c>
      <c r="FQ10" t="s">
        <v>244</v>
      </c>
    </row>
    <row r="11" spans="1:191">
      <c r="A11" t="s">
        <v>142</v>
      </c>
      <c r="B11" t="s">
        <v>143</v>
      </c>
      <c r="C11">
        <v>2016</v>
      </c>
      <c r="D11" t="s">
        <v>144</v>
      </c>
      <c r="E11" s="126">
        <v>44400</v>
      </c>
      <c r="F11">
        <v>100</v>
      </c>
      <c r="G11">
        <v>400</v>
      </c>
      <c r="H11" s="127">
        <v>1200</v>
      </c>
      <c r="I11" s="127">
        <v>370</v>
      </c>
      <c r="J11" s="127">
        <v>370</v>
      </c>
      <c r="K11" t="s">
        <v>146</v>
      </c>
      <c r="L11" s="132" t="s">
        <v>147</v>
      </c>
      <c r="M11" s="1" t="s">
        <v>292</v>
      </c>
      <c r="N11" t="s">
        <v>144</v>
      </c>
      <c r="O11" s="134" t="s">
        <v>150</v>
      </c>
      <c r="P11" t="s">
        <v>145</v>
      </c>
      <c r="Q11">
        <v>9</v>
      </c>
      <c r="R11">
        <v>3</v>
      </c>
      <c r="S11" s="153">
        <v>90</v>
      </c>
      <c r="T11" s="153">
        <v>100</v>
      </c>
      <c r="U11" t="s">
        <v>145</v>
      </c>
      <c r="V11" t="s">
        <v>145</v>
      </c>
      <c r="W11" t="s">
        <v>145</v>
      </c>
      <c r="X11" t="s">
        <v>149</v>
      </c>
      <c r="Y11">
        <v>-8.9177140000000001</v>
      </c>
      <c r="Z11">
        <v>39.503647123608502</v>
      </c>
      <c r="AA11">
        <v>-19</v>
      </c>
      <c r="AB11" t="s">
        <v>145</v>
      </c>
      <c r="AC11" t="s">
        <v>145</v>
      </c>
      <c r="AD11" t="s">
        <v>155</v>
      </c>
      <c r="AE11" t="s">
        <v>156</v>
      </c>
      <c r="AF11" t="s">
        <v>145</v>
      </c>
      <c r="AG11" s="126">
        <v>44400</v>
      </c>
      <c r="AH11" t="s">
        <v>160</v>
      </c>
      <c r="AI11">
        <v>100</v>
      </c>
      <c r="AJ11">
        <v>400</v>
      </c>
      <c r="AK11" t="s">
        <v>158</v>
      </c>
      <c r="AL11" t="s">
        <v>157</v>
      </c>
      <c r="AM11" s="152" t="s">
        <v>253</v>
      </c>
      <c r="AN11" t="s">
        <v>145</v>
      </c>
      <c r="AO11" t="s">
        <v>145</v>
      </c>
      <c r="AP11" t="s">
        <v>145</v>
      </c>
      <c r="AQ11" t="s">
        <v>145</v>
      </c>
      <c r="AR11" t="s">
        <v>145</v>
      </c>
      <c r="AS11" t="s">
        <v>145</v>
      </c>
      <c r="AT11" t="s">
        <v>145</v>
      </c>
      <c r="AU11" s="171" t="s">
        <v>170</v>
      </c>
      <c r="AV11" s="137" t="s">
        <v>171</v>
      </c>
      <c r="AW11" t="s">
        <v>163</v>
      </c>
      <c r="AX11" s="138" t="s">
        <v>164</v>
      </c>
      <c r="AY11" t="s">
        <v>165</v>
      </c>
      <c r="AZ11" t="s">
        <v>166</v>
      </c>
      <c r="BA11" t="s">
        <v>167</v>
      </c>
      <c r="BB11" s="152" t="s">
        <v>254</v>
      </c>
      <c r="BC11" t="s">
        <v>145</v>
      </c>
      <c r="BD11" t="s">
        <v>145</v>
      </c>
      <c r="BE11" s="150">
        <v>14.82</v>
      </c>
      <c r="BF11" t="s">
        <v>168</v>
      </c>
      <c r="BG11" s="151">
        <v>0.28000000000000003</v>
      </c>
      <c r="BH11">
        <v>0.88</v>
      </c>
      <c r="BI11" t="s">
        <v>188</v>
      </c>
      <c r="BJ11" t="s">
        <v>188</v>
      </c>
      <c r="BK11">
        <v>1.85</v>
      </c>
      <c r="BL11" t="s">
        <v>189</v>
      </c>
      <c r="BM11" t="s">
        <v>189</v>
      </c>
      <c r="BN11" t="s">
        <v>192</v>
      </c>
      <c r="BO11" t="s">
        <v>193</v>
      </c>
      <c r="BP11" s="143">
        <f t="shared" si="0"/>
        <v>14.738636363636365</v>
      </c>
      <c r="BQ11" t="s">
        <v>191</v>
      </c>
      <c r="BR11">
        <v>0.28000000000000003</v>
      </c>
      <c r="BS11" t="s">
        <v>191</v>
      </c>
      <c r="BT11" t="s">
        <v>145</v>
      </c>
      <c r="BU11">
        <v>0</v>
      </c>
      <c r="BV11" t="s">
        <v>194</v>
      </c>
      <c r="BW11" t="s">
        <v>194</v>
      </c>
      <c r="BX11" s="126">
        <v>29.77</v>
      </c>
      <c r="BY11" t="s">
        <v>195</v>
      </c>
      <c r="BZ11">
        <v>2</v>
      </c>
      <c r="CA11">
        <v>2</v>
      </c>
      <c r="CB11" t="s">
        <v>145</v>
      </c>
      <c r="CC11" t="s">
        <v>196</v>
      </c>
      <c r="CD11" t="s">
        <v>145</v>
      </c>
      <c r="CE11" t="s">
        <v>145</v>
      </c>
      <c r="CF11" t="s">
        <v>145</v>
      </c>
      <c r="CG11" t="s">
        <v>145</v>
      </c>
      <c r="CH11" t="s">
        <v>145</v>
      </c>
      <c r="CI11" t="s">
        <v>145</v>
      </c>
      <c r="CJ11" t="s">
        <v>145</v>
      </c>
      <c r="CK11" t="s">
        <v>197</v>
      </c>
      <c r="CL11" t="s">
        <v>197</v>
      </c>
      <c r="CM11" t="s">
        <v>197</v>
      </c>
      <c r="CN11" t="s">
        <v>145</v>
      </c>
      <c r="CO11" s="146" t="s">
        <v>213</v>
      </c>
      <c r="CP11" t="s">
        <v>201</v>
      </c>
      <c r="CQ11">
        <v>0.12</v>
      </c>
      <c r="CR11" t="s">
        <v>214</v>
      </c>
      <c r="CS11" t="s">
        <v>215</v>
      </c>
      <c r="CT11" t="s">
        <v>204</v>
      </c>
      <c r="CU11">
        <v>35</v>
      </c>
      <c r="CV11" t="s">
        <v>195</v>
      </c>
      <c r="CW11">
        <v>2</v>
      </c>
      <c r="CX11" t="s">
        <v>205</v>
      </c>
      <c r="CY11">
        <v>1.7000000000000001E-2</v>
      </c>
      <c r="CZ11" t="s">
        <v>206</v>
      </c>
      <c r="DA11">
        <v>3.0000000000000001E-3</v>
      </c>
      <c r="DB11" t="s">
        <v>216</v>
      </c>
      <c r="DC11">
        <v>3.7999999999999999E-2</v>
      </c>
      <c r="DD11" t="s">
        <v>206</v>
      </c>
      <c r="DE11">
        <v>3.0000000000000001E-3</v>
      </c>
      <c r="DF11" t="s">
        <v>287</v>
      </c>
      <c r="DG11" t="s">
        <v>208</v>
      </c>
      <c r="DH11" t="s">
        <v>145</v>
      </c>
      <c r="DI11" t="s">
        <v>145</v>
      </c>
      <c r="DJ11" t="s">
        <v>145</v>
      </c>
      <c r="DK11">
        <v>432.6</v>
      </c>
      <c r="DL11" t="s">
        <v>225</v>
      </c>
      <c r="DM11" t="s">
        <v>225</v>
      </c>
      <c r="DN11" t="s">
        <v>286</v>
      </c>
      <c r="DO11" s="152">
        <f t="shared" si="1"/>
        <v>38.75</v>
      </c>
      <c r="DP11" s="152" t="s">
        <v>226</v>
      </c>
      <c r="DQ11" s="152">
        <v>0.15</v>
      </c>
      <c r="DR11" t="s">
        <v>227</v>
      </c>
      <c r="DS11" t="s">
        <v>228</v>
      </c>
      <c r="DT11" t="s">
        <v>229</v>
      </c>
      <c r="DU11">
        <v>1.0271999999999999</v>
      </c>
      <c r="DV11" t="s">
        <v>230</v>
      </c>
      <c r="DW11" t="s">
        <v>230</v>
      </c>
      <c r="DX11" t="s">
        <v>264</v>
      </c>
      <c r="DY11" t="s">
        <v>230</v>
      </c>
      <c r="DZ11" t="s">
        <v>230</v>
      </c>
      <c r="EA11" t="s">
        <v>231</v>
      </c>
      <c r="EB11" t="s">
        <v>232</v>
      </c>
      <c r="EC11" t="s">
        <v>233</v>
      </c>
      <c r="ED11" t="s">
        <v>233</v>
      </c>
      <c r="EE11" t="s">
        <v>233</v>
      </c>
      <c r="EF11" s="152" t="s">
        <v>234</v>
      </c>
      <c r="EG11" s="152" t="s">
        <v>229</v>
      </c>
      <c r="EH11" t="s">
        <v>235</v>
      </c>
      <c r="EI11" t="s">
        <v>236</v>
      </c>
      <c r="EJ11" s="152" t="s">
        <v>255</v>
      </c>
      <c r="EK11" t="s">
        <v>145</v>
      </c>
      <c r="EL11" t="s">
        <v>145</v>
      </c>
      <c r="EM11" t="s">
        <v>145</v>
      </c>
      <c r="EN11" t="s">
        <v>145</v>
      </c>
      <c r="EO11">
        <v>6.5</v>
      </c>
      <c r="EP11" t="s">
        <v>237</v>
      </c>
      <c r="EQ11">
        <v>1</v>
      </c>
      <c r="ER11">
        <v>1</v>
      </c>
      <c r="ES11" s="150">
        <v>7.7167029283697328</v>
      </c>
      <c r="ET11" s="152" t="s">
        <v>238</v>
      </c>
      <c r="EU11" s="150">
        <v>5.3937708704260928E-2</v>
      </c>
      <c r="EV11" s="156">
        <v>5.3937708704260928E-2</v>
      </c>
      <c r="EW11" s="157">
        <v>1200</v>
      </c>
      <c r="EX11" s="158" t="s">
        <v>239</v>
      </c>
      <c r="EY11" s="158" t="s">
        <v>240</v>
      </c>
      <c r="EZ11" s="157">
        <v>1200</v>
      </c>
      <c r="FA11" s="155">
        <v>370</v>
      </c>
      <c r="FB11" s="155">
        <v>370</v>
      </c>
      <c r="FC11" t="s">
        <v>241</v>
      </c>
      <c r="FD11" s="152" t="s">
        <v>242</v>
      </c>
      <c r="FE11" s="155">
        <v>2700</v>
      </c>
      <c r="FF11" s="155">
        <v>500</v>
      </c>
      <c r="FG11" s="155">
        <v>500</v>
      </c>
      <c r="FH11" s="159">
        <v>2500</v>
      </c>
      <c r="FI11" s="159">
        <v>490</v>
      </c>
      <c r="FJ11" s="159">
        <v>490</v>
      </c>
      <c r="FK11" s="152" t="s">
        <v>145</v>
      </c>
      <c r="FL11" t="s">
        <v>145</v>
      </c>
      <c r="FM11" t="s">
        <v>145</v>
      </c>
      <c r="FN11" t="s">
        <v>145</v>
      </c>
      <c r="FO11" t="s">
        <v>145</v>
      </c>
      <c r="FP11" t="s">
        <v>145</v>
      </c>
      <c r="FQ11" t="s">
        <v>244</v>
      </c>
    </row>
    <row r="12" spans="1:191">
      <c r="A12" t="s">
        <v>142</v>
      </c>
      <c r="B12" t="s">
        <v>143</v>
      </c>
      <c r="C12">
        <v>2016</v>
      </c>
      <c r="D12" t="s">
        <v>144</v>
      </c>
      <c r="E12" s="126">
        <v>36900</v>
      </c>
      <c r="F12">
        <v>600</v>
      </c>
      <c r="G12">
        <v>600</v>
      </c>
      <c r="H12" s="127">
        <v>920</v>
      </c>
      <c r="I12" s="127">
        <v>340</v>
      </c>
      <c r="J12" s="127">
        <v>340</v>
      </c>
      <c r="K12" t="s">
        <v>146</v>
      </c>
      <c r="L12" s="132" t="s">
        <v>147</v>
      </c>
      <c r="M12" s="1" t="s">
        <v>292</v>
      </c>
      <c r="N12" t="s">
        <v>144</v>
      </c>
      <c r="O12" s="134" t="s">
        <v>151</v>
      </c>
      <c r="P12" s="152" t="s">
        <v>250</v>
      </c>
      <c r="Q12" t="s">
        <v>145</v>
      </c>
      <c r="R12" t="s">
        <v>145</v>
      </c>
      <c r="S12" s="153" t="s">
        <v>145</v>
      </c>
      <c r="T12" s="153" t="s">
        <v>145</v>
      </c>
      <c r="U12" t="s">
        <v>145</v>
      </c>
      <c r="V12" t="s">
        <v>145</v>
      </c>
      <c r="W12" t="s">
        <v>145</v>
      </c>
      <c r="X12" t="s">
        <v>149</v>
      </c>
      <c r="Y12">
        <v>-9.9022539999999992</v>
      </c>
      <c r="Z12">
        <v>39.704583526938102</v>
      </c>
      <c r="AA12">
        <v>-19</v>
      </c>
      <c r="AB12" t="s">
        <v>145</v>
      </c>
      <c r="AC12" t="s">
        <v>145</v>
      </c>
      <c r="AD12" t="s">
        <v>155</v>
      </c>
      <c r="AE12" t="s">
        <v>156</v>
      </c>
      <c r="AF12" t="s">
        <v>145</v>
      </c>
      <c r="AG12" s="126">
        <v>36900</v>
      </c>
      <c r="AH12" t="s">
        <v>160</v>
      </c>
      <c r="AI12">
        <v>600</v>
      </c>
      <c r="AJ12">
        <v>600</v>
      </c>
      <c r="AK12" t="s">
        <v>158</v>
      </c>
      <c r="AL12" t="s">
        <v>157</v>
      </c>
      <c r="AM12" s="152" t="s">
        <v>253</v>
      </c>
      <c r="AN12" t="s">
        <v>145</v>
      </c>
      <c r="AO12" t="s">
        <v>145</v>
      </c>
      <c r="AP12" t="s">
        <v>145</v>
      </c>
      <c r="AQ12" t="s">
        <v>145</v>
      </c>
      <c r="AR12" t="s">
        <v>145</v>
      </c>
      <c r="AS12" t="s">
        <v>145</v>
      </c>
      <c r="AT12" t="s">
        <v>145</v>
      </c>
      <c r="AU12" s="170" t="s">
        <v>172</v>
      </c>
      <c r="AV12" s="137" t="s">
        <v>173</v>
      </c>
      <c r="AW12" t="s">
        <v>163</v>
      </c>
      <c r="AX12" s="138" t="s">
        <v>164</v>
      </c>
      <c r="AY12" t="s">
        <v>165</v>
      </c>
      <c r="AZ12" t="s">
        <v>166</v>
      </c>
      <c r="BA12" t="s">
        <v>167</v>
      </c>
      <c r="BB12" s="152" t="s">
        <v>254</v>
      </c>
      <c r="BC12" t="s">
        <v>145</v>
      </c>
      <c r="BD12" t="s">
        <v>145</v>
      </c>
      <c r="BE12" s="150">
        <v>15.21</v>
      </c>
      <c r="BF12" t="s">
        <v>168</v>
      </c>
      <c r="BG12" s="151">
        <v>0.42</v>
      </c>
      <c r="BH12">
        <v>0.88</v>
      </c>
      <c r="BI12" t="s">
        <v>188</v>
      </c>
      <c r="BJ12" t="s">
        <v>188</v>
      </c>
      <c r="BK12">
        <v>1.85</v>
      </c>
      <c r="BL12" t="s">
        <v>189</v>
      </c>
      <c r="BM12" t="s">
        <v>189</v>
      </c>
      <c r="BN12" t="s">
        <v>248</v>
      </c>
      <c r="BO12" t="s">
        <v>193</v>
      </c>
      <c r="BP12" s="143">
        <f t="shared" si="0"/>
        <v>15.181818181818183</v>
      </c>
      <c r="BQ12" t="s">
        <v>191</v>
      </c>
      <c r="BR12">
        <v>0.42</v>
      </c>
      <c r="BS12" t="s">
        <v>191</v>
      </c>
      <c r="BT12" t="s">
        <v>145</v>
      </c>
      <c r="BU12">
        <v>75</v>
      </c>
      <c r="BV12" t="s">
        <v>194</v>
      </c>
      <c r="BW12" t="s">
        <v>194</v>
      </c>
      <c r="BX12" s="126">
        <v>31.44</v>
      </c>
      <c r="BY12" t="s">
        <v>195</v>
      </c>
      <c r="BZ12">
        <v>2</v>
      </c>
      <c r="CA12">
        <v>2</v>
      </c>
      <c r="CB12" t="s">
        <v>145</v>
      </c>
      <c r="CC12" t="s">
        <v>196</v>
      </c>
      <c r="CD12" t="s">
        <v>145</v>
      </c>
      <c r="CE12" t="s">
        <v>145</v>
      </c>
      <c r="CF12" t="s">
        <v>145</v>
      </c>
      <c r="CG12" t="s">
        <v>145</v>
      </c>
      <c r="CH12" t="s">
        <v>145</v>
      </c>
      <c r="CI12" t="s">
        <v>145</v>
      </c>
      <c r="CJ12" t="s">
        <v>145</v>
      </c>
      <c r="CK12" t="s">
        <v>197</v>
      </c>
      <c r="CL12" t="s">
        <v>197</v>
      </c>
      <c r="CM12" t="s">
        <v>197</v>
      </c>
      <c r="CN12" t="s">
        <v>145</v>
      </c>
      <c r="CO12" s="146" t="s">
        <v>217</v>
      </c>
      <c r="CP12" t="s">
        <v>201</v>
      </c>
      <c r="CQ12">
        <v>0.12</v>
      </c>
      <c r="CR12" t="s">
        <v>218</v>
      </c>
      <c r="CS12" t="s">
        <v>219</v>
      </c>
      <c r="CT12" t="s">
        <v>204</v>
      </c>
      <c r="CU12">
        <v>35</v>
      </c>
      <c r="CV12" t="s">
        <v>195</v>
      </c>
      <c r="CW12">
        <v>2</v>
      </c>
      <c r="CX12" t="s">
        <v>205</v>
      </c>
      <c r="CY12">
        <v>1.7000000000000001E-2</v>
      </c>
      <c r="CZ12" t="s">
        <v>206</v>
      </c>
      <c r="DA12">
        <v>3.0000000000000001E-3</v>
      </c>
      <c r="DB12" t="s">
        <v>220</v>
      </c>
      <c r="DC12">
        <v>3.7999999999999999E-2</v>
      </c>
      <c r="DD12" t="s">
        <v>206</v>
      </c>
      <c r="DE12">
        <v>3.0000000000000001E-3</v>
      </c>
      <c r="DF12" t="s">
        <v>287</v>
      </c>
      <c r="DG12" t="s">
        <v>208</v>
      </c>
      <c r="DH12" t="s">
        <v>145</v>
      </c>
      <c r="DI12" t="s">
        <v>145</v>
      </c>
      <c r="DJ12" t="s">
        <v>145</v>
      </c>
      <c r="DK12">
        <v>432.6</v>
      </c>
      <c r="DL12" t="s">
        <v>225</v>
      </c>
      <c r="DM12" t="s">
        <v>225</v>
      </c>
      <c r="DN12" t="s">
        <v>286</v>
      </c>
      <c r="DO12" s="152">
        <f t="shared" si="1"/>
        <v>38.75</v>
      </c>
      <c r="DP12" s="152" t="s">
        <v>226</v>
      </c>
      <c r="DQ12" s="152">
        <v>0.15</v>
      </c>
      <c r="DR12" t="s">
        <v>227</v>
      </c>
      <c r="DS12" t="s">
        <v>228</v>
      </c>
      <c r="DT12" t="s">
        <v>229</v>
      </c>
      <c r="DU12">
        <v>1.0271999999999999</v>
      </c>
      <c r="DV12" t="s">
        <v>230</v>
      </c>
      <c r="DW12" t="s">
        <v>230</v>
      </c>
      <c r="DX12" t="s">
        <v>264</v>
      </c>
      <c r="DY12" t="s">
        <v>230</v>
      </c>
      <c r="DZ12" t="s">
        <v>230</v>
      </c>
      <c r="EA12" t="s">
        <v>231</v>
      </c>
      <c r="EB12" t="s">
        <v>232</v>
      </c>
      <c r="EC12" t="s">
        <v>233</v>
      </c>
      <c r="ED12" t="s">
        <v>233</v>
      </c>
      <c r="EE12" t="s">
        <v>233</v>
      </c>
      <c r="EF12" s="152" t="s">
        <v>234</v>
      </c>
      <c r="EG12" s="152" t="s">
        <v>229</v>
      </c>
      <c r="EH12" t="s">
        <v>235</v>
      </c>
      <c r="EI12" t="s">
        <v>236</v>
      </c>
      <c r="EJ12" s="152" t="s">
        <v>255</v>
      </c>
      <c r="EK12" t="s">
        <v>145</v>
      </c>
      <c r="EL12" t="s">
        <v>145</v>
      </c>
      <c r="EM12" t="s">
        <v>145</v>
      </c>
      <c r="EN12" t="s">
        <v>145</v>
      </c>
      <c r="EO12">
        <v>6.5</v>
      </c>
      <c r="EP12" t="s">
        <v>237</v>
      </c>
      <c r="EQ12">
        <v>1</v>
      </c>
      <c r="ER12">
        <v>1</v>
      </c>
      <c r="ES12" s="150">
        <v>7.7576907662790164</v>
      </c>
      <c r="ET12" s="152" t="s">
        <v>238</v>
      </c>
      <c r="EU12" s="150">
        <v>6.3709125141177728E-2</v>
      </c>
      <c r="EV12" s="156">
        <v>6.3709125141177728E-2</v>
      </c>
      <c r="EW12" s="157">
        <v>920</v>
      </c>
      <c r="EX12" s="158" t="s">
        <v>239</v>
      </c>
      <c r="EY12" s="158" t="s">
        <v>240</v>
      </c>
      <c r="EZ12" s="157">
        <v>920</v>
      </c>
      <c r="FA12" s="155">
        <v>340</v>
      </c>
      <c r="FB12" s="155">
        <v>340</v>
      </c>
      <c r="FC12" t="s">
        <v>241</v>
      </c>
      <c r="FD12" s="152" t="s">
        <v>242</v>
      </c>
      <c r="FE12" s="155">
        <v>2300</v>
      </c>
      <c r="FF12" s="155">
        <v>460</v>
      </c>
      <c r="FG12" s="155">
        <v>460</v>
      </c>
      <c r="FH12" s="159">
        <v>2200</v>
      </c>
      <c r="FI12" s="159">
        <v>450</v>
      </c>
      <c r="FJ12" s="159">
        <v>450</v>
      </c>
      <c r="FK12" s="152" t="s">
        <v>145</v>
      </c>
      <c r="FL12" t="s">
        <v>145</v>
      </c>
      <c r="FM12" t="s">
        <v>145</v>
      </c>
      <c r="FN12" t="s">
        <v>145</v>
      </c>
      <c r="FO12" t="s">
        <v>145</v>
      </c>
      <c r="FP12" t="s">
        <v>145</v>
      </c>
      <c r="FQ12" t="s">
        <v>244</v>
      </c>
    </row>
    <row r="13" spans="1:191">
      <c r="A13" t="s">
        <v>142</v>
      </c>
      <c r="B13" t="s">
        <v>143</v>
      </c>
      <c r="C13">
        <v>2016</v>
      </c>
      <c r="D13" t="s">
        <v>144</v>
      </c>
      <c r="E13" s="126">
        <v>40300</v>
      </c>
      <c r="F13">
        <v>300</v>
      </c>
      <c r="G13">
        <v>300</v>
      </c>
      <c r="H13" s="127">
        <v>760</v>
      </c>
      <c r="I13" s="127">
        <v>230</v>
      </c>
      <c r="J13" s="127">
        <v>230</v>
      </c>
      <c r="K13" t="s">
        <v>146</v>
      </c>
      <c r="L13" s="132" t="s">
        <v>147</v>
      </c>
      <c r="M13" s="1" t="s">
        <v>292</v>
      </c>
      <c r="N13" t="s">
        <v>144</v>
      </c>
      <c r="O13" s="134" t="s">
        <v>152</v>
      </c>
      <c r="P13" t="s">
        <v>145</v>
      </c>
      <c r="Q13">
        <v>18</v>
      </c>
      <c r="R13">
        <v>2</v>
      </c>
      <c r="S13" s="153" t="s">
        <v>251</v>
      </c>
      <c r="T13" s="153" t="s">
        <v>252</v>
      </c>
      <c r="U13" t="s">
        <v>145</v>
      </c>
      <c r="V13" t="s">
        <v>145</v>
      </c>
      <c r="W13" t="s">
        <v>145</v>
      </c>
      <c r="X13" t="s">
        <v>149</v>
      </c>
      <c r="Y13">
        <v>-9.2652370000000008</v>
      </c>
      <c r="Z13">
        <v>39.533895288001098</v>
      </c>
      <c r="AA13">
        <v>-19</v>
      </c>
      <c r="AB13" t="s">
        <v>145</v>
      </c>
      <c r="AC13" t="s">
        <v>145</v>
      </c>
      <c r="AD13" t="s">
        <v>155</v>
      </c>
      <c r="AE13" t="s">
        <v>156</v>
      </c>
      <c r="AF13" t="s">
        <v>145</v>
      </c>
      <c r="AG13" s="126">
        <v>40300</v>
      </c>
      <c r="AH13" t="s">
        <v>160</v>
      </c>
      <c r="AI13">
        <v>300</v>
      </c>
      <c r="AJ13">
        <v>300</v>
      </c>
      <c r="AK13" t="s">
        <v>158</v>
      </c>
      <c r="AL13" t="s">
        <v>157</v>
      </c>
      <c r="AM13" s="152" t="s">
        <v>253</v>
      </c>
      <c r="AN13" t="s">
        <v>145</v>
      </c>
      <c r="AO13" t="s">
        <v>145</v>
      </c>
      <c r="AP13" t="s">
        <v>145</v>
      </c>
      <c r="AQ13" t="s">
        <v>145</v>
      </c>
      <c r="AR13" t="s">
        <v>145</v>
      </c>
      <c r="AS13" t="s">
        <v>145</v>
      </c>
      <c r="AT13" t="s">
        <v>145</v>
      </c>
      <c r="AU13" s="172" t="s">
        <v>174</v>
      </c>
      <c r="AV13" s="140" t="s">
        <v>162</v>
      </c>
      <c r="AW13" t="s">
        <v>163</v>
      </c>
      <c r="AX13" s="138" t="s">
        <v>164</v>
      </c>
      <c r="AY13" t="s">
        <v>175</v>
      </c>
      <c r="AZ13" t="s">
        <v>166</v>
      </c>
      <c r="BA13" t="s">
        <v>167</v>
      </c>
      <c r="BB13" s="152" t="s">
        <v>254</v>
      </c>
      <c r="BC13" t="s">
        <v>145</v>
      </c>
      <c r="BD13" t="s">
        <v>145</v>
      </c>
      <c r="BE13" s="150">
        <v>15.5</v>
      </c>
      <c r="BF13" t="s">
        <v>168</v>
      </c>
      <c r="BG13" s="151">
        <v>0.27</v>
      </c>
      <c r="BH13">
        <v>0.88</v>
      </c>
      <c r="BI13" t="s">
        <v>188</v>
      </c>
      <c r="BJ13" t="s">
        <v>188</v>
      </c>
      <c r="BK13">
        <v>1.85</v>
      </c>
      <c r="BL13" t="s">
        <v>189</v>
      </c>
      <c r="BM13" t="s">
        <v>189</v>
      </c>
      <c r="BN13" t="s">
        <v>192</v>
      </c>
      <c r="BO13" t="s">
        <v>193</v>
      </c>
      <c r="BP13" s="143">
        <f t="shared" si="0"/>
        <v>15.511363636363637</v>
      </c>
      <c r="BQ13" t="s">
        <v>191</v>
      </c>
      <c r="BR13">
        <v>0.27</v>
      </c>
      <c r="BS13" t="s">
        <v>191</v>
      </c>
      <c r="BT13" t="s">
        <v>145</v>
      </c>
      <c r="BU13">
        <v>0</v>
      </c>
      <c r="BV13" t="s">
        <v>194</v>
      </c>
      <c r="BW13" t="s">
        <v>194</v>
      </c>
      <c r="BX13" s="126">
        <v>31.83</v>
      </c>
      <c r="BY13" t="s">
        <v>195</v>
      </c>
      <c r="BZ13">
        <v>2</v>
      </c>
      <c r="CA13">
        <v>2</v>
      </c>
      <c r="CB13" t="s">
        <v>145</v>
      </c>
      <c r="CC13" t="s">
        <v>196</v>
      </c>
      <c r="CD13" t="s">
        <v>145</v>
      </c>
      <c r="CE13" t="s">
        <v>145</v>
      </c>
      <c r="CF13" t="s">
        <v>145</v>
      </c>
      <c r="CG13" t="s">
        <v>145</v>
      </c>
      <c r="CH13" t="s">
        <v>145</v>
      </c>
      <c r="CI13" t="s">
        <v>145</v>
      </c>
      <c r="CJ13" t="s">
        <v>145</v>
      </c>
      <c r="CK13" t="s">
        <v>197</v>
      </c>
      <c r="CL13" t="s">
        <v>197</v>
      </c>
      <c r="CM13" t="s">
        <v>197</v>
      </c>
      <c r="CN13" t="s">
        <v>145</v>
      </c>
      <c r="CO13" s="146" t="s">
        <v>221</v>
      </c>
      <c r="CP13" t="s">
        <v>201</v>
      </c>
      <c r="CQ13">
        <v>0.12</v>
      </c>
      <c r="CR13" t="s">
        <v>222</v>
      </c>
      <c r="CS13" t="s">
        <v>223</v>
      </c>
      <c r="CT13" t="s">
        <v>204</v>
      </c>
      <c r="CU13">
        <v>35</v>
      </c>
      <c r="CV13" t="s">
        <v>195</v>
      </c>
      <c r="CW13">
        <v>2</v>
      </c>
      <c r="CX13" t="s">
        <v>205</v>
      </c>
      <c r="CY13">
        <v>1.7000000000000001E-2</v>
      </c>
      <c r="CZ13" t="s">
        <v>206</v>
      </c>
      <c r="DA13">
        <v>3.0000000000000001E-3</v>
      </c>
      <c r="DB13" t="s">
        <v>224</v>
      </c>
      <c r="DC13">
        <v>3.7999999999999999E-2</v>
      </c>
      <c r="DD13" t="s">
        <v>206</v>
      </c>
      <c r="DE13">
        <v>3.0000000000000001E-3</v>
      </c>
      <c r="DF13" t="s">
        <v>287</v>
      </c>
      <c r="DG13" t="s">
        <v>208</v>
      </c>
      <c r="DH13" t="s">
        <v>145</v>
      </c>
      <c r="DI13" t="s">
        <v>145</v>
      </c>
      <c r="DJ13" t="s">
        <v>145</v>
      </c>
      <c r="DK13">
        <v>432.6</v>
      </c>
      <c r="DL13" t="s">
        <v>225</v>
      </c>
      <c r="DM13" t="s">
        <v>225</v>
      </c>
      <c r="DN13" t="s">
        <v>286</v>
      </c>
      <c r="DO13" s="152">
        <f t="shared" si="1"/>
        <v>38.75</v>
      </c>
      <c r="DP13" s="152" t="s">
        <v>226</v>
      </c>
      <c r="DQ13" s="152">
        <v>0.15</v>
      </c>
      <c r="DR13" t="s">
        <v>227</v>
      </c>
      <c r="DS13" t="s">
        <v>228</v>
      </c>
      <c r="DT13" t="s">
        <v>229</v>
      </c>
      <c r="DU13">
        <v>1.0271999999999999</v>
      </c>
      <c r="DV13" t="s">
        <v>230</v>
      </c>
      <c r="DW13" t="s">
        <v>230</v>
      </c>
      <c r="DX13" t="s">
        <v>264</v>
      </c>
      <c r="DY13" t="s">
        <v>230</v>
      </c>
      <c r="DZ13" t="s">
        <v>230</v>
      </c>
      <c r="EA13" t="s">
        <v>231</v>
      </c>
      <c r="EB13" t="s">
        <v>232</v>
      </c>
      <c r="EC13" t="s">
        <v>233</v>
      </c>
      <c r="ED13" t="s">
        <v>233</v>
      </c>
      <c r="EE13" t="s">
        <v>233</v>
      </c>
      <c r="EF13" s="152" t="s">
        <v>234</v>
      </c>
      <c r="EG13" s="152" t="s">
        <v>229</v>
      </c>
      <c r="EH13" t="s">
        <v>235</v>
      </c>
      <c r="EI13" t="s">
        <v>236</v>
      </c>
      <c r="EJ13" s="152" t="s">
        <v>255</v>
      </c>
      <c r="EK13" t="s">
        <v>145</v>
      </c>
      <c r="EL13" t="s">
        <v>145</v>
      </c>
      <c r="EM13" t="s">
        <v>145</v>
      </c>
      <c r="EN13" t="s">
        <v>145</v>
      </c>
      <c r="EO13">
        <v>6.5</v>
      </c>
      <c r="EP13" t="s">
        <v>237</v>
      </c>
      <c r="EQ13">
        <v>1</v>
      </c>
      <c r="ER13">
        <v>1</v>
      </c>
      <c r="ES13" s="150">
        <v>7.7944963197868633</v>
      </c>
      <c r="ET13" s="152" t="s">
        <v>238</v>
      </c>
      <c r="EU13" s="150">
        <v>4.657494723222972E-2</v>
      </c>
      <c r="EV13" s="156">
        <v>4.657494723222972E-2</v>
      </c>
      <c r="EW13" s="157">
        <v>760</v>
      </c>
      <c r="EX13" s="158" t="s">
        <v>239</v>
      </c>
      <c r="EY13" s="158" t="s">
        <v>240</v>
      </c>
      <c r="EZ13" s="157">
        <v>760</v>
      </c>
      <c r="FA13" s="155">
        <v>230</v>
      </c>
      <c r="FB13" s="155">
        <v>230</v>
      </c>
      <c r="FC13" t="s">
        <v>241</v>
      </c>
      <c r="FD13" s="152" t="s">
        <v>242</v>
      </c>
      <c r="FE13" s="155">
        <v>2200</v>
      </c>
      <c r="FF13" s="155">
        <v>380</v>
      </c>
      <c r="FG13" s="155">
        <v>380</v>
      </c>
      <c r="FH13" s="159">
        <v>2000</v>
      </c>
      <c r="FI13" s="159">
        <v>370</v>
      </c>
      <c r="FJ13" s="159">
        <v>370</v>
      </c>
      <c r="FK13" s="152" t="s">
        <v>145</v>
      </c>
      <c r="FL13" t="s">
        <v>145</v>
      </c>
      <c r="FM13" t="s">
        <v>145</v>
      </c>
      <c r="FN13" t="s">
        <v>145</v>
      </c>
      <c r="FO13" t="s">
        <v>145</v>
      </c>
      <c r="FP13" t="s">
        <v>145</v>
      </c>
      <c r="FQ13" t="s">
        <v>244</v>
      </c>
    </row>
    <row r="14" spans="1:191">
      <c r="A14" t="s">
        <v>142</v>
      </c>
      <c r="B14" t="s">
        <v>143</v>
      </c>
      <c r="C14">
        <v>2016</v>
      </c>
      <c r="D14" t="s">
        <v>144</v>
      </c>
      <c r="E14" s="128">
        <v>32980</v>
      </c>
      <c r="F14" t="s">
        <v>145</v>
      </c>
      <c r="G14" t="s">
        <v>145</v>
      </c>
      <c r="H14" s="127">
        <v>550</v>
      </c>
      <c r="I14" s="127">
        <v>190</v>
      </c>
      <c r="J14" s="127">
        <v>190</v>
      </c>
      <c r="K14" t="s">
        <v>146</v>
      </c>
      <c r="L14" s="132" t="s">
        <v>147</v>
      </c>
      <c r="M14" s="1" t="s">
        <v>292</v>
      </c>
      <c r="N14" t="s">
        <v>144</v>
      </c>
      <c r="O14" t="s">
        <v>153</v>
      </c>
      <c r="P14" t="s">
        <v>145</v>
      </c>
      <c r="Q14">
        <v>13</v>
      </c>
      <c r="R14">
        <v>2</v>
      </c>
      <c r="S14">
        <v>0</v>
      </c>
      <c r="T14">
        <v>50</v>
      </c>
      <c r="U14" t="s">
        <v>145</v>
      </c>
      <c r="V14" s="135">
        <v>42.7</v>
      </c>
      <c r="W14" t="s">
        <v>145</v>
      </c>
      <c r="X14" t="s">
        <v>149</v>
      </c>
      <c r="Y14">
        <v>-9.1863888899999999</v>
      </c>
      <c r="Z14">
        <v>39.551111110000001</v>
      </c>
      <c r="AA14">
        <v>-19</v>
      </c>
      <c r="AB14" t="s">
        <v>145</v>
      </c>
      <c r="AC14" t="s">
        <v>145</v>
      </c>
      <c r="AD14" s="169" t="s">
        <v>285</v>
      </c>
      <c r="AE14" t="s">
        <v>156</v>
      </c>
      <c r="AF14" t="s">
        <v>145</v>
      </c>
      <c r="AG14" s="128">
        <v>32980</v>
      </c>
      <c r="AH14" t="s">
        <v>160</v>
      </c>
      <c r="AI14" t="s">
        <v>145</v>
      </c>
      <c r="AJ14" t="s">
        <v>145</v>
      </c>
      <c r="AK14" t="s">
        <v>158</v>
      </c>
      <c r="AL14" t="s">
        <v>157</v>
      </c>
      <c r="AM14" t="s">
        <v>159</v>
      </c>
      <c r="AN14" t="s">
        <v>145</v>
      </c>
      <c r="AO14" t="s">
        <v>145</v>
      </c>
      <c r="AP14" t="s">
        <v>145</v>
      </c>
      <c r="AQ14" t="s">
        <v>145</v>
      </c>
      <c r="AR14" t="s">
        <v>145</v>
      </c>
      <c r="AS14" t="s">
        <v>145</v>
      </c>
      <c r="AT14" t="s">
        <v>145</v>
      </c>
      <c r="AU14" s="170" t="s">
        <v>176</v>
      </c>
      <c r="AV14" s="139" t="s">
        <v>162</v>
      </c>
      <c r="AW14" s="139" t="s">
        <v>177</v>
      </c>
      <c r="AX14" t="s">
        <v>145</v>
      </c>
      <c r="AY14" t="s">
        <v>165</v>
      </c>
      <c r="AZ14" t="s">
        <v>166</v>
      </c>
      <c r="BA14" t="s">
        <v>167</v>
      </c>
      <c r="BB14" t="s">
        <v>178</v>
      </c>
      <c r="BC14">
        <v>2</v>
      </c>
      <c r="BD14">
        <v>3.0000000000001133E-2</v>
      </c>
      <c r="BE14" s="150">
        <v>15.758716915017333</v>
      </c>
      <c r="BF14" t="s">
        <v>168</v>
      </c>
      <c r="BG14" s="150">
        <v>0.26727070847108353</v>
      </c>
      <c r="BH14">
        <v>1</v>
      </c>
      <c r="BI14" t="s">
        <v>188</v>
      </c>
      <c r="BJ14" t="s">
        <v>188</v>
      </c>
      <c r="BK14">
        <v>0</v>
      </c>
      <c r="BL14" t="s">
        <v>189</v>
      </c>
      <c r="BM14" t="s">
        <v>189</v>
      </c>
      <c r="BN14" t="s">
        <v>190</v>
      </c>
      <c r="BO14" t="s">
        <v>145</v>
      </c>
      <c r="BP14" s="143">
        <v>15.758716915017333</v>
      </c>
      <c r="BQ14" t="s">
        <v>191</v>
      </c>
      <c r="BR14" s="143">
        <v>0.26727070847108353</v>
      </c>
      <c r="BS14" t="s">
        <v>191</v>
      </c>
      <c r="BT14" t="s">
        <v>145</v>
      </c>
      <c r="BU14" t="s">
        <v>249</v>
      </c>
      <c r="BV14" t="s">
        <v>194</v>
      </c>
      <c r="BW14" t="s">
        <v>194</v>
      </c>
      <c r="BX14" s="126">
        <v>29.925315695288841</v>
      </c>
      <c r="BY14" t="s">
        <v>195</v>
      </c>
      <c r="BZ14">
        <v>2</v>
      </c>
      <c r="CA14">
        <v>2</v>
      </c>
      <c r="CB14" t="s">
        <v>145</v>
      </c>
      <c r="CC14" s="144">
        <v>4.1329370403052499</v>
      </c>
      <c r="CD14" t="s">
        <v>198</v>
      </c>
      <c r="CE14" s="143">
        <v>8.2658740806104997E-2</v>
      </c>
      <c r="CF14" s="143">
        <v>8.2658740806104997E-2</v>
      </c>
      <c r="CG14" s="145" t="s">
        <v>199</v>
      </c>
      <c r="CH14" s="152" t="s">
        <v>288</v>
      </c>
      <c r="CI14">
        <v>4.3</v>
      </c>
      <c r="CJ14" t="s">
        <v>282</v>
      </c>
      <c r="CK14" t="s">
        <v>197</v>
      </c>
      <c r="CL14" t="s">
        <v>197</v>
      </c>
      <c r="CM14" t="s">
        <v>197</v>
      </c>
      <c r="CN14" t="s">
        <v>145</v>
      </c>
      <c r="CO14" t="s">
        <v>145</v>
      </c>
      <c r="CP14" t="s">
        <v>145</v>
      </c>
      <c r="CQ14" t="s">
        <v>145</v>
      </c>
      <c r="CR14" t="s">
        <v>145</v>
      </c>
      <c r="CS14" t="s">
        <v>145</v>
      </c>
      <c r="CT14" t="s">
        <v>145</v>
      </c>
      <c r="CU14">
        <v>35</v>
      </c>
      <c r="CV14" t="s">
        <v>195</v>
      </c>
      <c r="CW14">
        <v>2</v>
      </c>
      <c r="CX14" t="s">
        <v>205</v>
      </c>
      <c r="CY14">
        <v>1.7000000000000001E-2</v>
      </c>
      <c r="CZ14" t="s">
        <v>206</v>
      </c>
      <c r="DA14">
        <v>3.0000000000000001E-3</v>
      </c>
      <c r="DB14" t="s">
        <v>224</v>
      </c>
      <c r="DC14">
        <v>3.7999999999999999E-2</v>
      </c>
      <c r="DD14" t="s">
        <v>206</v>
      </c>
      <c r="DE14">
        <v>3.0000000000000001E-3</v>
      </c>
      <c r="DF14" t="s">
        <v>287</v>
      </c>
      <c r="DG14" t="s">
        <v>208</v>
      </c>
      <c r="DH14" t="s">
        <v>145</v>
      </c>
      <c r="DI14" t="s">
        <v>145</v>
      </c>
      <c r="DJ14" t="s">
        <v>145</v>
      </c>
      <c r="DK14">
        <v>432.6</v>
      </c>
      <c r="DL14" t="s">
        <v>225</v>
      </c>
      <c r="DM14" t="s">
        <v>225</v>
      </c>
      <c r="DN14" t="s">
        <v>286</v>
      </c>
      <c r="DO14" s="152">
        <v>38.450000000000003</v>
      </c>
      <c r="DP14" s="152" t="s">
        <v>226</v>
      </c>
      <c r="DQ14" s="152">
        <v>0.25</v>
      </c>
      <c r="DR14" t="s">
        <v>227</v>
      </c>
      <c r="DS14" t="s">
        <v>228</v>
      </c>
      <c r="DT14" t="s">
        <v>229</v>
      </c>
      <c r="DU14">
        <v>1.0271999999999999</v>
      </c>
      <c r="DV14" t="s">
        <v>230</v>
      </c>
      <c r="DW14" t="s">
        <v>230</v>
      </c>
      <c r="DX14" t="s">
        <v>264</v>
      </c>
      <c r="DY14" t="s">
        <v>230</v>
      </c>
      <c r="DZ14" t="s">
        <v>230</v>
      </c>
      <c r="EA14" t="s">
        <v>231</v>
      </c>
      <c r="EB14" t="s">
        <v>232</v>
      </c>
      <c r="EC14" t="s">
        <v>233</v>
      </c>
      <c r="ED14" t="s">
        <v>233</v>
      </c>
      <c r="EE14" t="s">
        <v>233</v>
      </c>
      <c r="EF14" s="152" t="s">
        <v>234</v>
      </c>
      <c r="EG14" s="152" t="s">
        <v>229</v>
      </c>
      <c r="EH14" t="s">
        <v>235</v>
      </c>
      <c r="EI14" t="s">
        <v>236</v>
      </c>
      <c r="EJ14" s="152" t="s">
        <v>255</v>
      </c>
      <c r="EK14" t="s">
        <v>145</v>
      </c>
      <c r="EL14" t="s">
        <v>145</v>
      </c>
      <c r="EM14" t="s">
        <v>145</v>
      </c>
      <c r="EN14" t="s">
        <v>145</v>
      </c>
      <c r="EO14">
        <v>6.5</v>
      </c>
      <c r="EP14" t="s">
        <v>237</v>
      </c>
      <c r="EQ14">
        <v>1</v>
      </c>
      <c r="ER14">
        <v>1</v>
      </c>
      <c r="ES14" s="150">
        <v>7.8785464701954186</v>
      </c>
      <c r="ET14" s="152" t="s">
        <v>238</v>
      </c>
      <c r="EU14" s="150">
        <v>5.0212651172052043E-2</v>
      </c>
      <c r="EV14" s="156">
        <v>5.0212651172052043E-2</v>
      </c>
      <c r="EW14" s="157">
        <v>550</v>
      </c>
      <c r="EX14" s="158" t="s">
        <v>239</v>
      </c>
      <c r="EY14" s="158" t="s">
        <v>145</v>
      </c>
      <c r="EZ14" s="157">
        <v>550</v>
      </c>
      <c r="FA14" s="155">
        <v>190</v>
      </c>
      <c r="FB14" s="155">
        <v>190</v>
      </c>
      <c r="FC14" t="s">
        <v>241</v>
      </c>
      <c r="FD14" s="152" t="s">
        <v>242</v>
      </c>
      <c r="FE14" s="155">
        <v>2000</v>
      </c>
      <c r="FF14" s="155">
        <v>350</v>
      </c>
      <c r="FG14" s="155">
        <v>350</v>
      </c>
      <c r="FH14" s="159">
        <v>1800</v>
      </c>
      <c r="FI14" s="159">
        <v>330</v>
      </c>
      <c r="FJ14" s="159">
        <v>330</v>
      </c>
      <c r="FK14" s="152" t="s">
        <v>145</v>
      </c>
      <c r="FL14" t="s">
        <v>145</v>
      </c>
      <c r="FM14" t="s">
        <v>145</v>
      </c>
      <c r="FN14" t="s">
        <v>145</v>
      </c>
      <c r="FO14" t="s">
        <v>145</v>
      </c>
      <c r="FP14" t="s">
        <v>145</v>
      </c>
      <c r="FQ14" t="s">
        <v>245</v>
      </c>
    </row>
    <row r="15" spans="1:191">
      <c r="A15" t="s">
        <v>142</v>
      </c>
      <c r="B15" t="s">
        <v>143</v>
      </c>
      <c r="C15">
        <v>2016</v>
      </c>
      <c r="D15" t="s">
        <v>144</v>
      </c>
      <c r="E15" s="129">
        <v>33170</v>
      </c>
      <c r="F15" t="s">
        <v>145</v>
      </c>
      <c r="G15" t="s">
        <v>145</v>
      </c>
      <c r="H15" s="127">
        <v>710</v>
      </c>
      <c r="I15" s="127">
        <v>230</v>
      </c>
      <c r="J15" s="127">
        <v>230</v>
      </c>
      <c r="K15" t="s">
        <v>146</v>
      </c>
      <c r="L15" s="132" t="s">
        <v>147</v>
      </c>
      <c r="M15" s="1" t="s">
        <v>292</v>
      </c>
      <c r="N15" t="s">
        <v>144</v>
      </c>
      <c r="O15" t="s">
        <v>153</v>
      </c>
      <c r="P15" t="s">
        <v>145</v>
      </c>
      <c r="Q15">
        <v>19</v>
      </c>
      <c r="R15">
        <v>1</v>
      </c>
      <c r="S15">
        <v>0</v>
      </c>
      <c r="T15">
        <v>50</v>
      </c>
      <c r="U15" t="s">
        <v>145</v>
      </c>
      <c r="V15" s="135">
        <v>59.7</v>
      </c>
      <c r="W15" t="s">
        <v>145</v>
      </c>
      <c r="X15" t="s">
        <v>149</v>
      </c>
      <c r="Y15">
        <v>-9.1863888899999999</v>
      </c>
      <c r="Z15">
        <v>39.551111110000001</v>
      </c>
      <c r="AA15">
        <v>-19</v>
      </c>
      <c r="AB15" t="s">
        <v>145</v>
      </c>
      <c r="AC15" t="s">
        <v>145</v>
      </c>
      <c r="AD15" s="169" t="s">
        <v>285</v>
      </c>
      <c r="AE15" t="s">
        <v>156</v>
      </c>
      <c r="AF15" t="s">
        <v>145</v>
      </c>
      <c r="AG15" s="129">
        <v>33170</v>
      </c>
      <c r="AH15" t="s">
        <v>160</v>
      </c>
      <c r="AI15" t="s">
        <v>145</v>
      </c>
      <c r="AJ15" t="s">
        <v>145</v>
      </c>
      <c r="AK15" t="s">
        <v>158</v>
      </c>
      <c r="AL15" t="s">
        <v>157</v>
      </c>
      <c r="AM15" t="s">
        <v>159</v>
      </c>
      <c r="AN15" t="s">
        <v>145</v>
      </c>
      <c r="AO15" t="s">
        <v>145</v>
      </c>
      <c r="AP15" t="s">
        <v>145</v>
      </c>
      <c r="AQ15" t="s">
        <v>145</v>
      </c>
      <c r="AR15" t="s">
        <v>145</v>
      </c>
      <c r="AS15" t="s">
        <v>145</v>
      </c>
      <c r="AT15" t="s">
        <v>145</v>
      </c>
      <c r="AU15" s="170" t="s">
        <v>176</v>
      </c>
      <c r="AV15" s="139" t="s">
        <v>162</v>
      </c>
      <c r="AW15" s="139" t="s">
        <v>177</v>
      </c>
      <c r="AX15" t="s">
        <v>145</v>
      </c>
      <c r="AY15" t="s">
        <v>165</v>
      </c>
      <c r="AZ15" t="s">
        <v>166</v>
      </c>
      <c r="BA15" t="s">
        <v>167</v>
      </c>
      <c r="BB15" t="s">
        <v>179</v>
      </c>
      <c r="BC15">
        <v>2</v>
      </c>
      <c r="BD15">
        <v>0.38000000000000073</v>
      </c>
      <c r="BE15" s="150">
        <v>15.31090196348655</v>
      </c>
      <c r="BF15" t="s">
        <v>168</v>
      </c>
      <c r="BG15" s="150">
        <v>0.26793015211683424</v>
      </c>
      <c r="BH15">
        <v>1</v>
      </c>
      <c r="BI15" t="s">
        <v>188</v>
      </c>
      <c r="BJ15" t="s">
        <v>188</v>
      </c>
      <c r="BK15">
        <v>0</v>
      </c>
      <c r="BL15" t="s">
        <v>189</v>
      </c>
      <c r="BM15" t="s">
        <v>189</v>
      </c>
      <c r="BN15" t="s">
        <v>190</v>
      </c>
      <c r="BO15" t="s">
        <v>145</v>
      </c>
      <c r="BP15" s="143">
        <v>15.31090196348655</v>
      </c>
      <c r="BQ15" t="s">
        <v>191</v>
      </c>
      <c r="BR15" s="143">
        <v>0.26793015211683424</v>
      </c>
      <c r="BS15" t="s">
        <v>191</v>
      </c>
      <c r="BT15" t="s">
        <v>145</v>
      </c>
      <c r="BU15" t="s">
        <v>249</v>
      </c>
      <c r="BV15" t="s">
        <v>194</v>
      </c>
      <c r="BW15" t="s">
        <v>194</v>
      </c>
      <c r="BX15" s="126">
        <v>30.450562402423493</v>
      </c>
      <c r="BY15" t="s">
        <v>195</v>
      </c>
      <c r="BZ15">
        <v>2</v>
      </c>
      <c r="CA15">
        <v>2</v>
      </c>
      <c r="CB15" t="s">
        <v>145</v>
      </c>
      <c r="CC15" s="144">
        <v>4.1877376849825874</v>
      </c>
      <c r="CD15" t="s">
        <v>198</v>
      </c>
      <c r="CE15" s="143">
        <v>8.3754753699651754E-2</v>
      </c>
      <c r="CF15" s="143">
        <v>8.3754753699651754E-2</v>
      </c>
      <c r="CG15" s="145" t="s">
        <v>199</v>
      </c>
      <c r="CH15" s="152" t="s">
        <v>288</v>
      </c>
      <c r="CI15">
        <v>4.3</v>
      </c>
      <c r="CJ15" t="s">
        <v>282</v>
      </c>
      <c r="CK15" t="s">
        <v>197</v>
      </c>
      <c r="CL15" t="s">
        <v>197</v>
      </c>
      <c r="CM15" t="s">
        <v>197</v>
      </c>
      <c r="CN15" t="s">
        <v>145</v>
      </c>
      <c r="CO15" t="s">
        <v>145</v>
      </c>
      <c r="CP15" t="s">
        <v>145</v>
      </c>
      <c r="CQ15" t="s">
        <v>145</v>
      </c>
      <c r="CR15" t="s">
        <v>145</v>
      </c>
      <c r="CS15" t="s">
        <v>145</v>
      </c>
      <c r="CT15" t="s">
        <v>145</v>
      </c>
      <c r="CU15">
        <v>35</v>
      </c>
      <c r="CV15" t="s">
        <v>195</v>
      </c>
      <c r="CW15">
        <v>2</v>
      </c>
      <c r="CX15" t="s">
        <v>205</v>
      </c>
      <c r="CY15">
        <v>1.7000000000000001E-2</v>
      </c>
      <c r="CZ15" t="s">
        <v>206</v>
      </c>
      <c r="DA15">
        <v>3.0000000000000001E-3</v>
      </c>
      <c r="DB15" t="s">
        <v>224</v>
      </c>
      <c r="DC15">
        <v>3.7999999999999999E-2</v>
      </c>
      <c r="DD15" t="s">
        <v>206</v>
      </c>
      <c r="DE15">
        <v>3.0000000000000001E-3</v>
      </c>
      <c r="DF15" t="s">
        <v>287</v>
      </c>
      <c r="DG15" t="s">
        <v>208</v>
      </c>
      <c r="DH15" t="s">
        <v>145</v>
      </c>
      <c r="DI15" t="s">
        <v>145</v>
      </c>
      <c r="DJ15" t="s">
        <v>145</v>
      </c>
      <c r="DK15">
        <v>432.6</v>
      </c>
      <c r="DL15" t="s">
        <v>225</v>
      </c>
      <c r="DM15" t="s">
        <v>225</v>
      </c>
      <c r="DN15" t="s">
        <v>286</v>
      </c>
      <c r="DO15" s="152">
        <v>38.450000000000003</v>
      </c>
      <c r="DP15" s="152" t="s">
        <v>226</v>
      </c>
      <c r="DQ15" s="152">
        <v>0.25</v>
      </c>
      <c r="DR15" t="s">
        <v>227</v>
      </c>
      <c r="DS15" t="s">
        <v>228</v>
      </c>
      <c r="DT15" t="s">
        <v>229</v>
      </c>
      <c r="DU15">
        <v>1.0271999999999999</v>
      </c>
      <c r="DV15" t="s">
        <v>230</v>
      </c>
      <c r="DW15" t="s">
        <v>230</v>
      </c>
      <c r="DX15" t="s">
        <v>264</v>
      </c>
      <c r="DY15" t="s">
        <v>230</v>
      </c>
      <c r="DZ15" t="s">
        <v>230</v>
      </c>
      <c r="EA15" t="s">
        <v>231</v>
      </c>
      <c r="EB15" t="s">
        <v>232</v>
      </c>
      <c r="EC15" t="s">
        <v>233</v>
      </c>
      <c r="ED15" t="s">
        <v>233</v>
      </c>
      <c r="EE15" t="s">
        <v>233</v>
      </c>
      <c r="EF15" s="152" t="s">
        <v>234</v>
      </c>
      <c r="EG15" s="152" t="s">
        <v>229</v>
      </c>
      <c r="EH15" t="s">
        <v>235</v>
      </c>
      <c r="EI15" t="s">
        <v>236</v>
      </c>
      <c r="EJ15" s="152" t="s">
        <v>255</v>
      </c>
      <c r="EK15" t="s">
        <v>145</v>
      </c>
      <c r="EL15" t="s">
        <v>145</v>
      </c>
      <c r="EM15" t="s">
        <v>145</v>
      </c>
      <c r="EN15" t="s">
        <v>145</v>
      </c>
      <c r="EO15">
        <v>6.5</v>
      </c>
      <c r="EP15" t="s">
        <v>237</v>
      </c>
      <c r="EQ15">
        <v>1</v>
      </c>
      <c r="ER15">
        <v>1</v>
      </c>
      <c r="ES15" s="150">
        <v>7.8213257828535117</v>
      </c>
      <c r="ET15" s="152" t="s">
        <v>238</v>
      </c>
      <c r="EU15" s="150">
        <v>5.2305082831856302E-2</v>
      </c>
      <c r="EV15" s="156">
        <v>5.2305082831856302E-2</v>
      </c>
      <c r="EW15" s="157">
        <v>710</v>
      </c>
      <c r="EX15" s="158" t="s">
        <v>239</v>
      </c>
      <c r="EY15" s="158" t="s">
        <v>145</v>
      </c>
      <c r="EZ15" s="157">
        <v>710</v>
      </c>
      <c r="FA15" s="155">
        <v>230</v>
      </c>
      <c r="FB15" s="155">
        <v>230</v>
      </c>
      <c r="FC15" t="s">
        <v>241</v>
      </c>
      <c r="FD15" s="152" t="s">
        <v>242</v>
      </c>
      <c r="FE15" s="155">
        <v>2100</v>
      </c>
      <c r="FF15" s="155">
        <v>390</v>
      </c>
      <c r="FG15" s="155">
        <v>390</v>
      </c>
      <c r="FH15" s="159">
        <v>1900</v>
      </c>
      <c r="FI15" s="159">
        <v>370</v>
      </c>
      <c r="FJ15" s="159">
        <v>370</v>
      </c>
      <c r="FK15" s="152" t="s">
        <v>145</v>
      </c>
      <c r="FL15" t="s">
        <v>145</v>
      </c>
      <c r="FM15" t="s">
        <v>145</v>
      </c>
      <c r="FN15" t="s">
        <v>145</v>
      </c>
      <c r="FO15" t="s">
        <v>145</v>
      </c>
      <c r="FP15" t="s">
        <v>145</v>
      </c>
      <c r="FQ15" t="s">
        <v>245</v>
      </c>
    </row>
    <row r="16" spans="1:191">
      <c r="A16" t="s">
        <v>142</v>
      </c>
      <c r="B16" t="s">
        <v>143</v>
      </c>
      <c r="C16">
        <v>2016</v>
      </c>
      <c r="D16" t="s">
        <v>144</v>
      </c>
      <c r="E16" s="128">
        <v>33330</v>
      </c>
      <c r="F16" t="s">
        <v>145</v>
      </c>
      <c r="G16" t="s">
        <v>145</v>
      </c>
      <c r="H16" s="127">
        <v>890</v>
      </c>
      <c r="I16" s="127">
        <v>290</v>
      </c>
      <c r="J16" s="127">
        <v>290</v>
      </c>
      <c r="K16" t="s">
        <v>146</v>
      </c>
      <c r="L16" s="132" t="s">
        <v>147</v>
      </c>
      <c r="M16" s="1" t="s">
        <v>292</v>
      </c>
      <c r="N16" t="s">
        <v>144</v>
      </c>
      <c r="O16" t="s">
        <v>153</v>
      </c>
      <c r="P16" t="s">
        <v>145</v>
      </c>
      <c r="Q16">
        <v>26</v>
      </c>
      <c r="R16">
        <v>1</v>
      </c>
      <c r="S16">
        <v>40</v>
      </c>
      <c r="T16">
        <v>90</v>
      </c>
      <c r="U16" t="s">
        <v>145</v>
      </c>
      <c r="V16" s="135">
        <v>75.45</v>
      </c>
      <c r="W16" t="s">
        <v>145</v>
      </c>
      <c r="X16" t="s">
        <v>149</v>
      </c>
      <c r="Y16">
        <v>-9.1863888899999999</v>
      </c>
      <c r="Z16">
        <v>39.551111110000001</v>
      </c>
      <c r="AA16">
        <v>-19</v>
      </c>
      <c r="AB16" t="s">
        <v>145</v>
      </c>
      <c r="AC16" t="s">
        <v>145</v>
      </c>
      <c r="AD16" s="169" t="s">
        <v>285</v>
      </c>
      <c r="AE16" t="s">
        <v>156</v>
      </c>
      <c r="AF16" t="s">
        <v>145</v>
      </c>
      <c r="AG16" s="128">
        <v>33330</v>
      </c>
      <c r="AH16" t="s">
        <v>160</v>
      </c>
      <c r="AI16" t="s">
        <v>145</v>
      </c>
      <c r="AJ16" t="s">
        <v>145</v>
      </c>
      <c r="AK16" t="s">
        <v>158</v>
      </c>
      <c r="AL16" t="s">
        <v>157</v>
      </c>
      <c r="AM16" t="s">
        <v>159</v>
      </c>
      <c r="AN16" t="s">
        <v>145</v>
      </c>
      <c r="AO16" t="s">
        <v>145</v>
      </c>
      <c r="AP16" t="s">
        <v>145</v>
      </c>
      <c r="AQ16" t="s">
        <v>145</v>
      </c>
      <c r="AR16" t="s">
        <v>145</v>
      </c>
      <c r="AS16" t="s">
        <v>145</v>
      </c>
      <c r="AT16" t="s">
        <v>145</v>
      </c>
      <c r="AU16" s="170" t="s">
        <v>176</v>
      </c>
      <c r="AV16" s="139" t="s">
        <v>162</v>
      </c>
      <c r="AW16" s="139" t="s">
        <v>177</v>
      </c>
      <c r="AX16" t="s">
        <v>145</v>
      </c>
      <c r="AY16" t="s">
        <v>165</v>
      </c>
      <c r="AZ16" t="s">
        <v>166</v>
      </c>
      <c r="BA16" t="s">
        <v>167</v>
      </c>
      <c r="BB16" t="s">
        <v>180</v>
      </c>
      <c r="BC16">
        <v>2</v>
      </c>
      <c r="BD16">
        <v>8.0000000000000071E-2</v>
      </c>
      <c r="BE16" s="150">
        <v>14.928367132844311</v>
      </c>
      <c r="BF16" t="s">
        <v>168</v>
      </c>
      <c r="BG16" s="150">
        <v>0.26091628653420895</v>
      </c>
      <c r="BH16">
        <v>1</v>
      </c>
      <c r="BI16" t="s">
        <v>188</v>
      </c>
      <c r="BJ16" t="s">
        <v>188</v>
      </c>
      <c r="BK16">
        <v>0</v>
      </c>
      <c r="BL16" t="s">
        <v>189</v>
      </c>
      <c r="BM16" t="s">
        <v>189</v>
      </c>
      <c r="BN16" t="s">
        <v>190</v>
      </c>
      <c r="BO16" t="s">
        <v>145</v>
      </c>
      <c r="BP16" s="143">
        <v>14.928367132844311</v>
      </c>
      <c r="BQ16" t="s">
        <v>191</v>
      </c>
      <c r="BR16" s="143">
        <v>0.26091628653420895</v>
      </c>
      <c r="BS16" t="s">
        <v>191</v>
      </c>
      <c r="BT16" t="s">
        <v>145</v>
      </c>
      <c r="BU16" t="s">
        <v>249</v>
      </c>
      <c r="BV16" t="s">
        <v>194</v>
      </c>
      <c r="BW16" t="s">
        <v>194</v>
      </c>
      <c r="BX16" s="126">
        <v>31.037153247391789</v>
      </c>
      <c r="BY16" t="s">
        <v>195</v>
      </c>
      <c r="BZ16">
        <v>2</v>
      </c>
      <c r="CA16">
        <v>2</v>
      </c>
      <c r="CB16" t="s">
        <v>145</v>
      </c>
      <c r="CC16" s="144">
        <v>4.6603652712700114</v>
      </c>
      <c r="CD16" t="s">
        <v>198</v>
      </c>
      <c r="CE16" s="143">
        <v>9.3207305425400233E-2</v>
      </c>
      <c r="CF16" s="143">
        <v>9.3207305425400233E-2</v>
      </c>
      <c r="CG16" s="145" t="s">
        <v>199</v>
      </c>
      <c r="CH16" s="152" t="s">
        <v>288</v>
      </c>
      <c r="CI16">
        <v>4.3</v>
      </c>
      <c r="CJ16" t="s">
        <v>282</v>
      </c>
      <c r="CK16" t="s">
        <v>197</v>
      </c>
      <c r="CL16" t="s">
        <v>197</v>
      </c>
      <c r="CM16" t="s">
        <v>197</v>
      </c>
      <c r="CN16" t="s">
        <v>145</v>
      </c>
      <c r="CO16" t="s">
        <v>145</v>
      </c>
      <c r="CP16" t="s">
        <v>145</v>
      </c>
      <c r="CQ16" t="s">
        <v>145</v>
      </c>
      <c r="CR16" t="s">
        <v>145</v>
      </c>
      <c r="CS16" t="s">
        <v>145</v>
      </c>
      <c r="CT16" t="s">
        <v>145</v>
      </c>
      <c r="CU16">
        <v>35</v>
      </c>
      <c r="CV16" t="s">
        <v>195</v>
      </c>
      <c r="CW16">
        <v>2</v>
      </c>
      <c r="CX16" t="s">
        <v>205</v>
      </c>
      <c r="CY16">
        <v>1.7000000000000001E-2</v>
      </c>
      <c r="CZ16" t="s">
        <v>206</v>
      </c>
      <c r="DA16">
        <v>3.0000000000000001E-3</v>
      </c>
      <c r="DB16" t="s">
        <v>224</v>
      </c>
      <c r="DC16">
        <v>3.7999999999999999E-2</v>
      </c>
      <c r="DD16" t="s">
        <v>206</v>
      </c>
      <c r="DE16">
        <v>3.0000000000000001E-3</v>
      </c>
      <c r="DF16" t="s">
        <v>287</v>
      </c>
      <c r="DG16" t="s">
        <v>208</v>
      </c>
      <c r="DH16" t="s">
        <v>145</v>
      </c>
      <c r="DI16" t="s">
        <v>145</v>
      </c>
      <c r="DJ16" t="s">
        <v>145</v>
      </c>
      <c r="DK16">
        <v>432.6</v>
      </c>
      <c r="DL16" t="s">
        <v>225</v>
      </c>
      <c r="DM16" t="s">
        <v>225</v>
      </c>
      <c r="DN16" t="s">
        <v>286</v>
      </c>
      <c r="DO16" s="152">
        <v>38.450000000000003</v>
      </c>
      <c r="DP16" s="152" t="s">
        <v>226</v>
      </c>
      <c r="DQ16" s="152">
        <v>0.25</v>
      </c>
      <c r="DR16" t="s">
        <v>227</v>
      </c>
      <c r="DS16" t="s">
        <v>228</v>
      </c>
      <c r="DT16" t="s">
        <v>229</v>
      </c>
      <c r="DU16">
        <v>1.0271999999999999</v>
      </c>
      <c r="DV16" t="s">
        <v>230</v>
      </c>
      <c r="DW16" t="s">
        <v>230</v>
      </c>
      <c r="DX16" t="s">
        <v>264</v>
      </c>
      <c r="DY16" t="s">
        <v>230</v>
      </c>
      <c r="DZ16" t="s">
        <v>230</v>
      </c>
      <c r="EA16" t="s">
        <v>231</v>
      </c>
      <c r="EB16" t="s">
        <v>232</v>
      </c>
      <c r="EC16" t="s">
        <v>233</v>
      </c>
      <c r="ED16" t="s">
        <v>233</v>
      </c>
      <c r="EE16" t="s">
        <v>233</v>
      </c>
      <c r="EF16" s="152" t="s">
        <v>234</v>
      </c>
      <c r="EG16" s="152" t="s">
        <v>229</v>
      </c>
      <c r="EH16" t="s">
        <v>235</v>
      </c>
      <c r="EI16" t="s">
        <v>236</v>
      </c>
      <c r="EJ16" s="152" t="s">
        <v>255</v>
      </c>
      <c r="EK16" t="s">
        <v>145</v>
      </c>
      <c r="EL16" t="s">
        <v>145</v>
      </c>
      <c r="EM16" t="s">
        <v>145</v>
      </c>
      <c r="EN16" t="s">
        <v>145</v>
      </c>
      <c r="EO16">
        <v>6.5</v>
      </c>
      <c r="EP16" t="s">
        <v>237</v>
      </c>
      <c r="EQ16">
        <v>1</v>
      </c>
      <c r="ER16">
        <v>1</v>
      </c>
      <c r="ES16" s="150">
        <v>7.7674337897970496</v>
      </c>
      <c r="ET16" s="152" t="s">
        <v>238</v>
      </c>
      <c r="EU16" s="150">
        <v>5.5135494852324052E-2</v>
      </c>
      <c r="EV16" s="156">
        <v>5.5135494852324052E-2</v>
      </c>
      <c r="EW16" s="157">
        <v>890</v>
      </c>
      <c r="EX16" s="158" t="s">
        <v>239</v>
      </c>
      <c r="EY16" s="158" t="s">
        <v>145</v>
      </c>
      <c r="EZ16" s="157">
        <v>890</v>
      </c>
      <c r="FA16" s="155">
        <v>290</v>
      </c>
      <c r="FB16" s="155">
        <v>290</v>
      </c>
      <c r="FC16" t="s">
        <v>241</v>
      </c>
      <c r="FD16" s="152" t="s">
        <v>242</v>
      </c>
      <c r="FE16" s="155">
        <v>2300</v>
      </c>
      <c r="FF16" s="155">
        <v>430</v>
      </c>
      <c r="FG16" s="155">
        <v>430</v>
      </c>
      <c r="FH16" s="159">
        <v>2100</v>
      </c>
      <c r="FI16" s="159">
        <v>419.77999804786288</v>
      </c>
      <c r="FJ16" s="159">
        <v>419.77999804786288</v>
      </c>
      <c r="FK16" s="152" t="s">
        <v>145</v>
      </c>
      <c r="FL16" t="s">
        <v>145</v>
      </c>
      <c r="FM16" t="s">
        <v>145</v>
      </c>
      <c r="FN16" t="s">
        <v>145</v>
      </c>
      <c r="FO16" t="s">
        <v>145</v>
      </c>
      <c r="FP16" t="s">
        <v>145</v>
      </c>
      <c r="FQ16" t="s">
        <v>245</v>
      </c>
    </row>
    <row r="17" spans="1:173">
      <c r="A17" t="s">
        <v>142</v>
      </c>
      <c r="B17" t="s">
        <v>143</v>
      </c>
      <c r="C17">
        <v>2016</v>
      </c>
      <c r="D17" t="s">
        <v>144</v>
      </c>
      <c r="E17" s="129">
        <v>33470</v>
      </c>
      <c r="F17" t="s">
        <v>145</v>
      </c>
      <c r="G17" t="s">
        <v>145</v>
      </c>
      <c r="H17" s="127">
        <v>930</v>
      </c>
      <c r="I17" s="127">
        <v>320</v>
      </c>
      <c r="J17" s="127">
        <v>320</v>
      </c>
      <c r="K17" t="s">
        <v>146</v>
      </c>
      <c r="L17" s="132" t="s">
        <v>147</v>
      </c>
      <c r="M17" s="1" t="s">
        <v>292</v>
      </c>
      <c r="N17" t="s">
        <v>144</v>
      </c>
      <c r="O17" t="s">
        <v>154</v>
      </c>
      <c r="P17" t="s">
        <v>145</v>
      </c>
      <c r="Q17">
        <v>11</v>
      </c>
      <c r="R17">
        <v>2</v>
      </c>
      <c r="S17">
        <v>0</v>
      </c>
      <c r="T17">
        <v>50</v>
      </c>
      <c r="U17" t="s">
        <v>145</v>
      </c>
      <c r="V17" s="135">
        <v>94.25</v>
      </c>
      <c r="W17" t="s">
        <v>145</v>
      </c>
      <c r="X17" t="s">
        <v>149</v>
      </c>
      <c r="Y17">
        <v>-9.2152777799999992</v>
      </c>
      <c r="Z17">
        <v>39.548333329999998</v>
      </c>
      <c r="AA17">
        <v>-19</v>
      </c>
      <c r="AB17" t="s">
        <v>145</v>
      </c>
      <c r="AC17" t="s">
        <v>145</v>
      </c>
      <c r="AD17" s="169" t="s">
        <v>285</v>
      </c>
      <c r="AE17" t="s">
        <v>156</v>
      </c>
      <c r="AF17" t="s">
        <v>145</v>
      </c>
      <c r="AG17" s="129">
        <v>33470</v>
      </c>
      <c r="AH17" t="s">
        <v>160</v>
      </c>
      <c r="AI17" t="s">
        <v>145</v>
      </c>
      <c r="AJ17" t="s">
        <v>145</v>
      </c>
      <c r="AK17" t="s">
        <v>158</v>
      </c>
      <c r="AL17" t="s">
        <v>157</v>
      </c>
      <c r="AM17" t="s">
        <v>159</v>
      </c>
      <c r="AN17" t="s">
        <v>145</v>
      </c>
      <c r="AO17" t="s">
        <v>145</v>
      </c>
      <c r="AP17" t="s">
        <v>145</v>
      </c>
      <c r="AQ17" t="s">
        <v>145</v>
      </c>
      <c r="AR17" t="s">
        <v>145</v>
      </c>
      <c r="AS17" t="s">
        <v>145</v>
      </c>
      <c r="AT17" t="s">
        <v>145</v>
      </c>
      <c r="AU17" s="170" t="s">
        <v>176</v>
      </c>
      <c r="AV17" s="139" t="s">
        <v>162</v>
      </c>
      <c r="AW17" s="139" t="s">
        <v>177</v>
      </c>
      <c r="AX17" t="s">
        <v>145</v>
      </c>
      <c r="AY17" t="s">
        <v>165</v>
      </c>
      <c r="AZ17" t="s">
        <v>166</v>
      </c>
      <c r="BA17" t="s">
        <v>167</v>
      </c>
      <c r="BB17" t="s">
        <v>181</v>
      </c>
      <c r="BC17">
        <v>2</v>
      </c>
      <c r="BD17">
        <v>0</v>
      </c>
      <c r="BE17" s="150">
        <v>14.8078066504938</v>
      </c>
      <c r="BF17" t="s">
        <v>168</v>
      </c>
      <c r="BG17" s="139">
        <v>0.26471819330941693</v>
      </c>
      <c r="BH17">
        <v>1</v>
      </c>
      <c r="BI17" t="s">
        <v>188</v>
      </c>
      <c r="BJ17" t="s">
        <v>188</v>
      </c>
      <c r="BK17">
        <v>0</v>
      </c>
      <c r="BL17" t="s">
        <v>189</v>
      </c>
      <c r="BM17" t="s">
        <v>189</v>
      </c>
      <c r="BN17" t="s">
        <v>190</v>
      </c>
      <c r="BO17" t="s">
        <v>145</v>
      </c>
      <c r="BP17" s="143">
        <v>14.8078066504938</v>
      </c>
      <c r="BQ17" t="s">
        <v>191</v>
      </c>
      <c r="BR17" s="143">
        <v>0.26471819330941693</v>
      </c>
      <c r="BS17" t="s">
        <v>191</v>
      </c>
      <c r="BT17" t="s">
        <v>145</v>
      </c>
      <c r="BU17" t="s">
        <v>249</v>
      </c>
      <c r="BV17" t="s">
        <v>194</v>
      </c>
      <c r="BW17" t="s">
        <v>194</v>
      </c>
      <c r="BX17" s="126">
        <v>29.505852159477485</v>
      </c>
      <c r="BY17" t="s">
        <v>195</v>
      </c>
      <c r="BZ17">
        <v>2</v>
      </c>
      <c r="CA17">
        <v>2</v>
      </c>
      <c r="CB17" t="s">
        <v>145</v>
      </c>
      <c r="CC17" s="144">
        <v>4.0266311512116291</v>
      </c>
      <c r="CD17" t="s">
        <v>198</v>
      </c>
      <c r="CE17" s="143">
        <v>8.0532623024232586E-2</v>
      </c>
      <c r="CF17" s="143">
        <v>8.0532623024232586E-2</v>
      </c>
      <c r="CG17" s="145" t="s">
        <v>199</v>
      </c>
      <c r="CH17" s="152" t="s">
        <v>288</v>
      </c>
      <c r="CI17">
        <v>4.3</v>
      </c>
      <c r="CJ17" t="s">
        <v>282</v>
      </c>
      <c r="CK17" t="s">
        <v>197</v>
      </c>
      <c r="CL17" t="s">
        <v>197</v>
      </c>
      <c r="CM17" t="s">
        <v>197</v>
      </c>
      <c r="CN17" t="s">
        <v>145</v>
      </c>
      <c r="CO17" t="s">
        <v>145</v>
      </c>
      <c r="CP17" t="s">
        <v>145</v>
      </c>
      <c r="CQ17" t="s">
        <v>145</v>
      </c>
      <c r="CR17" t="s">
        <v>145</v>
      </c>
      <c r="CS17" t="s">
        <v>145</v>
      </c>
      <c r="CT17" t="s">
        <v>145</v>
      </c>
      <c r="CU17">
        <v>35</v>
      </c>
      <c r="CV17" t="s">
        <v>195</v>
      </c>
      <c r="CW17">
        <v>2</v>
      </c>
      <c r="CX17" t="s">
        <v>205</v>
      </c>
      <c r="CY17">
        <v>1.7000000000000001E-2</v>
      </c>
      <c r="CZ17" t="s">
        <v>206</v>
      </c>
      <c r="DA17">
        <v>3.0000000000000001E-3</v>
      </c>
      <c r="DB17" t="s">
        <v>224</v>
      </c>
      <c r="DC17">
        <v>3.7999999999999999E-2</v>
      </c>
      <c r="DD17" t="s">
        <v>206</v>
      </c>
      <c r="DE17">
        <v>3.0000000000000001E-3</v>
      </c>
      <c r="DF17" t="s">
        <v>287</v>
      </c>
      <c r="DG17" t="s">
        <v>208</v>
      </c>
      <c r="DH17" t="s">
        <v>145</v>
      </c>
      <c r="DI17" t="s">
        <v>145</v>
      </c>
      <c r="DJ17" t="s">
        <v>145</v>
      </c>
      <c r="DK17">
        <v>432.6</v>
      </c>
      <c r="DL17" t="s">
        <v>225</v>
      </c>
      <c r="DM17" t="s">
        <v>225</v>
      </c>
      <c r="DN17" t="s">
        <v>286</v>
      </c>
      <c r="DO17" s="152">
        <v>38.450000000000003</v>
      </c>
      <c r="DP17" s="152" t="s">
        <v>226</v>
      </c>
      <c r="DQ17" s="152">
        <v>0.25</v>
      </c>
      <c r="DR17" t="s">
        <v>227</v>
      </c>
      <c r="DS17" t="s">
        <v>228</v>
      </c>
      <c r="DT17" t="s">
        <v>229</v>
      </c>
      <c r="DU17">
        <v>1.0271999999999999</v>
      </c>
      <c r="DV17" t="s">
        <v>230</v>
      </c>
      <c r="DW17" t="s">
        <v>230</v>
      </c>
      <c r="DX17" t="s">
        <v>264</v>
      </c>
      <c r="DY17" t="s">
        <v>230</v>
      </c>
      <c r="DZ17" t="s">
        <v>230</v>
      </c>
      <c r="EA17" t="s">
        <v>231</v>
      </c>
      <c r="EB17" t="s">
        <v>232</v>
      </c>
      <c r="EC17" t="s">
        <v>233</v>
      </c>
      <c r="ED17" t="s">
        <v>233</v>
      </c>
      <c r="EE17" t="s">
        <v>233</v>
      </c>
      <c r="EF17" s="152" t="s">
        <v>234</v>
      </c>
      <c r="EG17" s="152" t="s">
        <v>229</v>
      </c>
      <c r="EH17" t="s">
        <v>235</v>
      </c>
      <c r="EI17" t="s">
        <v>236</v>
      </c>
      <c r="EJ17" s="152" t="s">
        <v>255</v>
      </c>
      <c r="EK17" t="s">
        <v>145</v>
      </c>
      <c r="EL17" t="s">
        <v>145</v>
      </c>
      <c r="EM17" t="s">
        <v>145</v>
      </c>
      <c r="EN17" t="s">
        <v>145</v>
      </c>
      <c r="EO17">
        <v>6.5</v>
      </c>
      <c r="EP17" t="s">
        <v>237</v>
      </c>
      <c r="EQ17">
        <v>1</v>
      </c>
      <c r="ER17">
        <v>1</v>
      </c>
      <c r="ES17" s="150">
        <v>7.7689947051732551</v>
      </c>
      <c r="ET17" s="152" t="s">
        <v>238</v>
      </c>
      <c r="EU17" s="150">
        <v>5.7528832154707422E-2</v>
      </c>
      <c r="EV17" s="150">
        <v>5.7528832154707422E-2</v>
      </c>
      <c r="EW17" s="155">
        <v>930</v>
      </c>
      <c r="EX17" s="152" t="s">
        <v>239</v>
      </c>
      <c r="EY17" s="158" t="s">
        <v>145</v>
      </c>
      <c r="EZ17" s="155">
        <v>930</v>
      </c>
      <c r="FA17" s="155">
        <v>320</v>
      </c>
      <c r="FB17" s="155">
        <v>320</v>
      </c>
      <c r="FC17" t="s">
        <v>241</v>
      </c>
      <c r="FD17" s="152" t="s">
        <v>242</v>
      </c>
      <c r="FE17" s="155">
        <v>2400</v>
      </c>
      <c r="FF17" s="155">
        <v>469.52183621982408</v>
      </c>
      <c r="FG17" s="155">
        <v>469.52183621982408</v>
      </c>
      <c r="FH17" s="159">
        <v>2300</v>
      </c>
      <c r="FI17" s="159">
        <v>460</v>
      </c>
      <c r="FJ17" s="159">
        <v>460</v>
      </c>
      <c r="FK17" s="152" t="s">
        <v>145</v>
      </c>
      <c r="FL17" t="s">
        <v>145</v>
      </c>
      <c r="FM17" t="s">
        <v>145</v>
      </c>
      <c r="FN17" t="s">
        <v>145</v>
      </c>
      <c r="FO17" t="s">
        <v>145</v>
      </c>
      <c r="FP17" t="s">
        <v>145</v>
      </c>
      <c r="FQ17" t="s">
        <v>245</v>
      </c>
    </row>
    <row r="18" spans="1:173">
      <c r="A18" t="s">
        <v>142</v>
      </c>
      <c r="B18" t="s">
        <v>143</v>
      </c>
      <c r="C18">
        <v>2016</v>
      </c>
      <c r="D18" t="s">
        <v>144</v>
      </c>
      <c r="E18" s="129">
        <v>33590</v>
      </c>
      <c r="F18" t="s">
        <v>145</v>
      </c>
      <c r="G18" t="s">
        <v>145</v>
      </c>
      <c r="H18" s="127">
        <v>690</v>
      </c>
      <c r="I18" s="127">
        <v>230</v>
      </c>
      <c r="J18" s="127">
        <v>230</v>
      </c>
      <c r="K18" t="s">
        <v>146</v>
      </c>
      <c r="L18" s="132" t="s">
        <v>147</v>
      </c>
      <c r="M18" s="1" t="s">
        <v>292</v>
      </c>
      <c r="N18" t="s">
        <v>144</v>
      </c>
      <c r="O18" t="s">
        <v>153</v>
      </c>
      <c r="P18" t="s">
        <v>145</v>
      </c>
      <c r="Q18">
        <v>34</v>
      </c>
      <c r="R18">
        <v>2</v>
      </c>
      <c r="S18">
        <v>0</v>
      </c>
      <c r="T18">
        <v>50</v>
      </c>
      <c r="U18" t="s">
        <v>145</v>
      </c>
      <c r="V18" s="135">
        <v>99.15</v>
      </c>
      <c r="W18" t="s">
        <v>145</v>
      </c>
      <c r="X18" t="s">
        <v>149</v>
      </c>
      <c r="Y18">
        <v>-9.1863888899999999</v>
      </c>
      <c r="Z18">
        <v>39.551111110000001</v>
      </c>
      <c r="AA18">
        <v>-19</v>
      </c>
      <c r="AB18" t="s">
        <v>145</v>
      </c>
      <c r="AC18" t="s">
        <v>145</v>
      </c>
      <c r="AD18" s="169" t="s">
        <v>285</v>
      </c>
      <c r="AE18" t="s">
        <v>156</v>
      </c>
      <c r="AF18" t="s">
        <v>145</v>
      </c>
      <c r="AG18" s="129">
        <v>33590</v>
      </c>
      <c r="AH18" t="s">
        <v>160</v>
      </c>
      <c r="AI18" t="s">
        <v>145</v>
      </c>
      <c r="AJ18" t="s">
        <v>145</v>
      </c>
      <c r="AK18" t="s">
        <v>158</v>
      </c>
      <c r="AL18" t="s">
        <v>157</v>
      </c>
      <c r="AM18" t="s">
        <v>159</v>
      </c>
      <c r="AN18" t="s">
        <v>145</v>
      </c>
      <c r="AO18" t="s">
        <v>145</v>
      </c>
      <c r="AP18" t="s">
        <v>145</v>
      </c>
      <c r="AQ18" t="s">
        <v>145</v>
      </c>
      <c r="AR18" t="s">
        <v>145</v>
      </c>
      <c r="AS18" t="s">
        <v>145</v>
      </c>
      <c r="AT18" t="s">
        <v>145</v>
      </c>
      <c r="AU18" s="170" t="s">
        <v>176</v>
      </c>
      <c r="AV18" s="139" t="s">
        <v>162</v>
      </c>
      <c r="AW18" s="139" t="s">
        <v>182</v>
      </c>
      <c r="AX18" t="s">
        <v>145</v>
      </c>
      <c r="AY18" t="s">
        <v>165</v>
      </c>
      <c r="AZ18" t="s">
        <v>166</v>
      </c>
      <c r="BA18" t="s">
        <v>167</v>
      </c>
      <c r="BB18" t="s">
        <v>183</v>
      </c>
      <c r="BC18">
        <v>2</v>
      </c>
      <c r="BD18">
        <v>1.9999999999999574E-2</v>
      </c>
      <c r="BE18" s="139">
        <v>15.340449235763177</v>
      </c>
      <c r="BF18" t="s">
        <v>168</v>
      </c>
      <c r="BG18" s="139">
        <v>0.26286998285863372</v>
      </c>
      <c r="BH18">
        <v>1</v>
      </c>
      <c r="BI18" t="s">
        <v>188</v>
      </c>
      <c r="BJ18" t="s">
        <v>188</v>
      </c>
      <c r="BK18">
        <v>0</v>
      </c>
      <c r="BL18" t="s">
        <v>189</v>
      </c>
      <c r="BM18" t="s">
        <v>189</v>
      </c>
      <c r="BN18" t="s">
        <v>190</v>
      </c>
      <c r="BO18" t="s">
        <v>145</v>
      </c>
      <c r="BP18" s="143">
        <v>15.340449235763177</v>
      </c>
      <c r="BQ18" t="s">
        <v>191</v>
      </c>
      <c r="BR18" s="143">
        <v>0.26286998285863372</v>
      </c>
      <c r="BS18" t="s">
        <v>191</v>
      </c>
      <c r="BT18" t="s">
        <v>145</v>
      </c>
      <c r="BU18" t="s">
        <v>249</v>
      </c>
      <c r="BV18" t="s">
        <v>194</v>
      </c>
      <c r="BW18" t="s">
        <v>194</v>
      </c>
      <c r="BX18" s="126">
        <v>29.915637361690671</v>
      </c>
      <c r="BY18" t="s">
        <v>195</v>
      </c>
      <c r="BZ18">
        <v>2</v>
      </c>
      <c r="CA18">
        <v>2</v>
      </c>
      <c r="CB18" t="s">
        <v>145</v>
      </c>
      <c r="CC18" s="144">
        <v>4.2866574869922482</v>
      </c>
      <c r="CD18" t="s">
        <v>198</v>
      </c>
      <c r="CE18" s="143">
        <v>8.5733149739844972E-2</v>
      </c>
      <c r="CF18" s="143">
        <v>8.5733149739844972E-2</v>
      </c>
      <c r="CG18" s="145" t="s">
        <v>199</v>
      </c>
      <c r="CH18" s="152" t="s">
        <v>288</v>
      </c>
      <c r="CI18">
        <v>4.3</v>
      </c>
      <c r="CJ18" t="s">
        <v>282</v>
      </c>
      <c r="CK18" t="s">
        <v>197</v>
      </c>
      <c r="CL18" t="s">
        <v>197</v>
      </c>
      <c r="CM18" t="s">
        <v>197</v>
      </c>
      <c r="CN18" t="s">
        <v>145</v>
      </c>
      <c r="CO18" t="s">
        <v>145</v>
      </c>
      <c r="CP18" t="s">
        <v>145</v>
      </c>
      <c r="CQ18" t="s">
        <v>145</v>
      </c>
      <c r="CR18" t="s">
        <v>145</v>
      </c>
      <c r="CS18" t="s">
        <v>145</v>
      </c>
      <c r="CT18" t="s">
        <v>145</v>
      </c>
      <c r="CU18">
        <v>35</v>
      </c>
      <c r="CV18" t="s">
        <v>195</v>
      </c>
      <c r="CW18">
        <v>2</v>
      </c>
      <c r="CX18" t="s">
        <v>205</v>
      </c>
      <c r="CY18">
        <v>1.7000000000000001E-2</v>
      </c>
      <c r="CZ18" t="s">
        <v>206</v>
      </c>
      <c r="DA18">
        <v>3.0000000000000001E-3</v>
      </c>
      <c r="DB18" t="s">
        <v>224</v>
      </c>
      <c r="DC18">
        <v>3.7999999999999999E-2</v>
      </c>
      <c r="DD18" t="s">
        <v>206</v>
      </c>
      <c r="DE18">
        <v>3.0000000000000001E-3</v>
      </c>
      <c r="DF18" t="s">
        <v>287</v>
      </c>
      <c r="DG18" t="s">
        <v>208</v>
      </c>
      <c r="DH18" t="s">
        <v>145</v>
      </c>
      <c r="DI18" t="s">
        <v>145</v>
      </c>
      <c r="DJ18" t="s">
        <v>145</v>
      </c>
      <c r="DK18">
        <v>432.6</v>
      </c>
      <c r="DL18" t="s">
        <v>225</v>
      </c>
      <c r="DM18" t="s">
        <v>225</v>
      </c>
      <c r="DN18" t="s">
        <v>286</v>
      </c>
      <c r="DO18" s="152">
        <v>38.450000000000003</v>
      </c>
      <c r="DP18" s="152" t="s">
        <v>226</v>
      </c>
      <c r="DQ18" s="152">
        <v>0.25</v>
      </c>
      <c r="DR18" t="s">
        <v>227</v>
      </c>
      <c r="DS18" t="s">
        <v>228</v>
      </c>
      <c r="DT18" t="s">
        <v>229</v>
      </c>
      <c r="DU18">
        <v>1.0271999999999999</v>
      </c>
      <c r="DV18" t="s">
        <v>230</v>
      </c>
      <c r="DW18" t="s">
        <v>230</v>
      </c>
      <c r="DX18" t="s">
        <v>264</v>
      </c>
      <c r="DY18" t="s">
        <v>230</v>
      </c>
      <c r="DZ18" t="s">
        <v>230</v>
      </c>
      <c r="EA18" t="s">
        <v>231</v>
      </c>
      <c r="EB18" t="s">
        <v>232</v>
      </c>
      <c r="EC18" t="s">
        <v>233</v>
      </c>
      <c r="ED18" t="s">
        <v>233</v>
      </c>
      <c r="EE18" t="s">
        <v>233</v>
      </c>
      <c r="EF18" s="152" t="s">
        <v>234</v>
      </c>
      <c r="EG18" s="152" t="s">
        <v>229</v>
      </c>
      <c r="EH18" t="s">
        <v>235</v>
      </c>
      <c r="EI18" t="s">
        <v>236</v>
      </c>
      <c r="EJ18" s="152" t="s">
        <v>255</v>
      </c>
      <c r="EK18" t="s">
        <v>145</v>
      </c>
      <c r="EL18" t="s">
        <v>145</v>
      </c>
      <c r="EM18" t="s">
        <v>145</v>
      </c>
      <c r="EN18" t="s">
        <v>145</v>
      </c>
      <c r="EO18">
        <v>6.5</v>
      </c>
      <c r="EP18" t="s">
        <v>237</v>
      </c>
      <c r="EQ18">
        <v>1</v>
      </c>
      <c r="ER18">
        <v>1</v>
      </c>
      <c r="ES18" s="150">
        <v>7.8306724707697315</v>
      </c>
      <c r="ET18" s="152" t="s">
        <v>238</v>
      </c>
      <c r="EU18" s="150">
        <v>5.2029468965185163E-2</v>
      </c>
      <c r="EV18" s="150">
        <v>5.2029468965185163E-2</v>
      </c>
      <c r="EW18" s="127">
        <v>690</v>
      </c>
      <c r="EX18" t="s">
        <v>239</v>
      </c>
      <c r="EY18" s="158" t="s">
        <v>145</v>
      </c>
      <c r="EZ18" s="127">
        <v>690</v>
      </c>
      <c r="FA18" s="127">
        <v>230</v>
      </c>
      <c r="FB18" s="127">
        <v>230</v>
      </c>
      <c r="FC18" t="s">
        <v>241</v>
      </c>
      <c r="FD18" s="152" t="s">
        <v>242</v>
      </c>
      <c r="FE18" s="155">
        <v>2100</v>
      </c>
      <c r="FF18" s="155">
        <v>390</v>
      </c>
      <c r="FG18" s="155">
        <v>390</v>
      </c>
      <c r="FH18" s="159">
        <v>1900</v>
      </c>
      <c r="FI18" s="159">
        <v>380</v>
      </c>
      <c r="FJ18" s="159">
        <v>380</v>
      </c>
      <c r="FK18" s="152" t="s">
        <v>145</v>
      </c>
      <c r="FL18" t="s">
        <v>145</v>
      </c>
      <c r="FM18" t="s">
        <v>145</v>
      </c>
      <c r="FN18" t="s">
        <v>145</v>
      </c>
      <c r="FO18" t="s">
        <v>145</v>
      </c>
      <c r="FP18" t="s">
        <v>145</v>
      </c>
      <c r="FQ18" t="s">
        <v>245</v>
      </c>
    </row>
    <row r="19" spans="1:173">
      <c r="A19" t="s">
        <v>142</v>
      </c>
      <c r="B19" t="s">
        <v>143</v>
      </c>
      <c r="C19">
        <v>2016</v>
      </c>
      <c r="D19" t="s">
        <v>144</v>
      </c>
      <c r="E19" s="128">
        <v>33960</v>
      </c>
      <c r="F19" t="s">
        <v>145</v>
      </c>
      <c r="G19" t="s">
        <v>145</v>
      </c>
      <c r="H19" s="127">
        <v>870</v>
      </c>
      <c r="I19" s="127">
        <v>300</v>
      </c>
      <c r="J19" s="127">
        <v>300</v>
      </c>
      <c r="K19" t="s">
        <v>146</v>
      </c>
      <c r="L19" s="132" t="s">
        <v>147</v>
      </c>
      <c r="M19" s="1" t="s">
        <v>292</v>
      </c>
      <c r="N19" t="s">
        <v>144</v>
      </c>
      <c r="O19" t="s">
        <v>154</v>
      </c>
      <c r="P19" t="s">
        <v>145</v>
      </c>
      <c r="Q19">
        <v>21</v>
      </c>
      <c r="R19">
        <v>3</v>
      </c>
      <c r="S19">
        <v>20</v>
      </c>
      <c r="T19">
        <v>50</v>
      </c>
      <c r="U19" t="s">
        <v>145</v>
      </c>
      <c r="V19" s="135">
        <v>125.4</v>
      </c>
      <c r="W19" t="s">
        <v>145</v>
      </c>
      <c r="X19" t="s">
        <v>149</v>
      </c>
      <c r="Y19">
        <v>-9.2152777799999992</v>
      </c>
      <c r="Z19">
        <v>39.548333329999998</v>
      </c>
      <c r="AA19">
        <v>-19</v>
      </c>
      <c r="AB19" t="s">
        <v>145</v>
      </c>
      <c r="AC19" t="s">
        <v>145</v>
      </c>
      <c r="AD19" s="169" t="s">
        <v>285</v>
      </c>
      <c r="AE19" t="s">
        <v>156</v>
      </c>
      <c r="AF19" t="s">
        <v>145</v>
      </c>
      <c r="AG19" s="128">
        <v>33960</v>
      </c>
      <c r="AH19" t="s">
        <v>160</v>
      </c>
      <c r="AI19" t="s">
        <v>145</v>
      </c>
      <c r="AJ19" t="s">
        <v>145</v>
      </c>
      <c r="AK19" t="s">
        <v>158</v>
      </c>
      <c r="AL19" t="s">
        <v>157</v>
      </c>
      <c r="AM19" t="s">
        <v>159</v>
      </c>
      <c r="AN19" t="s">
        <v>145</v>
      </c>
      <c r="AO19" t="s">
        <v>145</v>
      </c>
      <c r="AP19" t="s">
        <v>145</v>
      </c>
      <c r="AQ19" t="s">
        <v>145</v>
      </c>
      <c r="AR19" t="s">
        <v>145</v>
      </c>
      <c r="AS19" t="s">
        <v>145</v>
      </c>
      <c r="AT19" t="s">
        <v>145</v>
      </c>
      <c r="AU19" s="170" t="s">
        <v>176</v>
      </c>
      <c r="AV19" s="139" t="s">
        <v>162</v>
      </c>
      <c r="AW19" s="139" t="s">
        <v>182</v>
      </c>
      <c r="AX19" t="s">
        <v>145</v>
      </c>
      <c r="AY19" t="s">
        <v>165</v>
      </c>
      <c r="AZ19" t="s">
        <v>166</v>
      </c>
      <c r="BA19" t="s">
        <v>167</v>
      </c>
      <c r="BB19" t="s">
        <v>184</v>
      </c>
      <c r="BC19">
        <v>2</v>
      </c>
      <c r="BD19">
        <v>0.29999999999999893</v>
      </c>
      <c r="BE19" s="139">
        <v>14.925336183078613</v>
      </c>
      <c r="BF19" t="s">
        <v>168</v>
      </c>
      <c r="BG19" s="139">
        <v>0.27021214397028526</v>
      </c>
      <c r="BH19">
        <v>1</v>
      </c>
      <c r="BI19" t="s">
        <v>188</v>
      </c>
      <c r="BJ19" t="s">
        <v>188</v>
      </c>
      <c r="BK19">
        <v>0</v>
      </c>
      <c r="BL19" t="s">
        <v>189</v>
      </c>
      <c r="BM19" t="s">
        <v>189</v>
      </c>
      <c r="BN19" t="s">
        <v>190</v>
      </c>
      <c r="BO19" t="s">
        <v>145</v>
      </c>
      <c r="BP19" s="143">
        <v>14.925336183078613</v>
      </c>
      <c r="BQ19" t="s">
        <v>191</v>
      </c>
      <c r="BR19" s="143">
        <v>0.27021214397028526</v>
      </c>
      <c r="BS19" t="s">
        <v>191</v>
      </c>
      <c r="BT19" t="s">
        <v>145</v>
      </c>
      <c r="BU19" t="s">
        <v>249</v>
      </c>
      <c r="BV19" t="s">
        <v>194</v>
      </c>
      <c r="BW19" t="s">
        <v>194</v>
      </c>
      <c r="BX19" s="126">
        <v>31.758949804047344</v>
      </c>
      <c r="BY19" t="s">
        <v>195</v>
      </c>
      <c r="BZ19">
        <v>2</v>
      </c>
      <c r="CA19">
        <v>2</v>
      </c>
      <c r="CB19" t="s">
        <v>145</v>
      </c>
      <c r="CC19" s="144">
        <v>4.7396422174020643</v>
      </c>
      <c r="CD19" t="s">
        <v>198</v>
      </c>
      <c r="CE19" s="143">
        <v>9.4792844348041291E-2</v>
      </c>
      <c r="CF19" s="143">
        <v>9.4792844348041291E-2</v>
      </c>
      <c r="CG19" s="145" t="s">
        <v>199</v>
      </c>
      <c r="CH19" s="152" t="s">
        <v>288</v>
      </c>
      <c r="CI19">
        <v>4.3</v>
      </c>
      <c r="CJ19" t="s">
        <v>282</v>
      </c>
      <c r="CK19" t="s">
        <v>197</v>
      </c>
      <c r="CL19" t="s">
        <v>197</v>
      </c>
      <c r="CM19" t="s">
        <v>197</v>
      </c>
      <c r="CN19" t="s">
        <v>145</v>
      </c>
      <c r="CO19" t="s">
        <v>145</v>
      </c>
      <c r="CP19" t="s">
        <v>145</v>
      </c>
      <c r="CQ19" t="s">
        <v>145</v>
      </c>
      <c r="CR19" t="s">
        <v>145</v>
      </c>
      <c r="CS19" t="s">
        <v>145</v>
      </c>
      <c r="CT19" t="s">
        <v>145</v>
      </c>
      <c r="CU19">
        <v>35</v>
      </c>
      <c r="CV19" t="s">
        <v>195</v>
      </c>
      <c r="CW19">
        <v>2</v>
      </c>
      <c r="CX19" t="s">
        <v>205</v>
      </c>
      <c r="CY19">
        <v>1.7000000000000001E-2</v>
      </c>
      <c r="CZ19" t="s">
        <v>206</v>
      </c>
      <c r="DA19">
        <v>3.0000000000000001E-3</v>
      </c>
      <c r="DB19" t="s">
        <v>224</v>
      </c>
      <c r="DC19">
        <v>3.7999999999999999E-2</v>
      </c>
      <c r="DD19" t="s">
        <v>206</v>
      </c>
      <c r="DE19">
        <v>3.0000000000000001E-3</v>
      </c>
      <c r="DF19" t="s">
        <v>287</v>
      </c>
      <c r="DG19" t="s">
        <v>208</v>
      </c>
      <c r="DH19" t="s">
        <v>145</v>
      </c>
      <c r="DI19" t="s">
        <v>145</v>
      </c>
      <c r="DJ19" t="s">
        <v>145</v>
      </c>
      <c r="DK19">
        <v>432.6</v>
      </c>
      <c r="DL19" t="s">
        <v>225</v>
      </c>
      <c r="DM19" t="s">
        <v>225</v>
      </c>
      <c r="DN19" t="s">
        <v>286</v>
      </c>
      <c r="DO19" s="152">
        <v>38.450000000000003</v>
      </c>
      <c r="DP19" s="152" t="s">
        <v>226</v>
      </c>
      <c r="DQ19" s="152">
        <v>0.25</v>
      </c>
      <c r="DR19" t="s">
        <v>227</v>
      </c>
      <c r="DS19" t="s">
        <v>228</v>
      </c>
      <c r="DT19" t="s">
        <v>229</v>
      </c>
      <c r="DU19">
        <v>1.0271999999999999</v>
      </c>
      <c r="DV19" t="s">
        <v>230</v>
      </c>
      <c r="DW19" t="s">
        <v>230</v>
      </c>
      <c r="DX19" t="s">
        <v>264</v>
      </c>
      <c r="DY19" t="s">
        <v>230</v>
      </c>
      <c r="DZ19" t="s">
        <v>230</v>
      </c>
      <c r="EA19" t="s">
        <v>231</v>
      </c>
      <c r="EB19" t="s">
        <v>232</v>
      </c>
      <c r="EC19" t="s">
        <v>233</v>
      </c>
      <c r="ED19" t="s">
        <v>233</v>
      </c>
      <c r="EE19" t="s">
        <v>233</v>
      </c>
      <c r="EF19" s="152" t="s">
        <v>234</v>
      </c>
      <c r="EG19" s="152" t="s">
        <v>229</v>
      </c>
      <c r="EH19" t="s">
        <v>235</v>
      </c>
      <c r="EI19" t="s">
        <v>236</v>
      </c>
      <c r="EJ19" s="152" t="s">
        <v>255</v>
      </c>
      <c r="EK19" t="s">
        <v>145</v>
      </c>
      <c r="EL19" t="s">
        <v>145</v>
      </c>
      <c r="EM19" t="s">
        <v>145</v>
      </c>
      <c r="EN19" t="s">
        <v>145</v>
      </c>
      <c r="EO19">
        <v>6.5</v>
      </c>
      <c r="EP19" t="s">
        <v>237</v>
      </c>
      <c r="EQ19">
        <v>1</v>
      </c>
      <c r="ER19">
        <v>1</v>
      </c>
      <c r="ES19" s="150">
        <v>7.781651060592373</v>
      </c>
      <c r="ET19" s="152" t="s">
        <v>238</v>
      </c>
      <c r="EU19" s="150">
        <v>5.6515802122183691E-2</v>
      </c>
      <c r="EV19" s="150">
        <v>5.6515802122183691E-2</v>
      </c>
      <c r="EW19" s="127">
        <v>870</v>
      </c>
      <c r="EX19" t="s">
        <v>239</v>
      </c>
      <c r="EY19" s="158" t="s">
        <v>145</v>
      </c>
      <c r="EZ19" s="127">
        <v>870</v>
      </c>
      <c r="FA19" s="127">
        <v>300</v>
      </c>
      <c r="FB19" s="127">
        <v>300</v>
      </c>
      <c r="FC19" t="s">
        <v>241</v>
      </c>
      <c r="FD19" s="152" t="s">
        <v>242</v>
      </c>
      <c r="FE19" s="155">
        <v>2400</v>
      </c>
      <c r="FF19" s="155">
        <v>450</v>
      </c>
      <c r="FG19" s="155">
        <v>450</v>
      </c>
      <c r="FH19" s="159">
        <v>2200</v>
      </c>
      <c r="FI19" s="159">
        <v>430</v>
      </c>
      <c r="FJ19" s="159">
        <v>430</v>
      </c>
      <c r="FK19" s="152" t="s">
        <v>145</v>
      </c>
      <c r="FL19" t="s">
        <v>145</v>
      </c>
      <c r="FM19" t="s">
        <v>145</v>
      </c>
      <c r="FN19" t="s">
        <v>145</v>
      </c>
      <c r="FO19" t="s">
        <v>145</v>
      </c>
      <c r="FP19" t="s">
        <v>145</v>
      </c>
      <c r="FQ19" t="s">
        <v>245</v>
      </c>
    </row>
    <row r="20" spans="1:173">
      <c r="A20" t="s">
        <v>142</v>
      </c>
      <c r="B20" t="s">
        <v>143</v>
      </c>
      <c r="C20">
        <v>2016</v>
      </c>
      <c r="D20" t="s">
        <v>144</v>
      </c>
      <c r="E20" s="128">
        <v>34210</v>
      </c>
      <c r="F20" t="s">
        <v>145</v>
      </c>
      <c r="G20" t="s">
        <v>145</v>
      </c>
      <c r="H20" s="127">
        <v>960</v>
      </c>
      <c r="I20" s="127">
        <v>330</v>
      </c>
      <c r="J20" s="127">
        <v>330</v>
      </c>
      <c r="K20" t="s">
        <v>146</v>
      </c>
      <c r="L20" s="132" t="s">
        <v>147</v>
      </c>
      <c r="M20" s="1" t="s">
        <v>292</v>
      </c>
      <c r="N20" t="s">
        <v>144</v>
      </c>
      <c r="O20" t="s">
        <v>154</v>
      </c>
      <c r="P20" t="s">
        <v>145</v>
      </c>
      <c r="Q20">
        <v>32</v>
      </c>
      <c r="R20">
        <v>1</v>
      </c>
      <c r="S20">
        <v>0</v>
      </c>
      <c r="T20">
        <v>50</v>
      </c>
      <c r="U20" t="s">
        <v>145</v>
      </c>
      <c r="V20" s="135">
        <v>154.69999999999999</v>
      </c>
      <c r="W20" t="s">
        <v>145</v>
      </c>
      <c r="X20" t="s">
        <v>149</v>
      </c>
      <c r="Y20">
        <v>-9.2152777799999992</v>
      </c>
      <c r="Z20">
        <v>39.548333329999998</v>
      </c>
      <c r="AA20">
        <v>-19</v>
      </c>
      <c r="AB20" t="s">
        <v>145</v>
      </c>
      <c r="AC20" t="s">
        <v>145</v>
      </c>
      <c r="AD20" s="169" t="s">
        <v>285</v>
      </c>
      <c r="AE20" t="s">
        <v>156</v>
      </c>
      <c r="AF20" t="s">
        <v>145</v>
      </c>
      <c r="AG20" s="128">
        <v>34210</v>
      </c>
      <c r="AH20" t="s">
        <v>160</v>
      </c>
      <c r="AI20" t="s">
        <v>145</v>
      </c>
      <c r="AJ20" t="s">
        <v>145</v>
      </c>
      <c r="AK20" t="s">
        <v>158</v>
      </c>
      <c r="AL20" t="s">
        <v>157</v>
      </c>
      <c r="AM20" t="s">
        <v>159</v>
      </c>
      <c r="AN20" t="s">
        <v>145</v>
      </c>
      <c r="AO20" t="s">
        <v>145</v>
      </c>
      <c r="AP20" t="s">
        <v>145</v>
      </c>
      <c r="AQ20" t="s">
        <v>145</v>
      </c>
      <c r="AR20" t="s">
        <v>145</v>
      </c>
      <c r="AS20" t="s">
        <v>145</v>
      </c>
      <c r="AT20" t="s">
        <v>145</v>
      </c>
      <c r="AU20" s="170" t="s">
        <v>176</v>
      </c>
      <c r="AV20" s="139" t="s">
        <v>162</v>
      </c>
      <c r="AW20" s="139" t="s">
        <v>182</v>
      </c>
      <c r="AX20" t="s">
        <v>145</v>
      </c>
      <c r="AY20" t="s">
        <v>165</v>
      </c>
      <c r="AZ20" t="s">
        <v>166</v>
      </c>
      <c r="BA20" t="s">
        <v>167</v>
      </c>
      <c r="BB20" t="s">
        <v>185</v>
      </c>
      <c r="BC20">
        <v>2</v>
      </c>
      <c r="BD20">
        <v>0.14000000000000054</v>
      </c>
      <c r="BE20" s="139">
        <v>14.812571373081299</v>
      </c>
      <c r="BF20" t="s">
        <v>168</v>
      </c>
      <c r="BG20" s="139">
        <v>0.27180134397961231</v>
      </c>
      <c r="BH20">
        <v>1</v>
      </c>
      <c r="BI20" t="s">
        <v>188</v>
      </c>
      <c r="BJ20" t="s">
        <v>188</v>
      </c>
      <c r="BK20">
        <v>0</v>
      </c>
      <c r="BL20" t="s">
        <v>189</v>
      </c>
      <c r="BM20" t="s">
        <v>189</v>
      </c>
      <c r="BN20" t="s">
        <v>190</v>
      </c>
      <c r="BO20" t="s">
        <v>145</v>
      </c>
      <c r="BP20" s="143">
        <v>14.812571373081299</v>
      </c>
      <c r="BQ20" t="s">
        <v>191</v>
      </c>
      <c r="BR20" s="143">
        <v>0.27180134397961231</v>
      </c>
      <c r="BS20" t="s">
        <v>191</v>
      </c>
      <c r="BT20" t="s">
        <v>145</v>
      </c>
      <c r="BU20" t="s">
        <v>249</v>
      </c>
      <c r="BV20" t="s">
        <v>194</v>
      </c>
      <c r="BW20" t="s">
        <v>194</v>
      </c>
      <c r="BX20" s="126">
        <v>31.717710206016267</v>
      </c>
      <c r="BY20" t="s">
        <v>195</v>
      </c>
      <c r="BZ20">
        <v>2</v>
      </c>
      <c r="CA20">
        <v>2</v>
      </c>
      <c r="CB20" t="s">
        <v>145</v>
      </c>
      <c r="CC20" s="144">
        <v>4.6966318901264659</v>
      </c>
      <c r="CD20" t="s">
        <v>198</v>
      </c>
      <c r="CE20" s="143">
        <v>9.393263780252932E-2</v>
      </c>
      <c r="CF20" s="143">
        <v>9.393263780252932E-2</v>
      </c>
      <c r="CG20" s="145" t="s">
        <v>199</v>
      </c>
      <c r="CH20" s="152" t="s">
        <v>288</v>
      </c>
      <c r="CI20">
        <v>4.3</v>
      </c>
      <c r="CJ20" t="s">
        <v>282</v>
      </c>
      <c r="CK20" t="s">
        <v>197</v>
      </c>
      <c r="CL20" t="s">
        <v>197</v>
      </c>
      <c r="CM20" t="s">
        <v>197</v>
      </c>
      <c r="CN20" t="s">
        <v>145</v>
      </c>
      <c r="CO20" t="s">
        <v>145</v>
      </c>
      <c r="CP20" t="s">
        <v>145</v>
      </c>
      <c r="CQ20" t="s">
        <v>145</v>
      </c>
      <c r="CR20" t="s">
        <v>145</v>
      </c>
      <c r="CS20" t="s">
        <v>145</v>
      </c>
      <c r="CT20" t="s">
        <v>145</v>
      </c>
      <c r="CU20">
        <v>35</v>
      </c>
      <c r="CV20" t="s">
        <v>195</v>
      </c>
      <c r="CW20">
        <v>2</v>
      </c>
      <c r="CX20" t="s">
        <v>205</v>
      </c>
      <c r="CY20">
        <v>1.7000000000000001E-2</v>
      </c>
      <c r="CZ20" t="s">
        <v>206</v>
      </c>
      <c r="DA20">
        <v>3.0000000000000001E-3</v>
      </c>
      <c r="DB20" t="s">
        <v>224</v>
      </c>
      <c r="DC20">
        <v>3.7999999999999999E-2</v>
      </c>
      <c r="DD20" t="s">
        <v>206</v>
      </c>
      <c r="DE20">
        <v>3.0000000000000001E-3</v>
      </c>
      <c r="DF20" t="s">
        <v>287</v>
      </c>
      <c r="DG20" t="s">
        <v>208</v>
      </c>
      <c r="DH20" t="s">
        <v>145</v>
      </c>
      <c r="DI20" t="s">
        <v>145</v>
      </c>
      <c r="DJ20" t="s">
        <v>145</v>
      </c>
      <c r="DK20">
        <v>432.6</v>
      </c>
      <c r="DL20" t="s">
        <v>225</v>
      </c>
      <c r="DM20" t="s">
        <v>225</v>
      </c>
      <c r="DN20" t="s">
        <v>286</v>
      </c>
      <c r="DO20" s="152">
        <v>38.450000000000003</v>
      </c>
      <c r="DP20" s="152" t="s">
        <v>226</v>
      </c>
      <c r="DQ20" s="152">
        <v>0.25</v>
      </c>
      <c r="DR20" t="s">
        <v>227</v>
      </c>
      <c r="DS20" t="s">
        <v>228</v>
      </c>
      <c r="DT20" t="s">
        <v>229</v>
      </c>
      <c r="DU20">
        <v>1.0271999999999999</v>
      </c>
      <c r="DV20" t="s">
        <v>230</v>
      </c>
      <c r="DW20" t="s">
        <v>230</v>
      </c>
      <c r="DX20" t="s">
        <v>264</v>
      </c>
      <c r="DY20" t="s">
        <v>230</v>
      </c>
      <c r="DZ20" t="s">
        <v>230</v>
      </c>
      <c r="EA20" t="s">
        <v>231</v>
      </c>
      <c r="EB20" t="s">
        <v>232</v>
      </c>
      <c r="EC20" t="s">
        <v>233</v>
      </c>
      <c r="ED20" t="s">
        <v>233</v>
      </c>
      <c r="EE20" t="s">
        <v>233</v>
      </c>
      <c r="EF20" s="152" t="s">
        <v>234</v>
      </c>
      <c r="EG20" s="152" t="s">
        <v>229</v>
      </c>
      <c r="EH20" t="s">
        <v>235</v>
      </c>
      <c r="EI20" t="s">
        <v>236</v>
      </c>
      <c r="EJ20" s="152" t="s">
        <v>255</v>
      </c>
      <c r="EK20" t="s">
        <v>145</v>
      </c>
      <c r="EL20" t="s">
        <v>145</v>
      </c>
      <c r="EM20" t="s">
        <v>145</v>
      </c>
      <c r="EN20" t="s">
        <v>145</v>
      </c>
      <c r="EO20">
        <v>6.5</v>
      </c>
      <c r="EP20" t="s">
        <v>237</v>
      </c>
      <c r="EQ20">
        <v>1</v>
      </c>
      <c r="ER20">
        <v>1</v>
      </c>
      <c r="ES20" s="150">
        <v>7.7446961916897727</v>
      </c>
      <c r="ET20" s="152" t="s">
        <v>238</v>
      </c>
      <c r="EU20" s="150">
        <v>5.7135905394778495E-2</v>
      </c>
      <c r="EV20" s="150">
        <v>5.7135905394778495E-2</v>
      </c>
      <c r="EW20" s="127">
        <v>960</v>
      </c>
      <c r="EX20" t="s">
        <v>239</v>
      </c>
      <c r="EY20" s="158" t="s">
        <v>145</v>
      </c>
      <c r="EZ20" s="127">
        <v>960</v>
      </c>
      <c r="FA20" s="127">
        <v>330</v>
      </c>
      <c r="FB20" s="127">
        <v>330</v>
      </c>
      <c r="FC20" t="s">
        <v>241</v>
      </c>
      <c r="FD20" s="152" t="s">
        <v>242</v>
      </c>
      <c r="FE20" s="155">
        <v>2400</v>
      </c>
      <c r="FF20" s="155">
        <v>460</v>
      </c>
      <c r="FG20" s="155">
        <v>460</v>
      </c>
      <c r="FH20" s="159">
        <v>2200</v>
      </c>
      <c r="FI20" s="159">
        <v>450</v>
      </c>
      <c r="FJ20" s="159">
        <v>450</v>
      </c>
      <c r="FK20" s="152" t="s">
        <v>145</v>
      </c>
      <c r="FL20" t="s">
        <v>145</v>
      </c>
      <c r="FM20" t="s">
        <v>145</v>
      </c>
      <c r="FN20" t="s">
        <v>145</v>
      </c>
      <c r="FO20" t="s">
        <v>145</v>
      </c>
      <c r="FP20" t="s">
        <v>145</v>
      </c>
      <c r="FQ20" t="s">
        <v>245</v>
      </c>
    </row>
    <row r="21" spans="1:173">
      <c r="A21" t="s">
        <v>142</v>
      </c>
      <c r="B21" t="s">
        <v>143</v>
      </c>
      <c r="C21">
        <v>2016</v>
      </c>
      <c r="D21" t="s">
        <v>144</v>
      </c>
      <c r="E21" s="128">
        <v>34420</v>
      </c>
      <c r="F21" t="s">
        <v>145</v>
      </c>
      <c r="G21" t="s">
        <v>145</v>
      </c>
      <c r="H21" s="127">
        <v>940</v>
      </c>
      <c r="I21" s="127">
        <v>360</v>
      </c>
      <c r="J21" s="127">
        <v>360</v>
      </c>
      <c r="K21" t="s">
        <v>146</v>
      </c>
      <c r="L21" s="132" t="s">
        <v>147</v>
      </c>
      <c r="M21" s="1" t="s">
        <v>292</v>
      </c>
      <c r="N21" t="s">
        <v>144</v>
      </c>
      <c r="O21" t="s">
        <v>154</v>
      </c>
      <c r="P21" t="s">
        <v>145</v>
      </c>
      <c r="Q21">
        <v>40</v>
      </c>
      <c r="R21">
        <v>3</v>
      </c>
      <c r="S21">
        <v>0</v>
      </c>
      <c r="T21">
        <v>50</v>
      </c>
      <c r="U21" t="s">
        <v>145</v>
      </c>
      <c r="V21" s="135">
        <v>179.5</v>
      </c>
      <c r="W21" t="s">
        <v>145</v>
      </c>
      <c r="X21" t="s">
        <v>149</v>
      </c>
      <c r="Y21">
        <v>-9.2152777799999992</v>
      </c>
      <c r="Z21">
        <v>39.548333329999998</v>
      </c>
      <c r="AA21">
        <v>-19</v>
      </c>
      <c r="AB21" t="s">
        <v>145</v>
      </c>
      <c r="AC21" t="s">
        <v>145</v>
      </c>
      <c r="AD21" s="169" t="s">
        <v>285</v>
      </c>
      <c r="AE21" t="s">
        <v>156</v>
      </c>
      <c r="AF21" t="s">
        <v>145</v>
      </c>
      <c r="AG21" s="128">
        <v>34420</v>
      </c>
      <c r="AH21" t="s">
        <v>160</v>
      </c>
      <c r="AI21" t="s">
        <v>145</v>
      </c>
      <c r="AJ21" t="s">
        <v>145</v>
      </c>
      <c r="AK21" t="s">
        <v>158</v>
      </c>
      <c r="AL21" t="s">
        <v>157</v>
      </c>
      <c r="AM21" t="s">
        <v>159</v>
      </c>
      <c r="AN21" t="s">
        <v>145</v>
      </c>
      <c r="AO21" t="s">
        <v>145</v>
      </c>
      <c r="AP21" t="s">
        <v>145</v>
      </c>
      <c r="AQ21" t="s">
        <v>145</v>
      </c>
      <c r="AR21" t="s">
        <v>145</v>
      </c>
      <c r="AS21" t="s">
        <v>145</v>
      </c>
      <c r="AT21" t="s">
        <v>145</v>
      </c>
      <c r="AU21" s="170" t="s">
        <v>176</v>
      </c>
      <c r="AV21" s="139" t="s">
        <v>162</v>
      </c>
      <c r="AW21" s="139" t="s">
        <v>182</v>
      </c>
      <c r="AX21" t="s">
        <v>145</v>
      </c>
      <c r="AY21" t="s">
        <v>165</v>
      </c>
      <c r="AZ21" t="s">
        <v>166</v>
      </c>
      <c r="BA21" t="s">
        <v>167</v>
      </c>
      <c r="BB21" t="s">
        <v>186</v>
      </c>
      <c r="BC21">
        <v>2</v>
      </c>
      <c r="BD21">
        <v>0.35999999999999943</v>
      </c>
      <c r="BE21" s="139">
        <v>14.864717039831351</v>
      </c>
      <c r="BF21" t="s">
        <v>168</v>
      </c>
      <c r="BG21" s="139">
        <v>0.38405724771970828</v>
      </c>
      <c r="BH21">
        <v>1</v>
      </c>
      <c r="BI21" t="s">
        <v>188</v>
      </c>
      <c r="BJ21" t="s">
        <v>188</v>
      </c>
      <c r="BK21">
        <v>0</v>
      </c>
      <c r="BL21" t="s">
        <v>189</v>
      </c>
      <c r="BM21" t="s">
        <v>189</v>
      </c>
      <c r="BN21" t="s">
        <v>190</v>
      </c>
      <c r="BO21" t="s">
        <v>145</v>
      </c>
      <c r="BP21" s="143">
        <v>14.864717039831351</v>
      </c>
      <c r="BQ21" t="s">
        <v>191</v>
      </c>
      <c r="BR21" s="143">
        <v>0.38405724771970828</v>
      </c>
      <c r="BS21" t="s">
        <v>191</v>
      </c>
      <c r="BT21" t="s">
        <v>145</v>
      </c>
      <c r="BU21" t="s">
        <v>249</v>
      </c>
      <c r="BV21" t="s">
        <v>194</v>
      </c>
      <c r="BW21" t="s">
        <v>194</v>
      </c>
      <c r="BX21" s="126">
        <v>32.125604414986682</v>
      </c>
      <c r="BY21" t="s">
        <v>195</v>
      </c>
      <c r="BZ21">
        <v>2</v>
      </c>
      <c r="CA21">
        <v>2</v>
      </c>
      <c r="CB21" t="s">
        <v>145</v>
      </c>
      <c r="CC21" s="144">
        <v>4.8631536575199501</v>
      </c>
      <c r="CD21" t="s">
        <v>198</v>
      </c>
      <c r="CE21" s="143">
        <v>9.7263073150399004E-2</v>
      </c>
      <c r="CF21" s="143">
        <v>9.7263073150399004E-2</v>
      </c>
      <c r="CG21" s="145" t="s">
        <v>199</v>
      </c>
      <c r="CH21" s="152" t="s">
        <v>288</v>
      </c>
      <c r="CI21">
        <v>4.3</v>
      </c>
      <c r="CJ21" t="s">
        <v>282</v>
      </c>
      <c r="CK21" t="s">
        <v>197</v>
      </c>
      <c r="CL21" t="s">
        <v>197</v>
      </c>
      <c r="CM21" t="s">
        <v>197</v>
      </c>
      <c r="CN21" t="s">
        <v>145</v>
      </c>
      <c r="CO21" t="s">
        <v>145</v>
      </c>
      <c r="CP21" t="s">
        <v>145</v>
      </c>
      <c r="CQ21" t="s">
        <v>145</v>
      </c>
      <c r="CR21" t="s">
        <v>145</v>
      </c>
      <c r="CS21" t="s">
        <v>145</v>
      </c>
      <c r="CT21" t="s">
        <v>145</v>
      </c>
      <c r="CU21">
        <v>35</v>
      </c>
      <c r="CV21" t="s">
        <v>195</v>
      </c>
      <c r="CW21">
        <v>2</v>
      </c>
      <c r="CX21" t="s">
        <v>205</v>
      </c>
      <c r="CY21">
        <v>1.7000000000000001E-2</v>
      </c>
      <c r="CZ21" t="s">
        <v>206</v>
      </c>
      <c r="DA21">
        <v>3.0000000000000001E-3</v>
      </c>
      <c r="DB21" t="s">
        <v>224</v>
      </c>
      <c r="DC21">
        <v>3.7999999999999999E-2</v>
      </c>
      <c r="DD21" t="s">
        <v>206</v>
      </c>
      <c r="DE21">
        <v>3.0000000000000001E-3</v>
      </c>
      <c r="DF21" t="s">
        <v>287</v>
      </c>
      <c r="DG21" t="s">
        <v>208</v>
      </c>
      <c r="DH21" t="s">
        <v>145</v>
      </c>
      <c r="DI21" t="s">
        <v>145</v>
      </c>
      <c r="DJ21" t="s">
        <v>145</v>
      </c>
      <c r="DK21">
        <v>432.6</v>
      </c>
      <c r="DL21" t="s">
        <v>225</v>
      </c>
      <c r="DM21" t="s">
        <v>225</v>
      </c>
      <c r="DN21" t="s">
        <v>286</v>
      </c>
      <c r="DO21" s="152">
        <v>38.450000000000003</v>
      </c>
      <c r="DP21" s="152" t="s">
        <v>226</v>
      </c>
      <c r="DQ21" s="152">
        <v>0.25</v>
      </c>
      <c r="DR21" t="s">
        <v>227</v>
      </c>
      <c r="DS21" t="s">
        <v>228</v>
      </c>
      <c r="DT21" t="s">
        <v>229</v>
      </c>
      <c r="DU21">
        <v>1.0271999999999999</v>
      </c>
      <c r="DV21" t="s">
        <v>230</v>
      </c>
      <c r="DW21" t="s">
        <v>230</v>
      </c>
      <c r="DX21" t="s">
        <v>264</v>
      </c>
      <c r="DY21" t="s">
        <v>230</v>
      </c>
      <c r="DZ21" t="s">
        <v>230</v>
      </c>
      <c r="EA21" t="s">
        <v>231</v>
      </c>
      <c r="EB21" t="s">
        <v>232</v>
      </c>
      <c r="EC21" t="s">
        <v>233</v>
      </c>
      <c r="ED21" t="s">
        <v>233</v>
      </c>
      <c r="EE21" t="s">
        <v>233</v>
      </c>
      <c r="EF21" s="152" t="s">
        <v>234</v>
      </c>
      <c r="EG21" s="152" t="s">
        <v>229</v>
      </c>
      <c r="EH21" t="s">
        <v>235</v>
      </c>
      <c r="EI21" t="s">
        <v>236</v>
      </c>
      <c r="EJ21" s="152" t="s">
        <v>255</v>
      </c>
      <c r="EK21" t="s">
        <v>145</v>
      </c>
      <c r="EL21" t="s">
        <v>145</v>
      </c>
      <c r="EM21" t="s">
        <v>145</v>
      </c>
      <c r="EN21" t="s">
        <v>145</v>
      </c>
      <c r="EO21">
        <v>6.5</v>
      </c>
      <c r="EP21" t="s">
        <v>237</v>
      </c>
      <c r="EQ21">
        <v>1</v>
      </c>
      <c r="ER21">
        <v>1</v>
      </c>
      <c r="ES21" s="150">
        <v>7.7470122710291447</v>
      </c>
      <c r="ET21" s="152" t="s">
        <v>238</v>
      </c>
      <c r="EU21" s="150">
        <v>6.722067522296063E-2</v>
      </c>
      <c r="EV21" s="150">
        <v>6.722067522296063E-2</v>
      </c>
      <c r="EW21" s="127">
        <v>940</v>
      </c>
      <c r="EX21" t="s">
        <v>239</v>
      </c>
      <c r="EY21" s="158" t="s">
        <v>145</v>
      </c>
      <c r="EZ21" s="127">
        <v>940</v>
      </c>
      <c r="FA21" s="127">
        <v>360</v>
      </c>
      <c r="FB21" s="127">
        <v>360</v>
      </c>
      <c r="FC21" t="s">
        <v>241</v>
      </c>
      <c r="FD21" s="152" t="s">
        <v>242</v>
      </c>
      <c r="FE21" s="155">
        <v>2300</v>
      </c>
      <c r="FF21" s="155">
        <v>470</v>
      </c>
      <c r="FG21" s="155">
        <v>470</v>
      </c>
      <c r="FH21" s="159">
        <v>2200</v>
      </c>
      <c r="FI21" s="159">
        <v>460</v>
      </c>
      <c r="FJ21" s="159">
        <v>460</v>
      </c>
      <c r="FK21" s="152" t="s">
        <v>145</v>
      </c>
      <c r="FL21" t="s">
        <v>145</v>
      </c>
      <c r="FM21" t="s">
        <v>145</v>
      </c>
      <c r="FN21" t="s">
        <v>145</v>
      </c>
      <c r="FO21" t="s">
        <v>145</v>
      </c>
      <c r="FP21" t="s">
        <v>145</v>
      </c>
      <c r="FQ21" t="s">
        <v>245</v>
      </c>
    </row>
    <row r="22" spans="1:173">
      <c r="A22" t="s">
        <v>142</v>
      </c>
      <c r="B22" t="s">
        <v>143</v>
      </c>
      <c r="C22">
        <v>2016</v>
      </c>
      <c r="D22" t="s">
        <v>144</v>
      </c>
      <c r="E22" s="128">
        <v>34630</v>
      </c>
      <c r="F22" t="s">
        <v>145</v>
      </c>
      <c r="G22" t="s">
        <v>145</v>
      </c>
      <c r="H22" s="127">
        <v>810</v>
      </c>
      <c r="I22" s="127">
        <v>310</v>
      </c>
      <c r="J22" s="127">
        <v>310</v>
      </c>
      <c r="K22" t="s">
        <v>146</v>
      </c>
      <c r="L22" s="132" t="s">
        <v>147</v>
      </c>
      <c r="M22" s="1" t="s">
        <v>292</v>
      </c>
      <c r="N22" t="s">
        <v>144</v>
      </c>
      <c r="O22" t="s">
        <v>154</v>
      </c>
      <c r="P22" t="s">
        <v>145</v>
      </c>
      <c r="Q22">
        <v>47</v>
      </c>
      <c r="R22">
        <v>3</v>
      </c>
      <c r="S22">
        <v>0</v>
      </c>
      <c r="T22">
        <v>50</v>
      </c>
      <c r="U22" t="s">
        <v>145</v>
      </c>
      <c r="V22" s="135">
        <v>204.7</v>
      </c>
      <c r="W22" t="s">
        <v>145</v>
      </c>
      <c r="X22" t="s">
        <v>149</v>
      </c>
      <c r="Y22">
        <v>-9.2152777799999992</v>
      </c>
      <c r="Z22">
        <v>39.548333329999998</v>
      </c>
      <c r="AA22">
        <v>-19</v>
      </c>
      <c r="AB22" t="s">
        <v>145</v>
      </c>
      <c r="AC22" t="s">
        <v>145</v>
      </c>
      <c r="AD22" s="169" t="s">
        <v>285</v>
      </c>
      <c r="AE22" t="s">
        <v>156</v>
      </c>
      <c r="AF22" t="s">
        <v>145</v>
      </c>
      <c r="AG22" s="128">
        <v>34630</v>
      </c>
      <c r="AH22" t="s">
        <v>160</v>
      </c>
      <c r="AI22" t="s">
        <v>145</v>
      </c>
      <c r="AJ22" t="s">
        <v>145</v>
      </c>
      <c r="AK22" t="s">
        <v>158</v>
      </c>
      <c r="AL22" t="s">
        <v>157</v>
      </c>
      <c r="AM22" t="s">
        <v>159</v>
      </c>
      <c r="AN22" t="s">
        <v>145</v>
      </c>
      <c r="AO22" t="s">
        <v>145</v>
      </c>
      <c r="AP22" t="s">
        <v>145</v>
      </c>
      <c r="AQ22" t="s">
        <v>145</v>
      </c>
      <c r="AR22" t="s">
        <v>145</v>
      </c>
      <c r="AS22" t="s">
        <v>145</v>
      </c>
      <c r="AT22" t="s">
        <v>145</v>
      </c>
      <c r="AU22" s="170" t="s">
        <v>176</v>
      </c>
      <c r="AV22" s="139" t="s">
        <v>162</v>
      </c>
      <c r="AW22" s="139" t="s">
        <v>182</v>
      </c>
      <c r="AX22" t="s">
        <v>145</v>
      </c>
      <c r="AY22" t="s">
        <v>165</v>
      </c>
      <c r="AZ22" t="s">
        <v>166</v>
      </c>
      <c r="BA22" t="s">
        <v>167</v>
      </c>
      <c r="BB22" t="s">
        <v>187</v>
      </c>
      <c r="BC22">
        <v>2</v>
      </c>
      <c r="BD22">
        <v>0.22000000000000061</v>
      </c>
      <c r="BE22" s="139">
        <v>15.101862568699548</v>
      </c>
      <c r="BF22" t="s">
        <v>168</v>
      </c>
      <c r="BG22" s="139">
        <v>0.41485655550830691</v>
      </c>
      <c r="BH22">
        <v>1</v>
      </c>
      <c r="BI22" t="s">
        <v>188</v>
      </c>
      <c r="BJ22" t="s">
        <v>188</v>
      </c>
      <c r="BK22">
        <v>0</v>
      </c>
      <c r="BL22" t="s">
        <v>189</v>
      </c>
      <c r="BM22" t="s">
        <v>189</v>
      </c>
      <c r="BN22" t="s">
        <v>190</v>
      </c>
      <c r="BO22" t="s">
        <v>145</v>
      </c>
      <c r="BP22" s="143">
        <v>15.101862568699548</v>
      </c>
      <c r="BQ22" t="s">
        <v>191</v>
      </c>
      <c r="BR22" s="143">
        <v>0.41485655550830691</v>
      </c>
      <c r="BS22" t="s">
        <v>191</v>
      </c>
      <c r="BT22" t="s">
        <v>145</v>
      </c>
      <c r="BU22" t="s">
        <v>249</v>
      </c>
      <c r="BV22" t="s">
        <v>194</v>
      </c>
      <c r="BW22" t="s">
        <v>194</v>
      </c>
      <c r="BX22" s="126">
        <v>31.184532048114061</v>
      </c>
      <c r="BY22" t="s">
        <v>195</v>
      </c>
      <c r="BZ22">
        <v>2</v>
      </c>
      <c r="CA22">
        <v>2</v>
      </c>
      <c r="CB22" t="s">
        <v>145</v>
      </c>
      <c r="CC22" s="144">
        <v>4.5158479550980921</v>
      </c>
      <c r="CD22" t="s">
        <v>198</v>
      </c>
      <c r="CE22" s="143">
        <v>9.0316959101961844E-2</v>
      </c>
      <c r="CF22" s="143">
        <v>9.0316959101961844E-2</v>
      </c>
      <c r="CG22" s="145" t="s">
        <v>199</v>
      </c>
      <c r="CH22" s="152" t="s">
        <v>288</v>
      </c>
      <c r="CI22">
        <v>4.3</v>
      </c>
      <c r="CJ22" t="s">
        <v>282</v>
      </c>
      <c r="CK22" t="s">
        <v>197</v>
      </c>
      <c r="CL22" t="s">
        <v>197</v>
      </c>
      <c r="CM22" t="s">
        <v>197</v>
      </c>
      <c r="CN22" t="s">
        <v>145</v>
      </c>
      <c r="CO22" t="s">
        <v>145</v>
      </c>
      <c r="CP22" t="s">
        <v>145</v>
      </c>
      <c r="CQ22" t="s">
        <v>145</v>
      </c>
      <c r="CR22" t="s">
        <v>145</v>
      </c>
      <c r="CS22" t="s">
        <v>145</v>
      </c>
      <c r="CT22" t="s">
        <v>145</v>
      </c>
      <c r="CU22">
        <v>35</v>
      </c>
      <c r="CV22" t="s">
        <v>195</v>
      </c>
      <c r="CW22">
        <v>2</v>
      </c>
      <c r="CX22" t="s">
        <v>205</v>
      </c>
      <c r="CY22">
        <v>1.7000000000000001E-2</v>
      </c>
      <c r="CZ22" t="s">
        <v>206</v>
      </c>
      <c r="DA22">
        <v>3.0000000000000001E-3</v>
      </c>
      <c r="DB22" t="s">
        <v>224</v>
      </c>
      <c r="DC22">
        <v>3.7999999999999999E-2</v>
      </c>
      <c r="DD22" t="s">
        <v>206</v>
      </c>
      <c r="DE22">
        <v>3.0000000000000001E-3</v>
      </c>
      <c r="DF22" t="s">
        <v>287</v>
      </c>
      <c r="DG22" t="s">
        <v>208</v>
      </c>
      <c r="DH22" t="s">
        <v>145</v>
      </c>
      <c r="DI22" t="s">
        <v>145</v>
      </c>
      <c r="DJ22" t="s">
        <v>145</v>
      </c>
      <c r="DK22">
        <v>432.6</v>
      </c>
      <c r="DL22" t="s">
        <v>225</v>
      </c>
      <c r="DM22" t="s">
        <v>225</v>
      </c>
      <c r="DN22" t="s">
        <v>286</v>
      </c>
      <c r="DO22" s="152">
        <v>38.450000000000003</v>
      </c>
      <c r="DP22" s="152" t="s">
        <v>226</v>
      </c>
      <c r="DQ22" s="152">
        <v>0.25</v>
      </c>
      <c r="DR22" t="s">
        <v>227</v>
      </c>
      <c r="DS22" t="s">
        <v>228</v>
      </c>
      <c r="DT22" t="s">
        <v>229</v>
      </c>
      <c r="DU22">
        <v>1.0271999999999999</v>
      </c>
      <c r="DV22" t="s">
        <v>230</v>
      </c>
      <c r="DW22" t="s">
        <v>230</v>
      </c>
      <c r="DX22" t="s">
        <v>264</v>
      </c>
      <c r="DY22" t="s">
        <v>230</v>
      </c>
      <c r="DZ22" t="s">
        <v>230</v>
      </c>
      <c r="EA22" t="s">
        <v>231</v>
      </c>
      <c r="EB22" t="s">
        <v>232</v>
      </c>
      <c r="EC22" t="s">
        <v>233</v>
      </c>
      <c r="ED22" t="s">
        <v>233</v>
      </c>
      <c r="EE22" t="s">
        <v>233</v>
      </c>
      <c r="EF22" s="152" t="s">
        <v>234</v>
      </c>
      <c r="EG22" s="152" t="s">
        <v>229</v>
      </c>
      <c r="EH22" t="s">
        <v>235</v>
      </c>
      <c r="EI22" t="s">
        <v>236</v>
      </c>
      <c r="EJ22" s="152" t="s">
        <v>255</v>
      </c>
      <c r="EK22" t="s">
        <v>145</v>
      </c>
      <c r="EL22" t="s">
        <v>145</v>
      </c>
      <c r="EM22" t="s">
        <v>145</v>
      </c>
      <c r="EN22" t="s">
        <v>145</v>
      </c>
      <c r="EO22">
        <v>6.5</v>
      </c>
      <c r="EP22" t="s">
        <v>237</v>
      </c>
      <c r="EQ22">
        <v>1</v>
      </c>
      <c r="ER22">
        <v>1</v>
      </c>
      <c r="ES22" s="150">
        <v>7.787339149186197</v>
      </c>
      <c r="ET22" s="152" t="s">
        <v>238</v>
      </c>
      <c r="EU22" s="150">
        <v>6.6855848591816702E-2</v>
      </c>
      <c r="EV22" s="150">
        <v>6.6855848591816702E-2</v>
      </c>
      <c r="EW22" s="127">
        <v>810</v>
      </c>
      <c r="EX22" t="s">
        <v>239</v>
      </c>
      <c r="EY22" s="158" t="s">
        <v>145</v>
      </c>
      <c r="EZ22" s="127">
        <v>810</v>
      </c>
      <c r="FA22" s="127">
        <v>310</v>
      </c>
      <c r="FB22" s="127">
        <v>310</v>
      </c>
      <c r="FC22" t="s">
        <v>241</v>
      </c>
      <c r="FD22" t="s">
        <v>242</v>
      </c>
      <c r="FE22" s="127">
        <v>2200</v>
      </c>
      <c r="FF22" s="127">
        <v>450</v>
      </c>
      <c r="FG22" s="127">
        <v>450</v>
      </c>
      <c r="FH22" s="147">
        <v>2000</v>
      </c>
      <c r="FI22" s="147">
        <v>440</v>
      </c>
      <c r="FJ22" s="147">
        <v>440</v>
      </c>
      <c r="FK22" t="s">
        <v>145</v>
      </c>
      <c r="FL22" t="s">
        <v>145</v>
      </c>
      <c r="FM22" t="s">
        <v>145</v>
      </c>
      <c r="FN22" t="s">
        <v>145</v>
      </c>
      <c r="FO22" t="s">
        <v>145</v>
      </c>
      <c r="FP22" t="s">
        <v>145</v>
      </c>
      <c r="FQ22" t="s">
        <v>245</v>
      </c>
    </row>
    <row r="23" spans="1:173">
      <c r="D23" s="130"/>
      <c r="E23" s="131"/>
      <c r="L23" s="133"/>
      <c r="N23" s="130"/>
      <c r="AA23" s="136"/>
      <c r="AG23" s="131"/>
      <c r="AU23" s="141"/>
      <c r="AV23" s="142"/>
      <c r="BE23" s="142"/>
      <c r="BG23" s="142"/>
      <c r="BP23" s="143"/>
      <c r="BR23" s="143"/>
    </row>
    <row r="24" spans="1:173">
      <c r="D24" s="130"/>
      <c r="E24" s="131"/>
      <c r="L24" s="133"/>
      <c r="N24" s="130"/>
      <c r="AG24" s="131"/>
      <c r="AU24" s="141"/>
      <c r="AV24" s="142"/>
      <c r="BE24" s="142"/>
      <c r="BG24" s="142"/>
      <c r="BP24" s="143"/>
      <c r="BR24" s="143"/>
    </row>
    <row r="25" spans="1:173">
      <c r="D25" s="130"/>
      <c r="E25" s="131"/>
      <c r="L25" s="133"/>
      <c r="N25" s="130"/>
      <c r="AG25" s="131"/>
      <c r="AU25" s="141"/>
      <c r="AV25" s="142"/>
      <c r="BE25" s="142"/>
      <c r="BG25" s="142"/>
      <c r="BP25" s="143"/>
      <c r="BR25" s="143"/>
    </row>
    <row r="26" spans="1:173">
      <c r="D26" s="130"/>
      <c r="E26" s="131"/>
      <c r="L26" s="133"/>
      <c r="N26" s="130"/>
      <c r="AG26" s="131"/>
      <c r="AU26" s="141"/>
      <c r="AV26" s="142"/>
      <c r="BE26" s="142"/>
      <c r="BG26" s="142"/>
      <c r="BP26" s="143"/>
      <c r="BR26" s="143"/>
    </row>
    <row r="27" spans="1:173">
      <c r="D27" s="130"/>
      <c r="E27" s="131"/>
      <c r="L27" s="133"/>
      <c r="N27" s="130"/>
      <c r="AG27" s="131"/>
      <c r="AU27" s="141"/>
      <c r="AV27" s="142"/>
      <c r="BE27" s="142"/>
      <c r="BG27" s="142"/>
      <c r="BP27" s="143"/>
      <c r="BR27" s="143"/>
    </row>
    <row r="28" spans="1:173">
      <c r="D28" s="130"/>
      <c r="E28" s="131"/>
      <c r="L28" s="133"/>
      <c r="N28" s="130"/>
      <c r="AG28" s="131"/>
      <c r="AU28" s="141"/>
      <c r="AV28" s="142"/>
      <c r="BE28" s="142"/>
      <c r="BG28" s="142"/>
      <c r="BP28" s="143"/>
      <c r="BR28" s="143"/>
    </row>
    <row r="29" spans="1:173">
      <c r="D29" s="130"/>
      <c r="E29" s="131"/>
      <c r="L29" s="133"/>
      <c r="N29" s="130"/>
      <c r="AG29" s="131"/>
      <c r="AU29" s="141"/>
      <c r="AV29" s="142"/>
      <c r="BE29" s="142"/>
      <c r="BG29" s="142"/>
      <c r="BP29" s="143"/>
      <c r="BR29" s="143"/>
    </row>
    <row r="30" spans="1:173">
      <c r="D30" s="130"/>
      <c r="E30" s="131"/>
      <c r="L30" s="133"/>
      <c r="N30" s="130"/>
      <c r="AG30" s="131"/>
      <c r="AU30" s="141"/>
      <c r="AV30" s="142"/>
      <c r="BE30" s="142"/>
      <c r="BG30" s="142"/>
      <c r="BP30" s="143"/>
      <c r="BR30" s="143"/>
    </row>
    <row r="31" spans="1:173">
      <c r="D31" s="130"/>
      <c r="E31" s="131"/>
      <c r="L31" s="133"/>
      <c r="N31" s="130"/>
      <c r="AG31" s="131"/>
      <c r="AU31" s="141"/>
      <c r="AV31" s="142"/>
      <c r="BE31" s="142"/>
      <c r="BG31" s="142"/>
      <c r="BP31" s="143"/>
      <c r="BR31" s="143"/>
    </row>
    <row r="32" spans="1:173">
      <c r="D32" s="130"/>
      <c r="E32" s="131"/>
      <c r="L32" s="133"/>
      <c r="N32" s="130"/>
      <c r="AG32" s="131"/>
      <c r="AU32" s="141"/>
      <c r="AV32" s="142"/>
      <c r="BE32" s="142"/>
      <c r="BG32" s="142"/>
      <c r="BP32" s="143"/>
      <c r="BR32" s="143"/>
    </row>
    <row r="33" spans="4:70">
      <c r="D33" s="130"/>
      <c r="E33" s="131"/>
      <c r="L33" s="133"/>
      <c r="N33" s="130"/>
      <c r="AG33" s="131"/>
      <c r="AU33" s="141"/>
      <c r="AV33" s="142"/>
      <c r="BE33" s="142"/>
      <c r="BG33" s="142"/>
      <c r="BP33" s="143"/>
      <c r="BR33" s="143"/>
    </row>
    <row r="34" spans="4:70">
      <c r="D34" s="130"/>
      <c r="E34" s="131"/>
      <c r="L34" s="133"/>
      <c r="N34" s="130"/>
      <c r="AG34" s="131"/>
      <c r="AU34" s="141"/>
      <c r="AV34" s="142"/>
      <c r="BE34" s="142"/>
      <c r="BG34" s="142"/>
      <c r="BP34" s="143"/>
      <c r="BR34" s="143"/>
    </row>
  </sheetData>
  <hyperlinks>
    <hyperlink ref="L4" r:id="rId1" xr:uid="{E91F587C-9E17-704E-8DD6-049F6C4CE314}"/>
    <hyperlink ref="L5" r:id="rId2" xr:uid="{4BE6CF2A-6E4D-9342-8030-449AA2473882}"/>
    <hyperlink ref="L6" r:id="rId3" xr:uid="{EA9736C1-F4C0-894D-B308-1CBF7DD0C1B4}"/>
    <hyperlink ref="L7" r:id="rId4" xr:uid="{CDFDB20B-6155-0C44-B9A0-39DA1BAD55BE}"/>
    <hyperlink ref="L8" r:id="rId5" xr:uid="{5E3F7C33-7B0A-244A-BCFA-44F62F9B4469}"/>
    <hyperlink ref="L14" r:id="rId6" xr:uid="{3E29C225-6F9A-D645-B28A-C739385C6DED}"/>
    <hyperlink ref="L15" r:id="rId7" xr:uid="{63CBAD8B-EA1C-9746-9A03-DB3985F6C7A9}"/>
    <hyperlink ref="L16" r:id="rId8" xr:uid="{98178867-B812-0D4C-9712-CBAFB58F4346}"/>
    <hyperlink ref="L17" r:id="rId9" xr:uid="{431A6ADC-0ACE-A549-B86D-302BB7B1B61F}"/>
    <hyperlink ref="L18" r:id="rId10" xr:uid="{63E79203-B265-6147-9F51-7BD19C81A68E}"/>
    <hyperlink ref="L19" r:id="rId11" xr:uid="{9EDD0EDB-7DC2-CB4F-BF83-47F5AC90A08D}"/>
    <hyperlink ref="L20" r:id="rId12" xr:uid="{5E976D70-9A4E-6F4B-B688-36440C456189}"/>
    <hyperlink ref="L21" r:id="rId13" xr:uid="{71CDA114-CECA-CD44-A71F-5CEEFFF95E03}"/>
    <hyperlink ref="L22" r:id="rId14" xr:uid="{C7F42551-F9EB-8F44-9082-3102C1B18272}"/>
    <hyperlink ref="L9" r:id="rId15" xr:uid="{2185C42A-14D5-8544-A340-7EF66BF3EC4C}"/>
    <hyperlink ref="L10" r:id="rId16" xr:uid="{87E414C1-36CF-9543-93C8-723A0E4C12A1}"/>
    <hyperlink ref="L11" r:id="rId17" xr:uid="{B8768905-A985-544B-B1BB-FC5C732D8F7F}"/>
    <hyperlink ref="L12" r:id="rId18" xr:uid="{7F505142-F81D-A747-893D-9AB239B4C3B0}"/>
    <hyperlink ref="L13" r:id="rId19" xr:uid="{194F4A39-CA80-B845-9C1D-9FFB2AE0C6EC}"/>
  </hyperlinks>
  <pageMargins left="0.7" right="0.7" top="0.75" bottom="0.75" header="0.3" footer="0.3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E77D-3129-CD4E-A55A-16212E19EF90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278</v>
      </c>
    </row>
    <row r="3" spans="1:1">
      <c r="A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2021-04-21T15:47:40Z</dcterms:modified>
</cp:coreProperties>
</file>