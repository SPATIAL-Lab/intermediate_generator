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5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36C41BF4-EFC7-B84C-B9D5-F449455CC82C}" xr6:coauthVersionLast="36" xr6:coauthVersionMax="45" xr10:uidLastSave="{00000000-0000-0000-0000-000000000000}"/>
  <bookViews>
    <workbookView xWindow="1700" yWindow="1020" windowWidth="27100" windowHeight="15720" tabRatio="500" xr2:uid="{00000000-000D-0000-FFFF-FFFF00000000}"/>
  </bookViews>
  <sheets>
    <sheet name="boron isotopes" sheetId="2" r:id="rId1"/>
    <sheet name="Column specifications" sheetId="3" r:id="rId2"/>
  </sheets>
  <calcPr calcId="181029"/>
  <extLs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G19" i="2" l="1"/>
  <c r="F19" i="2"/>
  <c r="EW5" i="2"/>
  <c r="EW6" i="2"/>
  <c r="EW7" i="2"/>
  <c r="EW8" i="2"/>
  <c r="EW9" i="2"/>
  <c r="EW10" i="2"/>
  <c r="EW11" i="2"/>
  <c r="EW12" i="2"/>
  <c r="EW13" i="2"/>
  <c r="EW14" i="2"/>
  <c r="EW15" i="2"/>
  <c r="EW16" i="2"/>
  <c r="EW17" i="2"/>
  <c r="EW18" i="2"/>
  <c r="EW19" i="2"/>
  <c r="EW4" i="2"/>
  <c r="CA5" i="2" l="1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4" i="2"/>
  <c r="BP5" i="2" l="1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4" i="2"/>
  <c r="I5" i="2" l="1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4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4" i="2"/>
  <c r="G4" i="2"/>
  <c r="E4" i="2" l="1"/>
  <c r="CE5" i="2"/>
  <c r="CF5" i="2"/>
  <c r="CE6" i="2"/>
  <c r="CF6" i="2"/>
  <c r="CE7" i="2"/>
  <c r="CF7" i="2"/>
  <c r="CE8" i="2"/>
  <c r="CF8" i="2"/>
  <c r="CE9" i="2"/>
  <c r="CF9" i="2"/>
  <c r="CE10" i="2"/>
  <c r="CF10" i="2"/>
  <c r="CE11" i="2"/>
  <c r="CF11" i="2"/>
  <c r="CE12" i="2"/>
  <c r="CF12" i="2"/>
  <c r="CE13" i="2"/>
  <c r="CF13" i="2"/>
  <c r="CE14" i="2"/>
  <c r="CF14" i="2"/>
  <c r="CE15" i="2"/>
  <c r="CF15" i="2"/>
  <c r="CE16" i="2"/>
  <c r="CF16" i="2"/>
  <c r="CE17" i="2"/>
  <c r="CF17" i="2"/>
  <c r="CE18" i="2"/>
  <c r="CF18" i="2"/>
  <c r="CE19" i="2"/>
  <c r="CF19" i="2"/>
  <c r="CF4" i="2"/>
  <c r="CE4" i="2"/>
</calcChain>
</file>

<file path=xl/sharedStrings.xml><?xml version="1.0" encoding="utf-8"?>
<sst xmlns="http://schemas.openxmlformats.org/spreadsheetml/2006/main" count="2225" uniqueCount="263">
  <si>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</si>
  <si>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</si>
  <si>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</si>
  <si>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</si>
  <si>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</si>
  <si>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</si>
  <si>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</si>
  <si>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</si>
  <si>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</si>
  <si>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</si>
  <si>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</si>
  <si>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</si>
  <si>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</si>
  <si>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</si>
  <si>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</si>
  <si>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</si>
  <si>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</si>
  <si>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</si>
  <si>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</si>
  <si>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</si>
  <si>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</si>
  <si>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</si>
  <si>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</si>
  <si>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</si>
  <si>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</si>
  <si>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</si>
  <si>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</si>
  <si>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</si>
  <si>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</si>
  <si>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</si>
  <si>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</si>
  <si>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</si>
  <si>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</si>
  <si>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</si>
  <si>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</si>
  <si>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</si>
  <si>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</si>
  <si>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</si>
  <si>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</si>
  <si>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</si>
  <si>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</si>
  <si>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</si>
  <si>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</si>
  <si>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</si>
  <si>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</si>
  <si>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</si>
  <si>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</si>
  <si>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</si>
  <si>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</si>
  <si>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</si>
  <si>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</si>
  <si>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</si>
  <si>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</si>
  <si>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</si>
  <si>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</si>
  <si>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(if +/- range is used, it should be separated with a comma, e.g. i,ii, for +i, -ii)</t>
    </r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</si>
  <si>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</si>
  <si>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</si>
  <si>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</si>
  <si>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</si>
  <si>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</si>
  <si>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</si>
  <si>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</si>
  <si>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</si>
  <si>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</si>
  <si>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</si>
  <si>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</si>
  <si>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</si>
  <si>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</si>
  <si>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</si>
  <si>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</si>
  <si>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</si>
  <si>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</si>
  <si>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</si>
  <si>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</si>
  <si>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</si>
  <si>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</si>
  <si>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</si>
  <si>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</si>
  <si>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</si>
  <si>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</si>
  <si>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</si>
  <si>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</si>
  <si>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</si>
  <si>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</si>
  <si>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</si>
  <si>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</si>
  <si>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</si>
  <si>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</si>
  <si>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</si>
  <si>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</si>
  <si>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</si>
  <si>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</si>
  <si>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</si>
  <si>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</si>
  <si>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</si>
  <si>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</si>
  <si>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</si>
  <si>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</si>
  <si>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</si>
  <si>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</si>
  <si>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</si>
  <si>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</si>
  <si>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</si>
  <si>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</si>
  <si>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</si>
  <si>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</si>
  <si>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</si>
  <si>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</si>
  <si>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</si>
  <si>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</si>
  <si>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</si>
  <si>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</si>
  <si>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</si>
  <si>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</si>
  <si>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</si>
  <si>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</si>
  <si>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</si>
  <si>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</si>
  <si>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</si>
  <si>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</si>
  <si>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</si>
  <si>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</si>
  <si>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</si>
  <si>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</si>
  <si>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</si>
  <si>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</si>
  <si>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</si>
  <si>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</si>
  <si>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</si>
  <si>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</si>
  <si>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</si>
  <si>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</si>
  <si>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</si>
  <si>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</si>
  <si>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</si>
  <si>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</si>
  <si>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</si>
  <si>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</si>
  <si>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</si>
  <si>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</si>
  <si>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</si>
  <si>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</si>
  <si>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t>[Ca] (mmol/kg)</t>
  </si>
  <si>
    <t>[Mg] (mmol/kg)</t>
  </si>
  <si>
    <t>[SO4] (mmol/kg)</t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</si>
  <si>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</si>
  <si>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</si>
  <si>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</si>
  <si>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</si>
  <si>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</si>
  <si>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</si>
  <si>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boron isotopes</t>
  </si>
  <si>
    <t>modern reference pH scale (e.g., total scale, seawater scale)</t>
  </si>
  <si>
    <t>N number of replicates</t>
  </si>
  <si>
    <t>2se of replicates</t>
  </si>
  <si>
    <t>A</t>
  </si>
  <si>
    <t>NA</t>
  </si>
  <si>
    <t>300-355</t>
  </si>
  <si>
    <t>MC-ICPMS</t>
  </si>
  <si>
    <t xml:space="preserve">10.1016/j.epsl.2012.06.007 </t>
  </si>
  <si>
    <t>Foster</t>
  </si>
  <si>
    <t>B</t>
  </si>
  <si>
    <t>cc</t>
  </si>
  <si>
    <t>10.1016/j.epsl.2012.06.007</t>
  </si>
  <si>
    <t>Foster, G. L., C. H. Lear and J. W. B. Rae (2012). "The evolution of pCO2, ice volume and climate during the middle Miocene." Earth and Planetary Science Letters 341-344(0): 243-254.</t>
  </si>
  <si>
    <t>Wombat plateau (Indian Ocean)</t>
  </si>
  <si>
    <t>Ceara Rise (Atlantic)</t>
  </si>
  <si>
    <t>more micro-crystalline recrystallisation than
ODP Site 761</t>
  </si>
  <si>
    <t xml:space="preserve">Globigerinoides sacculifer </t>
  </si>
  <si>
    <t>100-150</t>
  </si>
  <si>
    <t>1-1.5</t>
  </si>
  <si>
    <t>Barker et al., 2003; Yu et al., 2007</t>
  </si>
  <si>
    <t>ion exchange chromatography</t>
  </si>
  <si>
    <t>17.14,17.15</t>
  </si>
  <si>
    <t>16.5,16.73</t>
  </si>
  <si>
    <t>16.32,16.73</t>
  </si>
  <si>
    <t>16.3,16.42</t>
  </si>
  <si>
    <t>16.42,16.43</t>
  </si>
  <si>
    <t>16.26,16.25</t>
  </si>
  <si>
    <t>16.22,15.95</t>
  </si>
  <si>
    <t>15.85,16.07</t>
  </si>
  <si>
    <t>14.91,15.18</t>
  </si>
  <si>
    <t>15.05,15.62</t>
  </si>
  <si>
    <t>15.75,15.93</t>
  </si>
  <si>
    <t>14.63,15.37</t>
  </si>
  <si>
    <t>16.47,16.81</t>
  </si>
  <si>
    <t>16.02,16.16</t>
  </si>
  <si>
    <t>16.32,16.51</t>
  </si>
  <si>
    <t>15.18,15.31</t>
  </si>
  <si>
    <t>normal</t>
  </si>
  <si>
    <t>Anand and Ederfield, 2003</t>
  </si>
  <si>
    <t>assumed constant</t>
  </si>
  <si>
    <t>this study</t>
  </si>
  <si>
    <t xml:space="preserve">Alkalinity </t>
  </si>
  <si>
    <t xml:space="preserve">CCD depth </t>
  </si>
  <si>
    <t xml:space="preserve">This study </t>
  </si>
  <si>
    <t>&lt;25 µatm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</si>
  <si>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</si>
  <si>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</si>
  <si>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</si>
  <si>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</si>
  <si>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</si>
  <si>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</si>
  <si>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</si>
  <si>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</si>
  <si>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</si>
  <si>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t xml:space="preserve">corrected for shell size and for TIMS vs MC-ICPMS offset between Sanyal and Foster. </t>
  </si>
  <si>
    <t>modified after Sanyal et al., 2001(culture) and Foster, 2008 (core-top)</t>
  </si>
  <si>
    <t xml:space="preserve">lower mixed layer </t>
  </si>
  <si>
    <t>not applied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</si>
  <si>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</si>
  <si>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</si>
  <si>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t>Dickson 1990</t>
  </si>
  <si>
    <t xml:space="preserve">None applied, surface pressure </t>
  </si>
  <si>
    <t>Dickson 1991</t>
  </si>
  <si>
    <t>Dickson 1992</t>
  </si>
  <si>
    <t>Dickson 1993</t>
  </si>
  <si>
    <t>Dickson 1994</t>
  </si>
  <si>
    <t>Dickson 1995</t>
  </si>
  <si>
    <t>Dickson 1996</t>
  </si>
  <si>
    <t>Dickson 1997</t>
  </si>
  <si>
    <t>Dickson 1998</t>
  </si>
  <si>
    <t>Dickson 1999</t>
  </si>
  <si>
    <t>Dickson 2000</t>
  </si>
  <si>
    <t>Dickson 2001</t>
  </si>
  <si>
    <t>Dickson 2002</t>
  </si>
  <si>
    <t>Dickson 2003</t>
  </si>
  <si>
    <t>Dickson 2004</t>
  </si>
  <si>
    <t>Dickson 2005</t>
  </si>
  <si>
    <t>hoenisch@ldeo.columbia.edu, elwyn.de-la-vega@soton.ac.uk</t>
  </si>
  <si>
    <t>T, ALK, d11B analysis, d11Bsw</t>
  </si>
  <si>
    <t>Henry's law, as of Weiss 1974, Zeebe Wolf-Gladrow 2001</t>
  </si>
  <si>
    <t>Henry's law, as of Weiss 1974, Zeebe Wolf-Gladrow 2002</t>
  </si>
  <si>
    <t>Henry's law, as of Weiss 1974, Zeebe Wolf-Gladrow 2003</t>
  </si>
  <si>
    <t>Henry's law, as of Weiss 1974, Zeebe Wolf-Gladrow 2004</t>
  </si>
  <si>
    <t>Henry's law, as of Weiss 1974, Zeebe Wolf-Gladrow 2005</t>
  </si>
  <si>
    <t>Henry's law, as of Weiss 1974, Zeebe Wolf-Gladrow 2006</t>
  </si>
  <si>
    <t>Henry's law, as of Weiss 1974, Zeebe Wolf-Gladrow 2007</t>
  </si>
  <si>
    <t>Henry's law, as of Weiss 1974, Zeebe Wolf-Gladrow 2008</t>
  </si>
  <si>
    <t>Henry's law, as of Weiss 1974, Zeebe Wolf-Gladrow 2009</t>
  </si>
  <si>
    <t>Henry's law, as of Weiss 1974, Zeebe Wolf-Gladrow 2010</t>
  </si>
  <si>
    <t>Henry's law, as of Weiss 1974, Zeebe Wolf-Gladrow 2011</t>
  </si>
  <si>
    <t>Henry's law, as of Weiss 1974, Zeebe Wolf-Gladrow 2012</t>
  </si>
  <si>
    <t>Henry's law, as of Weiss 1974, Zeebe Wolf-Gladrow 2013</t>
  </si>
  <si>
    <t>Henry's law, as of Weiss 1974, Zeebe Wolf-Gladrow 2014</t>
  </si>
  <si>
    <t>Henry's law, as of Weiss 1974, Zeebe Wolf-Gladrow 2015</t>
  </si>
  <si>
    <t>Henry's law, as of Weiss 1974, Zeebe Wolf-Gladrow 2016</t>
  </si>
  <si>
    <t>Lueker et al. 2000</t>
  </si>
  <si>
    <t>Lee et al 2010</t>
  </si>
  <si>
    <t xml:space="preserve">Bärbel Hönisch, Elwyn de la Vega </t>
  </si>
  <si>
    <t>set value (flat/uniform uncertainty)</t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</si>
  <si>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</si>
  <si>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</si>
  <si>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t>Horita et al. (2002)</t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</si>
  <si>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</si>
  <si>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</si>
  <si>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Verdana"/>
        <family val="2"/>
      </rPr>
      <t xml:space="preserve"> uncertainty </t>
    </r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>aragonite neg</t>
    </r>
  </si>
  <si>
    <t>Note that air-sea disequilibrium in this study was acknowledged but not subtracted.</t>
  </si>
  <si>
    <t>notes about uncertainty estimate: e.g., included calibration slope and intercept</t>
  </si>
  <si>
    <t>CO2_ppm</t>
  </si>
  <si>
    <t>CO2_uncertainty_pos_ppm</t>
  </si>
  <si>
    <t>CO2_uncertainty_neg_ppm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</si>
</sst>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color theme="1"/>
      <name val="Verdana"/>
      <family val="2"/>
      <charset val="2"/>
    </font>
    <font>
      <u/>
      <sz val="12"/>
      <color theme="10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vertAlign val="subscript"/>
      <sz val="12"/>
      <color rgb="FF000000"/>
      <name val="Verdana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7" fillId="0" borderId="0"/>
    <xf numFmtId="0" fontId="1" fillId="0" borderId="0"/>
    <xf numFmtId="0" fontId="30" fillId="0" borderId="0" applyNumberFormat="0" applyFill="0" applyBorder="0" applyAlignment="0" applyProtection="0"/>
  </cellStyleXfs>
  <cellXfs count="150">
    <xf numFmtId="0" fontId="0" fillId="0" borderId="0" xfId="0"/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6" borderId="0" xfId="0" applyFont="1" applyFill="1" applyBorder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0" fillId="0" borderId="0" xfId="0" applyFill="1" applyBorder="1"/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30" fillId="0" borderId="0" xfId="3"/>
    <xf numFmtId="0" fontId="31" fillId="0" borderId="0" xfId="0" applyFont="1" applyAlignment="1">
      <alignment horizontal="center"/>
    </xf>
    <xf numFmtId="2" fontId="32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applyFill="1"/>
    <xf numFmtId="0" fontId="0" fillId="0" borderId="0" xfId="0" applyFont="1" applyFill="1"/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ill="1"/>
    <xf numFmtId="0" fontId="0" fillId="0" borderId="5" xfId="0" applyFill="1" applyBorder="1"/>
    <xf numFmtId="164" fontId="0" fillId="0" borderId="0" xfId="0" applyNumberFormat="1"/>
    <xf numFmtId="0" fontId="20" fillId="16" borderId="0" xfId="0" applyFont="1" applyFill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</cellXfs>
  <cellStyles count="4">
    <cellStyle name="Hyperlink" xfId="3" builtinId="8"/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enisch@ldeo.columbia.edu" TargetMode="External"/><Relationship Id="rId1" Type="http://schemas.openxmlformats.org/officeDocument/2006/relationships/hyperlink" Target="mailto:hoenisch@ldeo.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23"/>
  <sheetViews>
    <sheetView tabSelected="1" workbookViewId="0">
      <selection activeCell="M4" sqref="M4"/>
    </sheetView>
  </sheetViews>
  <sheetFormatPr baseColWidth="10" defaultColWidth="11" defaultRowHeight="16"/>
  <cols>
    <col min="1" max="1" width="14.1640625" customWidth="1"/>
    <col min="4" max="4" width="21.33203125" customWidth="1"/>
    <col min="6" max="6" width="14.6640625" customWidth="1"/>
    <col min="7" max="7" width="15.5" customWidth="1"/>
    <col min="11" max="11" width="25.5" customWidth="1"/>
    <col min="12" max="12" width="37.83203125" customWidth="1"/>
    <col min="13" max="13" width="45.1640625" style="1" customWidth="1"/>
    <col min="14" max="14" width="22.33203125" customWidth="1"/>
    <col min="24" max="24" width="38.5" customWidth="1"/>
    <col min="32" max="32" width="48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23.83203125" customWidth="1"/>
    <col min="48" max="48" width="13.83203125" customWidth="1"/>
    <col min="49" max="49" width="14.1640625" customWidth="1"/>
    <col min="50" max="50" width="13.5" customWidth="1"/>
    <col min="51" max="51" width="31.33203125" customWidth="1"/>
    <col min="52" max="52" width="27.5" customWidth="1"/>
    <col min="54" max="54" width="16.33203125" customWidth="1"/>
    <col min="55" max="55" width="12.83203125" customWidth="1"/>
    <col min="56" max="56" width="13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62.33203125" customWidth="1"/>
    <col min="67" max="67" width="71.6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3" max="73" width="17.164062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9" width="14.5" customWidth="1"/>
    <col min="81" max="81" width="15.83203125" customWidth="1"/>
    <col min="82" max="82" width="15.6640625" customWidth="1"/>
    <col min="83" max="84" width="16" customWidth="1"/>
    <col min="85" max="85" width="14.1640625" customWidth="1"/>
    <col min="86" max="86" width="25.5" customWidth="1"/>
    <col min="87" max="88" width="20.6640625" customWidth="1"/>
    <col min="90" max="90" width="15" customWidth="1"/>
    <col min="91" max="91" width="12.6640625" customWidth="1"/>
    <col min="95" max="95" width="12.83203125" customWidth="1"/>
    <col min="100" max="100" width="13.33203125" customWidth="1"/>
    <col min="102" max="102" width="18.1640625" customWidth="1"/>
    <col min="103" max="103" width="13.832031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4" max="124" width="15.83203125" customWidth="1"/>
    <col min="126" max="126" width="14.33203125" customWidth="1"/>
    <col min="127" max="127" width="13.83203125" customWidth="1"/>
    <col min="128" max="128" width="19.1640625" customWidth="1"/>
    <col min="129" max="129" width="15.1640625" customWidth="1"/>
    <col min="130" max="130" width="14.6640625" customWidth="1"/>
    <col min="131" max="131" width="15" customWidth="1"/>
    <col min="132" max="132" width="41" customWidth="1"/>
    <col min="133" max="133" width="16.6640625" customWidth="1"/>
    <col min="134" max="134" width="17.16406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54.6640625" customWidth="1"/>
    <col min="161" max="161" width="13.1640625" customWidth="1"/>
    <col min="162" max="163" width="14" customWidth="1"/>
    <col min="164" max="164" width="13.6640625" customWidth="1"/>
    <col min="167" max="167" width="13.1640625" customWidth="1"/>
    <col min="168" max="169" width="13.83203125" customWidth="1"/>
    <col min="170" max="170" width="16" customWidth="1"/>
    <col min="171" max="172" width="15.5" customWidth="1"/>
    <col min="173" max="173" width="20.5" customWidth="1"/>
  </cols>
  <sheetData>
    <row r="1" spans="1:191" ht="18">
      <c r="A1" s="108" t="s">
        <v>124</v>
      </c>
      <c r="B1" s="109"/>
      <c r="C1" s="109"/>
      <c r="D1" s="109"/>
      <c r="E1" s="109"/>
      <c r="F1" s="109"/>
      <c r="G1" s="109"/>
      <c r="H1" s="109"/>
      <c r="I1" s="109"/>
      <c r="J1" s="110"/>
      <c r="K1" s="2" t="s">
        <v>1</v>
      </c>
      <c r="L1" s="3"/>
      <c r="M1" s="4"/>
      <c r="N1" s="5"/>
      <c r="O1" s="6" t="s">
        <v>2</v>
      </c>
      <c r="P1" s="7"/>
      <c r="Q1" s="7"/>
      <c r="R1" s="7"/>
      <c r="S1" s="7"/>
      <c r="T1" s="7"/>
      <c r="U1" s="8"/>
      <c r="V1" s="129"/>
      <c r="W1" s="8"/>
      <c r="X1" s="7"/>
      <c r="Y1" s="7"/>
      <c r="Z1" s="7"/>
      <c r="AA1" s="7"/>
      <c r="AB1" s="7"/>
      <c r="AC1" s="7"/>
      <c r="AD1" s="7"/>
      <c r="AE1" s="7"/>
      <c r="AF1" s="7"/>
      <c r="AG1" s="9" t="s">
        <v>3</v>
      </c>
      <c r="AH1" s="10"/>
      <c r="AI1" s="11"/>
      <c r="AJ1" s="11"/>
      <c r="AK1" s="12"/>
      <c r="AL1" s="12"/>
      <c r="AM1" s="12"/>
      <c r="AN1" s="13"/>
      <c r="AO1" s="12"/>
      <c r="AP1" s="12"/>
      <c r="AQ1" s="12"/>
      <c r="AR1" s="12"/>
      <c r="AS1" s="12"/>
      <c r="AT1" s="12"/>
      <c r="AU1" s="14" t="s">
        <v>4</v>
      </c>
      <c r="AV1" s="15"/>
      <c r="AW1" s="15"/>
      <c r="AX1" s="15"/>
      <c r="AY1" s="15"/>
      <c r="AZ1" s="15"/>
      <c r="BA1" s="15"/>
      <c r="BB1" s="16"/>
      <c r="BC1" s="17"/>
      <c r="BD1" s="17"/>
      <c r="BE1" s="17"/>
      <c r="BF1" s="18"/>
      <c r="BG1" s="19"/>
      <c r="BH1" s="20" t="s">
        <v>5</v>
      </c>
      <c r="BI1" s="21"/>
      <c r="BJ1" s="21"/>
      <c r="BK1" s="21"/>
      <c r="BL1" s="21"/>
      <c r="BM1" s="21"/>
      <c r="BN1" s="21"/>
      <c r="BO1" s="22"/>
      <c r="BP1" s="23" t="s">
        <v>6</v>
      </c>
      <c r="BQ1" s="23"/>
      <c r="BR1" s="24"/>
      <c r="BS1" s="24"/>
      <c r="BT1" s="24"/>
      <c r="BU1" s="25" t="s">
        <v>7</v>
      </c>
      <c r="BV1" s="26"/>
      <c r="BW1" s="26"/>
      <c r="BX1" s="25"/>
      <c r="BY1" s="28"/>
      <c r="BZ1" s="28"/>
      <c r="CA1" s="29"/>
      <c r="CB1" s="28" t="s">
        <v>8</v>
      </c>
      <c r="CC1" s="30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5" t="s">
        <v>9</v>
      </c>
      <c r="CO1" s="28"/>
      <c r="CP1" s="28"/>
      <c r="CQ1" s="28"/>
      <c r="CR1" s="28"/>
      <c r="CS1" s="28"/>
      <c r="CT1" s="29"/>
      <c r="CU1" s="26" t="s">
        <v>10</v>
      </c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31"/>
      <c r="DP1" s="28"/>
      <c r="DQ1" s="28"/>
      <c r="DR1" s="29"/>
      <c r="DS1" s="26"/>
      <c r="DT1" s="26"/>
      <c r="DU1" s="32" t="s">
        <v>11</v>
      </c>
      <c r="DV1" s="26"/>
      <c r="DW1" s="26"/>
      <c r="DX1" s="26"/>
      <c r="DY1" s="26"/>
      <c r="DZ1" s="27"/>
      <c r="EA1" s="32" t="s">
        <v>12</v>
      </c>
      <c r="EB1" s="26"/>
      <c r="EC1" s="26"/>
      <c r="ED1" s="26"/>
      <c r="EE1" s="26"/>
      <c r="EF1" s="33"/>
      <c r="EG1" s="61"/>
      <c r="EH1" s="34" t="s">
        <v>13</v>
      </c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5" t="s">
        <v>14</v>
      </c>
      <c r="ET1" s="36"/>
      <c r="EU1" s="36"/>
      <c r="EV1" s="36"/>
      <c r="EW1" s="37"/>
      <c r="EX1" s="37"/>
      <c r="EY1" s="37"/>
      <c r="EZ1" s="37"/>
      <c r="FA1" s="36"/>
      <c r="FB1" s="36"/>
      <c r="FC1" s="36"/>
      <c r="FD1" s="36"/>
      <c r="FE1" s="35"/>
      <c r="FF1" s="36"/>
      <c r="FG1" s="36"/>
      <c r="FH1" s="36"/>
      <c r="FI1" s="36"/>
      <c r="FJ1" s="36"/>
      <c r="FK1" s="7"/>
      <c r="FL1" s="7"/>
      <c r="FM1" s="7"/>
      <c r="FN1" s="7"/>
      <c r="FO1" s="7"/>
      <c r="FP1" s="7"/>
      <c r="FQ1" s="38"/>
    </row>
    <row r="2" spans="1:191" ht="20">
      <c r="A2" s="111"/>
      <c r="B2" s="40"/>
      <c r="C2" s="40"/>
      <c r="D2" s="40"/>
      <c r="E2" s="40"/>
      <c r="F2" s="40"/>
      <c r="G2" s="40"/>
      <c r="H2" s="40"/>
      <c r="I2" s="40"/>
      <c r="J2" s="42"/>
      <c r="K2" s="39"/>
      <c r="L2" s="40"/>
      <c r="M2" s="41"/>
      <c r="N2" s="42"/>
      <c r="O2" s="43"/>
      <c r="P2" s="43"/>
      <c r="Q2" s="43"/>
      <c r="R2" s="43"/>
      <c r="S2" s="43"/>
      <c r="T2" s="43"/>
      <c r="U2" s="44"/>
      <c r="V2" s="129"/>
      <c r="W2" s="44"/>
      <c r="X2" s="43"/>
      <c r="Y2" s="43"/>
      <c r="Z2" s="43"/>
      <c r="AA2" s="43"/>
      <c r="AB2" s="43"/>
      <c r="AC2" s="43"/>
      <c r="AD2" s="43"/>
      <c r="AE2" s="43"/>
      <c r="AF2" s="43"/>
      <c r="AG2" s="45"/>
      <c r="AH2" s="10"/>
      <c r="AI2" s="11"/>
      <c r="AJ2" s="11"/>
      <c r="AK2" s="12"/>
      <c r="AL2" s="12"/>
      <c r="AM2" s="12"/>
      <c r="AN2" s="13" t="s">
        <v>15</v>
      </c>
      <c r="AO2" s="12"/>
      <c r="AP2" s="12"/>
      <c r="AQ2" s="12"/>
      <c r="AR2" s="12"/>
      <c r="AS2" s="12"/>
      <c r="AT2" s="12"/>
      <c r="AU2" s="16"/>
      <c r="AV2" s="17"/>
      <c r="AW2" s="15"/>
      <c r="AX2" s="15"/>
      <c r="AY2" s="15"/>
      <c r="AZ2" s="15"/>
      <c r="BA2" s="17"/>
      <c r="BB2" s="46" t="s">
        <v>16</v>
      </c>
      <c r="BC2" s="127"/>
      <c r="BD2" s="127"/>
      <c r="BE2" s="17"/>
      <c r="BF2" s="18"/>
      <c r="BG2" s="19"/>
      <c r="BH2" s="47" t="s">
        <v>17</v>
      </c>
      <c r="BI2" s="48"/>
      <c r="BJ2" s="48"/>
      <c r="BK2" s="49" t="s">
        <v>18</v>
      </c>
      <c r="BL2" s="50"/>
      <c r="BM2" s="51"/>
      <c r="BN2" s="51"/>
      <c r="BO2" s="52"/>
      <c r="BP2" s="53"/>
      <c r="BQ2" s="53"/>
      <c r="BR2" s="21"/>
      <c r="BS2" s="21"/>
      <c r="BT2" s="21"/>
      <c r="BU2" s="54" t="s">
        <v>19</v>
      </c>
      <c r="BV2" s="55"/>
      <c r="BW2" s="55"/>
      <c r="BX2" s="25" t="s">
        <v>20</v>
      </c>
      <c r="BY2" s="28"/>
      <c r="BZ2" s="28"/>
      <c r="CA2" s="29"/>
      <c r="CB2" s="118" t="s">
        <v>21</v>
      </c>
      <c r="CC2" s="57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25" t="s">
        <v>22</v>
      </c>
      <c r="CO2" s="30"/>
      <c r="CP2" s="28"/>
      <c r="CQ2" s="28"/>
      <c r="CR2" s="28"/>
      <c r="CS2" s="28"/>
      <c r="CT2" s="29"/>
      <c r="CU2" s="55" t="s">
        <v>23</v>
      </c>
      <c r="CV2" s="55"/>
      <c r="CW2" s="55"/>
      <c r="CX2" s="55"/>
      <c r="CY2" s="58" t="s">
        <v>24</v>
      </c>
      <c r="CZ2" s="59"/>
      <c r="DA2" s="59"/>
      <c r="DB2" s="60"/>
      <c r="DC2" s="58" t="s">
        <v>25</v>
      </c>
      <c r="DD2" s="33"/>
      <c r="DE2" s="33"/>
      <c r="DF2" s="61"/>
      <c r="DG2" s="62" t="s">
        <v>26</v>
      </c>
      <c r="DH2" s="33"/>
      <c r="DI2" s="33"/>
      <c r="DJ2" s="61"/>
      <c r="DK2" s="63" t="s">
        <v>27</v>
      </c>
      <c r="DL2" s="64"/>
      <c r="DM2" s="55"/>
      <c r="DN2" s="55"/>
      <c r="DO2" s="65" t="s">
        <v>28</v>
      </c>
      <c r="DP2" s="56"/>
      <c r="DQ2" s="56"/>
      <c r="DR2" s="66"/>
      <c r="DS2" s="55" t="s">
        <v>29</v>
      </c>
      <c r="DT2" s="55"/>
      <c r="DU2" s="67" t="s">
        <v>30</v>
      </c>
      <c r="DV2" s="68"/>
      <c r="DW2" s="68"/>
      <c r="DX2" s="68"/>
      <c r="DY2" s="55"/>
      <c r="DZ2" s="55"/>
      <c r="EA2" s="69"/>
      <c r="EB2" s="55"/>
      <c r="EC2" s="55"/>
      <c r="ED2" s="55"/>
      <c r="EE2" s="33"/>
      <c r="EF2" s="54" t="s">
        <v>31</v>
      </c>
      <c r="EG2" s="27"/>
      <c r="EH2" s="34"/>
      <c r="EI2" s="34"/>
      <c r="EJ2" s="34"/>
      <c r="EK2" s="70"/>
      <c r="EL2" s="70"/>
      <c r="EM2" s="70"/>
      <c r="EN2" s="70"/>
      <c r="EO2" s="71"/>
      <c r="EP2" s="71"/>
      <c r="EQ2" s="71"/>
      <c r="ER2" s="71"/>
      <c r="ES2" s="72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43"/>
      <c r="FQ2" s="73"/>
    </row>
    <row r="3" spans="1:191" ht="238">
      <c r="A3" s="112" t="s">
        <v>125</v>
      </c>
      <c r="B3" s="113" t="s">
        <v>126</v>
      </c>
      <c r="C3" s="113" t="s">
        <v>127</v>
      </c>
      <c r="D3" s="3" t="s">
        <v>128</v>
      </c>
      <c r="E3" s="3" t="s">
        <v>129</v>
      </c>
      <c r="F3" s="114" t="s">
        <v>130</v>
      </c>
      <c r="G3" s="114" t="s">
        <v>131</v>
      </c>
      <c r="H3" s="147" t="s">
        <v>260</v>
      </c>
      <c r="I3" s="148" t="s">
        <v>261</v>
      </c>
      <c r="J3" s="149" t="s">
        <v>262</v>
      </c>
      <c r="K3" s="74" t="s">
        <v>32</v>
      </c>
      <c r="L3" s="75" t="s">
        <v>33</v>
      </c>
      <c r="M3" s="75" t="s">
        <v>34</v>
      </c>
      <c r="N3" s="76" t="s">
        <v>35</v>
      </c>
      <c r="O3" s="77" t="s">
        <v>36</v>
      </c>
      <c r="P3" s="77" t="s">
        <v>37</v>
      </c>
      <c r="Q3" s="77" t="s">
        <v>38</v>
      </c>
      <c r="R3" s="77" t="s">
        <v>39</v>
      </c>
      <c r="S3" s="77" t="s">
        <v>40</v>
      </c>
      <c r="T3" s="77" t="s">
        <v>41</v>
      </c>
      <c r="U3" s="77" t="s">
        <v>42</v>
      </c>
      <c r="V3" s="105" t="s">
        <v>43</v>
      </c>
      <c r="W3" s="77" t="s">
        <v>44</v>
      </c>
      <c r="X3" s="77" t="s">
        <v>45</v>
      </c>
      <c r="Y3" s="77" t="s">
        <v>46</v>
      </c>
      <c r="Z3" s="77" t="s">
        <v>47</v>
      </c>
      <c r="AA3" s="77" t="s">
        <v>48</v>
      </c>
      <c r="AB3" s="77" t="s">
        <v>49</v>
      </c>
      <c r="AC3" s="77" t="s">
        <v>50</v>
      </c>
      <c r="AD3" s="77" t="s">
        <v>51</v>
      </c>
      <c r="AE3" s="77" t="s">
        <v>52</v>
      </c>
      <c r="AF3" s="77" t="s">
        <v>53</v>
      </c>
      <c r="AG3" s="78" t="s">
        <v>136</v>
      </c>
      <c r="AH3" s="79" t="s">
        <v>54</v>
      </c>
      <c r="AI3" s="116" t="s">
        <v>137</v>
      </c>
      <c r="AJ3" s="116" t="s">
        <v>138</v>
      </c>
      <c r="AK3" s="80" t="s">
        <v>56</v>
      </c>
      <c r="AL3" s="80" t="s">
        <v>57</v>
      </c>
      <c r="AM3" s="81" t="s">
        <v>58</v>
      </c>
      <c r="AN3" s="78" t="s">
        <v>136</v>
      </c>
      <c r="AO3" s="79" t="s">
        <v>54</v>
      </c>
      <c r="AP3" s="116" t="s">
        <v>137</v>
      </c>
      <c r="AQ3" s="116" t="s">
        <v>138</v>
      </c>
      <c r="AR3" s="80" t="s">
        <v>56</v>
      </c>
      <c r="AS3" s="80" t="s">
        <v>57</v>
      </c>
      <c r="AT3" s="80" t="s">
        <v>58</v>
      </c>
      <c r="AU3" s="82" t="s">
        <v>59</v>
      </c>
      <c r="AV3" s="83" t="s">
        <v>60</v>
      </c>
      <c r="AW3" s="83" t="s">
        <v>61</v>
      </c>
      <c r="AX3" s="83" t="s">
        <v>62</v>
      </c>
      <c r="AY3" s="83" t="s">
        <v>63</v>
      </c>
      <c r="AZ3" s="83" t="s">
        <v>64</v>
      </c>
      <c r="BA3" s="83" t="s">
        <v>65</v>
      </c>
      <c r="BB3" s="115" t="s">
        <v>132</v>
      </c>
      <c r="BC3" s="128" t="s">
        <v>154</v>
      </c>
      <c r="BD3" s="128" t="s">
        <v>155</v>
      </c>
      <c r="BE3" s="84" t="s">
        <v>66</v>
      </c>
      <c r="BF3" s="85" t="s">
        <v>67</v>
      </c>
      <c r="BG3" s="85" t="s">
        <v>68</v>
      </c>
      <c r="BH3" s="86" t="s">
        <v>69</v>
      </c>
      <c r="BI3" s="87" t="s">
        <v>70</v>
      </c>
      <c r="BJ3" s="88" t="s">
        <v>71</v>
      </c>
      <c r="BK3" s="89" t="s">
        <v>72</v>
      </c>
      <c r="BL3" s="90" t="s">
        <v>70</v>
      </c>
      <c r="BM3" s="91" t="s">
        <v>71</v>
      </c>
      <c r="BN3" s="51" t="s">
        <v>73</v>
      </c>
      <c r="BO3" s="52" t="s">
        <v>74</v>
      </c>
      <c r="BP3" s="91" t="s">
        <v>75</v>
      </c>
      <c r="BQ3" s="87" t="s">
        <v>70</v>
      </c>
      <c r="BR3" s="88" t="s">
        <v>71</v>
      </c>
      <c r="BS3" s="51" t="s">
        <v>259</v>
      </c>
      <c r="BT3" s="51" t="s">
        <v>76</v>
      </c>
      <c r="BU3" s="92" t="s">
        <v>77</v>
      </c>
      <c r="BV3" s="93" t="s">
        <v>54</v>
      </c>
      <c r="BW3" s="93" t="s">
        <v>55</v>
      </c>
      <c r="BX3" s="92" t="s">
        <v>78</v>
      </c>
      <c r="BY3" s="93" t="s">
        <v>54</v>
      </c>
      <c r="BZ3" s="117" t="s">
        <v>139</v>
      </c>
      <c r="CA3" s="119" t="s">
        <v>140</v>
      </c>
      <c r="CB3" s="95" t="s">
        <v>133</v>
      </c>
      <c r="CC3" s="94" t="s">
        <v>79</v>
      </c>
      <c r="CD3" s="93" t="s">
        <v>54</v>
      </c>
      <c r="CE3" s="117" t="s">
        <v>141</v>
      </c>
      <c r="CF3" s="119" t="s">
        <v>142</v>
      </c>
      <c r="CG3" s="95" t="s">
        <v>80</v>
      </c>
      <c r="CH3" s="95" t="s">
        <v>81</v>
      </c>
      <c r="CI3" s="95" t="s">
        <v>252</v>
      </c>
      <c r="CJ3" s="95" t="s">
        <v>253</v>
      </c>
      <c r="CK3" s="95" t="s">
        <v>82</v>
      </c>
      <c r="CL3" s="95" t="s">
        <v>83</v>
      </c>
      <c r="CM3" s="95" t="s">
        <v>84</v>
      </c>
      <c r="CN3" s="96" t="s">
        <v>134</v>
      </c>
      <c r="CO3" s="94" t="s">
        <v>85</v>
      </c>
      <c r="CP3" s="93" t="s">
        <v>54</v>
      </c>
      <c r="CQ3" s="93" t="s">
        <v>55</v>
      </c>
      <c r="CR3" s="95" t="s">
        <v>86</v>
      </c>
      <c r="CS3" s="95" t="s">
        <v>81</v>
      </c>
      <c r="CT3" s="95" t="s">
        <v>87</v>
      </c>
      <c r="CU3" s="92" t="s">
        <v>88</v>
      </c>
      <c r="CV3" s="93" t="s">
        <v>54</v>
      </c>
      <c r="CW3" s="93" t="s">
        <v>147</v>
      </c>
      <c r="CX3" s="97" t="s">
        <v>89</v>
      </c>
      <c r="CY3" s="94" t="s">
        <v>143</v>
      </c>
      <c r="CZ3" s="93" t="s">
        <v>54</v>
      </c>
      <c r="DA3" s="93" t="s">
        <v>147</v>
      </c>
      <c r="DB3" s="97" t="s">
        <v>90</v>
      </c>
      <c r="DC3" s="94" t="s">
        <v>144</v>
      </c>
      <c r="DD3" s="93" t="s">
        <v>54</v>
      </c>
      <c r="DE3" s="93" t="s">
        <v>147</v>
      </c>
      <c r="DF3" s="97" t="s">
        <v>91</v>
      </c>
      <c r="DG3" s="94" t="s">
        <v>145</v>
      </c>
      <c r="DH3" s="93" t="s">
        <v>54</v>
      </c>
      <c r="DI3" s="93" t="s">
        <v>147</v>
      </c>
      <c r="DJ3" s="97" t="s">
        <v>92</v>
      </c>
      <c r="DK3" s="94" t="s">
        <v>146</v>
      </c>
      <c r="DL3" s="93" t="s">
        <v>54</v>
      </c>
      <c r="DM3" s="93" t="s">
        <v>147</v>
      </c>
      <c r="DN3" s="98" t="s">
        <v>93</v>
      </c>
      <c r="DO3" s="120" t="s">
        <v>94</v>
      </c>
      <c r="DP3" s="93" t="s">
        <v>54</v>
      </c>
      <c r="DQ3" s="93" t="s">
        <v>147</v>
      </c>
      <c r="DR3" s="99" t="s">
        <v>95</v>
      </c>
      <c r="DS3" s="98" t="s">
        <v>96</v>
      </c>
      <c r="DT3" s="98" t="s">
        <v>97</v>
      </c>
      <c r="DU3" s="92" t="s">
        <v>98</v>
      </c>
      <c r="DV3" s="93" t="s">
        <v>54</v>
      </c>
      <c r="DW3" s="93" t="s">
        <v>147</v>
      </c>
      <c r="DX3" s="93" t="s">
        <v>205</v>
      </c>
      <c r="DY3" s="98" t="s">
        <v>99</v>
      </c>
      <c r="DZ3" s="97" t="s">
        <v>100</v>
      </c>
      <c r="EA3" s="95" t="s">
        <v>101</v>
      </c>
      <c r="EB3" s="98" t="s">
        <v>102</v>
      </c>
      <c r="EC3" s="98" t="s">
        <v>103</v>
      </c>
      <c r="ED3" s="98" t="s">
        <v>104</v>
      </c>
      <c r="EE3" s="100" t="s">
        <v>105</v>
      </c>
      <c r="EF3" s="101" t="s">
        <v>106</v>
      </c>
      <c r="EG3" s="97" t="s">
        <v>107</v>
      </c>
      <c r="EH3" s="121" t="s">
        <v>108</v>
      </c>
      <c r="EI3" s="122" t="s">
        <v>109</v>
      </c>
      <c r="EJ3" s="122" t="s">
        <v>110</v>
      </c>
      <c r="EK3" s="102" t="s">
        <v>135</v>
      </c>
      <c r="EL3" s="103" t="s">
        <v>54</v>
      </c>
      <c r="EM3" s="123" t="s">
        <v>211</v>
      </c>
      <c r="EN3" s="124" t="s">
        <v>212</v>
      </c>
      <c r="EO3" s="102" t="s">
        <v>111</v>
      </c>
      <c r="EP3" s="103" t="s">
        <v>54</v>
      </c>
      <c r="EQ3" s="123" t="s">
        <v>148</v>
      </c>
      <c r="ER3" s="124" t="s">
        <v>149</v>
      </c>
      <c r="ES3" s="104" t="s">
        <v>112</v>
      </c>
      <c r="ET3" s="77" t="s">
        <v>153</v>
      </c>
      <c r="EU3" s="125" t="s">
        <v>148</v>
      </c>
      <c r="EV3" s="125" t="s">
        <v>149</v>
      </c>
      <c r="EW3" s="77" t="s">
        <v>113</v>
      </c>
      <c r="EX3" s="77" t="s">
        <v>114</v>
      </c>
      <c r="EY3" s="77" t="s">
        <v>115</v>
      </c>
      <c r="EZ3" s="77" t="s">
        <v>116</v>
      </c>
      <c r="FA3" s="125" t="s">
        <v>150</v>
      </c>
      <c r="FB3" s="125" t="s">
        <v>151</v>
      </c>
      <c r="FC3" s="77" t="s">
        <v>117</v>
      </c>
      <c r="FD3" s="77" t="s">
        <v>118</v>
      </c>
      <c r="FE3" s="104" t="s">
        <v>119</v>
      </c>
      <c r="FF3" s="136" t="s">
        <v>198</v>
      </c>
      <c r="FG3" s="136" t="s">
        <v>199</v>
      </c>
      <c r="FH3" s="77" t="s">
        <v>120</v>
      </c>
      <c r="FI3" s="136" t="s">
        <v>200</v>
      </c>
      <c r="FJ3" s="136" t="s">
        <v>201</v>
      </c>
      <c r="FK3" s="105" t="s">
        <v>121</v>
      </c>
      <c r="FL3" s="105" t="s">
        <v>202</v>
      </c>
      <c r="FM3" s="105" t="s">
        <v>203</v>
      </c>
      <c r="FN3" s="105" t="s">
        <v>122</v>
      </c>
      <c r="FO3" s="137" t="s">
        <v>204</v>
      </c>
      <c r="FP3" s="146" t="s">
        <v>257</v>
      </c>
      <c r="FQ3" s="106" t="s">
        <v>123</v>
      </c>
      <c r="FR3" s="107"/>
      <c r="FS3" s="107"/>
      <c r="FT3" s="107"/>
      <c r="FU3" s="107"/>
      <c r="FV3" s="107"/>
      <c r="FW3" s="107"/>
      <c r="FX3" s="107"/>
      <c r="FY3" s="107"/>
      <c r="FZ3" s="107"/>
      <c r="GA3" s="107"/>
      <c r="GB3" s="107"/>
      <c r="GC3" s="107"/>
      <c r="GD3" s="107"/>
      <c r="GE3" s="107"/>
      <c r="GF3" s="107"/>
      <c r="GG3" s="107"/>
      <c r="GH3" s="107"/>
      <c r="GI3" s="107"/>
    </row>
    <row r="4" spans="1:191" ht="17">
      <c r="A4" s="126" t="s">
        <v>152</v>
      </c>
      <c r="B4" t="s">
        <v>161</v>
      </c>
      <c r="C4">
        <v>2012</v>
      </c>
      <c r="D4" t="s">
        <v>160</v>
      </c>
      <c r="E4">
        <f>AG4</f>
        <v>12280</v>
      </c>
      <c r="F4" t="str">
        <f>AH19</f>
        <v>NA</v>
      </c>
      <c r="G4" t="str">
        <f>AI19</f>
        <v>NA</v>
      </c>
      <c r="H4">
        <f>EZ4</f>
        <v>190</v>
      </c>
      <c r="I4">
        <f>FA4</f>
        <v>36</v>
      </c>
      <c r="J4">
        <f>FB4</f>
        <v>36</v>
      </c>
      <c r="K4" t="s">
        <v>250</v>
      </c>
      <c r="L4" s="130" t="s">
        <v>230</v>
      </c>
      <c r="M4" s="1" t="s">
        <v>165</v>
      </c>
      <c r="N4" t="s">
        <v>160</v>
      </c>
      <c r="O4">
        <v>761</v>
      </c>
      <c r="P4" t="s">
        <v>162</v>
      </c>
      <c r="Q4">
        <v>5</v>
      </c>
      <c r="R4">
        <v>4</v>
      </c>
      <c r="S4">
        <v>13</v>
      </c>
      <c r="T4">
        <v>15</v>
      </c>
      <c r="U4" s="134" t="s">
        <v>157</v>
      </c>
      <c r="V4">
        <v>37.299999999999997</v>
      </c>
      <c r="W4" s="134" t="s">
        <v>157</v>
      </c>
      <c r="X4" t="s">
        <v>166</v>
      </c>
      <c r="Y4" s="135">
        <v>-16.739999999999998</v>
      </c>
      <c r="Z4" s="135">
        <v>115.536</v>
      </c>
      <c r="AA4" t="s">
        <v>157</v>
      </c>
      <c r="AB4" t="s">
        <v>157</v>
      </c>
      <c r="AC4" s="131">
        <v>-2179</v>
      </c>
      <c r="AD4" t="s">
        <v>157</v>
      </c>
      <c r="AE4" t="s">
        <v>157</v>
      </c>
      <c r="AF4" s="138" t="s">
        <v>157</v>
      </c>
      <c r="AG4">
        <v>12280</v>
      </c>
      <c r="AH4" s="140" t="s">
        <v>157</v>
      </c>
      <c r="AI4" s="140" t="s">
        <v>157</v>
      </c>
      <c r="AJ4" s="140" t="s">
        <v>157</v>
      </c>
      <c r="AK4" s="140" t="s">
        <v>157</v>
      </c>
      <c r="AL4" s="140" t="s">
        <v>157</v>
      </c>
      <c r="AM4" s="140" t="s">
        <v>157</v>
      </c>
      <c r="AN4" t="s">
        <v>157</v>
      </c>
      <c r="AO4" t="s">
        <v>157</v>
      </c>
      <c r="AP4" t="s">
        <v>157</v>
      </c>
      <c r="AQ4" t="s">
        <v>157</v>
      </c>
      <c r="AR4" t="s">
        <v>157</v>
      </c>
      <c r="AS4" t="s">
        <v>157</v>
      </c>
      <c r="AT4" t="s">
        <v>157</v>
      </c>
      <c r="AU4" t="s">
        <v>169</v>
      </c>
      <c r="AV4" t="s">
        <v>158</v>
      </c>
      <c r="AW4" t="s">
        <v>170</v>
      </c>
      <c r="AX4" t="s">
        <v>171</v>
      </c>
      <c r="AY4" t="s">
        <v>172</v>
      </c>
      <c r="AZ4" t="s">
        <v>173</v>
      </c>
      <c r="BA4" t="s">
        <v>159</v>
      </c>
      <c r="BB4" t="s">
        <v>174</v>
      </c>
      <c r="BC4">
        <v>2</v>
      </c>
      <c r="BD4">
        <v>9.9999999999980105E-3</v>
      </c>
      <c r="BE4">
        <v>17.14</v>
      </c>
      <c r="BF4" t="s">
        <v>190</v>
      </c>
      <c r="BG4">
        <v>0.23</v>
      </c>
      <c r="BH4">
        <v>0.88</v>
      </c>
      <c r="BI4" t="s">
        <v>190</v>
      </c>
      <c r="BJ4" s="140" t="s">
        <v>157</v>
      </c>
      <c r="BK4">
        <v>1.85</v>
      </c>
      <c r="BL4" t="s">
        <v>190</v>
      </c>
      <c r="BM4" s="140" t="s">
        <v>157</v>
      </c>
      <c r="BN4" t="s">
        <v>208</v>
      </c>
      <c r="BO4" s="134" t="s">
        <v>207</v>
      </c>
      <c r="BP4" s="143">
        <f>(BE4-1.85)/0.88</f>
        <v>17.375</v>
      </c>
      <c r="BQ4" s="134" t="s">
        <v>157</v>
      </c>
      <c r="BR4" s="134" t="s">
        <v>157</v>
      </c>
      <c r="BS4" s="134" t="s">
        <v>157</v>
      </c>
      <c r="BT4" s="134" t="s">
        <v>157</v>
      </c>
      <c r="BU4" s="134" t="s">
        <v>209</v>
      </c>
      <c r="BV4" s="134" t="s">
        <v>210</v>
      </c>
      <c r="BW4" s="134" t="s">
        <v>210</v>
      </c>
      <c r="BX4" s="141">
        <v>30</v>
      </c>
      <c r="BY4" t="s">
        <v>190</v>
      </c>
      <c r="BZ4" s="144">
        <f>BX4+1.5</f>
        <v>31.5</v>
      </c>
      <c r="CA4" s="144">
        <f>BX4-1.5</f>
        <v>28.5</v>
      </c>
      <c r="CB4" t="s">
        <v>157</v>
      </c>
      <c r="CC4">
        <v>3.89</v>
      </c>
      <c r="CD4" t="s">
        <v>190</v>
      </c>
      <c r="CE4" s="133">
        <f>CC4*0.015</f>
        <v>5.8349999999999999E-2</v>
      </c>
      <c r="CF4" s="133">
        <f>CC4*0.015</f>
        <v>5.8349999999999999E-2</v>
      </c>
      <c r="CG4" s="134" t="s">
        <v>157</v>
      </c>
      <c r="CH4" t="s">
        <v>191</v>
      </c>
      <c r="CI4" s="134">
        <v>3.43</v>
      </c>
      <c r="CJ4" s="134" t="s">
        <v>254</v>
      </c>
      <c r="CK4" s="134" t="s">
        <v>157</v>
      </c>
      <c r="CL4" s="134" t="s">
        <v>157</v>
      </c>
      <c r="CM4" s="134" t="s">
        <v>157</v>
      </c>
      <c r="CN4" t="s">
        <v>157</v>
      </c>
      <c r="CO4" t="s">
        <v>157</v>
      </c>
      <c r="CP4" t="s">
        <v>157</v>
      </c>
      <c r="CQ4" t="s">
        <v>157</v>
      </c>
      <c r="CR4" t="s">
        <v>157</v>
      </c>
      <c r="CS4" t="s">
        <v>157</v>
      </c>
      <c r="CT4" t="s">
        <v>157</v>
      </c>
      <c r="CU4">
        <v>35</v>
      </c>
      <c r="CV4" t="s">
        <v>190</v>
      </c>
      <c r="CW4" s="134" t="s">
        <v>157</v>
      </c>
      <c r="CX4" s="134" t="s">
        <v>192</v>
      </c>
      <c r="CY4" s="134" t="s">
        <v>157</v>
      </c>
      <c r="CZ4" s="134" t="s">
        <v>157</v>
      </c>
      <c r="DA4" s="134" t="s">
        <v>157</v>
      </c>
      <c r="DB4" s="134" t="s">
        <v>157</v>
      </c>
      <c r="DC4" s="134" t="s">
        <v>157</v>
      </c>
      <c r="DD4" s="134" t="s">
        <v>157</v>
      </c>
      <c r="DE4" s="134" t="s">
        <v>157</v>
      </c>
      <c r="DF4" s="134" t="s">
        <v>157</v>
      </c>
      <c r="DG4" s="134" t="s">
        <v>157</v>
      </c>
      <c r="DH4" s="134" t="s">
        <v>157</v>
      </c>
      <c r="DI4" s="134" t="s">
        <v>157</v>
      </c>
      <c r="DJ4" s="134" t="s">
        <v>157</v>
      </c>
      <c r="DK4" s="145">
        <v>432.56244218316402</v>
      </c>
      <c r="DL4" s="134" t="s">
        <v>157</v>
      </c>
      <c r="DM4" s="134" t="s">
        <v>157</v>
      </c>
      <c r="DN4" t="s">
        <v>249</v>
      </c>
      <c r="DO4">
        <v>37.82</v>
      </c>
      <c r="DP4" t="s">
        <v>190</v>
      </c>
      <c r="DQ4">
        <v>0.35</v>
      </c>
      <c r="DR4" t="s">
        <v>193</v>
      </c>
      <c r="DS4" t="s">
        <v>213</v>
      </c>
      <c r="DT4" t="s">
        <v>214</v>
      </c>
      <c r="DU4">
        <v>1.0271999999999999</v>
      </c>
      <c r="DV4" t="s">
        <v>190</v>
      </c>
      <c r="DW4">
        <v>5.9999999999999995E-4</v>
      </c>
      <c r="DX4" t="s">
        <v>206</v>
      </c>
      <c r="DY4" t="s">
        <v>157</v>
      </c>
      <c r="DZ4" t="s">
        <v>157</v>
      </c>
      <c r="EA4" s="134" t="s">
        <v>157</v>
      </c>
      <c r="EB4" s="134" t="s">
        <v>232</v>
      </c>
      <c r="EC4" s="134" t="s">
        <v>248</v>
      </c>
      <c r="ED4" s="134" t="s">
        <v>248</v>
      </c>
      <c r="EE4" s="134" t="s">
        <v>157</v>
      </c>
      <c r="EF4" s="134" t="s">
        <v>157</v>
      </c>
      <c r="EG4" s="134" t="s">
        <v>157</v>
      </c>
      <c r="EH4" t="s">
        <v>194</v>
      </c>
      <c r="EI4" t="s">
        <v>195</v>
      </c>
      <c r="EJ4" t="s">
        <v>196</v>
      </c>
      <c r="EK4">
        <v>1293</v>
      </c>
      <c r="EL4" t="s">
        <v>251</v>
      </c>
      <c r="EM4">
        <v>200</v>
      </c>
      <c r="EN4">
        <v>200</v>
      </c>
      <c r="EO4" s="134" t="s">
        <v>157</v>
      </c>
      <c r="EP4" s="134" t="s">
        <v>157</v>
      </c>
      <c r="EQ4" s="134" t="s">
        <v>157</v>
      </c>
      <c r="ER4" s="134" t="s">
        <v>157</v>
      </c>
      <c r="ES4" s="141">
        <v>8.09</v>
      </c>
      <c r="ET4" s="132" t="s">
        <v>157</v>
      </c>
      <c r="EU4" s="141">
        <v>0.02</v>
      </c>
      <c r="EV4" s="141">
        <v>0.02</v>
      </c>
      <c r="EW4" s="139">
        <f>EZ4</f>
        <v>190</v>
      </c>
      <c r="EX4" s="141" t="s">
        <v>197</v>
      </c>
      <c r="EY4" s="138" t="s">
        <v>157</v>
      </c>
      <c r="EZ4" s="141">
        <v>190</v>
      </c>
      <c r="FA4" s="141">
        <v>36</v>
      </c>
      <c r="FB4" s="141">
        <v>36</v>
      </c>
      <c r="FC4" s="138" t="s">
        <v>157</v>
      </c>
      <c r="FD4" s="142" t="s">
        <v>231</v>
      </c>
      <c r="FE4" s="134" t="s">
        <v>157</v>
      </c>
      <c r="FF4" s="134" t="s">
        <v>157</v>
      </c>
      <c r="FG4" s="134" t="s">
        <v>157</v>
      </c>
      <c r="FH4" s="134" t="s">
        <v>157</v>
      </c>
      <c r="FI4" s="134" t="s">
        <v>157</v>
      </c>
      <c r="FJ4" s="134" t="s">
        <v>157</v>
      </c>
      <c r="FK4" s="134" t="s">
        <v>157</v>
      </c>
      <c r="FL4" s="134" t="s">
        <v>157</v>
      </c>
      <c r="FM4" s="134" t="s">
        <v>157</v>
      </c>
      <c r="FN4" s="134" t="s">
        <v>157</v>
      </c>
      <c r="FO4" s="134" t="s">
        <v>157</v>
      </c>
      <c r="FP4" s="134" t="s">
        <v>157</v>
      </c>
      <c r="FQ4" t="s">
        <v>258</v>
      </c>
    </row>
    <row r="5" spans="1:191" ht="17">
      <c r="A5" s="126" t="s">
        <v>152</v>
      </c>
      <c r="B5" t="s">
        <v>161</v>
      </c>
      <c r="C5">
        <v>2012</v>
      </c>
      <c r="D5" t="s">
        <v>160</v>
      </c>
      <c r="E5">
        <f t="shared" ref="E5:E19" si="0">AG5</f>
        <v>12720</v>
      </c>
      <c r="F5" t="str">
        <f t="shared" ref="F5:G19" si="1">AH5</f>
        <v>NA</v>
      </c>
      <c r="G5" t="str">
        <f t="shared" ref="G5:G18" si="2">AI5</f>
        <v>NA</v>
      </c>
      <c r="H5">
        <f>EZ5</f>
        <v>223</v>
      </c>
      <c r="I5">
        <f t="shared" ref="I5:I19" si="3">FA5</f>
        <v>42</v>
      </c>
      <c r="J5">
        <f t="shared" ref="J5:J19" si="4">FB5</f>
        <v>41</v>
      </c>
      <c r="K5" t="s">
        <v>250</v>
      </c>
      <c r="L5" s="130" t="s">
        <v>230</v>
      </c>
      <c r="M5" s="1" t="s">
        <v>165</v>
      </c>
      <c r="N5" t="s">
        <v>160</v>
      </c>
      <c r="O5">
        <v>761</v>
      </c>
      <c r="P5" t="s">
        <v>162</v>
      </c>
      <c r="Q5">
        <v>5</v>
      </c>
      <c r="R5">
        <v>4</v>
      </c>
      <c r="S5">
        <v>123</v>
      </c>
      <c r="T5">
        <v>125</v>
      </c>
      <c r="U5" s="134" t="s">
        <v>157</v>
      </c>
      <c r="V5">
        <v>38.4</v>
      </c>
      <c r="W5" s="134" t="s">
        <v>157</v>
      </c>
      <c r="X5" t="s">
        <v>166</v>
      </c>
      <c r="Y5" s="135">
        <v>-16.739999999999998</v>
      </c>
      <c r="Z5" s="135">
        <v>115.536</v>
      </c>
      <c r="AA5" t="s">
        <v>157</v>
      </c>
      <c r="AB5" t="s">
        <v>157</v>
      </c>
      <c r="AC5" s="131">
        <v>-2179</v>
      </c>
      <c r="AD5" t="s">
        <v>157</v>
      </c>
      <c r="AE5" t="s">
        <v>157</v>
      </c>
      <c r="AF5" s="138" t="s">
        <v>157</v>
      </c>
      <c r="AG5">
        <v>12720</v>
      </c>
      <c r="AH5" s="140" t="s">
        <v>157</v>
      </c>
      <c r="AI5" s="140" t="s">
        <v>157</v>
      </c>
      <c r="AJ5" s="140" t="s">
        <v>157</v>
      </c>
      <c r="AK5" s="140" t="s">
        <v>157</v>
      </c>
      <c r="AL5" s="140" t="s">
        <v>157</v>
      </c>
      <c r="AM5" s="140" t="s">
        <v>157</v>
      </c>
      <c r="AN5" t="s">
        <v>157</v>
      </c>
      <c r="AO5" t="s">
        <v>157</v>
      </c>
      <c r="AP5" t="s">
        <v>157</v>
      </c>
      <c r="AQ5" t="s">
        <v>157</v>
      </c>
      <c r="AR5" t="s">
        <v>157</v>
      </c>
      <c r="AS5" t="s">
        <v>157</v>
      </c>
      <c r="AT5" t="s">
        <v>157</v>
      </c>
      <c r="AU5" t="s">
        <v>169</v>
      </c>
      <c r="AV5" t="s">
        <v>158</v>
      </c>
      <c r="AW5" t="s">
        <v>170</v>
      </c>
      <c r="AX5" t="s">
        <v>171</v>
      </c>
      <c r="AY5" t="s">
        <v>172</v>
      </c>
      <c r="AZ5" t="s">
        <v>173</v>
      </c>
      <c r="BA5" t="s">
        <v>159</v>
      </c>
      <c r="BB5" t="s">
        <v>175</v>
      </c>
      <c r="BC5">
        <v>2</v>
      </c>
      <c r="BD5">
        <v>0.23000000000000043</v>
      </c>
      <c r="BE5">
        <v>16.62</v>
      </c>
      <c r="BF5" t="s">
        <v>190</v>
      </c>
      <c r="BG5">
        <v>0.23</v>
      </c>
      <c r="BH5">
        <v>0.88</v>
      </c>
      <c r="BI5" t="s">
        <v>190</v>
      </c>
      <c r="BJ5" s="140" t="s">
        <v>157</v>
      </c>
      <c r="BK5">
        <v>1.85</v>
      </c>
      <c r="BL5" t="s">
        <v>190</v>
      </c>
      <c r="BM5" s="140" t="s">
        <v>157</v>
      </c>
      <c r="BN5" t="s">
        <v>208</v>
      </c>
      <c r="BO5" s="134" t="s">
        <v>207</v>
      </c>
      <c r="BP5" s="143">
        <f t="shared" ref="BP5:BP19" si="5">(BE5-1.85)/0.88</f>
        <v>16.78409090909091</v>
      </c>
      <c r="BQ5" s="134" t="s">
        <v>157</v>
      </c>
      <c r="BR5" s="134" t="s">
        <v>157</v>
      </c>
      <c r="BS5" s="134" t="s">
        <v>157</v>
      </c>
      <c r="BT5" s="134" t="s">
        <v>157</v>
      </c>
      <c r="BU5" s="134" t="s">
        <v>209</v>
      </c>
      <c r="BV5" s="134" t="s">
        <v>210</v>
      </c>
      <c r="BW5" s="134" t="s">
        <v>210</v>
      </c>
      <c r="BX5" s="141">
        <v>30.4</v>
      </c>
      <c r="BY5" t="s">
        <v>190</v>
      </c>
      <c r="BZ5" s="126">
        <f t="shared" ref="BZ5:BZ19" si="6">BX5+1.5</f>
        <v>31.9</v>
      </c>
      <c r="CA5" s="126">
        <f t="shared" ref="CA5:CA19" si="7">BX5-1.5</f>
        <v>28.9</v>
      </c>
      <c r="CB5" t="s">
        <v>157</v>
      </c>
      <c r="CC5">
        <v>4</v>
      </c>
      <c r="CD5" t="s">
        <v>190</v>
      </c>
      <c r="CE5" s="133">
        <f t="shared" ref="CE5:CE19" si="8">CC5*0.015</f>
        <v>0.06</v>
      </c>
      <c r="CF5" s="133">
        <f t="shared" ref="CF5:CF19" si="9">CC5*0.015</f>
        <v>0.06</v>
      </c>
      <c r="CG5" s="134" t="s">
        <v>157</v>
      </c>
      <c r="CH5" t="s">
        <v>191</v>
      </c>
      <c r="CI5" s="134">
        <v>3.43</v>
      </c>
      <c r="CJ5" s="134" t="s">
        <v>254</v>
      </c>
      <c r="CK5" s="134" t="s">
        <v>157</v>
      </c>
      <c r="CL5" s="134" t="s">
        <v>157</v>
      </c>
      <c r="CM5" s="134" t="s">
        <v>157</v>
      </c>
      <c r="CN5" t="s">
        <v>157</v>
      </c>
      <c r="CO5" t="s">
        <v>157</v>
      </c>
      <c r="CP5" t="s">
        <v>157</v>
      </c>
      <c r="CQ5" t="s">
        <v>157</v>
      </c>
      <c r="CR5" t="s">
        <v>157</v>
      </c>
      <c r="CS5" t="s">
        <v>157</v>
      </c>
      <c r="CT5" t="s">
        <v>157</v>
      </c>
      <c r="CU5">
        <v>35</v>
      </c>
      <c r="CV5" t="s">
        <v>190</v>
      </c>
      <c r="CW5" s="134" t="s">
        <v>157</v>
      </c>
      <c r="CX5" s="134" t="s">
        <v>192</v>
      </c>
      <c r="CY5" s="134" t="s">
        <v>157</v>
      </c>
      <c r="CZ5" s="134" t="s">
        <v>157</v>
      </c>
      <c r="DA5" s="134" t="s">
        <v>157</v>
      </c>
      <c r="DB5" s="134" t="s">
        <v>157</v>
      </c>
      <c r="DC5" s="134" t="s">
        <v>157</v>
      </c>
      <c r="DD5" s="134" t="s">
        <v>157</v>
      </c>
      <c r="DE5" s="134" t="s">
        <v>157</v>
      </c>
      <c r="DF5" s="134" t="s">
        <v>157</v>
      </c>
      <c r="DG5" s="134" t="s">
        <v>157</v>
      </c>
      <c r="DH5" s="134" t="s">
        <v>157</v>
      </c>
      <c r="DI5" s="134" t="s">
        <v>157</v>
      </c>
      <c r="DJ5" s="134" t="s">
        <v>157</v>
      </c>
      <c r="DK5" s="145">
        <v>432.56244218316402</v>
      </c>
      <c r="DL5" s="134" t="s">
        <v>157</v>
      </c>
      <c r="DM5" s="134" t="s">
        <v>157</v>
      </c>
      <c r="DN5" t="s">
        <v>249</v>
      </c>
      <c r="DO5">
        <v>37.82</v>
      </c>
      <c r="DP5" t="s">
        <v>190</v>
      </c>
      <c r="DQ5">
        <v>0.35</v>
      </c>
      <c r="DR5" t="s">
        <v>193</v>
      </c>
      <c r="DS5" t="s">
        <v>215</v>
      </c>
      <c r="DT5" t="s">
        <v>214</v>
      </c>
      <c r="DU5">
        <v>1.0271999999999999</v>
      </c>
      <c r="DV5" t="s">
        <v>190</v>
      </c>
      <c r="DW5">
        <v>5.9999999999999995E-4</v>
      </c>
      <c r="DX5" t="s">
        <v>206</v>
      </c>
      <c r="DY5" t="s">
        <v>157</v>
      </c>
      <c r="DZ5" t="s">
        <v>157</v>
      </c>
      <c r="EA5" s="134" t="s">
        <v>157</v>
      </c>
      <c r="EB5" s="134" t="s">
        <v>233</v>
      </c>
      <c r="EC5" s="134" t="s">
        <v>248</v>
      </c>
      <c r="ED5" s="134" t="s">
        <v>248</v>
      </c>
      <c r="EE5" s="134" t="s">
        <v>157</v>
      </c>
      <c r="EF5" s="134" t="s">
        <v>157</v>
      </c>
      <c r="EG5" s="134" t="s">
        <v>157</v>
      </c>
      <c r="EH5" t="s">
        <v>194</v>
      </c>
      <c r="EI5" t="s">
        <v>195</v>
      </c>
      <c r="EJ5" t="s">
        <v>196</v>
      </c>
      <c r="EK5">
        <v>1293</v>
      </c>
      <c r="EL5" t="s">
        <v>251</v>
      </c>
      <c r="EM5">
        <v>200</v>
      </c>
      <c r="EN5">
        <v>200</v>
      </c>
      <c r="EO5" s="134" t="s">
        <v>157</v>
      </c>
      <c r="EP5" s="134" t="s">
        <v>157</v>
      </c>
      <c r="EQ5" s="134" t="s">
        <v>157</v>
      </c>
      <c r="ER5" s="134" t="s">
        <v>157</v>
      </c>
      <c r="ES5" s="141">
        <v>8.0299999999999994</v>
      </c>
      <c r="ET5" s="132" t="s">
        <v>157</v>
      </c>
      <c r="EU5" s="141">
        <v>0.02</v>
      </c>
      <c r="EV5" s="141">
        <v>0.02</v>
      </c>
      <c r="EW5" s="139">
        <f t="shared" ref="EW5:EW19" si="10">EZ5</f>
        <v>223</v>
      </c>
      <c r="EX5" s="141" t="s">
        <v>197</v>
      </c>
      <c r="EY5" s="138" t="s">
        <v>157</v>
      </c>
      <c r="EZ5" s="141">
        <v>223</v>
      </c>
      <c r="FA5" s="141">
        <v>42</v>
      </c>
      <c r="FB5" s="141">
        <v>41</v>
      </c>
      <c r="FC5" s="138" t="s">
        <v>157</v>
      </c>
      <c r="FD5" s="142" t="s">
        <v>231</v>
      </c>
      <c r="FE5" s="134" t="s">
        <v>157</v>
      </c>
      <c r="FF5" s="134" t="s">
        <v>157</v>
      </c>
      <c r="FG5" s="134" t="s">
        <v>157</v>
      </c>
      <c r="FH5" s="134" t="s">
        <v>157</v>
      </c>
      <c r="FI5" s="134" t="s">
        <v>157</v>
      </c>
      <c r="FJ5" s="134" t="s">
        <v>157</v>
      </c>
      <c r="FK5" s="134" t="s">
        <v>157</v>
      </c>
      <c r="FL5" s="134" t="s">
        <v>157</v>
      </c>
      <c r="FM5" s="134" t="s">
        <v>157</v>
      </c>
      <c r="FN5" s="134" t="s">
        <v>157</v>
      </c>
      <c r="FO5" s="134" t="s">
        <v>157</v>
      </c>
      <c r="FP5" s="134" t="s">
        <v>157</v>
      </c>
      <c r="FQ5" t="s">
        <v>258</v>
      </c>
    </row>
    <row r="6" spans="1:191" ht="17">
      <c r="A6" s="126" t="s">
        <v>152</v>
      </c>
      <c r="B6" t="s">
        <v>161</v>
      </c>
      <c r="C6">
        <v>2012</v>
      </c>
      <c r="D6" t="s">
        <v>164</v>
      </c>
      <c r="E6">
        <f t="shared" si="0"/>
        <v>13250</v>
      </c>
      <c r="F6" t="str">
        <f t="shared" si="1"/>
        <v>NA</v>
      </c>
      <c r="G6" t="str">
        <f t="shared" si="2"/>
        <v>NA</v>
      </c>
      <c r="H6">
        <f t="shared" ref="H6:H19" si="11">EZ6</f>
        <v>244</v>
      </c>
      <c r="I6">
        <f t="shared" si="3"/>
        <v>47</v>
      </c>
      <c r="J6">
        <f t="shared" si="4"/>
        <v>46</v>
      </c>
      <c r="K6" t="s">
        <v>250</v>
      </c>
      <c r="L6" s="130" t="s">
        <v>230</v>
      </c>
      <c r="M6" s="1" t="s">
        <v>165</v>
      </c>
      <c r="N6" t="s">
        <v>164</v>
      </c>
      <c r="O6">
        <v>761</v>
      </c>
      <c r="P6" t="s">
        <v>162</v>
      </c>
      <c r="Q6">
        <v>5</v>
      </c>
      <c r="R6">
        <v>5</v>
      </c>
      <c r="S6">
        <v>103</v>
      </c>
      <c r="T6">
        <v>105</v>
      </c>
      <c r="U6" s="134" t="s">
        <v>157</v>
      </c>
      <c r="V6">
        <v>39.700000000000003</v>
      </c>
      <c r="W6" s="134" t="s">
        <v>157</v>
      </c>
      <c r="X6" t="s">
        <v>166</v>
      </c>
      <c r="Y6" s="135">
        <v>-16.739999999999998</v>
      </c>
      <c r="Z6" s="135">
        <v>115.536</v>
      </c>
      <c r="AA6" t="s">
        <v>157</v>
      </c>
      <c r="AB6" t="s">
        <v>157</v>
      </c>
      <c r="AC6" s="131">
        <v>-2179</v>
      </c>
      <c r="AD6" t="s">
        <v>157</v>
      </c>
      <c r="AE6" t="s">
        <v>157</v>
      </c>
      <c r="AF6" s="138" t="s">
        <v>157</v>
      </c>
      <c r="AG6">
        <v>13250</v>
      </c>
      <c r="AH6" s="140" t="s">
        <v>157</v>
      </c>
      <c r="AI6" s="140" t="s">
        <v>157</v>
      </c>
      <c r="AJ6" s="140" t="s">
        <v>157</v>
      </c>
      <c r="AK6" s="140" t="s">
        <v>157</v>
      </c>
      <c r="AL6" s="140" t="s">
        <v>157</v>
      </c>
      <c r="AM6" s="140" t="s">
        <v>157</v>
      </c>
      <c r="AN6" t="s">
        <v>157</v>
      </c>
      <c r="AO6" t="s">
        <v>157</v>
      </c>
      <c r="AP6" t="s">
        <v>157</v>
      </c>
      <c r="AQ6" t="s">
        <v>157</v>
      </c>
      <c r="AR6" t="s">
        <v>157</v>
      </c>
      <c r="AS6" t="s">
        <v>157</v>
      </c>
      <c r="AT6" t="s">
        <v>157</v>
      </c>
      <c r="AU6" t="s">
        <v>169</v>
      </c>
      <c r="AV6" t="s">
        <v>158</v>
      </c>
      <c r="AW6" t="s">
        <v>170</v>
      </c>
      <c r="AX6" t="s">
        <v>171</v>
      </c>
      <c r="AY6" t="s">
        <v>172</v>
      </c>
      <c r="AZ6" t="s">
        <v>173</v>
      </c>
      <c r="BA6" t="s">
        <v>159</v>
      </c>
      <c r="BB6" t="s">
        <v>176</v>
      </c>
      <c r="BC6">
        <v>2</v>
      </c>
      <c r="BD6">
        <v>9.9999999999980105E-3</v>
      </c>
      <c r="BE6">
        <v>16.329999999999998</v>
      </c>
      <c r="BF6" t="s">
        <v>190</v>
      </c>
      <c r="BG6">
        <v>0.26</v>
      </c>
      <c r="BH6">
        <v>0.88</v>
      </c>
      <c r="BI6" t="s">
        <v>190</v>
      </c>
      <c r="BJ6" s="140" t="s">
        <v>157</v>
      </c>
      <c r="BK6">
        <v>1.85</v>
      </c>
      <c r="BL6" t="s">
        <v>190</v>
      </c>
      <c r="BM6" s="140" t="s">
        <v>157</v>
      </c>
      <c r="BN6" t="s">
        <v>208</v>
      </c>
      <c r="BO6" s="134" t="s">
        <v>207</v>
      </c>
      <c r="BP6" s="143">
        <f t="shared" si="5"/>
        <v>16.454545454545453</v>
      </c>
      <c r="BQ6" s="134" t="s">
        <v>157</v>
      </c>
      <c r="BR6" s="134" t="s">
        <v>157</v>
      </c>
      <c r="BS6" s="134" t="s">
        <v>157</v>
      </c>
      <c r="BT6" s="134" t="s">
        <v>157</v>
      </c>
      <c r="BU6" s="134" t="s">
        <v>209</v>
      </c>
      <c r="BV6" s="134" t="s">
        <v>210</v>
      </c>
      <c r="BW6" s="134" t="s">
        <v>210</v>
      </c>
      <c r="BX6" s="141">
        <v>30.5</v>
      </c>
      <c r="BY6" t="s">
        <v>190</v>
      </c>
      <c r="BZ6" s="126">
        <f t="shared" si="6"/>
        <v>32</v>
      </c>
      <c r="CA6" s="126">
        <f t="shared" si="7"/>
        <v>29</v>
      </c>
      <c r="CB6" t="s">
        <v>157</v>
      </c>
      <c r="CC6">
        <v>4.0599999999999996</v>
      </c>
      <c r="CD6" t="s">
        <v>190</v>
      </c>
      <c r="CE6" s="133">
        <f t="shared" si="8"/>
        <v>6.0899999999999989E-2</v>
      </c>
      <c r="CF6" s="133">
        <f t="shared" si="9"/>
        <v>6.0899999999999989E-2</v>
      </c>
      <c r="CG6" s="134" t="s">
        <v>157</v>
      </c>
      <c r="CH6" t="s">
        <v>191</v>
      </c>
      <c r="CI6" s="134">
        <v>3.43</v>
      </c>
      <c r="CJ6" s="134" t="s">
        <v>254</v>
      </c>
      <c r="CK6" s="134" t="s">
        <v>157</v>
      </c>
      <c r="CL6" s="134" t="s">
        <v>157</v>
      </c>
      <c r="CM6" s="134" t="s">
        <v>157</v>
      </c>
      <c r="CN6" t="s">
        <v>157</v>
      </c>
      <c r="CO6" t="s">
        <v>157</v>
      </c>
      <c r="CP6" t="s">
        <v>157</v>
      </c>
      <c r="CQ6" t="s">
        <v>157</v>
      </c>
      <c r="CR6" t="s">
        <v>157</v>
      </c>
      <c r="CS6" t="s">
        <v>157</v>
      </c>
      <c r="CT6" t="s">
        <v>157</v>
      </c>
      <c r="CU6">
        <v>35</v>
      </c>
      <c r="CV6" t="s">
        <v>190</v>
      </c>
      <c r="CW6" s="134" t="s">
        <v>157</v>
      </c>
      <c r="CX6" s="134" t="s">
        <v>192</v>
      </c>
      <c r="CY6" s="134" t="s">
        <v>157</v>
      </c>
      <c r="CZ6" s="134" t="s">
        <v>157</v>
      </c>
      <c r="DA6" s="134" t="s">
        <v>157</v>
      </c>
      <c r="DB6" s="134" t="s">
        <v>157</v>
      </c>
      <c r="DC6" s="134" t="s">
        <v>157</v>
      </c>
      <c r="DD6" s="134" t="s">
        <v>157</v>
      </c>
      <c r="DE6" s="134" t="s">
        <v>157</v>
      </c>
      <c r="DF6" s="134" t="s">
        <v>157</v>
      </c>
      <c r="DG6" s="134" t="s">
        <v>157</v>
      </c>
      <c r="DH6" s="134" t="s">
        <v>157</v>
      </c>
      <c r="DI6" s="134" t="s">
        <v>157</v>
      </c>
      <c r="DJ6" s="134" t="s">
        <v>157</v>
      </c>
      <c r="DK6" s="145">
        <v>432.56244218316402</v>
      </c>
      <c r="DL6" s="134" t="s">
        <v>157</v>
      </c>
      <c r="DM6" s="134" t="s">
        <v>157</v>
      </c>
      <c r="DN6" t="s">
        <v>249</v>
      </c>
      <c r="DO6">
        <v>37.82</v>
      </c>
      <c r="DP6" t="s">
        <v>190</v>
      </c>
      <c r="DQ6">
        <v>0.35</v>
      </c>
      <c r="DR6" t="s">
        <v>193</v>
      </c>
      <c r="DS6" t="s">
        <v>216</v>
      </c>
      <c r="DT6" t="s">
        <v>214</v>
      </c>
      <c r="DU6">
        <v>1.0271999999999999</v>
      </c>
      <c r="DV6" t="s">
        <v>190</v>
      </c>
      <c r="DW6">
        <v>5.9999999999999995E-4</v>
      </c>
      <c r="DX6" t="s">
        <v>206</v>
      </c>
      <c r="DY6" t="s">
        <v>157</v>
      </c>
      <c r="DZ6" t="s">
        <v>157</v>
      </c>
      <c r="EA6" s="134" t="s">
        <v>157</v>
      </c>
      <c r="EB6" s="134" t="s">
        <v>234</v>
      </c>
      <c r="EC6" s="134" t="s">
        <v>248</v>
      </c>
      <c r="ED6" s="134" t="s">
        <v>248</v>
      </c>
      <c r="EE6" s="134" t="s">
        <v>157</v>
      </c>
      <c r="EF6" s="134" t="s">
        <v>157</v>
      </c>
      <c r="EG6" s="134" t="s">
        <v>157</v>
      </c>
      <c r="EH6" t="s">
        <v>194</v>
      </c>
      <c r="EI6" t="s">
        <v>195</v>
      </c>
      <c r="EJ6" t="s">
        <v>196</v>
      </c>
      <c r="EK6">
        <v>1293</v>
      </c>
      <c r="EL6" t="s">
        <v>251</v>
      </c>
      <c r="EM6">
        <v>200</v>
      </c>
      <c r="EN6">
        <v>200</v>
      </c>
      <c r="EO6" s="134" t="s">
        <v>157</v>
      </c>
      <c r="EP6" s="134" t="s">
        <v>157</v>
      </c>
      <c r="EQ6" s="134" t="s">
        <v>157</v>
      </c>
      <c r="ER6" s="134" t="s">
        <v>157</v>
      </c>
      <c r="ES6" s="141">
        <v>8</v>
      </c>
      <c r="ET6" s="132" t="s">
        <v>157</v>
      </c>
      <c r="EU6" s="141">
        <v>0.03</v>
      </c>
      <c r="EV6" s="141">
        <v>0.03</v>
      </c>
      <c r="EW6" s="139">
        <f t="shared" si="10"/>
        <v>244</v>
      </c>
      <c r="EX6" s="141" t="s">
        <v>197</v>
      </c>
      <c r="EY6" s="138" t="s">
        <v>157</v>
      </c>
      <c r="EZ6" s="141">
        <v>244</v>
      </c>
      <c r="FA6" s="141">
        <v>47</v>
      </c>
      <c r="FB6" s="141">
        <v>46</v>
      </c>
      <c r="FC6" s="138" t="s">
        <v>157</v>
      </c>
      <c r="FD6" s="142" t="s">
        <v>231</v>
      </c>
      <c r="FE6" s="134" t="s">
        <v>157</v>
      </c>
      <c r="FF6" s="134" t="s">
        <v>157</v>
      </c>
      <c r="FG6" s="134" t="s">
        <v>157</v>
      </c>
      <c r="FH6" s="134" t="s">
        <v>157</v>
      </c>
      <c r="FI6" s="134" t="s">
        <v>157</v>
      </c>
      <c r="FJ6" s="134" t="s">
        <v>157</v>
      </c>
      <c r="FK6" s="134" t="s">
        <v>157</v>
      </c>
      <c r="FL6" s="134" t="s">
        <v>157</v>
      </c>
      <c r="FM6" s="134" t="s">
        <v>157</v>
      </c>
      <c r="FN6" s="134" t="s">
        <v>157</v>
      </c>
      <c r="FO6" s="134" t="s">
        <v>157</v>
      </c>
      <c r="FP6" s="134" t="s">
        <v>157</v>
      </c>
      <c r="FQ6" t="s">
        <v>258</v>
      </c>
    </row>
    <row r="7" spans="1:191" ht="17">
      <c r="A7" s="126" t="s">
        <v>152</v>
      </c>
      <c r="B7" t="s">
        <v>161</v>
      </c>
      <c r="C7">
        <v>2012</v>
      </c>
      <c r="D7" t="s">
        <v>164</v>
      </c>
      <c r="E7">
        <f t="shared" si="0"/>
        <v>13480</v>
      </c>
      <c r="F7" t="str">
        <f t="shared" si="1"/>
        <v>NA</v>
      </c>
      <c r="G7" t="str">
        <f t="shared" si="2"/>
        <v>NA</v>
      </c>
      <c r="H7">
        <f t="shared" si="11"/>
        <v>243</v>
      </c>
      <c r="I7">
        <f t="shared" si="3"/>
        <v>47</v>
      </c>
      <c r="J7">
        <f t="shared" si="4"/>
        <v>46</v>
      </c>
      <c r="K7" t="s">
        <v>250</v>
      </c>
      <c r="L7" s="130" t="s">
        <v>230</v>
      </c>
      <c r="M7" s="1" t="s">
        <v>165</v>
      </c>
      <c r="N7" t="s">
        <v>164</v>
      </c>
      <c r="O7">
        <v>761</v>
      </c>
      <c r="P7" t="s">
        <v>162</v>
      </c>
      <c r="Q7">
        <v>5</v>
      </c>
      <c r="R7">
        <v>6</v>
      </c>
      <c r="S7">
        <v>8</v>
      </c>
      <c r="T7">
        <v>10</v>
      </c>
      <c r="U7" s="134" t="s">
        <v>157</v>
      </c>
      <c r="V7">
        <v>40.299999999999997</v>
      </c>
      <c r="W7" s="134" t="s">
        <v>157</v>
      </c>
      <c r="X7" t="s">
        <v>166</v>
      </c>
      <c r="Y7" s="135">
        <v>-16.739999999999998</v>
      </c>
      <c r="Z7" s="135">
        <v>115.536</v>
      </c>
      <c r="AA7" t="s">
        <v>157</v>
      </c>
      <c r="AB7" t="s">
        <v>157</v>
      </c>
      <c r="AC7" s="131">
        <v>-2179</v>
      </c>
      <c r="AD7" t="s">
        <v>157</v>
      </c>
      <c r="AE7" t="s">
        <v>157</v>
      </c>
      <c r="AF7" s="138" t="s">
        <v>157</v>
      </c>
      <c r="AG7">
        <v>13480</v>
      </c>
      <c r="AH7" s="140" t="s">
        <v>157</v>
      </c>
      <c r="AI7" s="140" t="s">
        <v>157</v>
      </c>
      <c r="AJ7" s="140" t="s">
        <v>157</v>
      </c>
      <c r="AK7" s="140" t="s">
        <v>157</v>
      </c>
      <c r="AL7" s="140" t="s">
        <v>157</v>
      </c>
      <c r="AM7" s="140" t="s">
        <v>157</v>
      </c>
      <c r="AN7" t="s">
        <v>157</v>
      </c>
      <c r="AO7" t="s">
        <v>157</v>
      </c>
      <c r="AP7" t="s">
        <v>157</v>
      </c>
      <c r="AQ7" t="s">
        <v>157</v>
      </c>
      <c r="AR7" t="s">
        <v>157</v>
      </c>
      <c r="AS7" t="s">
        <v>157</v>
      </c>
      <c r="AT7" t="s">
        <v>157</v>
      </c>
      <c r="AU7" t="s">
        <v>169</v>
      </c>
      <c r="AV7" t="s">
        <v>158</v>
      </c>
      <c r="AW7" t="s">
        <v>170</v>
      </c>
      <c r="AX7" t="s">
        <v>171</v>
      </c>
      <c r="AY7" t="s">
        <v>172</v>
      </c>
      <c r="AZ7" t="s">
        <v>173</v>
      </c>
      <c r="BA7" t="s">
        <v>159</v>
      </c>
      <c r="BB7" t="s">
        <v>177</v>
      </c>
      <c r="BC7">
        <v>2</v>
      </c>
      <c r="BD7">
        <v>0.12000000000000098</v>
      </c>
      <c r="BE7">
        <v>16.36</v>
      </c>
      <c r="BF7" t="s">
        <v>190</v>
      </c>
      <c r="BG7">
        <v>0.27</v>
      </c>
      <c r="BH7">
        <v>0.88</v>
      </c>
      <c r="BI7" t="s">
        <v>190</v>
      </c>
      <c r="BJ7" s="140" t="s">
        <v>157</v>
      </c>
      <c r="BK7">
        <v>1.85</v>
      </c>
      <c r="BL7" t="s">
        <v>190</v>
      </c>
      <c r="BM7" s="140" t="s">
        <v>157</v>
      </c>
      <c r="BN7" t="s">
        <v>208</v>
      </c>
      <c r="BO7" s="134" t="s">
        <v>207</v>
      </c>
      <c r="BP7" s="143">
        <f t="shared" si="5"/>
        <v>16.488636363636363</v>
      </c>
      <c r="BQ7" s="134" t="s">
        <v>157</v>
      </c>
      <c r="BR7" s="134" t="s">
        <v>157</v>
      </c>
      <c r="BS7" s="134" t="s">
        <v>157</v>
      </c>
      <c r="BT7" s="134" t="s">
        <v>157</v>
      </c>
      <c r="BU7" s="134" t="s">
        <v>209</v>
      </c>
      <c r="BV7" s="134" t="s">
        <v>210</v>
      </c>
      <c r="BW7" s="134" t="s">
        <v>210</v>
      </c>
      <c r="BX7" s="141">
        <v>30.7</v>
      </c>
      <c r="BY7" t="s">
        <v>190</v>
      </c>
      <c r="BZ7" s="126">
        <f t="shared" si="6"/>
        <v>32.200000000000003</v>
      </c>
      <c r="CA7" s="126">
        <f t="shared" si="7"/>
        <v>29.2</v>
      </c>
      <c r="CB7" t="s">
        <v>157</v>
      </c>
      <c r="CC7">
        <v>4.12</v>
      </c>
      <c r="CD7" t="s">
        <v>190</v>
      </c>
      <c r="CE7" s="133">
        <f t="shared" si="8"/>
        <v>6.1800000000000001E-2</v>
      </c>
      <c r="CF7" s="133">
        <f t="shared" si="9"/>
        <v>6.1800000000000001E-2</v>
      </c>
      <c r="CG7" s="134" t="s">
        <v>157</v>
      </c>
      <c r="CH7" t="s">
        <v>191</v>
      </c>
      <c r="CI7" s="134">
        <v>3.43</v>
      </c>
      <c r="CJ7" s="134" t="s">
        <v>254</v>
      </c>
      <c r="CK7" s="134" t="s">
        <v>157</v>
      </c>
      <c r="CL7" s="134" t="s">
        <v>157</v>
      </c>
      <c r="CM7" s="134" t="s">
        <v>157</v>
      </c>
      <c r="CN7" t="s">
        <v>157</v>
      </c>
      <c r="CO7" t="s">
        <v>157</v>
      </c>
      <c r="CP7" t="s">
        <v>157</v>
      </c>
      <c r="CQ7" t="s">
        <v>157</v>
      </c>
      <c r="CR7" t="s">
        <v>157</v>
      </c>
      <c r="CS7" t="s">
        <v>157</v>
      </c>
      <c r="CT7" t="s">
        <v>157</v>
      </c>
      <c r="CU7">
        <v>35</v>
      </c>
      <c r="CV7" t="s">
        <v>190</v>
      </c>
      <c r="CW7" s="134" t="s">
        <v>157</v>
      </c>
      <c r="CX7" s="134" t="s">
        <v>192</v>
      </c>
      <c r="CY7" s="134" t="s">
        <v>157</v>
      </c>
      <c r="CZ7" s="134" t="s">
        <v>157</v>
      </c>
      <c r="DA7" s="134" t="s">
        <v>157</v>
      </c>
      <c r="DB7" s="134" t="s">
        <v>157</v>
      </c>
      <c r="DC7" s="134" t="s">
        <v>157</v>
      </c>
      <c r="DD7" s="134" t="s">
        <v>157</v>
      </c>
      <c r="DE7" s="134" t="s">
        <v>157</v>
      </c>
      <c r="DF7" s="134" t="s">
        <v>157</v>
      </c>
      <c r="DG7" s="134" t="s">
        <v>157</v>
      </c>
      <c r="DH7" s="134" t="s">
        <v>157</v>
      </c>
      <c r="DI7" s="134" t="s">
        <v>157</v>
      </c>
      <c r="DJ7" s="134" t="s">
        <v>157</v>
      </c>
      <c r="DK7" s="145">
        <v>432.56244218316402</v>
      </c>
      <c r="DL7" s="134" t="s">
        <v>157</v>
      </c>
      <c r="DM7" s="134" t="s">
        <v>157</v>
      </c>
      <c r="DN7" t="s">
        <v>249</v>
      </c>
      <c r="DO7">
        <v>37.82</v>
      </c>
      <c r="DP7" t="s">
        <v>190</v>
      </c>
      <c r="DQ7">
        <v>0.35</v>
      </c>
      <c r="DR7" t="s">
        <v>193</v>
      </c>
      <c r="DS7" t="s">
        <v>217</v>
      </c>
      <c r="DT7" t="s">
        <v>214</v>
      </c>
      <c r="DU7">
        <v>1.0271999999999999</v>
      </c>
      <c r="DV7" t="s">
        <v>190</v>
      </c>
      <c r="DW7">
        <v>5.9999999999999995E-4</v>
      </c>
      <c r="DX7" t="s">
        <v>206</v>
      </c>
      <c r="DY7" t="s">
        <v>157</v>
      </c>
      <c r="DZ7" t="s">
        <v>157</v>
      </c>
      <c r="EA7" s="134" t="s">
        <v>157</v>
      </c>
      <c r="EB7" s="134" t="s">
        <v>235</v>
      </c>
      <c r="EC7" s="134" t="s">
        <v>248</v>
      </c>
      <c r="ED7" s="134" t="s">
        <v>248</v>
      </c>
      <c r="EE7" s="134" t="s">
        <v>157</v>
      </c>
      <c r="EF7" s="134" t="s">
        <v>157</v>
      </c>
      <c r="EG7" s="134" t="s">
        <v>157</v>
      </c>
      <c r="EH7" t="s">
        <v>194</v>
      </c>
      <c r="EI7" t="s">
        <v>195</v>
      </c>
      <c r="EJ7" t="s">
        <v>196</v>
      </c>
      <c r="EK7">
        <v>1293</v>
      </c>
      <c r="EL7" t="s">
        <v>251</v>
      </c>
      <c r="EM7">
        <v>200</v>
      </c>
      <c r="EN7">
        <v>200</v>
      </c>
      <c r="EO7" s="134" t="s">
        <v>157</v>
      </c>
      <c r="EP7" s="134" t="s">
        <v>157</v>
      </c>
      <c r="EQ7" s="134" t="s">
        <v>157</v>
      </c>
      <c r="ER7" s="134" t="s">
        <v>157</v>
      </c>
      <c r="ES7" s="141">
        <v>8</v>
      </c>
      <c r="ET7" s="132" t="s">
        <v>157</v>
      </c>
      <c r="EU7" s="141">
        <v>0.03</v>
      </c>
      <c r="EV7" s="141">
        <v>0.03</v>
      </c>
      <c r="EW7" s="139">
        <f t="shared" si="10"/>
        <v>243</v>
      </c>
      <c r="EX7" s="141" t="s">
        <v>197</v>
      </c>
      <c r="EY7" s="138" t="s">
        <v>157</v>
      </c>
      <c r="EZ7" s="141">
        <v>243</v>
      </c>
      <c r="FA7" s="141">
        <v>47</v>
      </c>
      <c r="FB7" s="141">
        <v>46</v>
      </c>
      <c r="FC7" s="138" t="s">
        <v>157</v>
      </c>
      <c r="FD7" s="142" t="s">
        <v>231</v>
      </c>
      <c r="FE7" s="134" t="s">
        <v>157</v>
      </c>
      <c r="FF7" s="134" t="s">
        <v>157</v>
      </c>
      <c r="FG7" s="134" t="s">
        <v>157</v>
      </c>
      <c r="FH7" s="134" t="s">
        <v>157</v>
      </c>
      <c r="FI7" s="134" t="s">
        <v>157</v>
      </c>
      <c r="FJ7" s="134" t="s">
        <v>157</v>
      </c>
      <c r="FK7" s="134" t="s">
        <v>157</v>
      </c>
      <c r="FL7" s="134" t="s">
        <v>157</v>
      </c>
      <c r="FM7" s="134" t="s">
        <v>157</v>
      </c>
      <c r="FN7" s="134" t="s">
        <v>157</v>
      </c>
      <c r="FO7" s="134" t="s">
        <v>157</v>
      </c>
      <c r="FP7" s="134" t="s">
        <v>157</v>
      </c>
      <c r="FQ7" t="s">
        <v>258</v>
      </c>
    </row>
    <row r="8" spans="1:191" ht="17">
      <c r="A8" s="126" t="s">
        <v>152</v>
      </c>
      <c r="B8" t="s">
        <v>161</v>
      </c>
      <c r="C8">
        <v>2012</v>
      </c>
      <c r="D8" t="s">
        <v>164</v>
      </c>
      <c r="E8">
        <f t="shared" si="0"/>
        <v>13720</v>
      </c>
      <c r="F8" t="str">
        <f t="shared" si="1"/>
        <v>NA</v>
      </c>
      <c r="G8" t="str">
        <f t="shared" si="2"/>
        <v>NA</v>
      </c>
      <c r="H8">
        <f t="shared" si="11"/>
        <v>240</v>
      </c>
      <c r="I8">
        <f t="shared" si="3"/>
        <v>46</v>
      </c>
      <c r="J8">
        <f t="shared" si="4"/>
        <v>45</v>
      </c>
      <c r="K8" t="s">
        <v>250</v>
      </c>
      <c r="L8" s="130" t="s">
        <v>230</v>
      </c>
      <c r="M8" s="1" t="s">
        <v>165</v>
      </c>
      <c r="N8" t="s">
        <v>164</v>
      </c>
      <c r="O8">
        <v>761</v>
      </c>
      <c r="P8" t="s">
        <v>162</v>
      </c>
      <c r="Q8">
        <v>5</v>
      </c>
      <c r="R8">
        <v>6</v>
      </c>
      <c r="S8">
        <v>68</v>
      </c>
      <c r="T8">
        <v>70</v>
      </c>
      <c r="U8" s="134" t="s">
        <v>157</v>
      </c>
      <c r="V8">
        <v>40.9</v>
      </c>
      <c r="W8" s="134" t="s">
        <v>157</v>
      </c>
      <c r="X8" t="s">
        <v>166</v>
      </c>
      <c r="Y8" s="135">
        <v>-16.739999999999998</v>
      </c>
      <c r="Z8" s="135">
        <v>115.536</v>
      </c>
      <c r="AA8" t="s">
        <v>157</v>
      </c>
      <c r="AB8" t="s">
        <v>157</v>
      </c>
      <c r="AC8" s="131">
        <v>-2179</v>
      </c>
      <c r="AD8" t="s">
        <v>157</v>
      </c>
      <c r="AE8" t="s">
        <v>157</v>
      </c>
      <c r="AF8" s="138" t="s">
        <v>157</v>
      </c>
      <c r="AG8">
        <v>13720</v>
      </c>
      <c r="AH8" s="140" t="s">
        <v>157</v>
      </c>
      <c r="AI8" s="140" t="s">
        <v>157</v>
      </c>
      <c r="AJ8" s="140" t="s">
        <v>157</v>
      </c>
      <c r="AK8" s="140" t="s">
        <v>157</v>
      </c>
      <c r="AL8" s="140" t="s">
        <v>157</v>
      </c>
      <c r="AM8" s="140" t="s">
        <v>157</v>
      </c>
      <c r="AN8" t="s">
        <v>157</v>
      </c>
      <c r="AO8" t="s">
        <v>157</v>
      </c>
      <c r="AP8" t="s">
        <v>157</v>
      </c>
      <c r="AQ8" t="s">
        <v>157</v>
      </c>
      <c r="AR8" t="s">
        <v>157</v>
      </c>
      <c r="AS8" t="s">
        <v>157</v>
      </c>
      <c r="AT8" t="s">
        <v>157</v>
      </c>
      <c r="AU8" t="s">
        <v>169</v>
      </c>
      <c r="AV8" t="s">
        <v>158</v>
      </c>
      <c r="AW8" t="s">
        <v>170</v>
      </c>
      <c r="AX8" t="s">
        <v>171</v>
      </c>
      <c r="AY8" t="s">
        <v>172</v>
      </c>
      <c r="AZ8" t="s">
        <v>173</v>
      </c>
      <c r="BA8" t="s">
        <v>159</v>
      </c>
      <c r="BB8" t="s">
        <v>178</v>
      </c>
      <c r="BC8">
        <v>2</v>
      </c>
      <c r="BD8">
        <v>9.9999999999980105E-3</v>
      </c>
      <c r="BE8">
        <v>16.43</v>
      </c>
      <c r="BF8" t="s">
        <v>190</v>
      </c>
      <c r="BG8">
        <v>0.27</v>
      </c>
      <c r="BH8">
        <v>0.88</v>
      </c>
      <c r="BI8" t="s">
        <v>190</v>
      </c>
      <c r="BJ8" s="140" t="s">
        <v>157</v>
      </c>
      <c r="BK8">
        <v>1.85</v>
      </c>
      <c r="BL8" t="s">
        <v>190</v>
      </c>
      <c r="BM8" s="140" t="s">
        <v>157</v>
      </c>
      <c r="BN8" t="s">
        <v>208</v>
      </c>
      <c r="BO8" s="134" t="s">
        <v>207</v>
      </c>
      <c r="BP8" s="143">
        <f t="shared" si="5"/>
        <v>16.568181818181817</v>
      </c>
      <c r="BQ8" s="134" t="s">
        <v>157</v>
      </c>
      <c r="BR8" s="134" t="s">
        <v>157</v>
      </c>
      <c r="BS8" s="134" t="s">
        <v>157</v>
      </c>
      <c r="BT8" s="134" t="s">
        <v>157</v>
      </c>
      <c r="BU8" s="134" t="s">
        <v>209</v>
      </c>
      <c r="BV8" s="134" t="s">
        <v>210</v>
      </c>
      <c r="BW8" s="134" t="s">
        <v>210</v>
      </c>
      <c r="BX8" s="141">
        <v>30.9</v>
      </c>
      <c r="BY8" t="s">
        <v>190</v>
      </c>
      <c r="BZ8" s="126">
        <f t="shared" si="6"/>
        <v>32.4</v>
      </c>
      <c r="CA8" s="126">
        <f t="shared" si="7"/>
        <v>29.4</v>
      </c>
      <c r="CB8" t="s">
        <v>157</v>
      </c>
      <c r="CC8">
        <v>4.2</v>
      </c>
      <c r="CD8" t="s">
        <v>190</v>
      </c>
      <c r="CE8" s="133">
        <f t="shared" si="8"/>
        <v>6.3E-2</v>
      </c>
      <c r="CF8" s="133">
        <f t="shared" si="9"/>
        <v>6.3E-2</v>
      </c>
      <c r="CG8" s="134" t="s">
        <v>157</v>
      </c>
      <c r="CH8" t="s">
        <v>191</v>
      </c>
      <c r="CI8" s="134">
        <v>3.43</v>
      </c>
      <c r="CJ8" s="134" t="s">
        <v>254</v>
      </c>
      <c r="CK8" s="134" t="s">
        <v>157</v>
      </c>
      <c r="CL8" s="134" t="s">
        <v>157</v>
      </c>
      <c r="CM8" s="134" t="s">
        <v>157</v>
      </c>
      <c r="CN8" t="s">
        <v>157</v>
      </c>
      <c r="CO8" t="s">
        <v>157</v>
      </c>
      <c r="CP8" t="s">
        <v>157</v>
      </c>
      <c r="CQ8" t="s">
        <v>157</v>
      </c>
      <c r="CR8" t="s">
        <v>157</v>
      </c>
      <c r="CS8" t="s">
        <v>157</v>
      </c>
      <c r="CT8" t="s">
        <v>157</v>
      </c>
      <c r="CU8">
        <v>35</v>
      </c>
      <c r="CV8" t="s">
        <v>190</v>
      </c>
      <c r="CW8" s="134" t="s">
        <v>157</v>
      </c>
      <c r="CX8" s="134" t="s">
        <v>192</v>
      </c>
      <c r="CY8" s="134" t="s">
        <v>157</v>
      </c>
      <c r="CZ8" s="134" t="s">
        <v>157</v>
      </c>
      <c r="DA8" s="134" t="s">
        <v>157</v>
      </c>
      <c r="DB8" s="134" t="s">
        <v>157</v>
      </c>
      <c r="DC8" s="134" t="s">
        <v>157</v>
      </c>
      <c r="DD8" s="134" t="s">
        <v>157</v>
      </c>
      <c r="DE8" s="134" t="s">
        <v>157</v>
      </c>
      <c r="DF8" s="134" t="s">
        <v>157</v>
      </c>
      <c r="DG8" s="134" t="s">
        <v>157</v>
      </c>
      <c r="DH8" s="134" t="s">
        <v>157</v>
      </c>
      <c r="DI8" s="134" t="s">
        <v>157</v>
      </c>
      <c r="DJ8" s="134" t="s">
        <v>157</v>
      </c>
      <c r="DK8" s="145">
        <v>432.56244218316402</v>
      </c>
      <c r="DL8" s="134" t="s">
        <v>157</v>
      </c>
      <c r="DM8" s="134" t="s">
        <v>157</v>
      </c>
      <c r="DN8" t="s">
        <v>249</v>
      </c>
      <c r="DO8">
        <v>37.82</v>
      </c>
      <c r="DP8" t="s">
        <v>190</v>
      </c>
      <c r="DQ8">
        <v>0.35</v>
      </c>
      <c r="DR8" t="s">
        <v>193</v>
      </c>
      <c r="DS8" t="s">
        <v>218</v>
      </c>
      <c r="DT8" t="s">
        <v>214</v>
      </c>
      <c r="DU8">
        <v>1.0271999999999999</v>
      </c>
      <c r="DV8" t="s">
        <v>190</v>
      </c>
      <c r="DW8">
        <v>5.9999999999999995E-4</v>
      </c>
      <c r="DX8" t="s">
        <v>206</v>
      </c>
      <c r="DY8" t="s">
        <v>157</v>
      </c>
      <c r="DZ8" t="s">
        <v>157</v>
      </c>
      <c r="EA8" s="134" t="s">
        <v>157</v>
      </c>
      <c r="EB8" s="134" t="s">
        <v>236</v>
      </c>
      <c r="EC8" s="134" t="s">
        <v>248</v>
      </c>
      <c r="ED8" s="134" t="s">
        <v>248</v>
      </c>
      <c r="EE8" s="134" t="s">
        <v>157</v>
      </c>
      <c r="EF8" s="134" t="s">
        <v>157</v>
      </c>
      <c r="EG8" s="134" t="s">
        <v>157</v>
      </c>
      <c r="EH8" t="s">
        <v>194</v>
      </c>
      <c r="EI8" t="s">
        <v>195</v>
      </c>
      <c r="EJ8" t="s">
        <v>196</v>
      </c>
      <c r="EK8">
        <v>1293</v>
      </c>
      <c r="EL8" t="s">
        <v>251</v>
      </c>
      <c r="EM8">
        <v>200</v>
      </c>
      <c r="EN8">
        <v>200</v>
      </c>
      <c r="EO8" s="134" t="s">
        <v>157</v>
      </c>
      <c r="EP8" s="134" t="s">
        <v>157</v>
      </c>
      <c r="EQ8" s="134" t="s">
        <v>157</v>
      </c>
      <c r="ER8" s="134" t="s">
        <v>157</v>
      </c>
      <c r="ES8" s="141">
        <v>8.01</v>
      </c>
      <c r="ET8" s="132" t="s">
        <v>157</v>
      </c>
      <c r="EU8" s="141">
        <v>0.03</v>
      </c>
      <c r="EV8" s="141">
        <v>0.03</v>
      </c>
      <c r="EW8" s="139">
        <f t="shared" si="10"/>
        <v>240</v>
      </c>
      <c r="EX8" s="141" t="s">
        <v>197</v>
      </c>
      <c r="EY8" s="138" t="s">
        <v>157</v>
      </c>
      <c r="EZ8" s="141">
        <v>240</v>
      </c>
      <c r="FA8" s="141">
        <v>46</v>
      </c>
      <c r="FB8" s="141">
        <v>45</v>
      </c>
      <c r="FC8" s="138" t="s">
        <v>157</v>
      </c>
      <c r="FD8" s="142" t="s">
        <v>231</v>
      </c>
      <c r="FE8" s="134" t="s">
        <v>157</v>
      </c>
      <c r="FF8" s="134" t="s">
        <v>157</v>
      </c>
      <c r="FG8" s="134" t="s">
        <v>157</v>
      </c>
      <c r="FH8" s="134" t="s">
        <v>157</v>
      </c>
      <c r="FI8" s="134" t="s">
        <v>157</v>
      </c>
      <c r="FJ8" s="134" t="s">
        <v>157</v>
      </c>
      <c r="FK8" s="134" t="s">
        <v>157</v>
      </c>
      <c r="FL8" s="134" t="s">
        <v>157</v>
      </c>
      <c r="FM8" s="134" t="s">
        <v>157</v>
      </c>
      <c r="FN8" s="134" t="s">
        <v>157</v>
      </c>
      <c r="FO8" s="134" t="s">
        <v>157</v>
      </c>
      <c r="FP8" s="134" t="s">
        <v>157</v>
      </c>
      <c r="FQ8" t="s">
        <v>258</v>
      </c>
    </row>
    <row r="9" spans="1:191" ht="17">
      <c r="A9" s="126" t="s">
        <v>152</v>
      </c>
      <c r="B9" t="s">
        <v>161</v>
      </c>
      <c r="C9">
        <v>2012</v>
      </c>
      <c r="D9" t="s">
        <v>164</v>
      </c>
      <c r="E9">
        <f t="shared" si="0"/>
        <v>13830</v>
      </c>
      <c r="F9" t="str">
        <f t="shared" si="1"/>
        <v>NA</v>
      </c>
      <c r="G9" t="str">
        <f t="shared" si="2"/>
        <v>NA</v>
      </c>
      <c r="H9">
        <f t="shared" si="11"/>
        <v>257</v>
      </c>
      <c r="I9">
        <f t="shared" si="3"/>
        <v>50</v>
      </c>
      <c r="J9">
        <f t="shared" si="4"/>
        <v>49</v>
      </c>
      <c r="K9" t="s">
        <v>250</v>
      </c>
      <c r="L9" s="130" t="s">
        <v>230</v>
      </c>
      <c r="M9" s="1" t="s">
        <v>165</v>
      </c>
      <c r="N9" t="s">
        <v>164</v>
      </c>
      <c r="O9">
        <v>761</v>
      </c>
      <c r="P9" t="s">
        <v>162</v>
      </c>
      <c r="Q9">
        <v>5</v>
      </c>
      <c r="R9">
        <v>6</v>
      </c>
      <c r="S9">
        <v>98</v>
      </c>
      <c r="T9">
        <v>100</v>
      </c>
      <c r="U9" s="134" t="s">
        <v>157</v>
      </c>
      <c r="V9">
        <v>41.2</v>
      </c>
      <c r="W9" s="134" t="s">
        <v>157</v>
      </c>
      <c r="X9" t="s">
        <v>166</v>
      </c>
      <c r="Y9" s="135">
        <v>-16.739999999999998</v>
      </c>
      <c r="Z9" s="135">
        <v>115.536</v>
      </c>
      <c r="AA9" t="s">
        <v>157</v>
      </c>
      <c r="AB9" t="s">
        <v>157</v>
      </c>
      <c r="AC9" s="131">
        <v>-2179</v>
      </c>
      <c r="AD9" t="s">
        <v>157</v>
      </c>
      <c r="AE9" t="s">
        <v>157</v>
      </c>
      <c r="AF9" s="138" t="s">
        <v>157</v>
      </c>
      <c r="AG9">
        <v>13830</v>
      </c>
      <c r="AH9" s="140" t="s">
        <v>157</v>
      </c>
      <c r="AI9" s="140" t="s">
        <v>157</v>
      </c>
      <c r="AJ9" s="140" t="s">
        <v>157</v>
      </c>
      <c r="AK9" s="140" t="s">
        <v>157</v>
      </c>
      <c r="AL9" s="140" t="s">
        <v>157</v>
      </c>
      <c r="AM9" s="140" t="s">
        <v>157</v>
      </c>
      <c r="AN9" t="s">
        <v>157</v>
      </c>
      <c r="AO9" t="s">
        <v>157</v>
      </c>
      <c r="AP9" t="s">
        <v>157</v>
      </c>
      <c r="AQ9" t="s">
        <v>157</v>
      </c>
      <c r="AR9" t="s">
        <v>157</v>
      </c>
      <c r="AS9" t="s">
        <v>157</v>
      </c>
      <c r="AT9" t="s">
        <v>157</v>
      </c>
      <c r="AU9" t="s">
        <v>169</v>
      </c>
      <c r="AV9" t="s">
        <v>158</v>
      </c>
      <c r="AW9" t="s">
        <v>170</v>
      </c>
      <c r="AX9" t="s">
        <v>171</v>
      </c>
      <c r="AY9" t="s">
        <v>172</v>
      </c>
      <c r="AZ9" t="s">
        <v>173</v>
      </c>
      <c r="BA9" t="s">
        <v>159</v>
      </c>
      <c r="BB9" t="s">
        <v>179</v>
      </c>
      <c r="BC9">
        <v>2</v>
      </c>
      <c r="BD9">
        <v>1.0000000000001563E-2</v>
      </c>
      <c r="BE9">
        <v>16.25</v>
      </c>
      <c r="BF9" t="s">
        <v>190</v>
      </c>
      <c r="BG9">
        <v>0.28000000000000003</v>
      </c>
      <c r="BH9">
        <v>0.88</v>
      </c>
      <c r="BI9" t="s">
        <v>190</v>
      </c>
      <c r="BJ9" s="140" t="s">
        <v>157</v>
      </c>
      <c r="BK9">
        <v>1.85</v>
      </c>
      <c r="BL9" t="s">
        <v>190</v>
      </c>
      <c r="BM9" s="140" t="s">
        <v>157</v>
      </c>
      <c r="BN9" t="s">
        <v>208</v>
      </c>
      <c r="BO9" s="134" t="s">
        <v>207</v>
      </c>
      <c r="BP9" s="143">
        <f t="shared" si="5"/>
        <v>16.363636363636363</v>
      </c>
      <c r="BQ9" s="134" t="s">
        <v>157</v>
      </c>
      <c r="BR9" s="134" t="s">
        <v>157</v>
      </c>
      <c r="BS9" s="134" t="s">
        <v>157</v>
      </c>
      <c r="BT9" s="134" t="s">
        <v>157</v>
      </c>
      <c r="BU9" s="134" t="s">
        <v>209</v>
      </c>
      <c r="BV9" s="134" t="s">
        <v>210</v>
      </c>
      <c r="BW9" s="134" t="s">
        <v>210</v>
      </c>
      <c r="BX9" s="141">
        <v>31.5</v>
      </c>
      <c r="BY9" t="s">
        <v>190</v>
      </c>
      <c r="BZ9" s="126">
        <f t="shared" si="6"/>
        <v>33</v>
      </c>
      <c r="CA9" s="126">
        <f t="shared" si="7"/>
        <v>30</v>
      </c>
      <c r="CB9" t="s">
        <v>157</v>
      </c>
      <c r="CC9">
        <v>4.4400000000000004</v>
      </c>
      <c r="CD9" t="s">
        <v>190</v>
      </c>
      <c r="CE9" s="133">
        <f t="shared" si="8"/>
        <v>6.6600000000000006E-2</v>
      </c>
      <c r="CF9" s="133">
        <f t="shared" si="9"/>
        <v>6.6600000000000006E-2</v>
      </c>
      <c r="CG9" s="134" t="s">
        <v>157</v>
      </c>
      <c r="CH9" t="s">
        <v>191</v>
      </c>
      <c r="CI9" s="134">
        <v>3.43</v>
      </c>
      <c r="CJ9" s="134" t="s">
        <v>254</v>
      </c>
      <c r="CK9" s="134" t="s">
        <v>157</v>
      </c>
      <c r="CL9" s="134" t="s">
        <v>157</v>
      </c>
      <c r="CM9" s="134" t="s">
        <v>157</v>
      </c>
      <c r="CN9" t="s">
        <v>157</v>
      </c>
      <c r="CO9" t="s">
        <v>157</v>
      </c>
      <c r="CP9" t="s">
        <v>157</v>
      </c>
      <c r="CQ9" t="s">
        <v>157</v>
      </c>
      <c r="CR9" t="s">
        <v>157</v>
      </c>
      <c r="CS9" t="s">
        <v>157</v>
      </c>
      <c r="CT9" t="s">
        <v>157</v>
      </c>
      <c r="CU9">
        <v>35</v>
      </c>
      <c r="CV9" t="s">
        <v>190</v>
      </c>
      <c r="CW9" s="134" t="s">
        <v>157</v>
      </c>
      <c r="CX9" s="134" t="s">
        <v>192</v>
      </c>
      <c r="CY9" s="134" t="s">
        <v>157</v>
      </c>
      <c r="CZ9" s="134" t="s">
        <v>157</v>
      </c>
      <c r="DA9" s="134" t="s">
        <v>157</v>
      </c>
      <c r="DB9" s="134" t="s">
        <v>157</v>
      </c>
      <c r="DC9" s="134" t="s">
        <v>157</v>
      </c>
      <c r="DD9" s="134" t="s">
        <v>157</v>
      </c>
      <c r="DE9" s="134" t="s">
        <v>157</v>
      </c>
      <c r="DF9" s="134" t="s">
        <v>157</v>
      </c>
      <c r="DG9" s="134" t="s">
        <v>157</v>
      </c>
      <c r="DH9" s="134" t="s">
        <v>157</v>
      </c>
      <c r="DI9" s="134" t="s">
        <v>157</v>
      </c>
      <c r="DJ9" s="134" t="s">
        <v>157</v>
      </c>
      <c r="DK9" s="145">
        <v>432.56244218316402</v>
      </c>
      <c r="DL9" s="134" t="s">
        <v>157</v>
      </c>
      <c r="DM9" s="134" t="s">
        <v>157</v>
      </c>
      <c r="DN9" t="s">
        <v>249</v>
      </c>
      <c r="DO9">
        <v>37.82</v>
      </c>
      <c r="DP9" t="s">
        <v>190</v>
      </c>
      <c r="DQ9">
        <v>0.35</v>
      </c>
      <c r="DR9" t="s">
        <v>193</v>
      </c>
      <c r="DS9" t="s">
        <v>219</v>
      </c>
      <c r="DT9" t="s">
        <v>214</v>
      </c>
      <c r="DU9">
        <v>1.0271999999999999</v>
      </c>
      <c r="DV9" t="s">
        <v>190</v>
      </c>
      <c r="DW9">
        <v>5.9999999999999995E-4</v>
      </c>
      <c r="DX9" t="s">
        <v>206</v>
      </c>
      <c r="DY9" t="s">
        <v>157</v>
      </c>
      <c r="DZ9" t="s">
        <v>157</v>
      </c>
      <c r="EA9" s="134" t="s">
        <v>157</v>
      </c>
      <c r="EB9" s="134" t="s">
        <v>237</v>
      </c>
      <c r="EC9" s="134" t="s">
        <v>248</v>
      </c>
      <c r="ED9" s="134" t="s">
        <v>248</v>
      </c>
      <c r="EE9" s="134" t="s">
        <v>157</v>
      </c>
      <c r="EF9" s="134" t="s">
        <v>157</v>
      </c>
      <c r="EG9" s="134" t="s">
        <v>157</v>
      </c>
      <c r="EH9" t="s">
        <v>194</v>
      </c>
      <c r="EI9" t="s">
        <v>195</v>
      </c>
      <c r="EJ9" t="s">
        <v>196</v>
      </c>
      <c r="EK9">
        <v>1293</v>
      </c>
      <c r="EL9" t="s">
        <v>251</v>
      </c>
      <c r="EM9">
        <v>200</v>
      </c>
      <c r="EN9">
        <v>200</v>
      </c>
      <c r="EO9" s="134" t="s">
        <v>157</v>
      </c>
      <c r="EP9" s="134" t="s">
        <v>157</v>
      </c>
      <c r="EQ9" s="134" t="s">
        <v>157</v>
      </c>
      <c r="ER9" s="134" t="s">
        <v>157</v>
      </c>
      <c r="ES9" s="141">
        <v>7.98</v>
      </c>
      <c r="ET9" s="132" t="s">
        <v>157</v>
      </c>
      <c r="EU9" s="141">
        <v>0.03</v>
      </c>
      <c r="EV9" s="141">
        <v>0.03</v>
      </c>
      <c r="EW9" s="139">
        <f t="shared" si="10"/>
        <v>257</v>
      </c>
      <c r="EX9" s="141" t="s">
        <v>197</v>
      </c>
      <c r="EY9" s="138" t="s">
        <v>157</v>
      </c>
      <c r="EZ9" s="141">
        <v>257</v>
      </c>
      <c r="FA9" s="141">
        <v>50</v>
      </c>
      <c r="FB9" s="141">
        <v>49</v>
      </c>
      <c r="FC9" s="138" t="s">
        <v>157</v>
      </c>
      <c r="FD9" s="142" t="s">
        <v>231</v>
      </c>
      <c r="FE9" s="134" t="s">
        <v>157</v>
      </c>
      <c r="FF9" s="134" t="s">
        <v>157</v>
      </c>
      <c r="FG9" s="134" t="s">
        <v>157</v>
      </c>
      <c r="FH9" s="134" t="s">
        <v>157</v>
      </c>
      <c r="FI9" s="134" t="s">
        <v>157</v>
      </c>
      <c r="FJ9" s="134" t="s">
        <v>157</v>
      </c>
      <c r="FK9" s="134" t="s">
        <v>157</v>
      </c>
      <c r="FL9" s="134" t="s">
        <v>157</v>
      </c>
      <c r="FM9" s="134" t="s">
        <v>157</v>
      </c>
      <c r="FN9" s="134" t="s">
        <v>157</v>
      </c>
      <c r="FO9" s="134" t="s">
        <v>157</v>
      </c>
      <c r="FP9" s="134" t="s">
        <v>157</v>
      </c>
      <c r="FQ9" t="s">
        <v>258</v>
      </c>
    </row>
    <row r="10" spans="1:191" ht="17">
      <c r="A10" s="126" t="s">
        <v>152</v>
      </c>
      <c r="B10" t="s">
        <v>161</v>
      </c>
      <c r="C10">
        <v>2012</v>
      </c>
      <c r="D10" t="s">
        <v>164</v>
      </c>
      <c r="E10">
        <f t="shared" si="0"/>
        <v>14170</v>
      </c>
      <c r="F10" t="str">
        <f t="shared" si="1"/>
        <v>NA</v>
      </c>
      <c r="G10" t="str">
        <f t="shared" si="2"/>
        <v>NA</v>
      </c>
      <c r="H10">
        <f t="shared" si="11"/>
        <v>268</v>
      </c>
      <c r="I10">
        <f t="shared" si="3"/>
        <v>54</v>
      </c>
      <c r="J10">
        <f t="shared" si="4"/>
        <v>52</v>
      </c>
      <c r="K10" t="s">
        <v>250</v>
      </c>
      <c r="L10" s="130" t="s">
        <v>230</v>
      </c>
      <c r="M10" s="1" t="s">
        <v>165</v>
      </c>
      <c r="N10" t="s">
        <v>164</v>
      </c>
      <c r="O10">
        <v>761</v>
      </c>
      <c r="P10" t="s">
        <v>162</v>
      </c>
      <c r="Q10">
        <v>5</v>
      </c>
      <c r="R10">
        <v>7</v>
      </c>
      <c r="S10">
        <v>38</v>
      </c>
      <c r="T10">
        <v>40</v>
      </c>
      <c r="U10" s="134" t="s">
        <v>157</v>
      </c>
      <c r="V10">
        <v>42.1</v>
      </c>
      <c r="W10" s="134" t="s">
        <v>157</v>
      </c>
      <c r="X10" t="s">
        <v>166</v>
      </c>
      <c r="Y10" s="135">
        <v>-16.739999999999998</v>
      </c>
      <c r="Z10" s="135">
        <v>115.536</v>
      </c>
      <c r="AA10" t="s">
        <v>157</v>
      </c>
      <c r="AB10" t="s">
        <v>157</v>
      </c>
      <c r="AC10" s="131">
        <v>-2179</v>
      </c>
      <c r="AD10" t="s">
        <v>157</v>
      </c>
      <c r="AE10" t="s">
        <v>157</v>
      </c>
      <c r="AF10" s="138" t="s">
        <v>157</v>
      </c>
      <c r="AG10">
        <v>14170</v>
      </c>
      <c r="AH10" s="140" t="s">
        <v>157</v>
      </c>
      <c r="AI10" s="140" t="s">
        <v>157</v>
      </c>
      <c r="AJ10" s="140" t="s">
        <v>157</v>
      </c>
      <c r="AK10" s="140" t="s">
        <v>157</v>
      </c>
      <c r="AL10" s="140" t="s">
        <v>157</v>
      </c>
      <c r="AM10" s="140" t="s">
        <v>157</v>
      </c>
      <c r="AN10" t="s">
        <v>157</v>
      </c>
      <c r="AO10" t="s">
        <v>157</v>
      </c>
      <c r="AP10" t="s">
        <v>157</v>
      </c>
      <c r="AQ10" t="s">
        <v>157</v>
      </c>
      <c r="AR10" t="s">
        <v>157</v>
      </c>
      <c r="AS10" t="s">
        <v>157</v>
      </c>
      <c r="AT10" t="s">
        <v>157</v>
      </c>
      <c r="AU10" t="s">
        <v>169</v>
      </c>
      <c r="AV10" t="s">
        <v>158</v>
      </c>
      <c r="AW10" t="s">
        <v>170</v>
      </c>
      <c r="AX10" t="s">
        <v>171</v>
      </c>
      <c r="AY10" t="s">
        <v>172</v>
      </c>
      <c r="AZ10" t="s">
        <v>173</v>
      </c>
      <c r="BA10" t="s">
        <v>159</v>
      </c>
      <c r="BB10" t="s">
        <v>180</v>
      </c>
      <c r="BC10">
        <v>2</v>
      </c>
      <c r="BD10">
        <v>0.26999999999999957</v>
      </c>
      <c r="BE10">
        <v>16.09</v>
      </c>
      <c r="BF10" t="s">
        <v>190</v>
      </c>
      <c r="BG10">
        <v>0.32</v>
      </c>
      <c r="BH10">
        <v>0.88</v>
      </c>
      <c r="BI10" t="s">
        <v>190</v>
      </c>
      <c r="BJ10" s="140" t="s">
        <v>157</v>
      </c>
      <c r="BK10">
        <v>1.85</v>
      </c>
      <c r="BL10" t="s">
        <v>190</v>
      </c>
      <c r="BM10" s="140" t="s">
        <v>157</v>
      </c>
      <c r="BN10" t="s">
        <v>208</v>
      </c>
      <c r="BO10" s="134" t="s">
        <v>207</v>
      </c>
      <c r="BP10" s="143">
        <f t="shared" si="5"/>
        <v>16.181818181818183</v>
      </c>
      <c r="BQ10" s="134" t="s">
        <v>157</v>
      </c>
      <c r="BR10" s="134" t="s">
        <v>157</v>
      </c>
      <c r="BS10" s="134" t="s">
        <v>157</v>
      </c>
      <c r="BT10" s="134" t="s">
        <v>157</v>
      </c>
      <c r="BU10" s="134" t="s">
        <v>209</v>
      </c>
      <c r="BV10" s="134" t="s">
        <v>210</v>
      </c>
      <c r="BW10" s="134" t="s">
        <v>210</v>
      </c>
      <c r="BX10" s="141">
        <v>31.2</v>
      </c>
      <c r="BY10" t="s">
        <v>190</v>
      </c>
      <c r="BZ10" s="126">
        <f t="shared" si="6"/>
        <v>32.700000000000003</v>
      </c>
      <c r="CA10" s="126">
        <f t="shared" si="7"/>
        <v>29.7</v>
      </c>
      <c r="CB10" t="s">
        <v>157</v>
      </c>
      <c r="CC10">
        <v>4.3</v>
      </c>
      <c r="CD10" t="s">
        <v>190</v>
      </c>
      <c r="CE10" s="133">
        <f t="shared" si="8"/>
        <v>6.4500000000000002E-2</v>
      </c>
      <c r="CF10" s="133">
        <f t="shared" si="9"/>
        <v>6.4500000000000002E-2</v>
      </c>
      <c r="CG10" s="134" t="s">
        <v>157</v>
      </c>
      <c r="CH10" t="s">
        <v>191</v>
      </c>
      <c r="CI10" s="134">
        <v>3.43</v>
      </c>
      <c r="CJ10" s="134" t="s">
        <v>254</v>
      </c>
      <c r="CK10" s="134" t="s">
        <v>157</v>
      </c>
      <c r="CL10" s="134" t="s">
        <v>157</v>
      </c>
      <c r="CM10" s="134" t="s">
        <v>157</v>
      </c>
      <c r="CN10" t="s">
        <v>157</v>
      </c>
      <c r="CO10" t="s">
        <v>157</v>
      </c>
      <c r="CP10" t="s">
        <v>157</v>
      </c>
      <c r="CQ10" t="s">
        <v>157</v>
      </c>
      <c r="CR10" t="s">
        <v>157</v>
      </c>
      <c r="CS10" t="s">
        <v>157</v>
      </c>
      <c r="CT10" t="s">
        <v>157</v>
      </c>
      <c r="CU10">
        <v>35</v>
      </c>
      <c r="CV10" t="s">
        <v>190</v>
      </c>
      <c r="CW10" s="134" t="s">
        <v>157</v>
      </c>
      <c r="CX10" s="134" t="s">
        <v>192</v>
      </c>
      <c r="CY10" s="134" t="s">
        <v>157</v>
      </c>
      <c r="CZ10" s="134" t="s">
        <v>157</v>
      </c>
      <c r="DA10" s="134" t="s">
        <v>157</v>
      </c>
      <c r="DB10" s="134" t="s">
        <v>157</v>
      </c>
      <c r="DC10" s="134" t="s">
        <v>157</v>
      </c>
      <c r="DD10" s="134" t="s">
        <v>157</v>
      </c>
      <c r="DE10" s="134" t="s">
        <v>157</v>
      </c>
      <c r="DF10" s="134" t="s">
        <v>157</v>
      </c>
      <c r="DG10" s="134" t="s">
        <v>157</v>
      </c>
      <c r="DH10" s="134" t="s">
        <v>157</v>
      </c>
      <c r="DI10" s="134" t="s">
        <v>157</v>
      </c>
      <c r="DJ10" s="134" t="s">
        <v>157</v>
      </c>
      <c r="DK10" s="145">
        <v>432.56244218316402</v>
      </c>
      <c r="DL10" s="134" t="s">
        <v>157</v>
      </c>
      <c r="DM10" s="134" t="s">
        <v>157</v>
      </c>
      <c r="DN10" t="s">
        <v>249</v>
      </c>
      <c r="DO10">
        <v>37.82</v>
      </c>
      <c r="DP10" t="s">
        <v>190</v>
      </c>
      <c r="DQ10">
        <v>0.35</v>
      </c>
      <c r="DR10" t="s">
        <v>193</v>
      </c>
      <c r="DS10" t="s">
        <v>220</v>
      </c>
      <c r="DT10" t="s">
        <v>214</v>
      </c>
      <c r="DU10">
        <v>1.0271999999999999</v>
      </c>
      <c r="DV10" t="s">
        <v>190</v>
      </c>
      <c r="DW10">
        <v>5.9999999999999995E-4</v>
      </c>
      <c r="DX10" t="s">
        <v>206</v>
      </c>
      <c r="DY10" t="s">
        <v>157</v>
      </c>
      <c r="DZ10" t="s">
        <v>157</v>
      </c>
      <c r="EA10" s="134" t="s">
        <v>157</v>
      </c>
      <c r="EB10" s="134" t="s">
        <v>238</v>
      </c>
      <c r="EC10" s="134" t="s">
        <v>248</v>
      </c>
      <c r="ED10" s="134" t="s">
        <v>248</v>
      </c>
      <c r="EE10" s="134" t="s">
        <v>157</v>
      </c>
      <c r="EF10" s="134" t="s">
        <v>157</v>
      </c>
      <c r="EG10" s="134" t="s">
        <v>157</v>
      </c>
      <c r="EH10" t="s">
        <v>194</v>
      </c>
      <c r="EI10" t="s">
        <v>195</v>
      </c>
      <c r="EJ10" t="s">
        <v>196</v>
      </c>
      <c r="EK10">
        <v>1293</v>
      </c>
      <c r="EL10" t="s">
        <v>251</v>
      </c>
      <c r="EM10">
        <v>200</v>
      </c>
      <c r="EN10">
        <v>200</v>
      </c>
      <c r="EO10" s="134" t="s">
        <v>157</v>
      </c>
      <c r="EP10" s="134" t="s">
        <v>157</v>
      </c>
      <c r="EQ10" s="134" t="s">
        <v>157</v>
      </c>
      <c r="ER10" s="134" t="s">
        <v>157</v>
      </c>
      <c r="ES10" s="141">
        <v>7.97</v>
      </c>
      <c r="ET10" s="132" t="s">
        <v>157</v>
      </c>
      <c r="EU10" s="141">
        <v>0.03</v>
      </c>
      <c r="EV10" s="141">
        <v>0.03</v>
      </c>
      <c r="EW10" s="139">
        <f t="shared" si="10"/>
        <v>268</v>
      </c>
      <c r="EX10" s="141" t="s">
        <v>197</v>
      </c>
      <c r="EY10" s="138" t="s">
        <v>157</v>
      </c>
      <c r="EZ10" s="141">
        <v>268</v>
      </c>
      <c r="FA10" s="141">
        <v>54</v>
      </c>
      <c r="FB10" s="141">
        <v>52</v>
      </c>
      <c r="FC10" s="138" t="s">
        <v>157</v>
      </c>
      <c r="FD10" s="142" t="s">
        <v>231</v>
      </c>
      <c r="FE10" s="134" t="s">
        <v>157</v>
      </c>
      <c r="FF10" s="134" t="s">
        <v>157</v>
      </c>
      <c r="FG10" s="134" t="s">
        <v>157</v>
      </c>
      <c r="FH10" s="134" t="s">
        <v>157</v>
      </c>
      <c r="FI10" s="134" t="s">
        <v>157</v>
      </c>
      <c r="FJ10" s="134" t="s">
        <v>157</v>
      </c>
      <c r="FK10" s="134" t="s">
        <v>157</v>
      </c>
      <c r="FL10" s="134" t="s">
        <v>157</v>
      </c>
      <c r="FM10" s="134" t="s">
        <v>157</v>
      </c>
      <c r="FN10" s="134" t="s">
        <v>157</v>
      </c>
      <c r="FO10" s="134" t="s">
        <v>157</v>
      </c>
      <c r="FP10" s="134" t="s">
        <v>157</v>
      </c>
      <c r="FQ10" t="s">
        <v>258</v>
      </c>
    </row>
    <row r="11" spans="1:191" ht="17">
      <c r="A11" s="126" t="s">
        <v>152</v>
      </c>
      <c r="B11" t="s">
        <v>161</v>
      </c>
      <c r="C11">
        <v>2012</v>
      </c>
      <c r="D11" t="s">
        <v>164</v>
      </c>
      <c r="E11">
        <f t="shared" si="0"/>
        <v>14310</v>
      </c>
      <c r="F11" t="str">
        <f t="shared" si="1"/>
        <v>NA</v>
      </c>
      <c r="G11" t="str">
        <f t="shared" si="2"/>
        <v>NA</v>
      </c>
      <c r="H11">
        <f t="shared" si="11"/>
        <v>272</v>
      </c>
      <c r="I11">
        <f t="shared" si="3"/>
        <v>52</v>
      </c>
      <c r="J11">
        <f t="shared" si="4"/>
        <v>51</v>
      </c>
      <c r="K11" t="s">
        <v>250</v>
      </c>
      <c r="L11" s="130" t="s">
        <v>230</v>
      </c>
      <c r="M11" s="1" t="s">
        <v>165</v>
      </c>
      <c r="N11" t="s">
        <v>164</v>
      </c>
      <c r="O11">
        <v>761</v>
      </c>
      <c r="P11" t="s">
        <v>162</v>
      </c>
      <c r="Q11">
        <v>5</v>
      </c>
      <c r="R11" t="s">
        <v>163</v>
      </c>
      <c r="S11">
        <v>23</v>
      </c>
      <c r="T11">
        <v>25</v>
      </c>
      <c r="U11" s="134" t="s">
        <v>157</v>
      </c>
      <c r="V11">
        <v>42.5</v>
      </c>
      <c r="W11" s="134" t="s">
        <v>157</v>
      </c>
      <c r="X11" t="s">
        <v>166</v>
      </c>
      <c r="Y11" s="135">
        <v>-16.739999999999998</v>
      </c>
      <c r="Z11" s="135">
        <v>115.536</v>
      </c>
      <c r="AA11" t="s">
        <v>157</v>
      </c>
      <c r="AB11" t="s">
        <v>157</v>
      </c>
      <c r="AC11" s="131">
        <v>-2179</v>
      </c>
      <c r="AD11" t="s">
        <v>157</v>
      </c>
      <c r="AE11" t="s">
        <v>157</v>
      </c>
      <c r="AF11" s="138" t="s">
        <v>157</v>
      </c>
      <c r="AG11">
        <v>14310</v>
      </c>
      <c r="AH11" s="140" t="s">
        <v>157</v>
      </c>
      <c r="AI11" s="140" t="s">
        <v>157</v>
      </c>
      <c r="AJ11" s="140" t="s">
        <v>157</v>
      </c>
      <c r="AK11" s="140" t="s">
        <v>157</v>
      </c>
      <c r="AL11" s="140" t="s">
        <v>157</v>
      </c>
      <c r="AM11" s="140" t="s">
        <v>157</v>
      </c>
      <c r="AN11" t="s">
        <v>157</v>
      </c>
      <c r="AO11" t="s">
        <v>157</v>
      </c>
      <c r="AP11" t="s">
        <v>157</v>
      </c>
      <c r="AQ11" t="s">
        <v>157</v>
      </c>
      <c r="AR11" t="s">
        <v>157</v>
      </c>
      <c r="AS11" t="s">
        <v>157</v>
      </c>
      <c r="AT11" t="s">
        <v>157</v>
      </c>
      <c r="AU11" t="s">
        <v>169</v>
      </c>
      <c r="AV11" t="s">
        <v>158</v>
      </c>
      <c r="AW11" t="s">
        <v>170</v>
      </c>
      <c r="AX11" t="s">
        <v>171</v>
      </c>
      <c r="AY11" t="s">
        <v>172</v>
      </c>
      <c r="AZ11" t="s">
        <v>173</v>
      </c>
      <c r="BA11" t="s">
        <v>159</v>
      </c>
      <c r="BB11" t="s">
        <v>181</v>
      </c>
      <c r="BC11">
        <v>2</v>
      </c>
      <c r="BD11">
        <v>0.22000000000000061</v>
      </c>
      <c r="BE11">
        <v>15.96</v>
      </c>
      <c r="BF11" t="s">
        <v>190</v>
      </c>
      <c r="BG11">
        <v>0.27</v>
      </c>
      <c r="BH11">
        <v>0.88</v>
      </c>
      <c r="BI11" t="s">
        <v>190</v>
      </c>
      <c r="BJ11" s="140" t="s">
        <v>157</v>
      </c>
      <c r="BK11">
        <v>1.85</v>
      </c>
      <c r="BL11" t="s">
        <v>190</v>
      </c>
      <c r="BM11" s="140" t="s">
        <v>157</v>
      </c>
      <c r="BN11" t="s">
        <v>208</v>
      </c>
      <c r="BO11" s="134" t="s">
        <v>207</v>
      </c>
      <c r="BP11" s="143">
        <f t="shared" si="5"/>
        <v>16.03409090909091</v>
      </c>
      <c r="BQ11" s="134" t="s">
        <v>157</v>
      </c>
      <c r="BR11" s="134" t="s">
        <v>157</v>
      </c>
      <c r="BS11" s="134" t="s">
        <v>157</v>
      </c>
      <c r="BT11" s="134" t="s">
        <v>157</v>
      </c>
      <c r="BU11" s="134" t="s">
        <v>209</v>
      </c>
      <c r="BV11" s="134" t="s">
        <v>210</v>
      </c>
      <c r="BW11" s="134" t="s">
        <v>210</v>
      </c>
      <c r="BX11" s="141">
        <v>30.4</v>
      </c>
      <c r="BY11" t="s">
        <v>190</v>
      </c>
      <c r="BZ11" s="126">
        <f t="shared" si="6"/>
        <v>31.9</v>
      </c>
      <c r="CA11" s="126">
        <f t="shared" si="7"/>
        <v>28.9</v>
      </c>
      <c r="CB11" t="s">
        <v>157</v>
      </c>
      <c r="CC11">
        <v>4.01</v>
      </c>
      <c r="CD11" t="s">
        <v>190</v>
      </c>
      <c r="CE11" s="133">
        <f t="shared" si="8"/>
        <v>6.0149999999999995E-2</v>
      </c>
      <c r="CF11" s="133">
        <f t="shared" si="9"/>
        <v>6.0149999999999995E-2</v>
      </c>
      <c r="CG11" s="134" t="s">
        <v>157</v>
      </c>
      <c r="CH11" t="s">
        <v>191</v>
      </c>
      <c r="CI11" s="134">
        <v>3.43</v>
      </c>
      <c r="CJ11" s="134" t="s">
        <v>254</v>
      </c>
      <c r="CK11" s="134" t="s">
        <v>157</v>
      </c>
      <c r="CL11" s="134" t="s">
        <v>157</v>
      </c>
      <c r="CM11" s="134" t="s">
        <v>157</v>
      </c>
      <c r="CN11" t="s">
        <v>157</v>
      </c>
      <c r="CO11" t="s">
        <v>157</v>
      </c>
      <c r="CP11" t="s">
        <v>157</v>
      </c>
      <c r="CQ11" t="s">
        <v>157</v>
      </c>
      <c r="CR11" t="s">
        <v>157</v>
      </c>
      <c r="CS11" t="s">
        <v>157</v>
      </c>
      <c r="CT11" t="s">
        <v>157</v>
      </c>
      <c r="CU11">
        <v>35</v>
      </c>
      <c r="CV11" t="s">
        <v>190</v>
      </c>
      <c r="CW11" s="134" t="s">
        <v>157</v>
      </c>
      <c r="CX11" s="134" t="s">
        <v>192</v>
      </c>
      <c r="CY11" s="134" t="s">
        <v>157</v>
      </c>
      <c r="CZ11" s="134" t="s">
        <v>157</v>
      </c>
      <c r="DA11" s="134" t="s">
        <v>157</v>
      </c>
      <c r="DB11" s="134" t="s">
        <v>157</v>
      </c>
      <c r="DC11" s="134" t="s">
        <v>157</v>
      </c>
      <c r="DD11" s="134" t="s">
        <v>157</v>
      </c>
      <c r="DE11" s="134" t="s">
        <v>157</v>
      </c>
      <c r="DF11" s="134" t="s">
        <v>157</v>
      </c>
      <c r="DG11" s="134" t="s">
        <v>157</v>
      </c>
      <c r="DH11" s="134" t="s">
        <v>157</v>
      </c>
      <c r="DI11" s="134" t="s">
        <v>157</v>
      </c>
      <c r="DJ11" s="134" t="s">
        <v>157</v>
      </c>
      <c r="DK11" s="145">
        <v>432.56244218316402</v>
      </c>
      <c r="DL11" s="134" t="s">
        <v>157</v>
      </c>
      <c r="DM11" s="134" t="s">
        <v>157</v>
      </c>
      <c r="DN11" t="s">
        <v>249</v>
      </c>
      <c r="DO11">
        <v>37.82</v>
      </c>
      <c r="DP11" t="s">
        <v>190</v>
      </c>
      <c r="DQ11">
        <v>0.35</v>
      </c>
      <c r="DR11" t="s">
        <v>193</v>
      </c>
      <c r="DS11" t="s">
        <v>221</v>
      </c>
      <c r="DT11" t="s">
        <v>214</v>
      </c>
      <c r="DU11">
        <v>1.0271999999999999</v>
      </c>
      <c r="DV11" t="s">
        <v>190</v>
      </c>
      <c r="DW11">
        <v>5.9999999999999995E-4</v>
      </c>
      <c r="DX11" t="s">
        <v>206</v>
      </c>
      <c r="DY11" t="s">
        <v>157</v>
      </c>
      <c r="DZ11" t="s">
        <v>157</v>
      </c>
      <c r="EA11" s="134" t="s">
        <v>157</v>
      </c>
      <c r="EB11" s="134" t="s">
        <v>239</v>
      </c>
      <c r="EC11" s="134" t="s">
        <v>248</v>
      </c>
      <c r="ED11" s="134" t="s">
        <v>248</v>
      </c>
      <c r="EE11" s="134" t="s">
        <v>157</v>
      </c>
      <c r="EF11" s="134" t="s">
        <v>157</v>
      </c>
      <c r="EG11" s="134" t="s">
        <v>157</v>
      </c>
      <c r="EH11" t="s">
        <v>194</v>
      </c>
      <c r="EI11" t="s">
        <v>195</v>
      </c>
      <c r="EJ11" t="s">
        <v>196</v>
      </c>
      <c r="EK11">
        <v>1293</v>
      </c>
      <c r="EL11" t="s">
        <v>251</v>
      </c>
      <c r="EM11">
        <v>200</v>
      </c>
      <c r="EN11">
        <v>200</v>
      </c>
      <c r="EO11" s="134" t="s">
        <v>157</v>
      </c>
      <c r="EP11" s="134" t="s">
        <v>157</v>
      </c>
      <c r="EQ11" s="134" t="s">
        <v>157</v>
      </c>
      <c r="ER11" s="134" t="s">
        <v>157</v>
      </c>
      <c r="ES11" s="141">
        <v>7.96</v>
      </c>
      <c r="ET11" s="132" t="s">
        <v>157</v>
      </c>
      <c r="EU11" s="141">
        <v>0.03</v>
      </c>
      <c r="EV11" s="141">
        <v>0.03</v>
      </c>
      <c r="EW11" s="139">
        <f t="shared" si="10"/>
        <v>272</v>
      </c>
      <c r="EX11" s="141" t="s">
        <v>197</v>
      </c>
      <c r="EY11" s="138" t="s">
        <v>157</v>
      </c>
      <c r="EZ11" s="141">
        <v>272</v>
      </c>
      <c r="FA11" s="141">
        <v>52</v>
      </c>
      <c r="FB11" s="141">
        <v>51</v>
      </c>
      <c r="FC11" s="138" t="s">
        <v>157</v>
      </c>
      <c r="FD11" s="142" t="s">
        <v>231</v>
      </c>
      <c r="FE11" s="134" t="s">
        <v>157</v>
      </c>
      <c r="FF11" s="134" t="s">
        <v>157</v>
      </c>
      <c r="FG11" s="134" t="s">
        <v>157</v>
      </c>
      <c r="FH11" s="134" t="s">
        <v>157</v>
      </c>
      <c r="FI11" s="134" t="s">
        <v>157</v>
      </c>
      <c r="FJ11" s="134" t="s">
        <v>157</v>
      </c>
      <c r="FK11" s="134" t="s">
        <v>157</v>
      </c>
      <c r="FL11" s="134" t="s">
        <v>157</v>
      </c>
      <c r="FM11" s="134" t="s">
        <v>157</v>
      </c>
      <c r="FN11" s="134" t="s">
        <v>157</v>
      </c>
      <c r="FO11" s="134" t="s">
        <v>157</v>
      </c>
      <c r="FP11" s="134" t="s">
        <v>157</v>
      </c>
      <c r="FQ11" t="s">
        <v>258</v>
      </c>
    </row>
    <row r="12" spans="1:191" ht="17">
      <c r="A12" s="126" t="s">
        <v>152</v>
      </c>
      <c r="B12" t="s">
        <v>161</v>
      </c>
      <c r="C12">
        <v>2012</v>
      </c>
      <c r="D12" t="s">
        <v>164</v>
      </c>
      <c r="E12">
        <f t="shared" si="0"/>
        <v>14800</v>
      </c>
      <c r="F12" t="str">
        <f t="shared" si="1"/>
        <v>NA</v>
      </c>
      <c r="G12" t="str">
        <f t="shared" si="2"/>
        <v>NA</v>
      </c>
      <c r="H12">
        <f t="shared" si="11"/>
        <v>374</v>
      </c>
      <c r="I12">
        <f t="shared" si="3"/>
        <v>82</v>
      </c>
      <c r="J12">
        <f t="shared" si="4"/>
        <v>76</v>
      </c>
      <c r="K12" t="s">
        <v>250</v>
      </c>
      <c r="L12" s="130" t="s">
        <v>230</v>
      </c>
      <c r="M12" s="1" t="s">
        <v>165</v>
      </c>
      <c r="N12" t="s">
        <v>164</v>
      </c>
      <c r="O12">
        <v>761</v>
      </c>
      <c r="P12" t="s">
        <v>162</v>
      </c>
      <c r="Q12">
        <v>6</v>
      </c>
      <c r="R12">
        <v>1</v>
      </c>
      <c r="S12">
        <v>133</v>
      </c>
      <c r="T12">
        <v>135</v>
      </c>
      <c r="U12" s="134" t="s">
        <v>157</v>
      </c>
      <c r="V12">
        <v>43.5</v>
      </c>
      <c r="W12" s="134" t="s">
        <v>157</v>
      </c>
      <c r="X12" t="s">
        <v>166</v>
      </c>
      <c r="Y12" s="135">
        <v>-16.739999999999998</v>
      </c>
      <c r="Z12" s="135">
        <v>115.536</v>
      </c>
      <c r="AA12" t="s">
        <v>157</v>
      </c>
      <c r="AB12" t="s">
        <v>157</v>
      </c>
      <c r="AC12" s="131">
        <v>-2179</v>
      </c>
      <c r="AD12" t="s">
        <v>157</v>
      </c>
      <c r="AE12" t="s">
        <v>157</v>
      </c>
      <c r="AF12" s="138" t="s">
        <v>157</v>
      </c>
      <c r="AG12">
        <v>14800</v>
      </c>
      <c r="AH12" s="140" t="s">
        <v>157</v>
      </c>
      <c r="AI12" s="140" t="s">
        <v>157</v>
      </c>
      <c r="AJ12" s="140" t="s">
        <v>157</v>
      </c>
      <c r="AK12" s="140" t="s">
        <v>157</v>
      </c>
      <c r="AL12" s="140" t="s">
        <v>157</v>
      </c>
      <c r="AM12" s="140" t="s">
        <v>157</v>
      </c>
      <c r="AN12" t="s">
        <v>157</v>
      </c>
      <c r="AO12" t="s">
        <v>157</v>
      </c>
      <c r="AP12" t="s">
        <v>157</v>
      </c>
      <c r="AQ12" t="s">
        <v>157</v>
      </c>
      <c r="AR12" t="s">
        <v>157</v>
      </c>
      <c r="AS12" t="s">
        <v>157</v>
      </c>
      <c r="AT12" t="s">
        <v>157</v>
      </c>
      <c r="AU12" t="s">
        <v>169</v>
      </c>
      <c r="AV12" t="s">
        <v>158</v>
      </c>
      <c r="AW12" t="s">
        <v>170</v>
      </c>
      <c r="AX12" t="s">
        <v>171</v>
      </c>
      <c r="AY12" t="s">
        <v>172</v>
      </c>
      <c r="AZ12" t="s">
        <v>173</v>
      </c>
      <c r="BA12" t="s">
        <v>159</v>
      </c>
      <c r="BB12" t="s">
        <v>182</v>
      </c>
      <c r="BC12">
        <v>2</v>
      </c>
      <c r="BD12">
        <v>0.26999999999999957</v>
      </c>
      <c r="BE12">
        <v>15.04</v>
      </c>
      <c r="BF12" t="s">
        <v>190</v>
      </c>
      <c r="BG12">
        <v>0.37</v>
      </c>
      <c r="BH12">
        <v>0.88</v>
      </c>
      <c r="BI12" t="s">
        <v>190</v>
      </c>
      <c r="BJ12" s="140" t="s">
        <v>157</v>
      </c>
      <c r="BK12">
        <v>1.85</v>
      </c>
      <c r="BL12" t="s">
        <v>190</v>
      </c>
      <c r="BM12" s="140" t="s">
        <v>157</v>
      </c>
      <c r="BN12" t="s">
        <v>208</v>
      </c>
      <c r="BO12" s="134" t="s">
        <v>207</v>
      </c>
      <c r="BP12" s="143">
        <f t="shared" si="5"/>
        <v>14.988636363636363</v>
      </c>
      <c r="BQ12" s="134" t="s">
        <v>157</v>
      </c>
      <c r="BR12" s="134" t="s">
        <v>157</v>
      </c>
      <c r="BS12" s="134" t="s">
        <v>157</v>
      </c>
      <c r="BT12" s="134" t="s">
        <v>157</v>
      </c>
      <c r="BU12" s="134" t="s">
        <v>209</v>
      </c>
      <c r="BV12" s="134" t="s">
        <v>210</v>
      </c>
      <c r="BW12" s="134" t="s">
        <v>210</v>
      </c>
      <c r="BX12" s="141">
        <v>30.8</v>
      </c>
      <c r="BY12" t="s">
        <v>190</v>
      </c>
      <c r="BZ12" s="126">
        <f t="shared" si="6"/>
        <v>32.299999999999997</v>
      </c>
      <c r="CA12" s="126">
        <f t="shared" si="7"/>
        <v>29.3</v>
      </c>
      <c r="CB12" t="s">
        <v>157</v>
      </c>
      <c r="CC12">
        <v>4.17</v>
      </c>
      <c r="CD12" t="s">
        <v>190</v>
      </c>
      <c r="CE12" s="133">
        <f t="shared" si="8"/>
        <v>6.2549999999999994E-2</v>
      </c>
      <c r="CF12" s="133">
        <f t="shared" si="9"/>
        <v>6.2549999999999994E-2</v>
      </c>
      <c r="CG12" s="134" t="s">
        <v>157</v>
      </c>
      <c r="CH12" t="s">
        <v>191</v>
      </c>
      <c r="CI12" s="134">
        <v>3.43</v>
      </c>
      <c r="CJ12" s="134" t="s">
        <v>254</v>
      </c>
      <c r="CK12" s="134" t="s">
        <v>157</v>
      </c>
      <c r="CL12" s="134" t="s">
        <v>157</v>
      </c>
      <c r="CM12" s="134" t="s">
        <v>157</v>
      </c>
      <c r="CN12" t="s">
        <v>157</v>
      </c>
      <c r="CO12" t="s">
        <v>157</v>
      </c>
      <c r="CP12" t="s">
        <v>157</v>
      </c>
      <c r="CQ12" t="s">
        <v>157</v>
      </c>
      <c r="CR12" t="s">
        <v>157</v>
      </c>
      <c r="CS12" t="s">
        <v>157</v>
      </c>
      <c r="CT12" t="s">
        <v>157</v>
      </c>
      <c r="CU12">
        <v>35</v>
      </c>
      <c r="CV12" t="s">
        <v>190</v>
      </c>
      <c r="CW12" s="134" t="s">
        <v>157</v>
      </c>
      <c r="CX12" s="134" t="s">
        <v>192</v>
      </c>
      <c r="CY12" s="134" t="s">
        <v>157</v>
      </c>
      <c r="CZ12" s="134" t="s">
        <v>157</v>
      </c>
      <c r="DA12" s="134" t="s">
        <v>157</v>
      </c>
      <c r="DB12" s="134" t="s">
        <v>157</v>
      </c>
      <c r="DC12" s="134" t="s">
        <v>157</v>
      </c>
      <c r="DD12" s="134" t="s">
        <v>157</v>
      </c>
      <c r="DE12" s="134" t="s">
        <v>157</v>
      </c>
      <c r="DF12" s="134" t="s">
        <v>157</v>
      </c>
      <c r="DG12" s="134" t="s">
        <v>157</v>
      </c>
      <c r="DH12" s="134" t="s">
        <v>157</v>
      </c>
      <c r="DI12" s="134" t="s">
        <v>157</v>
      </c>
      <c r="DJ12" s="134" t="s">
        <v>157</v>
      </c>
      <c r="DK12" s="145">
        <v>432.56244218316402</v>
      </c>
      <c r="DL12" s="134" t="s">
        <v>157</v>
      </c>
      <c r="DM12" s="134" t="s">
        <v>157</v>
      </c>
      <c r="DN12" t="s">
        <v>249</v>
      </c>
      <c r="DO12">
        <v>37.82</v>
      </c>
      <c r="DP12" t="s">
        <v>190</v>
      </c>
      <c r="DQ12">
        <v>0.35</v>
      </c>
      <c r="DR12" t="s">
        <v>193</v>
      </c>
      <c r="DS12" t="s">
        <v>222</v>
      </c>
      <c r="DT12" t="s">
        <v>214</v>
      </c>
      <c r="DU12">
        <v>1.0271999999999999</v>
      </c>
      <c r="DV12" t="s">
        <v>190</v>
      </c>
      <c r="DW12">
        <v>5.9999999999999995E-4</v>
      </c>
      <c r="DX12" t="s">
        <v>206</v>
      </c>
      <c r="DY12" t="s">
        <v>157</v>
      </c>
      <c r="DZ12" t="s">
        <v>157</v>
      </c>
      <c r="EA12" s="134" t="s">
        <v>157</v>
      </c>
      <c r="EB12" s="134" t="s">
        <v>240</v>
      </c>
      <c r="EC12" s="134" t="s">
        <v>248</v>
      </c>
      <c r="ED12" s="134" t="s">
        <v>248</v>
      </c>
      <c r="EE12" s="134" t="s">
        <v>157</v>
      </c>
      <c r="EF12" s="134" t="s">
        <v>157</v>
      </c>
      <c r="EG12" s="134" t="s">
        <v>157</v>
      </c>
      <c r="EH12" t="s">
        <v>194</v>
      </c>
      <c r="EI12" t="s">
        <v>195</v>
      </c>
      <c r="EJ12" t="s">
        <v>196</v>
      </c>
      <c r="EK12">
        <v>1293</v>
      </c>
      <c r="EL12" t="s">
        <v>251</v>
      </c>
      <c r="EM12">
        <v>200</v>
      </c>
      <c r="EN12">
        <v>200</v>
      </c>
      <c r="EO12" s="134" t="s">
        <v>157</v>
      </c>
      <c r="EP12" s="134" t="s">
        <v>157</v>
      </c>
      <c r="EQ12" s="134" t="s">
        <v>157</v>
      </c>
      <c r="ER12" s="134" t="s">
        <v>157</v>
      </c>
      <c r="ES12" s="141">
        <v>7.85</v>
      </c>
      <c r="ET12" s="132" t="s">
        <v>157</v>
      </c>
      <c r="EU12" s="141">
        <v>0.05</v>
      </c>
      <c r="EV12" s="141">
        <v>0.05</v>
      </c>
      <c r="EW12" s="139">
        <f t="shared" si="10"/>
        <v>374</v>
      </c>
      <c r="EX12" s="141" t="s">
        <v>197</v>
      </c>
      <c r="EY12" s="138" t="s">
        <v>157</v>
      </c>
      <c r="EZ12" s="141">
        <v>374</v>
      </c>
      <c r="FA12" s="141">
        <v>82</v>
      </c>
      <c r="FB12" s="141">
        <v>76</v>
      </c>
      <c r="FC12" s="138" t="s">
        <v>157</v>
      </c>
      <c r="FD12" s="142" t="s">
        <v>231</v>
      </c>
      <c r="FE12" s="134" t="s">
        <v>157</v>
      </c>
      <c r="FF12" s="134" t="s">
        <v>157</v>
      </c>
      <c r="FG12" s="134" t="s">
        <v>157</v>
      </c>
      <c r="FH12" s="134" t="s">
        <v>157</v>
      </c>
      <c r="FI12" s="134" t="s">
        <v>157</v>
      </c>
      <c r="FJ12" s="134" t="s">
        <v>157</v>
      </c>
      <c r="FK12" s="134" t="s">
        <v>157</v>
      </c>
      <c r="FL12" s="134" t="s">
        <v>157</v>
      </c>
      <c r="FM12" s="134" t="s">
        <v>157</v>
      </c>
      <c r="FN12" s="134" t="s">
        <v>157</v>
      </c>
      <c r="FO12" s="134" t="s">
        <v>157</v>
      </c>
      <c r="FP12" s="134" t="s">
        <v>157</v>
      </c>
      <c r="FQ12" t="s">
        <v>258</v>
      </c>
    </row>
    <row r="13" spans="1:191" ht="17">
      <c r="A13" s="126" t="s">
        <v>152</v>
      </c>
      <c r="B13" t="s">
        <v>161</v>
      </c>
      <c r="C13">
        <v>2012</v>
      </c>
      <c r="D13" t="s">
        <v>164</v>
      </c>
      <c r="E13">
        <f t="shared" si="0"/>
        <v>15040</v>
      </c>
      <c r="F13" t="str">
        <f t="shared" si="1"/>
        <v>NA</v>
      </c>
      <c r="G13" t="str">
        <f t="shared" si="2"/>
        <v>NA</v>
      </c>
      <c r="H13">
        <f t="shared" si="11"/>
        <v>332</v>
      </c>
      <c r="I13">
        <f t="shared" si="3"/>
        <v>75</v>
      </c>
      <c r="J13">
        <f t="shared" si="4"/>
        <v>69</v>
      </c>
      <c r="K13" t="s">
        <v>250</v>
      </c>
      <c r="L13" s="130" t="s">
        <v>230</v>
      </c>
      <c r="M13" s="1" t="s">
        <v>165</v>
      </c>
      <c r="N13" t="s">
        <v>164</v>
      </c>
      <c r="O13">
        <v>761</v>
      </c>
      <c r="P13" t="s">
        <v>162</v>
      </c>
      <c r="Q13">
        <v>6</v>
      </c>
      <c r="R13">
        <v>2</v>
      </c>
      <c r="S13">
        <v>63</v>
      </c>
      <c r="T13">
        <v>65</v>
      </c>
      <c r="U13" s="134" t="s">
        <v>157</v>
      </c>
      <c r="V13">
        <v>44.3</v>
      </c>
      <c r="W13" s="134" t="s">
        <v>157</v>
      </c>
      <c r="X13" t="s">
        <v>166</v>
      </c>
      <c r="Y13" s="135">
        <v>-16.739999999999998</v>
      </c>
      <c r="Z13" s="135">
        <v>115.536</v>
      </c>
      <c r="AA13" t="s">
        <v>157</v>
      </c>
      <c r="AB13" t="s">
        <v>157</v>
      </c>
      <c r="AC13" s="131">
        <v>-2179</v>
      </c>
      <c r="AD13" t="s">
        <v>157</v>
      </c>
      <c r="AE13" t="s">
        <v>157</v>
      </c>
      <c r="AF13" s="138" t="s">
        <v>157</v>
      </c>
      <c r="AG13">
        <v>15040</v>
      </c>
      <c r="AH13" s="140" t="s">
        <v>157</v>
      </c>
      <c r="AI13" s="140" t="s">
        <v>157</v>
      </c>
      <c r="AJ13" s="140" t="s">
        <v>157</v>
      </c>
      <c r="AK13" s="140" t="s">
        <v>157</v>
      </c>
      <c r="AL13" s="140" t="s">
        <v>157</v>
      </c>
      <c r="AM13" s="140" t="s">
        <v>157</v>
      </c>
      <c r="AN13" t="s">
        <v>157</v>
      </c>
      <c r="AO13" t="s">
        <v>157</v>
      </c>
      <c r="AP13" t="s">
        <v>157</v>
      </c>
      <c r="AQ13" t="s">
        <v>157</v>
      </c>
      <c r="AR13" t="s">
        <v>157</v>
      </c>
      <c r="AS13" t="s">
        <v>157</v>
      </c>
      <c r="AT13" t="s">
        <v>157</v>
      </c>
      <c r="AU13" t="s">
        <v>169</v>
      </c>
      <c r="AV13" t="s">
        <v>158</v>
      </c>
      <c r="AW13" t="s">
        <v>170</v>
      </c>
      <c r="AX13" t="s">
        <v>171</v>
      </c>
      <c r="AY13" t="s">
        <v>172</v>
      </c>
      <c r="AZ13" t="s">
        <v>173</v>
      </c>
      <c r="BA13" t="s">
        <v>159</v>
      </c>
      <c r="BB13" t="s">
        <v>183</v>
      </c>
      <c r="BC13">
        <v>2</v>
      </c>
      <c r="BD13">
        <v>0.56999999999999851</v>
      </c>
      <c r="BE13">
        <v>15.34</v>
      </c>
      <c r="BF13" t="s">
        <v>190</v>
      </c>
      <c r="BG13">
        <v>0.4</v>
      </c>
      <c r="BH13">
        <v>0.88</v>
      </c>
      <c r="BI13" t="s">
        <v>190</v>
      </c>
      <c r="BJ13" s="140" t="s">
        <v>157</v>
      </c>
      <c r="BK13">
        <v>1.85</v>
      </c>
      <c r="BL13" t="s">
        <v>190</v>
      </c>
      <c r="BM13" s="140" t="s">
        <v>157</v>
      </c>
      <c r="BN13" t="s">
        <v>208</v>
      </c>
      <c r="BO13" s="134" t="s">
        <v>207</v>
      </c>
      <c r="BP13" s="143">
        <f t="shared" si="5"/>
        <v>15.329545454545455</v>
      </c>
      <c r="BQ13" s="134" t="s">
        <v>157</v>
      </c>
      <c r="BR13" s="134" t="s">
        <v>157</v>
      </c>
      <c r="BS13" s="134" t="s">
        <v>157</v>
      </c>
      <c r="BT13" s="134" t="s">
        <v>157</v>
      </c>
      <c r="BU13" s="134" t="s">
        <v>209</v>
      </c>
      <c r="BV13" s="134" t="s">
        <v>210</v>
      </c>
      <c r="BW13" s="134" t="s">
        <v>210</v>
      </c>
      <c r="BX13" s="141">
        <v>30.2</v>
      </c>
      <c r="BY13" t="s">
        <v>190</v>
      </c>
      <c r="BZ13" s="126">
        <f t="shared" si="6"/>
        <v>31.7</v>
      </c>
      <c r="CA13" s="126">
        <f t="shared" si="7"/>
        <v>28.7</v>
      </c>
      <c r="CB13" t="s">
        <v>157</v>
      </c>
      <c r="CC13">
        <v>3.94</v>
      </c>
      <c r="CD13" t="s">
        <v>190</v>
      </c>
      <c r="CE13" s="133">
        <f t="shared" si="8"/>
        <v>5.91E-2</v>
      </c>
      <c r="CF13" s="133">
        <f t="shared" si="9"/>
        <v>5.91E-2</v>
      </c>
      <c r="CG13" s="134" t="s">
        <v>157</v>
      </c>
      <c r="CH13" t="s">
        <v>191</v>
      </c>
      <c r="CI13" s="134">
        <v>3.43</v>
      </c>
      <c r="CJ13" s="134" t="s">
        <v>254</v>
      </c>
      <c r="CK13" s="134" t="s">
        <v>157</v>
      </c>
      <c r="CL13" s="134" t="s">
        <v>157</v>
      </c>
      <c r="CM13" s="134" t="s">
        <v>157</v>
      </c>
      <c r="CN13" t="s">
        <v>157</v>
      </c>
      <c r="CO13" t="s">
        <v>157</v>
      </c>
      <c r="CP13" t="s">
        <v>157</v>
      </c>
      <c r="CQ13" t="s">
        <v>157</v>
      </c>
      <c r="CR13" t="s">
        <v>157</v>
      </c>
      <c r="CS13" t="s">
        <v>157</v>
      </c>
      <c r="CT13" t="s">
        <v>157</v>
      </c>
      <c r="CU13">
        <v>35</v>
      </c>
      <c r="CV13" t="s">
        <v>190</v>
      </c>
      <c r="CW13" s="134" t="s">
        <v>157</v>
      </c>
      <c r="CX13" s="134" t="s">
        <v>192</v>
      </c>
      <c r="CY13" s="134" t="s">
        <v>157</v>
      </c>
      <c r="CZ13" s="134" t="s">
        <v>157</v>
      </c>
      <c r="DA13" s="134" t="s">
        <v>157</v>
      </c>
      <c r="DB13" s="134" t="s">
        <v>157</v>
      </c>
      <c r="DC13" s="134" t="s">
        <v>157</v>
      </c>
      <c r="DD13" s="134" t="s">
        <v>157</v>
      </c>
      <c r="DE13" s="134" t="s">
        <v>157</v>
      </c>
      <c r="DF13" s="134" t="s">
        <v>157</v>
      </c>
      <c r="DG13" s="134" t="s">
        <v>157</v>
      </c>
      <c r="DH13" s="134" t="s">
        <v>157</v>
      </c>
      <c r="DI13" s="134" t="s">
        <v>157</v>
      </c>
      <c r="DJ13" s="134" t="s">
        <v>157</v>
      </c>
      <c r="DK13" s="145">
        <v>432.56244218316402</v>
      </c>
      <c r="DL13" s="134" t="s">
        <v>157</v>
      </c>
      <c r="DM13" s="134" t="s">
        <v>157</v>
      </c>
      <c r="DN13" t="s">
        <v>249</v>
      </c>
      <c r="DO13">
        <v>37.82</v>
      </c>
      <c r="DP13" t="s">
        <v>190</v>
      </c>
      <c r="DQ13">
        <v>0.35</v>
      </c>
      <c r="DR13" t="s">
        <v>193</v>
      </c>
      <c r="DS13" t="s">
        <v>223</v>
      </c>
      <c r="DT13" t="s">
        <v>214</v>
      </c>
      <c r="DU13">
        <v>1.0271999999999999</v>
      </c>
      <c r="DV13" t="s">
        <v>190</v>
      </c>
      <c r="DW13">
        <v>5.9999999999999995E-4</v>
      </c>
      <c r="DX13" t="s">
        <v>206</v>
      </c>
      <c r="DY13" t="s">
        <v>157</v>
      </c>
      <c r="DZ13" t="s">
        <v>157</v>
      </c>
      <c r="EA13" s="134" t="s">
        <v>157</v>
      </c>
      <c r="EB13" s="134" t="s">
        <v>241</v>
      </c>
      <c r="EC13" s="134" t="s">
        <v>248</v>
      </c>
      <c r="ED13" s="134" t="s">
        <v>248</v>
      </c>
      <c r="EE13" s="134" t="s">
        <v>157</v>
      </c>
      <c r="EF13" s="134" t="s">
        <v>157</v>
      </c>
      <c r="EG13" s="134" t="s">
        <v>157</v>
      </c>
      <c r="EH13" t="s">
        <v>194</v>
      </c>
      <c r="EI13" t="s">
        <v>195</v>
      </c>
      <c r="EJ13" t="s">
        <v>196</v>
      </c>
      <c r="EK13">
        <v>1293</v>
      </c>
      <c r="EL13" t="s">
        <v>251</v>
      </c>
      <c r="EM13">
        <v>200</v>
      </c>
      <c r="EN13">
        <v>200</v>
      </c>
      <c r="EO13" s="134" t="s">
        <v>157</v>
      </c>
      <c r="EP13" s="134" t="s">
        <v>157</v>
      </c>
      <c r="EQ13" s="134" t="s">
        <v>157</v>
      </c>
      <c r="ER13" s="134" t="s">
        <v>157</v>
      </c>
      <c r="ES13" s="141">
        <v>7.89</v>
      </c>
      <c r="ET13" s="132" t="s">
        <v>157</v>
      </c>
      <c r="EU13" s="141">
        <v>0.05</v>
      </c>
      <c r="EV13" s="141">
        <v>0.05</v>
      </c>
      <c r="EW13" s="139">
        <f t="shared" si="10"/>
        <v>332</v>
      </c>
      <c r="EX13" s="141" t="s">
        <v>197</v>
      </c>
      <c r="EY13" s="138" t="s">
        <v>157</v>
      </c>
      <c r="EZ13" s="141">
        <v>332</v>
      </c>
      <c r="FA13" s="141">
        <v>75</v>
      </c>
      <c r="FB13" s="141">
        <v>69</v>
      </c>
      <c r="FC13" s="138" t="s">
        <v>157</v>
      </c>
      <c r="FD13" s="142" t="s">
        <v>231</v>
      </c>
      <c r="FE13" s="134" t="s">
        <v>157</v>
      </c>
      <c r="FF13" s="134" t="s">
        <v>157</v>
      </c>
      <c r="FG13" s="134" t="s">
        <v>157</v>
      </c>
      <c r="FH13" s="134" t="s">
        <v>157</v>
      </c>
      <c r="FI13" s="134" t="s">
        <v>157</v>
      </c>
      <c r="FJ13" s="134" t="s">
        <v>157</v>
      </c>
      <c r="FK13" s="134" t="s">
        <v>157</v>
      </c>
      <c r="FL13" s="134" t="s">
        <v>157</v>
      </c>
      <c r="FM13" s="134" t="s">
        <v>157</v>
      </c>
      <c r="FN13" s="134" t="s">
        <v>157</v>
      </c>
      <c r="FO13" s="134" t="s">
        <v>157</v>
      </c>
      <c r="FP13" s="134" t="s">
        <v>157</v>
      </c>
      <c r="FQ13" t="s">
        <v>258</v>
      </c>
    </row>
    <row r="14" spans="1:191" ht="17">
      <c r="A14" s="126" t="s">
        <v>152</v>
      </c>
      <c r="B14" t="s">
        <v>161</v>
      </c>
      <c r="C14">
        <v>2012</v>
      </c>
      <c r="D14" t="s">
        <v>164</v>
      </c>
      <c r="E14">
        <f t="shared" si="0"/>
        <v>15560</v>
      </c>
      <c r="F14" t="str">
        <f t="shared" si="1"/>
        <v>NA</v>
      </c>
      <c r="G14" t="str">
        <f t="shared" si="2"/>
        <v>NA</v>
      </c>
      <c r="H14">
        <f t="shared" si="11"/>
        <v>298</v>
      </c>
      <c r="I14">
        <f t="shared" si="3"/>
        <v>59</v>
      </c>
      <c r="J14">
        <f t="shared" si="4"/>
        <v>57</v>
      </c>
      <c r="K14" t="s">
        <v>250</v>
      </c>
      <c r="L14" s="130" t="s">
        <v>230</v>
      </c>
      <c r="M14" s="1" t="s">
        <v>165</v>
      </c>
      <c r="N14" t="s">
        <v>164</v>
      </c>
      <c r="O14">
        <v>761</v>
      </c>
      <c r="P14" t="s">
        <v>162</v>
      </c>
      <c r="Q14">
        <v>6</v>
      </c>
      <c r="R14">
        <v>3</v>
      </c>
      <c r="S14">
        <v>103</v>
      </c>
      <c r="T14">
        <v>105</v>
      </c>
      <c r="U14" s="134" t="s">
        <v>157</v>
      </c>
      <c r="V14">
        <v>46.2</v>
      </c>
      <c r="W14" s="134" t="s">
        <v>157</v>
      </c>
      <c r="X14" t="s">
        <v>166</v>
      </c>
      <c r="Y14" s="135">
        <v>-16.739999999999998</v>
      </c>
      <c r="Z14" s="135">
        <v>115.536</v>
      </c>
      <c r="AA14" t="s">
        <v>157</v>
      </c>
      <c r="AB14" t="s">
        <v>157</v>
      </c>
      <c r="AC14" s="131">
        <v>-2179</v>
      </c>
      <c r="AD14" t="s">
        <v>157</v>
      </c>
      <c r="AE14" t="s">
        <v>157</v>
      </c>
      <c r="AF14" s="138" t="s">
        <v>157</v>
      </c>
      <c r="AG14">
        <v>15560</v>
      </c>
      <c r="AH14" s="140" t="s">
        <v>157</v>
      </c>
      <c r="AI14" s="140" t="s">
        <v>157</v>
      </c>
      <c r="AJ14" s="140" t="s">
        <v>157</v>
      </c>
      <c r="AK14" s="140" t="s">
        <v>157</v>
      </c>
      <c r="AL14" s="140" t="s">
        <v>157</v>
      </c>
      <c r="AM14" s="140" t="s">
        <v>157</v>
      </c>
      <c r="AN14" t="s">
        <v>157</v>
      </c>
      <c r="AO14" t="s">
        <v>157</v>
      </c>
      <c r="AP14" t="s">
        <v>157</v>
      </c>
      <c r="AQ14" t="s">
        <v>157</v>
      </c>
      <c r="AR14" t="s">
        <v>157</v>
      </c>
      <c r="AS14" t="s">
        <v>157</v>
      </c>
      <c r="AT14" t="s">
        <v>157</v>
      </c>
      <c r="AU14" t="s">
        <v>169</v>
      </c>
      <c r="AV14" t="s">
        <v>158</v>
      </c>
      <c r="AW14" t="s">
        <v>170</v>
      </c>
      <c r="AX14" t="s">
        <v>171</v>
      </c>
      <c r="AY14" t="s">
        <v>172</v>
      </c>
      <c r="AZ14" t="s">
        <v>173</v>
      </c>
      <c r="BA14" t="s">
        <v>159</v>
      </c>
      <c r="BB14" t="s">
        <v>184</v>
      </c>
      <c r="BC14">
        <v>2</v>
      </c>
      <c r="BD14">
        <v>0.17999999999999972</v>
      </c>
      <c r="BE14">
        <v>15.84</v>
      </c>
      <c r="BF14" t="s">
        <v>190</v>
      </c>
      <c r="BG14">
        <v>0.28999999999999998</v>
      </c>
      <c r="BH14">
        <v>0.88</v>
      </c>
      <c r="BI14" t="s">
        <v>190</v>
      </c>
      <c r="BJ14" s="140" t="s">
        <v>157</v>
      </c>
      <c r="BK14">
        <v>1.85</v>
      </c>
      <c r="BL14" t="s">
        <v>190</v>
      </c>
      <c r="BM14" s="140" t="s">
        <v>157</v>
      </c>
      <c r="BN14" t="s">
        <v>208</v>
      </c>
      <c r="BO14" s="134" t="s">
        <v>207</v>
      </c>
      <c r="BP14" s="143">
        <f t="shared" si="5"/>
        <v>15.897727272727273</v>
      </c>
      <c r="BQ14" s="134" t="s">
        <v>157</v>
      </c>
      <c r="BR14" s="134" t="s">
        <v>157</v>
      </c>
      <c r="BS14" s="134" t="s">
        <v>157</v>
      </c>
      <c r="BT14" s="134" t="s">
        <v>157</v>
      </c>
      <c r="BU14" s="134" t="s">
        <v>209</v>
      </c>
      <c r="BV14" s="134" t="s">
        <v>210</v>
      </c>
      <c r="BW14" s="134" t="s">
        <v>210</v>
      </c>
      <c r="BX14" s="141">
        <v>32.1</v>
      </c>
      <c r="BY14" t="s">
        <v>190</v>
      </c>
      <c r="BZ14" s="126">
        <f t="shared" si="6"/>
        <v>33.6</v>
      </c>
      <c r="CA14" s="126">
        <f t="shared" si="7"/>
        <v>30.6</v>
      </c>
      <c r="CB14" t="s">
        <v>157</v>
      </c>
      <c r="CC14">
        <v>4.6900000000000004</v>
      </c>
      <c r="CD14" t="s">
        <v>190</v>
      </c>
      <c r="CE14" s="133">
        <f t="shared" si="8"/>
        <v>7.035000000000001E-2</v>
      </c>
      <c r="CF14" s="133">
        <f t="shared" si="9"/>
        <v>7.035000000000001E-2</v>
      </c>
      <c r="CG14" s="134" t="s">
        <v>157</v>
      </c>
      <c r="CH14" t="s">
        <v>191</v>
      </c>
      <c r="CI14" s="134">
        <v>3.43</v>
      </c>
      <c r="CJ14" s="134" t="s">
        <v>254</v>
      </c>
      <c r="CK14" s="134" t="s">
        <v>157</v>
      </c>
      <c r="CL14" s="134" t="s">
        <v>157</v>
      </c>
      <c r="CM14" s="134" t="s">
        <v>157</v>
      </c>
      <c r="CN14" t="s">
        <v>157</v>
      </c>
      <c r="CO14" t="s">
        <v>157</v>
      </c>
      <c r="CP14" t="s">
        <v>157</v>
      </c>
      <c r="CQ14" t="s">
        <v>157</v>
      </c>
      <c r="CR14" t="s">
        <v>157</v>
      </c>
      <c r="CS14" t="s">
        <v>157</v>
      </c>
      <c r="CT14" t="s">
        <v>157</v>
      </c>
      <c r="CU14">
        <v>35</v>
      </c>
      <c r="CV14" t="s">
        <v>190</v>
      </c>
      <c r="CW14" s="134" t="s">
        <v>157</v>
      </c>
      <c r="CX14" s="134" t="s">
        <v>192</v>
      </c>
      <c r="CY14" s="134" t="s">
        <v>157</v>
      </c>
      <c r="CZ14" s="134" t="s">
        <v>157</v>
      </c>
      <c r="DA14" s="134" t="s">
        <v>157</v>
      </c>
      <c r="DB14" s="134" t="s">
        <v>157</v>
      </c>
      <c r="DC14" s="134" t="s">
        <v>157</v>
      </c>
      <c r="DD14" s="134" t="s">
        <v>157</v>
      </c>
      <c r="DE14" s="134" t="s">
        <v>157</v>
      </c>
      <c r="DF14" s="134" t="s">
        <v>157</v>
      </c>
      <c r="DG14" s="134" t="s">
        <v>157</v>
      </c>
      <c r="DH14" s="134" t="s">
        <v>157</v>
      </c>
      <c r="DI14" s="134" t="s">
        <v>157</v>
      </c>
      <c r="DJ14" s="134" t="s">
        <v>157</v>
      </c>
      <c r="DK14" s="145">
        <v>432.56244218316402</v>
      </c>
      <c r="DL14" s="134" t="s">
        <v>157</v>
      </c>
      <c r="DM14" s="134" t="s">
        <v>157</v>
      </c>
      <c r="DN14" t="s">
        <v>249</v>
      </c>
      <c r="DO14">
        <v>37.82</v>
      </c>
      <c r="DP14" t="s">
        <v>190</v>
      </c>
      <c r="DQ14">
        <v>0.35</v>
      </c>
      <c r="DR14" t="s">
        <v>193</v>
      </c>
      <c r="DS14" t="s">
        <v>224</v>
      </c>
      <c r="DT14" t="s">
        <v>214</v>
      </c>
      <c r="DU14">
        <v>1.0271999999999999</v>
      </c>
      <c r="DV14" t="s">
        <v>190</v>
      </c>
      <c r="DW14">
        <v>5.9999999999999995E-4</v>
      </c>
      <c r="DX14" t="s">
        <v>206</v>
      </c>
      <c r="DY14" t="s">
        <v>157</v>
      </c>
      <c r="DZ14" t="s">
        <v>157</v>
      </c>
      <c r="EA14" s="134" t="s">
        <v>157</v>
      </c>
      <c r="EB14" s="134" t="s">
        <v>242</v>
      </c>
      <c r="EC14" s="134" t="s">
        <v>248</v>
      </c>
      <c r="ED14" s="134" t="s">
        <v>248</v>
      </c>
      <c r="EE14" s="134" t="s">
        <v>157</v>
      </c>
      <c r="EF14" s="134" t="s">
        <v>157</v>
      </c>
      <c r="EG14" s="134" t="s">
        <v>157</v>
      </c>
      <c r="EH14" t="s">
        <v>194</v>
      </c>
      <c r="EI14" t="s">
        <v>195</v>
      </c>
      <c r="EJ14" t="s">
        <v>196</v>
      </c>
      <c r="EK14">
        <v>1293</v>
      </c>
      <c r="EL14" t="s">
        <v>251</v>
      </c>
      <c r="EM14">
        <v>200</v>
      </c>
      <c r="EN14">
        <v>200</v>
      </c>
      <c r="EO14" s="134" t="s">
        <v>157</v>
      </c>
      <c r="EP14" s="134" t="s">
        <v>157</v>
      </c>
      <c r="EQ14" s="134" t="s">
        <v>157</v>
      </c>
      <c r="ER14" s="134" t="s">
        <v>157</v>
      </c>
      <c r="ES14" s="141">
        <v>7.93</v>
      </c>
      <c r="ET14" s="132" t="s">
        <v>157</v>
      </c>
      <c r="EU14" s="141">
        <v>0.03</v>
      </c>
      <c r="EV14" s="141">
        <v>0.03</v>
      </c>
      <c r="EW14" s="139">
        <f t="shared" si="10"/>
        <v>298</v>
      </c>
      <c r="EX14" s="141" t="s">
        <v>197</v>
      </c>
      <c r="EY14" s="138" t="s">
        <v>157</v>
      </c>
      <c r="EZ14" s="141">
        <v>298</v>
      </c>
      <c r="FA14" s="141">
        <v>59</v>
      </c>
      <c r="FB14" s="141">
        <v>57</v>
      </c>
      <c r="FC14" s="138" t="s">
        <v>157</v>
      </c>
      <c r="FD14" s="142" t="s">
        <v>231</v>
      </c>
      <c r="FE14" s="134" t="s">
        <v>157</v>
      </c>
      <c r="FF14" s="134" t="s">
        <v>157</v>
      </c>
      <c r="FG14" s="134" t="s">
        <v>157</v>
      </c>
      <c r="FH14" s="134" t="s">
        <v>157</v>
      </c>
      <c r="FI14" s="134" t="s">
        <v>157</v>
      </c>
      <c r="FJ14" s="134" t="s">
        <v>157</v>
      </c>
      <c r="FK14" s="134" t="s">
        <v>157</v>
      </c>
      <c r="FL14" s="134" t="s">
        <v>157</v>
      </c>
      <c r="FM14" s="134" t="s">
        <v>157</v>
      </c>
      <c r="FN14" s="134" t="s">
        <v>157</v>
      </c>
      <c r="FO14" s="134" t="s">
        <v>157</v>
      </c>
      <c r="FP14" s="134" t="s">
        <v>157</v>
      </c>
      <c r="FQ14" t="s">
        <v>258</v>
      </c>
    </row>
    <row r="15" spans="1:191" ht="17">
      <c r="A15" s="126" t="s">
        <v>152</v>
      </c>
      <c r="B15" t="s">
        <v>161</v>
      </c>
      <c r="C15">
        <v>2012</v>
      </c>
      <c r="D15" t="s">
        <v>164</v>
      </c>
      <c r="E15">
        <f t="shared" si="0"/>
        <v>15870</v>
      </c>
      <c r="F15" t="str">
        <f t="shared" si="1"/>
        <v>NA</v>
      </c>
      <c r="G15" t="str">
        <f t="shared" si="2"/>
        <v>NA</v>
      </c>
      <c r="H15">
        <f t="shared" si="11"/>
        <v>392</v>
      </c>
      <c r="I15">
        <f t="shared" si="3"/>
        <v>92</v>
      </c>
      <c r="J15">
        <f t="shared" si="4"/>
        <v>84</v>
      </c>
      <c r="K15" t="s">
        <v>250</v>
      </c>
      <c r="L15" s="130" t="s">
        <v>230</v>
      </c>
      <c r="M15" s="1" t="s">
        <v>165</v>
      </c>
      <c r="N15" t="s">
        <v>164</v>
      </c>
      <c r="O15">
        <v>761</v>
      </c>
      <c r="P15" t="s">
        <v>162</v>
      </c>
      <c r="Q15">
        <v>6</v>
      </c>
      <c r="R15">
        <v>4</v>
      </c>
      <c r="S15">
        <v>68</v>
      </c>
      <c r="T15">
        <v>70</v>
      </c>
      <c r="U15" s="134" t="s">
        <v>157</v>
      </c>
      <c r="V15">
        <v>47.4</v>
      </c>
      <c r="W15" s="134" t="s">
        <v>157</v>
      </c>
      <c r="X15" t="s">
        <v>166</v>
      </c>
      <c r="Y15" s="135">
        <v>-16.739999999999998</v>
      </c>
      <c r="Z15" s="135">
        <v>115.536</v>
      </c>
      <c r="AA15" t="s">
        <v>157</v>
      </c>
      <c r="AB15" t="s">
        <v>157</v>
      </c>
      <c r="AC15" s="131">
        <v>-2179</v>
      </c>
      <c r="AD15" t="s">
        <v>157</v>
      </c>
      <c r="AE15" t="s">
        <v>157</v>
      </c>
      <c r="AF15" s="138" t="s">
        <v>157</v>
      </c>
      <c r="AG15">
        <v>15870</v>
      </c>
      <c r="AH15" s="140" t="s">
        <v>157</v>
      </c>
      <c r="AI15" s="140" t="s">
        <v>157</v>
      </c>
      <c r="AJ15" s="140" t="s">
        <v>157</v>
      </c>
      <c r="AK15" s="140" t="s">
        <v>157</v>
      </c>
      <c r="AL15" s="140" t="s">
        <v>157</v>
      </c>
      <c r="AM15" s="140" t="s">
        <v>157</v>
      </c>
      <c r="AN15" t="s">
        <v>157</v>
      </c>
      <c r="AO15" t="s">
        <v>157</v>
      </c>
      <c r="AP15" t="s">
        <v>157</v>
      </c>
      <c r="AQ15" t="s">
        <v>157</v>
      </c>
      <c r="AR15" t="s">
        <v>157</v>
      </c>
      <c r="AS15" t="s">
        <v>157</v>
      </c>
      <c r="AT15" t="s">
        <v>157</v>
      </c>
      <c r="AU15" t="s">
        <v>169</v>
      </c>
      <c r="AV15" t="s">
        <v>158</v>
      </c>
      <c r="AW15" t="s">
        <v>170</v>
      </c>
      <c r="AX15" t="s">
        <v>171</v>
      </c>
      <c r="AY15" t="s">
        <v>172</v>
      </c>
      <c r="AZ15" t="s">
        <v>173</v>
      </c>
      <c r="BA15" t="s">
        <v>159</v>
      </c>
      <c r="BB15" t="s">
        <v>185</v>
      </c>
      <c r="BC15">
        <v>2</v>
      </c>
      <c r="BD15">
        <v>0.73999999999999844</v>
      </c>
      <c r="BE15">
        <v>15</v>
      </c>
      <c r="BF15" t="s">
        <v>190</v>
      </c>
      <c r="BG15">
        <v>0.41</v>
      </c>
      <c r="BH15">
        <v>0.88</v>
      </c>
      <c r="BI15" t="s">
        <v>190</v>
      </c>
      <c r="BJ15" s="140" t="s">
        <v>157</v>
      </c>
      <c r="BK15">
        <v>1.85</v>
      </c>
      <c r="BL15" t="s">
        <v>190</v>
      </c>
      <c r="BM15" s="140" t="s">
        <v>157</v>
      </c>
      <c r="BN15" t="s">
        <v>208</v>
      </c>
      <c r="BO15" s="134" t="s">
        <v>207</v>
      </c>
      <c r="BP15" s="143">
        <f t="shared" si="5"/>
        <v>14.943181818181818</v>
      </c>
      <c r="BQ15" s="134" t="s">
        <v>157</v>
      </c>
      <c r="BR15" s="134" t="s">
        <v>157</v>
      </c>
      <c r="BS15" s="134" t="s">
        <v>157</v>
      </c>
      <c r="BT15" s="134" t="s">
        <v>157</v>
      </c>
      <c r="BU15" s="134" t="s">
        <v>209</v>
      </c>
      <c r="BV15" s="134" t="s">
        <v>210</v>
      </c>
      <c r="BW15" s="134" t="s">
        <v>210</v>
      </c>
      <c r="BX15" s="141">
        <v>31.9</v>
      </c>
      <c r="BY15" t="s">
        <v>190</v>
      </c>
      <c r="BZ15" s="126">
        <f t="shared" si="6"/>
        <v>33.4</v>
      </c>
      <c r="CA15" s="126">
        <f t="shared" si="7"/>
        <v>30.4</v>
      </c>
      <c r="CB15" t="s">
        <v>157</v>
      </c>
      <c r="CC15">
        <v>4.59</v>
      </c>
      <c r="CD15" t="s">
        <v>190</v>
      </c>
      <c r="CE15" s="133">
        <f t="shared" si="8"/>
        <v>6.8849999999999995E-2</v>
      </c>
      <c r="CF15" s="133">
        <f t="shared" si="9"/>
        <v>6.8849999999999995E-2</v>
      </c>
      <c r="CG15" s="134" t="s">
        <v>157</v>
      </c>
      <c r="CH15" t="s">
        <v>191</v>
      </c>
      <c r="CI15" s="134">
        <v>3.43</v>
      </c>
      <c r="CJ15" s="134" t="s">
        <v>254</v>
      </c>
      <c r="CK15" s="134" t="s">
        <v>157</v>
      </c>
      <c r="CL15" s="134" t="s">
        <v>157</v>
      </c>
      <c r="CM15" s="134" t="s">
        <v>157</v>
      </c>
      <c r="CN15" t="s">
        <v>157</v>
      </c>
      <c r="CO15" t="s">
        <v>157</v>
      </c>
      <c r="CP15" t="s">
        <v>157</v>
      </c>
      <c r="CQ15" t="s">
        <v>157</v>
      </c>
      <c r="CR15" t="s">
        <v>157</v>
      </c>
      <c r="CS15" t="s">
        <v>157</v>
      </c>
      <c r="CT15" t="s">
        <v>157</v>
      </c>
      <c r="CU15">
        <v>35</v>
      </c>
      <c r="CV15" t="s">
        <v>190</v>
      </c>
      <c r="CW15" s="134" t="s">
        <v>157</v>
      </c>
      <c r="CX15" s="134" t="s">
        <v>192</v>
      </c>
      <c r="CY15" s="134" t="s">
        <v>157</v>
      </c>
      <c r="CZ15" s="134" t="s">
        <v>157</v>
      </c>
      <c r="DA15" s="134" t="s">
        <v>157</v>
      </c>
      <c r="DB15" s="134" t="s">
        <v>157</v>
      </c>
      <c r="DC15" s="134" t="s">
        <v>157</v>
      </c>
      <c r="DD15" s="134" t="s">
        <v>157</v>
      </c>
      <c r="DE15" s="134" t="s">
        <v>157</v>
      </c>
      <c r="DF15" s="134" t="s">
        <v>157</v>
      </c>
      <c r="DG15" s="134" t="s">
        <v>157</v>
      </c>
      <c r="DH15" s="134" t="s">
        <v>157</v>
      </c>
      <c r="DI15" s="134" t="s">
        <v>157</v>
      </c>
      <c r="DJ15" s="134" t="s">
        <v>157</v>
      </c>
      <c r="DK15" s="145">
        <v>432.56244218316402</v>
      </c>
      <c r="DL15" s="134" t="s">
        <v>157</v>
      </c>
      <c r="DM15" s="134" t="s">
        <v>157</v>
      </c>
      <c r="DN15" t="s">
        <v>249</v>
      </c>
      <c r="DO15">
        <v>37.82</v>
      </c>
      <c r="DP15" t="s">
        <v>190</v>
      </c>
      <c r="DQ15">
        <v>0.35</v>
      </c>
      <c r="DR15" t="s">
        <v>193</v>
      </c>
      <c r="DS15" t="s">
        <v>225</v>
      </c>
      <c r="DT15" t="s">
        <v>214</v>
      </c>
      <c r="DU15">
        <v>1.0271999999999999</v>
      </c>
      <c r="DV15" t="s">
        <v>190</v>
      </c>
      <c r="DW15">
        <v>5.9999999999999995E-4</v>
      </c>
      <c r="DX15" t="s">
        <v>206</v>
      </c>
      <c r="DY15" t="s">
        <v>157</v>
      </c>
      <c r="DZ15" t="s">
        <v>157</v>
      </c>
      <c r="EA15" s="134" t="s">
        <v>157</v>
      </c>
      <c r="EB15" s="134" t="s">
        <v>243</v>
      </c>
      <c r="EC15" s="134" t="s">
        <v>248</v>
      </c>
      <c r="ED15" s="134" t="s">
        <v>248</v>
      </c>
      <c r="EE15" s="134" t="s">
        <v>157</v>
      </c>
      <c r="EF15" s="134" t="s">
        <v>157</v>
      </c>
      <c r="EG15" s="134" t="s">
        <v>157</v>
      </c>
      <c r="EH15" t="s">
        <v>194</v>
      </c>
      <c r="EI15" t="s">
        <v>195</v>
      </c>
      <c r="EJ15" t="s">
        <v>196</v>
      </c>
      <c r="EK15">
        <v>1293</v>
      </c>
      <c r="EL15" t="s">
        <v>251</v>
      </c>
      <c r="EM15">
        <v>200</v>
      </c>
      <c r="EN15">
        <v>200</v>
      </c>
      <c r="EO15" s="134" t="s">
        <v>157</v>
      </c>
      <c r="EP15" s="134" t="s">
        <v>157</v>
      </c>
      <c r="EQ15" s="134" t="s">
        <v>157</v>
      </c>
      <c r="ER15" s="134" t="s">
        <v>157</v>
      </c>
      <c r="ES15" s="141">
        <v>7.83</v>
      </c>
      <c r="ET15" s="132" t="s">
        <v>157</v>
      </c>
      <c r="EU15" s="141">
        <v>0.05</v>
      </c>
      <c r="EV15" s="141">
        <v>0.05</v>
      </c>
      <c r="EW15" s="139">
        <f t="shared" si="10"/>
        <v>392</v>
      </c>
      <c r="EX15" s="141" t="s">
        <v>197</v>
      </c>
      <c r="EY15" s="138" t="s">
        <v>157</v>
      </c>
      <c r="EZ15" s="141">
        <v>392</v>
      </c>
      <c r="FA15" s="141">
        <v>92</v>
      </c>
      <c r="FB15" s="141">
        <v>84</v>
      </c>
      <c r="FC15" s="138" t="s">
        <v>157</v>
      </c>
      <c r="FD15" s="142" t="s">
        <v>231</v>
      </c>
      <c r="FE15" s="134" t="s">
        <v>157</v>
      </c>
      <c r="FF15" s="134" t="s">
        <v>157</v>
      </c>
      <c r="FG15" s="134" t="s">
        <v>157</v>
      </c>
      <c r="FH15" s="134" t="s">
        <v>157</v>
      </c>
      <c r="FI15" s="134" t="s">
        <v>157</v>
      </c>
      <c r="FJ15" s="134" t="s">
        <v>157</v>
      </c>
      <c r="FK15" s="134" t="s">
        <v>157</v>
      </c>
      <c r="FL15" s="134" t="s">
        <v>157</v>
      </c>
      <c r="FM15" s="134" t="s">
        <v>157</v>
      </c>
      <c r="FN15" s="134" t="s">
        <v>157</v>
      </c>
      <c r="FO15" s="134" t="s">
        <v>157</v>
      </c>
      <c r="FP15" s="134" t="s">
        <v>157</v>
      </c>
      <c r="FQ15" t="s">
        <v>258</v>
      </c>
    </row>
    <row r="16" spans="1:191" ht="17">
      <c r="A16" s="126" t="s">
        <v>152</v>
      </c>
      <c r="B16" t="s">
        <v>161</v>
      </c>
      <c r="C16">
        <v>2012</v>
      </c>
      <c r="D16" t="s">
        <v>164</v>
      </c>
      <c r="E16">
        <f t="shared" si="0"/>
        <v>16380</v>
      </c>
      <c r="F16" t="str">
        <f t="shared" si="1"/>
        <v>NA</v>
      </c>
      <c r="G16" t="str">
        <f t="shared" si="2"/>
        <v>NA</v>
      </c>
      <c r="H16">
        <f t="shared" si="11"/>
        <v>225</v>
      </c>
      <c r="I16">
        <f t="shared" si="3"/>
        <v>43</v>
      </c>
      <c r="J16">
        <f t="shared" si="4"/>
        <v>42</v>
      </c>
      <c r="K16" t="s">
        <v>250</v>
      </c>
      <c r="L16" s="130" t="s">
        <v>230</v>
      </c>
      <c r="M16" s="1" t="s">
        <v>165</v>
      </c>
      <c r="N16" t="s">
        <v>164</v>
      </c>
      <c r="O16">
        <v>761</v>
      </c>
      <c r="P16" t="s">
        <v>162</v>
      </c>
      <c r="Q16">
        <v>6</v>
      </c>
      <c r="R16">
        <v>5</v>
      </c>
      <c r="S16">
        <v>93</v>
      </c>
      <c r="T16">
        <v>95</v>
      </c>
      <c r="U16" s="134" t="s">
        <v>157</v>
      </c>
      <c r="V16">
        <v>49.1</v>
      </c>
      <c r="W16" s="134" t="s">
        <v>157</v>
      </c>
      <c r="X16" t="s">
        <v>166</v>
      </c>
      <c r="Y16" s="135">
        <v>-16.739999999999998</v>
      </c>
      <c r="Z16" s="135">
        <v>115.536</v>
      </c>
      <c r="AA16" t="s">
        <v>157</v>
      </c>
      <c r="AB16" t="s">
        <v>157</v>
      </c>
      <c r="AC16" s="131">
        <v>-2179</v>
      </c>
      <c r="AD16" t="s">
        <v>157</v>
      </c>
      <c r="AE16" t="s">
        <v>157</v>
      </c>
      <c r="AF16" s="138" t="s">
        <v>157</v>
      </c>
      <c r="AG16">
        <v>16380</v>
      </c>
      <c r="AH16" s="140" t="s">
        <v>157</v>
      </c>
      <c r="AI16" s="140" t="s">
        <v>157</v>
      </c>
      <c r="AJ16" s="140" t="s">
        <v>157</v>
      </c>
      <c r="AK16" s="140" t="s">
        <v>157</v>
      </c>
      <c r="AL16" s="140" t="s">
        <v>157</v>
      </c>
      <c r="AM16" s="140" t="s">
        <v>157</v>
      </c>
      <c r="AN16" t="s">
        <v>157</v>
      </c>
      <c r="AO16" t="s">
        <v>157</v>
      </c>
      <c r="AP16" t="s">
        <v>157</v>
      </c>
      <c r="AQ16" t="s">
        <v>157</v>
      </c>
      <c r="AR16" t="s">
        <v>157</v>
      </c>
      <c r="AS16" t="s">
        <v>157</v>
      </c>
      <c r="AT16" t="s">
        <v>157</v>
      </c>
      <c r="AU16" t="s">
        <v>169</v>
      </c>
      <c r="AV16" t="s">
        <v>158</v>
      </c>
      <c r="AW16" t="s">
        <v>170</v>
      </c>
      <c r="AX16" t="s">
        <v>171</v>
      </c>
      <c r="AY16" t="s">
        <v>172</v>
      </c>
      <c r="AZ16" t="s">
        <v>173</v>
      </c>
      <c r="BA16" t="s">
        <v>159</v>
      </c>
      <c r="BB16" t="s">
        <v>186</v>
      </c>
      <c r="BC16">
        <v>2</v>
      </c>
      <c r="BD16">
        <v>0.33999999999999986</v>
      </c>
      <c r="BE16">
        <v>16.64</v>
      </c>
      <c r="BF16" t="s">
        <v>190</v>
      </c>
      <c r="BG16">
        <v>0.26</v>
      </c>
      <c r="BH16">
        <v>0.88</v>
      </c>
      <c r="BI16" t="s">
        <v>190</v>
      </c>
      <c r="BJ16" s="140" t="s">
        <v>157</v>
      </c>
      <c r="BK16">
        <v>1.85</v>
      </c>
      <c r="BL16" t="s">
        <v>190</v>
      </c>
      <c r="BM16" s="140" t="s">
        <v>157</v>
      </c>
      <c r="BN16" t="s">
        <v>208</v>
      </c>
      <c r="BO16" s="134" t="s">
        <v>207</v>
      </c>
      <c r="BP16" s="143">
        <f t="shared" si="5"/>
        <v>16.806818181818183</v>
      </c>
      <c r="BQ16" s="134" t="s">
        <v>157</v>
      </c>
      <c r="BR16" s="134" t="s">
        <v>157</v>
      </c>
      <c r="BS16" s="134" t="s">
        <v>157</v>
      </c>
      <c r="BT16" s="134" t="s">
        <v>157</v>
      </c>
      <c r="BU16" s="134" t="s">
        <v>209</v>
      </c>
      <c r="BV16" s="134" t="s">
        <v>210</v>
      </c>
      <c r="BW16" s="134" t="s">
        <v>210</v>
      </c>
      <c r="BX16" s="141">
        <v>30.9</v>
      </c>
      <c r="BY16" t="s">
        <v>190</v>
      </c>
      <c r="BZ16" s="126">
        <f t="shared" si="6"/>
        <v>32.4</v>
      </c>
      <c r="CA16" s="126">
        <f t="shared" si="7"/>
        <v>29.4</v>
      </c>
      <c r="CB16" t="s">
        <v>157</v>
      </c>
      <c r="CC16">
        <v>4.1900000000000004</v>
      </c>
      <c r="CD16" t="s">
        <v>190</v>
      </c>
      <c r="CE16" s="133">
        <f t="shared" si="8"/>
        <v>6.2850000000000003E-2</v>
      </c>
      <c r="CF16" s="133">
        <f t="shared" si="9"/>
        <v>6.2850000000000003E-2</v>
      </c>
      <c r="CG16" s="134" t="s">
        <v>157</v>
      </c>
      <c r="CH16" t="s">
        <v>191</v>
      </c>
      <c r="CI16" s="134">
        <v>3.43</v>
      </c>
      <c r="CJ16" s="134" t="s">
        <v>254</v>
      </c>
      <c r="CK16" s="134" t="s">
        <v>157</v>
      </c>
      <c r="CL16" s="134" t="s">
        <v>157</v>
      </c>
      <c r="CM16" s="134" t="s">
        <v>157</v>
      </c>
      <c r="CN16" t="s">
        <v>157</v>
      </c>
      <c r="CO16" t="s">
        <v>157</v>
      </c>
      <c r="CP16" t="s">
        <v>157</v>
      </c>
      <c r="CQ16" t="s">
        <v>157</v>
      </c>
      <c r="CR16" t="s">
        <v>157</v>
      </c>
      <c r="CS16" t="s">
        <v>157</v>
      </c>
      <c r="CT16" t="s">
        <v>157</v>
      </c>
      <c r="CU16">
        <v>35</v>
      </c>
      <c r="CV16" t="s">
        <v>190</v>
      </c>
      <c r="CW16" s="134" t="s">
        <v>157</v>
      </c>
      <c r="CX16" s="134" t="s">
        <v>192</v>
      </c>
      <c r="CY16" s="134" t="s">
        <v>157</v>
      </c>
      <c r="CZ16" s="134" t="s">
        <v>157</v>
      </c>
      <c r="DA16" s="134" t="s">
        <v>157</v>
      </c>
      <c r="DB16" s="134" t="s">
        <v>157</v>
      </c>
      <c r="DC16" s="134" t="s">
        <v>157</v>
      </c>
      <c r="DD16" s="134" t="s">
        <v>157</v>
      </c>
      <c r="DE16" s="134" t="s">
        <v>157</v>
      </c>
      <c r="DF16" s="134" t="s">
        <v>157</v>
      </c>
      <c r="DG16" s="134" t="s">
        <v>157</v>
      </c>
      <c r="DH16" s="134" t="s">
        <v>157</v>
      </c>
      <c r="DI16" s="134" t="s">
        <v>157</v>
      </c>
      <c r="DJ16" s="134" t="s">
        <v>157</v>
      </c>
      <c r="DK16" s="145">
        <v>432.56244218316402</v>
      </c>
      <c r="DL16" s="134" t="s">
        <v>157</v>
      </c>
      <c r="DM16" s="134" t="s">
        <v>157</v>
      </c>
      <c r="DN16" t="s">
        <v>249</v>
      </c>
      <c r="DO16">
        <v>37.82</v>
      </c>
      <c r="DP16" t="s">
        <v>190</v>
      </c>
      <c r="DQ16">
        <v>0.35</v>
      </c>
      <c r="DR16" t="s">
        <v>193</v>
      </c>
      <c r="DS16" t="s">
        <v>226</v>
      </c>
      <c r="DT16" t="s">
        <v>214</v>
      </c>
      <c r="DU16">
        <v>1.0271999999999999</v>
      </c>
      <c r="DV16" t="s">
        <v>190</v>
      </c>
      <c r="DW16">
        <v>5.9999999999999995E-4</v>
      </c>
      <c r="DX16" t="s">
        <v>206</v>
      </c>
      <c r="DY16" t="s">
        <v>157</v>
      </c>
      <c r="DZ16" t="s">
        <v>157</v>
      </c>
      <c r="EA16" s="134" t="s">
        <v>157</v>
      </c>
      <c r="EB16" s="134" t="s">
        <v>244</v>
      </c>
      <c r="EC16" s="134" t="s">
        <v>248</v>
      </c>
      <c r="ED16" s="134" t="s">
        <v>248</v>
      </c>
      <c r="EE16" s="134" t="s">
        <v>157</v>
      </c>
      <c r="EF16" s="134" t="s">
        <v>157</v>
      </c>
      <c r="EG16" s="134" t="s">
        <v>157</v>
      </c>
      <c r="EH16" t="s">
        <v>194</v>
      </c>
      <c r="EI16" t="s">
        <v>195</v>
      </c>
      <c r="EJ16" t="s">
        <v>196</v>
      </c>
      <c r="EK16">
        <v>1293</v>
      </c>
      <c r="EL16" t="s">
        <v>251</v>
      </c>
      <c r="EM16">
        <v>200</v>
      </c>
      <c r="EN16">
        <v>200</v>
      </c>
      <c r="EO16" s="134" t="s">
        <v>157</v>
      </c>
      <c r="EP16" s="134" t="s">
        <v>157</v>
      </c>
      <c r="EQ16" s="134" t="s">
        <v>157</v>
      </c>
      <c r="ER16" s="134" t="s">
        <v>157</v>
      </c>
      <c r="ES16" s="141">
        <v>8.0299999999999994</v>
      </c>
      <c r="ET16" s="132" t="s">
        <v>157</v>
      </c>
      <c r="EU16" s="141">
        <v>0.03</v>
      </c>
      <c r="EV16" s="141">
        <v>0.03</v>
      </c>
      <c r="EW16" s="139">
        <f t="shared" si="10"/>
        <v>225</v>
      </c>
      <c r="EX16" s="141" t="s">
        <v>197</v>
      </c>
      <c r="EY16" s="138" t="s">
        <v>157</v>
      </c>
      <c r="EZ16" s="141">
        <v>225</v>
      </c>
      <c r="FA16" s="141">
        <v>43</v>
      </c>
      <c r="FB16" s="141">
        <v>42</v>
      </c>
      <c r="FC16" s="138" t="s">
        <v>157</v>
      </c>
      <c r="FD16" s="142" t="s">
        <v>231</v>
      </c>
      <c r="FE16" s="134" t="s">
        <v>157</v>
      </c>
      <c r="FF16" s="134" t="s">
        <v>157</v>
      </c>
      <c r="FG16" s="134" t="s">
        <v>157</v>
      </c>
      <c r="FH16" s="134" t="s">
        <v>157</v>
      </c>
      <c r="FI16" s="134" t="s">
        <v>157</v>
      </c>
      <c r="FJ16" s="134" t="s">
        <v>157</v>
      </c>
      <c r="FK16" s="134" t="s">
        <v>157</v>
      </c>
      <c r="FL16" s="134" t="s">
        <v>157</v>
      </c>
      <c r="FM16" s="134" t="s">
        <v>157</v>
      </c>
      <c r="FN16" s="134" t="s">
        <v>157</v>
      </c>
      <c r="FO16" s="134" t="s">
        <v>157</v>
      </c>
      <c r="FP16" s="134" t="s">
        <v>157</v>
      </c>
      <c r="FQ16" t="s">
        <v>258</v>
      </c>
    </row>
    <row r="17" spans="1:173" ht="17">
      <c r="A17" s="126" t="s">
        <v>152</v>
      </c>
      <c r="B17" t="s">
        <v>161</v>
      </c>
      <c r="C17">
        <v>2012</v>
      </c>
      <c r="D17" t="s">
        <v>164</v>
      </c>
      <c r="E17">
        <f t="shared" si="0"/>
        <v>11800</v>
      </c>
      <c r="F17" t="str">
        <f t="shared" si="1"/>
        <v>NA</v>
      </c>
      <c r="G17" t="str">
        <f t="shared" si="2"/>
        <v>NA</v>
      </c>
      <c r="H17">
        <f t="shared" si="11"/>
        <v>247</v>
      </c>
      <c r="I17">
        <f t="shared" si="3"/>
        <v>46</v>
      </c>
      <c r="J17">
        <f t="shared" si="4"/>
        <v>46</v>
      </c>
      <c r="K17" t="s">
        <v>250</v>
      </c>
      <c r="L17" s="130" t="s">
        <v>230</v>
      </c>
      <c r="M17" s="1" t="s">
        <v>165</v>
      </c>
      <c r="N17" t="s">
        <v>164</v>
      </c>
      <c r="O17">
        <v>926</v>
      </c>
      <c r="P17" t="s">
        <v>156</v>
      </c>
      <c r="Q17">
        <v>26</v>
      </c>
      <c r="R17">
        <v>5</v>
      </c>
      <c r="S17">
        <v>30</v>
      </c>
      <c r="T17">
        <v>32</v>
      </c>
      <c r="U17" s="134" t="s">
        <v>157</v>
      </c>
      <c r="V17">
        <v>238.3</v>
      </c>
      <c r="W17" s="134" t="s">
        <v>157</v>
      </c>
      <c r="X17" t="s">
        <v>167</v>
      </c>
      <c r="Y17" s="135">
        <v>-16.739999999999998</v>
      </c>
      <c r="Z17" s="135">
        <v>115.536</v>
      </c>
      <c r="AA17" t="s">
        <v>157</v>
      </c>
      <c r="AB17" t="s">
        <v>157</v>
      </c>
      <c r="AC17" s="131">
        <v>-3598</v>
      </c>
      <c r="AD17" t="s">
        <v>157</v>
      </c>
      <c r="AE17" t="s">
        <v>157</v>
      </c>
      <c r="AF17" s="139" t="s">
        <v>168</v>
      </c>
      <c r="AG17">
        <v>11800</v>
      </c>
      <c r="AH17" s="140" t="s">
        <v>157</v>
      </c>
      <c r="AI17" s="140" t="s">
        <v>157</v>
      </c>
      <c r="AJ17" s="140" t="s">
        <v>157</v>
      </c>
      <c r="AK17" s="140" t="s">
        <v>157</v>
      </c>
      <c r="AL17" s="140" t="s">
        <v>157</v>
      </c>
      <c r="AM17" s="140" t="s">
        <v>157</v>
      </c>
      <c r="AN17" t="s">
        <v>157</v>
      </c>
      <c r="AO17" t="s">
        <v>157</v>
      </c>
      <c r="AP17" t="s">
        <v>157</v>
      </c>
      <c r="AQ17" t="s">
        <v>157</v>
      </c>
      <c r="AR17" t="s">
        <v>157</v>
      </c>
      <c r="AS17" t="s">
        <v>157</v>
      </c>
      <c r="AT17" t="s">
        <v>157</v>
      </c>
      <c r="AU17" t="s">
        <v>169</v>
      </c>
      <c r="AV17" t="s">
        <v>158</v>
      </c>
      <c r="AW17" t="s">
        <v>170</v>
      </c>
      <c r="AX17" t="s">
        <v>171</v>
      </c>
      <c r="AY17" t="s">
        <v>172</v>
      </c>
      <c r="AZ17" t="s">
        <v>173</v>
      </c>
      <c r="BA17" t="s">
        <v>159</v>
      </c>
      <c r="BB17" t="s">
        <v>187</v>
      </c>
      <c r="BC17">
        <v>2</v>
      </c>
      <c r="BD17">
        <v>0.14000000000000054</v>
      </c>
      <c r="BE17">
        <v>16.09</v>
      </c>
      <c r="BF17" t="s">
        <v>190</v>
      </c>
      <c r="BG17">
        <v>0.23</v>
      </c>
      <c r="BH17">
        <v>0.88</v>
      </c>
      <c r="BI17" t="s">
        <v>190</v>
      </c>
      <c r="BJ17" s="140" t="s">
        <v>157</v>
      </c>
      <c r="BK17">
        <v>1.85</v>
      </c>
      <c r="BL17" t="s">
        <v>190</v>
      </c>
      <c r="BM17" s="140" t="s">
        <v>157</v>
      </c>
      <c r="BN17" t="s">
        <v>208</v>
      </c>
      <c r="BO17" s="134" t="s">
        <v>207</v>
      </c>
      <c r="BP17" s="143">
        <f t="shared" si="5"/>
        <v>16.181818181818183</v>
      </c>
      <c r="BQ17" s="134" t="s">
        <v>157</v>
      </c>
      <c r="BR17" s="134" t="s">
        <v>157</v>
      </c>
      <c r="BS17" s="134" t="s">
        <v>157</v>
      </c>
      <c r="BT17" s="134" t="s">
        <v>157</v>
      </c>
      <c r="BU17" s="134" t="s">
        <v>209</v>
      </c>
      <c r="BV17" s="134" t="s">
        <v>210</v>
      </c>
      <c r="BW17" s="134" t="s">
        <v>210</v>
      </c>
      <c r="BX17" s="141">
        <v>28.5</v>
      </c>
      <c r="BY17" t="s">
        <v>190</v>
      </c>
      <c r="BZ17" s="126">
        <f t="shared" si="6"/>
        <v>30</v>
      </c>
      <c r="CA17" s="126">
        <f t="shared" si="7"/>
        <v>27</v>
      </c>
      <c r="CB17" t="s">
        <v>157</v>
      </c>
      <c r="CC17">
        <v>3.39</v>
      </c>
      <c r="CD17" t="s">
        <v>190</v>
      </c>
      <c r="CE17" s="133">
        <f t="shared" si="8"/>
        <v>5.0849999999999999E-2</v>
      </c>
      <c r="CF17" s="133">
        <f t="shared" si="9"/>
        <v>5.0849999999999999E-2</v>
      </c>
      <c r="CG17" s="134" t="s">
        <v>157</v>
      </c>
      <c r="CH17" t="s">
        <v>191</v>
      </c>
      <c r="CI17" s="134">
        <v>3.43</v>
      </c>
      <c r="CJ17" s="134" t="s">
        <v>254</v>
      </c>
      <c r="CK17" s="134" t="s">
        <v>157</v>
      </c>
      <c r="CL17" s="134" t="s">
        <v>157</v>
      </c>
      <c r="CM17" s="134" t="s">
        <v>157</v>
      </c>
      <c r="CN17" t="s">
        <v>157</v>
      </c>
      <c r="CO17" t="s">
        <v>157</v>
      </c>
      <c r="CP17" t="s">
        <v>157</v>
      </c>
      <c r="CQ17" t="s">
        <v>157</v>
      </c>
      <c r="CR17" t="s">
        <v>157</v>
      </c>
      <c r="CS17" t="s">
        <v>157</v>
      </c>
      <c r="CT17" t="s">
        <v>157</v>
      </c>
      <c r="CU17">
        <v>35</v>
      </c>
      <c r="CV17" t="s">
        <v>190</v>
      </c>
      <c r="CW17" s="134" t="s">
        <v>157</v>
      </c>
      <c r="CX17" s="134" t="s">
        <v>192</v>
      </c>
      <c r="CY17" s="134" t="s">
        <v>157</v>
      </c>
      <c r="CZ17" s="134" t="s">
        <v>157</v>
      </c>
      <c r="DA17" s="134" t="s">
        <v>157</v>
      </c>
      <c r="DB17" s="134" t="s">
        <v>157</v>
      </c>
      <c r="DC17" s="134" t="s">
        <v>157</v>
      </c>
      <c r="DD17" s="134" t="s">
        <v>157</v>
      </c>
      <c r="DE17" s="134" t="s">
        <v>157</v>
      </c>
      <c r="DF17" s="134" t="s">
        <v>157</v>
      </c>
      <c r="DG17" s="134" t="s">
        <v>157</v>
      </c>
      <c r="DH17" s="134" t="s">
        <v>157</v>
      </c>
      <c r="DI17" s="134" t="s">
        <v>157</v>
      </c>
      <c r="DJ17" s="134" t="s">
        <v>157</v>
      </c>
      <c r="DK17" s="145">
        <v>432.56244218316402</v>
      </c>
      <c r="DL17" s="134" t="s">
        <v>157</v>
      </c>
      <c r="DM17" s="134" t="s">
        <v>157</v>
      </c>
      <c r="DN17" t="s">
        <v>249</v>
      </c>
      <c r="DO17">
        <v>37.82</v>
      </c>
      <c r="DP17" t="s">
        <v>190</v>
      </c>
      <c r="DQ17">
        <v>0.35</v>
      </c>
      <c r="DR17" t="s">
        <v>193</v>
      </c>
      <c r="DS17" t="s">
        <v>227</v>
      </c>
      <c r="DT17" t="s">
        <v>214</v>
      </c>
      <c r="DU17">
        <v>1.0271999999999999</v>
      </c>
      <c r="DV17" t="s">
        <v>190</v>
      </c>
      <c r="DW17">
        <v>5.9999999999999995E-4</v>
      </c>
      <c r="DX17" t="s">
        <v>206</v>
      </c>
      <c r="DY17" t="s">
        <v>157</v>
      </c>
      <c r="DZ17" t="s">
        <v>157</v>
      </c>
      <c r="EA17" s="134" t="s">
        <v>157</v>
      </c>
      <c r="EB17" s="134" t="s">
        <v>245</v>
      </c>
      <c r="EC17" s="134" t="s">
        <v>248</v>
      </c>
      <c r="ED17" s="134" t="s">
        <v>248</v>
      </c>
      <c r="EE17" s="134" t="s">
        <v>157</v>
      </c>
      <c r="EF17" s="134" t="s">
        <v>157</v>
      </c>
      <c r="EG17" s="134" t="s">
        <v>157</v>
      </c>
      <c r="EH17" t="s">
        <v>194</v>
      </c>
      <c r="EI17" t="s">
        <v>195</v>
      </c>
      <c r="EJ17" t="s">
        <v>196</v>
      </c>
      <c r="EK17">
        <v>1293</v>
      </c>
      <c r="EL17" t="s">
        <v>251</v>
      </c>
      <c r="EM17">
        <v>200</v>
      </c>
      <c r="EN17">
        <v>200</v>
      </c>
      <c r="EO17" s="134" t="s">
        <v>157</v>
      </c>
      <c r="EP17" s="134" t="s">
        <v>157</v>
      </c>
      <c r="EQ17" s="134" t="s">
        <v>157</v>
      </c>
      <c r="ER17" s="134" t="s">
        <v>157</v>
      </c>
      <c r="ES17" s="141">
        <v>8</v>
      </c>
      <c r="ET17" s="132" t="s">
        <v>157</v>
      </c>
      <c r="EU17" s="141">
        <v>0.02</v>
      </c>
      <c r="EV17" s="141">
        <v>0.02</v>
      </c>
      <c r="EW17" s="139">
        <f t="shared" si="10"/>
        <v>247</v>
      </c>
      <c r="EX17" s="141" t="s">
        <v>197</v>
      </c>
      <c r="EY17" s="138" t="s">
        <v>157</v>
      </c>
      <c r="EZ17" s="141">
        <v>247</v>
      </c>
      <c r="FA17" s="141">
        <v>46</v>
      </c>
      <c r="FB17" s="141">
        <v>46</v>
      </c>
      <c r="FC17" s="138" t="s">
        <v>157</v>
      </c>
      <c r="FD17" s="142" t="s">
        <v>231</v>
      </c>
      <c r="FE17" s="134" t="s">
        <v>157</v>
      </c>
      <c r="FF17" s="134" t="s">
        <v>157</v>
      </c>
      <c r="FG17" s="134" t="s">
        <v>157</v>
      </c>
      <c r="FH17" s="134" t="s">
        <v>157</v>
      </c>
      <c r="FI17" s="134" t="s">
        <v>157</v>
      </c>
      <c r="FJ17" s="134" t="s">
        <v>157</v>
      </c>
      <c r="FK17" s="134" t="s">
        <v>157</v>
      </c>
      <c r="FL17" s="134" t="s">
        <v>157</v>
      </c>
      <c r="FM17" s="134" t="s">
        <v>157</v>
      </c>
      <c r="FN17" s="134" t="s">
        <v>157</v>
      </c>
      <c r="FO17" s="134" t="s">
        <v>157</v>
      </c>
      <c r="FP17" s="134" t="s">
        <v>157</v>
      </c>
      <c r="FQ17" t="s">
        <v>258</v>
      </c>
    </row>
    <row r="18" spans="1:173" ht="17">
      <c r="A18" s="126" t="s">
        <v>152</v>
      </c>
      <c r="B18" t="s">
        <v>161</v>
      </c>
      <c r="C18">
        <v>2012</v>
      </c>
      <c r="D18" t="s">
        <v>164</v>
      </c>
      <c r="E18">
        <f t="shared" si="0"/>
        <v>13600</v>
      </c>
      <c r="F18" t="str">
        <f t="shared" si="1"/>
        <v>NA</v>
      </c>
      <c r="G18" t="str">
        <f t="shared" si="2"/>
        <v>NA</v>
      </c>
      <c r="H18">
        <f t="shared" si="11"/>
        <v>232</v>
      </c>
      <c r="I18">
        <f t="shared" si="3"/>
        <v>43</v>
      </c>
      <c r="J18">
        <f t="shared" si="4"/>
        <v>43</v>
      </c>
      <c r="K18" t="s">
        <v>250</v>
      </c>
      <c r="L18" s="130" t="s">
        <v>230</v>
      </c>
      <c r="M18" s="1" t="s">
        <v>165</v>
      </c>
      <c r="N18" t="s">
        <v>164</v>
      </c>
      <c r="O18">
        <v>926</v>
      </c>
      <c r="P18" t="s">
        <v>156</v>
      </c>
      <c r="Q18">
        <v>29</v>
      </c>
      <c r="R18">
        <v>5</v>
      </c>
      <c r="S18">
        <v>31</v>
      </c>
      <c r="T18">
        <v>33</v>
      </c>
      <c r="U18" s="134" t="s">
        <v>157</v>
      </c>
      <c r="V18">
        <v>266.8</v>
      </c>
      <c r="W18" s="134" t="s">
        <v>157</v>
      </c>
      <c r="X18" t="s">
        <v>167</v>
      </c>
      <c r="Y18" s="135">
        <v>-16.739999999999998</v>
      </c>
      <c r="Z18" s="135">
        <v>115.536</v>
      </c>
      <c r="AA18" t="s">
        <v>157</v>
      </c>
      <c r="AB18" t="s">
        <v>157</v>
      </c>
      <c r="AC18" s="131">
        <v>-3598</v>
      </c>
      <c r="AD18" t="s">
        <v>157</v>
      </c>
      <c r="AE18" t="s">
        <v>157</v>
      </c>
      <c r="AF18" s="139" t="s">
        <v>168</v>
      </c>
      <c r="AG18">
        <v>13600</v>
      </c>
      <c r="AH18" s="140" t="s">
        <v>157</v>
      </c>
      <c r="AI18" s="140" t="s">
        <v>157</v>
      </c>
      <c r="AJ18" s="140" t="s">
        <v>157</v>
      </c>
      <c r="AK18" s="140" t="s">
        <v>157</v>
      </c>
      <c r="AL18" s="140" t="s">
        <v>157</v>
      </c>
      <c r="AM18" s="140" t="s">
        <v>157</v>
      </c>
      <c r="AN18" t="s">
        <v>157</v>
      </c>
      <c r="AO18" t="s">
        <v>157</v>
      </c>
      <c r="AP18" t="s">
        <v>157</v>
      </c>
      <c r="AQ18" t="s">
        <v>157</v>
      </c>
      <c r="AR18" t="s">
        <v>157</v>
      </c>
      <c r="AS18" t="s">
        <v>157</v>
      </c>
      <c r="AT18" t="s">
        <v>157</v>
      </c>
      <c r="AU18" t="s">
        <v>169</v>
      </c>
      <c r="AV18" t="s">
        <v>158</v>
      </c>
      <c r="AW18" t="s">
        <v>170</v>
      </c>
      <c r="AX18" t="s">
        <v>171</v>
      </c>
      <c r="AY18" t="s">
        <v>172</v>
      </c>
      <c r="AZ18" t="s">
        <v>173</v>
      </c>
      <c r="BA18" t="s">
        <v>159</v>
      </c>
      <c r="BB18" t="s">
        <v>188</v>
      </c>
      <c r="BC18">
        <v>2</v>
      </c>
      <c r="BD18">
        <v>0.19000000000000128</v>
      </c>
      <c r="BE18">
        <v>16.420000000000002</v>
      </c>
      <c r="BF18" t="s">
        <v>190</v>
      </c>
      <c r="BG18">
        <v>0.23</v>
      </c>
      <c r="BH18">
        <v>0.88</v>
      </c>
      <c r="BI18" t="s">
        <v>190</v>
      </c>
      <c r="BJ18" s="140" t="s">
        <v>157</v>
      </c>
      <c r="BK18">
        <v>1.85</v>
      </c>
      <c r="BL18" t="s">
        <v>190</v>
      </c>
      <c r="BM18" s="140" t="s">
        <v>157</v>
      </c>
      <c r="BN18" t="s">
        <v>208</v>
      </c>
      <c r="BO18" s="134" t="s">
        <v>207</v>
      </c>
      <c r="BP18" s="143">
        <f t="shared" si="5"/>
        <v>16.556818181818183</v>
      </c>
      <c r="BQ18" s="134" t="s">
        <v>157</v>
      </c>
      <c r="BR18" s="134" t="s">
        <v>157</v>
      </c>
      <c r="BS18" s="134" t="s">
        <v>157</v>
      </c>
      <c r="BT18" s="134" t="s">
        <v>157</v>
      </c>
      <c r="BU18" s="134" t="s">
        <v>209</v>
      </c>
      <c r="BV18" s="134" t="s">
        <v>210</v>
      </c>
      <c r="BW18" s="134" t="s">
        <v>210</v>
      </c>
      <c r="BX18" s="141">
        <v>29.7</v>
      </c>
      <c r="BY18" t="s">
        <v>190</v>
      </c>
      <c r="BZ18" s="126">
        <f t="shared" si="6"/>
        <v>31.2</v>
      </c>
      <c r="CA18" s="126">
        <f t="shared" si="7"/>
        <v>28.2</v>
      </c>
      <c r="CB18" t="s">
        <v>157</v>
      </c>
      <c r="CC18">
        <v>3.77</v>
      </c>
      <c r="CD18" t="s">
        <v>190</v>
      </c>
      <c r="CE18" s="133">
        <f t="shared" si="8"/>
        <v>5.6549999999999996E-2</v>
      </c>
      <c r="CF18" s="133">
        <f t="shared" si="9"/>
        <v>5.6549999999999996E-2</v>
      </c>
      <c r="CG18" s="134" t="s">
        <v>157</v>
      </c>
      <c r="CH18" t="s">
        <v>191</v>
      </c>
      <c r="CI18" s="134">
        <v>3.43</v>
      </c>
      <c r="CJ18" s="134" t="s">
        <v>254</v>
      </c>
      <c r="CK18" s="134" t="s">
        <v>157</v>
      </c>
      <c r="CL18" s="134" t="s">
        <v>157</v>
      </c>
      <c r="CM18" s="134" t="s">
        <v>157</v>
      </c>
      <c r="CN18" t="s">
        <v>157</v>
      </c>
      <c r="CO18" t="s">
        <v>157</v>
      </c>
      <c r="CP18" t="s">
        <v>157</v>
      </c>
      <c r="CQ18" t="s">
        <v>157</v>
      </c>
      <c r="CR18" t="s">
        <v>157</v>
      </c>
      <c r="CS18" t="s">
        <v>157</v>
      </c>
      <c r="CT18" t="s">
        <v>157</v>
      </c>
      <c r="CU18">
        <v>35</v>
      </c>
      <c r="CV18" t="s">
        <v>190</v>
      </c>
      <c r="CW18" s="134" t="s">
        <v>157</v>
      </c>
      <c r="CX18" s="134" t="s">
        <v>192</v>
      </c>
      <c r="CY18" s="134" t="s">
        <v>157</v>
      </c>
      <c r="CZ18" s="134" t="s">
        <v>157</v>
      </c>
      <c r="DA18" s="134" t="s">
        <v>157</v>
      </c>
      <c r="DB18" s="134" t="s">
        <v>157</v>
      </c>
      <c r="DC18" s="134" t="s">
        <v>157</v>
      </c>
      <c r="DD18" s="134" t="s">
        <v>157</v>
      </c>
      <c r="DE18" s="134" t="s">
        <v>157</v>
      </c>
      <c r="DF18" s="134" t="s">
        <v>157</v>
      </c>
      <c r="DG18" s="134" t="s">
        <v>157</v>
      </c>
      <c r="DH18" s="134" t="s">
        <v>157</v>
      </c>
      <c r="DI18" s="134" t="s">
        <v>157</v>
      </c>
      <c r="DJ18" s="134" t="s">
        <v>157</v>
      </c>
      <c r="DK18" s="145">
        <v>432.56244218316402</v>
      </c>
      <c r="DL18" s="134" t="s">
        <v>157</v>
      </c>
      <c r="DM18" s="134" t="s">
        <v>157</v>
      </c>
      <c r="DN18" t="s">
        <v>249</v>
      </c>
      <c r="DO18">
        <v>37.82</v>
      </c>
      <c r="DP18" t="s">
        <v>190</v>
      </c>
      <c r="DQ18">
        <v>0.35</v>
      </c>
      <c r="DR18" t="s">
        <v>193</v>
      </c>
      <c r="DS18" t="s">
        <v>228</v>
      </c>
      <c r="DT18" t="s">
        <v>214</v>
      </c>
      <c r="DU18">
        <v>1.0271999999999999</v>
      </c>
      <c r="DV18" t="s">
        <v>190</v>
      </c>
      <c r="DW18">
        <v>5.9999999999999995E-4</v>
      </c>
      <c r="DX18" t="s">
        <v>206</v>
      </c>
      <c r="DY18" t="s">
        <v>157</v>
      </c>
      <c r="DZ18" t="s">
        <v>157</v>
      </c>
      <c r="EA18" s="134" t="s">
        <v>157</v>
      </c>
      <c r="EB18" s="134" t="s">
        <v>246</v>
      </c>
      <c r="EC18" s="134" t="s">
        <v>248</v>
      </c>
      <c r="ED18" s="134" t="s">
        <v>248</v>
      </c>
      <c r="EE18" s="134" t="s">
        <v>157</v>
      </c>
      <c r="EF18" s="134" t="s">
        <v>157</v>
      </c>
      <c r="EG18" s="134" t="s">
        <v>157</v>
      </c>
      <c r="EH18" t="s">
        <v>194</v>
      </c>
      <c r="EI18" t="s">
        <v>195</v>
      </c>
      <c r="EJ18" t="s">
        <v>196</v>
      </c>
      <c r="EK18">
        <v>1293</v>
      </c>
      <c r="EL18" t="s">
        <v>251</v>
      </c>
      <c r="EM18">
        <v>200</v>
      </c>
      <c r="EN18">
        <v>200</v>
      </c>
      <c r="EO18" s="134" t="s">
        <v>157</v>
      </c>
      <c r="EP18" s="134" t="s">
        <v>157</v>
      </c>
      <c r="EQ18" s="134" t="s">
        <v>157</v>
      </c>
      <c r="ER18" s="134" t="s">
        <v>157</v>
      </c>
      <c r="ES18" s="141">
        <v>8.02</v>
      </c>
      <c r="ET18" s="132" t="s">
        <v>157</v>
      </c>
      <c r="EU18" s="141">
        <v>0.02</v>
      </c>
      <c r="EV18" s="141">
        <v>0.02</v>
      </c>
      <c r="EW18" s="139">
        <f t="shared" si="10"/>
        <v>232</v>
      </c>
      <c r="EX18" s="141" t="s">
        <v>197</v>
      </c>
      <c r="EY18" s="138" t="s">
        <v>157</v>
      </c>
      <c r="EZ18" s="141">
        <v>232</v>
      </c>
      <c r="FA18" s="141">
        <v>43</v>
      </c>
      <c r="FB18" s="141">
        <v>43</v>
      </c>
      <c r="FC18" s="138" t="s">
        <v>157</v>
      </c>
      <c r="FD18" s="142" t="s">
        <v>231</v>
      </c>
      <c r="FE18" s="134" t="s">
        <v>157</v>
      </c>
      <c r="FF18" s="134" t="s">
        <v>157</v>
      </c>
      <c r="FG18" s="134" t="s">
        <v>157</v>
      </c>
      <c r="FH18" s="134" t="s">
        <v>157</v>
      </c>
      <c r="FI18" s="134" t="s">
        <v>157</v>
      </c>
      <c r="FJ18" s="134" t="s">
        <v>157</v>
      </c>
      <c r="FK18" s="134" t="s">
        <v>157</v>
      </c>
      <c r="FL18" s="134" t="s">
        <v>157</v>
      </c>
      <c r="FM18" s="134" t="s">
        <v>157</v>
      </c>
      <c r="FN18" s="134" t="s">
        <v>157</v>
      </c>
      <c r="FO18" s="134" t="s">
        <v>157</v>
      </c>
      <c r="FP18" s="134" t="s">
        <v>157</v>
      </c>
      <c r="FQ18" t="s">
        <v>258</v>
      </c>
    </row>
    <row r="19" spans="1:173" ht="17">
      <c r="A19" s="126" t="s">
        <v>152</v>
      </c>
      <c r="B19" t="s">
        <v>161</v>
      </c>
      <c r="C19">
        <v>2012</v>
      </c>
      <c r="D19" t="s">
        <v>164</v>
      </c>
      <c r="E19">
        <f t="shared" si="0"/>
        <v>14940</v>
      </c>
      <c r="F19" t="str">
        <f t="shared" si="1"/>
        <v>NA</v>
      </c>
      <c r="G19" t="str">
        <f t="shared" si="1"/>
        <v>NA</v>
      </c>
      <c r="H19">
        <f t="shared" si="11"/>
        <v>346</v>
      </c>
      <c r="I19">
        <f t="shared" si="3"/>
        <v>65</v>
      </c>
      <c r="J19">
        <f t="shared" si="4"/>
        <v>63</v>
      </c>
      <c r="K19" t="s">
        <v>250</v>
      </c>
      <c r="L19" s="130" t="s">
        <v>230</v>
      </c>
      <c r="M19" s="1" t="s">
        <v>165</v>
      </c>
      <c r="N19" t="s">
        <v>164</v>
      </c>
      <c r="O19">
        <v>926</v>
      </c>
      <c r="P19" t="s">
        <v>156</v>
      </c>
      <c r="Q19">
        <v>32</v>
      </c>
      <c r="R19">
        <v>2</v>
      </c>
      <c r="S19">
        <v>30</v>
      </c>
      <c r="T19">
        <v>32</v>
      </c>
      <c r="U19" s="134" t="s">
        <v>157</v>
      </c>
      <c r="V19">
        <v>290.8</v>
      </c>
      <c r="W19" s="134" t="s">
        <v>157</v>
      </c>
      <c r="X19" t="s">
        <v>167</v>
      </c>
      <c r="Y19" s="135">
        <v>-16.739999999999998</v>
      </c>
      <c r="Z19" s="135">
        <v>115.536</v>
      </c>
      <c r="AA19" t="s">
        <v>157</v>
      </c>
      <c r="AB19" t="s">
        <v>157</v>
      </c>
      <c r="AC19" s="131">
        <v>-3598</v>
      </c>
      <c r="AD19" t="s">
        <v>157</v>
      </c>
      <c r="AE19" t="s">
        <v>157</v>
      </c>
      <c r="AF19" s="139" t="s">
        <v>168</v>
      </c>
      <c r="AG19">
        <v>14940</v>
      </c>
      <c r="AH19" s="140" t="s">
        <v>157</v>
      </c>
      <c r="AI19" s="140" t="s">
        <v>157</v>
      </c>
      <c r="AJ19" s="140" t="s">
        <v>157</v>
      </c>
      <c r="AK19" s="140" t="s">
        <v>157</v>
      </c>
      <c r="AL19" s="140" t="s">
        <v>157</v>
      </c>
      <c r="AM19" s="140" t="s">
        <v>157</v>
      </c>
      <c r="AN19" t="s">
        <v>157</v>
      </c>
      <c r="AO19" t="s">
        <v>157</v>
      </c>
      <c r="AP19" t="s">
        <v>157</v>
      </c>
      <c r="AQ19" t="s">
        <v>157</v>
      </c>
      <c r="AR19" t="s">
        <v>157</v>
      </c>
      <c r="AS19" t="s">
        <v>157</v>
      </c>
      <c r="AT19" t="s">
        <v>157</v>
      </c>
      <c r="AU19" t="s">
        <v>169</v>
      </c>
      <c r="AV19" t="s">
        <v>158</v>
      </c>
      <c r="AW19" t="s">
        <v>170</v>
      </c>
      <c r="AX19" t="s">
        <v>171</v>
      </c>
      <c r="AY19" t="s">
        <v>172</v>
      </c>
      <c r="AZ19" t="s">
        <v>173</v>
      </c>
      <c r="BA19" t="s">
        <v>159</v>
      </c>
      <c r="BB19" t="s">
        <v>189</v>
      </c>
      <c r="BC19">
        <v>2</v>
      </c>
      <c r="BD19">
        <v>0.13000000000000075</v>
      </c>
      <c r="BE19">
        <v>15.24</v>
      </c>
      <c r="BF19" t="s">
        <v>190</v>
      </c>
      <c r="BG19">
        <v>0.23</v>
      </c>
      <c r="BH19">
        <v>0.88</v>
      </c>
      <c r="BI19" t="s">
        <v>190</v>
      </c>
      <c r="BJ19" s="140" t="s">
        <v>157</v>
      </c>
      <c r="BK19">
        <v>1.85</v>
      </c>
      <c r="BL19" t="s">
        <v>190</v>
      </c>
      <c r="BM19" s="140" t="s">
        <v>157</v>
      </c>
      <c r="BN19" t="s">
        <v>208</v>
      </c>
      <c r="BO19" s="134" t="s">
        <v>207</v>
      </c>
      <c r="BP19" s="143">
        <f t="shared" si="5"/>
        <v>15.215909090909092</v>
      </c>
      <c r="BQ19" s="134" t="s">
        <v>157</v>
      </c>
      <c r="BR19" s="134" t="s">
        <v>157</v>
      </c>
      <c r="BS19" s="134" t="s">
        <v>157</v>
      </c>
      <c r="BT19" s="134" t="s">
        <v>157</v>
      </c>
      <c r="BU19" s="134" t="s">
        <v>209</v>
      </c>
      <c r="BV19" s="134" t="s">
        <v>210</v>
      </c>
      <c r="BW19" s="134" t="s">
        <v>210</v>
      </c>
      <c r="BX19" s="141">
        <v>30.5</v>
      </c>
      <c r="BY19" t="s">
        <v>190</v>
      </c>
      <c r="BZ19" s="126">
        <f t="shared" si="6"/>
        <v>32</v>
      </c>
      <c r="CA19" s="126">
        <f t="shared" si="7"/>
        <v>29</v>
      </c>
      <c r="CB19" t="s">
        <v>157</v>
      </c>
      <c r="CC19">
        <v>4.05</v>
      </c>
      <c r="CD19" t="s">
        <v>190</v>
      </c>
      <c r="CE19" s="133">
        <f t="shared" si="8"/>
        <v>6.0749999999999998E-2</v>
      </c>
      <c r="CF19" s="133">
        <f t="shared" si="9"/>
        <v>6.0749999999999998E-2</v>
      </c>
      <c r="CG19" s="134" t="s">
        <v>157</v>
      </c>
      <c r="CH19" t="s">
        <v>191</v>
      </c>
      <c r="CI19" s="134">
        <v>3.43</v>
      </c>
      <c r="CJ19" s="134" t="s">
        <v>254</v>
      </c>
      <c r="CK19" s="134" t="s">
        <v>157</v>
      </c>
      <c r="CL19" s="134" t="s">
        <v>157</v>
      </c>
      <c r="CM19" s="134" t="s">
        <v>157</v>
      </c>
      <c r="CN19" t="s">
        <v>157</v>
      </c>
      <c r="CO19" t="s">
        <v>157</v>
      </c>
      <c r="CP19" t="s">
        <v>157</v>
      </c>
      <c r="CQ19" t="s">
        <v>157</v>
      </c>
      <c r="CR19" t="s">
        <v>157</v>
      </c>
      <c r="CS19" t="s">
        <v>157</v>
      </c>
      <c r="CT19" t="s">
        <v>157</v>
      </c>
      <c r="CU19">
        <v>35</v>
      </c>
      <c r="CV19" t="s">
        <v>190</v>
      </c>
      <c r="CW19" s="134" t="s">
        <v>157</v>
      </c>
      <c r="CX19" s="134" t="s">
        <v>192</v>
      </c>
      <c r="CY19" s="134" t="s">
        <v>157</v>
      </c>
      <c r="CZ19" s="134" t="s">
        <v>157</v>
      </c>
      <c r="DA19" s="134" t="s">
        <v>157</v>
      </c>
      <c r="DB19" s="134" t="s">
        <v>157</v>
      </c>
      <c r="DC19" s="134" t="s">
        <v>157</v>
      </c>
      <c r="DD19" s="134" t="s">
        <v>157</v>
      </c>
      <c r="DE19" s="134" t="s">
        <v>157</v>
      </c>
      <c r="DF19" s="134" t="s">
        <v>157</v>
      </c>
      <c r="DG19" s="134" t="s">
        <v>157</v>
      </c>
      <c r="DH19" s="134" t="s">
        <v>157</v>
      </c>
      <c r="DI19" s="134" t="s">
        <v>157</v>
      </c>
      <c r="DJ19" s="134" t="s">
        <v>157</v>
      </c>
      <c r="DK19" s="145">
        <v>432.56244218316402</v>
      </c>
      <c r="DL19" s="134" t="s">
        <v>157</v>
      </c>
      <c r="DM19" s="134" t="s">
        <v>157</v>
      </c>
      <c r="DN19" t="s">
        <v>249</v>
      </c>
      <c r="DO19">
        <v>37.82</v>
      </c>
      <c r="DP19" t="s">
        <v>190</v>
      </c>
      <c r="DQ19">
        <v>0.35</v>
      </c>
      <c r="DR19" t="s">
        <v>193</v>
      </c>
      <c r="DS19" t="s">
        <v>229</v>
      </c>
      <c r="DT19" t="s">
        <v>214</v>
      </c>
      <c r="DU19">
        <v>1.0271999999999999</v>
      </c>
      <c r="DV19" t="s">
        <v>190</v>
      </c>
      <c r="DW19">
        <v>5.9999999999999995E-4</v>
      </c>
      <c r="DX19" t="s">
        <v>206</v>
      </c>
      <c r="DY19" t="s">
        <v>157</v>
      </c>
      <c r="DZ19" t="s">
        <v>157</v>
      </c>
      <c r="EA19" s="134" t="s">
        <v>157</v>
      </c>
      <c r="EB19" s="134" t="s">
        <v>247</v>
      </c>
      <c r="EC19" s="134" t="s">
        <v>248</v>
      </c>
      <c r="ED19" s="134" t="s">
        <v>248</v>
      </c>
      <c r="EE19" s="134" t="s">
        <v>157</v>
      </c>
      <c r="EF19" s="134" t="s">
        <v>157</v>
      </c>
      <c r="EG19" s="134" t="s">
        <v>157</v>
      </c>
      <c r="EH19" t="s">
        <v>194</v>
      </c>
      <c r="EI19" t="s">
        <v>195</v>
      </c>
      <c r="EJ19" t="s">
        <v>196</v>
      </c>
      <c r="EK19">
        <v>1293</v>
      </c>
      <c r="EL19" t="s">
        <v>251</v>
      </c>
      <c r="EM19">
        <v>200</v>
      </c>
      <c r="EN19">
        <v>200</v>
      </c>
      <c r="EO19" s="134" t="s">
        <v>157</v>
      </c>
      <c r="EP19" s="134" t="s">
        <v>157</v>
      </c>
      <c r="EQ19" s="134" t="s">
        <v>157</v>
      </c>
      <c r="ER19" s="134" t="s">
        <v>157</v>
      </c>
      <c r="ES19" s="141">
        <v>7.88</v>
      </c>
      <c r="ET19" s="132" t="s">
        <v>157</v>
      </c>
      <c r="EU19" s="141">
        <v>0.03</v>
      </c>
      <c r="EV19" s="141">
        <v>0.03</v>
      </c>
      <c r="EW19" s="139">
        <f t="shared" si="10"/>
        <v>346</v>
      </c>
      <c r="EX19" s="141" t="s">
        <v>197</v>
      </c>
      <c r="EY19" s="138" t="s">
        <v>157</v>
      </c>
      <c r="EZ19" s="141">
        <v>346</v>
      </c>
      <c r="FA19" s="141">
        <v>65</v>
      </c>
      <c r="FB19" s="141">
        <v>63</v>
      </c>
      <c r="FC19" s="138" t="s">
        <v>157</v>
      </c>
      <c r="FD19" s="142" t="s">
        <v>231</v>
      </c>
      <c r="FE19" s="134" t="s">
        <v>157</v>
      </c>
      <c r="FF19" s="134" t="s">
        <v>157</v>
      </c>
      <c r="FG19" s="134" t="s">
        <v>157</v>
      </c>
      <c r="FH19" s="134" t="s">
        <v>157</v>
      </c>
      <c r="FI19" s="134" t="s">
        <v>157</v>
      </c>
      <c r="FJ19" s="134" t="s">
        <v>157</v>
      </c>
      <c r="FK19" s="134" t="s">
        <v>157</v>
      </c>
      <c r="FL19" s="134" t="s">
        <v>157</v>
      </c>
      <c r="FM19" s="134" t="s">
        <v>157</v>
      </c>
      <c r="FN19" s="134" t="s">
        <v>157</v>
      </c>
      <c r="FO19" s="134" t="s">
        <v>157</v>
      </c>
      <c r="FP19" s="134" t="s">
        <v>157</v>
      </c>
      <c r="FQ19" t="s">
        <v>258</v>
      </c>
    </row>
    <row r="20" spans="1:173">
      <c r="BZ20" s="126"/>
      <c r="CA20" s="126"/>
      <c r="EC20" s="134"/>
      <c r="ED20" s="134"/>
    </row>
    <row r="21" spans="1:173">
      <c r="EC21" s="134"/>
      <c r="ED21" s="134"/>
    </row>
    <row r="22" spans="1:173">
      <c r="EC22" s="134"/>
      <c r="ED22" s="134"/>
    </row>
    <row r="23" spans="1:173">
      <c r="EC23" s="134"/>
      <c r="ED23" s="134"/>
    </row>
  </sheetData>
  <phoneticPr fontId="34" type="noConversion"/>
  <hyperlinks>
    <hyperlink ref="L4" r:id="rId1" display="hoenisch@ldeo.columbia.edu" xr:uid="{85618C66-49DA-F24A-9545-B7ECE4183970}"/>
    <hyperlink ref="L5:L19" r:id="rId2" display="hoenisch@ldeo.columbia.edu" xr:uid="{B617835E-1381-3941-9405-4BE996C4C3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65AC-C348-C64B-9E49-FD4FEE93A842}">
  <dimension ref="A1:A3"/>
  <sheetViews>
    <sheetView workbookViewId="0">
      <selection sqref="A1:A3"/>
    </sheetView>
  </sheetViews>
  <sheetFormatPr baseColWidth="10" defaultRowHeight="16"/>
  <sheetData>
    <row r="1" spans="1:1">
      <c r="A1" t="s">
        <v>0</v>
      </c>
    </row>
    <row r="2" spans="1:1">
      <c r="A2" t="s">
        <v>255</v>
      </c>
    </row>
    <row r="3" spans="1:1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2020-07-01T20:01:59Z</dcterms:modified>
</cp:coreProperties>
</file>